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S:\OSHPD files\2024\Community Network Hospitals\UCI Health Lakewood\Final File\"/>
    </mc:Choice>
  </mc:AlternateContent>
  <xr:revisionPtr revIDLastSave="0" documentId="13_ncr:1_{6CD6C474-184D-4D4E-86DD-0C439E8ADD3A}" xr6:coauthVersionLast="47" xr6:coauthVersionMax="47" xr10:uidLastSave="{00000000-0000-0000-0000-000000000000}"/>
  <bookViews>
    <workbookView xWindow="28680" yWindow="-120" windowWidth="29040" windowHeight="15840" xr2:uid="{4B2DE81C-611E-41AB-B0BE-2208051F71D5}"/>
  </bookViews>
  <sheets>
    <sheet name="106190240_CDM" sheetId="1" r:id="rId1"/>
    <sheet name="106190240_Common 25" sheetId="2" r:id="rId2"/>
    <sheet name="106190240_PCT_CHG" sheetId="4" r:id="rId3"/>
  </sheets>
  <definedNames>
    <definedName name="_xlnm._FilterDatabase" localSheetId="0" hidden="1">'106190240_CDM'!$A$3:$F$3</definedName>
    <definedName name="_xlnm.Print_Area" localSheetId="0">'106190240_CDM'!$A:$F</definedName>
    <definedName name="_xlnm.Print_Area" localSheetId="1">'106190240_Common 25'!$A:$C</definedName>
    <definedName name="_xlnm.Print_Area" localSheetId="2">'106190240_PCT_CHG'!$A:$K</definedName>
    <definedName name="_xlnm.Print_Titles" localSheetId="0">'106190240_CDM'!$3:$3</definedName>
    <definedName name="_xlnm.Print_Titles" localSheetId="1">'106190240_Common 25'!$1:$4</definedName>
    <definedName name="_xlnm.Print_Titles" localSheetId="2">'106190240_PCT_CHG'!$8:$8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02" i="4" l="1"/>
  <c r="B3405" i="4" s="1"/>
  <c r="G3402" i="4"/>
  <c r="F3402" i="4"/>
  <c r="B3404" i="4" s="1"/>
  <c r="E3402" i="4"/>
  <c r="C69" i="2"/>
  <c r="I3402" i="4" l="1"/>
  <c r="B3406" i="4"/>
</calcChain>
</file>

<file path=xl/sharedStrings.xml><?xml version="1.0" encoding="utf-8"?>
<sst xmlns="http://schemas.openxmlformats.org/spreadsheetml/2006/main" count="38469" uniqueCount="18466">
  <si>
    <t>HSP</t>
  </si>
  <si>
    <t>CHARGE CODE</t>
  </si>
  <si>
    <t>CHARGE DESRIPTION</t>
  </si>
  <si>
    <t>BILLING DESCRIPTION</t>
  </si>
  <si>
    <t>HOSPITAL CHARGE</t>
  </si>
  <si>
    <t>COMMENTS</t>
  </si>
  <si>
    <t>ULK</t>
  </si>
  <si>
    <t>0020000220</t>
  </si>
  <si>
    <t>INTENSIVE CARE UNIT</t>
  </si>
  <si>
    <t>ICU GEN</t>
  </si>
  <si>
    <t>0020000261</t>
  </si>
  <si>
    <t>CORONARY CARE UNIT</t>
  </si>
  <si>
    <t>CCU GEN</t>
  </si>
  <si>
    <t>0020000360</t>
  </si>
  <si>
    <t>INTENSIVE CARE OTHER</t>
  </si>
  <si>
    <t>ICU OTHER</t>
  </si>
  <si>
    <t>0020000626</t>
  </si>
  <si>
    <t>INTENSIVE CARE INTERMED</t>
  </si>
  <si>
    <t>ICU INTERMED</t>
  </si>
  <si>
    <t>0020500260</t>
  </si>
  <si>
    <t>0020500369</t>
  </si>
  <si>
    <t>0020500625</t>
  </si>
  <si>
    <t>0021200027</t>
  </si>
  <si>
    <t>SEMI-PRIVATE ROOM</t>
  </si>
  <si>
    <t>SEMI-PRIVATE</t>
  </si>
  <si>
    <t>0021200225</t>
  </si>
  <si>
    <t>0021200266</t>
  </si>
  <si>
    <t>0021200621</t>
  </si>
  <si>
    <t>0021500020</t>
  </si>
  <si>
    <t>0021500228</t>
  </si>
  <si>
    <t>0021500269</t>
  </si>
  <si>
    <t>0021500277</t>
  </si>
  <si>
    <t>ADMIN DAY LEVEL I</t>
  </si>
  <si>
    <t>ADMIN DAY LEVEL</t>
  </si>
  <si>
    <t>0021500285</t>
  </si>
  <si>
    <t>ADMIN DAY ADULT LEVEL II</t>
  </si>
  <si>
    <t>ADMIN DAY ADULT</t>
  </si>
  <si>
    <t>0021500624</t>
  </si>
  <si>
    <t>0021600028</t>
  </si>
  <si>
    <t>0021600226</t>
  </si>
  <si>
    <t>0021600275</t>
  </si>
  <si>
    <t>0021600283</t>
  </si>
  <si>
    <t>0021600622</t>
  </si>
  <si>
    <t>0021700026</t>
  </si>
  <si>
    <t>0021700273</t>
  </si>
  <si>
    <t>0021700281</t>
  </si>
  <si>
    <t>0021700620</t>
  </si>
  <si>
    <t>0021800024</t>
  </si>
  <si>
    <t>0021800271</t>
  </si>
  <si>
    <t>0021800289</t>
  </si>
  <si>
    <t>0021800628</t>
  </si>
  <si>
    <t>0023000029</t>
  </si>
  <si>
    <t>0023000623</t>
  </si>
  <si>
    <t>0023100027</t>
  </si>
  <si>
    <t>0023100621</t>
  </si>
  <si>
    <t>0023200025</t>
  </si>
  <si>
    <t>0023200272</t>
  </si>
  <si>
    <t>0023200280</t>
  </si>
  <si>
    <t>0023200629</t>
  </si>
  <si>
    <t>0023500028</t>
  </si>
  <si>
    <t>0023500275</t>
  </si>
  <si>
    <t>0023500283</t>
  </si>
  <si>
    <t>0023500622</t>
  </si>
  <si>
    <t>0030800155</t>
  </si>
  <si>
    <t>LITHOTRIPSY OTHER</t>
  </si>
  <si>
    <t>LITHOTRIPSY</t>
  </si>
  <si>
    <t>0030805907</t>
  </si>
  <si>
    <t>0030830103</t>
  </si>
  <si>
    <t>SPEC PROC W/LITHO</t>
  </si>
  <si>
    <t>SP PROC W/LITHO</t>
  </si>
  <si>
    <t>0032102329</t>
  </si>
  <si>
    <t>INJECT-PLT RICH PLASMA</t>
  </si>
  <si>
    <t>INJ-PLTRICHPLAS</t>
  </si>
  <si>
    <t>0032126534</t>
  </si>
  <si>
    <t>AEP NEURODIAGNOSTIC I&amp;R</t>
  </si>
  <si>
    <t>AEP NEURODIAGNO</t>
  </si>
  <si>
    <t>0032133183</t>
  </si>
  <si>
    <t>TEE CONT/ASSESS/FUNC</t>
  </si>
  <si>
    <t>TEE CONT ASSESS</t>
  </si>
  <si>
    <t>0032135501</t>
  </si>
  <si>
    <t>SURG LEVEL I INT 30 MIN</t>
  </si>
  <si>
    <t>SURG LVI INT30</t>
  </si>
  <si>
    <t>0032135519</t>
  </si>
  <si>
    <t>SURG LEVEL I EA ADD 15 MIN</t>
  </si>
  <si>
    <t>SURG LVI EA15</t>
  </si>
  <si>
    <t>0032135527</t>
  </si>
  <si>
    <t>SURG LEVEL II INT 30 MIN</t>
  </si>
  <si>
    <t>SURG LVII INT30</t>
  </si>
  <si>
    <t>0032135535</t>
  </si>
  <si>
    <t>SURG LEVEL II EA ADD 15 MIN</t>
  </si>
  <si>
    <t>SURG LVII EA15</t>
  </si>
  <si>
    <t>0032135543</t>
  </si>
  <si>
    <t>SURG LEVEL III INT 30 MIN</t>
  </si>
  <si>
    <t>SURG LVIII INT3</t>
  </si>
  <si>
    <t>0032135550</t>
  </si>
  <si>
    <t>SURG LEVEL III EA ADD 15 MIN</t>
  </si>
  <si>
    <t>SURG LVIII EA15</t>
  </si>
  <si>
    <t>0032135568</t>
  </si>
  <si>
    <t>SURG LEVEL IV INT 30 MIN</t>
  </si>
  <si>
    <t>SURG LVIV INT30</t>
  </si>
  <si>
    <t>0032135576</t>
  </si>
  <si>
    <t>SURG LEVEL IV EA ADD 15 MIN</t>
  </si>
  <si>
    <t>SURG LVIV EA15</t>
  </si>
  <si>
    <t>0032135600</t>
  </si>
  <si>
    <t>RBTCS MAKO LVL II INT 30 MIN</t>
  </si>
  <si>
    <t>RBT MAKO LV II</t>
  </si>
  <si>
    <t>0032135618</t>
  </si>
  <si>
    <t>RBTCS MAKO LVL II EA 15 MIN</t>
  </si>
  <si>
    <t>0032135626</t>
  </si>
  <si>
    <t>RBTCS MAKO LVL III INT 30 MIN</t>
  </si>
  <si>
    <t>RBT MAKO LV III</t>
  </si>
  <si>
    <t>0032135634</t>
  </si>
  <si>
    <t>RBTCS MAKO LVL III EA 15 MIN</t>
  </si>
  <si>
    <t>0032135642</t>
  </si>
  <si>
    <t>RBTCS MAKO LVL IV INT 30 MIN</t>
  </si>
  <si>
    <t>RBT MAKO LV IV</t>
  </si>
  <si>
    <t>0032135659</t>
  </si>
  <si>
    <t>RBTCS MAKO LVL IV EA 15 MIN</t>
  </si>
  <si>
    <t>0032135725</t>
  </si>
  <si>
    <t>RBTCS DAVN LVL II INT 30 MIN</t>
  </si>
  <si>
    <t>RBT DAVN LV II</t>
  </si>
  <si>
    <t>0032135733</t>
  </si>
  <si>
    <t>RBTCS DAVN LVL II EA 15 MIN</t>
  </si>
  <si>
    <t>0032135741</t>
  </si>
  <si>
    <t>RBTCS DAVN LVL III INT 30 MIN</t>
  </si>
  <si>
    <t>RBT DAVN LV III</t>
  </si>
  <si>
    <t>0032135758</t>
  </si>
  <si>
    <t>RBTCS DAVN LVL III EA 15 MIN</t>
  </si>
  <si>
    <t>0032135766</t>
  </si>
  <si>
    <t>RBTCS DAVN LVL IV INT 30 MIN</t>
  </si>
  <si>
    <t>RBT DAVN LV IV</t>
  </si>
  <si>
    <t>0032135774</t>
  </si>
  <si>
    <t>RBTCS DAVN LVL IV EA 15 MIN</t>
  </si>
  <si>
    <t>0032158602</t>
  </si>
  <si>
    <t>EMG ONE EXTREMITY</t>
  </si>
  <si>
    <t>EMG 1 EXTREMITY</t>
  </si>
  <si>
    <t>0032158610</t>
  </si>
  <si>
    <t>EMG TWO EXTREMITIES</t>
  </si>
  <si>
    <t>EMG 2 EXTRMTIES</t>
  </si>
  <si>
    <t>0032158651</t>
  </si>
  <si>
    <t>EMG LARYNX</t>
  </si>
  <si>
    <t>0032158677</t>
  </si>
  <si>
    <t>EMG CRAN MUSC(S) UNI</t>
  </si>
  <si>
    <t>EMG CRAN MUS(S)</t>
  </si>
  <si>
    <t>0032158685</t>
  </si>
  <si>
    <t>EMG CRAN BILATERAL</t>
  </si>
  <si>
    <t>EMG CRANIAL BI</t>
  </si>
  <si>
    <t>0032158701</t>
  </si>
  <si>
    <t>EMG NEURO MUSC JCT TEST</t>
  </si>
  <si>
    <t>NEURO MUSC TEST</t>
  </si>
  <si>
    <t>0032159253</t>
  </si>
  <si>
    <t>SOMATOSENSORY EP U/LIMB</t>
  </si>
  <si>
    <t>SENSORY EPU/LMB</t>
  </si>
  <si>
    <t>0032159261</t>
  </si>
  <si>
    <t>SOMATOSENSORY EP L/LIMB</t>
  </si>
  <si>
    <t>SENSORY EPL/LMB</t>
  </si>
  <si>
    <t>0032159287</t>
  </si>
  <si>
    <t>CNT MTR EP T/CRAN U/L</t>
  </si>
  <si>
    <t>CNT M EP T/C UL</t>
  </si>
  <si>
    <t>0032159295</t>
  </si>
  <si>
    <t>CNT MTR EP T/CRAN L/L</t>
  </si>
  <si>
    <t>CNT M EP T/C LL</t>
  </si>
  <si>
    <t>0032159303</t>
  </si>
  <si>
    <t>VISUAL EVOKED POTENTIAL</t>
  </si>
  <si>
    <t>VIS EVKD POTNL</t>
  </si>
  <si>
    <t>0032159386</t>
  </si>
  <si>
    <t>SOMATOSEN STDY UPPR/LWER</t>
  </si>
  <si>
    <t>SOMATO UPP/LWR</t>
  </si>
  <si>
    <t>0032159394</t>
  </si>
  <si>
    <t>CNT MTR EP UPPER/LOWER</t>
  </si>
  <si>
    <t>EP UPP/LOWER</t>
  </si>
  <si>
    <t>0032159410</t>
  </si>
  <si>
    <t>IONM IN OR 15 MIN</t>
  </si>
  <si>
    <t>IONM OR 15 MIN</t>
  </si>
  <si>
    <t>0032159550</t>
  </si>
  <si>
    <t>EEG SURG NON-INTRACRANL</t>
  </si>
  <si>
    <t>EEG SURG</t>
  </si>
  <si>
    <t>0032159618</t>
  </si>
  <si>
    <t>CORT/SUBCORT MAP 1ST HR</t>
  </si>
  <si>
    <t>CORT/SUBCRT 1HR</t>
  </si>
  <si>
    <t>0032159634</t>
  </si>
  <si>
    <t>CORT/SUBCORT MAP ADDL HR</t>
  </si>
  <si>
    <t>CORT/SUBCT ADDL</t>
  </si>
  <si>
    <t>0032159717</t>
  </si>
  <si>
    <t>ANALYS GEN /TRANSMIT PROG SMPL</t>
  </si>
  <si>
    <t>ANALYS GEN PROG</t>
  </si>
  <si>
    <t>0032168916</t>
  </si>
  <si>
    <t>BLD AUTOSLV INTRA/PSOP</t>
  </si>
  <si>
    <t>BLD AUTOSLV</t>
  </si>
  <si>
    <t>0032190225</t>
  </si>
  <si>
    <t>RBC WASHED AUTO</t>
  </si>
  <si>
    <t>RBC WASH AUTO</t>
  </si>
  <si>
    <t>0032210007</t>
  </si>
  <si>
    <t>SPEC PROC INIT 30 MIN</t>
  </si>
  <si>
    <t>SPEC PROC INT30</t>
  </si>
  <si>
    <t>0032210155</t>
  </si>
  <si>
    <t>SPEC PROC EA ADDL 15 MIN</t>
  </si>
  <si>
    <t>SPEC PROC EA15M</t>
  </si>
  <si>
    <t>0032229601</t>
  </si>
  <si>
    <t>CARDIOVRT ELECTRC/ELECTV</t>
  </si>
  <si>
    <t>CARDVRT ELECTRC</t>
  </si>
  <si>
    <t>0032235707</t>
  </si>
  <si>
    <t>RECOVERY INIT 30 MIN</t>
  </si>
  <si>
    <t>RECOVERY INT 30</t>
  </si>
  <si>
    <t>0032235715</t>
  </si>
  <si>
    <t>RECOVERY EA ADDL 15 MIN</t>
  </si>
  <si>
    <t>RECOVERY EA 15M</t>
  </si>
  <si>
    <t>0033033184</t>
  </si>
  <si>
    <t>0033035569</t>
  </si>
  <si>
    <t>OH SURG INT 30 MIN</t>
  </si>
  <si>
    <t>OH SURG INT 30</t>
  </si>
  <si>
    <t>0033035577</t>
  </si>
  <si>
    <t>OH SURG EA ADD 15MIN</t>
  </si>
  <si>
    <t>OH SURG EA15MIN</t>
  </si>
  <si>
    <t>0033068917</t>
  </si>
  <si>
    <t>BLD AUTO SLV</t>
  </si>
  <si>
    <t>0033090226</t>
  </si>
  <si>
    <t>0036007607</t>
  </si>
  <si>
    <t>IV INF HYD INIT 31-60MIN</t>
  </si>
  <si>
    <t>IV HYD INT &gt;31M</t>
  </si>
  <si>
    <t>0036007656</t>
  </si>
  <si>
    <t>IV INF TX INIT &lt;=1 HR</t>
  </si>
  <si>
    <t>IV TX INIT 1 HR</t>
  </si>
  <si>
    <t>0036007664</t>
  </si>
  <si>
    <t>IV INF TX EA ADD HR</t>
  </si>
  <si>
    <t>IV INF TX ADD H</t>
  </si>
  <si>
    <t>0036007748</t>
  </si>
  <si>
    <t>INJ TX/PRPH/DX IVP INT</t>
  </si>
  <si>
    <t>THER/PRPH/DX IV</t>
  </si>
  <si>
    <t>0036007755</t>
  </si>
  <si>
    <t>INJ ADD SEQUENTL IVP</t>
  </si>
  <si>
    <t>INJ ADD SEQ IVP</t>
  </si>
  <si>
    <t>0036030005</t>
  </si>
  <si>
    <t>AMB PROC 1ST 30MIN</t>
  </si>
  <si>
    <t>AMB PROC 1ST 30</t>
  </si>
  <si>
    <t>0036030724</t>
  </si>
  <si>
    <t>INJ TX/PROPH/DX SQ/IM</t>
  </si>
  <si>
    <t>INJ T/P/D SQ/IM</t>
  </si>
  <si>
    <t>0037035607</t>
  </si>
  <si>
    <t>ANESTHESIA INIT 30 MIN</t>
  </si>
  <si>
    <t>ANESTH INT 30M</t>
  </si>
  <si>
    <t>0037035615</t>
  </si>
  <si>
    <t>ANESTHESIA EA ADD 15 MIN</t>
  </si>
  <si>
    <t>ANESTH EA ADD15</t>
  </si>
  <si>
    <t>0037091527</t>
  </si>
  <si>
    <t>MOD SED SAME&gt;5YRS INIT15</t>
  </si>
  <si>
    <t>MOD SED INIT15</t>
  </si>
  <si>
    <t>0037091535</t>
  </si>
  <si>
    <t>MOD SED SAME EA ADD15</t>
  </si>
  <si>
    <t>MOD SED ADD15</t>
  </si>
  <si>
    <t>0040000820</t>
  </si>
  <si>
    <t>DFB ACTICOR 7 HF-T QP 429522</t>
  </si>
  <si>
    <t>DFB ACTICOR 7 H</t>
  </si>
  <si>
    <t>0040000838</t>
  </si>
  <si>
    <t>DFB ACTICOR HF-T CRT-DX 429523</t>
  </si>
  <si>
    <t>DFB ACTICOR</t>
  </si>
  <si>
    <t>0040000846</t>
  </si>
  <si>
    <t>DFB ACTICOR 7 VR-T DX 429525</t>
  </si>
  <si>
    <t>DFB ACTICOR DX</t>
  </si>
  <si>
    <t>0040000861</t>
  </si>
  <si>
    <t>DFB AMPLIA MRI DTMB1D1</t>
  </si>
  <si>
    <t>DFB AMPLIA</t>
  </si>
  <si>
    <t>0040000879</t>
  </si>
  <si>
    <t>DFB AMPLIA MRI DTMB1D4</t>
  </si>
  <si>
    <t>0040000887</t>
  </si>
  <si>
    <t>DFB AMPLIA MRI DTMB1QQ</t>
  </si>
  <si>
    <t>0040000903</t>
  </si>
  <si>
    <t>DFIB ATLAS+ HF V343</t>
  </si>
  <si>
    <t>DFIB ATLAS+ HF</t>
  </si>
  <si>
    <t>0040000952</t>
  </si>
  <si>
    <t>DFIB COGNIS HE N118</t>
  </si>
  <si>
    <t>DFIB COGNIS HE</t>
  </si>
  <si>
    <t>0040000960</t>
  </si>
  <si>
    <t>DFIB CONCERTO CRTD</t>
  </si>
  <si>
    <t>DFIB CONCERTO</t>
  </si>
  <si>
    <t>0040000978</t>
  </si>
  <si>
    <t>DFIB COGNIS HE N119</t>
  </si>
  <si>
    <t>0040000986</t>
  </si>
  <si>
    <t>DFIB CONCERTO II CRT-D</t>
  </si>
  <si>
    <t>DFB CONCERTO II</t>
  </si>
  <si>
    <t>0040000994</t>
  </si>
  <si>
    <t>DFIB CONSULTA D224TRK</t>
  </si>
  <si>
    <t>DFIB CONSULTA</t>
  </si>
  <si>
    <t>0040001042</t>
  </si>
  <si>
    <t>DFIB DC CONFIENT E030</t>
  </si>
  <si>
    <t>DFIB CONFIENT</t>
  </si>
  <si>
    <t>0040001067</t>
  </si>
  <si>
    <t>DFIB DC ATLAS II+ V268</t>
  </si>
  <si>
    <t>DFIB DC ATLSII</t>
  </si>
  <si>
    <t>0040001125</t>
  </si>
  <si>
    <t>DFIB DC ATLAS II HFV366</t>
  </si>
  <si>
    <t>DFB DC ATLS HF$</t>
  </si>
  <si>
    <t>0040001141</t>
  </si>
  <si>
    <t>DFIB DC ENTRUST</t>
  </si>
  <si>
    <t>0040001265</t>
  </si>
  <si>
    <t>DFIB DC INTRINSIC DR</t>
  </si>
  <si>
    <t>DFIB DC INTRNSC</t>
  </si>
  <si>
    <t>0040001323</t>
  </si>
  <si>
    <t>DFIB DC LEXOS DRT</t>
  </si>
  <si>
    <t>DFIB DC LEXOS</t>
  </si>
  <si>
    <t>0040001349</t>
  </si>
  <si>
    <t>DFIB ILIVIA NEO 7 DR-T 429529</t>
  </si>
  <si>
    <t>DFIB ILIVIA NEO</t>
  </si>
  <si>
    <t>0040001596</t>
  </si>
  <si>
    <t>DFIB DC OVATIO DR</t>
  </si>
  <si>
    <t>DFIB DC OVATIO</t>
  </si>
  <si>
    <t>0040001612</t>
  </si>
  <si>
    <t>DFIB DC PROTECTA DR</t>
  </si>
  <si>
    <t>DFB PROTECTA DR</t>
  </si>
  <si>
    <t>0040001620</t>
  </si>
  <si>
    <t>DFIB DC PROTECTA XT DR</t>
  </si>
  <si>
    <t>DFIB PROTECTA</t>
  </si>
  <si>
    <t>0040001745</t>
  </si>
  <si>
    <t>DFB VIGILANT EL MRI VR D232</t>
  </si>
  <si>
    <t>DFB VIGILANT</t>
  </si>
  <si>
    <t>0040001760</t>
  </si>
  <si>
    <t>DFIB DC VENTAK PRIZM HE</t>
  </si>
  <si>
    <t>DFIB DC VNTK HE</t>
  </si>
  <si>
    <t>0040001786</t>
  </si>
  <si>
    <t>DFIB DC VIRTUOSO</t>
  </si>
  <si>
    <t>DFIB DC VIRTUOS</t>
  </si>
  <si>
    <t>0040001828</t>
  </si>
  <si>
    <t>DFIB DC VITALITY 2 T165</t>
  </si>
  <si>
    <t>DFIB DC VITALTY</t>
  </si>
  <si>
    <t>0040001851</t>
  </si>
  <si>
    <t>DFIB DC VITALITY 2 T180</t>
  </si>
  <si>
    <t>0040001877</t>
  </si>
  <si>
    <t>DFB ELLIPSE DR CD241136Q</t>
  </si>
  <si>
    <t>DFIB ELLIPSE</t>
  </si>
  <si>
    <t>0040001935</t>
  </si>
  <si>
    <t>DFIB FORTIFY DR SJ4 CONN</t>
  </si>
  <si>
    <t>DFIB FORTIFY</t>
  </si>
  <si>
    <t>0040001943</t>
  </si>
  <si>
    <t>DFIB FORTIFY VR SJ4 CONN</t>
  </si>
  <si>
    <t>0040001950</t>
  </si>
  <si>
    <t>DFIB FORTIFY DR DF1/IS1</t>
  </si>
  <si>
    <t>0040001976</t>
  </si>
  <si>
    <t>DFB INCEPTA CRTD DF4N160</t>
  </si>
  <si>
    <t>DFIB INCEPTA</t>
  </si>
  <si>
    <t>0040001984</t>
  </si>
  <si>
    <t>DFB INCEPTA CRTD DF1N161</t>
  </si>
  <si>
    <t>0040001992</t>
  </si>
  <si>
    <t>DFIB INCEPTA DR DF4 E162</t>
  </si>
  <si>
    <t>DFIB INCEPTA DR</t>
  </si>
  <si>
    <t>0040002032</t>
  </si>
  <si>
    <t>DFIB INSYNC SENTRY 7297</t>
  </si>
  <si>
    <t>DFIB SENTRY</t>
  </si>
  <si>
    <t>0040002040</t>
  </si>
  <si>
    <t>DFB INVENTR HFT QP393012</t>
  </si>
  <si>
    <t>DFB INVENTRA</t>
  </si>
  <si>
    <t>0040002057</t>
  </si>
  <si>
    <t>DFIB INSYNC SENTRY 7299</t>
  </si>
  <si>
    <t>0040002065</t>
  </si>
  <si>
    <t>DFIB LUMAX 540 HF-T</t>
  </si>
  <si>
    <t>DFIB LUMAX HF-T</t>
  </si>
  <si>
    <t>0040002073</t>
  </si>
  <si>
    <t>DFIB LUMAX 540 VR-T</t>
  </si>
  <si>
    <t>DFIB LUMAX VR-T</t>
  </si>
  <si>
    <t>0040002081</t>
  </si>
  <si>
    <t>DFIB LUMAX 540 DR-T</t>
  </si>
  <si>
    <t>DFIB LUMAX DR-T</t>
  </si>
  <si>
    <t>0040002131</t>
  </si>
  <si>
    <t>DFIB LUMAX 340 HF-T</t>
  </si>
  <si>
    <t>0040002156</t>
  </si>
  <si>
    <t>DFIB LUMAX 340 DR-T</t>
  </si>
  <si>
    <t>0040002206</t>
  </si>
  <si>
    <t>DEFIB MAXIMO II D284TRK</t>
  </si>
  <si>
    <t>DFI B MAXIMO II</t>
  </si>
  <si>
    <t>0040002222</t>
  </si>
  <si>
    <t>DFIB PROMOTE RF 3207-36</t>
  </si>
  <si>
    <t>DFIB PROMOTE RF</t>
  </si>
  <si>
    <t>0040002248</t>
  </si>
  <si>
    <t>DFIB RENEWAL 3 CONTK HE</t>
  </si>
  <si>
    <t>DFIB RENEWAL 3</t>
  </si>
  <si>
    <t>0040002321</t>
  </si>
  <si>
    <t>DFIB RENEWL 3 RF HE H219</t>
  </si>
  <si>
    <t>DFIB RENEW 3 RF</t>
  </si>
  <si>
    <t>0040002339</t>
  </si>
  <si>
    <t>DFB RESONATE X4 CRT-D G447</t>
  </si>
  <si>
    <t>DFB RESONATE</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</si>
  <si>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</si>
  <si>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</si>
  <si>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</si>
  <si>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</si>
  <si>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</si>
  <si>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</si>
  <si>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</si>
  <si>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</si>
  <si>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</si>
  <si>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</si>
  <si>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</si>
  <si>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</si>
  <si>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</si>
  <si>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0040002396</t>
  </si>
  <si>
    <t>DFB CBLT VR MRI IS1DF1 DVPB3D1</t>
  </si>
  <si>
    <t>COBALT VR MRI I</t>
  </si>
  <si>
    <t>0040002404</t>
  </si>
  <si>
    <t>DFB CBLT VR MRI IS1DF4 DVPB3D4</t>
  </si>
  <si>
    <t>0040002446</t>
  </si>
  <si>
    <t>DFB CRME HF CRTD MRIQD DTPC2D4</t>
  </si>
  <si>
    <t>CROME HF CRTD M</t>
  </si>
  <si>
    <t>0040002461</t>
  </si>
  <si>
    <t>DFB CRM HF CRTD MRI QD DTPC2QQ</t>
  </si>
  <si>
    <t>0040002479</t>
  </si>
  <si>
    <t>DFB CRME DR MRI IS1DF4 DDPC3D4</t>
  </si>
  <si>
    <t>CROME DR MRI IS</t>
  </si>
  <si>
    <t>0040002909</t>
  </si>
  <si>
    <t>DFIB GALLANT SC VR CDVRA500Q</t>
  </si>
  <si>
    <t>DFB GALLANT SGL</t>
  </si>
  <si>
    <t>0040002917</t>
  </si>
  <si>
    <t>DFB GALLNT DC ICD DR CDDRA500Q</t>
  </si>
  <si>
    <t>DFB GALLANT DC</t>
  </si>
  <si>
    <t>0040002925</t>
  </si>
  <si>
    <t>DFB GALLANT CRT-D HF CDHFA500Q</t>
  </si>
  <si>
    <t>DFB GALLANT CRT</t>
  </si>
  <si>
    <t>0040002958</t>
  </si>
  <si>
    <t>DFIB SC ATLAS II VR V168</t>
  </si>
  <si>
    <t>DFIB SC ATLASII</t>
  </si>
  <si>
    <t>0040003022</t>
  </si>
  <si>
    <t>DFIB SC ALTO</t>
  </si>
  <si>
    <t>0040003329</t>
  </si>
  <si>
    <t>DFIB SC MAXIMO VR7232CX</t>
  </si>
  <si>
    <t>DFIB SC MAXIMO</t>
  </si>
  <si>
    <t>0040003519</t>
  </si>
  <si>
    <t>DFIB SC VIRTUOSO D154VW</t>
  </si>
  <si>
    <t>DFIB SC VIRTUOS</t>
  </si>
  <si>
    <t>0040003527</t>
  </si>
  <si>
    <t>DFIB SECURA DR D224DRG</t>
  </si>
  <si>
    <t>DFIB SECURA DR</t>
  </si>
  <si>
    <t>0040003535</t>
  </si>
  <si>
    <t>DFIB SECURA VR D224VRC</t>
  </si>
  <si>
    <t>DFIB SECURA VR</t>
  </si>
  <si>
    <t>0040003550</t>
  </si>
  <si>
    <t>DFIB TELIGEN VR HE E102</t>
  </si>
  <si>
    <t>DFIB TELIGEN VR</t>
  </si>
  <si>
    <t>0040003568</t>
  </si>
  <si>
    <t>DFIB TELIGEN DR HE E110</t>
  </si>
  <si>
    <t>DFIB TELIGEN DR</t>
  </si>
  <si>
    <t>0040003584</t>
  </si>
  <si>
    <t>DFIB UNIFY CRT-D DF1/IS1</t>
  </si>
  <si>
    <t>DFIB UNIFY</t>
  </si>
  <si>
    <t>0040003592</t>
  </si>
  <si>
    <t>DFB UNIFY QUADRA CRT-D</t>
  </si>
  <si>
    <t>0040003626</t>
  </si>
  <si>
    <t>IMP POCKET ADPTR SPINAL</t>
  </si>
  <si>
    <t>IMP PCKET ADPTR</t>
  </si>
  <si>
    <t>0040003634</t>
  </si>
  <si>
    <t>IMP MONITOR CARD CONFIRM RX</t>
  </si>
  <si>
    <t>IMP MONITOR CON</t>
  </si>
  <si>
    <t>0040003642</t>
  </si>
  <si>
    <t>IMP RCRD CRD REVEAL LINQ</t>
  </si>
  <si>
    <t>IMP REVEAL LINQ</t>
  </si>
  <si>
    <t>0040003667</t>
  </si>
  <si>
    <t>LD ATTAIN UNIPLR 4195</t>
  </si>
  <si>
    <t>LD ATTAIN UNIPL</t>
  </si>
  <si>
    <t>0040003675</t>
  </si>
  <si>
    <t>LD ATTAIN ABILITY 4196</t>
  </si>
  <si>
    <t>LD ATTAIN 4196</t>
  </si>
  <si>
    <t>0040003683</t>
  </si>
  <si>
    <t>LD ATTAIN PERFORMA 4298</t>
  </si>
  <si>
    <t>LD ATTAIN PERFR</t>
  </si>
  <si>
    <t>0040003691</t>
  </si>
  <si>
    <t>LD COROX OTW 354807</t>
  </si>
  <si>
    <t>LD COROX OTW</t>
  </si>
  <si>
    <t>0040003717</t>
  </si>
  <si>
    <t>LD COROX OTW 354805</t>
  </si>
  <si>
    <t>0040003733</t>
  </si>
  <si>
    <t>LD COROX OTW 355149</t>
  </si>
  <si>
    <t>0040003741</t>
  </si>
  <si>
    <t>LD COROX OTW L85 368346</t>
  </si>
  <si>
    <t>0040003766</t>
  </si>
  <si>
    <t>LD ATTAIN STABILITY QUAD 4798</t>
  </si>
  <si>
    <t>LD ATTAIN STABI</t>
  </si>
  <si>
    <t>0040003790</t>
  </si>
  <si>
    <t>LD DFIB ACUITY 4554</t>
  </si>
  <si>
    <t>LD DFIB ACUITY</t>
  </si>
  <si>
    <t>0040003808</t>
  </si>
  <si>
    <t>LD DFIB ACUITY 4555</t>
  </si>
  <si>
    <t>0040003816</t>
  </si>
  <si>
    <t>LD DFIB ACUITY 4592</t>
  </si>
  <si>
    <t>0040003832</t>
  </si>
  <si>
    <t>LD DFIB LINOX SD 363303</t>
  </si>
  <si>
    <t>LD LINOX SD</t>
  </si>
  <si>
    <t>0040003857</t>
  </si>
  <si>
    <t>LD DFIB LINOX TD 351337</t>
  </si>
  <si>
    <t>LD LINOX TD</t>
  </si>
  <si>
    <t>0040003865</t>
  </si>
  <si>
    <t>LD DFIB DURATA 7120</t>
  </si>
  <si>
    <t>LD DFIB DURATA</t>
  </si>
  <si>
    <t>0040003873</t>
  </si>
  <si>
    <t>LD DFIB DURATA 7121</t>
  </si>
  <si>
    <t>0040003931</t>
  </si>
  <si>
    <t>LD DFIB QUICKFLEX 1158T</t>
  </si>
  <si>
    <t>LD QUICKFLEX</t>
  </si>
  <si>
    <t>0040003949</t>
  </si>
  <si>
    <t>LD DFIB QUICKFLEX 1156T</t>
  </si>
  <si>
    <t>0040003980</t>
  </si>
  <si>
    <t>LD PM CAPSURE SENSE 4574</t>
  </si>
  <si>
    <t>LD PM CAPSR SEN</t>
  </si>
  <si>
    <t>0040004004</t>
  </si>
  <si>
    <t>LD PM DEXTRUS 4136</t>
  </si>
  <si>
    <t>LD PM DEXTRUS</t>
  </si>
  <si>
    <t>0040004012</t>
  </si>
  <si>
    <t>LD PM DEXTRUS 4137</t>
  </si>
  <si>
    <t>0040004020</t>
  </si>
  <si>
    <t>LD PM DEXTRUS 4135</t>
  </si>
  <si>
    <t>0040004046</t>
  </si>
  <si>
    <t>LD PM ELAFIXP2P744</t>
  </si>
  <si>
    <t>LD PM ELAFIX</t>
  </si>
  <si>
    <t>0040004053</t>
  </si>
  <si>
    <t>LD PM ELAFIXP2P752</t>
  </si>
  <si>
    <t>0040004061</t>
  </si>
  <si>
    <t>LD PM ELAFIX P2P758</t>
  </si>
  <si>
    <t>0040004095</t>
  </si>
  <si>
    <t>LD PM ELA PASS P752</t>
  </si>
  <si>
    <t>LD PM ELA PASS</t>
  </si>
  <si>
    <t>0040004129</t>
  </si>
  <si>
    <t>LD PM MYOPORE EPI 511211</t>
  </si>
  <si>
    <t>LD PM MYOPORE</t>
  </si>
  <si>
    <t>0040004137</t>
  </si>
  <si>
    <t>LD PM MYOPORE EPI 511212</t>
  </si>
  <si>
    <t>0040004160</t>
  </si>
  <si>
    <t>LD PLEXA PROMRI S DX 436909</t>
  </si>
  <si>
    <t>LD PLEXA PROMRI</t>
  </si>
  <si>
    <t>0040004178</t>
  </si>
  <si>
    <t>LD PLEXA PROMRI S DX 436910</t>
  </si>
  <si>
    <t>0040004186</t>
  </si>
  <si>
    <t>LD PM SETROX S 350973</t>
  </si>
  <si>
    <t>LD PM SETROX S</t>
  </si>
  <si>
    <t>0040004244</t>
  </si>
  <si>
    <t>PM ALTRUA DDDR S603</t>
  </si>
  <si>
    <t>PM ALTRUA DDDR</t>
  </si>
  <si>
    <t>0040004269</t>
  </si>
  <si>
    <t>PM ADVANTIO DR K063</t>
  </si>
  <si>
    <t>PM ADVANTIO DR</t>
  </si>
  <si>
    <t>0040004277</t>
  </si>
  <si>
    <t>PM ADVANTIO SR K062</t>
  </si>
  <si>
    <t>PM ADVANTIO SR</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</si>
  <si>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</si>
  <si>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</si>
  <si>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</si>
  <si>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</si>
  <si>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</si>
  <si>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</si>
  <si>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</si>
  <si>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</si>
  <si>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</si>
  <si>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</si>
  <si>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</si>
  <si>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</si>
  <si>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</si>
  <si>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</si>
  <si>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</si>
  <si>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</si>
  <si>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</si>
  <si>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</si>
  <si>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</si>
  <si>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0040004368</t>
  </si>
  <si>
    <t>PM AZURE S DR MR W3DR01</t>
  </si>
  <si>
    <t>PM AZURE</t>
  </si>
  <si>
    <t>0040004483</t>
  </si>
  <si>
    <t>PM CONSULTA CRT-P C4TR01</t>
  </si>
  <si>
    <t>PM CONSULTA</t>
  </si>
  <si>
    <t>0040004491</t>
  </si>
  <si>
    <t>PM CONTAK RENEWAL H120</t>
  </si>
  <si>
    <t>PACEMAKER CONTK</t>
  </si>
  <si>
    <t>0040004525</t>
  </si>
  <si>
    <t>PM DC ACCENT DR PM2210</t>
  </si>
  <si>
    <t>PM DC ACCENT</t>
  </si>
  <si>
    <t>0040004574</t>
  </si>
  <si>
    <t>PM DC ALTRUA 60 S606</t>
  </si>
  <si>
    <t>PM DC ALTRUA 60</t>
  </si>
  <si>
    <t>0040004582</t>
  </si>
  <si>
    <t>PM ALLURE QUADRA 3242</t>
  </si>
  <si>
    <t>PM ALLURE QUAD</t>
  </si>
  <si>
    <t>0040004756</t>
  </si>
  <si>
    <t>PM DC ENPULSE 2 SML</t>
  </si>
  <si>
    <t>PACEMAKER DC RR</t>
  </si>
  <si>
    <t>0040004764</t>
  </si>
  <si>
    <t>PM DC EVIA DR-T 359529</t>
  </si>
  <si>
    <t>PM EVIA DR-T</t>
  </si>
  <si>
    <t>0040004772</t>
  </si>
  <si>
    <t>PM DC EVIA DR CLS 359524</t>
  </si>
  <si>
    <t>PM EVIA DR</t>
  </si>
  <si>
    <t>0040004780</t>
  </si>
  <si>
    <t>PM DC ESTELLA DRT 371207</t>
  </si>
  <si>
    <t>PM ESTELLA</t>
  </si>
  <si>
    <t>0040004921</t>
  </si>
  <si>
    <t>PM DC RR ADAPTA ADDRL101</t>
  </si>
  <si>
    <t>PM DC RR$</t>
  </si>
  <si>
    <t>0040004939</t>
  </si>
  <si>
    <t>PM DC RR ADAPTA ADDRS1</t>
  </si>
  <si>
    <t>0040004947</t>
  </si>
  <si>
    <t>PM DC RR ADAPTA ADDR01</t>
  </si>
  <si>
    <t>0040004954</t>
  </si>
  <si>
    <t>PM DC RR ADAPTA 0101ID</t>
  </si>
  <si>
    <t>0040004988</t>
  </si>
  <si>
    <t>PM DC RR SENSIA SEDR01</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</si>
  <si>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</si>
  <si>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</si>
  <si>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</si>
  <si>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</si>
  <si>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</si>
  <si>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</si>
  <si>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</si>
  <si>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</si>
  <si>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</si>
  <si>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</si>
  <si>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</si>
  <si>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</si>
  <si>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0040005316</t>
  </si>
  <si>
    <t>PM DC RR IDENTITY ADX</t>
  </si>
  <si>
    <t>0040005332</t>
  </si>
  <si>
    <t>PM DC RR INSIGN ULTR DR</t>
  </si>
  <si>
    <t>0040005340</t>
  </si>
  <si>
    <t>PM DC RR INSIGNA ULTRA</t>
  </si>
  <si>
    <t>0040005365</t>
  </si>
  <si>
    <t>PM DC RR INSIGNA PLUS</t>
  </si>
  <si>
    <t>0040005407</t>
  </si>
  <si>
    <t>PM DC RR INTEGRTY AFDR</t>
  </si>
  <si>
    <t>0040005498</t>
  </si>
  <si>
    <t>PM DC SR MRI ATTESTA ATSR01</t>
  </si>
  <si>
    <t>PM DC SR MRI</t>
  </si>
  <si>
    <t>0040005878</t>
  </si>
  <si>
    <t>PM DC RR PHILOS II DR</t>
  </si>
  <si>
    <t>0040006009</t>
  </si>
  <si>
    <t>PM DC RR SYMPHONY</t>
  </si>
  <si>
    <t>0040006215</t>
  </si>
  <si>
    <t>PM DC RR VERSA VEDR01ID</t>
  </si>
  <si>
    <t>0040006223</t>
  </si>
  <si>
    <t>PM DC RR VICTORY DR</t>
  </si>
  <si>
    <t>0040006249</t>
  </si>
  <si>
    <t>PM DC RR VICTORY XLDR</t>
  </si>
  <si>
    <t>0040006405</t>
  </si>
  <si>
    <t>PM DC VERITY MS DR</t>
  </si>
  <si>
    <t>0040006413</t>
  </si>
  <si>
    <t>PM DC RR ZEPHYR 5826</t>
  </si>
  <si>
    <t>PM DC RR ZEPHYR</t>
  </si>
  <si>
    <t>0040006421</t>
  </si>
  <si>
    <t>PM DC RR ZEPHYR 5820</t>
  </si>
  <si>
    <t>0040006439</t>
  </si>
  <si>
    <t>PM DR REPLY ICV1011</t>
  </si>
  <si>
    <t>PM DR REPLY</t>
  </si>
  <si>
    <t>0040006983</t>
  </si>
  <si>
    <t>PM INGENIO SR IS-1 K172</t>
  </si>
  <si>
    <t>PM INGENIO SR</t>
  </si>
  <si>
    <t>0040006991</t>
  </si>
  <si>
    <t>PM INGENIO DR IS-1 K173</t>
  </si>
  <si>
    <t>PM INGENIO DR</t>
  </si>
  <si>
    <t>0040007007</t>
  </si>
  <si>
    <t>PM INSYNC III 8042</t>
  </si>
  <si>
    <t>PACEMAKER INSNC</t>
  </si>
  <si>
    <t>0040007023</t>
  </si>
  <si>
    <t>PM INVIVE CRT-P IS1 V173</t>
  </si>
  <si>
    <t>PM INVIVE</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</si>
  <si>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</si>
  <si>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</si>
  <si>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</si>
  <si>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</si>
  <si>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</si>
  <si>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</si>
  <si>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</si>
  <si>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</si>
  <si>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</si>
  <si>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</si>
  <si>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</si>
  <si>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</si>
  <si>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0040010472</t>
  </si>
  <si>
    <t>PM SC RR ADAPTA SR01ID</t>
  </si>
  <si>
    <t>PACEMAKER SC RR</t>
  </si>
  <si>
    <t>0040010480</t>
  </si>
  <si>
    <t>PM SC RR ADAPTA SR03</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</si>
  <si>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</si>
  <si>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</si>
  <si>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</si>
  <si>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</si>
  <si>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</si>
  <si>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</si>
  <si>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</si>
  <si>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</si>
  <si>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</si>
  <si>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</si>
  <si>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</si>
  <si>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</si>
  <si>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0040011470</t>
  </si>
  <si>
    <t>PM SC RR PROTOS VR</t>
  </si>
  <si>
    <t>0040011652</t>
  </si>
  <si>
    <t>PM SC RR SENSIA SESR01</t>
  </si>
  <si>
    <t>0040011975</t>
  </si>
  <si>
    <t>PM SC RR VERITY ADX MS</t>
  </si>
  <si>
    <t>0040011991</t>
  </si>
  <si>
    <t>PM SC RR VICTORY</t>
  </si>
  <si>
    <t>0040012015</t>
  </si>
  <si>
    <t>PM SC RR ZEPHYR SR 5620</t>
  </si>
  <si>
    <t>PM SC RR ZPHYR$</t>
  </si>
  <si>
    <t>0040012031</t>
  </si>
  <si>
    <t>PM SC ACCENT SR PM1210</t>
  </si>
  <si>
    <t>PM SC ACCENT</t>
  </si>
  <si>
    <t>0040012205</t>
  </si>
  <si>
    <t>PM SC SYMPHONY</t>
  </si>
  <si>
    <t>0040012353</t>
  </si>
  <si>
    <t>PM SR REPLY ICV1017</t>
  </si>
  <si>
    <t>PM SR REPLY</t>
  </si>
  <si>
    <t>0040012494</t>
  </si>
  <si>
    <t>PM VALITUDE X4 CRTP U125</t>
  </si>
  <si>
    <t>PM VALITUDE</t>
  </si>
  <si>
    <t>0040012502</t>
  </si>
  <si>
    <t>PM VALITUDE X4 CRTP U128</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</si>
  <si>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</si>
  <si>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</si>
  <si>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</si>
  <si>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</si>
  <si>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</si>
  <si>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</si>
  <si>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</si>
  <si>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</si>
  <si>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</si>
  <si>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</si>
  <si>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</si>
  <si>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</si>
  <si>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</si>
  <si>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</si>
  <si>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</si>
  <si>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</si>
  <si>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0040041139</t>
  </si>
  <si>
    <t>PM ALTRUA SSIR SC S601</t>
  </si>
  <si>
    <t>PM ALTRUA SSIR</t>
  </si>
  <si>
    <t>0040041147</t>
  </si>
  <si>
    <t>PM ALLURE RF PM3222</t>
  </si>
  <si>
    <t>PM ALLURE RF</t>
  </si>
  <si>
    <t>0040041204</t>
  </si>
  <si>
    <t>PM ANTHEM RF DC PM3210</t>
  </si>
  <si>
    <t>PM ANTHEM RF</t>
  </si>
  <si>
    <t>0040041253</t>
  </si>
  <si>
    <t>PM DC ACCENT DR PM2110</t>
  </si>
  <si>
    <t>PM ACCENT DR</t>
  </si>
  <si>
    <t>0040041279</t>
  </si>
  <si>
    <t>PM EVIA SR-T CLS/HM MOB</t>
  </si>
  <si>
    <t>0040041287</t>
  </si>
  <si>
    <t>PM EVIA HFT LNDLN 377208</t>
  </si>
  <si>
    <t>PM EVIA HF-T</t>
  </si>
  <si>
    <t>0040041311</t>
  </si>
  <si>
    <t>PM ENTOVIS PROMRI 371992</t>
  </si>
  <si>
    <t>PM ENTOVIS</t>
  </si>
  <si>
    <t>0040041329</t>
  </si>
  <si>
    <t>PM ENTOVIS PROMRI 371994</t>
  </si>
  <si>
    <t>0040041352</t>
  </si>
  <si>
    <t>PM ENTOVIS PROMRI 404655</t>
  </si>
  <si>
    <t>0040041378</t>
  </si>
  <si>
    <t>PM EDORA PROMRI 407157</t>
  </si>
  <si>
    <t>PM EDORA SR-T</t>
  </si>
  <si>
    <t>0040041394</t>
  </si>
  <si>
    <t>PM ELUNA PROMRI 394969</t>
  </si>
  <si>
    <t>PM ELUNA DR-T</t>
  </si>
  <si>
    <t>0040041402</t>
  </si>
  <si>
    <t>PM ELUNA PROMRI 394971</t>
  </si>
  <si>
    <t>PM ELUNA SR-T</t>
  </si>
  <si>
    <t>0040041410</t>
  </si>
  <si>
    <t>PM ETRINSA HF-T 394919</t>
  </si>
  <si>
    <t>PM ETRINSA</t>
  </si>
  <si>
    <t>0040041428</t>
  </si>
  <si>
    <t>PM ETRINSA SR-T 394936</t>
  </si>
  <si>
    <t>0040041436</t>
  </si>
  <si>
    <t>PM ETRINSA DR-T 394931</t>
  </si>
  <si>
    <t>0040041444</t>
  </si>
  <si>
    <t>PM EDORA PROMRI 407145</t>
  </si>
  <si>
    <t>PM EDORA DR-T</t>
  </si>
  <si>
    <t>0040041451</t>
  </si>
  <si>
    <t>PM EDORA HF-T QP 407137</t>
  </si>
  <si>
    <t>PM EDORA PROMRI</t>
  </si>
  <si>
    <t>0040041469</t>
  </si>
  <si>
    <t>PM EDORA 8 HF-T 407138</t>
  </si>
  <si>
    <t>PM EDORA 8 HF-T</t>
  </si>
  <si>
    <t>0040041808</t>
  </si>
  <si>
    <t>PM QUADRA ALLURE MP 3262</t>
  </si>
  <si>
    <t>PM QUADRA ALLUR</t>
  </si>
  <si>
    <t>0040041816</t>
  </si>
  <si>
    <t>PM QUADRA ALLUR MP CRTP PM3562</t>
  </si>
  <si>
    <t>0040041832</t>
  </si>
  <si>
    <t>PM PERCEPTA QUAD MRI W4TR01</t>
  </si>
  <si>
    <t>PM PERCEPTA</t>
  </si>
  <si>
    <t>0040041840</t>
  </si>
  <si>
    <t>PM PERCEPTA MRI CRTP W1TR01</t>
  </si>
  <si>
    <t>0040041873</t>
  </si>
  <si>
    <t>PM REPLY DR ICV1258</t>
  </si>
  <si>
    <t>PM REPLY DR</t>
  </si>
  <si>
    <t>0040041881</t>
  </si>
  <si>
    <t>PM REPLY SR V3 TPM002U</t>
  </si>
  <si>
    <t>PM REPLY SR</t>
  </si>
  <si>
    <t>0040041907</t>
  </si>
  <si>
    <t>PM STRATOS LV 338200</t>
  </si>
  <si>
    <t>PM STRATOS LV</t>
  </si>
  <si>
    <t>0040041931</t>
  </si>
  <si>
    <t>PM SYNCRA CRT-P C2TR01</t>
  </si>
  <si>
    <t>PM SYNCRA CRT-P</t>
  </si>
  <si>
    <t>0040041964</t>
  </si>
  <si>
    <t>PM SOLARA MRI CRTP W1TR03</t>
  </si>
  <si>
    <t>PM SOLARA</t>
  </si>
  <si>
    <t>0040041980</t>
  </si>
  <si>
    <t>PM VISIONIST X4 CRT-P U228</t>
  </si>
  <si>
    <t>PM VISIONIST</t>
  </si>
  <si>
    <t>0040042004</t>
  </si>
  <si>
    <t>PM VIVA CRT-P C6TR01</t>
  </si>
  <si>
    <t>PM VIVA</t>
  </si>
  <si>
    <t>0040042012</t>
  </si>
  <si>
    <t>PM VISIONIST LV-1 CRT-P U225</t>
  </si>
  <si>
    <t>0040050015</t>
  </si>
  <si>
    <t>SYS TRANSCATH PACE MICRA</t>
  </si>
  <si>
    <t>SYS MICRA</t>
  </si>
  <si>
    <t>0040050023</t>
  </si>
  <si>
    <t>SYS TRANSCATH PACE MICRA AV</t>
  </si>
  <si>
    <t>SYS TRANSCATH M</t>
  </si>
  <si>
    <t>0040055345</t>
  </si>
  <si>
    <t>EPIFIX PER SQ CM</t>
  </si>
  <si>
    <t>EPIFIX SQ CM</t>
  </si>
  <si>
    <t>0040082802</t>
  </si>
  <si>
    <t>DFIB COBALT XT DR ICD DDPA2D1</t>
  </si>
  <si>
    <t>DFIB COBALT XT</t>
  </si>
  <si>
    <t>0040082810</t>
  </si>
  <si>
    <t>DFIB COBALT XT HF CRT DTPA2D1</t>
  </si>
  <si>
    <t>0040082828</t>
  </si>
  <si>
    <t>DFIB COBALT XT HF CRTD DTPA2D4</t>
  </si>
  <si>
    <t>0040082836</t>
  </si>
  <si>
    <t>DFB COBALT IS1 DF1 DDPA2D4</t>
  </si>
  <si>
    <t>DFB COBALT IS1</t>
  </si>
  <si>
    <t>0040082844</t>
  </si>
  <si>
    <t>DFB COBALT CRTD DTPA2QQ</t>
  </si>
  <si>
    <t>DFB COBALT CRTD</t>
  </si>
  <si>
    <t>0040082851</t>
  </si>
  <si>
    <t>DFB COBALT IS1 DF1 DDPB3D1</t>
  </si>
  <si>
    <t>0040082869</t>
  </si>
  <si>
    <t>DFB COBALT CRTD DTPB2D4</t>
  </si>
  <si>
    <t>0040082877</t>
  </si>
  <si>
    <t>DFIB COBALT HF MRI DTPB2D1</t>
  </si>
  <si>
    <t>DFIB COBALT HF</t>
  </si>
  <si>
    <t>0040082885</t>
  </si>
  <si>
    <t>DFB COBALT CRTD DTPB2QQ</t>
  </si>
  <si>
    <t>0040082893</t>
  </si>
  <si>
    <t>DFB COBALT CRTD DTPB2Q1</t>
  </si>
  <si>
    <t>0040082901</t>
  </si>
  <si>
    <t>DFB COBALT DR MRI DDPB3D4</t>
  </si>
  <si>
    <t>DFB COBALT DR M</t>
  </si>
  <si>
    <t>0040082919</t>
  </si>
  <si>
    <t>DFB DYNAGEN EL DR D153</t>
  </si>
  <si>
    <t>DFB DYNAGEN</t>
  </si>
  <si>
    <t>0040082927</t>
  </si>
  <si>
    <t>DFB DYNAGEN EL VR D151</t>
  </si>
  <si>
    <t>0040082935</t>
  </si>
  <si>
    <t>DFB DYNAGEN X4 CRTD G156</t>
  </si>
  <si>
    <t>DFIB DYNAGEN</t>
  </si>
  <si>
    <t>0040082984</t>
  </si>
  <si>
    <t>DFB DYNAGEN EL VR D150</t>
  </si>
  <si>
    <t>0040082992</t>
  </si>
  <si>
    <t>DFB DYNAGEN X4 CRTD G158</t>
  </si>
  <si>
    <t>0040083016</t>
  </si>
  <si>
    <t>DFIB CURRENT+ DR CD2211</t>
  </si>
  <si>
    <t>DFIB CURRENT</t>
  </si>
  <si>
    <t>0040083024</t>
  </si>
  <si>
    <t>DFIB CURRENT PLUS VR SJ4</t>
  </si>
  <si>
    <t>0040083081</t>
  </si>
  <si>
    <t>DFIB ENERGEN DR DF4 E142</t>
  </si>
  <si>
    <t>DFIB ENERGEN DR</t>
  </si>
  <si>
    <t>0040083099</t>
  </si>
  <si>
    <t>DFB ENERGN CRTD DF4 N140</t>
  </si>
  <si>
    <t>DEFIB ENERGEN</t>
  </si>
  <si>
    <t>0040083107</t>
  </si>
  <si>
    <t>DFB INCEPTA VR DF4 E160</t>
  </si>
  <si>
    <t>DFIB INCEPTA VR</t>
  </si>
  <si>
    <t>0040083131</t>
  </si>
  <si>
    <t>DFB INCEPTA DR DF1 E163</t>
  </si>
  <si>
    <t>DEFIB INCEPTA</t>
  </si>
  <si>
    <t>0040083172</t>
  </si>
  <si>
    <t>DFB FORTFY ASR DR DF4IS1</t>
  </si>
  <si>
    <t>DFB FORTFY ASSU</t>
  </si>
  <si>
    <t>0040083180</t>
  </si>
  <si>
    <t>DFB FORTFY AS VR 135740Q</t>
  </si>
  <si>
    <t>0040083198</t>
  </si>
  <si>
    <t>DFB FORTFY ASR DR235740Q</t>
  </si>
  <si>
    <t>0040083214</t>
  </si>
  <si>
    <t>DFIB EVERA S DR DDBC3D4</t>
  </si>
  <si>
    <t>DFIB EVERA</t>
  </si>
  <si>
    <t>0040083230</t>
  </si>
  <si>
    <t>DFIB EVERA XT VR DVBB1D4</t>
  </si>
  <si>
    <t>0040083263</t>
  </si>
  <si>
    <t>DFIB EVERA XT DR DDBB1D4</t>
  </si>
  <si>
    <t>0040083271</t>
  </si>
  <si>
    <t>DFIB EVERA XT DR DDBB1D1</t>
  </si>
  <si>
    <t>0040083289</t>
  </si>
  <si>
    <t>DFIB EVERA XT VR DVBB1D1</t>
  </si>
  <si>
    <t>0040083297</t>
  </si>
  <si>
    <t>DFIB EMBLEM S-ICD A209</t>
  </si>
  <si>
    <t>DFIB EMBLEM</t>
  </si>
  <si>
    <t>0040083305</t>
  </si>
  <si>
    <t>DFB EVERA MRI XT DDMB1D4</t>
  </si>
  <si>
    <t>DFB EVERA MRI</t>
  </si>
  <si>
    <t>0040083313</t>
  </si>
  <si>
    <t>DFB EVERA MRI XT DVMB1D4</t>
  </si>
  <si>
    <t>0040083339</t>
  </si>
  <si>
    <t>DFB EMBLEM MRI A219</t>
  </si>
  <si>
    <t>DFB EMBLEM</t>
  </si>
  <si>
    <t>0040083354</t>
  </si>
  <si>
    <t>DFB FORTFY ASR DR235740C</t>
  </si>
  <si>
    <t>0040083370</t>
  </si>
  <si>
    <t>DFB EVERA MRI XT DDMB1D1</t>
  </si>
  <si>
    <t>0040083388</t>
  </si>
  <si>
    <t>DFB ILIVIA PROMRI VR-T 404625</t>
  </si>
  <si>
    <t>DFB ILIVIA PROM</t>
  </si>
  <si>
    <t>0040083396</t>
  </si>
  <si>
    <t>DFB ILIVIA PROMRI DR-T 404623</t>
  </si>
  <si>
    <t>0040083412</t>
  </si>
  <si>
    <t>DFB IFORIA VRT DX 390090</t>
  </si>
  <si>
    <t>DFIB IFORIA</t>
  </si>
  <si>
    <t>0040083420</t>
  </si>
  <si>
    <t>DFB ILIVIA PROMRI DR-T 404622</t>
  </si>
  <si>
    <t>0040083446</t>
  </si>
  <si>
    <t>DFB ILESTO HFT HE 383549</t>
  </si>
  <si>
    <t>DFB ILESTO</t>
  </si>
  <si>
    <t>0040083453</t>
  </si>
  <si>
    <t>DFIB ILESTO DR-T 383564</t>
  </si>
  <si>
    <t>DFIB ILESTO</t>
  </si>
  <si>
    <t>0040083461</t>
  </si>
  <si>
    <t>DFB ILESTO7 VRTDX 383594</t>
  </si>
  <si>
    <t>DFIB ILESTO 7</t>
  </si>
  <si>
    <t>0040083479</t>
  </si>
  <si>
    <t>DFIB ILESTO 7 VRT 383578</t>
  </si>
  <si>
    <t>0040083487</t>
  </si>
  <si>
    <t>DFIB ILESTO 7 HFT 383547</t>
  </si>
  <si>
    <t>0040083495</t>
  </si>
  <si>
    <t>DFIB ILESTO 7 DRT 383562</t>
  </si>
  <si>
    <t>0040083503</t>
  </si>
  <si>
    <t>DFB ILESTO 7 DR-T 400447</t>
  </si>
  <si>
    <t>0040083529</t>
  </si>
  <si>
    <t>DFIB ILESTO 7 HFT 400450</t>
  </si>
  <si>
    <t>0040083545</t>
  </si>
  <si>
    <t>DFB INOGEN MINI VR D010</t>
  </si>
  <si>
    <t>DFB INOGEN MINI</t>
  </si>
  <si>
    <t>0040083578</t>
  </si>
  <si>
    <t>DFB INOGEN X4 CRTD G148</t>
  </si>
  <si>
    <t>DFIB INOGEN</t>
  </si>
  <si>
    <t>0040083594</t>
  </si>
  <si>
    <t>DFIB INOGEN EL DR D143</t>
  </si>
  <si>
    <t>DFIB INOGEN EL</t>
  </si>
  <si>
    <t>0040083602</t>
  </si>
  <si>
    <t>DFIB INOGEN EL VR D140</t>
  </si>
  <si>
    <t>0040083628</t>
  </si>
  <si>
    <t>DFIB INOGEN EL DR D142</t>
  </si>
  <si>
    <t>0040083644</t>
  </si>
  <si>
    <t>DFIB INOGEN CRT-D G140</t>
  </si>
  <si>
    <t>0040083651</t>
  </si>
  <si>
    <t>DFB ILESTO DRTDF4 405574</t>
  </si>
  <si>
    <t>0040083677</t>
  </si>
  <si>
    <t>DFB ILESTO VRTDF4 405580</t>
  </si>
  <si>
    <t>0040083693</t>
  </si>
  <si>
    <t>DFB ITREVIA DR-T 392426</t>
  </si>
  <si>
    <t>DFB ITREVIA</t>
  </si>
  <si>
    <t>0040083701</t>
  </si>
  <si>
    <t>DFB INVENTRA 7 DX 399437</t>
  </si>
  <si>
    <t>DFB INVENTRA 7</t>
  </si>
  <si>
    <t>0040083719</t>
  </si>
  <si>
    <t>DFB ITREVIA HF-T 393016</t>
  </si>
  <si>
    <t>0040083727</t>
  </si>
  <si>
    <t>DFB ITREVIA VRTDX 393037</t>
  </si>
  <si>
    <t>0040083735</t>
  </si>
  <si>
    <t>DFB ITREVIA HF-T 393014</t>
  </si>
  <si>
    <t>0040083750</t>
  </si>
  <si>
    <t>DFB ITREVIA HFTQP 401662</t>
  </si>
  <si>
    <t>0040083776</t>
  </si>
  <si>
    <t>DFB ITREVA VRTDF4 393041</t>
  </si>
  <si>
    <t>0040083792</t>
  </si>
  <si>
    <t>DFB IPERIA PROMRI 392423</t>
  </si>
  <si>
    <t>DFB IPERIA DR-T</t>
  </si>
  <si>
    <t>0040083800</t>
  </si>
  <si>
    <t>DFB INVENTR PROMR 399436</t>
  </si>
  <si>
    <t>0040083826</t>
  </si>
  <si>
    <t>DFB IPERIA DRTDF1 392409</t>
  </si>
  <si>
    <t>DFB IPERIA</t>
  </si>
  <si>
    <t>0040083834</t>
  </si>
  <si>
    <t>DFB IPERIA PROMRI 393007</t>
  </si>
  <si>
    <t>DFB IPERIA HF-T</t>
  </si>
  <si>
    <t>0040083842</t>
  </si>
  <si>
    <t>DFB IPERIA PROMRI 393009</t>
  </si>
  <si>
    <t>0040083867</t>
  </si>
  <si>
    <t>DFB ILIVIA PROMRI QP 404621</t>
  </si>
  <si>
    <t>DFB ILIVIA HF-T</t>
  </si>
  <si>
    <t>0040083875</t>
  </si>
  <si>
    <t>DFB ILIVIA PROMRI VR-T 404626</t>
  </si>
  <si>
    <t>0040083891</t>
  </si>
  <si>
    <t>DFB LUMAX 740HFT HM MNTR</t>
  </si>
  <si>
    <t>DFB LUMAX HF-T</t>
  </si>
  <si>
    <t>0040083909</t>
  </si>
  <si>
    <t>DFB LUMAX 740VRT HM MNTR</t>
  </si>
  <si>
    <t>DFB LUMAX VR-T</t>
  </si>
  <si>
    <t>0040083917</t>
  </si>
  <si>
    <t>DFB LUMAX 740DRT HM MNTR</t>
  </si>
  <si>
    <t>DFB LUMAX DR-T</t>
  </si>
  <si>
    <t>0040084022</t>
  </si>
  <si>
    <t>DFIB PARADYM CRT-D 8750</t>
  </si>
  <si>
    <t>DFIB PARADYM</t>
  </si>
  <si>
    <t>0040084030</t>
  </si>
  <si>
    <t>DFIB OVATIO CRT-D 6750</t>
  </si>
  <si>
    <t>DFIB OVATIO</t>
  </si>
  <si>
    <t>0040084048</t>
  </si>
  <si>
    <t>DFIB PROMOTE+ CRT-D 3211</t>
  </si>
  <si>
    <t>DFIB PROMOTE</t>
  </si>
  <si>
    <t>0040084055</t>
  </si>
  <si>
    <t>DFIB PROMOTE+ CRT-D SJ4</t>
  </si>
  <si>
    <t>0040084089</t>
  </si>
  <si>
    <t>DFIB PROTECTA CRT-D</t>
  </si>
  <si>
    <t>0040084097</t>
  </si>
  <si>
    <t>DFIB PARADYM DR ICD 8550</t>
  </si>
  <si>
    <t>0040084105</t>
  </si>
  <si>
    <t>DFIB PROTECTA XT CRT-D</t>
  </si>
  <si>
    <t>0040084113</t>
  </si>
  <si>
    <t>DFIB SC PROTECTA XT VR</t>
  </si>
  <si>
    <t>0040084121</t>
  </si>
  <si>
    <t>DFIB PARADYM VR 8250</t>
  </si>
  <si>
    <t>0040084147</t>
  </si>
  <si>
    <t>DFIB PROTECTA XT D314TRM</t>
  </si>
  <si>
    <t>0040084154</t>
  </si>
  <si>
    <t>DFIB PROTECTA XT DR DF4</t>
  </si>
  <si>
    <t>0040084170</t>
  </si>
  <si>
    <t>DFB QUADR ASSURA DF4/IS4</t>
  </si>
  <si>
    <t>DFB QUAD ASSURA</t>
  </si>
  <si>
    <t>0040084188</t>
  </si>
  <si>
    <t>DFB UNIFY ASSURA DF1/IS1</t>
  </si>
  <si>
    <t>DFB UNIFY ASSUR</t>
  </si>
  <si>
    <t>0040084220</t>
  </si>
  <si>
    <t>DFB UNIFY ASSURA DF4/DF4</t>
  </si>
  <si>
    <t>0040084238</t>
  </si>
  <si>
    <t>DFB UNIFY ASSUR 3357-40Q</t>
  </si>
  <si>
    <t>0040084246</t>
  </si>
  <si>
    <t>DFB ELLIPSE VR CD141136Q</t>
  </si>
  <si>
    <t>0040084253</t>
  </si>
  <si>
    <t>DFB ELLIPSE VR CD141136C</t>
  </si>
  <si>
    <t>0040084279</t>
  </si>
  <si>
    <t>DFB ELLIPSE DR CD231136Q</t>
  </si>
  <si>
    <t>DEFIB ELLIPSE</t>
  </si>
  <si>
    <t>0040084295</t>
  </si>
  <si>
    <t>DFIB ENERGEN DR DF1 E143</t>
  </si>
  <si>
    <t>DFIB ENERGEN</t>
  </si>
  <si>
    <t>0040084311</t>
  </si>
  <si>
    <t>DFB ENERGN CRTD DF1 N141</t>
  </si>
  <si>
    <t>0040084352</t>
  </si>
  <si>
    <t>DFIB PARADYM RF DR 9550</t>
  </si>
  <si>
    <t>0040084360</t>
  </si>
  <si>
    <t>DFIB PARADYM CRT-D 9750</t>
  </si>
  <si>
    <t>0040084386</t>
  </si>
  <si>
    <t>DFIB PARADYM RF VR 9250</t>
  </si>
  <si>
    <t>0040084394</t>
  </si>
  <si>
    <t>DFB QUADRA ASSUR 336540Q</t>
  </si>
  <si>
    <t>DFB QUADRA ASSU</t>
  </si>
  <si>
    <t>0040084410</t>
  </si>
  <si>
    <t>DFIB SUBCUTAN SQ-RX 1010</t>
  </si>
  <si>
    <t>DFIB SQ-RX</t>
  </si>
  <si>
    <t>0040084436</t>
  </si>
  <si>
    <t>DFB QUADRA ASSR 336940C</t>
  </si>
  <si>
    <t>0040084444</t>
  </si>
  <si>
    <t>DFB PLATINIUM VR 1210</t>
  </si>
  <si>
    <t>DFB PLATINIUM</t>
  </si>
  <si>
    <t>0040084451</t>
  </si>
  <si>
    <t>DFB PLATINIUM VR 1240</t>
  </si>
  <si>
    <t>0040084469</t>
  </si>
  <si>
    <t>DFB PLATINIUM DR 1510</t>
  </si>
  <si>
    <t>0040084477</t>
  </si>
  <si>
    <t>DFB PLATINIUM CRT-D 171</t>
  </si>
  <si>
    <t>0040084485</t>
  </si>
  <si>
    <t>DFB PLATINIUM DR 1540</t>
  </si>
  <si>
    <t>0040084501</t>
  </si>
  <si>
    <t>DFB PERCIVA DR MINI RA D413</t>
  </si>
  <si>
    <t>DFB PERCIVA</t>
  </si>
  <si>
    <t>0040084535</t>
  </si>
  <si>
    <t>DFB CROME VR SURESCAN DVPC3D4</t>
  </si>
  <si>
    <t>DFB CROME VR SU</t>
  </si>
  <si>
    <t>0040084543</t>
  </si>
  <si>
    <t>DFB INTICA 7 HF-T 429553</t>
  </si>
  <si>
    <t>DFB INTICA 7</t>
  </si>
  <si>
    <t>0040084550</t>
  </si>
  <si>
    <t>DFB INTICA PROMRI HF-T 404627</t>
  </si>
  <si>
    <t>DFB INTICA</t>
  </si>
  <si>
    <t>0040084568</t>
  </si>
  <si>
    <t>DFB INTICA 7 HF-T 404629</t>
  </si>
  <si>
    <t>0040084576</t>
  </si>
  <si>
    <t>DFB INTICA PROMRI DX 404633</t>
  </si>
  <si>
    <t>DFB INTICA PROM</t>
  </si>
  <si>
    <t>0040084584</t>
  </si>
  <si>
    <t>DFB MOMENTUM IS-1 CRT-D G125</t>
  </si>
  <si>
    <t>DFB MOMENTUM</t>
  </si>
  <si>
    <t>0040084592</t>
  </si>
  <si>
    <t>DFB MOMENTUM CRT-D G126</t>
  </si>
  <si>
    <t>0040084600</t>
  </si>
  <si>
    <t>DFB MOMENTUM CRT-D G124</t>
  </si>
  <si>
    <t>0040084634</t>
  </si>
  <si>
    <t>DEFIB INTICA NEO 7 HF-T 429552</t>
  </si>
  <si>
    <t>DEFIB INTICA NE</t>
  </si>
  <si>
    <t>0040084659</t>
  </si>
  <si>
    <t>DFIB PLATINIUM CRT-D 1744</t>
  </si>
  <si>
    <t>DFIB PLATINIUM</t>
  </si>
  <si>
    <t>0040084691</t>
  </si>
  <si>
    <t>DFIB COBALT XT VR MRI DVPA2D4</t>
  </si>
  <si>
    <t>0040084709</t>
  </si>
  <si>
    <t>DFB INTICA NEO 7 VR-TDX 429559</t>
  </si>
  <si>
    <t>DFB INTICA NEO</t>
  </si>
  <si>
    <t>0040084790</t>
  </si>
  <si>
    <t>DFB UNIFY ASSURA 335740C</t>
  </si>
  <si>
    <t>DFIB UNIFY ASSU</t>
  </si>
  <si>
    <t>0040084808</t>
  </si>
  <si>
    <t>DFIB VIVA S CRTD DTBB1D1</t>
  </si>
  <si>
    <t>DFIB VIVA</t>
  </si>
  <si>
    <t>0040084824</t>
  </si>
  <si>
    <t>DFB VIVA XT CRTD DTBA1D1</t>
  </si>
  <si>
    <t>0040084832</t>
  </si>
  <si>
    <t>DFB VIVA XT CRTD DTBA1D4</t>
  </si>
  <si>
    <t>0040084865</t>
  </si>
  <si>
    <t>DFB VIVA QUAD XT DTBA1QQ</t>
  </si>
  <si>
    <t>0040084873</t>
  </si>
  <si>
    <t>DFB VIVA QUAD XT DTBA1Q1</t>
  </si>
  <si>
    <t>0040084881</t>
  </si>
  <si>
    <t>DFB VISIA AF MRI DVFB1D4</t>
  </si>
  <si>
    <t>DFB VISIA</t>
  </si>
  <si>
    <t>0040084899</t>
  </si>
  <si>
    <t>DFB VISIA AF VR DVAB1D1</t>
  </si>
  <si>
    <t>DFB VISIA AF</t>
  </si>
  <si>
    <t>0040084907</t>
  </si>
  <si>
    <t>ELCTRD SUBCUTANEOUS 3401</t>
  </si>
  <si>
    <t>ELCTRD EMBLEM</t>
  </si>
  <si>
    <t>0040084915</t>
  </si>
  <si>
    <t>DFB VISIA AF MRI DVFB1D1</t>
  </si>
  <si>
    <t>0040084923</t>
  </si>
  <si>
    <t>DFB CLARIA MRI DTMA1Q1</t>
  </si>
  <si>
    <t>DFB CLARIA MRI</t>
  </si>
  <si>
    <t>0040084931</t>
  </si>
  <si>
    <t>DFB CLARIA MRI DTMA1QQ</t>
  </si>
  <si>
    <t>0040084949</t>
  </si>
  <si>
    <t>DFB CLARIA MRI DTMA1D4</t>
  </si>
  <si>
    <t>0040084956</t>
  </si>
  <si>
    <t>DFB CLARIA MRI DTMA1D1</t>
  </si>
  <si>
    <t>0040085060</t>
  </si>
  <si>
    <t>IMP MONITR CARD BIOMNTR2</t>
  </si>
  <si>
    <t>BIOMONITOR 2-AF</t>
  </si>
  <si>
    <t>0040085094</t>
  </si>
  <si>
    <t>IMP GEN NSTIM SENZA HF/HFX</t>
  </si>
  <si>
    <t>IMP NSTIM SENZA</t>
  </si>
  <si>
    <t>0040085201</t>
  </si>
  <si>
    <t>DFB QUAD ASSUR CD336940Q</t>
  </si>
  <si>
    <t>DFB ASSURA MP</t>
  </si>
  <si>
    <t>0040085250</t>
  </si>
  <si>
    <t>IMP MONITR CARD BIOMNTR3</t>
  </si>
  <si>
    <t>IMP BIOMONITOR3</t>
  </si>
  <si>
    <t>0040085300</t>
  </si>
  <si>
    <t>IMP MONITR CARD INS LUXDX M301</t>
  </si>
  <si>
    <t>IMP MONITR CARD</t>
  </si>
  <si>
    <t>0040085318</t>
  </si>
  <si>
    <t>IMP MONTR CRD BIOMNTR3M 450218</t>
  </si>
  <si>
    <t>IMP MONTR CRD B</t>
  </si>
  <si>
    <t>0040085565</t>
  </si>
  <si>
    <t>KT LD PERC SENZA 1058</t>
  </si>
  <si>
    <t>KT LEAD SENZA</t>
  </si>
  <si>
    <t>0040085615</t>
  </si>
  <si>
    <t>KT LD MRI 1X8 COMP 977A2</t>
  </si>
  <si>
    <t>KT VECTRS SRSCN</t>
  </si>
  <si>
    <t>0040085623</t>
  </si>
  <si>
    <t>KT LD 1X8 COMP 977D260</t>
  </si>
  <si>
    <t>LT LD VECTRIS</t>
  </si>
  <si>
    <t>0040085631</t>
  </si>
  <si>
    <t>KT LD PADDLE 32 SC-8336</t>
  </si>
  <si>
    <t>KI LD COVEREDGE</t>
  </si>
  <si>
    <t>0040085649</t>
  </si>
  <si>
    <t>LD ACUITY X4 SPRL S 4674</t>
  </si>
  <si>
    <t>LD ACUITY X4</t>
  </si>
  <si>
    <t>0040085656</t>
  </si>
  <si>
    <t>LD ATTAIN ABLTY PLS 4296</t>
  </si>
  <si>
    <t>LD ATTAIN ABLTY</t>
  </si>
  <si>
    <t>0040085664</t>
  </si>
  <si>
    <t>LD ATTAIN ABLTY STR 4396</t>
  </si>
  <si>
    <t>0040085672</t>
  </si>
  <si>
    <t>LD ATTAIN PERFORMA 4398</t>
  </si>
  <si>
    <t>0040085680</t>
  </si>
  <si>
    <t>LD ATTAIN PERFORMA 4598</t>
  </si>
  <si>
    <t>0040085698</t>
  </si>
  <si>
    <t>LD ACUITY X4 SPRL L 4677</t>
  </si>
  <si>
    <t>0040085722</t>
  </si>
  <si>
    <t>LD ACUITYX4 QUAD LV 4671</t>
  </si>
  <si>
    <t>0040085789</t>
  </si>
  <si>
    <t>LD DFB SPRINT SECR 6935M</t>
  </si>
  <si>
    <t>LD DFB SPRINT</t>
  </si>
  <si>
    <t>0040085805</t>
  </si>
  <si>
    <t>KT LD NSTIM OCTRODE 60CM</t>
  </si>
  <si>
    <t>KT LD NSTIM</t>
  </si>
  <si>
    <t>0040085862</t>
  </si>
  <si>
    <t>LD CELERITY PILOT 382972</t>
  </si>
  <si>
    <t>LD CELERITY</t>
  </si>
  <si>
    <t>0040085904</t>
  </si>
  <si>
    <t>LD DFIB DURATA 7120Q SJ4</t>
  </si>
  <si>
    <t>0040085912</t>
  </si>
  <si>
    <t>LD DFIB DURATA 7122Q SJ4</t>
  </si>
  <si>
    <t>0040085920</t>
  </si>
  <si>
    <t>LD DFIB DURATA 7121Q SJ4</t>
  </si>
  <si>
    <t>0040085938</t>
  </si>
  <si>
    <t>KT LD PADDLE 32-8352</t>
  </si>
  <si>
    <t>KT LD COVEREDGE</t>
  </si>
  <si>
    <t>0040085961</t>
  </si>
  <si>
    <t>LD DFIB LINOX SD 359066</t>
  </si>
  <si>
    <t>LD LINOX SMART</t>
  </si>
  <si>
    <t>0040085987</t>
  </si>
  <si>
    <t>LD DFIB LINOX SD 359065</t>
  </si>
  <si>
    <t>0040085995</t>
  </si>
  <si>
    <t>LD DFIB QUICKFLEX 1258T</t>
  </si>
  <si>
    <t>0040086019</t>
  </si>
  <si>
    <t>LD DFIB SPRINT 6935</t>
  </si>
  <si>
    <t>LD DFIB SPRINT</t>
  </si>
  <si>
    <t>0040086043</t>
  </si>
  <si>
    <t>LD DEFIB LINOX SD 359067</t>
  </si>
  <si>
    <t>0040086050</t>
  </si>
  <si>
    <t>LD DEFB LINOX S65 369818</t>
  </si>
  <si>
    <t>0040086076</t>
  </si>
  <si>
    <t>LD DFIB LINOX TD 359074</t>
  </si>
  <si>
    <t>0040086126</t>
  </si>
  <si>
    <t>LD DEFB LINOX SDX 365500</t>
  </si>
  <si>
    <t>0040086134</t>
  </si>
  <si>
    <t>LD DFB RELIANC 4STE 0285</t>
  </si>
  <si>
    <t>LD DFIB RELIANC</t>
  </si>
  <si>
    <t>0040086142</t>
  </si>
  <si>
    <t>LD DFB RELIANC 4STE 0275</t>
  </si>
  <si>
    <t>0040086167</t>
  </si>
  <si>
    <t>LD DFB RELIANC 4STE 0293</t>
  </si>
  <si>
    <t>0040086183</t>
  </si>
  <si>
    <t>LD DFB RELIANC 4STE 0295</t>
  </si>
  <si>
    <t>0040086191</t>
  </si>
  <si>
    <t>LD DFB RELIANC 4STE 0296</t>
  </si>
  <si>
    <t>0040086217</t>
  </si>
  <si>
    <t>LD DFIB VIGILA 2CR 60/16</t>
  </si>
  <si>
    <t>LD DFIB VIGILA</t>
  </si>
  <si>
    <t>0040086225</t>
  </si>
  <si>
    <t>LD DFB SPRNT QUATR 6947M</t>
  </si>
  <si>
    <t>0040086233</t>
  </si>
  <si>
    <t>LD DFB OPTISURE LDA210Q</t>
  </si>
  <si>
    <t>LD DFB OPTISURE</t>
  </si>
  <si>
    <t>0040086258</t>
  </si>
  <si>
    <t>LD DFIB PROTEGO S 379969</t>
  </si>
  <si>
    <t>LD DFB PROTEGO</t>
  </si>
  <si>
    <t>0040086266</t>
  </si>
  <si>
    <t>LD DFB PROTEGO SD 399410</t>
  </si>
  <si>
    <t>LD DFIB PROTEGO</t>
  </si>
  <si>
    <t>0040086290</t>
  </si>
  <si>
    <t>LD DFB OPTISURE LDA220Q</t>
  </si>
  <si>
    <t>0040086324</t>
  </si>
  <si>
    <t>LD DFB RELIANC 4STE 0286</t>
  </si>
  <si>
    <t>0040086340</t>
  </si>
  <si>
    <t>LD DFB VOLTA1CR65 384075</t>
  </si>
  <si>
    <t>LD DFB VOLTA</t>
  </si>
  <si>
    <t>0040086373</t>
  </si>
  <si>
    <t>LD DFB PLEXA S 65 402266</t>
  </si>
  <si>
    <t>0040086381</t>
  </si>
  <si>
    <t>LD DFB PLEXA S DX 65/15 414005</t>
  </si>
  <si>
    <t>0040086399</t>
  </si>
  <si>
    <t>LD DFB PLEXA PROMRI SD 402263</t>
  </si>
  <si>
    <t>0040086407</t>
  </si>
  <si>
    <t>LD DFIB LINOX T 369820</t>
  </si>
  <si>
    <t>0040086415</t>
  </si>
  <si>
    <t>LD DFIB SPRNT QUATR 6946M</t>
  </si>
  <si>
    <t>0040086423</t>
  </si>
  <si>
    <t>LD DFB PLEXA S DX 65/17 414006</t>
  </si>
  <si>
    <t>0040086431</t>
  </si>
  <si>
    <t>LD DFB PLEXA SD 65/18 414001</t>
  </si>
  <si>
    <t>0040086449</t>
  </si>
  <si>
    <t>LD DFIB EMBLEM S-ICD 3501</t>
  </si>
  <si>
    <t>LD DFIB EMBLEM</t>
  </si>
  <si>
    <t>0040086498</t>
  </si>
  <si>
    <t>LD ISOFLEX OPTIM 1944</t>
  </si>
  <si>
    <t>LD ISOFLX OPTIM</t>
  </si>
  <si>
    <t>0040086506</t>
  </si>
  <si>
    <t>LD ISOFLEX OPTIM 1948</t>
  </si>
  <si>
    <t>0040086514</t>
  </si>
  <si>
    <t>LD INGEVITY MRI 7741</t>
  </si>
  <si>
    <t>LD INGEVITY</t>
  </si>
  <si>
    <t>0040086845</t>
  </si>
  <si>
    <t>LD LFT VENT COR VEN SYS</t>
  </si>
  <si>
    <t>LD CELERITY 3D</t>
  </si>
  <si>
    <t>0040086985</t>
  </si>
  <si>
    <t>LD NSTIM INTERSTIM 3889</t>
  </si>
  <si>
    <t>LD INTERSTIM</t>
  </si>
  <si>
    <t>0040086993</t>
  </si>
  <si>
    <t>LD NSTIM RENEW 3146</t>
  </si>
  <si>
    <t>LD NSTIM RENEW</t>
  </si>
  <si>
    <t>0040087009</t>
  </si>
  <si>
    <t>LD NSTIM TRIAL 3086</t>
  </si>
  <si>
    <t>LD NSTIM TRIAL</t>
  </si>
  <si>
    <t>0040087017</t>
  </si>
  <si>
    <t>LD PM CAPSUR SP NOV4592</t>
  </si>
  <si>
    <t>LD PM CAPSR SP</t>
  </si>
  <si>
    <t>0040087041</t>
  </si>
  <si>
    <t>LD PM CAPSURE SENSE 4074</t>
  </si>
  <si>
    <t>0040087066</t>
  </si>
  <si>
    <t>LD PM CAPSUREFIX 5086MRI</t>
  </si>
  <si>
    <t>LD PM CAPSRFIX</t>
  </si>
  <si>
    <t>0040087124</t>
  </si>
  <si>
    <t>LD PM INGEVITY MRI 7742</t>
  </si>
  <si>
    <t>0040087132</t>
  </si>
  <si>
    <t>LD PM INGEVITY MRI 7731</t>
  </si>
  <si>
    <t>0040087140</t>
  </si>
  <si>
    <t>LD PM INGEVITY MRI 7732</t>
  </si>
  <si>
    <t>0040087157</t>
  </si>
  <si>
    <t>LD PM INGEVITY MRI 7735</t>
  </si>
  <si>
    <t>0040087165</t>
  </si>
  <si>
    <t>LD PM INGEVITY MRI 7736</t>
  </si>
  <si>
    <t>0040087173</t>
  </si>
  <si>
    <t>LD PM INGEVITY MRI 7740</t>
  </si>
  <si>
    <t>0040087181</t>
  </si>
  <si>
    <t>LD PLEXA PROMRI DF-1 S 413997</t>
  </si>
  <si>
    <t>0040087199</t>
  </si>
  <si>
    <t>LD PM INGEVITY+ 7841</t>
  </si>
  <si>
    <t>LD PM INGEVITY+</t>
  </si>
  <si>
    <t>0040087215</t>
  </si>
  <si>
    <t>LD PM INGEVITY+ 7842</t>
  </si>
  <si>
    <t>0040087223</t>
  </si>
  <si>
    <t>LD PM INGEVITY+ 7840</t>
  </si>
  <si>
    <t>0040087298</t>
  </si>
  <si>
    <t>LD PM EPI/MYOCARD 5071</t>
  </si>
  <si>
    <t>LD PM EPICRDIAL</t>
  </si>
  <si>
    <t>0040087306</t>
  </si>
  <si>
    <t>LD PM ELA PASS PJ744</t>
  </si>
  <si>
    <t>0040087314</t>
  </si>
  <si>
    <t>LD PM FINLN2 STER EZ4471</t>
  </si>
  <si>
    <t>LD PM FINELINE2</t>
  </si>
  <si>
    <t>0040087330</t>
  </si>
  <si>
    <t>LD PM SOLIA S</t>
  </si>
  <si>
    <t>0040087348</t>
  </si>
  <si>
    <t>LD PM SOLIA T</t>
  </si>
  <si>
    <t>0040087355</t>
  </si>
  <si>
    <t>LD PM SOLIA JT</t>
  </si>
  <si>
    <t>0040087413</t>
  </si>
  <si>
    <t>LD PM SELOX JT53</t>
  </si>
  <si>
    <t>LD PM SELOX</t>
  </si>
  <si>
    <t>0040087421</t>
  </si>
  <si>
    <t>LD PM TENDRIL STS 2088TC</t>
  </si>
  <si>
    <t>LD PM TENDRIL</t>
  </si>
  <si>
    <t>0040087447</t>
  </si>
  <si>
    <t>LD PM TILDA R</t>
  </si>
  <si>
    <t>0040087454</t>
  </si>
  <si>
    <t>LD PM TILDA T</t>
  </si>
  <si>
    <t>0040087462</t>
  </si>
  <si>
    <t>LD PM TILDA JT</t>
  </si>
  <si>
    <t>0040087488</t>
  </si>
  <si>
    <t>LD PACE/SENS DFB SGL COIL 0673</t>
  </si>
  <si>
    <t>LD RELIANCE 4-F</t>
  </si>
  <si>
    <t>0040087496</t>
  </si>
  <si>
    <t>LD PACE/SENS DFB SGL COIL 0672</t>
  </si>
  <si>
    <t>0040087520</t>
  </si>
  <si>
    <t>LD PACE/SEN DFB DUAL COIL 0676</t>
  </si>
  <si>
    <t>0040087538</t>
  </si>
  <si>
    <t>LD PACE/SEN DFB DUAL COIL 0675</t>
  </si>
  <si>
    <t>0040087983</t>
  </si>
  <si>
    <t>LD QUARTET LV 1456Q</t>
  </si>
  <si>
    <t>LD QUARTET</t>
  </si>
  <si>
    <t>0040088007</t>
  </si>
  <si>
    <t>LD QUARTET QUADPLR 1458Q</t>
  </si>
  <si>
    <t>0040088205</t>
  </si>
  <si>
    <t>LD SUBCUTAN Q-TRAK 3010</t>
  </si>
  <si>
    <t>LD Q-TRAK</t>
  </si>
  <si>
    <t>0040088213</t>
  </si>
  <si>
    <t>LD TENDRIL MRI LPA1200M</t>
  </si>
  <si>
    <t>LD TENDRIL MRI</t>
  </si>
  <si>
    <t>0040088361</t>
  </si>
  <si>
    <t>LD SENTUS PROMRI OTW 406082</t>
  </si>
  <si>
    <t>LD SENTUS PROMR</t>
  </si>
  <si>
    <t>0040088387</t>
  </si>
  <si>
    <t>LD SENTUS PROMRI OTW 408719</t>
  </si>
  <si>
    <t>0040088403</t>
  </si>
  <si>
    <t>LD VOLTA 2CR65/18</t>
  </si>
  <si>
    <t>LD VOLTA</t>
  </si>
  <si>
    <t>0040099012</t>
  </si>
  <si>
    <t>PM DR ALIZEA 1600 TPM020U</t>
  </si>
  <si>
    <t>PM DR ALIZEA 1600</t>
  </si>
  <si>
    <t>0040099020</t>
  </si>
  <si>
    <t>PM AMVIA EDGE DR-T 460163</t>
  </si>
  <si>
    <t>PM AMVIA EDGE DR-T</t>
  </si>
  <si>
    <t>0040099038</t>
  </si>
  <si>
    <t>LD PM VEGA R58 TLD041U</t>
  </si>
  <si>
    <t>LD PM VEGA R58</t>
  </si>
  <si>
    <t>0040109001</t>
  </si>
  <si>
    <t>BASEPLT TIBIAL</t>
  </si>
  <si>
    <t>0040109985</t>
  </si>
  <si>
    <t>BN GRFT INJECT INDUCTIVE</t>
  </si>
  <si>
    <t>BN GRF PRO-STIM</t>
  </si>
  <si>
    <t>0040109993</t>
  </si>
  <si>
    <t>BN GRFT INFS LG</t>
  </si>
  <si>
    <t>0040110017</t>
  </si>
  <si>
    <t>BN GRFT INFS SM 4SPNG</t>
  </si>
  <si>
    <t>BN GRAFT KIT</t>
  </si>
  <si>
    <t>0040110025</t>
  </si>
  <si>
    <t>BN GRFT INFS XSM</t>
  </si>
  <si>
    <t>0040110983</t>
  </si>
  <si>
    <t>DVC ACROMIOCLAVICULAR</t>
  </si>
  <si>
    <t>DVC LOCKDOWN</t>
  </si>
  <si>
    <t>0040110991</t>
  </si>
  <si>
    <t>DVC DIGIFUSE IMPLANT</t>
  </si>
  <si>
    <t>DVC DIGIFUSE</t>
  </si>
  <si>
    <t>0040111023</t>
  </si>
  <si>
    <t>DVC FIXATION ADJUSTABLE</t>
  </si>
  <si>
    <t>DVC ULTRABUTTON</t>
  </si>
  <si>
    <t>0040111874</t>
  </si>
  <si>
    <t>IMP ARTHROEREIS PROSTOP</t>
  </si>
  <si>
    <t>IMP ARTHROEREIS</t>
  </si>
  <si>
    <t>0040111882</t>
  </si>
  <si>
    <t>IMP ARTHROERESIS SUBFIX</t>
  </si>
  <si>
    <t>IMP ARTHROERES</t>
  </si>
  <si>
    <t>0040112021</t>
  </si>
  <si>
    <t>SP SET SCRW BOLT CAP NUT</t>
  </si>
  <si>
    <t>SP SET S/B/C/N</t>
  </si>
  <si>
    <t>0040112039</t>
  </si>
  <si>
    <t>BN EXTN ALLOGRAFT</t>
  </si>
  <si>
    <t>BN EXTN ALGF</t>
  </si>
  <si>
    <t>0040112047</t>
  </si>
  <si>
    <t>SP BN GRFT EXT SYNTHETIC</t>
  </si>
  <si>
    <t>SP BN EXT SYNTH</t>
  </si>
  <si>
    <t>0040112054</t>
  </si>
  <si>
    <t>SP BN GRAFT ALLOGRAFT</t>
  </si>
  <si>
    <t>SP BN GFT ALLGF</t>
  </si>
  <si>
    <t>0040112112</t>
  </si>
  <si>
    <t>SP ROD STANDARD</t>
  </si>
  <si>
    <t>0040112146</t>
  </si>
  <si>
    <t>SP ANT CERVICAL PLT L1</t>
  </si>
  <si>
    <t>SP ANT CRV PLT1</t>
  </si>
  <si>
    <t>0040112153</t>
  </si>
  <si>
    <t>SP ANT CERVICAL PLT L2</t>
  </si>
  <si>
    <t>SP ANT CRV PLT2</t>
  </si>
  <si>
    <t>0040112161</t>
  </si>
  <si>
    <t>SP ANT CERVICAL PLT L3</t>
  </si>
  <si>
    <t>SP ANT CRV PLT3</t>
  </si>
  <si>
    <t>0040112179</t>
  </si>
  <si>
    <t>SP ANT CERVICAL PLT L4&gt;</t>
  </si>
  <si>
    <t>SP ANT CRV PL4&gt;</t>
  </si>
  <si>
    <t>0040112187</t>
  </si>
  <si>
    <t>SP ANTERIOR SCREW</t>
  </si>
  <si>
    <t>SP ANT SCREW</t>
  </si>
  <si>
    <t>0040112195</t>
  </si>
  <si>
    <t>SP CROSSLINK ASSEMBLY</t>
  </si>
  <si>
    <t>SP CROSS ASMBLY</t>
  </si>
  <si>
    <t>0040112203</t>
  </si>
  <si>
    <t>SP EXPAND/STACK DEVICES</t>
  </si>
  <si>
    <t>SP EXP/STK DEV</t>
  </si>
  <si>
    <t>0040112229</t>
  </si>
  <si>
    <t>SP IBF BN ALLOGRAFT CERV</t>
  </si>
  <si>
    <t>SP IBF GRF CERV</t>
  </si>
  <si>
    <t>0040112260</t>
  </si>
  <si>
    <t>SP LUMB INTBODY DEV PLIF</t>
  </si>
  <si>
    <t>SP LUM DEV PLIF</t>
  </si>
  <si>
    <t>0040112278</t>
  </si>
  <si>
    <t>SP LUMB INTBODY DEV TLIF</t>
  </si>
  <si>
    <t>SP LUM DEV TLIF</t>
  </si>
  <si>
    <t>0040112286</t>
  </si>
  <si>
    <t>SP LUMB STANDLNE INT DEV</t>
  </si>
  <si>
    <t>SP LUM STD DEV</t>
  </si>
  <si>
    <t>0040112294</t>
  </si>
  <si>
    <t>SP PEDICLE SCREW ADV</t>
  </si>
  <si>
    <t>SP PED SCRW ADV</t>
  </si>
  <si>
    <t>0040112302</t>
  </si>
  <si>
    <t>SP PEDICLE SCREW STND</t>
  </si>
  <si>
    <t>SP PED SCRW STD</t>
  </si>
  <si>
    <t>0040112310</t>
  </si>
  <si>
    <t>SP ROD ADVANCED</t>
  </si>
  <si>
    <t>0040112344</t>
  </si>
  <si>
    <t>SP CERV STANDLNE INT DEV</t>
  </si>
  <si>
    <t>SP CRV STLN DEV</t>
  </si>
  <si>
    <t>0040112385</t>
  </si>
  <si>
    <t>SP OCCIP PLT</t>
  </si>
  <si>
    <t>0040112492</t>
  </si>
  <si>
    <t>SP COMP SCRW WASHER</t>
  </si>
  <si>
    <t>SP COM SCR WASH</t>
  </si>
  <si>
    <t>0040112633</t>
  </si>
  <si>
    <t>SP LOCKING TAB</t>
  </si>
  <si>
    <t>SP LOCK TAB</t>
  </si>
  <si>
    <t>0040112849</t>
  </si>
  <si>
    <t>SP MAGNIFUSE</t>
  </si>
  <si>
    <t>0040114993</t>
  </si>
  <si>
    <t>GRFT INJECT REPR IGNITE</t>
  </si>
  <si>
    <t>GRFT INJ STMULS</t>
  </si>
  <si>
    <t>0040117699</t>
  </si>
  <si>
    <t>KT ACHILL MIDSUBSTN SPDB</t>
  </si>
  <si>
    <t>KT ACHL SPDBRDG</t>
  </si>
  <si>
    <t>0040117897</t>
  </si>
  <si>
    <t>SYS SUTURETAPE PARS IMPLANT</t>
  </si>
  <si>
    <t>SYS SUTURETP PA</t>
  </si>
  <si>
    <t>0040119000</t>
  </si>
  <si>
    <t>EXTENDER BUTTN TIGHTROPE</t>
  </si>
  <si>
    <t>EXTENDER BUTTON</t>
  </si>
  <si>
    <t>0040119349</t>
  </si>
  <si>
    <t>CEMT BN PL FUL ZIMMR CAP</t>
  </si>
  <si>
    <t>CMT BN PLFL ZIM</t>
  </si>
  <si>
    <t>0040119356</t>
  </si>
  <si>
    <t>CEMT BN ANTIFUL ZIMM CAP</t>
  </si>
  <si>
    <t>CMT BN ANTF ZIM</t>
  </si>
  <si>
    <t>0040121006</t>
  </si>
  <si>
    <t>IMP HIP HIGH DEMAND</t>
  </si>
  <si>
    <t>IMP HIP HIGH</t>
  </si>
  <si>
    <t>0040122012</t>
  </si>
  <si>
    <t>IMP KNEE HIGH DEMAND</t>
  </si>
  <si>
    <t>IMP KNEE HIGH</t>
  </si>
  <si>
    <t>0040122053</t>
  </si>
  <si>
    <t>IMP KNEE REVISION</t>
  </si>
  <si>
    <t>IMP KNEE REVSN</t>
  </si>
  <si>
    <t>0040123028</t>
  </si>
  <si>
    <t>IMP METATARSL DECOMPRSSN</t>
  </si>
  <si>
    <t>IMP METATARSAL</t>
  </si>
  <si>
    <t>0040125502</t>
  </si>
  <si>
    <t>IMP SCRW BIOTENODESIS</t>
  </si>
  <si>
    <t>IMP SCRW BIOTEN</t>
  </si>
  <si>
    <t>0040126013</t>
  </si>
  <si>
    <t>IMP SHOULDER REVISION</t>
  </si>
  <si>
    <t>IMP SHOULDER</t>
  </si>
  <si>
    <t>0040126047</t>
  </si>
  <si>
    <t>IMPLANT SPACER</t>
  </si>
  <si>
    <t>0040126054</t>
  </si>
  <si>
    <t>IMP SPEEDLOCK KNOTLESS</t>
  </si>
  <si>
    <t>IMP SPEEDLOCK</t>
  </si>
  <si>
    <t>0040128043</t>
  </si>
  <si>
    <t>LINER ACE PLY MAR ALTX DPY CL</t>
  </si>
  <si>
    <t>LNR ACE PLY MAR</t>
  </si>
  <si>
    <t>0040128126</t>
  </si>
  <si>
    <t>HEAD FEM CERAM ANY SZ DPY CL</t>
  </si>
  <si>
    <t>HE FEM CER ANY</t>
  </si>
  <si>
    <t>0040128654</t>
  </si>
  <si>
    <t>INSERT/BEARING POLY EXACT CL</t>
  </si>
  <si>
    <t>INSERT/BEAR POL</t>
  </si>
  <si>
    <t>0040128738</t>
  </si>
  <si>
    <t>CUP HIP REVISION SN CL</t>
  </si>
  <si>
    <t>CUP HIP REVISION SN</t>
  </si>
  <si>
    <t>0040128753</t>
  </si>
  <si>
    <t>CUP ACETABULAR CUP R3 SN CL</t>
  </si>
  <si>
    <t>CUP ACETABULAR</t>
  </si>
  <si>
    <t>0040128779</t>
  </si>
  <si>
    <t>CUP ACE UN CTD PLR DL MB SN CL</t>
  </si>
  <si>
    <t>CUP ACE UN CTD</t>
  </si>
  <si>
    <t>0040128795</t>
  </si>
  <si>
    <t>LNR ACE MTL CR BIO BHRR3 SN CL</t>
  </si>
  <si>
    <t>LNR ACE MTL CR</t>
  </si>
  <si>
    <t>0040128811</t>
  </si>
  <si>
    <t>STEM KNEE EXTENSION SN CL</t>
  </si>
  <si>
    <t>STEM KNEE EXTEN</t>
  </si>
  <si>
    <t>0040128829</t>
  </si>
  <si>
    <t>COMP KNEE FEM REVISION SN CL</t>
  </si>
  <si>
    <t>COMP KNEE FEM R</t>
  </si>
  <si>
    <t>0040128837</t>
  </si>
  <si>
    <t>INSERT KNEE REVISION SN CL</t>
  </si>
  <si>
    <t>INSERT KNEE REV</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</si>
  <si>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</si>
  <si>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</si>
  <si>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</si>
  <si>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</si>
  <si>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</si>
  <si>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</si>
  <si>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</si>
  <si>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</si>
  <si>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</si>
  <si>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</si>
  <si>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</si>
  <si>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</si>
  <si>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</si>
  <si>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</si>
  <si>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</si>
  <si>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</si>
  <si>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</si>
  <si>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</si>
  <si>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</si>
  <si>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</si>
  <si>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</si>
  <si>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</si>
  <si>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</si>
  <si>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</si>
  <si>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</si>
  <si>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</si>
  <si>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</si>
  <si>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</si>
  <si>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</si>
  <si>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</si>
  <si>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</si>
  <si>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</si>
  <si>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</si>
  <si>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</si>
  <si>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</si>
  <si>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</si>
  <si>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</si>
  <si>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</si>
  <si>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</si>
  <si>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</si>
  <si>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</si>
  <si>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</si>
  <si>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</si>
  <si>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</si>
  <si>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</si>
  <si>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</si>
  <si>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</si>
  <si>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</si>
  <si>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</si>
  <si>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</si>
  <si>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STEM HUM FRACT</t>
  </si>
  <si>
    <t>0040129439</t>
  </si>
  <si>
    <t>SCRW LOCK NON-LCK ZIMMER CL</t>
  </si>
  <si>
    <t>SCRW LCK NONLCK</t>
  </si>
  <si>
    <t>0040129447</t>
  </si>
  <si>
    <t>CUP ACETABULR COATD ZIMMER CL</t>
  </si>
  <si>
    <t>CUP ACETABULR C</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</si>
  <si>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</si>
  <si>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</si>
  <si>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</si>
  <si>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</si>
  <si>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</si>
  <si>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</si>
  <si>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</si>
  <si>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</si>
  <si>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</si>
  <si>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</si>
  <si>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</si>
  <si>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</si>
  <si>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</si>
  <si>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</si>
  <si>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</si>
  <si>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</si>
  <si>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</si>
  <si>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</si>
  <si>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</si>
  <si>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</si>
  <si>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</si>
  <si>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</si>
  <si>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</si>
  <si>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</si>
  <si>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0040129587</t>
  </si>
  <si>
    <t>BASE POST MOD GLENOID ZIM CL</t>
  </si>
  <si>
    <t>BASE POST MOD G</t>
  </si>
  <si>
    <t>0040129611</t>
  </si>
  <si>
    <t>COMPONENT FEM PFJ ZIMMER CL</t>
  </si>
  <si>
    <t>COMPONENT FEM P</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</si>
  <si>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</si>
  <si>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</si>
  <si>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</si>
  <si>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</si>
  <si>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</si>
  <si>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</si>
  <si>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</si>
  <si>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</si>
  <si>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</si>
  <si>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</si>
  <si>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</si>
  <si>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</si>
  <si>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</si>
  <si>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</si>
  <si>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STEM FEM COATD</t>
  </si>
  <si>
    <t>0040129728</t>
  </si>
  <si>
    <t>INS LNR BEAR HUM VITA E ZIM CL</t>
  </si>
  <si>
    <t>INS LNR BR HUM</t>
  </si>
  <si>
    <t>0040129744</t>
  </si>
  <si>
    <t>STEM FEM FRACTURE STM ZIMM CL</t>
  </si>
  <si>
    <t>STEM FEM FRACTR</t>
  </si>
  <si>
    <t>0040129827</t>
  </si>
  <si>
    <t>INSRT/BEAR FLX CNG XLK ZIM CL</t>
  </si>
  <si>
    <t>INSRT/BEAR FLX</t>
  </si>
  <si>
    <t>0040129868</t>
  </si>
  <si>
    <t>INSRT/BEAR VIVACIT E ZIMM CL</t>
  </si>
  <si>
    <t>INSRT/BEAR VIVA</t>
  </si>
  <si>
    <t>0040129876</t>
  </si>
  <si>
    <t>KNEE EXTENSION STEM ZIMM CL</t>
  </si>
  <si>
    <t>KNEE EXTNSN STE</t>
  </si>
  <si>
    <t>0040129934</t>
  </si>
  <si>
    <t>HIP PART SLF CNT COMP ZIM CL</t>
  </si>
  <si>
    <t>HIP PART SLF CE</t>
  </si>
  <si>
    <t>0040129967</t>
  </si>
  <si>
    <t>PATELA PERSN PROLG VIV ZIM CL</t>
  </si>
  <si>
    <t>PATELA PERS PRO</t>
  </si>
  <si>
    <t>0040129975</t>
  </si>
  <si>
    <t>PATELLA TM METAL POLY ZIMM CL</t>
  </si>
  <si>
    <t>PATELLA TM MTL</t>
  </si>
  <si>
    <t>0040130023</t>
  </si>
  <si>
    <t>BASE TIB I-BEAM STEM ZIMM CL</t>
  </si>
  <si>
    <t>BASE TIB I-BEAM</t>
  </si>
  <si>
    <t>0040130064</t>
  </si>
  <si>
    <t>BASE TIB UNCT UNCT PRS ZIM CL</t>
  </si>
  <si>
    <t>BASE TIB UNCT P</t>
  </si>
  <si>
    <t>0040130114</t>
  </si>
  <si>
    <t>BASE TIB UNCT MOD TRAY ZIM CL</t>
  </si>
  <si>
    <t>BASE TIB UNCT M</t>
  </si>
  <si>
    <t>0040130130</t>
  </si>
  <si>
    <t>KNEE UNI FEMUR ZIMMER CL</t>
  </si>
  <si>
    <t>KNEE UNI FEMUR</t>
  </si>
  <si>
    <t>0040130163</t>
  </si>
  <si>
    <t>KNEE UNI OXFRD PLY INS ZIM CL</t>
  </si>
  <si>
    <t>KNE UNI OXFRD P</t>
  </si>
  <si>
    <t>0040130171</t>
  </si>
  <si>
    <t>KNEE UNI OXFRD TIB BSE ZIM CL</t>
  </si>
  <si>
    <t>KNE UNI OXFORD</t>
  </si>
  <si>
    <t>0040130213</t>
  </si>
  <si>
    <t>GLENIOD PEG KEEL HYB STRY CL</t>
  </si>
  <si>
    <t>GENOID PEG KEEL</t>
  </si>
  <si>
    <t>0040130221</t>
  </si>
  <si>
    <t>GLENOSPHERE STRYKER CL</t>
  </si>
  <si>
    <t>GLENOSPHERE STR</t>
  </si>
  <si>
    <t>0040130247</t>
  </si>
  <si>
    <t>HD HUM STD OFFST ECC STRYK CL</t>
  </si>
  <si>
    <t>HD HUM STD OFF</t>
  </si>
  <si>
    <t>0040130254</t>
  </si>
  <si>
    <t>INSRT HUM LINR BEAR STRYK CL</t>
  </si>
  <si>
    <t>0040130270</t>
  </si>
  <si>
    <t>STEM HUM CTD UNCEM STRYKR CL</t>
  </si>
  <si>
    <t>STEM HUM CT UNC</t>
  </si>
  <si>
    <t>0040130320</t>
  </si>
  <si>
    <t>BASEPLATE REVERSE STRYKER CL</t>
  </si>
  <si>
    <t>BSEPLT REVERSE</t>
  </si>
  <si>
    <t>0040130338</t>
  </si>
  <si>
    <t>SCRW LOCK NON-LCK STRYKER CL</t>
  </si>
  <si>
    <t>0040130346</t>
  </si>
  <si>
    <t>CUP HUMERAL STRYKER CL</t>
  </si>
  <si>
    <t>CUP HUMERAL STR</t>
  </si>
  <si>
    <t>0040130395</t>
  </si>
  <si>
    <t>LINER ACETB CONSTRAIN STRY CL</t>
  </si>
  <si>
    <t>LNR ACET CONTRA</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</si>
  <si>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</si>
  <si>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</si>
  <si>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</si>
  <si>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</si>
  <si>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</si>
  <si>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</si>
  <si>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</si>
  <si>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</si>
  <si>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</si>
  <si>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</si>
  <si>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</si>
  <si>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</si>
  <si>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</si>
  <si>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</si>
  <si>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</si>
  <si>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</si>
  <si>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</si>
  <si>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</si>
  <si>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</si>
  <si>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</si>
  <si>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</si>
  <si>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</si>
  <si>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</si>
  <si>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</si>
  <si>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0040130551</t>
  </si>
  <si>
    <t>STEM FEMORAL COATED STRYKR CL</t>
  </si>
  <si>
    <t>STEM FEM COATED</t>
  </si>
  <si>
    <t>0040130569</t>
  </si>
  <si>
    <t>STEM FEM CT HA PA SCR STRY CL</t>
  </si>
  <si>
    <t>STEM FEM CT HA</t>
  </si>
  <si>
    <t>0040130577</t>
  </si>
  <si>
    <t>STEM FEM FRACTR STEM STRYK CL</t>
  </si>
  <si>
    <t>0040130593</t>
  </si>
  <si>
    <t>STEM FEMORL UNCOATD STRYKR CL</t>
  </si>
  <si>
    <t>STEM FEM UNCOAT</t>
  </si>
  <si>
    <t>0040130619</t>
  </si>
  <si>
    <t>INSRT/BEAR POLY X3 STRYKER CL</t>
  </si>
  <si>
    <t>INSRT/BEAR POLY</t>
  </si>
  <si>
    <t>0040130627</t>
  </si>
  <si>
    <t>PATELA ANY X3 MCK PFJ STRY CL</t>
  </si>
  <si>
    <t>PATELLA ANY X3</t>
  </si>
  <si>
    <t>0040130650</t>
  </si>
  <si>
    <t>PATELLA TM METAL STRYKER CL</t>
  </si>
  <si>
    <t>PATELLA TM METL</t>
  </si>
  <si>
    <t>0040130684</t>
  </si>
  <si>
    <t>BASE TIB TRIATH TRITN STRY CL</t>
  </si>
  <si>
    <t>BASE TIB TRIA T</t>
  </si>
  <si>
    <t>0040130692</t>
  </si>
  <si>
    <t>BASE TIB UNCT TRIATH STRYK CL</t>
  </si>
  <si>
    <t>BASE TIB UNCT T</t>
  </si>
  <si>
    <t>0040130700</t>
  </si>
  <si>
    <t>BASE TIB UNCOAT TS STRYKER CL</t>
  </si>
  <si>
    <t>0040130718</t>
  </si>
  <si>
    <t>KNE UNI EIU PRK UN TB STRY CL</t>
  </si>
  <si>
    <t>KNE UNI EIU PRK</t>
  </si>
  <si>
    <t>0040130726</t>
  </si>
  <si>
    <t>KNEE UNI MCK FEMUR STRYKER CL</t>
  </si>
  <si>
    <t>KNE UNI MCK FEM</t>
  </si>
  <si>
    <t>0040130734</t>
  </si>
  <si>
    <t>KNEE UNI MCK INSERT STRYKR CL</t>
  </si>
  <si>
    <t>KNE UNI MCK INS</t>
  </si>
  <si>
    <t>0040130742</t>
  </si>
  <si>
    <t>KNEE UNI MCK TIBIA STRYKER CL</t>
  </si>
  <si>
    <t>KNE UNI MCK TIB</t>
  </si>
  <si>
    <t>0040130759</t>
  </si>
  <si>
    <t>KNEE UNI PKR UNI FEMR STRY CL</t>
  </si>
  <si>
    <t>KNE UNI PKR UNI</t>
  </si>
  <si>
    <t>0040130767</t>
  </si>
  <si>
    <t>KNE UNI PKR X3 EIU UN STRY CL</t>
  </si>
  <si>
    <t>KNE UNI PKR X3</t>
  </si>
  <si>
    <t>0040130890</t>
  </si>
  <si>
    <t>KT AC REPAIR ACUTE</t>
  </si>
  <si>
    <t>KT AC REPAIR</t>
  </si>
  <si>
    <t>0040130924</t>
  </si>
  <si>
    <t>KT ANCHOR SONIC FORC FBR</t>
  </si>
  <si>
    <t>KT ANCHOR SONIC</t>
  </si>
  <si>
    <t>0040131005</t>
  </si>
  <si>
    <t>KT BN RESORB BEAD 5CC</t>
  </si>
  <si>
    <t>KT RESORB BEAD</t>
  </si>
  <si>
    <t>0040131021</t>
  </si>
  <si>
    <t>KT BN VOID FILLER CASO4</t>
  </si>
  <si>
    <t>KT STIMULAN</t>
  </si>
  <si>
    <t>0040131039</t>
  </si>
  <si>
    <t>KT FIBULOCK IMPLANT SYSTEM</t>
  </si>
  <si>
    <t>KT FIBULOCK IMP</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</si>
  <si>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</si>
  <si>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</si>
  <si>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</si>
  <si>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</si>
  <si>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</si>
  <si>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</si>
  <si>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</si>
  <si>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</si>
  <si>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</si>
  <si>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</si>
  <si>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</si>
  <si>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CUP HP RV TRNM</t>
  </si>
  <si>
    <t>0040131096</t>
  </si>
  <si>
    <t>INSERT KNEE TS REV STRYKR CL</t>
  </si>
  <si>
    <t>INS KNEE TS RV</t>
  </si>
  <si>
    <t>0040131146</t>
  </si>
  <si>
    <t>CUP ACETABULR COATED STRYK CL</t>
  </si>
  <si>
    <t>CUP ACETAB CTD</t>
  </si>
  <si>
    <t>0040131153</t>
  </si>
  <si>
    <t>CUP ACETABULR TRITAN STRYK CL</t>
  </si>
  <si>
    <t>CUP ACETB TRITA</t>
  </si>
  <si>
    <t>0040131187</t>
  </si>
  <si>
    <t>KT LIGAMENT AUGMNT REPR</t>
  </si>
  <si>
    <t>KT INTERNLBRACE</t>
  </si>
  <si>
    <t>0040131203</t>
  </si>
  <si>
    <t>KT LIGAMENT REPR AUGMENT</t>
  </si>
  <si>
    <t>KT LIGAMNT REPR</t>
  </si>
  <si>
    <t>0040131450</t>
  </si>
  <si>
    <t>KT PIP DART FIXATION</t>
  </si>
  <si>
    <t>KT PIP DART</t>
  </si>
  <si>
    <t>0040131500</t>
  </si>
  <si>
    <t>KT SUBCHONDROPLASTY KNEE</t>
  </si>
  <si>
    <t>KT SUBCHONDPLTY</t>
  </si>
  <si>
    <t>0040131914</t>
  </si>
  <si>
    <t>KT INTERSPCE SHOULDR EXACT CL</t>
  </si>
  <si>
    <t>KT INT SPC SHLD</t>
  </si>
  <si>
    <t>0040133027</t>
  </si>
  <si>
    <t>BASPLT GLEND SHLD ARTHROSRF CL</t>
  </si>
  <si>
    <t>BASPLT GLND SHL</t>
  </si>
  <si>
    <t>0040133035</t>
  </si>
  <si>
    <t>POST GLENOID SHLD ARTHROSRF CL</t>
  </si>
  <si>
    <t>PST GLND SHLD A</t>
  </si>
  <si>
    <t>0040133068</t>
  </si>
  <si>
    <t>HEAD HUM RESURF ARTHROSRFCE CL</t>
  </si>
  <si>
    <t>HEAD HUM RESURF</t>
  </si>
  <si>
    <t>0040133605</t>
  </si>
  <si>
    <t>FEMUR MOD KNEE OSTEOREMEDS CL</t>
  </si>
  <si>
    <t>FEMUR MODULAR K</t>
  </si>
  <si>
    <t>0040133613</t>
  </si>
  <si>
    <t>STM EXT MOD KNEE OSTEOREMED CL</t>
  </si>
  <si>
    <t>STEM EXTENS MOD</t>
  </si>
  <si>
    <t>0040133621</t>
  </si>
  <si>
    <t>INSRT MOD TIB OSTEOREMEDIES CL</t>
  </si>
  <si>
    <t>INSRT MODULAR T</t>
  </si>
  <si>
    <t>0040133639</t>
  </si>
  <si>
    <t>TRY TIB MOD OSTEOREMEDIES CL</t>
  </si>
  <si>
    <t>TRY TIBIAL MODU</t>
  </si>
  <si>
    <t>0040133647</t>
  </si>
  <si>
    <t>STEM KNE FEM REM OSTEOREMED CL</t>
  </si>
  <si>
    <t>STEMMED KNEE FE</t>
  </si>
  <si>
    <t>0040133654</t>
  </si>
  <si>
    <t>TRY TIBIAL STEM OSTEOREMEDS CL</t>
  </si>
  <si>
    <t>TRY TIBIAL STEM</t>
  </si>
  <si>
    <t>0040133712</t>
  </si>
  <si>
    <t>CP ACE CTD ESCL CTD ORTH DV CL</t>
  </si>
  <si>
    <t>CUP ACET CTD ES</t>
  </si>
  <si>
    <t>0040133720</t>
  </si>
  <si>
    <t>LNR ACE PLY HGH CRSL ORTHDV CL</t>
  </si>
  <si>
    <t>LNR ACE PLY HGH</t>
  </si>
  <si>
    <t>0040133738</t>
  </si>
  <si>
    <t>HEAD FEM MTL NONMTL ORTH DV CL</t>
  </si>
  <si>
    <t>HEAD FEM METAL</t>
  </si>
  <si>
    <t>0040133753</t>
  </si>
  <si>
    <t>STEM FEM COATED ORTHO DEV CL</t>
  </si>
  <si>
    <t>0040133779</t>
  </si>
  <si>
    <t>COMP SLF CENTER ORTHO DEV CL</t>
  </si>
  <si>
    <t>COMP SLF CENTER</t>
  </si>
  <si>
    <t>0040133803</t>
  </si>
  <si>
    <t>COMP FEM REVISION ORTHO DEV CL</t>
  </si>
  <si>
    <t>COMP FEM REVISI</t>
  </si>
  <si>
    <t>0040133811</t>
  </si>
  <si>
    <t>COMP FEM UNCOATED ORTHO DEV CL</t>
  </si>
  <si>
    <t>COMP FEM UNCOAT</t>
  </si>
  <si>
    <t>0040133837</t>
  </si>
  <si>
    <t>INS BR PLY VITE ULT ORTHODV CL</t>
  </si>
  <si>
    <t>INS BR PLY VITE</t>
  </si>
  <si>
    <t>0040133845</t>
  </si>
  <si>
    <t>STM EXT KNE CTD CMNTLSS ORT DV</t>
  </si>
  <si>
    <t>STM EXT KNE CTD</t>
  </si>
  <si>
    <t>0040133852</t>
  </si>
  <si>
    <t>STM EXT KNE UNCT CMNT ORTDV CL</t>
  </si>
  <si>
    <t>STM EXT KNE UNC</t>
  </si>
  <si>
    <t>0040133860</t>
  </si>
  <si>
    <t>INSRT KNEE REVS ORTHO DEVEL CL</t>
  </si>
  <si>
    <t>INSRT KNEE RVS</t>
  </si>
  <si>
    <t>0040133886</t>
  </si>
  <si>
    <t>PATLLA PLY VIT E VTL ORT DV CL</t>
  </si>
  <si>
    <t>PATELLA PLY VIT</t>
  </si>
  <si>
    <t>0040133902</t>
  </si>
  <si>
    <t>BASE TIB REVISION ORTHO DEV CL</t>
  </si>
  <si>
    <t>BASE TIB REVISI</t>
  </si>
  <si>
    <t>0040133910</t>
  </si>
  <si>
    <t>BASE TIB UNCOAT ORTHO DEV CL</t>
  </si>
  <si>
    <t>BASE TIB UNCOAT</t>
  </si>
  <si>
    <t>0040133951</t>
  </si>
  <si>
    <t>LNR ACE PLY XALT VTE DM DJO CL</t>
  </si>
  <si>
    <t>LNR ACE PLY XAL</t>
  </si>
  <si>
    <t>0040133977</t>
  </si>
  <si>
    <t>HEAD FEMOR CERAM ANY SZ DJO CL</t>
  </si>
  <si>
    <t>HEAD FEMOR CERA</t>
  </si>
  <si>
    <t>0040134959</t>
  </si>
  <si>
    <t>BASEPLT GLNOID AUGM TORNIER CL</t>
  </si>
  <si>
    <t>BASEPLATE GLENO</t>
  </si>
  <si>
    <t>0040134975</t>
  </si>
  <si>
    <t>BASEPLATE GLENOID TORNIER CL</t>
  </si>
  <si>
    <t>0040134983</t>
  </si>
  <si>
    <t>GLENOID GLENOSPHERE TORNIER CL</t>
  </si>
  <si>
    <t>GLENOID GLENOSP</t>
  </si>
  <si>
    <t>0040134991</t>
  </si>
  <si>
    <t>GLNOID LAT/TITN CTD TORNIER CL</t>
  </si>
  <si>
    <t>GLENOID LAT/TIT</t>
  </si>
  <si>
    <t>0040135006</t>
  </si>
  <si>
    <t>GLEN PEG/KEEL/HYBRD TORNIER CL</t>
  </si>
  <si>
    <t>GLENOID PEGD/KE</t>
  </si>
  <si>
    <t>0040135014</t>
  </si>
  <si>
    <t>BASEPLT GLENOID RVS TORNIER CL</t>
  </si>
  <si>
    <t>0040135055</t>
  </si>
  <si>
    <t>HD HUM STD OFFS/TECC TRNIER CL</t>
  </si>
  <si>
    <t>HEAD HMRL STD/O</t>
  </si>
  <si>
    <t>0040135071</t>
  </si>
  <si>
    <t>INSRT HUM LNR BEARN TORNIER CL</t>
  </si>
  <si>
    <t>INSRT HUMRL LNR</t>
  </si>
  <si>
    <t>0040135089</t>
  </si>
  <si>
    <t>HUMRL SPACR OR TRY TORNIER CL</t>
  </si>
  <si>
    <t>HUMRL SPACR OR</t>
  </si>
  <si>
    <t>0040135113</t>
  </si>
  <si>
    <t>STEM HUMRL COATD TORNIER CL</t>
  </si>
  <si>
    <t>STEM HUMRL COAT</t>
  </si>
  <si>
    <t>0040135162</t>
  </si>
  <si>
    <t>SCRW LOCKG/NONLCKNG TORNIER CL</t>
  </si>
  <si>
    <t>SCRW LOCKING/NO</t>
  </si>
  <si>
    <t>0040136491</t>
  </si>
  <si>
    <t>MATRX BN ALLOSYNC PURE</t>
  </si>
  <si>
    <t>MATRX BN ALLOSY</t>
  </si>
  <si>
    <t>0040136509</t>
  </si>
  <si>
    <t>MATRX BN VIABL CELL BIO4</t>
  </si>
  <si>
    <t>MATRX BN BIO4</t>
  </si>
  <si>
    <t>0040137002</t>
  </si>
  <si>
    <t>METATARSAL HEAD</t>
  </si>
  <si>
    <t>0040143034</t>
  </si>
  <si>
    <t>PK AUTOGRF GRFLK CONVEN</t>
  </si>
  <si>
    <t>PK AUTOGRAFT</t>
  </si>
  <si>
    <t>0040180077</t>
  </si>
  <si>
    <t>LINR ACET PLYHGHCRSSLNK UOC CL</t>
  </si>
  <si>
    <t>LINR ACET PLYHG</t>
  </si>
  <si>
    <t>0040180085</t>
  </si>
  <si>
    <t>HD FM CRM SZOR MTL&lt;36MM UOC CL</t>
  </si>
  <si>
    <t>HD FM CRM SZOR</t>
  </si>
  <si>
    <t>0040180101</t>
  </si>
  <si>
    <t>STEM FEMORAL COATED UOC CL</t>
  </si>
  <si>
    <t>0040180150</t>
  </si>
  <si>
    <t>CMP FM UNCTD N PATELLO UOC CL</t>
  </si>
  <si>
    <t>CMP FM UNCTD N</t>
  </si>
  <si>
    <t>0040180168</t>
  </si>
  <si>
    <t>INS BR PLY HGHCRSLK V E UOC CL</t>
  </si>
  <si>
    <t>INS BR PLY HGHC</t>
  </si>
  <si>
    <t>0040180192</t>
  </si>
  <si>
    <t>KNEE PATELLA POLY UOC CL</t>
  </si>
  <si>
    <t>KNEE PATELLA PO</t>
  </si>
  <si>
    <t>0040180218</t>
  </si>
  <si>
    <t>BASE TIB UNCTD ALL POLY UOC CL</t>
  </si>
  <si>
    <t>BASE TIB UNCTD</t>
  </si>
  <si>
    <t>0040180242</t>
  </si>
  <si>
    <t>BASEPLATE GLENOID INTEGR SN CL</t>
  </si>
  <si>
    <t>0040180259</t>
  </si>
  <si>
    <t>GLENSPHERE GLENOID INTEG SN CL</t>
  </si>
  <si>
    <t>GLENOSPHERE GLE</t>
  </si>
  <si>
    <t>0040180333</t>
  </si>
  <si>
    <t>CMP STEM HM RVS PRX INTG SN CL</t>
  </si>
  <si>
    <t>COMP STEM HUM R</t>
  </si>
  <si>
    <t>0040180358</t>
  </si>
  <si>
    <t>SCRWS LCKINGNONLCKNG INT SN CL</t>
  </si>
  <si>
    <t>SCRWS LOCKING/N</t>
  </si>
  <si>
    <t>0040180606</t>
  </si>
  <si>
    <t>SYS ACL REPAIR W IMPLNT</t>
  </si>
  <si>
    <t>SYS ACL REPAIR</t>
  </si>
  <si>
    <t>0040180614</t>
  </si>
  <si>
    <t>SYS BICEP DSTL REPR IMPL</t>
  </si>
  <si>
    <t>SYS BICEP DSTL</t>
  </si>
  <si>
    <t>0040180655</t>
  </si>
  <si>
    <t>SYS MENISCAL FAST FIX</t>
  </si>
  <si>
    <t>SYS MENISCAL</t>
  </si>
  <si>
    <t>0040180705</t>
  </si>
  <si>
    <t>SYS IMPL SPEEDBRGD SWVLK</t>
  </si>
  <si>
    <t>SYS SPEEDBRIDGE</t>
  </si>
  <si>
    <t>0040180713</t>
  </si>
  <si>
    <t>SYS ANKL LAT RECON IMPL</t>
  </si>
  <si>
    <t>SYS ANKL RECON</t>
  </si>
  <si>
    <t>0040180747</t>
  </si>
  <si>
    <t>SYS OSTEOTOMY TRUSS</t>
  </si>
  <si>
    <t>SYS OSTEO TRUSS</t>
  </si>
  <si>
    <t>0040180754</t>
  </si>
  <si>
    <t>SYS TGHTRP BTB FLIPCT II</t>
  </si>
  <si>
    <t>SYS TIGHTRP BTB</t>
  </si>
  <si>
    <t>0040180804</t>
  </si>
  <si>
    <t>TIGHTROPE ABS W/BUTTON</t>
  </si>
  <si>
    <t>TIGHTROPE ABS</t>
  </si>
  <si>
    <t>0040205072</t>
  </si>
  <si>
    <t>ALLOGRFT AMNIOTIC MEMBRN</t>
  </si>
  <si>
    <t>AMNIOFIX INJECT</t>
  </si>
  <si>
    <t>0040205098</t>
  </si>
  <si>
    <t>ALLOGRFT CARTLG MSH VIAB</t>
  </si>
  <si>
    <t>CARTIFORM</t>
  </si>
  <si>
    <t>0040205197</t>
  </si>
  <si>
    <t>ALLOGRFT AMNIOCLEAR MEMB</t>
  </si>
  <si>
    <t>AMINOCLEAR</t>
  </si>
  <si>
    <t>0040205213</t>
  </si>
  <si>
    <t>ALLOWRAP DS PER SQ CM</t>
  </si>
  <si>
    <t>ALLOWRAP DS SQ</t>
  </si>
  <si>
    <t>0040205288</t>
  </si>
  <si>
    <t>ALLOGRFT AMNIOTIC FLUID</t>
  </si>
  <si>
    <t>FLOGRAFT</t>
  </si>
  <si>
    <t>0040205353</t>
  </si>
  <si>
    <t>ALLOGRFT CYRO AMNION LIQ</t>
  </si>
  <si>
    <t>AMNIOS</t>
  </si>
  <si>
    <t>0040205478</t>
  </si>
  <si>
    <t>ALLGRFT AMNTC TISS ALLOAID AAC</t>
  </si>
  <si>
    <t>ALLOGRFT ALLOAI</t>
  </si>
  <si>
    <t>0040205486</t>
  </si>
  <si>
    <t>MATRIX DERMAL ALLOAID DM</t>
  </si>
  <si>
    <t>MATRIX DERML AL</t>
  </si>
  <si>
    <t>0040205833</t>
  </si>
  <si>
    <t>AMNIOEXCEL 4CMX5CM PER SQ CM</t>
  </si>
  <si>
    <t>AMNIOEXCEL PER</t>
  </si>
  <si>
    <t>0040205858</t>
  </si>
  <si>
    <t>ALLOGRFT TENDON PRESUTURED</t>
  </si>
  <si>
    <t>TENDON GRAFTLIN</t>
  </si>
  <si>
    <t>0040205890</t>
  </si>
  <si>
    <t>ALLOGRFT PLCNTL TISS MTX</t>
  </si>
  <si>
    <t>BIOFIX FLOW</t>
  </si>
  <si>
    <t>0040205973</t>
  </si>
  <si>
    <t>AMNIOEXCEL PLUS 3X3 PER SQ CM</t>
  </si>
  <si>
    <t>AMNIOEXCEL PLUS</t>
  </si>
  <si>
    <t>0040206054</t>
  </si>
  <si>
    <t>AMNIOBAND 3CMX4CM PER SQ CM</t>
  </si>
  <si>
    <t>AMNIOBAND 3CMX4</t>
  </si>
  <si>
    <t>0040206062</t>
  </si>
  <si>
    <t>AMNIOBAND 5CMX6CM PER SQ CM</t>
  </si>
  <si>
    <t>AMNIOBAND 5CMX6</t>
  </si>
  <si>
    <t>0040207003</t>
  </si>
  <si>
    <t>ANCH SUT BIO-SUTURETAK</t>
  </si>
  <si>
    <t>ANCH SUT</t>
  </si>
  <si>
    <t>0040207011</t>
  </si>
  <si>
    <t>ANCHOR TENDON</t>
  </si>
  <si>
    <t>0040207201</t>
  </si>
  <si>
    <t>ARTHROFLEX PER SQ CM</t>
  </si>
  <si>
    <t>ARTHROFLX SQ CM</t>
  </si>
  <si>
    <t>0040209702</t>
  </si>
  <si>
    <t>CATH PTA DORADO</t>
  </si>
  <si>
    <t>0040209793</t>
  </si>
  <si>
    <t>CLARIX CORD 1K PER SQ CM</t>
  </si>
  <si>
    <t>CLARIX CORD 1K</t>
  </si>
  <si>
    <t>0040209900</t>
  </si>
  <si>
    <t>COIL NV COMPLEX</t>
  </si>
  <si>
    <t>0040210072</t>
  </si>
  <si>
    <t>COIL NV SFT</t>
  </si>
  <si>
    <t>0040210080</t>
  </si>
  <si>
    <t>COIL NV SFT SR</t>
  </si>
  <si>
    <t>0040210189</t>
  </si>
  <si>
    <t>COIL PV DIAMOND</t>
  </si>
  <si>
    <t>0040210221</t>
  </si>
  <si>
    <t>COIL EMBOLIC AVENIR</t>
  </si>
  <si>
    <t>COIL EMBOLIC AV</t>
  </si>
  <si>
    <t>0040210312</t>
  </si>
  <si>
    <t>ENDOPROSTH PERIPH VIABAH</t>
  </si>
  <si>
    <t>ENDOPROSTH VIAB</t>
  </si>
  <si>
    <t>0040210361</t>
  </si>
  <si>
    <t>FLTR VC GUNTHER TULIP</t>
  </si>
  <si>
    <t>FLTR VC TULIP</t>
  </si>
  <si>
    <t>0040210502</t>
  </si>
  <si>
    <t>PUTTY BG FBRGRFT BIOAC XSM 2CC</t>
  </si>
  <si>
    <t>PUTTY BG FIBERG</t>
  </si>
  <si>
    <t>0040212466</t>
  </si>
  <si>
    <t>MSH PLVC FLR ANT PROLIFT</t>
  </si>
  <si>
    <t>MSH PLVC FLR RP</t>
  </si>
  <si>
    <t>0040214801</t>
  </si>
  <si>
    <t>GEN NSTIM INTERSTIM 3058</t>
  </si>
  <si>
    <t>GEN INTERSTIM</t>
  </si>
  <si>
    <t>0040214819</t>
  </si>
  <si>
    <t>GEN NSTIM VAGUS NRV</t>
  </si>
  <si>
    <t>GEN VAGUS NRV</t>
  </si>
  <si>
    <t>0040214835</t>
  </si>
  <si>
    <t>GRFT AAA MAIN BODY</t>
  </si>
  <si>
    <t>GRFT AAA MAIN</t>
  </si>
  <si>
    <t>0040214850</t>
  </si>
  <si>
    <t>GRFT ALLOMAX 13X15</t>
  </si>
  <si>
    <t>GRFT ALLOMAX</t>
  </si>
  <si>
    <t>0040214918</t>
  </si>
  <si>
    <t>GRFT ALLOMAX 16 X 20CM</t>
  </si>
  <si>
    <t>0040214934</t>
  </si>
  <si>
    <t>GRFT ALLOMAX 8CM X 16CM</t>
  </si>
  <si>
    <t>0040214959</t>
  </si>
  <si>
    <t>GRFT Y-MESH KNT ALYTE</t>
  </si>
  <si>
    <t>GRFT Y-MESH</t>
  </si>
  <si>
    <t>0040215030</t>
  </si>
  <si>
    <t>GRAFIX PRIME PER SQ CM</t>
  </si>
  <si>
    <t>GRAFIX PRIME</t>
  </si>
  <si>
    <t>0040217028</t>
  </si>
  <si>
    <t>GRFT NERVE AVANCE</t>
  </si>
  <si>
    <t>GRFT NERVE</t>
  </si>
  <si>
    <t>0040220121</t>
  </si>
  <si>
    <t>GRFT TUTOPLAST DERMIS</t>
  </si>
  <si>
    <t>GRFT AXIS DERMI</t>
  </si>
  <si>
    <t>0040223216</t>
  </si>
  <si>
    <t>GRFT CNTRLTRL LEG</t>
  </si>
  <si>
    <t>GRFT CNTRLTL LG</t>
  </si>
  <si>
    <t>0040223232</t>
  </si>
  <si>
    <t>GRFT VSC STNT EX CUFF</t>
  </si>
  <si>
    <t>GRFT VSC STNT</t>
  </si>
  <si>
    <t>0040223273</t>
  </si>
  <si>
    <t>GRFT VASC CAROTID</t>
  </si>
  <si>
    <t>GRFT VASC</t>
  </si>
  <si>
    <t>0040230047</t>
  </si>
  <si>
    <t>IMP GEN NSTIM RECHG</t>
  </si>
  <si>
    <t>IMP GEN NSTIM</t>
  </si>
  <si>
    <t>0040230054</t>
  </si>
  <si>
    <t>IMP LD EXT NSTIM RESTORE</t>
  </si>
  <si>
    <t>IMP LD EXT NSTM</t>
  </si>
  <si>
    <t>0040230088</t>
  </si>
  <si>
    <t>IMP PLUG ANAL FISTULA</t>
  </si>
  <si>
    <t>IMP PLG FISTULA</t>
  </si>
  <si>
    <t>0040230096</t>
  </si>
  <si>
    <t>IMP POUCH PMP PAIN</t>
  </si>
  <si>
    <t>IMP POUCH PMP</t>
  </si>
  <si>
    <t>0040230112</t>
  </si>
  <si>
    <t>IMP POUCH PULSE GEN</t>
  </si>
  <si>
    <t>IMP POUCH PM</t>
  </si>
  <si>
    <t>0040230138</t>
  </si>
  <si>
    <t>IMP SPACER PEEK</t>
  </si>
  <si>
    <t>IMP SPACER</t>
  </si>
  <si>
    <t>0040230161</t>
  </si>
  <si>
    <t>IMP SFT TIS ORTHADPT 4X5</t>
  </si>
  <si>
    <t>IMP SFT TIS</t>
  </si>
  <si>
    <t>0040230195</t>
  </si>
  <si>
    <t>IMP SCREW CAP</t>
  </si>
  <si>
    <t>0040230211</t>
  </si>
  <si>
    <t>IMP POUCH DEFIB</t>
  </si>
  <si>
    <t>0040230294</t>
  </si>
  <si>
    <t>IMP BIOBRACE SFT TISS SCAFFOLD</t>
  </si>
  <si>
    <t>IMP BIOBRACE SO</t>
  </si>
  <si>
    <t>0040230815</t>
  </si>
  <si>
    <t>IMP TENDON PERONEUS</t>
  </si>
  <si>
    <t>IMP TENDON</t>
  </si>
  <si>
    <t>0040233900</t>
  </si>
  <si>
    <t>KT ANCH PUSHLOCK</t>
  </si>
  <si>
    <t>KT ANCH PUSHLK</t>
  </si>
  <si>
    <t>0040233975</t>
  </si>
  <si>
    <t>KT PLVC FLR RPR PINNACLE</t>
  </si>
  <si>
    <t>KT PLVC FLR RPR</t>
  </si>
  <si>
    <t>0040233983</t>
  </si>
  <si>
    <t>KT TENDON REPAIR W ANCH</t>
  </si>
  <si>
    <t>KT TENDON REP</t>
  </si>
  <si>
    <t>0040236002</t>
  </si>
  <si>
    <t>LD DFIB EASYTRAK 4549</t>
  </si>
  <si>
    <t>LD DFIB EASYTRK</t>
  </si>
  <si>
    <t>0040237414</t>
  </si>
  <si>
    <t>LD NSTM LINEAR ST SC2218</t>
  </si>
  <si>
    <t>LD NSTIM LINEAR</t>
  </si>
  <si>
    <t>0040237505</t>
  </si>
  <si>
    <t>LD NSTIM SPECIFY 39565</t>
  </si>
  <si>
    <t>LD NSTIM SPECIF</t>
  </si>
  <si>
    <t>0040238867</t>
  </si>
  <si>
    <t>MATRX ACEL DERM SCAFFLD</t>
  </si>
  <si>
    <t>MATRX HMATRIX</t>
  </si>
  <si>
    <t>0040238875</t>
  </si>
  <si>
    <t>MATRX COLL REINF INFORCE</t>
  </si>
  <si>
    <t>MATRX COLLAGEN</t>
  </si>
  <si>
    <t>0040238883</t>
  </si>
  <si>
    <t>MATRX COLLAGEN XENMATRIX</t>
  </si>
  <si>
    <t>0040238909</t>
  </si>
  <si>
    <t>MATRX DURAL GRFT DURAGEN</t>
  </si>
  <si>
    <t>MATRX DURAL GRF</t>
  </si>
  <si>
    <t>0040238917</t>
  </si>
  <si>
    <t>MATRX CARTILAG EXTRACELL</t>
  </si>
  <si>
    <t>BIOCARTILAGE</t>
  </si>
  <si>
    <t>0040238941</t>
  </si>
  <si>
    <t>MATRX TISS HUMAN PLACNTL</t>
  </si>
  <si>
    <t>CLARIX FLO</t>
  </si>
  <si>
    <t>0040238958</t>
  </si>
  <si>
    <t>MATRX INTEXEN LP</t>
  </si>
  <si>
    <t>MATRX INTEXN LP</t>
  </si>
  <si>
    <t>0040238982</t>
  </si>
  <si>
    <t>MATRX PELVIC FLOOR REPR</t>
  </si>
  <si>
    <t>MATRX MATRISTEM</t>
  </si>
  <si>
    <t>0040239030</t>
  </si>
  <si>
    <t>MATRX ACELL DRML PROLAYR</t>
  </si>
  <si>
    <t>MATRX PROLAYER</t>
  </si>
  <si>
    <t>0040239063</t>
  </si>
  <si>
    <t>MATRX TISS FLOW PLACENTL</t>
  </si>
  <si>
    <t>VIAFLOW</t>
  </si>
  <si>
    <t>0040239089</t>
  </si>
  <si>
    <t>GENTRIX SURGICAL MATRIX</t>
  </si>
  <si>
    <t>GENTRIX SURG MA</t>
  </si>
  <si>
    <t>0040239097</t>
  </si>
  <si>
    <t>MATRX WND ACEL PLST SURG</t>
  </si>
  <si>
    <t>MATRX PLST SURG</t>
  </si>
  <si>
    <t>0040239105</t>
  </si>
  <si>
    <t>MATRX WND FLOWABLE 1CC</t>
  </si>
  <si>
    <t>MATRX WND FLOW</t>
  </si>
  <si>
    <t>0040239113</t>
  </si>
  <si>
    <t>MATRISTEM MICROMATRI 1MG</t>
  </si>
  <si>
    <t>MARSTEM 1MG</t>
  </si>
  <si>
    <t>0040239410</t>
  </si>
  <si>
    <t>MATRX BN FIBERGRFT BG SML 3CC</t>
  </si>
  <si>
    <t>MATRX BN FBRGRF</t>
  </si>
  <si>
    <t>0040239436</t>
  </si>
  <si>
    <t>MATRX DERM MAXX PER SQ CM</t>
  </si>
  <si>
    <t>MATRX DERM MAXX</t>
  </si>
  <si>
    <t>0040239980</t>
  </si>
  <si>
    <t>MESH COMPOSIX L/P ELLIPS</t>
  </si>
  <si>
    <t>MESH COMPSX LP</t>
  </si>
  <si>
    <t>0040240020</t>
  </si>
  <si>
    <t>MESH COMPSX KGEL 10X13</t>
  </si>
  <si>
    <t>MESH COMPSX KGL</t>
  </si>
  <si>
    <t>0040240046</t>
  </si>
  <si>
    <t>MESH COMPOSIX L/P 8X10</t>
  </si>
  <si>
    <t>MESH COMPSX L/P</t>
  </si>
  <si>
    <t>0040240699</t>
  </si>
  <si>
    <t>MSH H COMPOSITE FLEXIBL</t>
  </si>
  <si>
    <t>MSH PHYSIOMESH</t>
  </si>
  <si>
    <t>0040240715</t>
  </si>
  <si>
    <t>MSH H PARIETEX PROGRIP</t>
  </si>
  <si>
    <t>MESH HERNIA</t>
  </si>
  <si>
    <t>0040240731</t>
  </si>
  <si>
    <t>MSH H POLYPRO 03FA CTD</t>
  </si>
  <si>
    <t>MSH MOSAIC</t>
  </si>
  <si>
    <t>0040240749</t>
  </si>
  <si>
    <t>MSH H SYNECOR BIOMATERL</t>
  </si>
  <si>
    <t>MSH H SYNECOR</t>
  </si>
  <si>
    <t>0040240798</t>
  </si>
  <si>
    <t>MESH H COMPOSIX L/P 7X9</t>
  </si>
  <si>
    <t>0040240806</t>
  </si>
  <si>
    <t>MESH H POLYPRO/EPTFE</t>
  </si>
  <si>
    <t>MESH H POLYPRO</t>
  </si>
  <si>
    <t>0040240822</t>
  </si>
  <si>
    <t>MSH H SEPRA/POLY</t>
  </si>
  <si>
    <t>MSH SEPRA/POLY</t>
  </si>
  <si>
    <t>0040240830</t>
  </si>
  <si>
    <t>MSH H SEPRA/POLY 6X8</t>
  </si>
  <si>
    <t>0040240871</t>
  </si>
  <si>
    <t>MESH H MOD KUGEL 10CM</t>
  </si>
  <si>
    <t>MSH MOD KUGEL</t>
  </si>
  <si>
    <t>0040240889</t>
  </si>
  <si>
    <t>MSH H SEPRA/POLY 8X12</t>
  </si>
  <si>
    <t>0040240921</t>
  </si>
  <si>
    <t>MESH HERNIA CENTRIFIX</t>
  </si>
  <si>
    <t>MESH CENTRIFIX</t>
  </si>
  <si>
    <t>0040240954</t>
  </si>
  <si>
    <t>MSH LAPAROSCOPIC SLF-FIX</t>
  </si>
  <si>
    <t>MSH PROGRIP</t>
  </si>
  <si>
    <t>0040241838</t>
  </si>
  <si>
    <t>MESH PELVITEX</t>
  </si>
  <si>
    <t>0040241846</t>
  </si>
  <si>
    <t>MESH PELVISOFT</t>
  </si>
  <si>
    <t>MSH PELVISOFT</t>
  </si>
  <si>
    <t>0040241895</t>
  </si>
  <si>
    <t>MESH POLYPRO C-QUR REINF</t>
  </si>
  <si>
    <t>MESH C-QUR</t>
  </si>
  <si>
    <t>0040241911</t>
  </si>
  <si>
    <t>MESH POLYPRO FLAT 3X6</t>
  </si>
  <si>
    <t>MESH POLYPRO</t>
  </si>
  <si>
    <t>0040241937</t>
  </si>
  <si>
    <t>MESH POLYPRO KEYHOLE</t>
  </si>
  <si>
    <t>0040241945</t>
  </si>
  <si>
    <t>MESH POLYPRO 10X14</t>
  </si>
  <si>
    <t>0040241994</t>
  </si>
  <si>
    <t>MSH POLYPRO PLUG LG</t>
  </si>
  <si>
    <t>MSH POLY PLUG</t>
  </si>
  <si>
    <t>0040242059</t>
  </si>
  <si>
    <t>MESH PROCEED 8X10</t>
  </si>
  <si>
    <t>MESH PROCEED</t>
  </si>
  <si>
    <t>0040242075</t>
  </si>
  <si>
    <t>MESH PROCEED 15X20</t>
  </si>
  <si>
    <t>0040242455</t>
  </si>
  <si>
    <t>MESH PROCEED VENTRL PTCH</t>
  </si>
  <si>
    <t>PTCH VENTRL</t>
  </si>
  <si>
    <t>0040242489</t>
  </si>
  <si>
    <t>MSH PLVC FLR REP POLYFRM</t>
  </si>
  <si>
    <t>0040242505</t>
  </si>
  <si>
    <t>MSH VENTRALEX W STRP</t>
  </si>
  <si>
    <t>MSH VENTRALEX</t>
  </si>
  <si>
    <t>0040242646</t>
  </si>
  <si>
    <t>PURAPLY AM PER SQ CM</t>
  </si>
  <si>
    <t>PURPLY AM SQ CM</t>
  </si>
  <si>
    <t>0040246035</t>
  </si>
  <si>
    <t>PLUG MSH ULTRAPRO MD</t>
  </si>
  <si>
    <t>PLUG MESH MD</t>
  </si>
  <si>
    <t>0040246068</t>
  </si>
  <si>
    <t>PLUG VASCULAR AMPLATZER</t>
  </si>
  <si>
    <t>PLUG VASC</t>
  </si>
  <si>
    <t>0040246100</t>
  </si>
  <si>
    <t>PORT GASTRIC BAND INJ</t>
  </si>
  <si>
    <t>PORT BAND INJ</t>
  </si>
  <si>
    <t>0040246118</t>
  </si>
  <si>
    <t>PRIMATRIX PER SQ CM</t>
  </si>
  <si>
    <t>PRIMATRIX SQ CM</t>
  </si>
  <si>
    <t>0040246134</t>
  </si>
  <si>
    <t>PTCH PLEDGET/INTRACARDAC</t>
  </si>
  <si>
    <t>CORMATRIX ECM</t>
  </si>
  <si>
    <t>0040246167</t>
  </si>
  <si>
    <t>PTCH H VENTRIO MED OVAL</t>
  </si>
  <si>
    <t>PTCH H VENTRIO</t>
  </si>
  <si>
    <t>0040246175</t>
  </si>
  <si>
    <t>PTCH H VENTRIO LG OVAL</t>
  </si>
  <si>
    <t>0040246183</t>
  </si>
  <si>
    <t>PTCH H VENTRIO SM OVAL</t>
  </si>
  <si>
    <t>0040246191</t>
  </si>
  <si>
    <t>PTCH H VENTRALX LC STRP</t>
  </si>
  <si>
    <t>PTCH H MESH</t>
  </si>
  <si>
    <t>0040246217</t>
  </si>
  <si>
    <t>PTCH H VENTRIO XL OVAL</t>
  </si>
  <si>
    <t>0040246902</t>
  </si>
  <si>
    <t>SLNG SGL INCISION ADJUST</t>
  </si>
  <si>
    <t>SLNG PELVIC</t>
  </si>
  <si>
    <t>0040247009</t>
  </si>
  <si>
    <t>SLNG URETH SUPPORT</t>
  </si>
  <si>
    <t>SLNG URETH SUPP</t>
  </si>
  <si>
    <t>0040247017</t>
  </si>
  <si>
    <t>SLING URETH ALIGN TO</t>
  </si>
  <si>
    <t>SLING URETH</t>
  </si>
  <si>
    <t>0040248072</t>
  </si>
  <si>
    <t>STNT B RX PLASTIC</t>
  </si>
  <si>
    <t>STNT B RX</t>
  </si>
  <si>
    <t>0040248080</t>
  </si>
  <si>
    <t>STNT B PROTEGE EVERFLEX</t>
  </si>
  <si>
    <t>STNT B PROTEGE</t>
  </si>
  <si>
    <t>0040248155</t>
  </si>
  <si>
    <t>STNT B RENAL EXPRESS SD</t>
  </si>
  <si>
    <t>STNT B RENAL</t>
  </si>
  <si>
    <t>0040248189</t>
  </si>
  <si>
    <t>STNT B WALLFLX RX UNCVR</t>
  </si>
  <si>
    <t>STNT WALLFLX RX</t>
  </si>
  <si>
    <t>0040249997</t>
  </si>
  <si>
    <t>STNT C JOSTENT GRFTMSTR</t>
  </si>
  <si>
    <t>STNT C JOSTENT</t>
  </si>
  <si>
    <t>0040250110</t>
  </si>
  <si>
    <t>STNT CAROTID PROTEGE RX</t>
  </si>
  <si>
    <t>STNT CAROTID</t>
  </si>
  <si>
    <t>0040250201</t>
  </si>
  <si>
    <t>STNT COLONIC WALLFLEX</t>
  </si>
  <si>
    <t>STNT COLONIC</t>
  </si>
  <si>
    <t>0040251506</t>
  </si>
  <si>
    <t>STNT ILIAC SMART CONTROL</t>
  </si>
  <si>
    <t>STENT ILIAC</t>
  </si>
  <si>
    <t>0040254013</t>
  </si>
  <si>
    <t>STNT TBRONCH ICAST</t>
  </si>
  <si>
    <t>STNT TBRONCH</t>
  </si>
  <si>
    <t>0040254922</t>
  </si>
  <si>
    <t>SURGIMEND MP 10X15 PER 0.5CM2</t>
  </si>
  <si>
    <t>SURGIMEND MP PE</t>
  </si>
  <si>
    <t>0040254971</t>
  </si>
  <si>
    <t>STNT U POLARIS LOOP</t>
  </si>
  <si>
    <t>STNT U POLARIS</t>
  </si>
  <si>
    <t>0040254989</t>
  </si>
  <si>
    <t>STNT U POLARIS ULTRA</t>
  </si>
  <si>
    <t>STNT POLARS ULT</t>
  </si>
  <si>
    <t>0040255010</t>
  </si>
  <si>
    <t>STNT U METAL RESONANCE</t>
  </si>
  <si>
    <t>STNT U METAL</t>
  </si>
  <si>
    <t>0040255143</t>
  </si>
  <si>
    <t>SYS REP TRANSVAG W SLNG</t>
  </si>
  <si>
    <t>SYS REP TRNSVAG</t>
  </si>
  <si>
    <t>0040255168</t>
  </si>
  <si>
    <t>SYS SLING MINIARC</t>
  </si>
  <si>
    <t>SYS SLNG URETH</t>
  </si>
  <si>
    <t>0040255192</t>
  </si>
  <si>
    <t>SYS SEALANT DURAL</t>
  </si>
  <si>
    <t>SYS SEALNT DURL</t>
  </si>
  <si>
    <t>0040255218</t>
  </si>
  <si>
    <t>SYS SLNG FIX M ADVNC W/S</t>
  </si>
  <si>
    <t>SLNG ML INCONT</t>
  </si>
  <si>
    <t>0040255242</t>
  </si>
  <si>
    <t>SYS REP VAG PROLAPS SLNG</t>
  </si>
  <si>
    <t>SYS REP VAG</t>
  </si>
  <si>
    <t>0040255267</t>
  </si>
  <si>
    <t>TENOGLIDE PER SQ CM</t>
  </si>
  <si>
    <t>TENOGLIDE SQ CM</t>
  </si>
  <si>
    <t>0040255283</t>
  </si>
  <si>
    <t>TISS RPLFRM MTRX 4X7CM</t>
  </si>
  <si>
    <t>TISS RPLFRM</t>
  </si>
  <si>
    <t>0040255291</t>
  </si>
  <si>
    <t>TISS RPLFRM MTRX 5X10CM</t>
  </si>
  <si>
    <t>RPLFRM MTRX</t>
  </si>
  <si>
    <t>0040255309</t>
  </si>
  <si>
    <t>TISSUEMEND</t>
  </si>
  <si>
    <t>0040255317</t>
  </si>
  <si>
    <t>TISSUE MATRIX ANY TYPE</t>
  </si>
  <si>
    <t>TISSUE MATRIX</t>
  </si>
  <si>
    <t>0040270019</t>
  </si>
  <si>
    <t>VERITAS 6X8 SQ CM</t>
  </si>
  <si>
    <t>VERITAS SQ CM</t>
  </si>
  <si>
    <t>0040270027</t>
  </si>
  <si>
    <t>VERITAS 12CM X 25CM</t>
  </si>
  <si>
    <t>0040270035</t>
  </si>
  <si>
    <t>VERITAS 10CM X 16CM</t>
  </si>
  <si>
    <t>0040270100</t>
  </si>
  <si>
    <t>WRAP NRV PROTCT AXOGUARD</t>
  </si>
  <si>
    <t>WRAP NERVE</t>
  </si>
  <si>
    <t>0040270506</t>
  </si>
  <si>
    <t>ALLOGRAFT CARTILAGE</t>
  </si>
  <si>
    <t>ALLOGRFT DENOVO</t>
  </si>
  <si>
    <t>0040279861</t>
  </si>
  <si>
    <t>CYTAL WND 3-LYR 10CMX15CM SQCM</t>
  </si>
  <si>
    <t>CYTAL PER SQ CM</t>
  </si>
  <si>
    <t>0040279978</t>
  </si>
  <si>
    <t>CYTAL WND 3-LYR 7CMX10CM SQ CM</t>
  </si>
  <si>
    <t>0040280026</t>
  </si>
  <si>
    <t>CYTAL 2-LAYER PER SQ CM</t>
  </si>
  <si>
    <t>0040280083</t>
  </si>
  <si>
    <t>DERMACELL PER SQ CM</t>
  </si>
  <si>
    <t>DERMACELL SQ CM</t>
  </si>
  <si>
    <t>0040280216</t>
  </si>
  <si>
    <t>ENVELOPE ECM IMPLANT DVC</t>
  </si>
  <si>
    <t>ENVELOPE ECM</t>
  </si>
  <si>
    <t>0040280224</t>
  </si>
  <si>
    <t>EPIFIX INJECT PER 1MG</t>
  </si>
  <si>
    <t>EPIFIX INJ 1MG</t>
  </si>
  <si>
    <t>0040284507</t>
  </si>
  <si>
    <t>GFRT STNT ABD OCCULDER</t>
  </si>
  <si>
    <t>GRF STNT TALENT</t>
  </si>
  <si>
    <t>0040284598</t>
  </si>
  <si>
    <t>GRFT STNT ENDOVASCULR</t>
  </si>
  <si>
    <t>GRF FLUENCY PLS</t>
  </si>
  <si>
    <t>0040284812</t>
  </si>
  <si>
    <t>IMP BIOINTEGRATIVE TAPESTRY</t>
  </si>
  <si>
    <t>IMP BIOINTEGRAT</t>
  </si>
  <si>
    <t>0040285462</t>
  </si>
  <si>
    <t>MSH ANTERIOR DIRECTFIX</t>
  </si>
  <si>
    <t>MSH RESTORELLE</t>
  </si>
  <si>
    <t>0040285579</t>
  </si>
  <si>
    <t>NEOX FLO PER 1MG</t>
  </si>
  <si>
    <t>NEOX FLO 1MG</t>
  </si>
  <si>
    <t>0040285587</t>
  </si>
  <si>
    <t>NEOX 1K PER SQ CM</t>
  </si>
  <si>
    <t>NEOX 1K SQ CM</t>
  </si>
  <si>
    <t>0040285611</t>
  </si>
  <si>
    <t>NUSHIELD 4X4 PER SQ CM</t>
  </si>
  <si>
    <t>NUSHIELD SQ CM</t>
  </si>
  <si>
    <t>0040287351</t>
  </si>
  <si>
    <t>STNT B PROTEGE GPS</t>
  </si>
  <si>
    <t>STNT B SLF EXPN</t>
  </si>
  <si>
    <t>0040287401</t>
  </si>
  <si>
    <t>STRATTICE TM PER SQ CM SKINSUB</t>
  </si>
  <si>
    <t>STRATTICE SQ CM</t>
  </si>
  <si>
    <t>0040287476</t>
  </si>
  <si>
    <t>STRAVIX 3CMX6CM PER SQ CM</t>
  </si>
  <si>
    <t>STRAVIX PER SQ</t>
  </si>
  <si>
    <t>0040288060</t>
  </si>
  <si>
    <t>SYS MESH VAGINAL SUPPORT</t>
  </si>
  <si>
    <t>SYS UPHOLD LITE</t>
  </si>
  <si>
    <t>0040288110</t>
  </si>
  <si>
    <t>SYS SLNG MIDURETH TRNOBT</t>
  </si>
  <si>
    <t>SYS SLNG OBTYX</t>
  </si>
  <si>
    <t>0040288128</t>
  </si>
  <si>
    <t>SYS SLNG MIDURETHRL MSH</t>
  </si>
  <si>
    <t>SYS SLNG SOLYX</t>
  </si>
  <si>
    <t>0040288144</t>
  </si>
  <si>
    <t>SYS SLNG MDURET TRN HALO</t>
  </si>
  <si>
    <t>SYS OBTRYX II</t>
  </si>
  <si>
    <t>0040288151</t>
  </si>
  <si>
    <t>SYS SLNG SUPRAPUBIC MESH</t>
  </si>
  <si>
    <t>SYS SLNG SUPRIS</t>
  </si>
  <si>
    <t>0040288177</t>
  </si>
  <si>
    <t>SYS SLING SGL INCISION</t>
  </si>
  <si>
    <t>SYS SLING ALTIS</t>
  </si>
  <si>
    <t>0040288201</t>
  </si>
  <si>
    <t>TENDON ALLOGRF PRESUTURD</t>
  </si>
  <si>
    <t>TENDN SPEEDGRFT</t>
  </si>
  <si>
    <t>0040288268</t>
  </si>
  <si>
    <t>WND MATRIX RESTRATA PER SQ CM</t>
  </si>
  <si>
    <t>RESTRATA MESHED</t>
  </si>
  <si>
    <t>0040312506</t>
  </si>
  <si>
    <t>CATH BLN DIL NEPHROMAX</t>
  </si>
  <si>
    <t>CATH NEPHROMAX</t>
  </si>
  <si>
    <t>0040312704</t>
  </si>
  <si>
    <t>CATH BLN PTA GATEWAY</t>
  </si>
  <si>
    <t>CATH BLN PTA</t>
  </si>
  <si>
    <t>0040312753</t>
  </si>
  <si>
    <t>CATH BLN RELIANT STN GRF</t>
  </si>
  <si>
    <t>CATH BLN STN GR</t>
  </si>
  <si>
    <t>0040313090</t>
  </si>
  <si>
    <t>CATH DIAL PALINDROME</t>
  </si>
  <si>
    <t>CATH DIAL PALND</t>
  </si>
  <si>
    <t>0040313108</t>
  </si>
  <si>
    <t>CATH DIAMONDBACK 360</t>
  </si>
  <si>
    <t>CATH DIAMONDBCK</t>
  </si>
  <si>
    <t>0040313454</t>
  </si>
  <si>
    <t>CATH EP DECAPOLAR</t>
  </si>
  <si>
    <t>CATH EP DECAPLR</t>
  </si>
  <si>
    <t>0040313520</t>
  </si>
  <si>
    <t>CATH EP OTH THN COOL TP2</t>
  </si>
  <si>
    <t>CATH EP OTHER</t>
  </si>
  <si>
    <t>0040314304</t>
  </si>
  <si>
    <t>CATH IVUS PIONEER</t>
  </si>
  <si>
    <t>CATH IVUS</t>
  </si>
  <si>
    <t>0040314825</t>
  </si>
  <si>
    <t>CATH PERIPHL CTO CROSSER</t>
  </si>
  <si>
    <t>CATH PERIPH CTO</t>
  </si>
  <si>
    <t>0040315103</t>
  </si>
  <si>
    <t>CATH REPERFUS INTRACRAN</t>
  </si>
  <si>
    <t>CATH REPERFUS</t>
  </si>
  <si>
    <t>0040318867</t>
  </si>
  <si>
    <t>DVC RETRVL MINI SNARE</t>
  </si>
  <si>
    <t>DVC RETRV SNARE</t>
  </si>
  <si>
    <t>0040325060</t>
  </si>
  <si>
    <t>GRAFTJACKET PER SQ CM</t>
  </si>
  <si>
    <t>GRAFTJACKET</t>
  </si>
  <si>
    <t>0040325193</t>
  </si>
  <si>
    <t>GW SYNCHRO</t>
  </si>
  <si>
    <t>0040325292</t>
  </si>
  <si>
    <t>GW VIPERWIRE</t>
  </si>
  <si>
    <t>0040327504</t>
  </si>
  <si>
    <t>INTEGRA 2LAYR MTRX SQ CM</t>
  </si>
  <si>
    <t>INTEGRA SQ CM</t>
  </si>
  <si>
    <t>0040328502</t>
  </si>
  <si>
    <t>INTR SHTH CATH AVANTI</t>
  </si>
  <si>
    <t>INTR SHTH CATH</t>
  </si>
  <si>
    <t>0040328510</t>
  </si>
  <si>
    <t>INTRO SHTH GLIDE</t>
  </si>
  <si>
    <t>INTR SHTH GLIDE</t>
  </si>
  <si>
    <t>0040330383</t>
  </si>
  <si>
    <t>MCATH ASAHI CORSAIR OTW</t>
  </si>
  <si>
    <t>MCATH CORSAIR</t>
  </si>
  <si>
    <t>0040330425</t>
  </si>
  <si>
    <t>MCATH EXCELSIOR PRESHAPE</t>
  </si>
  <si>
    <t>MCATH EXCELSIOR</t>
  </si>
  <si>
    <t>0040330441</t>
  </si>
  <si>
    <t>MCATH ECHELON GUIDING</t>
  </si>
  <si>
    <t>MCATH GUIDING</t>
  </si>
  <si>
    <t>0040330466</t>
  </si>
  <si>
    <t>MCATH FINECROSS</t>
  </si>
  <si>
    <t>0040330482</t>
  </si>
  <si>
    <t>MCATH DELIVERY VELOCITY</t>
  </si>
  <si>
    <t>MCATH DELIVERY</t>
  </si>
  <si>
    <t>0040330532</t>
  </si>
  <si>
    <t>MCATH DELIVERY LANTERN</t>
  </si>
  <si>
    <t>MCATH LANTERN</t>
  </si>
  <si>
    <t>0040330599</t>
  </si>
  <si>
    <t>MCATH HEADWAY17 ADVANCED</t>
  </si>
  <si>
    <t>MCATH HEADWAY17</t>
  </si>
  <si>
    <t>0040330607</t>
  </si>
  <si>
    <t>MCATH HEADWAY DUO</t>
  </si>
  <si>
    <t>MCATH HEADWAY D</t>
  </si>
  <si>
    <t>0040330847</t>
  </si>
  <si>
    <t>MCATH MARKSMAN DELIVERY</t>
  </si>
  <si>
    <t>MCATH MARKSMAN</t>
  </si>
  <si>
    <t>0040330870</t>
  </si>
  <si>
    <t>MCATH PHENOM 027</t>
  </si>
  <si>
    <t>MCATH PHENOM 02</t>
  </si>
  <si>
    <t>0041000043</t>
  </si>
  <si>
    <t>ELECTROLYTE PANEL</t>
  </si>
  <si>
    <t>ELECTROLYTE PAN</t>
  </si>
  <si>
    <t>0041000316</t>
  </si>
  <si>
    <t>VANCOMYCIN</t>
  </si>
  <si>
    <t>0041000324</t>
  </si>
  <si>
    <t>VANCOMYCIN/2</t>
  </si>
  <si>
    <t>0041000332</t>
  </si>
  <si>
    <t>VANCOMYCIN/3</t>
  </si>
  <si>
    <t>0041000472</t>
  </si>
  <si>
    <t>BASIC METABOL PN ION CA</t>
  </si>
  <si>
    <t>BMP ION CAL</t>
  </si>
  <si>
    <t>0041000563</t>
  </si>
  <si>
    <t>CBC AUTO W/O DIFF</t>
  </si>
  <si>
    <t>CBC AUTO</t>
  </si>
  <si>
    <t>0041000621</t>
  </si>
  <si>
    <t>LIPID PANEL</t>
  </si>
  <si>
    <t>0041001017</t>
  </si>
  <si>
    <t>DRUG TEST PRSMV CHEM ANLYZR/2</t>
  </si>
  <si>
    <t>DRUG TEST PRSMV</t>
  </si>
  <si>
    <t>0041001025</t>
  </si>
  <si>
    <t>DRUG TEST PRSMV CHEM ANLYZR/3</t>
  </si>
  <si>
    <t>0041001090</t>
  </si>
  <si>
    <t>HEPATIC FUNCTION PANEL</t>
  </si>
  <si>
    <t>HEPATC FUNC PNL</t>
  </si>
  <si>
    <t>0041001116</t>
  </si>
  <si>
    <t>COMP METABOLIC PANEL</t>
  </si>
  <si>
    <t>COMP METABLC PN</t>
  </si>
  <si>
    <t>0041001660</t>
  </si>
  <si>
    <t>BASIC METABOLIC PANEL</t>
  </si>
  <si>
    <t>BSC METABLC PNL</t>
  </si>
  <si>
    <t>0041003617</t>
  </si>
  <si>
    <t>SARSCOV IA ANTIGEN</t>
  </si>
  <si>
    <t>SARSCOV IA ANTI</t>
  </si>
  <si>
    <t>0041003724</t>
  </si>
  <si>
    <t>COVID 19</t>
  </si>
  <si>
    <t>0041010018</t>
  </si>
  <si>
    <t>UA AUTO W/MICRO</t>
  </si>
  <si>
    <t>0041010026</t>
  </si>
  <si>
    <t>UA NON-AUTO W/O MICRO</t>
  </si>
  <si>
    <t>UA W/O MICRO</t>
  </si>
  <si>
    <t>0041010034</t>
  </si>
  <si>
    <t>UA AUTO W/O MICRO</t>
  </si>
  <si>
    <t>0041010042</t>
  </si>
  <si>
    <t>UA AUTO W/O MICRO/2</t>
  </si>
  <si>
    <t>UA W/O MICRO/2</t>
  </si>
  <si>
    <t>0041010059</t>
  </si>
  <si>
    <t>UA QUAL/SEMIQUANT</t>
  </si>
  <si>
    <t>UA QUAL/SEMIQUA</t>
  </si>
  <si>
    <t>0041010158</t>
  </si>
  <si>
    <t>URINALYSIS MICRO ONLY</t>
  </si>
  <si>
    <t>URIN MICRO ONLY</t>
  </si>
  <si>
    <t>0041010265</t>
  </si>
  <si>
    <t>URINE PREG TEST QUAL</t>
  </si>
  <si>
    <t>UR PREG TST QL</t>
  </si>
  <si>
    <t>0041010984</t>
  </si>
  <si>
    <t>UA NON-AUTO W/O MICRO/4</t>
  </si>
  <si>
    <t>UA W/O MICRO/4</t>
  </si>
  <si>
    <t>0041020033</t>
  </si>
  <si>
    <t>DRUG TEST PRSMV CHEM ANLYZR/8</t>
  </si>
  <si>
    <t>0041020090</t>
  </si>
  <si>
    <t>ACETONE QUALITATIVE/2</t>
  </si>
  <si>
    <t>ACETONE QUAL/2</t>
  </si>
  <si>
    <t>0041020116</t>
  </si>
  <si>
    <t>DRUG TEST PRSMV CHEM ANLYZR/9</t>
  </si>
  <si>
    <t>0041020124</t>
  </si>
  <si>
    <t>ACETONE QUANTITATIVE/3</t>
  </si>
  <si>
    <t>ACETONE QUAN/3</t>
  </si>
  <si>
    <t>0041020405</t>
  </si>
  <si>
    <t>ALBUMIN SERUM</t>
  </si>
  <si>
    <t>0041020454</t>
  </si>
  <si>
    <t>ALBUMIN QUANT OTH SRC/2</t>
  </si>
  <si>
    <t>ALBUMIN QNT/2</t>
  </si>
  <si>
    <t>0041020553</t>
  </si>
  <si>
    <t>DRUG TEST PRSMV CHEM ANLYZR/10</t>
  </si>
  <si>
    <t>0041020652</t>
  </si>
  <si>
    <t>DRUG TEST PRSMV CHEM ANLYZR/11</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</si>
  <si>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</si>
  <si>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</si>
  <si>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</si>
  <si>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</si>
  <si>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</si>
  <si>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</si>
  <si>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</si>
  <si>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</si>
  <si>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</si>
  <si>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</si>
  <si>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</si>
  <si>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</si>
  <si>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</si>
  <si>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</si>
  <si>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</si>
  <si>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</si>
  <si>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</si>
  <si>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0041021544</t>
  </si>
  <si>
    <t>AMYLASE/5</t>
  </si>
  <si>
    <t>0041022138</t>
  </si>
  <si>
    <t>DRUG TEST PRSMV CHEM ANLYZR/12</t>
  </si>
  <si>
    <t>0041022500</t>
  </si>
  <si>
    <t>BILIRUBIN TOTAL/2</t>
  </si>
  <si>
    <t>BILIRUBN TOTAL/</t>
  </si>
  <si>
    <t>0041022534</t>
  </si>
  <si>
    <t>BILIRUBIN DIRECT</t>
  </si>
  <si>
    <t>BILIRUBN DIRECT</t>
  </si>
  <si>
    <t>0041022708</t>
  </si>
  <si>
    <t>OCCULT BLD STL 1-3</t>
  </si>
  <si>
    <t>OCC BL ST1-3SIM</t>
  </si>
  <si>
    <t>0041022724</t>
  </si>
  <si>
    <t>OCCULT BLD FECES ONE SPC</t>
  </si>
  <si>
    <t>OCC BLD QL</t>
  </si>
  <si>
    <t>0041022757</t>
  </si>
  <si>
    <t>OCCULT BLD OTHR SOURCE/2</t>
  </si>
  <si>
    <t>OCC BLD OTH SRC</t>
  </si>
  <si>
    <t>0041023102</t>
  </si>
  <si>
    <t>CALCIUM</t>
  </si>
  <si>
    <t>0041023300</t>
  </si>
  <si>
    <t>CALCIUM IONIZED</t>
  </si>
  <si>
    <t>0041023409</t>
  </si>
  <si>
    <t>CALCIUM URINE QUAN</t>
  </si>
  <si>
    <t>CALC URINE QUAN</t>
  </si>
  <si>
    <t>0041023417</t>
  </si>
  <si>
    <t>CALCIUM URINE QUAN/2</t>
  </si>
  <si>
    <t>0041023722</t>
  </si>
  <si>
    <t>CARBAMAZAPINE</t>
  </si>
  <si>
    <t>0041023748</t>
  </si>
  <si>
    <t>CARBON DIOXIDE</t>
  </si>
  <si>
    <t>0041024357</t>
  </si>
  <si>
    <t>CHLORIDE URINE</t>
  </si>
  <si>
    <t>0041024365</t>
  </si>
  <si>
    <t>CHLORIDE URINE/2</t>
  </si>
  <si>
    <t>CHLORIDE URINE/</t>
  </si>
  <si>
    <t>0041024381</t>
  </si>
  <si>
    <t>CHLORIDE OTHER SOURCE/2</t>
  </si>
  <si>
    <t>CHLORID OTH SRC</t>
  </si>
  <si>
    <t>0041024399</t>
  </si>
  <si>
    <t>CHLORIDE</t>
  </si>
  <si>
    <t>0041024654</t>
  </si>
  <si>
    <t>CHOLESTEROL TOTAL</t>
  </si>
  <si>
    <t>CHOLESTEROL TOT</t>
  </si>
  <si>
    <t>0041024761</t>
  </si>
  <si>
    <t>LDL CHOLESTOROL</t>
  </si>
  <si>
    <t>LDL CHOLEST</t>
  </si>
  <si>
    <t>0041025503</t>
  </si>
  <si>
    <t>CREATINE KINASE TOTAL</t>
  </si>
  <si>
    <t>CPK TOTAL</t>
  </si>
  <si>
    <t>0041025537</t>
  </si>
  <si>
    <t>CK MB FRACTION</t>
  </si>
  <si>
    <t>CK MB FRAC</t>
  </si>
  <si>
    <t>0041025602</t>
  </si>
  <si>
    <t>DRUG TEST PRSMV CHEM ANLYZR/14</t>
  </si>
  <si>
    <t>0041025651</t>
  </si>
  <si>
    <t>CREATININE BLOOD/2</t>
  </si>
  <si>
    <t>CREATININE BLD/</t>
  </si>
  <si>
    <t>0041025701</t>
  </si>
  <si>
    <t>CREATININE OTHR SRCE</t>
  </si>
  <si>
    <t>CREATIN OTH SRC</t>
  </si>
  <si>
    <t>0041025719</t>
  </si>
  <si>
    <t>CREATININE OTHR SRCE/2</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</si>
  <si>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</si>
  <si>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</si>
  <si>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</si>
  <si>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</si>
  <si>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</si>
  <si>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</si>
  <si>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</si>
  <si>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</si>
  <si>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</si>
  <si>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</si>
  <si>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</si>
  <si>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</si>
  <si>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0041027269</t>
  </si>
  <si>
    <t>FERRITIN</t>
  </si>
  <si>
    <t>0041027467</t>
  </si>
  <si>
    <t>FOLIC ACID</t>
  </si>
  <si>
    <t>0041028036</t>
  </si>
  <si>
    <t>GAS BLD ANY COMB W/CALO2</t>
  </si>
  <si>
    <t>GS BLD ANY COMB</t>
  </si>
  <si>
    <t>0041029455</t>
  </si>
  <si>
    <t>GLUCOSE BODY FLUID</t>
  </si>
  <si>
    <t>GLUCOSE BDY FLD</t>
  </si>
  <si>
    <t>0041029471</t>
  </si>
  <si>
    <t>GLUCOSE QUANTITATIVE</t>
  </si>
  <si>
    <t>GLUCOSE QUANT</t>
  </si>
  <si>
    <t>0041029505</t>
  </si>
  <si>
    <t>GLUCOSE POST DOSE</t>
  </si>
  <si>
    <t>GLUC POST DOSE</t>
  </si>
  <si>
    <t>0041029513</t>
  </si>
  <si>
    <t>GLUCOSE TOLERANCE 3SPEC</t>
  </si>
  <si>
    <t>GLUCOS TOL 3SPC</t>
  </si>
  <si>
    <t>0041029521</t>
  </si>
  <si>
    <t>GTT EA ADD &gt;3SPEC</t>
  </si>
  <si>
    <t>GTT EA ADD &gt;3SP</t>
  </si>
  <si>
    <t>0041029547</t>
  </si>
  <si>
    <t>GLUCOSE BODY FLUID/3</t>
  </si>
  <si>
    <t>0041029588</t>
  </si>
  <si>
    <t>GLUCOSE BODY FLUID/4</t>
  </si>
  <si>
    <t>0041029620</t>
  </si>
  <si>
    <t>GLUCOSE BLD BY MONIT DEV</t>
  </si>
  <si>
    <t>GLUC BLD MNT DV</t>
  </si>
  <si>
    <t>0041029802</t>
  </si>
  <si>
    <t>GGT</t>
  </si>
  <si>
    <t>0041029943</t>
  </si>
  <si>
    <t>HEMOGLOBIN GLYCATED</t>
  </si>
  <si>
    <t>HEMOGLOBN GLYCT</t>
  </si>
  <si>
    <t>0041030040</t>
  </si>
  <si>
    <t>GENTAMICIN</t>
  </si>
  <si>
    <t>0041030099</t>
  </si>
  <si>
    <t>GENTAMICIN/2</t>
  </si>
  <si>
    <t>0041030123</t>
  </si>
  <si>
    <t>GENTAMICIN/3</t>
  </si>
  <si>
    <t>0041030131</t>
  </si>
  <si>
    <t>GONADTOPN CHRONC(HCG)QL</t>
  </si>
  <si>
    <t>GONA CHR(HCG)QL</t>
  </si>
  <si>
    <t>0041030149</t>
  </si>
  <si>
    <t>GONADTOPN CHORNC(HCG)QNT</t>
  </si>
  <si>
    <t>GONA CHR(HCG)QN</t>
  </si>
  <si>
    <t>0041030941</t>
  </si>
  <si>
    <t>HOMOCYSTEINE QUANT</t>
  </si>
  <si>
    <t>HOMOCYSTEIN QNT</t>
  </si>
  <si>
    <t>0041035270</t>
  </si>
  <si>
    <t>B-TYP NATRIURETC PEPTIDE</t>
  </si>
  <si>
    <t>B-TYP NATR PEPT</t>
  </si>
  <si>
    <t>0041035312</t>
  </si>
  <si>
    <t>THYROXINE FREE</t>
  </si>
  <si>
    <t>0041035403</t>
  </si>
  <si>
    <t>IRON ASSAY</t>
  </si>
  <si>
    <t>0041035502</t>
  </si>
  <si>
    <t>IRON BINDING CAPCTY</t>
  </si>
  <si>
    <t>IRON BINDNG CAP</t>
  </si>
  <si>
    <t>0041036054</t>
  </si>
  <si>
    <t>LACTATE(LACTIC ACID)</t>
  </si>
  <si>
    <t>LACTATE</t>
  </si>
  <si>
    <t>0041036153</t>
  </si>
  <si>
    <t>LDH-LACTIC DEHYDROGENASE</t>
  </si>
  <si>
    <t>LDH</t>
  </si>
  <si>
    <t>0041036161</t>
  </si>
  <si>
    <t>LDH-LACTIC DEHYDROGENASE/2</t>
  </si>
  <si>
    <t>LDH/2</t>
  </si>
  <si>
    <t>0041036906</t>
  </si>
  <si>
    <t>LIPASE</t>
  </si>
  <si>
    <t>0041037250</t>
  </si>
  <si>
    <t>LITHIUM</t>
  </si>
  <si>
    <t>0041037359</t>
  </si>
  <si>
    <t>MAGNESIUM</t>
  </si>
  <si>
    <t>0041037557</t>
  </si>
  <si>
    <t>MAGNESIUM/4</t>
  </si>
  <si>
    <t>0041037565</t>
  </si>
  <si>
    <t>MAGNESIUM/5</t>
  </si>
  <si>
    <t>0041038738</t>
  </si>
  <si>
    <t>MYOGLOBIN</t>
  </si>
  <si>
    <t>0041039272</t>
  </si>
  <si>
    <t>DRUG TEST PRSMV CHEM ANLYZR/17</t>
  </si>
  <si>
    <t>0041039306</t>
  </si>
  <si>
    <t>OSMOLALITY BLOOD</t>
  </si>
  <si>
    <t>OSMOLALITY BLD</t>
  </si>
  <si>
    <t>0041039355</t>
  </si>
  <si>
    <t>OSMOLALITY URINE</t>
  </si>
  <si>
    <t>OSMOLALITY URIN</t>
  </si>
  <si>
    <t>0041039801</t>
  </si>
  <si>
    <t>PH BODY FLUID NOS</t>
  </si>
  <si>
    <t>PH BODY FLUID N</t>
  </si>
  <si>
    <t>0041040205</t>
  </si>
  <si>
    <t>PHENOBARBITAL</t>
  </si>
  <si>
    <t>0041040759</t>
  </si>
  <si>
    <t>PHOSPHATASE ALKALINE</t>
  </si>
  <si>
    <t>PHOSPHA ALKALIN</t>
  </si>
  <si>
    <t>0041041005</t>
  </si>
  <si>
    <t>PHOSPHORUS</t>
  </si>
  <si>
    <t>0041041021</t>
  </si>
  <si>
    <t>PHOSPHORUS URINE</t>
  </si>
  <si>
    <t>PHOSPHORUS URI</t>
  </si>
  <si>
    <t>0041041328</t>
  </si>
  <si>
    <t>POTASSIUM</t>
  </si>
  <si>
    <t>0041041336</t>
  </si>
  <si>
    <t>POTASSIUM URINE</t>
  </si>
  <si>
    <t>0041041344</t>
  </si>
  <si>
    <t>POTASSIUM URINE/2</t>
  </si>
  <si>
    <t>0041041435</t>
  </si>
  <si>
    <t>N-ACETYL-PROCAINAMIDE</t>
  </si>
  <si>
    <t>NAPA</t>
  </si>
  <si>
    <t>0041041534</t>
  </si>
  <si>
    <t>PROSTATIC SPECIFIC AG</t>
  </si>
  <si>
    <t>PROSTAT SPEC AG</t>
  </si>
  <si>
    <t>0041041542</t>
  </si>
  <si>
    <t>PROTEIN TOTAL OTHER SOURCE</t>
  </si>
  <si>
    <t>PROT TOT OTHR S</t>
  </si>
  <si>
    <t>0041041559</t>
  </si>
  <si>
    <t>PROTEIN TOTAL</t>
  </si>
  <si>
    <t>0041041567</t>
  </si>
  <si>
    <t>PROTEIN URINE</t>
  </si>
  <si>
    <t>0041041807</t>
  </si>
  <si>
    <t>PROTEIN URINE/3</t>
  </si>
  <si>
    <t>0041041955</t>
  </si>
  <si>
    <t>PROTEIN TOTAL OTHER SOURCE/2</t>
  </si>
  <si>
    <t>0041041963</t>
  </si>
  <si>
    <t>PROTEIN TOTAL OTHER SOURCE/3</t>
  </si>
  <si>
    <t>0041042003</t>
  </si>
  <si>
    <t>PT SUBST PLSMA FRCT EA</t>
  </si>
  <si>
    <t>PT SUB PLS FRCT</t>
  </si>
  <si>
    <t>0041042508</t>
  </si>
  <si>
    <t>TRIIODTHYRN (T3/T4) UPTAKE</t>
  </si>
  <si>
    <t>T3/T4 UPTAKE</t>
  </si>
  <si>
    <t>0041042953</t>
  </si>
  <si>
    <t>SODIUM</t>
  </si>
  <si>
    <t>0041042961</t>
  </si>
  <si>
    <t>SODIUM URINE</t>
  </si>
  <si>
    <t>0041043001</t>
  </si>
  <si>
    <t>SODIUM URINE/2</t>
  </si>
  <si>
    <t>0041044082</t>
  </si>
  <si>
    <t>DRUG TEST PRSMV CHEM ANLYZR/19</t>
  </si>
  <si>
    <t>0041044363</t>
  </si>
  <si>
    <t>THYROXINE TOTAL</t>
  </si>
  <si>
    <t>THYROXIN TOTAL</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</si>
  <si>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</si>
  <si>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</si>
  <si>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</si>
  <si>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</si>
  <si>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</si>
  <si>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</si>
  <si>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</si>
  <si>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</si>
  <si>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</si>
  <si>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</si>
  <si>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</si>
  <si>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</si>
  <si>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</si>
  <si>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</si>
  <si>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</si>
  <si>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</si>
  <si>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</si>
  <si>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</si>
  <si>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</si>
  <si>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0041045204</t>
  </si>
  <si>
    <t>BLD UREA NITROGEN QUAN</t>
  </si>
  <si>
    <t>BLD UREA NTRG Q</t>
  </si>
  <si>
    <t>0041045261</t>
  </si>
  <si>
    <t>UREA NTRGN(BUN)CLEARANCE</t>
  </si>
  <si>
    <t>BUN CLEARANCE</t>
  </si>
  <si>
    <t>0041045402</t>
  </si>
  <si>
    <t>UREA NITROGEN URINE</t>
  </si>
  <si>
    <t>UREA NTRGN URIN</t>
  </si>
  <si>
    <t>0041045410</t>
  </si>
  <si>
    <t>UREA NITROGEN URINE/2</t>
  </si>
  <si>
    <t>0041045501</t>
  </si>
  <si>
    <t>URIC ACID BLOOD</t>
  </si>
  <si>
    <t>0041045576</t>
  </si>
  <si>
    <t>URIC ACID OTHR SOURCE</t>
  </si>
  <si>
    <t>URIC ACD OTH SR</t>
  </si>
  <si>
    <t>0041045592</t>
  </si>
  <si>
    <t>URIC ACID OTHR SOURCE/2</t>
  </si>
  <si>
    <t>0041045600</t>
  </si>
  <si>
    <t>URIC ACID OTHR SOURCE/3</t>
  </si>
  <si>
    <t>0041045840</t>
  </si>
  <si>
    <t>VALPROIC ACID TOTAL</t>
  </si>
  <si>
    <t>VALPROIC TOTAL</t>
  </si>
  <si>
    <t>0041045956</t>
  </si>
  <si>
    <t>VITAMIN D/25 HYDROXY</t>
  </si>
  <si>
    <t>VITAMIN D/25 HY</t>
  </si>
  <si>
    <t>0041049008</t>
  </si>
  <si>
    <t>IA TUMOR CA 19-9 QUAN</t>
  </si>
  <si>
    <t>IA TUMOR CA19-9</t>
  </si>
  <si>
    <t>0041049024</t>
  </si>
  <si>
    <t>IA TUMOR CA 15-3 QUAN</t>
  </si>
  <si>
    <t>IA TUMOR CA15-3</t>
  </si>
  <si>
    <t>0041049040</t>
  </si>
  <si>
    <t>IA TUMOR CA 125 QUAN</t>
  </si>
  <si>
    <t>IA TUMOR CA125</t>
  </si>
  <si>
    <t>0041050030</t>
  </si>
  <si>
    <t>BLEEDING TIME</t>
  </si>
  <si>
    <t>BLEED TIME</t>
  </si>
  <si>
    <t>0041050063</t>
  </si>
  <si>
    <t>CLOSTRIDIUM IA</t>
  </si>
  <si>
    <t>0041050071</t>
  </si>
  <si>
    <t>BLD SMR EXAM W/DIFF</t>
  </si>
  <si>
    <t>BLD SMR EXM DIF</t>
  </si>
  <si>
    <t>0041050113</t>
  </si>
  <si>
    <t>RBC AUTO</t>
  </si>
  <si>
    <t>0041050121</t>
  </si>
  <si>
    <t>MANUAL BLOOD COUNT</t>
  </si>
  <si>
    <t>MAN BLD COUNT</t>
  </si>
  <si>
    <t>0041050139</t>
  </si>
  <si>
    <t>WBC AUTO</t>
  </si>
  <si>
    <t>0041050147</t>
  </si>
  <si>
    <t>HEMATOCRIT</t>
  </si>
  <si>
    <t>0041050188</t>
  </si>
  <si>
    <t>BLOOD HEMOGLBN</t>
  </si>
  <si>
    <t>BLOOD HEMOGLOBN</t>
  </si>
  <si>
    <t>0041050287</t>
  </si>
  <si>
    <t>CBC WITH AUTO DIFF</t>
  </si>
  <si>
    <t>CBC W/AUTO DIFF</t>
  </si>
  <si>
    <t>0041050444</t>
  </si>
  <si>
    <t>RETICULOCYTE COUNT MAN</t>
  </si>
  <si>
    <t>RETIC COUNT MAN</t>
  </si>
  <si>
    <t>0041050451</t>
  </si>
  <si>
    <t>RETICULOCYTE COUNT AUTO</t>
  </si>
  <si>
    <t>RETIC COUNT AUT</t>
  </si>
  <si>
    <t>0041050543</t>
  </si>
  <si>
    <t>MICROHEMATOCRIT SPUN</t>
  </si>
  <si>
    <t>MICROHEMTCR SPN</t>
  </si>
  <si>
    <t>0041053471</t>
  </si>
  <si>
    <t>COAGULATION TIME ACTIVTD</t>
  </si>
  <si>
    <t>COAGULAT ACTIV</t>
  </si>
  <si>
    <t>0041053505</t>
  </si>
  <si>
    <t>FDP D-DIMER QNT</t>
  </si>
  <si>
    <t>FDP D-DMR QN</t>
  </si>
  <si>
    <t>0041053620</t>
  </si>
  <si>
    <t>FDP FSP AGGLUTNATN SEMQTY</t>
  </si>
  <si>
    <t>FDP FSP AGGLUTN</t>
  </si>
  <si>
    <t>0041053844</t>
  </si>
  <si>
    <t>FIBRINOGEN ACTIVITY</t>
  </si>
  <si>
    <t>FIBRINOGN ACTIV</t>
  </si>
  <si>
    <t>0041053869</t>
  </si>
  <si>
    <t>0041055203</t>
  </si>
  <si>
    <t>HEPARIN ASSAY</t>
  </si>
  <si>
    <t>0041055765</t>
  </si>
  <si>
    <t>PLT AGGREGATION EA AGENT</t>
  </si>
  <si>
    <t>PLT AGGREG EA A</t>
  </si>
  <si>
    <t>0041055773</t>
  </si>
  <si>
    <t>PLT AGGREGATION EA AGENT/2</t>
  </si>
  <si>
    <t>0041055781</t>
  </si>
  <si>
    <t>PLT AGGREGATION EA AGENT/3</t>
  </si>
  <si>
    <t>0041055955</t>
  </si>
  <si>
    <t>PLATELET AUTO</t>
  </si>
  <si>
    <t>0041056102</t>
  </si>
  <si>
    <t>PROTHROMBIN TIME</t>
  </si>
  <si>
    <t>PROTHROM TIME</t>
  </si>
  <si>
    <t>0041056516</t>
  </si>
  <si>
    <t>SEDIMENTN RATE-NON-AUTO</t>
  </si>
  <si>
    <t>SED RATE NONAUT</t>
  </si>
  <si>
    <t>0041057001</t>
  </si>
  <si>
    <t>PTT</t>
  </si>
  <si>
    <t>0041057308</t>
  </si>
  <si>
    <t>PTT/2</t>
  </si>
  <si>
    <t>0041057324</t>
  </si>
  <si>
    <t>PTT SUB EA FRACTION</t>
  </si>
  <si>
    <t>PTT SUB EA FRCT</t>
  </si>
  <si>
    <t>0041060039</t>
  </si>
  <si>
    <t>HETEROPHILE AB SCREEN</t>
  </si>
  <si>
    <t>HETRPHL AB SCRN</t>
  </si>
  <si>
    <t>0041060153</t>
  </si>
  <si>
    <t>COLD AGGLUTINATN TITER</t>
  </si>
  <si>
    <t>COLD AGGLUTINAT</t>
  </si>
  <si>
    <t>0041060161</t>
  </si>
  <si>
    <t>RBC ANTIBODIES SCREEN</t>
  </si>
  <si>
    <t>RBC AB SCRN</t>
  </si>
  <si>
    <t>0041060211</t>
  </si>
  <si>
    <t>C-REACTIVE PROTEIN</t>
  </si>
  <si>
    <t>C-REACT PRTN</t>
  </si>
  <si>
    <t>0041060237</t>
  </si>
  <si>
    <t>GONADTOPN CHRONC(HCG)QL/2</t>
  </si>
  <si>
    <t>0041060245</t>
  </si>
  <si>
    <t>ANTIBDY IDENT RBC EA PNL</t>
  </si>
  <si>
    <t>AB RBC EA PNL</t>
  </si>
  <si>
    <t>0041060252</t>
  </si>
  <si>
    <t>C-REACTIVE PROTEIN/2</t>
  </si>
  <si>
    <t>C-REACT PRTN/2</t>
  </si>
  <si>
    <t>0041060286</t>
  </si>
  <si>
    <t>ANTIBDY IDENT RBC EA PNL/2</t>
  </si>
  <si>
    <t>AB RBC EA PNL/2</t>
  </si>
  <si>
    <t>0041060310</t>
  </si>
  <si>
    <t>COOMBS DIRECT EA</t>
  </si>
  <si>
    <t>COOMBS DIR EA</t>
  </si>
  <si>
    <t>0041060328</t>
  </si>
  <si>
    <t>COOMBS INDIRECT EA AB TITR</t>
  </si>
  <si>
    <t>COOMBS INDIR EA</t>
  </si>
  <si>
    <t>0041060336</t>
  </si>
  <si>
    <t>COOMBS DIRECT EA/2</t>
  </si>
  <si>
    <t>COOMBS DIR EA/2</t>
  </si>
  <si>
    <t>0041060369</t>
  </si>
  <si>
    <t>COOMBS DIRECT EA/3</t>
  </si>
  <si>
    <t>COOMBS DIR EA/3</t>
  </si>
  <si>
    <t>0041060377</t>
  </si>
  <si>
    <t>COOMBS DIRECT EA/4</t>
  </si>
  <si>
    <t>COOMBS DIR EA/4</t>
  </si>
  <si>
    <t>0041060500</t>
  </si>
  <si>
    <t>COLD AGGLUTININ SCREEN</t>
  </si>
  <si>
    <t>COLD AGGLUT SCR</t>
  </si>
  <si>
    <t>0041060732</t>
  </si>
  <si>
    <t>BLD TYPE PAT SERUM SCRN</t>
  </si>
  <si>
    <t>BLD TYPE PT SR</t>
  </si>
  <si>
    <t>0041060807</t>
  </si>
  <si>
    <t>BLD TYPE ABO</t>
  </si>
  <si>
    <t>0041060955</t>
  </si>
  <si>
    <t>RBC AG EXCPT ABO/RHO EA</t>
  </si>
  <si>
    <t>RBC AG EX ABO/R</t>
  </si>
  <si>
    <t>0041061003</t>
  </si>
  <si>
    <t>BLD TYPE RH (D)</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</si>
  <si>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</si>
  <si>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</si>
  <si>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</si>
  <si>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</si>
  <si>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</si>
  <si>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</si>
  <si>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</si>
  <si>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</si>
  <si>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</si>
  <si>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</si>
  <si>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</si>
  <si>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</si>
  <si>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</si>
  <si>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</si>
  <si>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0041062902</t>
  </si>
  <si>
    <t>HEP B SURFACE AB</t>
  </si>
  <si>
    <t>HB SURF AB</t>
  </si>
  <si>
    <t>0041062928</t>
  </si>
  <si>
    <t>HEP B SURFACE AB/2</t>
  </si>
  <si>
    <t>HB SURF AB/2</t>
  </si>
  <si>
    <t>0041062944</t>
  </si>
  <si>
    <t>HEP B CORE AB IGM</t>
  </si>
  <si>
    <t>HBC AB IGM</t>
  </si>
  <si>
    <t>0041062977</t>
  </si>
  <si>
    <t>HEPATITIS A AB IGM</t>
  </si>
  <si>
    <t>HEP A AB IGM</t>
  </si>
  <si>
    <t>0041063041</t>
  </si>
  <si>
    <t>HEPATITIS C ANTIBODY</t>
  </si>
  <si>
    <t>HEPATITIS C AB</t>
  </si>
  <si>
    <t>0041063181</t>
  </si>
  <si>
    <t>RUBELLA AB</t>
  </si>
  <si>
    <t>0041063199</t>
  </si>
  <si>
    <t>DRUG TEST PRSMV CHEM ANLYZR/21</t>
  </si>
  <si>
    <t>0041064106</t>
  </si>
  <si>
    <t>STREPTOCOCCUS A DIR OPT</t>
  </si>
  <si>
    <t>STREP A DIR OPT</t>
  </si>
  <si>
    <t>0041064114</t>
  </si>
  <si>
    <t>STREPTOCOCCUS A IA/2</t>
  </si>
  <si>
    <t>STREPTOCOCCUS A</t>
  </si>
  <si>
    <t>0041064148</t>
  </si>
  <si>
    <t>RSV IA</t>
  </si>
  <si>
    <t>0041064312</t>
  </si>
  <si>
    <t>RHEUMATOID FACTOR QUAL</t>
  </si>
  <si>
    <t>RA FACTOR QUAL</t>
  </si>
  <si>
    <t>0041065921</t>
  </si>
  <si>
    <t>SYPHILIS NONTREP QUAL</t>
  </si>
  <si>
    <t>SYPHILIS TST NT</t>
  </si>
  <si>
    <t>0041066481</t>
  </si>
  <si>
    <t>TRANSFUSN REACTN W RPT</t>
  </si>
  <si>
    <t>TRANSFUS REACTN</t>
  </si>
  <si>
    <t>0041067018</t>
  </si>
  <si>
    <t>HIV 1 AB/2</t>
  </si>
  <si>
    <t>0041067034</t>
  </si>
  <si>
    <t>HIV 1/HIV 2 SNGL RESULT</t>
  </si>
  <si>
    <t>HIV1/HIV2 SNG</t>
  </si>
  <si>
    <t>0041067828</t>
  </si>
  <si>
    <t>TREPONEMA PALLIDUM AB</t>
  </si>
  <si>
    <t>TREP PALLIDUM</t>
  </si>
  <si>
    <t>0041069014</t>
  </si>
  <si>
    <t>BLD TYPE ANTIGEN DONOR EA</t>
  </si>
  <si>
    <t>BLD TYPE AG DON</t>
  </si>
  <si>
    <t>0041069337</t>
  </si>
  <si>
    <t>HEMOPHILUS INFLUENZA AB</t>
  </si>
  <si>
    <t>H INFLUENZA AB</t>
  </si>
  <si>
    <t>0041069386</t>
  </si>
  <si>
    <t>INFECTIOUS AGNT NOS IA/6</t>
  </si>
  <si>
    <t>INF AGNT IA/6</t>
  </si>
  <si>
    <t>0041070228</t>
  </si>
  <si>
    <t>CULTURE BACT OTH SOURCE/2</t>
  </si>
  <si>
    <t>CULT OTH SOURCE</t>
  </si>
  <si>
    <t>0041070244</t>
  </si>
  <si>
    <t>CULTURE BACT OTH SOURCE/3</t>
  </si>
  <si>
    <t>0041070400</t>
  </si>
  <si>
    <t>CULTURE BLOOD</t>
  </si>
  <si>
    <t>CULT BLOOD</t>
  </si>
  <si>
    <t>0041070434</t>
  </si>
  <si>
    <t>CULTURE BACT OTH SOURCE/6</t>
  </si>
  <si>
    <t>0041070558</t>
  </si>
  <si>
    <t>CULTURE STOOL</t>
  </si>
  <si>
    <t>CULT STOOL</t>
  </si>
  <si>
    <t>0041070566</t>
  </si>
  <si>
    <t>CULTURE BACT OTH SOURCE/9</t>
  </si>
  <si>
    <t>0041070574</t>
  </si>
  <si>
    <t>CULT STOOL ADD PATH EA/4</t>
  </si>
  <si>
    <t>CULT STOOL ADD/</t>
  </si>
  <si>
    <t>0041070640</t>
  </si>
  <si>
    <t>CULTURE BACT OTH SOURCE/10</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</si>
  <si>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</si>
  <si>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</si>
  <si>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</si>
  <si>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</si>
  <si>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</si>
  <si>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</si>
  <si>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</si>
  <si>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</si>
  <si>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</si>
  <si>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</si>
  <si>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0041070731</t>
  </si>
  <si>
    <t>CULTURE BACT OTH SOURCE/18</t>
  </si>
  <si>
    <t>0041070749</t>
  </si>
  <si>
    <t>CULTURE BACT OTH SOURCE/19</t>
  </si>
  <si>
    <t>0041070756</t>
  </si>
  <si>
    <t>CULT ANAEROBIC ANY EX BLD/2</t>
  </si>
  <si>
    <t>CULT AERBC ANY</t>
  </si>
  <si>
    <t>0041070772</t>
  </si>
  <si>
    <t>ASSAY TOXIN/ANTITOXIN</t>
  </si>
  <si>
    <t>ASSAY TOXIN/ANT</t>
  </si>
  <si>
    <t>0041070780</t>
  </si>
  <si>
    <t>CULTURE BACT OTH SOURCE/20</t>
  </si>
  <si>
    <t>0041070798</t>
  </si>
  <si>
    <t>CULTURE BACT OTH SOURCE/21</t>
  </si>
  <si>
    <t>0041070814</t>
  </si>
  <si>
    <t>CULTURE BACTERIAL SCREEN/5</t>
  </si>
  <si>
    <t>CULT BAC SCREEN</t>
  </si>
  <si>
    <t>0041070830</t>
  </si>
  <si>
    <t>CULTURE FUNGI OTHER/2</t>
  </si>
  <si>
    <t>CULT FUNG OTHER</t>
  </si>
  <si>
    <t>0041070863</t>
  </si>
  <si>
    <t>CULTURE URINE COLONY CT</t>
  </si>
  <si>
    <t>CULT URIN CNT</t>
  </si>
  <si>
    <t>0041070996</t>
  </si>
  <si>
    <t>CULTURE BACTERIAL SCREEN/6</t>
  </si>
  <si>
    <t>0041071069</t>
  </si>
  <si>
    <t>CULT FUNGI ID YEAST EA</t>
  </si>
  <si>
    <t>C FUNG YEAST EA</t>
  </si>
  <si>
    <t>0041071333</t>
  </si>
  <si>
    <t>CULTURE BACT OTH SOURCE/25</t>
  </si>
  <si>
    <t>0041071606</t>
  </si>
  <si>
    <t>CULTURE BACTERIAL SCREEN/7</t>
  </si>
  <si>
    <t>0041071861</t>
  </si>
  <si>
    <t>SUSCEPTIBLTY STUDY MIC/3</t>
  </si>
  <si>
    <t>SUSCEP STDY MIC</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</si>
  <si>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</si>
  <si>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</si>
  <si>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</si>
  <si>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</si>
  <si>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</si>
  <si>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</si>
  <si>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</si>
  <si>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</si>
  <si>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</si>
  <si>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</si>
  <si>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</si>
  <si>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</si>
  <si>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</si>
  <si>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</si>
  <si>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</si>
  <si>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</si>
  <si>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0041072356</t>
  </si>
  <si>
    <t>TROPONIN QUAN/2</t>
  </si>
  <si>
    <t>0041073248</t>
  </si>
  <si>
    <t>CLOSTRIDIUM IA/2</t>
  </si>
  <si>
    <t>CLOSTRIDIUM IA/</t>
  </si>
  <si>
    <t>0041073362</t>
  </si>
  <si>
    <t>H PYLORI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</si>
  <si>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</si>
  <si>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</si>
  <si>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</si>
  <si>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</si>
  <si>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</si>
  <si>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</si>
  <si>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</si>
  <si>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</si>
  <si>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</si>
  <si>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</si>
  <si>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</si>
  <si>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</si>
  <si>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0041076332</t>
  </si>
  <si>
    <t>RESP VIRUS 12-25 AMP PROBE</t>
  </si>
  <si>
    <t>RESP VIR 12-25</t>
  </si>
  <si>
    <t>0041078049</t>
  </si>
  <si>
    <t>INFLUENZA DIR OPT</t>
  </si>
  <si>
    <t>INF DIR OPT</t>
  </si>
  <si>
    <t>0041078056</t>
  </si>
  <si>
    <t>INFLUENZA DIR OPT/2</t>
  </si>
  <si>
    <t>INF DIR OPT/2</t>
  </si>
  <si>
    <t>0041078270</t>
  </si>
  <si>
    <t>HIV 1 AG HIV1/2 AB DIR OPT</t>
  </si>
  <si>
    <t>HIV AG/AB DIR O</t>
  </si>
  <si>
    <t>0041079070</t>
  </si>
  <si>
    <t>INFECT AGNT NOS DIR OPT/14</t>
  </si>
  <si>
    <t>INFECT AGNT DIR</t>
  </si>
  <si>
    <t>0041083742</t>
  </si>
  <si>
    <t>PROCALCITONIN</t>
  </si>
  <si>
    <t>0041087057</t>
  </si>
  <si>
    <t>GRAM STAIN SMEAR/4</t>
  </si>
  <si>
    <t>GRAM STAIN/4</t>
  </si>
  <si>
    <t>0041087073</t>
  </si>
  <si>
    <t>CULTURE AEROBIC DEF ID</t>
  </si>
  <si>
    <t>CULT AEROBIC ID</t>
  </si>
  <si>
    <t>0041087511</t>
  </si>
  <si>
    <t>C DIFF TOXIN AMP PROBE</t>
  </si>
  <si>
    <t>CDIFF AMP PRB</t>
  </si>
  <si>
    <t>0041087818</t>
  </si>
  <si>
    <t>CULTURE BACTERIAL SCREEN/10</t>
  </si>
  <si>
    <t>0041090507</t>
  </si>
  <si>
    <t>CELL COUNT MISC BODY FLD</t>
  </si>
  <si>
    <t>CELL COUNT</t>
  </si>
  <si>
    <t>0041090515</t>
  </si>
  <si>
    <t>CELL COUNT MISC W/DIFF</t>
  </si>
  <si>
    <t>CELL COUNT DIFF</t>
  </si>
  <si>
    <t>0041091901</t>
  </si>
  <si>
    <t>NASAL SMEAR EOSINOPHILES</t>
  </si>
  <si>
    <t>NASAL SMEAR EOS</t>
  </si>
  <si>
    <t>0041093634</t>
  </si>
  <si>
    <t>CRYST ID BODY FLD EX URN</t>
  </si>
  <si>
    <t>CRYST ID EX URN</t>
  </si>
  <si>
    <t>0042010504</t>
  </si>
  <si>
    <t>VOLUME MEASURMNT URINE</t>
  </si>
  <si>
    <t>VOL MEAS URINE</t>
  </si>
  <si>
    <t>0042011106</t>
  </si>
  <si>
    <t>SPECIMEN HANDLING/2</t>
  </si>
  <si>
    <t>SPEC HANDLING/2</t>
  </si>
  <si>
    <t>0042011254</t>
  </si>
  <si>
    <t>SPECIMEN HANDLING/4</t>
  </si>
  <si>
    <t>SPEC HANDLING/4</t>
  </si>
  <si>
    <t>0042062646</t>
  </si>
  <si>
    <t>FFP THAW EA UNIT</t>
  </si>
  <si>
    <t>FFP THAW EA UN</t>
  </si>
  <si>
    <t>0042064170</t>
  </si>
  <si>
    <t>CAP BLD COLL</t>
  </si>
  <si>
    <t>0042090068</t>
  </si>
  <si>
    <t>VENIPUNCTURE/2</t>
  </si>
  <si>
    <t>0042090100</t>
  </si>
  <si>
    <t>VENIPUNCTURE/3</t>
  </si>
  <si>
    <t>0042090118</t>
  </si>
  <si>
    <t>VENIPUNCTURE/4</t>
  </si>
  <si>
    <t>0043050954</t>
  </si>
  <si>
    <t>BONE MARROW ASPIRATION</t>
  </si>
  <si>
    <t>BONE ASP ONLY</t>
  </si>
  <si>
    <t>0043050970</t>
  </si>
  <si>
    <t>BONE MARROW SMEAR INTRP</t>
  </si>
  <si>
    <t>BN M SMR INTRP</t>
  </si>
  <si>
    <t>0043051028</t>
  </si>
  <si>
    <t>BONE M BIOPSY NDL TROCAR</t>
  </si>
  <si>
    <t>BN BX NDL TROCR</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</si>
  <si>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</si>
  <si>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</si>
  <si>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</si>
  <si>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</si>
  <si>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</si>
  <si>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</si>
  <si>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</si>
  <si>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</si>
  <si>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</si>
  <si>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</si>
  <si>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</si>
  <si>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</si>
  <si>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0043081405</t>
  </si>
  <si>
    <t>CYTO SMEAR PREP</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</si>
  <si>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</si>
  <si>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</si>
  <si>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</si>
  <si>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</si>
  <si>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</si>
  <si>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</si>
  <si>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</si>
  <si>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</si>
  <si>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</si>
  <si>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</si>
  <si>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</si>
  <si>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</si>
  <si>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</si>
  <si>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</si>
  <si>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</si>
  <si>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</si>
  <si>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</si>
  <si>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</si>
  <si>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</si>
  <si>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</si>
  <si>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</si>
  <si>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</si>
  <si>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</si>
  <si>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</si>
  <si>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</si>
  <si>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</si>
  <si>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</si>
  <si>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</si>
  <si>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</si>
  <si>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0043083146</t>
  </si>
  <si>
    <t>IMMUNCYT 1ST AB PER SPEC</t>
  </si>
  <si>
    <t>IMMCYT STN 1ST</t>
  </si>
  <si>
    <t>0043083211</t>
  </si>
  <si>
    <t>CNSLT/RPT REFRD SLIDES</t>
  </si>
  <si>
    <t>CNSL/RPT REF SL</t>
  </si>
  <si>
    <t>0043083294</t>
  </si>
  <si>
    <t>CONSULT/SURGERY</t>
  </si>
  <si>
    <t>SPATH CNSL/SRG</t>
  </si>
  <si>
    <t>0043083310</t>
  </si>
  <si>
    <t>CONSULT/FROZEN SEC</t>
  </si>
  <si>
    <t>CNSLT/FRZN</t>
  </si>
  <si>
    <t>0043083328</t>
  </si>
  <si>
    <t>CONSULT/FROZEN ADD</t>
  </si>
  <si>
    <t>FROZEN ADD</t>
  </si>
  <si>
    <t>0043083450</t>
  </si>
  <si>
    <t>IMMUNOFLOR 1ST AB PER SPEC</t>
  </si>
  <si>
    <t>IMMUNOFLR EA AB</t>
  </si>
  <si>
    <t>0043083484</t>
  </si>
  <si>
    <t>ELECTRON MICROSCOPY DIAG</t>
  </si>
  <si>
    <t>ELECTRON MICROS</t>
  </si>
  <si>
    <t>0043084037</t>
  </si>
  <si>
    <t>SURGICAL PATH LEVEL III</t>
  </si>
  <si>
    <t>LVL III SURG PT</t>
  </si>
  <si>
    <t>0043090604</t>
  </si>
  <si>
    <t>CRYST ID BODY FLD EX URN/2</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</si>
  <si>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</si>
  <si>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</si>
  <si>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</si>
  <si>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</si>
  <si>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</si>
  <si>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</si>
  <si>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</si>
  <si>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</si>
  <si>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</si>
  <si>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</si>
  <si>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</si>
  <si>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</si>
  <si>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</si>
  <si>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</si>
  <si>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0045000338</t>
  </si>
  <si>
    <t>BLD IRRAD RBC</t>
  </si>
  <si>
    <t>0045000346</t>
  </si>
  <si>
    <t>BLOOD CRYOPRECIPITATE</t>
  </si>
  <si>
    <t>BLD CRYOPRCPTAT</t>
  </si>
  <si>
    <t>0045000684</t>
  </si>
  <si>
    <t>OUTSIDE FEE FFP/PEDIATRC</t>
  </si>
  <si>
    <t>O/S FEE FFP/PED</t>
  </si>
  <si>
    <t>0045000759</t>
  </si>
  <si>
    <t>NC CONVALESCENT FFP</t>
  </si>
  <si>
    <t>NC CONVALESCENT</t>
  </si>
  <si>
    <t>0045000767</t>
  </si>
  <si>
    <t>NC CONVALESCENT PATH REDCD FFP</t>
  </si>
  <si>
    <t>NC CONVA PATH R</t>
  </si>
  <si>
    <t>0045000775</t>
  </si>
  <si>
    <t>NC CONVALESCNT FRSH LIQ PLASMA</t>
  </si>
  <si>
    <t>NC CONV FRSH LI</t>
  </si>
  <si>
    <t>0045000783</t>
  </si>
  <si>
    <t>NC CONVALESCNT CRYORDCD FFP</t>
  </si>
  <si>
    <t>NC CONVALESCNT</t>
  </si>
  <si>
    <t>0045055803</t>
  </si>
  <si>
    <t>PLT LEUKORED IRRAD</t>
  </si>
  <si>
    <t>PLT LEUKRED IRR</t>
  </si>
  <si>
    <t>0045055886</t>
  </si>
  <si>
    <t>PLT PHER LEUKORED IRRAD</t>
  </si>
  <si>
    <t>PLT PHER LEUKRD</t>
  </si>
  <si>
    <t>0045060233</t>
  </si>
  <si>
    <t>RBC LEUKORED IRRAD</t>
  </si>
  <si>
    <t>RBC LEUKRED IRR</t>
  </si>
  <si>
    <t>0045061009</t>
  </si>
  <si>
    <t>BLOOD DIRECTED UNIT</t>
  </si>
  <si>
    <t>BLD DIRECT UNT</t>
  </si>
  <si>
    <t>0045096088</t>
  </si>
  <si>
    <t>RBC AUTOLOGOUS</t>
  </si>
  <si>
    <t>EKG</t>
  </si>
  <si>
    <t>0046004008</t>
  </si>
  <si>
    <t>SIGNAL AVERAGED EKG</t>
  </si>
  <si>
    <t>SIGNAL-AVG EKG</t>
  </si>
  <si>
    <t>0046011300</t>
  </si>
  <si>
    <t>TILT TABLE SCAN PROC</t>
  </si>
  <si>
    <t>TILT TABLE SCAN</t>
  </si>
  <si>
    <t>0046030003</t>
  </si>
  <si>
    <t>EKG TRACE ONLY</t>
  </si>
  <si>
    <t>0046030177</t>
  </si>
  <si>
    <t>CARDIO STRESS TRACE ONLY</t>
  </si>
  <si>
    <t>CARD STRESS TRC</t>
  </si>
  <si>
    <t>0046030409</t>
  </si>
  <si>
    <t>RHYTHM EKG</t>
  </si>
  <si>
    <t>RHYTHM EKG TRAC</t>
  </si>
  <si>
    <t>0046032108</t>
  </si>
  <si>
    <t>ECHO TRANSTHOR 2D COMPL</t>
  </si>
  <si>
    <t>ECHO M+2D</t>
  </si>
  <si>
    <t>0046032702</t>
  </si>
  <si>
    <t>EVENT MONITOR RECORDING</t>
  </si>
  <si>
    <t>EVT MNTR RECORD</t>
  </si>
  <si>
    <t>0046032751</t>
  </si>
  <si>
    <t>EKG MNTR UP TO 48 HRS</t>
  </si>
  <si>
    <t>EKG MNTR TO 48H</t>
  </si>
  <si>
    <t>0046032777</t>
  </si>
  <si>
    <t>EKG MNTR SCN W/RPT 48 HR</t>
  </si>
  <si>
    <t>EKG MNTR W/RPT</t>
  </si>
  <si>
    <t>0046032868</t>
  </si>
  <si>
    <t>CONVERSION ARRHYTHMIA</t>
  </si>
  <si>
    <t>CONV ARRHYTHMIA</t>
  </si>
  <si>
    <t>0046033064</t>
  </si>
  <si>
    <t>ECHO2D SPECTR/COLOR FLO</t>
  </si>
  <si>
    <t>CARD ECHO 2D</t>
  </si>
  <si>
    <t>0046033080</t>
  </si>
  <si>
    <t>ECHO TRNSTHR 2D FU/LTD</t>
  </si>
  <si>
    <t>ECHO 2D LTD</t>
  </si>
  <si>
    <t>0046033197</t>
  </si>
  <si>
    <t>0046033254</t>
  </si>
  <si>
    <t>DOPPLER ECHO PULSE/CONT</t>
  </si>
  <si>
    <t>DOPPLER ECHO</t>
  </si>
  <si>
    <t>0046033304</t>
  </si>
  <si>
    <t>DOPPLER ECHO COLOR FLOW</t>
  </si>
  <si>
    <t>COLORFLOW ANALY</t>
  </si>
  <si>
    <t>0046033502</t>
  </si>
  <si>
    <t>ECHOCARDIOGRAM EX STRESS</t>
  </si>
  <si>
    <t>ECHO EXER STRES</t>
  </si>
  <si>
    <t>0046033528</t>
  </si>
  <si>
    <t>USE CONTRAST AGENT ECHO</t>
  </si>
  <si>
    <t>CNTRST AGNT USE</t>
  </si>
  <si>
    <t>0046034005</t>
  </si>
  <si>
    <t>ECHO TRANSESOPHAGEAL</t>
  </si>
  <si>
    <t>ESOPHAGEAL ECHO</t>
  </si>
  <si>
    <t>0046044210</t>
  </si>
  <si>
    <t>UE/LE ART STUD COMP 3+LVL</t>
  </si>
  <si>
    <t>EXT STD 3+LVL</t>
  </si>
  <si>
    <t>0046089249</t>
  </si>
  <si>
    <t>ECHO 2D LIMITED W/CONTR</t>
  </si>
  <si>
    <t>ECHO LTD/CON</t>
  </si>
  <si>
    <t>0046089298</t>
  </si>
  <si>
    <t>ECHO2D DOP/COLFL W/CONTR</t>
  </si>
  <si>
    <t>ECHO 2D W/CON</t>
  </si>
  <si>
    <t>0046101465</t>
  </si>
  <si>
    <t>ATHERECT ILIAC OPEN PERC</t>
  </si>
  <si>
    <t>ATHER ILIAC O/P</t>
  </si>
  <si>
    <t>0046101531</t>
  </si>
  <si>
    <t>ATHERECT BRACH OPEN PERC</t>
  </si>
  <si>
    <t>ATHER BRACH O/P</t>
  </si>
  <si>
    <t>0046102216</t>
  </si>
  <si>
    <t>REVASC ILIAC INITIAL</t>
  </si>
  <si>
    <t>ILIAC O/P INIT</t>
  </si>
  <si>
    <t>0046102232</t>
  </si>
  <si>
    <t>REVASC ILIAC ADD ON</t>
  </si>
  <si>
    <t>ILIAC ADD/ANGIO</t>
  </si>
  <si>
    <t>0046102257</t>
  </si>
  <si>
    <t>REVASC ILIAC W/STENT</t>
  </si>
  <si>
    <t>ILIAC O/P STENT</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</si>
  <si>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</si>
  <si>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</si>
  <si>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</si>
  <si>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</si>
  <si>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</si>
  <si>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</si>
  <si>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</si>
  <si>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</si>
  <si>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</si>
  <si>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</si>
  <si>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</si>
  <si>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</si>
  <si>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</si>
  <si>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</si>
  <si>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</si>
  <si>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</si>
  <si>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</si>
  <si>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</si>
  <si>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</si>
  <si>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</si>
  <si>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</si>
  <si>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</si>
  <si>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</si>
  <si>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</si>
  <si>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</si>
  <si>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</si>
  <si>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</si>
  <si>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</si>
  <si>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</si>
  <si>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</si>
  <si>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</si>
  <si>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</si>
  <si>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</si>
  <si>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</si>
  <si>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</si>
  <si>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</si>
  <si>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</si>
  <si>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</si>
  <si>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</si>
  <si>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</si>
  <si>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</si>
  <si>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</si>
  <si>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0046103198</t>
  </si>
  <si>
    <t>INSRT/RPL SQ DEFIB W/ELE</t>
  </si>
  <si>
    <t>INS/RPL SQ DFIB</t>
  </si>
  <si>
    <t>0046103875</t>
  </si>
  <si>
    <t>TRANSCATH INS/RPL PERM LDLS PM</t>
  </si>
  <si>
    <t>TRNSCAT INS/RPL</t>
  </si>
  <si>
    <t>0046105003</t>
  </si>
  <si>
    <t>PERC VALVULOPLSTY AORTIC</t>
  </si>
  <si>
    <t>VALVPLSTY AORTC</t>
  </si>
  <si>
    <t>0046106100</t>
  </si>
  <si>
    <t>COMP EP EVAL/LA FRM CS R</t>
  </si>
  <si>
    <t>EVAL/LAC CMP EP</t>
  </si>
  <si>
    <t>0046106159</t>
  </si>
  <si>
    <t>COMP EP W/O INDUC/ARRYTH</t>
  </si>
  <si>
    <t>COMP W/O INDUC</t>
  </si>
  <si>
    <t>0046106209</t>
  </si>
  <si>
    <t>EP COMP STUDY W/INDUCTN</t>
  </si>
  <si>
    <t>EP COMP STUDY</t>
  </si>
  <si>
    <t>0046106308</t>
  </si>
  <si>
    <t>EP DRUG FOLLOW-UP STUDY</t>
  </si>
  <si>
    <t>EP DRG F/U STDY</t>
  </si>
  <si>
    <t>0046106316</t>
  </si>
  <si>
    <t>EP POST DRUG INFUSION</t>
  </si>
  <si>
    <t>EP POST DRG INF</t>
  </si>
  <si>
    <t>0046106357</t>
  </si>
  <si>
    <t>EP TEST AICD LEAD &amp; GEN</t>
  </si>
  <si>
    <t>AICD TST LD&amp;GEN</t>
  </si>
  <si>
    <t>0046106423</t>
  </si>
  <si>
    <t>EP EVAL AICD SUBSEQ</t>
  </si>
  <si>
    <t>AICD EVAL SUBSQ</t>
  </si>
  <si>
    <t>0046106506</t>
  </si>
  <si>
    <t>ABLATION-AV NODE</t>
  </si>
  <si>
    <t>ABLATN-AV NODE</t>
  </si>
  <si>
    <t>0046107157</t>
  </si>
  <si>
    <t>PERQ TRANSLUM CORONARY LITHOTR</t>
  </si>
  <si>
    <t>PERQ TRANSLUM C</t>
  </si>
  <si>
    <t>0046107801</t>
  </si>
  <si>
    <t>0046107819</t>
  </si>
  <si>
    <t>IV INF TX AD HR</t>
  </si>
  <si>
    <t>0046111100</t>
  </si>
  <si>
    <t>CARDIOVERSION ELEC</t>
  </si>
  <si>
    <t>CARDIOVRSN ELEC</t>
  </si>
  <si>
    <t>0046125001</t>
  </si>
  <si>
    <t>REM PCMKR TRAN ELCT DUAL</t>
  </si>
  <si>
    <t>REM PM TR EL DL</t>
  </si>
  <si>
    <t>0046125035</t>
  </si>
  <si>
    <t>REM PCMKR PULS GEN ONLY</t>
  </si>
  <si>
    <t>REM PM PULS GEN</t>
  </si>
  <si>
    <t>0046125076</t>
  </si>
  <si>
    <t>INSRT TRAN ELCTRD DUAL</t>
  </si>
  <si>
    <t>INS TR ELC DUAL</t>
  </si>
  <si>
    <t>0046125100</t>
  </si>
  <si>
    <t>INSRT TRAN ELCTRD SNGL</t>
  </si>
  <si>
    <t>INS TR ELC SNGL</t>
  </si>
  <si>
    <t>0046125159</t>
  </si>
  <si>
    <t>REM TRANSV PM ELCTD SNGL</t>
  </si>
  <si>
    <t>REM PM ELCTD</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</si>
  <si>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</si>
  <si>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</si>
  <si>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</si>
  <si>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</si>
  <si>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</si>
  <si>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</si>
  <si>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</si>
  <si>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</si>
  <si>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</si>
  <si>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</si>
  <si>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</si>
  <si>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</si>
  <si>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0046129243</t>
  </si>
  <si>
    <t>COR ATHERECT APLAS INIT</t>
  </si>
  <si>
    <t>PTCA</t>
  </si>
  <si>
    <t>0046129284</t>
  </si>
  <si>
    <t>COR STNT ANGIO INIT</t>
  </si>
  <si>
    <t>COR ST INIT</t>
  </si>
  <si>
    <t>0046129292</t>
  </si>
  <si>
    <t>COR STNT ANGIO ADD</t>
  </si>
  <si>
    <t>COR ST ADD</t>
  </si>
  <si>
    <t>0046129334</t>
  </si>
  <si>
    <t>COR ATHER STNT APLST INI</t>
  </si>
  <si>
    <t>PTCA ST ATH SGL</t>
  </si>
  <si>
    <t>0046129375</t>
  </si>
  <si>
    <t>REVAS PERC TRANS SGL VES</t>
  </si>
  <si>
    <t>REVAS BYPASS SG</t>
  </si>
  <si>
    <t>0046129383</t>
  </si>
  <si>
    <t>PRQ REVASC BYP GRAFT ADDL</t>
  </si>
  <si>
    <t>PRQ REVASC BYP</t>
  </si>
  <si>
    <t>0046129417</t>
  </si>
  <si>
    <t>REVAS PERC TRANS OCCL MI</t>
  </si>
  <si>
    <t>REVAS BYPAS MI</t>
  </si>
  <si>
    <t>0046129433</t>
  </si>
  <si>
    <t>REVAS PERC TRANS TOT OCC</t>
  </si>
  <si>
    <t>REVAS BYPAS OCC</t>
  </si>
  <si>
    <t>0046129615</t>
  </si>
  <si>
    <t>CARDIOVERSION INTERNAL</t>
  </si>
  <si>
    <t>CARDIOVRSN INT</t>
  </si>
  <si>
    <t>0046129730</t>
  </si>
  <si>
    <t>PERC CORON THROMBECT</t>
  </si>
  <si>
    <t>PRC CORON THRMB</t>
  </si>
  <si>
    <t>0046129755</t>
  </si>
  <si>
    <t>COR THROMBLYS-INTRA COR</t>
  </si>
  <si>
    <t>THROMB-INTR COR</t>
  </si>
  <si>
    <t>0046130167</t>
  </si>
  <si>
    <t>PERICARDIOCENTESIS W/IMG GUIDE</t>
  </si>
  <si>
    <t>PERICARDIOCENTE</t>
  </si>
  <si>
    <t>0046132064</t>
  </si>
  <si>
    <t>INS/RPL PM W/TRNSV LD AT</t>
  </si>
  <si>
    <t>PM W/TRNSV LD A</t>
  </si>
  <si>
    <t>0046132072</t>
  </si>
  <si>
    <t>INS/RPL PM W/TRNSV LD VE</t>
  </si>
  <si>
    <t>PM W/TRNSV LD V</t>
  </si>
  <si>
    <t>0046132080</t>
  </si>
  <si>
    <t>INS/RPL PMW/TRNSV LD A-V</t>
  </si>
  <si>
    <t>0046132148</t>
  </si>
  <si>
    <t>UPGRADE TO DUAL CHAMBER</t>
  </si>
  <si>
    <t>UPGR SNG/DLCHMB</t>
  </si>
  <si>
    <t>0046132155</t>
  </si>
  <si>
    <t>REPS TRNSV LD RT ATR/VNT</t>
  </si>
  <si>
    <t>REPOS TRANSV LD</t>
  </si>
  <si>
    <t>0046132189</t>
  </si>
  <si>
    <t>P/M AICD ELECTRD RPR</t>
  </si>
  <si>
    <t>REPAIR ELCT</t>
  </si>
  <si>
    <t>0046132221</t>
  </si>
  <si>
    <t>REVSN/RELOC PM SKN POCKT</t>
  </si>
  <si>
    <t>REL/REV SKP PM</t>
  </si>
  <si>
    <t>0046132239</t>
  </si>
  <si>
    <t>RELOCATE SKIN PKT AICD</t>
  </si>
  <si>
    <t>RELOC PKT AICD</t>
  </si>
  <si>
    <t>0046132247</t>
  </si>
  <si>
    <t>P/M AICD ELECT REPR LDS</t>
  </si>
  <si>
    <t>REPR P/M AICD L</t>
  </si>
  <si>
    <t>0046132254</t>
  </si>
  <si>
    <t>INS LV LD W/PM OR AICD</t>
  </si>
  <si>
    <t>INSRT LD LTVENT</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</si>
  <si>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</si>
  <si>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</si>
  <si>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</si>
  <si>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</si>
  <si>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</si>
  <si>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</si>
  <si>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</si>
  <si>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</si>
  <si>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</si>
  <si>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</si>
  <si>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</si>
  <si>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</si>
  <si>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0046132411</t>
  </si>
  <si>
    <t>REM AICD PULS GEN</t>
  </si>
  <si>
    <t>RMV AICD GEN</t>
  </si>
  <si>
    <t>0046132437</t>
  </si>
  <si>
    <t>REM AICD LDS TRANSVEN</t>
  </si>
  <si>
    <t>REM AICD LDS TV</t>
  </si>
  <si>
    <t>0046132494</t>
  </si>
  <si>
    <t>INSRT/RPLC AICD &amp; LDS</t>
  </si>
  <si>
    <t>INS/RPL AICD&amp;LD</t>
  </si>
  <si>
    <t>0046132627</t>
  </si>
  <si>
    <t>REM/REPL AICD SINGL LD</t>
  </si>
  <si>
    <t>REM/REPL AICD</t>
  </si>
  <si>
    <t>0046132718</t>
  </si>
  <si>
    <t>INSRT SUBQ CAR RHYTHM MNTR</t>
  </si>
  <si>
    <t>INSRT SUBQ CAR</t>
  </si>
  <si>
    <t>0046132734</t>
  </si>
  <si>
    <t>RMVL SUBQ CAR RHYTHM MNTR</t>
  </si>
  <si>
    <t>RMVL SUBQ CAR R</t>
  </si>
  <si>
    <t>0046132932</t>
  </si>
  <si>
    <t>ICD MULTILEAD EVAL W PRO</t>
  </si>
  <si>
    <t>ICD EVAL W PROG</t>
  </si>
  <si>
    <t>0046133187</t>
  </si>
  <si>
    <t>0046133617</t>
  </si>
  <si>
    <t>TAVR PERC FEM</t>
  </si>
  <si>
    <t>0046134516</t>
  </si>
  <si>
    <t>CATH RIGHT HEART</t>
  </si>
  <si>
    <t>CATH RT HEART</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</si>
  <si>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</si>
  <si>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</si>
  <si>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</si>
  <si>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</si>
  <si>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</si>
  <si>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</si>
  <si>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</si>
  <si>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</si>
  <si>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</si>
  <si>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</si>
  <si>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</si>
  <si>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</si>
  <si>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</si>
  <si>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</si>
  <si>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</si>
  <si>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</si>
  <si>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</si>
  <si>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</si>
  <si>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</si>
  <si>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</si>
  <si>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</si>
  <si>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</si>
  <si>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</si>
  <si>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</si>
  <si>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</si>
  <si>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</si>
  <si>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</si>
  <si>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0046135356</t>
  </si>
  <si>
    <t>INSERT SWANGANZ CATHETER</t>
  </si>
  <si>
    <t>CATH SWGZ INSRT</t>
  </si>
  <si>
    <t>0046135406</t>
  </si>
  <si>
    <t>ANGIO SELECT EA ADD VESL</t>
  </si>
  <si>
    <t>ANGIO ADD VESSL</t>
  </si>
  <si>
    <t>0046135695</t>
  </si>
  <si>
    <t>CATH INJ SUPRVLV AORTOGR</t>
  </si>
  <si>
    <t>INJ SUPRVL AORT</t>
  </si>
  <si>
    <t>0046135711</t>
  </si>
  <si>
    <t>INJ PULM ART HRT CATH NONSLCT</t>
  </si>
  <si>
    <t>INJ PLM ART HRT</t>
  </si>
  <si>
    <t>0046135752</t>
  </si>
  <si>
    <t>O2 SAT DIRECT MEASUREMNT</t>
  </si>
  <si>
    <t>O2 SAT DIR MEAS</t>
  </si>
  <si>
    <t>0046135836</t>
  </si>
  <si>
    <t>PERC TRANSCATH SEPT REDX</t>
  </si>
  <si>
    <t>PERC SEPT REDX</t>
  </si>
  <si>
    <t>0046135950</t>
  </si>
  <si>
    <t>INSRT/REPL TEMP PM LEAD</t>
  </si>
  <si>
    <t>INSRT TEMP PM</t>
  </si>
  <si>
    <t>0046136131</t>
  </si>
  <si>
    <t>INTRCRD EP 3DMAP</t>
  </si>
  <si>
    <t>INTRCRD 3D MAP</t>
  </si>
  <si>
    <t>0046136537</t>
  </si>
  <si>
    <t>COMP EP IND/ABLA INTR EP3D SVT</t>
  </si>
  <si>
    <t>COM EP ABL INT</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</si>
  <si>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</si>
  <si>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</si>
  <si>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</si>
  <si>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</si>
  <si>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</si>
  <si>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</si>
  <si>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</si>
  <si>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</si>
  <si>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</si>
  <si>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</si>
  <si>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</si>
  <si>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</si>
  <si>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</si>
  <si>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</si>
  <si>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</si>
  <si>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</si>
  <si>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CMP EP ABL AFB</t>
  </si>
  <si>
    <t>0046136644</t>
  </si>
  <si>
    <t>COMP EP ABL AFIB ADTNL</t>
  </si>
  <si>
    <t>COMP EP ABL AD</t>
  </si>
  <si>
    <t>0046139671</t>
  </si>
  <si>
    <t>PERC INSERT IABP DEV</t>
  </si>
  <si>
    <t>PERC INSRT IABP</t>
  </si>
  <si>
    <t>0046139689</t>
  </si>
  <si>
    <t>PERC IABP REMOVAL</t>
  </si>
  <si>
    <t>IABP REMOVAL</t>
  </si>
  <si>
    <t>0046139861</t>
  </si>
  <si>
    <t>INS VAD LEFT HRT PERC ART</t>
  </si>
  <si>
    <t>INS VAD LT HRT</t>
  </si>
  <si>
    <t>0046139929</t>
  </si>
  <si>
    <t>REMOVE PERC LEFT HEART VAD</t>
  </si>
  <si>
    <t>REMOVE LFT HEAR</t>
  </si>
  <si>
    <t>0046147039</t>
  </si>
  <si>
    <t>ENDO RPR AORT-UNI-ILIAC NO RUP</t>
  </si>
  <si>
    <t>ENDO RPR ILIAC</t>
  </si>
  <si>
    <t>0046147104</t>
  </si>
  <si>
    <t>DELAY PLC PROX ANEU INIT+S&amp;I</t>
  </si>
  <si>
    <t>DELAY PLC PROX</t>
  </si>
  <si>
    <t>0046147112</t>
  </si>
  <si>
    <t>DLAY PLC PROX ANEU EA ADDL+S&amp;I</t>
  </si>
  <si>
    <t>DLAY PLC PROX E</t>
  </si>
  <si>
    <t>0046147138</t>
  </si>
  <si>
    <t>PERC ACCES+DEL GFT+US/UNI</t>
  </si>
  <si>
    <t>PER ACES+DEL GF</t>
  </si>
  <si>
    <t>0046147146</t>
  </si>
  <si>
    <t>OPEN FEM/ART DEL ENDO PROS UNI</t>
  </si>
  <si>
    <t>OPEN FEM/ART PR</t>
  </si>
  <si>
    <t>0046148128</t>
  </si>
  <si>
    <t>EXPOSE ENDOPROS UNILAT</t>
  </si>
  <si>
    <t>ENDPRO FEM/ART</t>
  </si>
  <si>
    <t>0046148201</t>
  </si>
  <si>
    <t>EXPOSE ENDPRO ILIAC</t>
  </si>
  <si>
    <t>XPSE ENDPRO ILI</t>
  </si>
  <si>
    <t>0046156279</t>
  </si>
  <si>
    <t>ABD AORTOGRPHY BY SERIAL</t>
  </si>
  <si>
    <t>ABD CATH W/SERL</t>
  </si>
  <si>
    <t>0046156311</t>
  </si>
  <si>
    <t>ABD AORTA W/BI LWR EXT</t>
  </si>
  <si>
    <t>ABD W/BI ILIFEM</t>
  </si>
  <si>
    <t>0046157129</t>
  </si>
  <si>
    <t>ANGIO EXTREMITY UNILAT</t>
  </si>
  <si>
    <t>ANGIO EXT UNI</t>
  </si>
  <si>
    <t>0046157186</t>
  </si>
  <si>
    <t>ANGIO EXTREMITY BILAT</t>
  </si>
  <si>
    <t>ANGIO EXT BI</t>
  </si>
  <si>
    <t>0046157376</t>
  </si>
  <si>
    <t>ANGIO PELVIC SELECT/SUP</t>
  </si>
  <si>
    <t>PELVIC SEL/SUP</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</si>
  <si>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</si>
  <si>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</si>
  <si>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</si>
  <si>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</si>
  <si>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</si>
  <si>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</si>
  <si>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</si>
  <si>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</si>
  <si>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</si>
  <si>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</si>
  <si>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</si>
  <si>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</si>
  <si>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0046158986</t>
  </si>
  <si>
    <t>ANGIO EXIST CATH F/U STU</t>
  </si>
  <si>
    <t>ANGIO F/U STUDY</t>
  </si>
  <si>
    <t>0046159448</t>
  </si>
  <si>
    <t>IVUS NON CORONARY INITL</t>
  </si>
  <si>
    <t>IVUS INITL VESL</t>
  </si>
  <si>
    <t>0046159984</t>
  </si>
  <si>
    <t>FLUOROSCOPY &lt;1HOUR</t>
  </si>
  <si>
    <t>FLUOR (&lt;) 1HR</t>
  </si>
  <si>
    <t>0046160032</t>
  </si>
  <si>
    <t>FLUORO BX/ASP/INJ/GUIDE</t>
  </si>
  <si>
    <t>FLUORO GUIDANCE</t>
  </si>
  <si>
    <t>0046160115</t>
  </si>
  <si>
    <t>PLC CATH VEIN 1ST ORDR</t>
  </si>
  <si>
    <t>PLC CATH VEIN</t>
  </si>
  <si>
    <t>0046160123</t>
  </si>
  <si>
    <t>PLC CATH VEIN 2ND ORDR</t>
  </si>
  <si>
    <t>0046162517</t>
  </si>
  <si>
    <t>INS CATH REN ART 1ST UNI</t>
  </si>
  <si>
    <t>INS CATH RENAL</t>
  </si>
  <si>
    <t>0046162525</t>
  </si>
  <si>
    <t>INS CATH REN ART 1ST BIL</t>
  </si>
  <si>
    <t>0046162632</t>
  </si>
  <si>
    <t>REM/REPL AICD DUAL LD</t>
  </si>
  <si>
    <t>REMV/REPL AICD</t>
  </si>
  <si>
    <t>0046162640</t>
  </si>
  <si>
    <t>REM/REPL AICD MULT LD</t>
  </si>
  <si>
    <t>0046164653</t>
  </si>
  <si>
    <t>INJ FOAM SCLEROSAN W/US SGL VN</t>
  </si>
  <si>
    <t>INJ FOAM SCLERO</t>
  </si>
  <si>
    <t>0046164661</t>
  </si>
  <si>
    <t>INJ FOAM SCLEROSAN MULTI VN</t>
  </si>
  <si>
    <t>0046164752</t>
  </si>
  <si>
    <t>ENDO RF/ABLAT PERC INIT VN</t>
  </si>
  <si>
    <t>ENDO RF/ABLAT I</t>
  </si>
  <si>
    <t>0046165569</t>
  </si>
  <si>
    <t>INSRT NONTUNNL CV CTH 5&gt;</t>
  </si>
  <si>
    <t>INSRT CV CATH</t>
  </si>
  <si>
    <t>0046169371</t>
  </si>
  <si>
    <t>US GUIDE VASCULAR ACCESS</t>
  </si>
  <si>
    <t>US GUIDANCE VA</t>
  </si>
  <si>
    <t>0046171849</t>
  </si>
  <si>
    <t>THROMB NONCOR INITL VSL</t>
  </si>
  <si>
    <t>THROMBECTMY ART</t>
  </si>
  <si>
    <t>0046171856</t>
  </si>
  <si>
    <t>THROMB NONCOR ADD VESSLS</t>
  </si>
  <si>
    <t>THROMB ADD ART</t>
  </si>
  <si>
    <t>0046171864</t>
  </si>
  <si>
    <t>THROMB NONCOR SECONDARY</t>
  </si>
  <si>
    <t>THROM ART 2ND</t>
  </si>
  <si>
    <t>0046171914</t>
  </si>
  <si>
    <t>INS ENDOVA VENACAVA FILT</t>
  </si>
  <si>
    <t>INS ENDO FILTER</t>
  </si>
  <si>
    <t>0046171971</t>
  </si>
  <si>
    <t>TCATH RETRV INTRAVASC FB+IMG</t>
  </si>
  <si>
    <t>TCATH RETR IVAS</t>
  </si>
  <si>
    <t>0046172110</t>
  </si>
  <si>
    <t>TCATH TX INIT NONCOR ART</t>
  </si>
  <si>
    <t>TCATH NONCOR</t>
  </si>
  <si>
    <t>0046172128</t>
  </si>
  <si>
    <t>TCATH TX INIT NONCOR VEN</t>
  </si>
  <si>
    <t>0046172136</t>
  </si>
  <si>
    <t>TCATH TX A/V NONCOR SUBS</t>
  </si>
  <si>
    <t>0046172144</t>
  </si>
  <si>
    <t>TCATH TX CESSATION</t>
  </si>
  <si>
    <t>TCATH CESSATION</t>
  </si>
  <si>
    <t>0046172367</t>
  </si>
  <si>
    <t>OPEN/PERC PL ST 1ST AR</t>
  </si>
  <si>
    <t>OP PERC ST 1ST</t>
  </si>
  <si>
    <t>0046172375</t>
  </si>
  <si>
    <t>OPEN/PERC PL ST E/ADD AR</t>
  </si>
  <si>
    <t>OP PER ST ADD</t>
  </si>
  <si>
    <t>0046172383</t>
  </si>
  <si>
    <t>OPEN/PERC PL ST 1ST VN</t>
  </si>
  <si>
    <t>OP PER ST SAME</t>
  </si>
  <si>
    <t>0046172425</t>
  </si>
  <si>
    <t>VASC EMB/OCC ARTERY</t>
  </si>
  <si>
    <t>VSC EMB/OCC ART</t>
  </si>
  <si>
    <t>0046172466</t>
  </si>
  <si>
    <t>ANGIPLASTY ART INIT+S&amp;I</t>
  </si>
  <si>
    <t>ANGIPLASTY ART</t>
  </si>
  <si>
    <t>0046172482</t>
  </si>
  <si>
    <t>ANGIPLASTY VEN INIT+S&amp;I</t>
  </si>
  <si>
    <t>ANGIPLASTY VEN</t>
  </si>
  <si>
    <t>0046172516</t>
  </si>
  <si>
    <t>IVUS NON CORON ADDL VESL</t>
  </si>
  <si>
    <t>IVUS ADDL VESSL</t>
  </si>
  <si>
    <t>0046176905</t>
  </si>
  <si>
    <t>INJ VENOGRPHY EXTRMTY</t>
  </si>
  <si>
    <t>INJ VENO EXTRM</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</si>
  <si>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</si>
  <si>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</si>
  <si>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</si>
  <si>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</si>
  <si>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</si>
  <si>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</si>
  <si>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</si>
  <si>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</si>
  <si>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</si>
  <si>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</si>
  <si>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</si>
  <si>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</si>
  <si>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0046178356</t>
  </si>
  <si>
    <t>PLC CATH ART 1ST ORDR</t>
  </si>
  <si>
    <t>0046178406</t>
  </si>
  <si>
    <t>PLC CATH ART 2ND ORDR</t>
  </si>
  <si>
    <t>0046178455</t>
  </si>
  <si>
    <t>PLC CATH ART 3RD ORDR</t>
  </si>
  <si>
    <t>0046178604</t>
  </si>
  <si>
    <t>PLC CATH EXTRM ARTERY</t>
  </si>
  <si>
    <t>0046178703</t>
  </si>
  <si>
    <t>PLC CATH VENACAVA</t>
  </si>
  <si>
    <t>PL CTH VENACAVA</t>
  </si>
  <si>
    <t>0046191300</t>
  </si>
  <si>
    <t>CPR</t>
  </si>
  <si>
    <t>0046191524</t>
  </si>
  <si>
    <t>0046191532</t>
  </si>
  <si>
    <t>0046196002</t>
  </si>
  <si>
    <t>PERC COR DRUG-ELUT STNT</t>
  </si>
  <si>
    <t>PERC DRG-EL ST</t>
  </si>
  <si>
    <t>0046196010</t>
  </si>
  <si>
    <t>PERC DRUG-ELUT STNT ADDL</t>
  </si>
  <si>
    <t>PERC STNT ADDL</t>
  </si>
  <si>
    <t>0046196028</t>
  </si>
  <si>
    <t>PERC COR ATH D-E STNT</t>
  </si>
  <si>
    <t>PERC COR ATHER</t>
  </si>
  <si>
    <t>0046196036</t>
  </si>
  <si>
    <t>PERC COR ATHER STNT ADD</t>
  </si>
  <si>
    <t>PER ATHER ADDL</t>
  </si>
  <si>
    <t>0046196069</t>
  </si>
  <si>
    <t>PER COR REVAS D-E W/AMI</t>
  </si>
  <si>
    <t>PER REVAS W/AMI</t>
  </si>
  <si>
    <t>0046196077</t>
  </si>
  <si>
    <t>PER COR REVAS CHRONC SNG</t>
  </si>
  <si>
    <t>PER REVAS CHRON</t>
  </si>
  <si>
    <t>0046196085</t>
  </si>
  <si>
    <t>PER COR REVAS D-E ADDL</t>
  </si>
  <si>
    <t>PER REVA D-E AD</t>
  </si>
  <si>
    <t>0046197646</t>
  </si>
  <si>
    <t>REVASC INTRAVASC LITHOTRIP</t>
  </si>
  <si>
    <t>REVASC INTRVASC</t>
  </si>
  <si>
    <t>0046197653</t>
  </si>
  <si>
    <t>REVASC INTRAVASC LITHO+STENT</t>
  </si>
  <si>
    <t>INTRAVASC LITHO</t>
  </si>
  <si>
    <t>0046197661</t>
  </si>
  <si>
    <t>REVASC INTRAVASC LITHO+ATHER</t>
  </si>
  <si>
    <t>0046197679</t>
  </si>
  <si>
    <t>REVASC INTVASC LITH+STNT+ATHER</t>
  </si>
  <si>
    <t>REVASC LITHO+ST</t>
  </si>
  <si>
    <t>0046197737</t>
  </si>
  <si>
    <t>REVASC INTRAVASC LITHO+STNT</t>
  </si>
  <si>
    <t>0046197745</t>
  </si>
  <si>
    <t>REVASC LITHO+AT</t>
  </si>
  <si>
    <t>0048057087</t>
  </si>
  <si>
    <t>VEEG 2-12 HR INMT MNTR</t>
  </si>
  <si>
    <t>VEEG 2-12 HR IN</t>
  </si>
  <si>
    <t>0048057111</t>
  </si>
  <si>
    <t>VEEG EA 12-26 HR INTMT MNTR</t>
  </si>
  <si>
    <t>VEEG EA 12-26 H</t>
  </si>
  <si>
    <t>0048058119</t>
  </si>
  <si>
    <t>EEG MONITOR COMA</t>
  </si>
  <si>
    <t>EEG COMA</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</si>
  <si>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</si>
  <si>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</si>
  <si>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</si>
  <si>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</si>
  <si>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</si>
  <si>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</si>
  <si>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</si>
  <si>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</si>
  <si>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</si>
  <si>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</si>
  <si>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</si>
  <si>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</si>
  <si>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</si>
  <si>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EEG MONITORING</t>
  </si>
  <si>
    <t>0049000300</t>
  </si>
  <si>
    <t>EYE DETECTION OF FOR/BDY</t>
  </si>
  <si>
    <t>EYE DTCT FRBDY</t>
  </si>
  <si>
    <t>0049001001</t>
  </si>
  <si>
    <t>MANDIBLE &lt; 4 VIEWS</t>
  </si>
  <si>
    <t>MANDIBLE UNI</t>
  </si>
  <si>
    <t>0049001100</t>
  </si>
  <si>
    <t>MANDIBLE 4VW MIN</t>
  </si>
  <si>
    <t>MANDIBLE CMPL</t>
  </si>
  <si>
    <t>0049001308</t>
  </si>
  <si>
    <t>MASTOIDS BI 3VWS PR SIDE</t>
  </si>
  <si>
    <t>MASTOIDS BILAT</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</si>
  <si>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</si>
  <si>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</si>
  <si>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</si>
  <si>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</si>
  <si>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</si>
  <si>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</si>
  <si>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</si>
  <si>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</si>
  <si>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</si>
  <si>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</si>
  <si>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</si>
  <si>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</si>
  <si>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0049002025</t>
  </si>
  <si>
    <t>SCRN MAMMO+CAD BILAT</t>
  </si>
  <si>
    <t>SCRN MAMMO+CAD</t>
  </si>
  <si>
    <t>0049002041</t>
  </si>
  <si>
    <t>DX MAMMO+CAD BILAT</t>
  </si>
  <si>
    <t>DX MAMMO+CAD</t>
  </si>
  <si>
    <t>0049002066</t>
  </si>
  <si>
    <t>DX MAMMO+CAD UNILAT</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</si>
  <si>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</si>
  <si>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</si>
  <si>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</si>
  <si>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</si>
  <si>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</si>
  <si>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</si>
  <si>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</si>
  <si>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</si>
  <si>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</si>
  <si>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</si>
  <si>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</si>
  <si>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</si>
  <si>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</si>
  <si>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</si>
  <si>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0049006109</t>
  </si>
  <si>
    <t>ASPIR/INJ MAJ JT WO/US</t>
  </si>
  <si>
    <t>ASP/INJ MJR JNT</t>
  </si>
  <si>
    <t>0049010457</t>
  </si>
  <si>
    <t>CHEST 1 VIEW</t>
  </si>
  <si>
    <t>0049010465</t>
  </si>
  <si>
    <t>CHEST 2 VIEWS</t>
  </si>
  <si>
    <t>0049010473</t>
  </si>
  <si>
    <t>CHEST 3 VIEWS</t>
  </si>
  <si>
    <t>0049011000</t>
  </si>
  <si>
    <t>RIBS UNILAT 2VW</t>
  </si>
  <si>
    <t>RIBS UNILATERAL</t>
  </si>
  <si>
    <t>0049011109</t>
  </si>
  <si>
    <t>RIBS BILAT 3VW MIN</t>
  </si>
  <si>
    <t>RIBS BILATERAL</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</si>
  <si>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</si>
  <si>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</si>
  <si>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</si>
  <si>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</si>
  <si>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</si>
  <si>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</si>
  <si>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</si>
  <si>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</si>
  <si>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</si>
  <si>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</si>
  <si>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</si>
  <si>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</si>
  <si>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</si>
  <si>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</si>
  <si>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</si>
  <si>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</si>
  <si>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</si>
  <si>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</si>
  <si>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</si>
  <si>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</si>
  <si>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</si>
  <si>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</si>
  <si>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</si>
  <si>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</si>
  <si>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</si>
  <si>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</si>
  <si>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</si>
  <si>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</si>
  <si>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</si>
  <si>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</si>
  <si>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</si>
  <si>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</si>
  <si>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</si>
  <si>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0049020837</t>
  </si>
  <si>
    <t>SPINE THORACOLMBR 4-5VWS</t>
  </si>
  <si>
    <t>SPIN THOR 4-5VW</t>
  </si>
  <si>
    <t>0049020845</t>
  </si>
  <si>
    <t>SPINE THORACOLMBR 6VWS</t>
  </si>
  <si>
    <t>SPINE THOR 6VW</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</si>
  <si>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</si>
  <si>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</si>
  <si>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</si>
  <si>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</si>
  <si>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</si>
  <si>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</si>
  <si>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</si>
  <si>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</si>
  <si>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</si>
  <si>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</si>
  <si>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</si>
  <si>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</si>
  <si>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0049021355</t>
  </si>
  <si>
    <t>SPINAL PUNCTURE THERAPTC</t>
  </si>
  <si>
    <t>LUMBAR PUNCTURE</t>
  </si>
  <si>
    <t>0049021702</t>
  </si>
  <si>
    <t>PELVIS 1 VIEW</t>
  </si>
  <si>
    <t>0049021751</t>
  </si>
  <si>
    <t>PELVIS 2 VIEWS</t>
  </si>
  <si>
    <t>0049022023</t>
  </si>
  <si>
    <t>SACROILIAC JOINTS 3 VWS</t>
  </si>
  <si>
    <t>SACROILIAC JNTS</t>
  </si>
  <si>
    <t>0049022205</t>
  </si>
  <si>
    <t>SACRUM COCCYX 2 VWS</t>
  </si>
  <si>
    <t>SACRUM &amp; COCCYX</t>
  </si>
  <si>
    <t>0049022403</t>
  </si>
  <si>
    <t>MYELOGRAM CERV S&amp;I</t>
  </si>
  <si>
    <t>MYELOGRAM CERV</t>
  </si>
  <si>
    <t>0049022502</t>
  </si>
  <si>
    <t>MYELOGRAM LUMBAR S&amp;I</t>
  </si>
  <si>
    <t>MYELOGRAM LUMB</t>
  </si>
  <si>
    <t>0049022601</t>
  </si>
  <si>
    <t>MYELOGRAM THORACIC S&amp;I</t>
  </si>
  <si>
    <t>MYELOGRAM THORC</t>
  </si>
  <si>
    <t>0049022718</t>
  </si>
  <si>
    <t>MYELOGRAM 2 OR&gt; REGIONS</t>
  </si>
  <si>
    <t>MYELOGRAM 2 OR&gt;</t>
  </si>
  <si>
    <t>0049023013</t>
  </si>
  <si>
    <t>CERVICAL MYELO LUMB INJ</t>
  </si>
  <si>
    <t>MYELO CERV</t>
  </si>
  <si>
    <t>0049023021</t>
  </si>
  <si>
    <t>THORACIC MYELO LUMB INJ</t>
  </si>
  <si>
    <t>MYELO THORACIC</t>
  </si>
  <si>
    <t>0049023047</t>
  </si>
  <si>
    <t>L/S MYELO W/INJ</t>
  </si>
  <si>
    <t>0049023054</t>
  </si>
  <si>
    <t>MYELOGRAM C/T/L LUMB INJ</t>
  </si>
  <si>
    <t>MYELO 2+REG</t>
  </si>
  <si>
    <t>0049023211</t>
  </si>
  <si>
    <t>SPINAL PUNCT LUMB DX WFLUOR/CT</t>
  </si>
  <si>
    <t>DX LUMB PCT DX</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</si>
  <si>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</si>
  <si>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</si>
  <si>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</si>
  <si>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</si>
  <si>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</si>
  <si>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</si>
  <si>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</si>
  <si>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</si>
  <si>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</si>
  <si>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</si>
  <si>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</si>
  <si>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</si>
  <si>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</si>
  <si>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</si>
  <si>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</si>
  <si>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</si>
  <si>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</si>
  <si>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</si>
  <si>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</si>
  <si>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</si>
  <si>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</si>
  <si>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</si>
  <si>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</si>
  <si>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</si>
  <si>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</si>
  <si>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</si>
  <si>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</si>
  <si>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</si>
  <si>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</si>
  <si>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</si>
  <si>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</si>
  <si>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</si>
  <si>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</si>
  <si>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</si>
  <si>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</si>
  <si>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</si>
  <si>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</si>
  <si>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</si>
  <si>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</si>
  <si>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</si>
  <si>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</si>
  <si>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</si>
  <si>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</si>
  <si>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</si>
  <si>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</si>
  <si>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</si>
  <si>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</si>
  <si>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</si>
  <si>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</si>
  <si>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</si>
  <si>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</si>
  <si>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</si>
  <si>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</si>
  <si>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</si>
  <si>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</si>
  <si>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</si>
  <si>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</si>
  <si>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</si>
  <si>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</si>
  <si>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</si>
  <si>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</si>
  <si>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</si>
  <si>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</si>
  <si>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</si>
  <si>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</si>
  <si>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</si>
  <si>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</si>
  <si>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</si>
  <si>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</si>
  <si>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</si>
  <si>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</si>
  <si>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</si>
  <si>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</si>
  <si>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</si>
  <si>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</si>
  <si>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</si>
  <si>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</si>
  <si>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</si>
  <si>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</si>
  <si>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</si>
  <si>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</si>
  <si>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</si>
  <si>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</si>
  <si>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</si>
  <si>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</si>
  <si>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</si>
  <si>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</si>
  <si>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</si>
  <si>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</si>
  <si>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</si>
  <si>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</si>
  <si>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</si>
  <si>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</si>
  <si>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</si>
  <si>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</si>
  <si>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</si>
  <si>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</si>
  <si>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</si>
  <si>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</si>
  <si>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</si>
  <si>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</si>
  <si>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</si>
  <si>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</si>
  <si>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</si>
  <si>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</si>
  <si>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</si>
  <si>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</si>
  <si>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</si>
  <si>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</si>
  <si>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0049036205</t>
  </si>
  <si>
    <t>FOOT 2 VIEWS</t>
  </si>
  <si>
    <t>FOOT 2VWS</t>
  </si>
  <si>
    <t>0049036304</t>
  </si>
  <si>
    <t>FOOT 3 VIEWS MINIMUM</t>
  </si>
  <si>
    <t>FOOT 3 VWS MIN</t>
  </si>
  <si>
    <t>0049036502</t>
  </si>
  <si>
    <t>OS CALCIS 2 VIEWS</t>
  </si>
  <si>
    <t>OS CALCIS 2VWS</t>
  </si>
  <si>
    <t>0049036601</t>
  </si>
  <si>
    <t>TOE(S) 2 VIEWS</t>
  </si>
  <si>
    <t>TOE(S) 2 VWS</t>
  </si>
  <si>
    <t>0049037526</t>
  </si>
  <si>
    <t>PLC NG TUBE W FLUORO</t>
  </si>
  <si>
    <t>PLC NG TUBE</t>
  </si>
  <si>
    <t>0049040181</t>
  </si>
  <si>
    <t>ABDOMEN 1 VIEW</t>
  </si>
  <si>
    <t>0049040199</t>
  </si>
  <si>
    <t>ABDOMEN 2 VIEWS</t>
  </si>
  <si>
    <t>0049040215</t>
  </si>
  <si>
    <t>ABDOMEN 3/+ VIEWS</t>
  </si>
  <si>
    <t>ABDOMEN 3/+ VIE</t>
  </si>
  <si>
    <t>0049041908</t>
  </si>
  <si>
    <t>PERITONEOGRAM</t>
  </si>
  <si>
    <t>0049042005</t>
  </si>
  <si>
    <t>ERCP BILIARY&amp;PANCREATIC</t>
  </si>
  <si>
    <t>ERCP</t>
  </si>
  <si>
    <t>0049042203</t>
  </si>
  <si>
    <t>X-RAY ESOPHAGUS SNGL CM STDY</t>
  </si>
  <si>
    <t>ESOPHAGUS SNGL</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</si>
  <si>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</si>
  <si>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</si>
  <si>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</si>
  <si>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</si>
  <si>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</si>
  <si>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</si>
  <si>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</si>
  <si>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</si>
  <si>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</si>
  <si>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</si>
  <si>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</si>
  <si>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</si>
  <si>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</si>
  <si>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</si>
  <si>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</si>
  <si>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</si>
  <si>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</si>
  <si>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</si>
  <si>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</si>
  <si>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</si>
  <si>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</si>
  <si>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</si>
  <si>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</si>
  <si>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</si>
  <si>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0049043003</t>
  </si>
  <si>
    <t>CHOLANGIO INTRAOP S&amp;I INIT</t>
  </si>
  <si>
    <t>CHOLANGIO INTRA</t>
  </si>
  <si>
    <t>0049043409</t>
  </si>
  <si>
    <t>GI TUBE INTRO W/FLUORO</t>
  </si>
  <si>
    <t>GI TUBE LOCALZT</t>
  </si>
  <si>
    <t>0049043631</t>
  </si>
  <si>
    <t>BILIARY DIL W/WO STENT</t>
  </si>
  <si>
    <t>BILIARY DUCT DL</t>
  </si>
  <si>
    <t>0049044001</t>
  </si>
  <si>
    <t>UROGRAPHY EXCRETORY(IVP)</t>
  </si>
  <si>
    <t>UROGRAM IVP</t>
  </si>
  <si>
    <t>0049044159</t>
  </si>
  <si>
    <t>IVP WITH RENAL TOMOS</t>
  </si>
  <si>
    <t>IVP WITH TOMOS</t>
  </si>
  <si>
    <t>0049044209</t>
  </si>
  <si>
    <t>UROG/PYELOGRAPHY RETRO</t>
  </si>
  <si>
    <t>PYELOGRAM RETRO</t>
  </si>
  <si>
    <t>0049044258</t>
  </si>
  <si>
    <t>ANTEGRADE NEPHROSTOGRAM</t>
  </si>
  <si>
    <t>ANTE NEPHRSTGRM</t>
  </si>
  <si>
    <t>0049044340</t>
  </si>
  <si>
    <t>CYSTOGRAPHY 3VW MIN</t>
  </si>
  <si>
    <t>CYSTOGRAM COMP</t>
  </si>
  <si>
    <t>0049044506</t>
  </si>
  <si>
    <t>URETHROCYSTOGRAPHY RETR</t>
  </si>
  <si>
    <t>URETHROGRM RETR</t>
  </si>
  <si>
    <t>0049044555</t>
  </si>
  <si>
    <t>URETHROCYSTOGRAPHY VOID</t>
  </si>
  <si>
    <t>URETHROGRM VOID</t>
  </si>
  <si>
    <t>0049047400</t>
  </si>
  <si>
    <t>HYSTEROSALPINGOGRAPHY</t>
  </si>
  <si>
    <t>HYSTEROSALPNGDG</t>
  </si>
  <si>
    <t>0049059975</t>
  </si>
  <si>
    <t>FLUOROGUID FOR VEIN DVCE</t>
  </si>
  <si>
    <t>FLUORO CVA DVCE</t>
  </si>
  <si>
    <t>0049059983</t>
  </si>
  <si>
    <t>0049060106</t>
  </si>
  <si>
    <t>0049060114</t>
  </si>
  <si>
    <t>FLUORO GUIDE SPINE INJ</t>
  </si>
  <si>
    <t>FLUOR SPINE INJ</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</si>
  <si>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</si>
  <si>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</si>
  <si>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</si>
  <si>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</si>
  <si>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</si>
  <si>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</si>
  <si>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</si>
  <si>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</si>
  <si>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</si>
  <si>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</si>
  <si>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</si>
  <si>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</si>
  <si>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0049060825</t>
  </si>
  <si>
    <t>FISTULA-SINUS TRCT STDY</t>
  </si>
  <si>
    <t>FISTL/SINUS TRC</t>
  </si>
  <si>
    <t>0049060882</t>
  </si>
  <si>
    <t>MAMMARY DUCT/GALACT SNG</t>
  </si>
  <si>
    <t>MAMM DUCT SNGL</t>
  </si>
  <si>
    <t>0049060890</t>
  </si>
  <si>
    <t>MAMMARY DUCT/GALACT MULT</t>
  </si>
  <si>
    <t>MAMM DUCT MULTI</t>
  </si>
  <si>
    <t>0049060957</t>
  </si>
  <si>
    <t>SURGICAL SPECIMEN</t>
  </si>
  <si>
    <t>SURGICL SPECIMN</t>
  </si>
  <si>
    <t>0049061005</t>
  </si>
  <si>
    <t>TOMOGRAPHY SNGL PLANE</t>
  </si>
  <si>
    <t>TOMO SNGL PLN</t>
  </si>
  <si>
    <t>0049075054</t>
  </si>
  <si>
    <t>BX PLEURA PERC NDL</t>
  </si>
  <si>
    <t>BX CHEST NDL</t>
  </si>
  <si>
    <t>0049075310</t>
  </si>
  <si>
    <t>CHOLANGIO+INJ EXIST CTH</t>
  </si>
  <si>
    <t>CHOL+INJ CATH</t>
  </si>
  <si>
    <t>0049076151</t>
  </si>
  <si>
    <t>INJ F/CYSTO OR VCUG</t>
  </si>
  <si>
    <t>INJ BLADDR XRAY</t>
  </si>
  <si>
    <t>0049076300</t>
  </si>
  <si>
    <t>INJ GALACTO/DUCTO PROC</t>
  </si>
  <si>
    <t>INJ DUCTO/GALA</t>
  </si>
  <si>
    <t>0049076508</t>
  </si>
  <si>
    <t>INJ HIP ARTHRO W/O ANES</t>
  </si>
  <si>
    <t>INJ HIP ARTHG</t>
  </si>
  <si>
    <t>0049076706</t>
  </si>
  <si>
    <t>INJ PROC KNEE ARTHROGRM</t>
  </si>
  <si>
    <t>INJ PROC KNEE A</t>
  </si>
  <si>
    <t>0049076854</t>
  </si>
  <si>
    <t>INJ MYELOGRAM LUMBAR</t>
  </si>
  <si>
    <t>INJ MYELOGRAM</t>
  </si>
  <si>
    <t>0049077001</t>
  </si>
  <si>
    <t>INJ SHOULDER ARTHROGRAM</t>
  </si>
  <si>
    <t>INJ SHLDER ARTH</t>
  </si>
  <si>
    <t>0049077050</t>
  </si>
  <si>
    <t>INJ SINUS TRACT DIAGNSTC</t>
  </si>
  <si>
    <t>INJ SINUS TRACT</t>
  </si>
  <si>
    <t>0049077357</t>
  </si>
  <si>
    <t>INJ URETER/ILEAL CONDUIT</t>
  </si>
  <si>
    <t>INJ URETER/IL C</t>
  </si>
  <si>
    <t>0049077407</t>
  </si>
  <si>
    <t>INJ&amp;CATH HYSTER/SONOHYST</t>
  </si>
  <si>
    <t>INJ HYSTERO/SIS</t>
  </si>
  <si>
    <t>0049077456</t>
  </si>
  <si>
    <t>INJ WRIST ARTHROGRAM</t>
  </si>
  <si>
    <t>INJ WRIST ARTHG</t>
  </si>
  <si>
    <t>0049089006</t>
  </si>
  <si>
    <t>SPINAL PUNCTR LUMB DIAG</t>
  </si>
  <si>
    <t>0049092810</t>
  </si>
  <si>
    <t>PERC DEVC BRST 1ST MAMMO</t>
  </si>
  <si>
    <t>PERC DEVC 1ST</t>
  </si>
  <si>
    <t>0049092828</t>
  </si>
  <si>
    <t>PERC DEVC BRST ADD MAM</t>
  </si>
  <si>
    <t>PERC DEVC ADD</t>
  </si>
  <si>
    <t>0049094006</t>
  </si>
  <si>
    <t>INJ AIR/CM PERITNL CAV</t>
  </si>
  <si>
    <t>INJ PERITONEAL</t>
  </si>
  <si>
    <t>0049094683</t>
  </si>
  <si>
    <t>INJ CM EVAL GJTUBE</t>
  </si>
  <si>
    <t>CM EVAL GJTUBE</t>
  </si>
  <si>
    <t>0049100258</t>
  </si>
  <si>
    <t>REM TUNNLD PLEURL CATH</t>
  </si>
  <si>
    <t>REM PLEURL CATH</t>
  </si>
  <si>
    <t>0049101355</t>
  </si>
  <si>
    <t>ABLATN RENL TUMORS CRYO</t>
  </si>
  <si>
    <t>ABLATN RENL TUM</t>
  </si>
  <si>
    <t>0049102692</t>
  </si>
  <si>
    <t>PLC CLOSE DEVC</t>
  </si>
  <si>
    <t>0049104300</t>
  </si>
  <si>
    <t>INJ NEPHROSTOGRAM</t>
  </si>
  <si>
    <t>INJ NEPHROSTOGR</t>
  </si>
  <si>
    <t>0049104342</t>
  </si>
  <si>
    <t>CONVRT NEPHOST TO URETER</t>
  </si>
  <si>
    <t>CONVER TO URETR</t>
  </si>
  <si>
    <t>0049106933</t>
  </si>
  <si>
    <t>PLC STNT W/DX NEPHRO</t>
  </si>
  <si>
    <t>PLC STNT/NEPHRO</t>
  </si>
  <si>
    <t>0049106958</t>
  </si>
  <si>
    <t>PLC STNT NEW DX W/CATH</t>
  </si>
  <si>
    <t>PLC STNT W/CTH</t>
  </si>
  <si>
    <t>0049109838</t>
  </si>
  <si>
    <t>PERC CRYO ABLATE BONE</t>
  </si>
  <si>
    <t>CRYOABLT BONE</t>
  </si>
  <si>
    <t>0049110307</t>
  </si>
  <si>
    <t>GUIDE CATH FLUID DRAINAG</t>
  </si>
  <si>
    <t>GUIDE CATH FLDR</t>
  </si>
  <si>
    <t>0049116452</t>
  </si>
  <si>
    <t>PERC MECH THROMBUS ART</t>
  </si>
  <si>
    <t>THROMBUS ART</t>
  </si>
  <si>
    <t>0049116502</t>
  </si>
  <si>
    <t>INTRACRAN ADM THERA AGNT</t>
  </si>
  <si>
    <t>THERA INITIAL</t>
  </si>
  <si>
    <t>0049116510</t>
  </si>
  <si>
    <t>INTRACRAN ADM AGNT ADDL</t>
  </si>
  <si>
    <t>THERA ADDL</t>
  </si>
  <si>
    <t>0049120199</t>
  </si>
  <si>
    <t>INSRT TUNLD PLEURAL CATH</t>
  </si>
  <si>
    <t>INSRT PLEURL CT</t>
  </si>
  <si>
    <t>0049120983</t>
  </si>
  <si>
    <t>PERC RF ABLATE BONE TUMR</t>
  </si>
  <si>
    <t>RF ABLATE BONE</t>
  </si>
  <si>
    <t>0049122724</t>
  </si>
  <si>
    <t>0049125552</t>
  </si>
  <si>
    <t>THORACENTSIS W/IMAGING</t>
  </si>
  <si>
    <t>THORACENT W/IMG</t>
  </si>
  <si>
    <t>0049125578</t>
  </si>
  <si>
    <t>PLEURAL DRAINAGE PERC</t>
  </si>
  <si>
    <t>PLEU DRAIN PERC</t>
  </si>
  <si>
    <t>0049135254</t>
  </si>
  <si>
    <t>0049137409</t>
  </si>
  <si>
    <t>EXT CANNULA DECLOTTING</t>
  </si>
  <si>
    <t>EXT CAN DECLOT</t>
  </si>
  <si>
    <t>0049137425</t>
  </si>
  <si>
    <t>CANNULA DECLOT W/CATH</t>
  </si>
  <si>
    <t>CANN DECLOT W/</t>
  </si>
  <si>
    <t>0049137524</t>
  </si>
  <si>
    <t>0049141005</t>
  </si>
  <si>
    <t>0049141013</t>
  </si>
  <si>
    <t>0049141021</t>
  </si>
  <si>
    <t>0049141047</t>
  </si>
  <si>
    <t>PERC MECH THROMBECTMY VN</t>
  </si>
  <si>
    <t>THROMBECTMY VN</t>
  </si>
  <si>
    <t>0049141062</t>
  </si>
  <si>
    <t>MECH THRMBCTMY VN RPEAT</t>
  </si>
  <si>
    <t>THRMBCTMY VEIN</t>
  </si>
  <si>
    <t>0049142359</t>
  </si>
  <si>
    <t>REMOVE FB W/FLUORO</t>
  </si>
  <si>
    <t>FB RMOVAL FLUOR</t>
  </si>
  <si>
    <t>0049142383</t>
  </si>
  <si>
    <t>REMVE RENL TUBE W/FLUORO</t>
  </si>
  <si>
    <t>REMVE RENL TUBE</t>
  </si>
  <si>
    <t>0049142409</t>
  </si>
  <si>
    <t>REPOSITN CV CATH W/FLURO</t>
  </si>
  <si>
    <t>REPS CVCATH W/F</t>
  </si>
  <si>
    <t>0049143340</t>
  </si>
  <si>
    <t>PLC NEPHROURETERAL CATH</t>
  </si>
  <si>
    <t>PLC NEP/URET</t>
  </si>
  <si>
    <t>0049143639</t>
  </si>
  <si>
    <t>0049144256</t>
  </si>
  <si>
    <t>0049144785</t>
  </si>
  <si>
    <t>PERC VERT 1BD CTHOR/IMG</t>
  </si>
  <si>
    <t>VRTPLSTY CTHOR</t>
  </si>
  <si>
    <t>0049144793</t>
  </si>
  <si>
    <t>PERC VERT 1 BD LSAC/IMG</t>
  </si>
  <si>
    <t>VRTPLSTY LSAC</t>
  </si>
  <si>
    <t>0049144868</t>
  </si>
  <si>
    <t>DILAT NEPHRO/URETR/URETH</t>
  </si>
  <si>
    <t>DIL NEPHRO/URET</t>
  </si>
  <si>
    <t>0049156276</t>
  </si>
  <si>
    <t>0049156318</t>
  </si>
  <si>
    <t>0049157027</t>
  </si>
  <si>
    <t>PTA INTRACRANIAL</t>
  </si>
  <si>
    <t>PTA INTRCRANIAL</t>
  </si>
  <si>
    <t>0049157043</t>
  </si>
  <si>
    <t>PTA INTRACRANIAL W/STENT</t>
  </si>
  <si>
    <t>PTA INTRCRNL ST</t>
  </si>
  <si>
    <t>0049157126</t>
  </si>
  <si>
    <t>0049157183</t>
  </si>
  <si>
    <t>0049157290</t>
  </si>
  <si>
    <t>ANGIO VISCERAL SEL/SUPSEL</t>
  </si>
  <si>
    <t>VISCRL SEL/SUP</t>
  </si>
  <si>
    <t>0049157373</t>
  </si>
  <si>
    <t>0049157423</t>
  </si>
  <si>
    <t>ANGIO PULMONARY UNI SLCT</t>
  </si>
  <si>
    <t>ANGIO PULMO UNI</t>
  </si>
  <si>
    <t>0049157449</t>
  </si>
  <si>
    <t>ANGIO PULM SEL BI</t>
  </si>
  <si>
    <t>PULM BI SELECT</t>
  </si>
  <si>
    <t>0049157472</t>
  </si>
  <si>
    <t>ANGIO PULM NON-SEL CATH</t>
  </si>
  <si>
    <t>PULM CATH NON-S</t>
  </si>
  <si>
    <t>0049157753</t>
  </si>
  <si>
    <t>0049158215</t>
  </si>
  <si>
    <t>0049158231</t>
  </si>
  <si>
    <t>0049158264</t>
  </si>
  <si>
    <t>0049158280</t>
  </si>
  <si>
    <t>0049158322</t>
  </si>
  <si>
    <t>VENOGRAPHY RENAL UNILAT</t>
  </si>
  <si>
    <t>VENOGPHY RENL U</t>
  </si>
  <si>
    <t>0049158348</t>
  </si>
  <si>
    <t>VENOGRAPHY RENAL BILAT</t>
  </si>
  <si>
    <t>VENOGPHY RENL B</t>
  </si>
  <si>
    <t>0049158439</t>
  </si>
  <si>
    <t>VENOGRAPHY ADRENAL BI</t>
  </si>
  <si>
    <t>VENOGPH ADRNL B</t>
  </si>
  <si>
    <t>0049158611</t>
  </si>
  <si>
    <t>VENOGRM VNUS SINUS/JUGUL</t>
  </si>
  <si>
    <t>VNOGRM SNUS/JUG</t>
  </si>
  <si>
    <t>0049158868</t>
  </si>
  <si>
    <t>PERC TRNSHEP PORT W/EVL</t>
  </si>
  <si>
    <t>PERC HEP PORT W</t>
  </si>
  <si>
    <t>0049158900</t>
  </si>
  <si>
    <t>HEPATIC VENGRPHY W/EVAL</t>
  </si>
  <si>
    <t>HEP VENGPHY W/E</t>
  </si>
  <si>
    <t>0049158926</t>
  </si>
  <si>
    <t>HEPATIC VENGPHY WO/EVAL</t>
  </si>
  <si>
    <t>HEP VENGPHY WO/</t>
  </si>
  <si>
    <t>0049158934</t>
  </si>
  <si>
    <t>VENOUS SAMPLING VIA CATH</t>
  </si>
  <si>
    <t>VEN SAMPL CATH</t>
  </si>
  <si>
    <t>0049158959</t>
  </si>
  <si>
    <t>TRNSCTH EMBOLIZATN</t>
  </si>
  <si>
    <t>TCATH TRPY EMBL</t>
  </si>
  <si>
    <t>0049158983</t>
  </si>
  <si>
    <t>0049159015</t>
  </si>
  <si>
    <t>REM PERICTH OBST CV CATH</t>
  </si>
  <si>
    <t>REM OBST CV CTH</t>
  </si>
  <si>
    <t>0049159437</t>
  </si>
  <si>
    <t>PERC RF ABLATE RENL TUMR</t>
  </si>
  <si>
    <t>RF ABLATE RENL</t>
  </si>
  <si>
    <t>0049159858</t>
  </si>
  <si>
    <t>CHANGE PERC DRAIN CATH</t>
  </si>
  <si>
    <t>CHNG PERC D CTH</t>
  </si>
  <si>
    <t>0049159973</t>
  </si>
  <si>
    <t>0049160021</t>
  </si>
  <si>
    <t>INJ PERC EXT PSEUDANYSM</t>
  </si>
  <si>
    <t>INJ PSEUDOANYSM</t>
  </si>
  <si>
    <t>0049160054</t>
  </si>
  <si>
    <t>0049160104</t>
  </si>
  <si>
    <t>0049160112</t>
  </si>
  <si>
    <t>0049160823</t>
  </si>
  <si>
    <t>0049162217</t>
  </si>
  <si>
    <t>ARTEROGRAM ARCH NON SEL</t>
  </si>
  <si>
    <t>ARTEROGRAM ARCH</t>
  </si>
  <si>
    <t>0049162225</t>
  </si>
  <si>
    <t>ARTERIOGR CAR NK SEL</t>
  </si>
  <si>
    <t>ARTER CC SEL</t>
  </si>
  <si>
    <t>0049162241</t>
  </si>
  <si>
    <t>ARTERIOGR CAR HD SEL</t>
  </si>
  <si>
    <t>ARTER CAR/HD</t>
  </si>
  <si>
    <t>0049162266</t>
  </si>
  <si>
    <t>ARTERIOG CAR NKHD SEL</t>
  </si>
  <si>
    <t>ARTERIO IC NKHD</t>
  </si>
  <si>
    <t>0049162282</t>
  </si>
  <si>
    <t>ARTERIOG SUBC/INOM</t>
  </si>
  <si>
    <t>ARTER SUBC/INOM</t>
  </si>
  <si>
    <t>0049162308</t>
  </si>
  <si>
    <t>ARTERIOG VERT SEL</t>
  </si>
  <si>
    <t>ARTER VERT SEL</t>
  </si>
  <si>
    <t>0049162324</t>
  </si>
  <si>
    <t>ARTERIOG EXT CAR SEL</t>
  </si>
  <si>
    <t>ARTER EXT CAR</t>
  </si>
  <si>
    <t>0049162340</t>
  </si>
  <si>
    <t>ANGIO IC VERT SEL</t>
  </si>
  <si>
    <t>ANGIO IC VERT</t>
  </si>
  <si>
    <t>0049162514</t>
  </si>
  <si>
    <t>0049162522</t>
  </si>
  <si>
    <t>0049162530</t>
  </si>
  <si>
    <t>INS CATH REN ART 2ND UNI</t>
  </si>
  <si>
    <t>0049162548</t>
  </si>
  <si>
    <t>INS CATH REN ART 2ND BIL</t>
  </si>
  <si>
    <t>0049165368</t>
  </si>
  <si>
    <t>0049165566</t>
  </si>
  <si>
    <t>0049165582</t>
  </si>
  <si>
    <t>INSRT TNL CV CTH5&gt;WO PMP</t>
  </si>
  <si>
    <t>0049165616</t>
  </si>
  <si>
    <t>INSRT TUNNL VAD 5&gt;W PORT</t>
  </si>
  <si>
    <t>INSRT CV DVICE</t>
  </si>
  <si>
    <t>0049165699</t>
  </si>
  <si>
    <t>INSRT PICC NO PRT/PMP&gt;5 NO IMG</t>
  </si>
  <si>
    <t>INSRT PICC &gt;5</t>
  </si>
  <si>
    <t>0049165756</t>
  </si>
  <si>
    <t>REPAIR CV CATH WO SQ PMP</t>
  </si>
  <si>
    <t>REPAIR CV CATH</t>
  </si>
  <si>
    <t>0049165806</t>
  </si>
  <si>
    <t>REPLCE NON-TUNNL CV CATH</t>
  </si>
  <si>
    <t>REPLC CV CATH</t>
  </si>
  <si>
    <t>0049165814</t>
  </si>
  <si>
    <t>REPLACE TUNNELED CV CATH</t>
  </si>
  <si>
    <t>0049165822</t>
  </si>
  <si>
    <t>RPLC TUNNL CVAD W PORT</t>
  </si>
  <si>
    <t>REPLC CVA DVICE</t>
  </si>
  <si>
    <t>0049165848</t>
  </si>
  <si>
    <t>RPLC PICC NO PRT/PMP W/IMG</t>
  </si>
  <si>
    <t>RPLC PICC NO PR</t>
  </si>
  <si>
    <t>0049165897</t>
  </si>
  <si>
    <t>REMV TUNL CVC WO PMP/PRT</t>
  </si>
  <si>
    <t>REMV CV CATH</t>
  </si>
  <si>
    <t>0049165905</t>
  </si>
  <si>
    <t>RMV TUNLD CVAD W SQ PORT</t>
  </si>
  <si>
    <t>REMV CVA DVICE</t>
  </si>
  <si>
    <t>0049165939</t>
  </si>
  <si>
    <t>DCLOT CVAD THROMBL AGNT</t>
  </si>
  <si>
    <t>DECLOT CVAD</t>
  </si>
  <si>
    <t>0049165988</t>
  </si>
  <si>
    <t>CONTRST EVAL EXISTNG CVD</t>
  </si>
  <si>
    <t>CVD CNTRST EVAL</t>
  </si>
  <si>
    <t>0049169014</t>
  </si>
  <si>
    <t>INTRO NDL DIAL-CIRC+S&amp;I</t>
  </si>
  <si>
    <t>INTRO NDL S&amp;I</t>
  </si>
  <si>
    <t>0049169022</t>
  </si>
  <si>
    <t>DIAL-CIRC BAL-PLASTY+S&amp;I</t>
  </si>
  <si>
    <t>BAL-PLASTY+S&amp;I</t>
  </si>
  <si>
    <t>0049169030</t>
  </si>
  <si>
    <t>DIAL-CIRC STNT+PLSTY+S&amp;I</t>
  </si>
  <si>
    <t>STNT+PLASTY+S&amp;I</t>
  </si>
  <si>
    <t>0049169048</t>
  </si>
  <si>
    <t>DIA-CIR THRO+IMG+S&amp;I</t>
  </si>
  <si>
    <t>THRO+IMG+S&amp;I</t>
  </si>
  <si>
    <t>0049169055</t>
  </si>
  <si>
    <t>DIA-CIR THRO+PLST+IMG+S&amp;I</t>
  </si>
  <si>
    <t>THRO+PLST+IMG</t>
  </si>
  <si>
    <t>0049169063</t>
  </si>
  <si>
    <t>DIA-CIR THRO+STN+IMG+S&amp;I</t>
  </si>
  <si>
    <t>THRO+STN+IMG</t>
  </si>
  <si>
    <t>0049169071</t>
  </si>
  <si>
    <t>DIA-CIR APLAS+IMG+S&amp;I</t>
  </si>
  <si>
    <t>APLAS+IMG+S&amp;I</t>
  </si>
  <si>
    <t>0049169089</t>
  </si>
  <si>
    <t>DIA-CIR STENT+IMG+S&amp;I</t>
  </si>
  <si>
    <t>STENT+IMG+S&amp;I</t>
  </si>
  <si>
    <t>0049169097</t>
  </si>
  <si>
    <t>DIA-CIR EMBOL+IMG+S&amp;I</t>
  </si>
  <si>
    <t>EMBOL+IMG+S&amp;I</t>
  </si>
  <si>
    <t>0049169378</t>
  </si>
  <si>
    <t>0049169428</t>
  </si>
  <si>
    <t>US GUIDE NEEDLE PLACEMNT</t>
  </si>
  <si>
    <t>US GUIDANCE</t>
  </si>
  <si>
    <t>0049171820</t>
  </si>
  <si>
    <t>TRNSVN INTRHEP PORT SHNT</t>
  </si>
  <si>
    <t>PORTOSYST SHUNT</t>
  </si>
  <si>
    <t>0049171838</t>
  </si>
  <si>
    <t>REVSN INTRHEP PORTO SHNT</t>
  </si>
  <si>
    <t>REVS PORTO SHNT</t>
  </si>
  <si>
    <t>0049171911</t>
  </si>
  <si>
    <t>0049171929</t>
  </si>
  <si>
    <t>REPOS ENDO VENACAVA FILT</t>
  </si>
  <si>
    <t>REP VEN CAV FIL</t>
  </si>
  <si>
    <t>0049171937</t>
  </si>
  <si>
    <t>REM ENDO VENA CAVA FILTR</t>
  </si>
  <si>
    <t>REM VENCAVA FIL</t>
  </si>
  <si>
    <t>0049171978</t>
  </si>
  <si>
    <t>TCATH RETRV FB</t>
  </si>
  <si>
    <t>0049172117</t>
  </si>
  <si>
    <t>0049172125</t>
  </si>
  <si>
    <t>0049172133</t>
  </si>
  <si>
    <t>0049172141</t>
  </si>
  <si>
    <t>0049172158</t>
  </si>
  <si>
    <t>PLC CERV CAROTD W/PRD</t>
  </si>
  <si>
    <t>PL STNT CAROTID</t>
  </si>
  <si>
    <t>0049172182</t>
  </si>
  <si>
    <t>PERC ANTEGR STENT CAR</t>
  </si>
  <si>
    <t>PERC ANTE STNT</t>
  </si>
  <si>
    <t>0049172364</t>
  </si>
  <si>
    <t>0049172372</t>
  </si>
  <si>
    <t>0049172380</t>
  </si>
  <si>
    <t>0049172398</t>
  </si>
  <si>
    <t>OPEN/PERC PL ST E/ADD VN</t>
  </si>
  <si>
    <t>0049172414</t>
  </si>
  <si>
    <t>VASC EMB/OCC VENOUS</t>
  </si>
  <si>
    <t>VSC EMB/OCC VEN</t>
  </si>
  <si>
    <t>0049172422</t>
  </si>
  <si>
    <t>0049172430</t>
  </si>
  <si>
    <t>VASC EMB/OCC ORGAN</t>
  </si>
  <si>
    <t>VSC EMB/OCC ORG</t>
  </si>
  <si>
    <t>0049172448</t>
  </si>
  <si>
    <t>VASC EMB/OCC BLEED</t>
  </si>
  <si>
    <t>VSC EMB/OCC BLD</t>
  </si>
  <si>
    <t>0049172463</t>
  </si>
  <si>
    <t>0049172489</t>
  </si>
  <si>
    <t>0049173826</t>
  </si>
  <si>
    <t>PERC RF ABLATE LIVR TUMR</t>
  </si>
  <si>
    <t>RF ABLATE LIVR</t>
  </si>
  <si>
    <t>0049173834</t>
  </si>
  <si>
    <t>PERC CRY ABLAT LIVR TUMR</t>
  </si>
  <si>
    <t>CRYO ABLAT LIVR</t>
  </si>
  <si>
    <t>0049174600</t>
  </si>
  <si>
    <t>ASPIR BLADDR W/INS CATH</t>
  </si>
  <si>
    <t>ASP BLDR W/INS</t>
  </si>
  <si>
    <t>0049175037</t>
  </si>
  <si>
    <t>BIOPSY BONE DEEP</t>
  </si>
  <si>
    <t>BX BONE DEEP</t>
  </si>
  <si>
    <t>0049175102</t>
  </si>
  <si>
    <t>BX LUNG/MEDIAST PERC NDL</t>
  </si>
  <si>
    <t>BX LUNG/MEDIAST</t>
  </si>
  <si>
    <t>0049175144</t>
  </si>
  <si>
    <t>BX RENAL PERC NDL</t>
  </si>
  <si>
    <t>BX RENAL PERC</t>
  </si>
  <si>
    <t>0049175151</t>
  </si>
  <si>
    <t>CHANGE BILIARY DRAIN CTH</t>
  </si>
  <si>
    <t>CHNG BILI CATH</t>
  </si>
  <si>
    <t>0049175201</t>
  </si>
  <si>
    <t>CHANGE NEPHROSTOMY TUBE</t>
  </si>
  <si>
    <t>CHNG NEPHR TUBE</t>
  </si>
  <si>
    <t>0049175284</t>
  </si>
  <si>
    <t>REMOVE URETER STENT PERC</t>
  </si>
  <si>
    <t>REMOVE URETR ST</t>
  </si>
  <si>
    <t>0049175318</t>
  </si>
  <si>
    <t>0049175326</t>
  </si>
  <si>
    <t>CHOLANGIO+INJ NEW</t>
  </si>
  <si>
    <t>INJ PERC CHOLE</t>
  </si>
  <si>
    <t>0049175342</t>
  </si>
  <si>
    <t>INSRT BILI DRAIN INT/EXT</t>
  </si>
  <si>
    <t>BIL DRN INT/EXT</t>
  </si>
  <si>
    <t>0049175375</t>
  </si>
  <si>
    <t>REMOVE BILI DRAIN CATH</t>
  </si>
  <si>
    <t>REM BILI CATH</t>
  </si>
  <si>
    <t>0049175383</t>
  </si>
  <si>
    <t>PL STNT BIL EXIS ACCESS</t>
  </si>
  <si>
    <t>STNT EXIS ACCES</t>
  </si>
  <si>
    <t>0049175391</t>
  </si>
  <si>
    <t>PL STNT BIL W/O DRN</t>
  </si>
  <si>
    <t>PL STNT W/O DRN</t>
  </si>
  <si>
    <t>0049175409</t>
  </si>
  <si>
    <t>PL STNT INT/EXT BILE DRN</t>
  </si>
  <si>
    <t>PLC STNT W/DRN</t>
  </si>
  <si>
    <t>0049176001</t>
  </si>
  <si>
    <t>PERC CHOLECYSTOSTOMY</t>
  </si>
  <si>
    <t>PERC CHOLECYSTM</t>
  </si>
  <si>
    <t>0049176373</t>
  </si>
  <si>
    <t>3D IMAGING W POSTPROCESS</t>
  </si>
  <si>
    <t>3D IMAGING</t>
  </si>
  <si>
    <t>0049176506</t>
  </si>
  <si>
    <t>INJ HIP ARTHRG</t>
  </si>
  <si>
    <t>0049176654</t>
  </si>
  <si>
    <t>INJ NEPHROGRM EXIS ACC</t>
  </si>
  <si>
    <t>0049176902</t>
  </si>
  <si>
    <t>0049177603</t>
  </si>
  <si>
    <t>INSRT BILI DRAIN EXT</t>
  </si>
  <si>
    <t>INSRT BILI EXT</t>
  </si>
  <si>
    <t>0049177702</t>
  </si>
  <si>
    <t>PLC NEPHROSTOMY CATH</t>
  </si>
  <si>
    <t>PLC NEPHO CATH</t>
  </si>
  <si>
    <t>0049177728</t>
  </si>
  <si>
    <t>INSERT THORACOSTMY TUBE</t>
  </si>
  <si>
    <t>INSRT CHST TUBE</t>
  </si>
  <si>
    <t>0049177900</t>
  </si>
  <si>
    <t>OCCLSN/EMBL CATH NON-CNS</t>
  </si>
  <si>
    <t>OCCLSN/EMBL CTH</t>
  </si>
  <si>
    <t>0049177959</t>
  </si>
  <si>
    <t>OCCLSN/EMBL CATH CNS</t>
  </si>
  <si>
    <t>0049178007</t>
  </si>
  <si>
    <t>0049178106</t>
  </si>
  <si>
    <t>0049178155</t>
  </si>
  <si>
    <t>0049178205</t>
  </si>
  <si>
    <t>0049178254</t>
  </si>
  <si>
    <t>0049178304</t>
  </si>
  <si>
    <t>PLC CATH ART ADD ORDR</t>
  </si>
  <si>
    <t>0049178353</t>
  </si>
  <si>
    <t>0049178403</t>
  </si>
  <si>
    <t>0049178452</t>
  </si>
  <si>
    <t>0049178700</t>
  </si>
  <si>
    <t>CATH VENACAVA</t>
  </si>
  <si>
    <t>0049178858</t>
  </si>
  <si>
    <t>0049178908</t>
  </si>
  <si>
    <t>0049179914</t>
  </si>
  <si>
    <t>VENOUS CATH SAMPLING</t>
  </si>
  <si>
    <t>SAMPL VEN CATH</t>
  </si>
  <si>
    <t>0049180052</t>
  </si>
  <si>
    <t>TRNSCTH BIOPSY</t>
  </si>
  <si>
    <t>TCATH BX</t>
  </si>
  <si>
    <t>0049181688</t>
  </si>
  <si>
    <t>0049181720</t>
  </si>
  <si>
    <t>0049181746</t>
  </si>
  <si>
    <t>0049181761</t>
  </si>
  <si>
    <t>0049181787</t>
  </si>
  <si>
    <t>0049181803</t>
  </si>
  <si>
    <t>0049181829</t>
  </si>
  <si>
    <t>0049181845</t>
  </si>
  <si>
    <t>0049181860</t>
  </si>
  <si>
    <t>0049181886</t>
  </si>
  <si>
    <t>0049181902</t>
  </si>
  <si>
    <t>0049181928</t>
  </si>
  <si>
    <t>0049182009</t>
  </si>
  <si>
    <t>BILIARY DUCT STONE EXTR</t>
  </si>
  <si>
    <t>BIL STONE EXTRC</t>
  </si>
  <si>
    <t>0049182058</t>
  </si>
  <si>
    <t>BILIARY ENDO DIL WO STNT</t>
  </si>
  <si>
    <t>BIL ENDO DILATN</t>
  </si>
  <si>
    <t>0049182108</t>
  </si>
  <si>
    <t>BILIARY ENDO DIL W/STENT</t>
  </si>
  <si>
    <t>BIL ENDO DIL ST</t>
  </si>
  <si>
    <t>0049182157</t>
  </si>
  <si>
    <t>BX LIVER PERC NDL</t>
  </si>
  <si>
    <t>BX LIVR PERC ND</t>
  </si>
  <si>
    <t>0049190838</t>
  </si>
  <si>
    <t>ABD PARACENTESIS W/IMAGE</t>
  </si>
  <si>
    <t>ABD PARA W/IMAG</t>
  </si>
  <si>
    <t>0049191521</t>
  </si>
  <si>
    <t>0049191539</t>
  </si>
  <si>
    <t>0049194061</t>
  </si>
  <si>
    <t>IMG CATH FLUID PERI/RETR</t>
  </si>
  <si>
    <t>CATH FL COLL</t>
  </si>
  <si>
    <t>0049194152</t>
  </si>
  <si>
    <t>IMG CATH FLUID COL VISC</t>
  </si>
  <si>
    <t>CATH FL COLL VI</t>
  </si>
  <si>
    <t>0049194186</t>
  </si>
  <si>
    <t>INS TUNN INTRAPER CATH</t>
  </si>
  <si>
    <t>INS INTRAPER CA</t>
  </si>
  <si>
    <t>0049194228</t>
  </si>
  <si>
    <t>REM TUNNLD INTRAPER CATH</t>
  </si>
  <si>
    <t>REM INTRAPERTNL</t>
  </si>
  <si>
    <t>0049194236</t>
  </si>
  <si>
    <t>EXCH ABSC/CYST DRN CATH</t>
  </si>
  <si>
    <t>EXCH ABS DRN CA</t>
  </si>
  <si>
    <t>0049194244</t>
  </si>
  <si>
    <t>INJ ABSC/CYST PREV CATH</t>
  </si>
  <si>
    <t>INJ PREV CATH</t>
  </si>
  <si>
    <t>0049194400</t>
  </si>
  <si>
    <t>PL GASTRO TUBE W/FLUORO</t>
  </si>
  <si>
    <t>PLC GASTR TUBE</t>
  </si>
  <si>
    <t>0049194426</t>
  </si>
  <si>
    <t>PL JEJUNOSTMYTBE WFLUORO</t>
  </si>
  <si>
    <t>PLC JEJUNO TUBE</t>
  </si>
  <si>
    <t>0049194467</t>
  </si>
  <si>
    <t>CH GTUBE TO GJTUBE W/FLU</t>
  </si>
  <si>
    <t>GTUBE TO GJTUBE</t>
  </si>
  <si>
    <t>0049194509</t>
  </si>
  <si>
    <t>REPL GASTRO TUBE W/FLUOR</t>
  </si>
  <si>
    <t>REPLACE G TUBE</t>
  </si>
  <si>
    <t>0049194525</t>
  </si>
  <si>
    <t>REPL J-TUBE W/FLUOR</t>
  </si>
  <si>
    <t>REPLACE J TUBE</t>
  </si>
  <si>
    <t>0049194657</t>
  </si>
  <si>
    <t>INJ CM EVAL GTUBE</t>
  </si>
  <si>
    <t>CM EVAL GTUBE</t>
  </si>
  <si>
    <t>0049194673</t>
  </si>
  <si>
    <t>INJ CM EVAL JTUBE</t>
  </si>
  <si>
    <t>CM EVAL JTUBE</t>
  </si>
  <si>
    <t>0049197189</t>
  </si>
  <si>
    <t>PERC AUG 1 BD THOR/IMG</t>
  </si>
  <si>
    <t>PERC AUGM THOR</t>
  </si>
  <si>
    <t>0049197197</t>
  </si>
  <si>
    <t>PERC AUG ADD T/L IMG</t>
  </si>
  <si>
    <t>PERC AUGM EA AD</t>
  </si>
  <si>
    <t>0049197205</t>
  </si>
  <si>
    <t>PERC AUG 1 BD LUMB/IMG</t>
  </si>
  <si>
    <t>PERC AUGM LUMB</t>
  </si>
  <si>
    <t>0050500420</t>
  </si>
  <si>
    <t>CT CEREBRAL PERF W CONT</t>
  </si>
  <si>
    <t>CT CEREBRL PERF</t>
  </si>
  <si>
    <t>0050501147</t>
  </si>
  <si>
    <t>FNA BX CT GUIDANCE 1ST LES</t>
  </si>
  <si>
    <t>FNA BX CT GUIDE</t>
  </si>
  <si>
    <t>0050502004</t>
  </si>
  <si>
    <t>CT SINUS WITH CONTRAST</t>
  </si>
  <si>
    <t>CT SINUS W/CM</t>
  </si>
  <si>
    <t>0050502020</t>
  </si>
  <si>
    <t>CT SINUS W/O CONTRAST</t>
  </si>
  <si>
    <t>CT SINUS W/O CM</t>
  </si>
  <si>
    <t>0050502046</t>
  </si>
  <si>
    <t>CT SINUS WO/W CONTRAST</t>
  </si>
  <si>
    <t>CT SINUS WO/W</t>
  </si>
  <si>
    <t>0050502061</t>
  </si>
  <si>
    <t>CT SINUS W/O CM LTD</t>
  </si>
  <si>
    <t>0050502145</t>
  </si>
  <si>
    <t>CT HRT CONGENITAL W CONT</t>
  </si>
  <si>
    <t>CT CARD W CONT</t>
  </si>
  <si>
    <t>0050502152</t>
  </si>
  <si>
    <t>CTA HEART W CONTRAST</t>
  </si>
  <si>
    <t>CTA HEART W CM</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</si>
  <si>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</si>
  <si>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</si>
  <si>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</si>
  <si>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</si>
  <si>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</si>
  <si>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</si>
  <si>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</si>
  <si>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</si>
  <si>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</si>
  <si>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</si>
  <si>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</si>
  <si>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</si>
  <si>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</si>
  <si>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</si>
  <si>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</si>
  <si>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</si>
  <si>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</si>
  <si>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</si>
  <si>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0050504885</t>
  </si>
  <si>
    <t>CT MAXILLOFACIAL WO/W CM</t>
  </si>
  <si>
    <t>CT FACIAL WO/W</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</si>
  <si>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</si>
  <si>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</si>
  <si>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</si>
  <si>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</si>
  <si>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</si>
  <si>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</si>
  <si>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</si>
  <si>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</si>
  <si>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</si>
  <si>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</si>
  <si>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</si>
  <si>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</si>
  <si>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</si>
  <si>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</si>
  <si>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</si>
  <si>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</si>
  <si>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</si>
  <si>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</si>
  <si>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</si>
  <si>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</si>
  <si>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</si>
  <si>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</si>
  <si>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</si>
  <si>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</si>
  <si>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</si>
  <si>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</si>
  <si>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</si>
  <si>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</si>
  <si>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</si>
  <si>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</si>
  <si>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0050505080</t>
  </si>
  <si>
    <t>CTA UP EXTREMITY WO/W CM</t>
  </si>
  <si>
    <t>CTA UE WO/W CM</t>
  </si>
  <si>
    <t>0050505106</t>
  </si>
  <si>
    <t>CTA LOWR EXTRMTY WO/W CM</t>
  </si>
  <si>
    <t>CTA LE WO/W CM</t>
  </si>
  <si>
    <t>0050505205</t>
  </si>
  <si>
    <t>CT ORB/EAR/FOSSA W/O CM</t>
  </si>
  <si>
    <t>CT ORB/EAR/PFOS</t>
  </si>
  <si>
    <t>0050505247</t>
  </si>
  <si>
    <t>CT ORB/EAR/FOSSA W/CM</t>
  </si>
  <si>
    <t>0050505288</t>
  </si>
  <si>
    <t>CT ORB/EAR/FOSSA WO/W CM</t>
  </si>
  <si>
    <t>0050505924</t>
  </si>
  <si>
    <t>0050505932</t>
  </si>
  <si>
    <t>ABLAT RENL TUMR</t>
  </si>
  <si>
    <t>0050510304</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</si>
  <si>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</si>
  <si>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</si>
  <si>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</si>
  <si>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</si>
  <si>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</si>
  <si>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</si>
  <si>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</si>
  <si>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</si>
  <si>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</si>
  <si>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</si>
  <si>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</si>
  <si>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</si>
  <si>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0050521251</t>
  </si>
  <si>
    <t>CT SPINE CERVICAL W/O CM</t>
  </si>
  <si>
    <t>CT SP CERV W/O</t>
  </si>
  <si>
    <t>0050521269</t>
  </si>
  <si>
    <t>CT SPINE CERVICAL W/CM</t>
  </si>
  <si>
    <t>CT SP CERV W/CM</t>
  </si>
  <si>
    <t>0050521285</t>
  </si>
  <si>
    <t>CT SPINE THORACIC W/O CM</t>
  </si>
  <si>
    <t>CT SP THOR W/O</t>
  </si>
  <si>
    <t>0050521293</t>
  </si>
  <si>
    <t>CT SPINE THORACIC W/CM</t>
  </si>
  <si>
    <t>CT SP THOR W/CM</t>
  </si>
  <si>
    <t>0050521319</t>
  </si>
  <si>
    <t>CT SPINE LUMBAR W/O CM</t>
  </si>
  <si>
    <t>CT SP LUMB W/O</t>
  </si>
  <si>
    <t>0050521327</t>
  </si>
  <si>
    <t>CT SPINE LUMBAR W/CM</t>
  </si>
  <si>
    <t>CT SP LUMB W/CM</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</si>
  <si>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</si>
  <si>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</si>
  <si>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</si>
  <si>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</si>
  <si>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</si>
  <si>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</si>
  <si>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</si>
  <si>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</si>
  <si>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</si>
  <si>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</si>
  <si>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</si>
  <si>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</si>
  <si>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0050523281</t>
  </si>
  <si>
    <t>0050523299</t>
  </si>
  <si>
    <t>0050525500</t>
  </si>
  <si>
    <t>0050525559</t>
  </si>
  <si>
    <t>0050525575</t>
  </si>
  <si>
    <t>0050532001</t>
  </si>
  <si>
    <t>CT UPPER EXTRMTY W/O CM</t>
  </si>
  <si>
    <t>CT UE W/O CM</t>
  </si>
  <si>
    <t>0050532019</t>
  </si>
  <si>
    <t>CT UPPER EXTRMTY W/ CM</t>
  </si>
  <si>
    <t>CT UE W/ CM</t>
  </si>
  <si>
    <t>0050532068</t>
  </si>
  <si>
    <t>CTA UP EXT W CONTRST ONL</t>
  </si>
  <si>
    <t>CTA UE W CONT</t>
  </si>
  <si>
    <t>0050537000</t>
  </si>
  <si>
    <t>CT LOWER EXTRMTY W/O CM</t>
  </si>
  <si>
    <t>CT LE W/O CM</t>
  </si>
  <si>
    <t>0050537018</t>
  </si>
  <si>
    <t>CT LOWER EXTRMTY W/ CM</t>
  </si>
  <si>
    <t>CT LE W/ CM</t>
  </si>
  <si>
    <t>0050537067</t>
  </si>
  <si>
    <t>CTA LOW EXT W CNTRST ONL</t>
  </si>
  <si>
    <t>CTA LE W CONT</t>
  </si>
  <si>
    <t>0050541408</t>
  </si>
  <si>
    <t>CT ABDOMEN W/O CM LTD</t>
  </si>
  <si>
    <t>CT ABDOMEN W/O</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</si>
  <si>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</si>
  <si>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</si>
  <si>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</si>
  <si>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</si>
  <si>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</si>
  <si>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</si>
  <si>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</si>
  <si>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</si>
  <si>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</si>
  <si>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</si>
  <si>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</si>
  <si>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</si>
  <si>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</si>
  <si>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</si>
  <si>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</si>
  <si>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</si>
  <si>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</si>
  <si>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</si>
  <si>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</si>
  <si>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</si>
  <si>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</si>
  <si>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</si>
  <si>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</si>
  <si>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</si>
  <si>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</si>
  <si>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</si>
  <si>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</si>
  <si>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0050556356</t>
  </si>
  <si>
    <t>CTA ABD LE RO W CONT ONL</t>
  </si>
  <si>
    <t>CTA ABD LE RO W</t>
  </si>
  <si>
    <t>0050559905</t>
  </si>
  <si>
    <t>PERC DRAIN W CATH PLC</t>
  </si>
  <si>
    <t>DRN ABSC W/CATH</t>
  </si>
  <si>
    <t>0050560697</t>
  </si>
  <si>
    <t>BX ADRENAL GLAND</t>
  </si>
  <si>
    <t>BX ADRENAL</t>
  </si>
  <si>
    <t>0050563618</t>
  </si>
  <si>
    <t>CT GUIDANCE NDL PLACEMNT</t>
  </si>
  <si>
    <t>CT GUIDE NDL PL</t>
  </si>
  <si>
    <t>0050565001</t>
  </si>
  <si>
    <t>CT CARD SCORING WO CONT</t>
  </si>
  <si>
    <t>CT CARD SCORING</t>
  </si>
  <si>
    <t>0050565050</t>
  </si>
  <si>
    <t>CT LTD OR LOC F/U STUDY</t>
  </si>
  <si>
    <t>CT LTD/LOC F/U</t>
  </si>
  <si>
    <t>0050570134</t>
  </si>
  <si>
    <t>CT GDE PARENCHYM ABLAT</t>
  </si>
  <si>
    <t>CT GD PAREN ABL</t>
  </si>
  <si>
    <t>0050573823</t>
  </si>
  <si>
    <t>RF ABLATE TUMR</t>
  </si>
  <si>
    <t>0050575026</t>
  </si>
  <si>
    <t>BX ABD/RETROPER PERC NDL</t>
  </si>
  <si>
    <t>BX ABD MASS</t>
  </si>
  <si>
    <t>0050575034</t>
  </si>
  <si>
    <t>0050575042</t>
  </si>
  <si>
    <t>BIOPSY BONE SUPERFICIAL</t>
  </si>
  <si>
    <t>BX BONE SUPRFCL</t>
  </si>
  <si>
    <t>0050575109</t>
  </si>
  <si>
    <t>0050575117</t>
  </si>
  <si>
    <t>BX MUSCLE PERC NDL</t>
  </si>
  <si>
    <t>BX MUSCLE PERC</t>
  </si>
  <si>
    <t>0050575125</t>
  </si>
  <si>
    <t>BX PANCREAS PERC NDL</t>
  </si>
  <si>
    <t>BX PANCRS PERC</t>
  </si>
  <si>
    <t>0050575141</t>
  </si>
  <si>
    <t>0050575760</t>
  </si>
  <si>
    <t>0050575844</t>
  </si>
  <si>
    <t>DRN HEPATOMY ABSC/CYST</t>
  </si>
  <si>
    <t>ABSC DRN LIVER</t>
  </si>
  <si>
    <t>0050575851</t>
  </si>
  <si>
    <t>ASP/INJ RENL CYST/PELVIS</t>
  </si>
  <si>
    <t>ASP RENAL CYST</t>
  </si>
  <si>
    <t>0050575869</t>
  </si>
  <si>
    <t>DRAIN PERITONEAL ABSCESS</t>
  </si>
  <si>
    <t>ABSC DRN PERIT</t>
  </si>
  <si>
    <t>0050576107</t>
  </si>
  <si>
    <t>DESTR CELIAC PLEX W/AGNT</t>
  </si>
  <si>
    <t>DEST CELIAC PLX</t>
  </si>
  <si>
    <t>0050576370</t>
  </si>
  <si>
    <t>0050582154</t>
  </si>
  <si>
    <t>0050590835</t>
  </si>
  <si>
    <t>0050594050</t>
  </si>
  <si>
    <t>0050594068</t>
  </si>
  <si>
    <t>0050594233</t>
  </si>
  <si>
    <t>0050601103</t>
  </si>
  <si>
    <t>FNA BX US GUIDANCE 1ST LESION</t>
  </si>
  <si>
    <t>FNA BX US GUIDE</t>
  </si>
  <si>
    <t>0050610104</t>
  </si>
  <si>
    <t>0050610302</t>
  </si>
  <si>
    <t>0050611029</t>
  </si>
  <si>
    <t>TANGNTL BX SKIN SINGLE LES</t>
  </si>
  <si>
    <t>TANGNTL BX SKN</t>
  </si>
  <si>
    <t>0050611607</t>
  </si>
  <si>
    <t>ASP ABS/HEMAT/CYST</t>
  </si>
  <si>
    <t>ASP ABS/CYST</t>
  </si>
  <si>
    <t>0050620137</t>
  </si>
  <si>
    <t>UE/LE IMG VEINS COMP BILAT</t>
  </si>
  <si>
    <t>DUPLX UE/LE VEI</t>
  </si>
  <si>
    <t>0050620152</t>
  </si>
  <si>
    <t>ABD ART/VEN FLOW ABD COMP</t>
  </si>
  <si>
    <t>ART/VEN FLW COM</t>
  </si>
  <si>
    <t>0050620178</t>
  </si>
  <si>
    <t>ABD ART/VEN FLOW LTD</t>
  </si>
  <si>
    <t>ART/VEN FLW LTD</t>
  </si>
  <si>
    <t>0050620202</t>
  </si>
  <si>
    <t>AORT/INF/IV/BPG COMP</t>
  </si>
  <si>
    <t>AORT/INF/IV/BPG</t>
  </si>
  <si>
    <t>0050625557</t>
  </si>
  <si>
    <t>0050638865</t>
  </si>
  <si>
    <t>TRANSCRANIAL DOPP COMP</t>
  </si>
  <si>
    <t>TRANSCRNL COMP</t>
  </si>
  <si>
    <t>0050638881</t>
  </si>
  <si>
    <t>TRANSCRANIAL DOPP LTD</t>
  </si>
  <si>
    <t>TRANSCRN LTD</t>
  </si>
  <si>
    <t>0050660026</t>
  </si>
  <si>
    <t>0050665363</t>
  </si>
  <si>
    <t>US SOFT TISSUE HEAD/NECK</t>
  </si>
  <si>
    <t>US SOFT HEAD/NK</t>
  </si>
  <si>
    <t>0050665405</t>
  </si>
  <si>
    <t>DUPLEX CAROTID UNI/LTD</t>
  </si>
  <si>
    <t>DUPLX CARTD UNI</t>
  </si>
  <si>
    <t>0050665413</t>
  </si>
  <si>
    <t>DUPLEX CAROTID BI/COMP</t>
  </si>
  <si>
    <t>DUPLX CARTD BI</t>
  </si>
  <si>
    <t>0050666049</t>
  </si>
  <si>
    <t>US CHEST INCLD MEDIASTNM</t>
  </si>
  <si>
    <t>US CHEST B-SCAN</t>
  </si>
  <si>
    <t>0050666429</t>
  </si>
  <si>
    <t>US BREAST UNI LTD</t>
  </si>
  <si>
    <t>US BREAST LTD</t>
  </si>
  <si>
    <t>0050666452</t>
  </si>
  <si>
    <t>US BREAST UNI COMPLETE</t>
  </si>
  <si>
    <t>US BREAST COM</t>
  </si>
  <si>
    <t>0050666502</t>
  </si>
  <si>
    <t>ASPIR BREAST CYST</t>
  </si>
  <si>
    <t>ASP BREAST CYS</t>
  </si>
  <si>
    <t>0050666528</t>
  </si>
  <si>
    <t>ASPIR BREAST CYST ADD</t>
  </si>
  <si>
    <t>ASP BREAST ADD</t>
  </si>
  <si>
    <t>0050667005</t>
  </si>
  <si>
    <t>US ABDOMEN COMPLETE</t>
  </si>
  <si>
    <t>US ABD COMPLETE</t>
  </si>
  <si>
    <t>0050667054</t>
  </si>
  <si>
    <t>US ABD LTD SNGLE/QUAD/FU</t>
  </si>
  <si>
    <t>US ABD LTD/FU</t>
  </si>
  <si>
    <t>0050667708</t>
  </si>
  <si>
    <t>US RETROPERITONEAL COMP</t>
  </si>
  <si>
    <t>US RETROPL COMP</t>
  </si>
  <si>
    <t>0050667757</t>
  </si>
  <si>
    <t>US RETROPERITONEAL LTD</t>
  </si>
  <si>
    <t>US RETROPL LTD</t>
  </si>
  <si>
    <t>0050667781</t>
  </si>
  <si>
    <t>US TRANSPLANT KIDNEY</t>
  </si>
  <si>
    <t>US TRNSP KIDNEY</t>
  </si>
  <si>
    <t>0050667823</t>
  </si>
  <si>
    <t>US SCROTUM CONTENTS</t>
  </si>
  <si>
    <t>US SCROTUM</t>
  </si>
  <si>
    <t>0050668011</t>
  </si>
  <si>
    <t>US OB COMP&lt;14WKS 1STGEST</t>
  </si>
  <si>
    <t>US OB&lt;14WKS</t>
  </si>
  <si>
    <t>0050668029</t>
  </si>
  <si>
    <t>US OB COMP&lt;14WK ADD GEST</t>
  </si>
  <si>
    <t>US OB&lt;14WKS ADD</t>
  </si>
  <si>
    <t>0050668102</t>
  </si>
  <si>
    <t>US OB LTD 1OR&gt; FETUS</t>
  </si>
  <si>
    <t>US OB LTD 1OR&gt;</t>
  </si>
  <si>
    <t>0050668110</t>
  </si>
  <si>
    <t>US OB COMP W FETL ANATMY</t>
  </si>
  <si>
    <t>US OB FETL ANAT</t>
  </si>
  <si>
    <t>0050668128</t>
  </si>
  <si>
    <t>US OB FETLANAT ADDL GEST</t>
  </si>
  <si>
    <t>US OB ADDL GEST</t>
  </si>
  <si>
    <t>0050668169</t>
  </si>
  <si>
    <t>US OB TRANSVAGINAL</t>
  </si>
  <si>
    <t>US OB TRANSVAG</t>
  </si>
  <si>
    <t>0050668185</t>
  </si>
  <si>
    <t>FETAL BIOPHYS PROFLE NST</t>
  </si>
  <si>
    <t>FETAL BIOPHYS</t>
  </si>
  <si>
    <t>0050668250</t>
  </si>
  <si>
    <t>US OB COMP&gt;14WK SGL GEST</t>
  </si>
  <si>
    <t>US OB&gt;14WK SGL</t>
  </si>
  <si>
    <t>0050668268</t>
  </si>
  <si>
    <t>US OB F/U PER FETUS</t>
  </si>
  <si>
    <t>US OB F/U PER</t>
  </si>
  <si>
    <t>0050668300</t>
  </si>
  <si>
    <t>US TRANSVAGINAL NOT OB</t>
  </si>
  <si>
    <t>US TRANSVAGINAL</t>
  </si>
  <si>
    <t>0050668318</t>
  </si>
  <si>
    <t>HYSTEROSONOGRAPHY</t>
  </si>
  <si>
    <t>HYSTEROSONOGRPH</t>
  </si>
  <si>
    <t>0050668433</t>
  </si>
  <si>
    <t>US OB COMP&gt;14WK ADD GEST</t>
  </si>
  <si>
    <t>US OB&gt;14WK ADD</t>
  </si>
  <si>
    <t>0050668565</t>
  </si>
  <si>
    <t>US PELVIC COMPLETE</t>
  </si>
  <si>
    <t>US PELVIC COMP</t>
  </si>
  <si>
    <t>0050668615</t>
  </si>
  <si>
    <t>US XTR JOINT COMPLETE</t>
  </si>
  <si>
    <t>US JOINT COMPLE</t>
  </si>
  <si>
    <t>0050668631</t>
  </si>
  <si>
    <t>US XTR JOINT LMTD</t>
  </si>
  <si>
    <t>US XTR JOINT LM</t>
  </si>
  <si>
    <t>0050668649</t>
  </si>
  <si>
    <t>US XTR SOFT TISSUE LMTD</t>
  </si>
  <si>
    <t>US XTR SFT TISS</t>
  </si>
  <si>
    <t>0050669365</t>
  </si>
  <si>
    <t>US COMPRESSN REP PSEUDAN</t>
  </si>
  <si>
    <t>US COMP PSEUDAN</t>
  </si>
  <si>
    <t>0050669373</t>
  </si>
  <si>
    <t>0050669605</t>
  </si>
  <si>
    <t>0050669860</t>
  </si>
  <si>
    <t>US GUIDANCE INTRAOPERATV</t>
  </si>
  <si>
    <t>US GD INTRAOPTV</t>
  </si>
  <si>
    <t>0050671387</t>
  </si>
  <si>
    <t>UE/LE IMG VEINS UNI/LTD</t>
  </si>
  <si>
    <t>DUPLX VEINS UNI</t>
  </si>
  <si>
    <t>0050671502</t>
  </si>
  <si>
    <t>AORT/IVC/IV/BPG UNI/LTD</t>
  </si>
  <si>
    <t>0050671601</t>
  </si>
  <si>
    <t>SCAN HEMODIALYSIS ACCESS</t>
  </si>
  <si>
    <t>SCAN HEMO ACCES</t>
  </si>
  <si>
    <t>0050671965</t>
  </si>
  <si>
    <t>UE/LE ART STUD LTD 1-2LV</t>
  </si>
  <si>
    <t>EXT STDY 1-2LVL</t>
  </si>
  <si>
    <t>0050672013</t>
  </si>
  <si>
    <t>LE ART IMAGING UNI/LTD</t>
  </si>
  <si>
    <t>LE ART IMG LTD</t>
  </si>
  <si>
    <t>0050672062</t>
  </si>
  <si>
    <t>UE ART IMAGING UNI/LTD</t>
  </si>
  <si>
    <t>ART IMG U/E LTD</t>
  </si>
  <si>
    <t>0050674001</t>
  </si>
  <si>
    <t>ASPIR/INJ THYROID CYST</t>
  </si>
  <si>
    <t>ASP/INJ THYROID</t>
  </si>
  <si>
    <t>0050674902</t>
  </si>
  <si>
    <t>0050675156</t>
  </si>
  <si>
    <t>0050675206</t>
  </si>
  <si>
    <t>0050675305</t>
  </si>
  <si>
    <t>0050675354</t>
  </si>
  <si>
    <t>0050675453</t>
  </si>
  <si>
    <t>BX THYROID PERC NDL</t>
  </si>
  <si>
    <t>BX THY PERC NDL</t>
  </si>
  <si>
    <t>0050676105</t>
  </si>
  <si>
    <t>0050677400</t>
  </si>
  <si>
    <t>INJ UTER/TB XRY</t>
  </si>
  <si>
    <t>0050685056</t>
  </si>
  <si>
    <t>PERC BIOPSY LYMPH NODE</t>
  </si>
  <si>
    <t>BX LYMPH NODE</t>
  </si>
  <si>
    <t>0050690833</t>
  </si>
  <si>
    <t>0050691831</t>
  </si>
  <si>
    <t>BX BRST 1ST LESION US</t>
  </si>
  <si>
    <t>BX BRST US 1ST</t>
  </si>
  <si>
    <t>0050691849</t>
  </si>
  <si>
    <t>BX BRST ADD LESION US</t>
  </si>
  <si>
    <t>BX BRST ADD</t>
  </si>
  <si>
    <t>0050692854</t>
  </si>
  <si>
    <t>PERC DEVC BRST 1ST US</t>
  </si>
  <si>
    <t>PERC BRST 1ST</t>
  </si>
  <si>
    <t>0050692862</t>
  </si>
  <si>
    <t>PERC DEVC BRST ADD US</t>
  </si>
  <si>
    <t>PERC BRST ADD</t>
  </si>
  <si>
    <t>0050694058</t>
  </si>
  <si>
    <t>0050694066</t>
  </si>
  <si>
    <t>0050702620</t>
  </si>
  <si>
    <t>SM INT IMAGE CAP PROC</t>
  </si>
  <si>
    <t>SM INT CAP PROC</t>
  </si>
  <si>
    <t>0050709146</t>
  </si>
  <si>
    <t>E&amp;M-EST. PATIENT-LVL I</t>
  </si>
  <si>
    <t>E&amp;M-EP LVL I</t>
  </si>
  <si>
    <t>0050711118</t>
  </si>
  <si>
    <t>ESOPHAGUS IMAGE CAP PROC</t>
  </si>
  <si>
    <t>ESOPH CAP PROC</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</si>
  <si>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</si>
  <si>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</si>
  <si>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</si>
  <si>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</si>
  <si>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</si>
  <si>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</si>
  <si>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</si>
  <si>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</si>
  <si>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</si>
  <si>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</si>
  <si>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</si>
  <si>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</si>
  <si>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0050735703</t>
  </si>
  <si>
    <t>GI RECOVERY INIT 30 MIN</t>
  </si>
  <si>
    <t>0050735711</t>
  </si>
  <si>
    <t>GI RECOVERY EA ADD 15MIN</t>
  </si>
  <si>
    <t>RECOVERY EA 15</t>
  </si>
  <si>
    <t>0050791524</t>
  </si>
  <si>
    <t>0050791532</t>
  </si>
  <si>
    <t>0050791581</t>
  </si>
  <si>
    <t>MOD SED GI &gt;5YRS INIT15</t>
  </si>
  <si>
    <t>MODSED GI INT15</t>
  </si>
  <si>
    <t>0051914000</t>
  </si>
  <si>
    <t>GA67 CITRATE 1MCI</t>
  </si>
  <si>
    <t>GA67 CITRTE1MCI</t>
  </si>
  <si>
    <t>0051917243</t>
  </si>
  <si>
    <t>IN111 DTPA .5MCI</t>
  </si>
  <si>
    <t>IN111 DTPA.5MCI</t>
  </si>
  <si>
    <t>0051917292</t>
  </si>
  <si>
    <t>IN111 OXINE .5MCI</t>
  </si>
  <si>
    <t>IN111OXINE.5MCI</t>
  </si>
  <si>
    <t>0051940104</t>
  </si>
  <si>
    <t>TC99 MEDRONAT UPTO 30MCI</t>
  </si>
  <si>
    <t>TC99MEDRMT30MCI</t>
  </si>
  <si>
    <t>0051940500</t>
  </si>
  <si>
    <t>TC99 DISOFENIN VIAL</t>
  </si>
  <si>
    <t>DISOFENIN VIAL</t>
  </si>
  <si>
    <t>0051940609</t>
  </si>
  <si>
    <t>TC99 ALBUMIN COLLOID DOS</t>
  </si>
  <si>
    <t>TC99 ALBM COL D</t>
  </si>
  <si>
    <t>0051941706</t>
  </si>
  <si>
    <t>TC99 SESTAMIBI DOSE</t>
  </si>
  <si>
    <t>TC99 SESTAM DOS</t>
  </si>
  <si>
    <t>0051948008</t>
  </si>
  <si>
    <t>TL201 CHLORIDE 1MCI</t>
  </si>
  <si>
    <t>TL201 CHLRD1MCI</t>
  </si>
  <si>
    <t>0051951002</t>
  </si>
  <si>
    <t>XENON 133 10 MCI</t>
  </si>
  <si>
    <t>XENON 133 10MCI</t>
  </si>
  <si>
    <t>0051995124</t>
  </si>
  <si>
    <t>TC99 PERTECHN PER MCI</t>
  </si>
  <si>
    <t>TC99 PERTECHNET</t>
  </si>
  <si>
    <t>0051995165</t>
  </si>
  <si>
    <t>I 123 SOD CAP PER 100UCI</t>
  </si>
  <si>
    <t>I 123 SOD CAP</t>
  </si>
  <si>
    <t>0051995389</t>
  </si>
  <si>
    <t>TC99 PYROPHOSPHATE DOSE</t>
  </si>
  <si>
    <t>TC99PYROPHSPHTE</t>
  </si>
  <si>
    <t>0051995397</t>
  </si>
  <si>
    <t>TC99 PENTETATE DOSE</t>
  </si>
  <si>
    <t>TC99 PENTETATE</t>
  </si>
  <si>
    <t>0051995405</t>
  </si>
  <si>
    <t>TC99 ALBUMIN MAA DOSE</t>
  </si>
  <si>
    <t>TC99ALBUMIN MAA</t>
  </si>
  <si>
    <t>0051995413</t>
  </si>
  <si>
    <t>TC99 SULFUR COLLOID DOSE</t>
  </si>
  <si>
    <t>TC99 SULFRCOLLD</t>
  </si>
  <si>
    <t>0051995421</t>
  </si>
  <si>
    <t>TC99 SULF COLL FILT DOSE</t>
  </si>
  <si>
    <t>TC99 SULFCOLFIL</t>
  </si>
  <si>
    <t>0051995603</t>
  </si>
  <si>
    <t>TC99 RBC DOSE</t>
  </si>
  <si>
    <t>0051995629</t>
  </si>
  <si>
    <t>TC99 MERTIATIDE DOSE</t>
  </si>
  <si>
    <t>TC99 MERTIATIDE</t>
  </si>
  <si>
    <t>0051995678</t>
  </si>
  <si>
    <t>TC99 PENTET AEROSL DOS</t>
  </si>
  <si>
    <t>0051995702</t>
  </si>
  <si>
    <t>INDIUM111 WBC DOSE</t>
  </si>
  <si>
    <t>IND111 WBC DOSE</t>
  </si>
  <si>
    <t>0052020120</t>
  </si>
  <si>
    <t>TUMOR LOCAL 2+ AREA 1+DAYS</t>
  </si>
  <si>
    <t>TUMOR LOCAL 2+</t>
  </si>
  <si>
    <t>0052020229</t>
  </si>
  <si>
    <t>TUMOR LOCAL PLANAR WHOLEBDY</t>
  </si>
  <si>
    <t>TUMOR LOCAL WHO</t>
  </si>
  <si>
    <t>0052043007</t>
  </si>
  <si>
    <t>MC PERF SPECT WM EF SNGL</t>
  </si>
  <si>
    <t>MC PERF SNGLE</t>
  </si>
  <si>
    <t>0052043015</t>
  </si>
  <si>
    <t>MC PERF SPECT WM EF MULT</t>
  </si>
  <si>
    <t>MC PERF MULTI</t>
  </si>
  <si>
    <t>0052080124</t>
  </si>
  <si>
    <t>THYROID UPTK SNG/MULT</t>
  </si>
  <si>
    <t>THYRD UP SNGMLT</t>
  </si>
  <si>
    <t>0052080181</t>
  </si>
  <si>
    <t>THYROID C/M IMG WHOL BDY</t>
  </si>
  <si>
    <t>THY C/M WHL BDY</t>
  </si>
  <si>
    <t>0052080314</t>
  </si>
  <si>
    <t>PARATHYROID IMAGING</t>
  </si>
  <si>
    <t>PARATHYROID IMG</t>
  </si>
  <si>
    <t>0052081957</t>
  </si>
  <si>
    <t>LYMPHATICS &amp; LYMPH NODES</t>
  </si>
  <si>
    <t>LYMPH NODES IMG</t>
  </si>
  <si>
    <t>0052082153</t>
  </si>
  <si>
    <t>LIVER/SPLEEN IMAG STATIC</t>
  </si>
  <si>
    <t>LIV/SPLEEN IMAG</t>
  </si>
  <si>
    <t>0052082161</t>
  </si>
  <si>
    <t>LIVER/SPLEEN VASC FLOW</t>
  </si>
  <si>
    <t>LIV/SPLEEN FLOW</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</si>
  <si>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</si>
  <si>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</si>
  <si>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</si>
  <si>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</si>
  <si>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</si>
  <si>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</si>
  <si>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</si>
  <si>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</si>
  <si>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</si>
  <si>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</si>
  <si>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</si>
  <si>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</si>
  <si>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</si>
  <si>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</si>
  <si>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</si>
  <si>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</si>
  <si>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</si>
  <si>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</si>
  <si>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</si>
  <si>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</si>
  <si>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</si>
  <si>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</si>
  <si>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</si>
  <si>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</si>
  <si>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</si>
  <si>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</si>
  <si>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</si>
  <si>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0052084068</t>
  </si>
  <si>
    <t>MYOCARDIUM IMG INFARCT</t>
  </si>
  <si>
    <t>MYOCRD IMG INFR</t>
  </si>
  <si>
    <t>0052084134</t>
  </si>
  <si>
    <t>CARD GATED 1ST PASS PROC</t>
  </si>
  <si>
    <t>CARD GTD1ST</t>
  </si>
  <si>
    <t>0052085792</t>
  </si>
  <si>
    <t>LUNG VENTILATION IMAGING</t>
  </si>
  <si>
    <t>LUNG VENT IMG</t>
  </si>
  <si>
    <t>0052085800</t>
  </si>
  <si>
    <t>LUNG PERF PARTICULATE</t>
  </si>
  <si>
    <t>PULM PERFS IMAG</t>
  </si>
  <si>
    <t>0052085834</t>
  </si>
  <si>
    <t>LUNG VENT&amp;PERF IMAGING</t>
  </si>
  <si>
    <t>PERF/VENT IMG</t>
  </si>
  <si>
    <t>0052085891</t>
  </si>
  <si>
    <t>LUNG PERF&amp;VENTILAT DIFF</t>
  </si>
  <si>
    <t>PERF/VENT DIFF</t>
  </si>
  <si>
    <t>0052085982</t>
  </si>
  <si>
    <t>LUNG PERFUSION DIFFER</t>
  </si>
  <si>
    <t>LUNG PERF DIFF</t>
  </si>
  <si>
    <t>0052086063</t>
  </si>
  <si>
    <t>BRAIN MIN 4 VWS VASCFLOW</t>
  </si>
  <si>
    <t>BRAIN 4VWS W VF</t>
  </si>
  <si>
    <t>0052086303</t>
  </si>
  <si>
    <t>CISTERNOGRAM</t>
  </si>
  <si>
    <t>0052087061</t>
  </si>
  <si>
    <t>KID IMG FL/FUN SNG W RX</t>
  </si>
  <si>
    <t>KID IMG W RX</t>
  </si>
  <si>
    <t>0052087079</t>
  </si>
  <si>
    <t>KID IMG FL/FUN SNG WO RX</t>
  </si>
  <si>
    <t>KID IMG WO RX</t>
  </si>
  <si>
    <t>0052088044</t>
  </si>
  <si>
    <t>TUMOR LOC 2D WHOLE BDY 2+DAYS</t>
  </si>
  <si>
    <t>TUMOR LOC WHLE</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</si>
  <si>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</si>
  <si>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</si>
  <si>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</si>
  <si>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</si>
  <si>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</si>
  <si>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</si>
  <si>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</si>
  <si>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</si>
  <si>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</si>
  <si>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</si>
  <si>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</si>
  <si>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</si>
  <si>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</si>
  <si>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</si>
  <si>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</si>
  <si>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0052506037</t>
  </si>
  <si>
    <t>MRA HEAD WO/W CONTRAST</t>
  </si>
  <si>
    <t>MRA HD WO/W</t>
  </si>
  <si>
    <t>0052506060</t>
  </si>
  <si>
    <t>MRA NECK W/O CONTRAST</t>
  </si>
  <si>
    <t>MRA NECK WO CM</t>
  </si>
  <si>
    <t>0052506078</t>
  </si>
  <si>
    <t>MRA NECK W CONTRAST</t>
  </si>
  <si>
    <t>MRA NECK W/CM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</si>
  <si>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</si>
  <si>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</si>
  <si>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</si>
  <si>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</si>
  <si>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</si>
  <si>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</si>
  <si>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</si>
  <si>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</si>
  <si>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</si>
  <si>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</si>
  <si>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</si>
  <si>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</si>
  <si>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</si>
  <si>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</si>
  <si>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</si>
  <si>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</si>
  <si>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</si>
  <si>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</si>
  <si>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</si>
  <si>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</si>
  <si>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</si>
  <si>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0052508223</t>
  </si>
  <si>
    <t>MRI ORB/FACE/NECK WO/W C</t>
  </si>
  <si>
    <t>MRI ORD/FCE/NK</t>
  </si>
  <si>
    <t>0052508405</t>
  </si>
  <si>
    <t>MRI UP EXT NONJNT W/O CM</t>
  </si>
  <si>
    <t>MRI UE W/O CM</t>
  </si>
  <si>
    <t>0052508462</t>
  </si>
  <si>
    <t>MRI UP EXT JNT WO/W CM</t>
  </si>
  <si>
    <t>MRI UE/JNT WO/W</t>
  </si>
  <si>
    <t>0052508504</t>
  </si>
  <si>
    <t>MRI PELVIS W/O CONTRAST</t>
  </si>
  <si>
    <t>MRI PELVIS W/O</t>
  </si>
  <si>
    <t>0052508520</t>
  </si>
  <si>
    <t>MRI PELVIS WO/W CONTRAST</t>
  </si>
  <si>
    <t>MRI PELVIS WO/W</t>
  </si>
  <si>
    <t>0052510005</t>
  </si>
  <si>
    <t>MRI ABDOMEN WO/W CM</t>
  </si>
  <si>
    <t>MRI ABD WO/W CM</t>
  </si>
  <si>
    <t>0052510047</t>
  </si>
  <si>
    <t>MRI LE NONJNT W/O CM</t>
  </si>
  <si>
    <t>MRI LE NJ WO CM</t>
  </si>
  <si>
    <t>0052510070</t>
  </si>
  <si>
    <t>MRI LE JNT WO/W CM</t>
  </si>
  <si>
    <t>MRI LE JNT WO/W</t>
  </si>
  <si>
    <t>0052510252</t>
  </si>
  <si>
    <t>MRI ORB/FACE/NECK WO CM</t>
  </si>
  <si>
    <t>MRI ORB/FCE/NK</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</si>
  <si>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</si>
  <si>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</si>
  <si>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</si>
  <si>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</si>
  <si>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</si>
  <si>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</si>
  <si>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</si>
  <si>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</si>
  <si>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</si>
  <si>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</si>
  <si>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</si>
  <si>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</si>
  <si>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</si>
  <si>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</si>
  <si>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</si>
  <si>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</si>
  <si>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</si>
  <si>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</si>
  <si>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</si>
  <si>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</si>
  <si>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</si>
  <si>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</si>
  <si>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</si>
  <si>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0052588993</t>
  </si>
  <si>
    <t>MRA ABDOMEN W/ CM</t>
  </si>
  <si>
    <t>MRA ABD W/ CM</t>
  </si>
  <si>
    <t>0052589017</t>
  </si>
  <si>
    <t>MRA ABDOMEN W/O CM</t>
  </si>
  <si>
    <t>MRA ABD WO CM</t>
  </si>
  <si>
    <t>0052589181</t>
  </si>
  <si>
    <t>MRA PELVIS WITH CONTRAST</t>
  </si>
  <si>
    <t>MRA PELVIS W/CM</t>
  </si>
  <si>
    <t>0053000030</t>
  </si>
  <si>
    <t>ABACAVIR 300MG TB</t>
  </si>
  <si>
    <t>ABACAVIR 300 TB</t>
  </si>
  <si>
    <t>0053000048</t>
  </si>
  <si>
    <t>ACARBOSE 25MG</t>
  </si>
  <si>
    <t>0053000055</t>
  </si>
  <si>
    <t>ACARBOSE 50MG TB</t>
  </si>
  <si>
    <t>ACARBOSE 50 TB</t>
  </si>
  <si>
    <t>0053000089</t>
  </si>
  <si>
    <t>ACEBUTOLOL 200MG CAP</t>
  </si>
  <si>
    <t>ACEBUTOLL200 CP</t>
  </si>
  <si>
    <t>0053000147</t>
  </si>
  <si>
    <t>APAP 500MG ES TB</t>
  </si>
  <si>
    <t>APAP 500 ES TB</t>
  </si>
  <si>
    <t>0053000154</t>
  </si>
  <si>
    <t>APAP 80MG CTB</t>
  </si>
  <si>
    <t>0053000170</t>
  </si>
  <si>
    <t>APAP 325MG TB</t>
  </si>
  <si>
    <t>0053000196</t>
  </si>
  <si>
    <t>ABIRATERONE 250MG TB</t>
  </si>
  <si>
    <t>ABIRATERON250TB</t>
  </si>
  <si>
    <t>0053000949</t>
  </si>
  <si>
    <t>ACETAZOLAMIDE 125MG TB</t>
  </si>
  <si>
    <t>ACETZOLAM125TB</t>
  </si>
  <si>
    <t>0053000980</t>
  </si>
  <si>
    <t>ACETAZOLAMIDE 250MG TB</t>
  </si>
  <si>
    <t>ACETZOLAM250TB</t>
  </si>
  <si>
    <t>0053001020</t>
  </si>
  <si>
    <t>ACETAZOLAMID 500MG XR CP</t>
  </si>
  <si>
    <t>ACETAZOL500XRCP</t>
  </si>
  <si>
    <t>0053001608</t>
  </si>
  <si>
    <t>ACYCLOVIR 200MG CP</t>
  </si>
  <si>
    <t>ACYCLOVIR 200CP</t>
  </si>
  <si>
    <t>0053001616</t>
  </si>
  <si>
    <t>ACYCLOVIR 800MG TB</t>
  </si>
  <si>
    <t>ACYCLOVIR 800TB</t>
  </si>
  <si>
    <t>0053001707</t>
  </si>
  <si>
    <t>ADEFOVIR 10MG TB</t>
  </si>
  <si>
    <t>ADEFOVIR10MG TB</t>
  </si>
  <si>
    <t>0053002010</t>
  </si>
  <si>
    <t>ALBENDAZOLE 200MG TB</t>
  </si>
  <si>
    <t>ALBENDAZOL200TB</t>
  </si>
  <si>
    <t>0053002218</t>
  </si>
  <si>
    <t>ALBUTEROL 2MG TB</t>
  </si>
  <si>
    <t>ALBUTEROL 2MGTB</t>
  </si>
  <si>
    <t>0053002226</t>
  </si>
  <si>
    <t>ALBUTEROL 4MG XR TB</t>
  </si>
  <si>
    <t>ALBUTEROL 4XRTB</t>
  </si>
  <si>
    <t>0053002234</t>
  </si>
  <si>
    <t>ALBUTEROL 4MG TB</t>
  </si>
  <si>
    <t>ALBUTEROL 4MGTB</t>
  </si>
  <si>
    <t>0053002309</t>
  </si>
  <si>
    <t>ALENDRONATE 10MG TB</t>
  </si>
  <si>
    <t>ALENDRONATE10TB</t>
  </si>
  <si>
    <t>0053002333</t>
  </si>
  <si>
    <t>ALENDRONATE 70MG TB</t>
  </si>
  <si>
    <t>ALENDRONATE70TB</t>
  </si>
  <si>
    <t>0053002382</t>
  </si>
  <si>
    <t>ALGINIC/AL OH/MG TRI CTB</t>
  </si>
  <si>
    <t>ANTACID CHEW TB</t>
  </si>
  <si>
    <t>0053002408</t>
  </si>
  <si>
    <t>ALFUZOSIN 10MG XR TB</t>
  </si>
  <si>
    <t>ALFUZOSIN10XRTB</t>
  </si>
  <si>
    <t>0053002424</t>
  </si>
  <si>
    <t>ALISKIREN 150MG TB</t>
  </si>
  <si>
    <t>ALISKIREN150 TB</t>
  </si>
  <si>
    <t>0053002440</t>
  </si>
  <si>
    <t>ALLOPURINOL100MG TB</t>
  </si>
  <si>
    <t>ALLOPURINL100TB</t>
  </si>
  <si>
    <t>0053002473</t>
  </si>
  <si>
    <t>ALLOPURINOL150MG TB</t>
  </si>
  <si>
    <t>ALLOPURINL150TB</t>
  </si>
  <si>
    <t>0053002481</t>
  </si>
  <si>
    <t>ALLOPURINOL300MG TB</t>
  </si>
  <si>
    <t>ALLOPURINL300TB</t>
  </si>
  <si>
    <t>0053002945</t>
  </si>
  <si>
    <t>ALPRAZOLAM .25MG TB</t>
  </si>
  <si>
    <t>ALPRAZOL .25 TB</t>
  </si>
  <si>
    <t>0053003026</t>
  </si>
  <si>
    <t>ALPRAZOLAM 1MG TB</t>
  </si>
  <si>
    <t>ALPRAZOL 1MG TB</t>
  </si>
  <si>
    <t>0053004206</t>
  </si>
  <si>
    <t>ALVIMOPAN 12MG CP</t>
  </si>
  <si>
    <t>ALVIMOPA12MG CP</t>
  </si>
  <si>
    <t>0053004768</t>
  </si>
  <si>
    <t>AMANTADINE 100MG CP</t>
  </si>
  <si>
    <t>AMANTADINE100CP</t>
  </si>
  <si>
    <t>0053005229</t>
  </si>
  <si>
    <t>AMILORIDE 5MG TB</t>
  </si>
  <si>
    <t>AMILORIDE5MGTB</t>
  </si>
  <si>
    <t>0053005260</t>
  </si>
  <si>
    <t>AMILORIDE/HCTZ 5/50 TB</t>
  </si>
  <si>
    <t>AMIL/HCTZ5/50TB</t>
  </si>
  <si>
    <t>0053005492</t>
  </si>
  <si>
    <t>AMINOCAPROIC ACID500MGTB</t>
  </si>
  <si>
    <t>AMINOCAPR500TB</t>
  </si>
  <si>
    <t>0053006243</t>
  </si>
  <si>
    <t>AMIODARONE 100MG TB</t>
  </si>
  <si>
    <t>AMIODARONE100TB</t>
  </si>
  <si>
    <t>0053006250</t>
  </si>
  <si>
    <t>AMIODARONE 200MG TB</t>
  </si>
  <si>
    <t>AMIODARONE200TB</t>
  </si>
  <si>
    <t>0053006342</t>
  </si>
  <si>
    <t>AMITRIPTYLINE 10MG TB</t>
  </si>
  <si>
    <t>AMTRIPTYL 10TB</t>
  </si>
  <si>
    <t>0053006383</t>
  </si>
  <si>
    <t>AMITRIPTYLINE 25MG TB</t>
  </si>
  <si>
    <t>AMTRIPTYL 25TB</t>
  </si>
  <si>
    <t>0053006425</t>
  </si>
  <si>
    <t>AMITRIPTYLINE 50MG TB</t>
  </si>
  <si>
    <t>AMTRIPTYL 50TB</t>
  </si>
  <si>
    <t>0053006466</t>
  </si>
  <si>
    <t>AMITRIPTYLINE 75MG TB</t>
  </si>
  <si>
    <t>AMTRIPTYL 75TB</t>
  </si>
  <si>
    <t>0053006482</t>
  </si>
  <si>
    <t>RISPERIDONE 0.25MG TB</t>
  </si>
  <si>
    <t>RISPERIDON.25TB</t>
  </si>
  <si>
    <t>0053006490</t>
  </si>
  <si>
    <t>RISPERIDONE 0.5MG TB</t>
  </si>
  <si>
    <t>RISPERIDON .5TB</t>
  </si>
  <si>
    <t>0053006508</t>
  </si>
  <si>
    <t>AMITRIPTYLINE 100MG TB</t>
  </si>
  <si>
    <t>AMTRIPTYL 100TB</t>
  </si>
  <si>
    <t>0053006540</t>
  </si>
  <si>
    <t>AMITRIPTYLINE 150MG TB</t>
  </si>
  <si>
    <t>AMTRIPTYL 150TB</t>
  </si>
  <si>
    <t>0053006607</t>
  </si>
  <si>
    <t>AMLODIPINE 2.5MG TB</t>
  </si>
  <si>
    <t>AMLODIPNE2.5 TB</t>
  </si>
  <si>
    <t>0053006615</t>
  </si>
  <si>
    <t>AMLODIPINE 5MG TB</t>
  </si>
  <si>
    <t>AMLODIPINE 5 TB</t>
  </si>
  <si>
    <t>0053006623</t>
  </si>
  <si>
    <t>AMLODIPINE 10MG TB</t>
  </si>
  <si>
    <t>AMLODIPINE10TB</t>
  </si>
  <si>
    <t>0053006631</t>
  </si>
  <si>
    <t>AMLODIPN/BENAZPR 5/10 CP</t>
  </si>
  <si>
    <t>AMLO/BENZ5/10CP</t>
  </si>
  <si>
    <t>0053006649</t>
  </si>
  <si>
    <t>AMLODIPN/BENAZPR 5/20 CP</t>
  </si>
  <si>
    <t>AMLO/BENZ5/20CP</t>
  </si>
  <si>
    <t>0053006656</t>
  </si>
  <si>
    <t>AMLODPN/BENAZP 2.5/10 CP</t>
  </si>
  <si>
    <t>AMLO/BE2.5/10CP</t>
  </si>
  <si>
    <t>0053007126</t>
  </si>
  <si>
    <t>AMOXICILLIN/CLAV 250MGTB</t>
  </si>
  <si>
    <t>AMOX/CLA250TB</t>
  </si>
  <si>
    <t>0053007134</t>
  </si>
  <si>
    <t>AMOXICILLIN/CLAV 875MGTB</t>
  </si>
  <si>
    <t>AMOX/CLAV875TB</t>
  </si>
  <si>
    <t>0053007159</t>
  </si>
  <si>
    <t>AMOXICILLIN/CLAV 500MGTB</t>
  </si>
  <si>
    <t>AMOX/CLAV500TB</t>
  </si>
  <si>
    <t>0053007175</t>
  </si>
  <si>
    <t>AMOXICILLIN/CLAV400MGCTB</t>
  </si>
  <si>
    <t>AMOX/CLAV400CTB</t>
  </si>
  <si>
    <t>0053007233</t>
  </si>
  <si>
    <t>AMOXICILLIN 250MG CP</t>
  </si>
  <si>
    <t>AMOXICILN250 CP</t>
  </si>
  <si>
    <t>0053007258</t>
  </si>
  <si>
    <t>AMOXICILLIN 500MG CP</t>
  </si>
  <si>
    <t>AMOXICILN500 CP</t>
  </si>
  <si>
    <t>0053007464</t>
  </si>
  <si>
    <t>AMPICILLIN 250MG CP</t>
  </si>
  <si>
    <t>AMPICILLIN250CP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</si>
  <si>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</si>
  <si>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</si>
  <si>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</si>
  <si>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</si>
  <si>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</si>
  <si>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</si>
  <si>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</si>
  <si>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</si>
  <si>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</si>
  <si>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</si>
  <si>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</si>
  <si>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</si>
  <si>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</si>
  <si>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</si>
  <si>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0053007746</t>
  </si>
  <si>
    <t>APREPITANT 5MG CP</t>
  </si>
  <si>
    <t>APREPITANT5MGCP</t>
  </si>
  <si>
    <t>0053007779</t>
  </si>
  <si>
    <t>ARIPIPRAZOLE 2MG TB</t>
  </si>
  <si>
    <t>ARIPIPRAZL2MGTB</t>
  </si>
  <si>
    <t>0053007837</t>
  </si>
  <si>
    <t>ARIPIPRAZOLE 5MG TB</t>
  </si>
  <si>
    <t>ARIPIPRAZ5MGTB</t>
  </si>
  <si>
    <t>0053007936</t>
  </si>
  <si>
    <t>ESLICARBAZEPINE 400MG TB</t>
  </si>
  <si>
    <t>ESLICARBAZEPINE</t>
  </si>
  <si>
    <t>0053008603</t>
  </si>
  <si>
    <t>ARTEMETHER-LUMEFANT 20-120 TB</t>
  </si>
  <si>
    <t>ARTEMETH-LUMEF</t>
  </si>
  <si>
    <t>0053008694</t>
  </si>
  <si>
    <t>SOTALOL 120MG TB</t>
  </si>
  <si>
    <t>SOTALOL 120 TB</t>
  </si>
  <si>
    <t>0053008736</t>
  </si>
  <si>
    <t>SOTALOL 40MG TB</t>
  </si>
  <si>
    <t>0053010534</t>
  </si>
  <si>
    <t>ASCORBIC ACID 100MG TB</t>
  </si>
  <si>
    <t>ASCORB AC100TB</t>
  </si>
  <si>
    <t>0053010575</t>
  </si>
  <si>
    <t>ASCORBIC ACID 250MG TB</t>
  </si>
  <si>
    <t>ASCORB AC250TB</t>
  </si>
  <si>
    <t>0053010617</t>
  </si>
  <si>
    <t>ASCORBIC ACID 500MG TB</t>
  </si>
  <si>
    <t>ASCORB AC500TB</t>
  </si>
  <si>
    <t>0053011086</t>
  </si>
  <si>
    <t>ASA 325MG EC TB</t>
  </si>
  <si>
    <t>0053011094</t>
  </si>
  <si>
    <t>ASA 81MG EC TB</t>
  </si>
  <si>
    <t>0053011102</t>
  </si>
  <si>
    <t>ASA 81MG CTB</t>
  </si>
  <si>
    <t>0053011128</t>
  </si>
  <si>
    <t>ASA BUFFERED 325MG TB</t>
  </si>
  <si>
    <t>ASA BUFF325 TB</t>
  </si>
  <si>
    <t>0053011136</t>
  </si>
  <si>
    <t>ASA 325MG TB</t>
  </si>
  <si>
    <t>0053011201</t>
  </si>
  <si>
    <t>ATAZANAVIR 100MG CP</t>
  </si>
  <si>
    <t>ATAZANAVIR100CP</t>
  </si>
  <si>
    <t>0053011227</t>
  </si>
  <si>
    <t>ATAZANAVIR 200MG CP</t>
  </si>
  <si>
    <t>ATAZANAVIR200CP</t>
  </si>
  <si>
    <t>0053011334</t>
  </si>
  <si>
    <t>ATENOLOL 12.5MG TB</t>
  </si>
  <si>
    <t>ATENOLOL12.5TB</t>
  </si>
  <si>
    <t>0053011342</t>
  </si>
  <si>
    <t>ATENOLOL 100MG TB</t>
  </si>
  <si>
    <t>ATENOLOL100 TB</t>
  </si>
  <si>
    <t>0053011375</t>
  </si>
  <si>
    <t>ATENOLOL 25MG TB</t>
  </si>
  <si>
    <t>ATENOLOL25MG TB</t>
  </si>
  <si>
    <t>0053011383</t>
  </si>
  <si>
    <t>ATENOLOL 50MG TB</t>
  </si>
  <si>
    <t>ATENOLOL50MG TB</t>
  </si>
  <si>
    <t>0053011409</t>
  </si>
  <si>
    <t>ATENLOL/CHLRTHL 50/25 TB</t>
  </si>
  <si>
    <t>ATENOL/CHL50TB</t>
  </si>
  <si>
    <t>0053011441</t>
  </si>
  <si>
    <t>ATORVASTATIN 5MG TB</t>
  </si>
  <si>
    <t>ATORVASTAT5TB</t>
  </si>
  <si>
    <t>0053011458</t>
  </si>
  <si>
    <t>ATORVASTATIN 10MG TB</t>
  </si>
  <si>
    <t>ATORVASTAT10TB</t>
  </si>
  <si>
    <t>0053011466</t>
  </si>
  <si>
    <t>ATORVASTATIN 20MG TB</t>
  </si>
  <si>
    <t>ATORVASTAT20TB</t>
  </si>
  <si>
    <t>0053011474</t>
  </si>
  <si>
    <t>ATORVASTATIN 40MG TB</t>
  </si>
  <si>
    <t>ATORVASTAT40TB</t>
  </si>
  <si>
    <t>0053011482</t>
  </si>
  <si>
    <t>ATORVASTATIN 80MG TB</t>
  </si>
  <si>
    <t>ATORVASTAT80TB</t>
  </si>
  <si>
    <t>0053011516</t>
  </si>
  <si>
    <t>ATOVAQ/PROGUAN250/100 TB</t>
  </si>
  <si>
    <t>ATOV/PRO250TB</t>
  </si>
  <si>
    <t>0053011615</t>
  </si>
  <si>
    <t>ATROPINE .4MG TB</t>
  </si>
  <si>
    <t>ATROPINE0.4MGTB</t>
  </si>
  <si>
    <t>0053012142</t>
  </si>
  <si>
    <t>AZATHIOPRINE 25MG TB</t>
  </si>
  <si>
    <t>AZATHIOPRIN25TB</t>
  </si>
  <si>
    <t>0053012159</t>
  </si>
  <si>
    <t>AZATHIOPRINE 50MG TB</t>
  </si>
  <si>
    <t>AZATHIOPRIN50TB</t>
  </si>
  <si>
    <t>0053012209</t>
  </si>
  <si>
    <t>AZITHROMYCIN 250MG TB</t>
  </si>
  <si>
    <t>AZITHROMYC250TB</t>
  </si>
  <si>
    <t>0053012217</t>
  </si>
  <si>
    <t>AZITHROMYCIN 500MG TB</t>
  </si>
  <si>
    <t>AZITHROMYC500TB</t>
  </si>
  <si>
    <t>0053013561</t>
  </si>
  <si>
    <t>BACLOFEN 5MG TB</t>
  </si>
  <si>
    <t>0053013579</t>
  </si>
  <si>
    <t>BACLOFEN 10MG TB</t>
  </si>
  <si>
    <t>BACLOFEN10MG TB</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</si>
  <si>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</si>
  <si>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</si>
  <si>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</si>
  <si>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</si>
  <si>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</si>
  <si>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</si>
  <si>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</si>
  <si>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</si>
  <si>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</si>
  <si>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</si>
  <si>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</si>
  <si>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</si>
  <si>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0053014783</t>
  </si>
  <si>
    <t>BENZOCAINE 6MG LZ</t>
  </si>
  <si>
    <t>BENZOCAIN6MGLZ</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</si>
  <si>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</si>
  <si>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</si>
  <si>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</si>
  <si>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</si>
  <si>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</si>
  <si>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</si>
  <si>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</si>
  <si>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</si>
  <si>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</si>
  <si>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</si>
  <si>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</si>
  <si>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</si>
  <si>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0053015723</t>
  </si>
  <si>
    <t>BETHANECHOL 5MG TB</t>
  </si>
  <si>
    <t>BETHANECHOL5TB</t>
  </si>
  <si>
    <t>0053015764</t>
  </si>
  <si>
    <t>BETHANECHOL 10MG TB</t>
  </si>
  <si>
    <t>BETHANECHOL10TB</t>
  </si>
  <si>
    <t>0053015806</t>
  </si>
  <si>
    <t>BETHANECHOL 25MG TB</t>
  </si>
  <si>
    <t>BETHANECHOL25TB</t>
  </si>
  <si>
    <t>0053015814</t>
  </si>
  <si>
    <t>BICTEG/EMTRIC/TENOF50/200/25TB</t>
  </si>
  <si>
    <t>BICTEG/EMTRIC/T</t>
  </si>
  <si>
    <t>0053015863</t>
  </si>
  <si>
    <t>BETAXOLOL 10MG TB</t>
  </si>
  <si>
    <t>BETAXOLOL10 TB</t>
  </si>
  <si>
    <t>0053015905</t>
  </si>
  <si>
    <t>BICALUTAMIDE 50MG TB</t>
  </si>
  <si>
    <t>BICALUTAMID50TB</t>
  </si>
  <si>
    <t>0053016028</t>
  </si>
  <si>
    <t>BISACODYL 5MG EC TB</t>
  </si>
  <si>
    <t>BISCODYL 5 ECTB</t>
  </si>
  <si>
    <t>0053016036</t>
  </si>
  <si>
    <t>BISOPROLOL 2.5MG TB</t>
  </si>
  <si>
    <t>BISPROL 2.5MGTB</t>
  </si>
  <si>
    <t>0053016051</t>
  </si>
  <si>
    <t>BISOPROLOL 5MG TB</t>
  </si>
  <si>
    <t>BISPROLOL5MGTB</t>
  </si>
  <si>
    <t>0053016069</t>
  </si>
  <si>
    <t>BISOPROLOL 10MG TB</t>
  </si>
  <si>
    <t>BISPROLOL10MGTB</t>
  </si>
  <si>
    <t>0053016077</t>
  </si>
  <si>
    <t>BISOPRL/HCTZ 2.5/6.25 TB</t>
  </si>
  <si>
    <t>BISP/HCTZ 2/6TB</t>
  </si>
  <si>
    <t>0053016085</t>
  </si>
  <si>
    <t>BISOPROL/HCTZ 5/6.25 TB</t>
  </si>
  <si>
    <t>BISP/HCTZ 5/6TB</t>
  </si>
  <si>
    <t>0053016093</t>
  </si>
  <si>
    <t>BISOPROL/HCTZ 10/6.25 TB</t>
  </si>
  <si>
    <t>BISP/HCTZ10/6TB</t>
  </si>
  <si>
    <t>0053016168</t>
  </si>
  <si>
    <t>BISMUTH SUBSLCY262MG CTB</t>
  </si>
  <si>
    <t>BISMTH/SU262CTB</t>
  </si>
  <si>
    <t>0053016804</t>
  </si>
  <si>
    <t>BROMOCRIPTINE 2.5MG TB</t>
  </si>
  <si>
    <t>BROMOCRIPT2.5TB</t>
  </si>
  <si>
    <t>0053016812</t>
  </si>
  <si>
    <t>BROMOCRIPTINE 5MG CP</t>
  </si>
  <si>
    <t>BROMOCRIPT5TB</t>
  </si>
  <si>
    <t>0053017257</t>
  </si>
  <si>
    <t>BUDESONIDE 3MG XR CP</t>
  </si>
  <si>
    <t>BUDESONIDE3XRCP</t>
  </si>
  <si>
    <t>0053017380</t>
  </si>
  <si>
    <t>BUMETANIDE 0.5MG TB</t>
  </si>
  <si>
    <t>BUMETANIDE.5 TB</t>
  </si>
  <si>
    <t>0053017422</t>
  </si>
  <si>
    <t>BUMETANIDE 1MG TB</t>
  </si>
  <si>
    <t>BUMETANIDE 1 TB</t>
  </si>
  <si>
    <t>0053017448</t>
  </si>
  <si>
    <t>BUPROPION 300MG XR24 TB</t>
  </si>
  <si>
    <t>BUPROP300 XR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</si>
  <si>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</si>
  <si>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</si>
  <si>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</si>
  <si>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</si>
  <si>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</si>
  <si>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</si>
  <si>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</si>
  <si>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</si>
  <si>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</si>
  <si>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</si>
  <si>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</si>
  <si>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</si>
  <si>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</si>
  <si>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</si>
  <si>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</si>
  <si>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</si>
  <si>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</si>
  <si>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</si>
  <si>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0053017562</t>
  </si>
  <si>
    <t>BUPRENRPH/NALX 2/.5MG TB</t>
  </si>
  <si>
    <t>BUPR/NALX2/.5TB</t>
  </si>
  <si>
    <t>0053017596</t>
  </si>
  <si>
    <t>BUSPIRONE 2.5MG TB</t>
  </si>
  <si>
    <t>BUSPRIONE2.5 TB</t>
  </si>
  <si>
    <t>0053017604</t>
  </si>
  <si>
    <t>BUSPIRONE 5MG TB</t>
  </si>
  <si>
    <t>BUSPRIONE5 TB</t>
  </si>
  <si>
    <t>0053017612</t>
  </si>
  <si>
    <t>BUSPIRONE 10MG TB</t>
  </si>
  <si>
    <t>BUSPIRONE10 TB</t>
  </si>
  <si>
    <t>0053017802</t>
  </si>
  <si>
    <t>CABERGOLINE .5MG TB</t>
  </si>
  <si>
    <t>CABERGOLIN.5 TB</t>
  </si>
  <si>
    <t>0053017919</t>
  </si>
  <si>
    <t>CALCITRIOL .25MCG CP</t>
  </si>
  <si>
    <t>CALCITROL.25CP</t>
  </si>
  <si>
    <t>0053017935</t>
  </si>
  <si>
    <t>CALCITRIOL .5MCG CP</t>
  </si>
  <si>
    <t>CALCITROL.5 CP</t>
  </si>
  <si>
    <t>0053018107</t>
  </si>
  <si>
    <t>CALCIUM ACETATE 667MG TB</t>
  </si>
  <si>
    <t>CA ACET 667 TB</t>
  </si>
  <si>
    <t>0053018131</t>
  </si>
  <si>
    <t>CALCIUM CARB 1.25GM TB</t>
  </si>
  <si>
    <t>CA CARB 1.25 TB</t>
  </si>
  <si>
    <t>0053018156</t>
  </si>
  <si>
    <t>CALCIUM CARB 500MG TB</t>
  </si>
  <si>
    <t>CA CARB 500 TB</t>
  </si>
  <si>
    <t>0053018164</t>
  </si>
  <si>
    <t>CALCIUM CARB 600MG TB</t>
  </si>
  <si>
    <t>CA CARB 600 TB</t>
  </si>
  <si>
    <t>0053018198</t>
  </si>
  <si>
    <t>CALCIUM CARBONATE CTB</t>
  </si>
  <si>
    <t>CA CARB CTB</t>
  </si>
  <si>
    <t>0053018248</t>
  </si>
  <si>
    <t>CALCIUM CARB 650MG TB</t>
  </si>
  <si>
    <t>CA CARB 650 TB</t>
  </si>
  <si>
    <t>0053018255</t>
  </si>
  <si>
    <t>CA CARB VITD 600/400TB</t>
  </si>
  <si>
    <t>CALC/D600/400TB</t>
  </si>
  <si>
    <t>0053018289</t>
  </si>
  <si>
    <t>CA CIT/VITD 200/200 TB</t>
  </si>
  <si>
    <t>CALC/D200/200TB</t>
  </si>
  <si>
    <t>0053018297</t>
  </si>
  <si>
    <t>CALCIUM CITRATE 500MG TB</t>
  </si>
  <si>
    <t>CA CITRAT500 TB</t>
  </si>
  <si>
    <t>0053018339</t>
  </si>
  <si>
    <t>CA CARB VITD 250/125TB</t>
  </si>
  <si>
    <t>CALC/D250/125TB</t>
  </si>
  <si>
    <t>0053018347</t>
  </si>
  <si>
    <t>CA CARB VITD 500/200TB</t>
  </si>
  <si>
    <t>CALC/D500/200TB</t>
  </si>
  <si>
    <t>0053018370</t>
  </si>
  <si>
    <t>CALCIUM CITRATE 250MG TB</t>
  </si>
  <si>
    <t>CA CITRAT250 TB</t>
  </si>
  <si>
    <t>0053018420</t>
  </si>
  <si>
    <t>CALCIUM GLUCONT 500MG TB</t>
  </si>
  <si>
    <t>CA GLUC 500 TB</t>
  </si>
  <si>
    <t>0053018461</t>
  </si>
  <si>
    <t>CALCIUM GLUCON 1000MG TB</t>
  </si>
  <si>
    <t>CA GLUC 1000 TB</t>
  </si>
  <si>
    <t>0053018735</t>
  </si>
  <si>
    <t>CALCIUM LACTATE 650MG TB</t>
  </si>
  <si>
    <t>CA LACTAT650 TB</t>
  </si>
  <si>
    <t>0053019014</t>
  </si>
  <si>
    <t>POLYCARBOPHIL 625MG TB</t>
  </si>
  <si>
    <t>POLYCARB625 TB</t>
  </si>
  <si>
    <t>0053019139</t>
  </si>
  <si>
    <t>CANDESARTAN 8MG TB</t>
  </si>
  <si>
    <t>CANDESART8MGTB</t>
  </si>
  <si>
    <t>0053019147</t>
  </si>
  <si>
    <t>CANDESARTAN 16MG TB</t>
  </si>
  <si>
    <t>CANDESART16MGTB</t>
  </si>
  <si>
    <t>0053019154</t>
  </si>
  <si>
    <t>CANDESARTAN 32MG TB</t>
  </si>
  <si>
    <t>CANDESART32MGTB</t>
  </si>
  <si>
    <t>0053019170</t>
  </si>
  <si>
    <t>CAPECITABINE 150MG TB</t>
  </si>
  <si>
    <t>CAPECITAB 150TB</t>
  </si>
  <si>
    <t>0053019188</t>
  </si>
  <si>
    <t>CAPECITABINE 500MG TB</t>
  </si>
  <si>
    <t>CAPECTIAB 500TB</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</si>
  <si>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</si>
  <si>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</si>
  <si>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</si>
  <si>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</si>
  <si>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</si>
  <si>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</si>
  <si>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</si>
  <si>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</si>
  <si>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</si>
  <si>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</si>
  <si>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</si>
  <si>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</si>
  <si>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0053019758</t>
  </si>
  <si>
    <t>CARBAMAZEPINE 100MG CTB</t>
  </si>
  <si>
    <t>CARBMAZEP100CTB</t>
  </si>
  <si>
    <t>0053019766</t>
  </si>
  <si>
    <t>CARBAMAZEPINE 100MG XRTB</t>
  </si>
  <si>
    <t>CARBMAZE100XRTB</t>
  </si>
  <si>
    <t>0053019774</t>
  </si>
  <si>
    <t>CARBAMAZEPINE 200MG XRTB</t>
  </si>
  <si>
    <t>CARBMAZE200XRTB</t>
  </si>
  <si>
    <t>0053019816</t>
  </si>
  <si>
    <t>CARBAMAZEPINE 200MG TB</t>
  </si>
  <si>
    <t>CARBMAZEP200TB</t>
  </si>
  <si>
    <t>0053020277</t>
  </si>
  <si>
    <t>CARBIDOPA/LEVD 10/100 TB</t>
  </si>
  <si>
    <t>CAR/LEV10/100TB</t>
  </si>
  <si>
    <t>0053020293</t>
  </si>
  <si>
    <t>CARBIDOPA/LEVD 12/50 TB</t>
  </si>
  <si>
    <t>CAR/LEV12/50TB</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</si>
  <si>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</si>
  <si>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</si>
  <si>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</si>
  <si>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</si>
  <si>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</si>
  <si>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</si>
  <si>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</si>
  <si>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</si>
  <si>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</si>
  <si>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</si>
  <si>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</si>
  <si>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</si>
  <si>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</si>
  <si>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</si>
  <si>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</si>
  <si>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0053020624</t>
  </si>
  <si>
    <t>ASA/CARISOPRD 325/200 TB</t>
  </si>
  <si>
    <t>ASA/CR325/200TB</t>
  </si>
  <si>
    <t>0053020707</t>
  </si>
  <si>
    <t>LEVOCARNITINE 330MG TB</t>
  </si>
  <si>
    <t>LEVOCARN330MGCP</t>
  </si>
  <si>
    <t>0053020749</t>
  </si>
  <si>
    <t>CARVEDILOL 1.563MG TB</t>
  </si>
  <si>
    <t>CARVEDL1.563 TB</t>
  </si>
  <si>
    <t>0053020772</t>
  </si>
  <si>
    <t>CARVEDILOL 3.125MG TB</t>
  </si>
  <si>
    <t>CARVEDL3.125 TB</t>
  </si>
  <si>
    <t>0053020780</t>
  </si>
  <si>
    <t>CARVEDILOL 6.25MG TB</t>
  </si>
  <si>
    <t>CARVEDL6.25 TB</t>
  </si>
  <si>
    <t>0053020798</t>
  </si>
  <si>
    <t>CARVEDILOL 12.5MG TB</t>
  </si>
  <si>
    <t>CARVEDL12.5 TB</t>
  </si>
  <si>
    <t>0053020806</t>
  </si>
  <si>
    <t>CARVEDILOL 25MG TB</t>
  </si>
  <si>
    <t>CARVEDL25 TB</t>
  </si>
  <si>
    <t>0053020814</t>
  </si>
  <si>
    <t>CARVEDILOL 10MG XR CP</t>
  </si>
  <si>
    <t>CARVEDL10 XR CP</t>
  </si>
  <si>
    <t>0053020822</t>
  </si>
  <si>
    <t>CARVEDILOL 20MG XR CP</t>
  </si>
  <si>
    <t>CARVEDL20 XR CP</t>
  </si>
  <si>
    <t>0053020855</t>
  </si>
  <si>
    <t>CEFACLOR 250MG CP</t>
  </si>
  <si>
    <t>CEFACLOR250MGCP</t>
  </si>
  <si>
    <t>0053021002</t>
  </si>
  <si>
    <t>CEFDINIR 300MG CP</t>
  </si>
  <si>
    <t>CEFDINIR300 CP</t>
  </si>
  <si>
    <t>0053021127</t>
  </si>
  <si>
    <t>CEFADROXIL 500MG CP</t>
  </si>
  <si>
    <t>CEFADROXIL500CP</t>
  </si>
  <si>
    <t>0053021218</t>
  </si>
  <si>
    <t>CEFUROXIME 250MG TB</t>
  </si>
  <si>
    <t>CEFUROXIME250TB</t>
  </si>
  <si>
    <t>0053021291</t>
  </si>
  <si>
    <t>CELECOXIB 100MG CP</t>
  </si>
  <si>
    <t>CELECOXIB100 CP</t>
  </si>
  <si>
    <t>0053021309</t>
  </si>
  <si>
    <t>CELECOXIB 200MG CP</t>
  </si>
  <si>
    <t>CELECOXIB200 CP</t>
  </si>
  <si>
    <t>0053021580</t>
  </si>
  <si>
    <t>CETYLPYRDN/BENZ 18 PK LZ</t>
  </si>
  <si>
    <t>CETYL/BE18PK LZ</t>
  </si>
  <si>
    <t>0053021812</t>
  </si>
  <si>
    <t>MENTHOL/PHENOL LZ</t>
  </si>
  <si>
    <t>MENTHOL/PHEN LZ</t>
  </si>
  <si>
    <t>0053022042</t>
  </si>
  <si>
    <t>CEPHALEXIN 250MG CP</t>
  </si>
  <si>
    <t>CEPHALEXN250 CP</t>
  </si>
  <si>
    <t>0053022083</t>
  </si>
  <si>
    <t>CEPHALEXIN 500MG CP</t>
  </si>
  <si>
    <t>CEPHALEXN500 CP</t>
  </si>
  <si>
    <t>0053022455</t>
  </si>
  <si>
    <t>CETIRIZINE 5MG TB</t>
  </si>
  <si>
    <t>CETIRIZINE 5 TB</t>
  </si>
  <si>
    <t>0053022463</t>
  </si>
  <si>
    <t>CETIRIZINE 10MG TB</t>
  </si>
  <si>
    <t>CETIRIZINE10 TB</t>
  </si>
  <si>
    <t>0053022505</t>
  </si>
  <si>
    <t>CETYLPYRDN/BENZ 1 EA LZ</t>
  </si>
  <si>
    <t>CETYL/BE 1EA LZ</t>
  </si>
  <si>
    <t>0053023313</t>
  </si>
  <si>
    <t>CHLORAMBUCIL 2MG TB</t>
  </si>
  <si>
    <t>CHLORAMBUCL2 TB</t>
  </si>
  <si>
    <t>0053023859</t>
  </si>
  <si>
    <t>CHLORDIAZEPOXIDE 5MG CP</t>
  </si>
  <si>
    <t>CHLORIDIAZEP5CP</t>
  </si>
  <si>
    <t>0053023891</t>
  </si>
  <si>
    <t>CHLORDIAZEPOXIDE 10MG CP</t>
  </si>
  <si>
    <t>CHLORIDIAZE10CP</t>
  </si>
  <si>
    <t>0053023933</t>
  </si>
  <si>
    <t>CHLORDIAZEPOXIDE 25MG CP</t>
  </si>
  <si>
    <t>CHLORIDIAZE25CP</t>
  </si>
  <si>
    <t>0053025458</t>
  </si>
  <si>
    <t>PSE/CHLORPHN 120/8 XR CP</t>
  </si>
  <si>
    <t>PSE/CH120/8XRCP</t>
  </si>
  <si>
    <t>0053025656</t>
  </si>
  <si>
    <t>CHLORPHENIRAMINE 4MG TB</t>
  </si>
  <si>
    <t>CPM 4MG TB</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</si>
  <si>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</si>
  <si>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</si>
  <si>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</si>
  <si>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</si>
  <si>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</si>
  <si>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</si>
  <si>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</si>
  <si>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</si>
  <si>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</si>
  <si>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</si>
  <si>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</si>
  <si>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</si>
  <si>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0053026373</t>
  </si>
  <si>
    <t>CHLORPROPAMIDE 100MG TB</t>
  </si>
  <si>
    <t>CHLORPROPM100TB</t>
  </si>
  <si>
    <t>0053026415</t>
  </si>
  <si>
    <t>CHLORPROPAMIDE 250MG TB</t>
  </si>
  <si>
    <t>CHLORPROPM250TB</t>
  </si>
  <si>
    <t>0053026639</t>
  </si>
  <si>
    <t>CHLORTHALIDONE 12.5MG TB</t>
  </si>
  <si>
    <t>CHLORTHAL12.5TB</t>
  </si>
  <si>
    <t>0053026647</t>
  </si>
  <si>
    <t>CHLORTHALIDONE 25MG TB</t>
  </si>
  <si>
    <t>CHLORTHALID25TB</t>
  </si>
  <si>
    <t>0053026688</t>
  </si>
  <si>
    <t>CHLORTHALIDONE 50MG TB</t>
  </si>
  <si>
    <t>CHLORTHALID50TB</t>
  </si>
  <si>
    <t>0053026944</t>
  </si>
  <si>
    <t>CHLORZOXAZONE 500MG TB</t>
  </si>
  <si>
    <t>CHLORZOXAZ500TB</t>
  </si>
  <si>
    <t>0053027306</t>
  </si>
  <si>
    <t>CILOSTAZOL 50MG TB</t>
  </si>
  <si>
    <t>CILOSTZL50MG TB</t>
  </si>
  <si>
    <t>0053027314</t>
  </si>
  <si>
    <t>CILOSTAZOL 100MG TB</t>
  </si>
  <si>
    <t>CILOSTZL 100 TB</t>
  </si>
  <si>
    <t>0053027413</t>
  </si>
  <si>
    <t>CIMETIDINE 200MG TB</t>
  </si>
  <si>
    <t>CIMETIDINE200TB</t>
  </si>
  <si>
    <t>0053027629</t>
  </si>
  <si>
    <t>CINACALCET 30MG TB</t>
  </si>
  <si>
    <t>CINACALCET30 TB</t>
  </si>
  <si>
    <t>0053027694</t>
  </si>
  <si>
    <t>CITALOPRAM 5MG TB</t>
  </si>
  <si>
    <t>CITALOPRAM5MGTB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</si>
  <si>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</si>
  <si>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</si>
  <si>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</si>
  <si>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</si>
  <si>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</si>
  <si>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</si>
  <si>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</si>
  <si>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</si>
  <si>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</si>
  <si>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</si>
  <si>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</si>
  <si>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</si>
  <si>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0053027777</t>
  </si>
  <si>
    <t>CIPROFLOXACIN 750MG TB</t>
  </si>
  <si>
    <t>CIPROFLOX750 TB</t>
  </si>
  <si>
    <t>0053027801</t>
  </si>
  <si>
    <t>CLARITHROMYCIN 250MG TB</t>
  </si>
  <si>
    <t>CLARITHROM250TB</t>
  </si>
  <si>
    <t>0053027819</t>
  </si>
  <si>
    <t>CLARITHROMYCIN 500MG TB</t>
  </si>
  <si>
    <t>CLARITHROM500TB</t>
  </si>
  <si>
    <t>0053028148</t>
  </si>
  <si>
    <t>CLINDAMYCIN 150MG CP</t>
  </si>
  <si>
    <t>CLINDAMYAC150CP</t>
  </si>
  <si>
    <t>0053028510</t>
  </si>
  <si>
    <t>CLOBAZAM 10MG TB</t>
  </si>
  <si>
    <t>CLOBAZAM 10MGTB</t>
  </si>
  <si>
    <t>0053028908</t>
  </si>
  <si>
    <t>CLOMIPRAMINE 25MG CP</t>
  </si>
  <si>
    <t>CLOMIPRAMIN25CP</t>
  </si>
  <si>
    <t>0053028940</t>
  </si>
  <si>
    <t>CLOTRIMAZOLE 10MG LZ</t>
  </si>
  <si>
    <t>CLOTRIMAZOL10LZ</t>
  </si>
  <si>
    <t>0053029070</t>
  </si>
  <si>
    <t>CLONAZEPAM .25MG TB</t>
  </si>
  <si>
    <t>CLONAZEPAM.25TB</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</si>
  <si>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</si>
  <si>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</si>
  <si>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</si>
  <si>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</si>
  <si>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</si>
  <si>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</si>
  <si>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</si>
  <si>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</si>
  <si>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</si>
  <si>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</si>
  <si>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</si>
  <si>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</si>
  <si>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0053029492</t>
  </si>
  <si>
    <t>CLONIDINE 0.3MG TB</t>
  </si>
  <si>
    <t>CLONIDINE.3MGTB</t>
  </si>
  <si>
    <t>0053029658</t>
  </si>
  <si>
    <t>CLOPIDOGREL 75MG TB</t>
  </si>
  <si>
    <t>CLOPIDOG75MGTB</t>
  </si>
  <si>
    <t>0053029708</t>
  </si>
  <si>
    <t>CLOPIDOGREL 300MG TB</t>
  </si>
  <si>
    <t>CLOPIDOG300MGTB</t>
  </si>
  <si>
    <t>0053029807</t>
  </si>
  <si>
    <t>CLORAZEPATE 7.5MG TB</t>
  </si>
  <si>
    <t>CLORAZEPAT7.5TB</t>
  </si>
  <si>
    <t>0053030169</t>
  </si>
  <si>
    <t>CLOZAPINE 25MG TB</t>
  </si>
  <si>
    <t>CLOZAPIN25MG TB</t>
  </si>
  <si>
    <t>0053030177</t>
  </si>
  <si>
    <t>CLOZAPINE 100MG TB</t>
  </si>
  <si>
    <t>CLOZAPIN100MGTB</t>
  </si>
  <si>
    <t>0053030219</t>
  </si>
  <si>
    <t>CLOZAPINE 100MG ODTB</t>
  </si>
  <si>
    <t>CLOZAP100MGODTB</t>
  </si>
  <si>
    <t>0053030417</t>
  </si>
  <si>
    <t>COLCHICINE .3MG TB</t>
  </si>
  <si>
    <t>COLCHICINE.3 TB</t>
  </si>
  <si>
    <t>0053030425</t>
  </si>
  <si>
    <t>COLCHICINE .6MG TB</t>
  </si>
  <si>
    <t>COLCHICINE.6 TB</t>
  </si>
  <si>
    <t>0053030433</t>
  </si>
  <si>
    <t>COLESEVELAM 625MG TB</t>
  </si>
  <si>
    <t>COLESEVELM625TB</t>
  </si>
  <si>
    <t>0053030441</t>
  </si>
  <si>
    <t>COLESTIPOL 1GM TB</t>
  </si>
  <si>
    <t>COLESTIPOL1 TB</t>
  </si>
  <si>
    <t>0053030508</t>
  </si>
  <si>
    <t>CONJ ESTR/MEDROX.625/5TB</t>
  </si>
  <si>
    <t>EST/MED.6/5TB</t>
  </si>
  <si>
    <t>0053030557</t>
  </si>
  <si>
    <t>CONJ ESTROG SYN1.25MG TB</t>
  </si>
  <si>
    <t>ESTR CJ SY1.25T</t>
  </si>
  <si>
    <t>0053030656</t>
  </si>
  <si>
    <t>CONJ ESTROGEN .3MG TB</t>
  </si>
  <si>
    <t>ESTROG CJ .3TB</t>
  </si>
  <si>
    <t>0053030698</t>
  </si>
  <si>
    <t>CONJ ESTROGEN .625MG TB</t>
  </si>
  <si>
    <t>ESTROG CJ.625TB</t>
  </si>
  <si>
    <t>0053030706</t>
  </si>
  <si>
    <t>CONJ ESTROGEN .9MG TB</t>
  </si>
  <si>
    <t>ESTROG CJ .9TB</t>
  </si>
  <si>
    <t>0053030730</t>
  </si>
  <si>
    <t>CONJUGATED ESTR 1.25MG</t>
  </si>
  <si>
    <t>ESTROG CJ1.25TB</t>
  </si>
  <si>
    <t>0053030896</t>
  </si>
  <si>
    <t>CORTISONE 25MG TB</t>
  </si>
  <si>
    <t>CORTISONE25 TB</t>
  </si>
  <si>
    <t>0053031704</t>
  </si>
  <si>
    <t>MVI VIT B COMPLEX TB</t>
  </si>
  <si>
    <t>VIT B CMPLX TB</t>
  </si>
  <si>
    <t>0053032546</t>
  </si>
  <si>
    <t>CYCLOBENZAPRINE 10MG TB</t>
  </si>
  <si>
    <t>CYCLOBENZAP10TB</t>
  </si>
  <si>
    <t>0053032777</t>
  </si>
  <si>
    <t>CYCLOPHOSPHAMIDE 25MG TB</t>
  </si>
  <si>
    <t>CYCLOPHOS25MGTB</t>
  </si>
  <si>
    <t>0053032827</t>
  </si>
  <si>
    <t>CYCLOPHOSPHAMIDE 50MG CP</t>
  </si>
  <si>
    <t>CYCLOPHOS50MGCP</t>
  </si>
  <si>
    <t>0053032868</t>
  </si>
  <si>
    <t>CYCLOSPORIN 25MG CP</t>
  </si>
  <si>
    <t>CYCLOSPOR25MGCP</t>
  </si>
  <si>
    <t>0053032892</t>
  </si>
  <si>
    <t>CYCLOSPORINE 25MG GEL CP</t>
  </si>
  <si>
    <t>CYCLOSPOR25GLCP</t>
  </si>
  <si>
    <t>0053033049</t>
  </si>
  <si>
    <t>CYPROHEPTADINE 4MG TB</t>
  </si>
  <si>
    <t>CYPROHEPTADN4TB</t>
  </si>
  <si>
    <t>0053033197</t>
  </si>
  <si>
    <t>DABIGATRAN 75MG CP</t>
  </si>
  <si>
    <t>DABIGATRA75MGCP</t>
  </si>
  <si>
    <t>0053033205</t>
  </si>
  <si>
    <t>DABIGATRAN 150MG CP</t>
  </si>
  <si>
    <t>DABIGATR150MGCP</t>
  </si>
  <si>
    <t>0053033270</t>
  </si>
  <si>
    <t>DANAZOL 50MG TB</t>
  </si>
  <si>
    <t>DANAZOL50 TB</t>
  </si>
  <si>
    <t>0053033502</t>
  </si>
  <si>
    <t>DANAZOL 100MG TB</t>
  </si>
  <si>
    <t>DANAZOL100 TB</t>
  </si>
  <si>
    <t>0053034195</t>
  </si>
  <si>
    <t>DANTROLENE 25MG CP</t>
  </si>
  <si>
    <t>DANTROLENE25 CP</t>
  </si>
  <si>
    <t>0053034302</t>
  </si>
  <si>
    <t>DAPAGLIFLOZIN 5MG TB</t>
  </si>
  <si>
    <t>DAPAGLIFLOZ 5TB</t>
  </si>
  <si>
    <t>0053034310</t>
  </si>
  <si>
    <t>DAPAGLIFLOZIN 10MG TB</t>
  </si>
  <si>
    <t>DAPAGLIFLOZ 10T</t>
  </si>
  <si>
    <t>0053034435</t>
  </si>
  <si>
    <t>DAPSONE 100MG TB</t>
  </si>
  <si>
    <t>DAPSONE 100 TB</t>
  </si>
  <si>
    <t>0053034559</t>
  </si>
  <si>
    <t>DIDANOSINE 125MG XR CP</t>
  </si>
  <si>
    <t>DIDANO125 XR CP</t>
  </si>
  <si>
    <t>0053034633</t>
  </si>
  <si>
    <t>DARUNAVIR 800MG TB</t>
  </si>
  <si>
    <t>DARUNAVIR 800TB</t>
  </si>
  <si>
    <t>0053035150</t>
  </si>
  <si>
    <t>DEMECLOCYCLINE 150MG TB</t>
  </si>
  <si>
    <t>DECLOMYC150 TB</t>
  </si>
  <si>
    <t>0053035259</t>
  </si>
  <si>
    <t>DEMECLOCYCLINE 300MG TB</t>
  </si>
  <si>
    <t>DECLOMYC300 TB</t>
  </si>
  <si>
    <t>0053035689</t>
  </si>
  <si>
    <t>DESIPRAMINE 10MG TB</t>
  </si>
  <si>
    <t>DESIPRAMIN10 TB</t>
  </si>
  <si>
    <t>0053035697</t>
  </si>
  <si>
    <t>DESIPRAMINE 25MG TB</t>
  </si>
  <si>
    <t>DESIPRAMIN25 TB</t>
  </si>
  <si>
    <t>0053035739</t>
  </si>
  <si>
    <t>DESIPRAMINE 50MG TB</t>
  </si>
  <si>
    <t>DESIPRAMIN50 TB</t>
  </si>
  <si>
    <t>0053035846</t>
  </si>
  <si>
    <t>DESLORATADINE 5MG TB</t>
  </si>
  <si>
    <t>DESLORATADIN5TB</t>
  </si>
  <si>
    <t>0053035853</t>
  </si>
  <si>
    <t>DESMOPRESSIN .1MG TB</t>
  </si>
  <si>
    <t>DESMOPRESS.1TB</t>
  </si>
  <si>
    <t>0053035960</t>
  </si>
  <si>
    <t>DEXAMETHASONE .5MG TB</t>
  </si>
  <si>
    <t>DEXAMETH.5MG TB</t>
  </si>
  <si>
    <t>0053036000</t>
  </si>
  <si>
    <t>DEXAMETHASONE .75MG TB</t>
  </si>
  <si>
    <t>DEXAMETH.75MGTB</t>
  </si>
  <si>
    <t>0053036026</t>
  </si>
  <si>
    <t>DEXAMETHASONE 1.5MG TB</t>
  </si>
  <si>
    <t>DEXAMETH1.5MGTB</t>
  </si>
  <si>
    <t>0053036034</t>
  </si>
  <si>
    <t>DEXAMETHASONE 2MG TB</t>
  </si>
  <si>
    <t>DEXAMETH 2MG TB</t>
  </si>
  <si>
    <t>0053036042</t>
  </si>
  <si>
    <t>DEXAMETHASONE 4MG TB</t>
  </si>
  <si>
    <t>DEXAMETH 4MG TB</t>
  </si>
  <si>
    <t>0053036067</t>
  </si>
  <si>
    <t>DEXAMETHASONE 6MG TB</t>
  </si>
  <si>
    <t>DEXAMETH 6MG TB</t>
  </si>
  <si>
    <t>0053037081</t>
  </si>
  <si>
    <t>DIAZEPAM 2MG TB</t>
  </si>
  <si>
    <t>DIAZEPAM 2 TB</t>
  </si>
  <si>
    <t>0053037123</t>
  </si>
  <si>
    <t>DIAZEPAM 5MG TB</t>
  </si>
  <si>
    <t>DIAZEPAM 5 TB</t>
  </si>
  <si>
    <t>0053037164</t>
  </si>
  <si>
    <t>DIAZEPAM 10MG TB</t>
  </si>
  <si>
    <t>DIAZEPAM 10 TB</t>
  </si>
  <si>
    <t>0053037453</t>
  </si>
  <si>
    <t>DICLOFENAC NA 25MG XRTB</t>
  </si>
  <si>
    <t>DICLOFENC25XRTB</t>
  </si>
  <si>
    <t>0053037461</t>
  </si>
  <si>
    <t>DICLOFENAC NA 50MG XRTB</t>
  </si>
  <si>
    <t>DICLOFENC50XRTB</t>
  </si>
  <si>
    <t>0053037479</t>
  </si>
  <si>
    <t>DICLOFENAC NA 75MG XRTB</t>
  </si>
  <si>
    <t>DICLOFENC75XRTB</t>
  </si>
  <si>
    <t>0053037529</t>
  </si>
  <si>
    <t>DICLOFEN/MISPR75/.200 TB</t>
  </si>
  <si>
    <t>DICLOF/MISO75TB</t>
  </si>
  <si>
    <t>0053037669</t>
  </si>
  <si>
    <t>DICLOXACIL 250MG CP</t>
  </si>
  <si>
    <t>DICLOXACIL250CP</t>
  </si>
  <si>
    <t>0053037701</t>
  </si>
  <si>
    <t>DICLOXACIL 500MG CP</t>
  </si>
  <si>
    <t>DICLOXACIL500CP</t>
  </si>
  <si>
    <t>0053038204</t>
  </si>
  <si>
    <t>DICYCLOMINE 10MG CP</t>
  </si>
  <si>
    <t>DICYCLOMINE10CP</t>
  </si>
  <si>
    <t>0053038246</t>
  </si>
  <si>
    <t>DICYCLOMINE 20MG TB</t>
  </si>
  <si>
    <t>DICYCLOMINE20TB</t>
  </si>
  <si>
    <t>0053039020</t>
  </si>
  <si>
    <t>PANCRELIP 30-8-30 TB</t>
  </si>
  <si>
    <t>DIG ENZ 30K TB</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</si>
  <si>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</si>
  <si>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</si>
  <si>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</si>
  <si>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</si>
  <si>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</si>
  <si>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</si>
  <si>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</si>
  <si>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</si>
  <si>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</si>
  <si>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</si>
  <si>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</si>
  <si>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</si>
  <si>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</si>
  <si>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</si>
  <si>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DILTIAZEM 90MG</t>
  </si>
  <si>
    <t>0053040390</t>
  </si>
  <si>
    <t>DILTIAZEM 120MG TB</t>
  </si>
  <si>
    <t>DILTIAZEM120 TB</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</si>
  <si>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</si>
  <si>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</si>
  <si>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</si>
  <si>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</si>
  <si>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</si>
  <si>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</si>
  <si>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</si>
  <si>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</si>
  <si>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</si>
  <si>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</si>
  <si>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</si>
  <si>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</si>
  <si>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</si>
  <si>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</si>
  <si>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</si>
  <si>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</si>
  <si>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</si>
  <si>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</si>
  <si>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</si>
  <si>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</si>
  <si>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</si>
  <si>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</si>
  <si>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</si>
  <si>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</si>
  <si>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</si>
  <si>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</si>
  <si>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</si>
  <si>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</si>
  <si>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</si>
  <si>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</si>
  <si>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0053041224</t>
  </si>
  <si>
    <t>DIPYRIDAMOLE 75MG TB</t>
  </si>
  <si>
    <t>DIPYRIDAMO75 TB</t>
  </si>
  <si>
    <t>0053041232</t>
  </si>
  <si>
    <t>DIPYRDAML/ASA200/25 XRCP</t>
  </si>
  <si>
    <t>DP/AS200/25XRCP</t>
  </si>
  <si>
    <t>0053041455</t>
  </si>
  <si>
    <t>DISOPYRAMIDE 100MG TB</t>
  </si>
  <si>
    <t>DISOPYRAM100TB</t>
  </si>
  <si>
    <t>0053041497</t>
  </si>
  <si>
    <t>DISOPYRAMIDE 150MG TB</t>
  </si>
  <si>
    <t>DISOPYRAMD150TB</t>
  </si>
  <si>
    <t>0053041539</t>
  </si>
  <si>
    <t>DISOPYRAMIDE 100MG XR CP</t>
  </si>
  <si>
    <t>DISOPYRA100XRCP</t>
  </si>
  <si>
    <t>0053041570</t>
  </si>
  <si>
    <t>DISOPYRAMIDE 150MG XR CP</t>
  </si>
  <si>
    <t>DISOPYRA150XRCP</t>
  </si>
  <si>
    <t>0053041786</t>
  </si>
  <si>
    <t>DISULFIRAM 250MG TB</t>
  </si>
  <si>
    <t>DISULFIRAM250TB</t>
  </si>
  <si>
    <t>0053041802</t>
  </si>
  <si>
    <t>DISULFIRAM 500MG TB</t>
  </si>
  <si>
    <t>DISULFIRAM500TB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</si>
  <si>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</si>
  <si>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</si>
  <si>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</si>
  <si>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</si>
  <si>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</si>
  <si>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</si>
  <si>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</si>
  <si>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</si>
  <si>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</si>
  <si>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</si>
  <si>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</si>
  <si>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</si>
  <si>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</si>
  <si>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</si>
  <si>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</si>
  <si>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0053042032</t>
  </si>
  <si>
    <t>DOCUSATE 240MG CP</t>
  </si>
  <si>
    <t>DOCUSATE240 CP</t>
  </si>
  <si>
    <t>0053042198</t>
  </si>
  <si>
    <t>DOCUSATE 100MG CP</t>
  </si>
  <si>
    <t>DOCUSATE100 CP</t>
  </si>
  <si>
    <t>0053042230</t>
  </si>
  <si>
    <t>DOCUSATE 250MG CP</t>
  </si>
  <si>
    <t>DOCUSATE250 CP</t>
  </si>
  <si>
    <t>0053042305</t>
  </si>
  <si>
    <t>DOFETILDE .125MG CP</t>
  </si>
  <si>
    <t>DOFETILDE.125CP</t>
  </si>
  <si>
    <t>0053042461</t>
  </si>
  <si>
    <t>DOCUSATE/CASA100/30MG CP</t>
  </si>
  <si>
    <t>DOC/CA100/30 CP</t>
  </si>
  <si>
    <t>0053042503</t>
  </si>
  <si>
    <t>DONEPEZIL 5MG TB</t>
  </si>
  <si>
    <t>DONEPEZIL5MGTB</t>
  </si>
  <si>
    <t>0053042511</t>
  </si>
  <si>
    <t>DONEPEZIL 10MG TB</t>
  </si>
  <si>
    <t>DONEPEZL10MGTB</t>
  </si>
  <si>
    <t>0053042578</t>
  </si>
  <si>
    <t>DOLUTEGRAVIR 50MG TB</t>
  </si>
  <si>
    <t>DOLUTEGRAV 50TB</t>
  </si>
  <si>
    <t>0053042586</t>
  </si>
  <si>
    <t>DOLUTEGRAVIR 10MG TB</t>
  </si>
  <si>
    <t>DOLUTEGRAV 10TB</t>
  </si>
  <si>
    <t>0053042594</t>
  </si>
  <si>
    <t>DOLUTEGRAVIR 25MG TB</t>
  </si>
  <si>
    <t>DOLUTEGRAVIR 25</t>
  </si>
  <si>
    <t>0053042693</t>
  </si>
  <si>
    <t>ATROPN/HYOSC/PB/SCOP TB</t>
  </si>
  <si>
    <t>ATROP/HYS/PB TB</t>
  </si>
  <si>
    <t>0053042735</t>
  </si>
  <si>
    <t>ATROPN/HYOS/PB/SCP EX TB</t>
  </si>
  <si>
    <t>ATRO/HY/PB XRTB</t>
  </si>
  <si>
    <t>0053043352</t>
  </si>
  <si>
    <t>DOXAZOSIN 1MG TB</t>
  </si>
  <si>
    <t>DOXAZOSIN 1 TB</t>
  </si>
  <si>
    <t>0053043360</t>
  </si>
  <si>
    <t>DOXAZOSIN 2MG TB</t>
  </si>
  <si>
    <t>DOXAZOSIN 2 TB</t>
  </si>
  <si>
    <t>0053043378</t>
  </si>
  <si>
    <t>DOXAZOSIN 4MG TB</t>
  </si>
  <si>
    <t>DOXAZOSIN 4 TB</t>
  </si>
  <si>
    <t>0053043386</t>
  </si>
  <si>
    <t>DOXAZOSIN 8MG TB</t>
  </si>
  <si>
    <t>DOXAZOSIN 8 TB</t>
  </si>
  <si>
    <t>0053043428</t>
  </si>
  <si>
    <t>DOXEPIN 10MG CP</t>
  </si>
  <si>
    <t>0053043659</t>
  </si>
  <si>
    <t>DOXEPIN 25MG CP</t>
  </si>
  <si>
    <t>0053043675</t>
  </si>
  <si>
    <t>DOXEPIN 50MG CP</t>
  </si>
  <si>
    <t>0053043691</t>
  </si>
  <si>
    <t>DOXEPIN 75MG CP</t>
  </si>
  <si>
    <t>0053043717</t>
  </si>
  <si>
    <t>DOXEPIN 100MG CP</t>
  </si>
  <si>
    <t>DOXEPIN100MG CP</t>
  </si>
  <si>
    <t>0053043790</t>
  </si>
  <si>
    <t>DOXERCALCIFEROL .5MCG CP</t>
  </si>
  <si>
    <t>DOXERCALCF.5 CP</t>
  </si>
  <si>
    <t>0053043808</t>
  </si>
  <si>
    <t>DOXERCALCIFERL 2.5MCG CP</t>
  </si>
  <si>
    <t>DOXERCALC2.5 CP</t>
  </si>
  <si>
    <t>0053043881</t>
  </si>
  <si>
    <t>DOXYCYCLINE 50MG CP</t>
  </si>
  <si>
    <t>DOXYCYCLINE50CP</t>
  </si>
  <si>
    <t>0053043923</t>
  </si>
  <si>
    <t>DOXYCYCLINE 100MG CP</t>
  </si>
  <si>
    <t>DOXYCYCLIN100CP</t>
  </si>
  <si>
    <t>0053043964</t>
  </si>
  <si>
    <t>DOXYCYCLINE 100MG TB</t>
  </si>
  <si>
    <t>DOXYCYCLIN100TB</t>
  </si>
  <si>
    <t>0053044046</t>
  </si>
  <si>
    <t>DRONEDARONE 200MG TB</t>
  </si>
  <si>
    <t>DRONEDAR200MGTB</t>
  </si>
  <si>
    <t>0053044053</t>
  </si>
  <si>
    <t>DRONEDARONE 400MG TB</t>
  </si>
  <si>
    <t>DRONEDAR400MGTB</t>
  </si>
  <si>
    <t>0053044103</t>
  </si>
  <si>
    <t>DULOXETINE 20MG XR CP</t>
  </si>
  <si>
    <t>DULOXETIN20XRCP</t>
  </si>
  <si>
    <t>0053044111</t>
  </si>
  <si>
    <t>DULOXETINE 30MG XR CP</t>
  </si>
  <si>
    <t>DULOXETIN30XRCP</t>
  </si>
  <si>
    <t>0053044152</t>
  </si>
  <si>
    <t>DUTASTERIDE .5MG CP</t>
  </si>
  <si>
    <t>DUTASTERID.5 CP</t>
  </si>
  <si>
    <t>0053044160</t>
  </si>
  <si>
    <t>ELTROMBOPAG 25MG TB</t>
  </si>
  <si>
    <t>ELTROMBO 25MGTB</t>
  </si>
  <si>
    <t>0053044202</t>
  </si>
  <si>
    <t>ELTROMBOPAG 50MG TB</t>
  </si>
  <si>
    <t>ELTROMBO 50MGTB</t>
  </si>
  <si>
    <t>0053044210</t>
  </si>
  <si>
    <t>PANCRELIP 24-76-120 XRCP</t>
  </si>
  <si>
    <t>DIG ENZ24K XRCP</t>
  </si>
  <si>
    <t>0053044319</t>
  </si>
  <si>
    <t>EFAVIRENZ 200MG CP</t>
  </si>
  <si>
    <t>EFAVIRENZ200 CP</t>
  </si>
  <si>
    <t>0053044343</t>
  </si>
  <si>
    <t>ENALAPRIL 2.5MG TB</t>
  </si>
  <si>
    <t>ENALAPRIL2.5 TB</t>
  </si>
  <si>
    <t>0053044376</t>
  </si>
  <si>
    <t>ENALAPRIL 5MG TB</t>
  </si>
  <si>
    <t>ENALAPRIL 5 TB</t>
  </si>
  <si>
    <t>0053044392</t>
  </si>
  <si>
    <t>ENALAPRIL 10MG TB</t>
  </si>
  <si>
    <t>ENALAPRIL 10 TB</t>
  </si>
  <si>
    <t>0053044400</t>
  </si>
  <si>
    <t>ENALAPRIL 20MG TB</t>
  </si>
  <si>
    <t>ENALAPRIL 20 TB</t>
  </si>
  <si>
    <t>0053044558</t>
  </si>
  <si>
    <t>EMTRICITBINE/TENFOVIR TB</t>
  </si>
  <si>
    <t>EMTRICIT/TEN TB</t>
  </si>
  <si>
    <t>0053044608</t>
  </si>
  <si>
    <t>ENTACAPONE 200MG TB</t>
  </si>
  <si>
    <t>ENTACAPONE200TB</t>
  </si>
  <si>
    <t>0053044616</t>
  </si>
  <si>
    <t>EPLERENONE 25MG TB</t>
  </si>
  <si>
    <t>EPLERENONE25 TB</t>
  </si>
  <si>
    <t>0053044699</t>
  </si>
  <si>
    <t>ERGOCALCIFEROL 50000U CP</t>
  </si>
  <si>
    <t>ERGOCA50000U CP</t>
  </si>
  <si>
    <t>0053044723</t>
  </si>
  <si>
    <t>EMPAGLIFLOZIN 25MG TB</t>
  </si>
  <si>
    <t>EMPAGLIFLZ 25TB</t>
  </si>
  <si>
    <t>0053044756</t>
  </si>
  <si>
    <t>EMPAGLIFLOZIN 10MG TB</t>
  </si>
  <si>
    <t>EMPAGLIFLZ 10TB</t>
  </si>
  <si>
    <t>0053045852</t>
  </si>
  <si>
    <t>ERGOTAMN-CAFF 1/100MG TB</t>
  </si>
  <si>
    <t>ERG/CAF1/100 TB</t>
  </si>
  <si>
    <t>0053046009</t>
  </si>
  <si>
    <t>ERLOTINIB 25MG TB</t>
  </si>
  <si>
    <t>ERLOTINIB 25 TB</t>
  </si>
  <si>
    <t>0053046025</t>
  </si>
  <si>
    <t>ERLOTINIB 150MG TB</t>
  </si>
  <si>
    <t>ERLOTINIB150 TB</t>
  </si>
  <si>
    <t>0053046355</t>
  </si>
  <si>
    <t>ERYTHROMYCIN 250MG XR CP</t>
  </si>
  <si>
    <t>ERYTHR250 XR CP</t>
  </si>
  <si>
    <t>0053046470</t>
  </si>
  <si>
    <t>ERYTHROMYC BASE 250MG TB</t>
  </si>
  <si>
    <t>ERYTH BASE250TB</t>
  </si>
  <si>
    <t>0053046496</t>
  </si>
  <si>
    <t>ERYTHROMYC BASE 333 ECTB</t>
  </si>
  <si>
    <t>ERYTHR333 EC TB</t>
  </si>
  <si>
    <t>0053046512</t>
  </si>
  <si>
    <t>ERYTHROMYC BASE 250 ECTB</t>
  </si>
  <si>
    <t>ERYTHR250 EC TB</t>
  </si>
  <si>
    <t>0053046553</t>
  </si>
  <si>
    <t>ERYTHROMYC STER 250MG TB</t>
  </si>
  <si>
    <t>ERYTHR ST 250TB</t>
  </si>
  <si>
    <t>0053046579</t>
  </si>
  <si>
    <t>ERYTHROMYC STER 500MG TB</t>
  </si>
  <si>
    <t>ERYTHR ST 500TB</t>
  </si>
  <si>
    <t>0053046637</t>
  </si>
  <si>
    <t>ESOMEPRAZOL40MGXR PWLQ</t>
  </si>
  <si>
    <t>ESOMEPR40XRPWLQ</t>
  </si>
  <si>
    <t>0053046645</t>
  </si>
  <si>
    <t>ESCITALOPRAM 5MG TB</t>
  </si>
  <si>
    <t>ESCITALOPAM 5TB</t>
  </si>
  <si>
    <t>0053046652</t>
  </si>
  <si>
    <t>ESCITALOPRAM 10MG TB</t>
  </si>
  <si>
    <t>ESCITALOPAM10TB</t>
  </si>
  <si>
    <t>0053046686</t>
  </si>
  <si>
    <t>ESCITALOPRAM 2.5MG TB</t>
  </si>
  <si>
    <t>ESCITALOPM2.5TB</t>
  </si>
  <si>
    <t>0053046744</t>
  </si>
  <si>
    <t>ESTRADIOL 1MG TB</t>
  </si>
  <si>
    <t>ESTRADIOL 1 TB</t>
  </si>
  <si>
    <t>0053047072</t>
  </si>
  <si>
    <t>ESTROGEN ESTERIFD.3MG TB</t>
  </si>
  <si>
    <t>ESTROG EST.3TB</t>
  </si>
  <si>
    <t>0053047080</t>
  </si>
  <si>
    <t>ESTROGEN ESTRFD.625MG TB</t>
  </si>
  <si>
    <t>ESTROG EST.62TB</t>
  </si>
  <si>
    <t>0053047304</t>
  </si>
  <si>
    <t>ESTROPIPATE 0.625MG TB</t>
  </si>
  <si>
    <t>ESTROPIPAT.62TB</t>
  </si>
  <si>
    <t>0053047437</t>
  </si>
  <si>
    <t>ETHACRYNIC ACID 25MG TB</t>
  </si>
  <si>
    <t>ETHACRY AC25 TB</t>
  </si>
  <si>
    <t>0053047478</t>
  </si>
  <si>
    <t>ETHACRYNIC ACID 50MG TB</t>
  </si>
  <si>
    <t>ETHACRY AC50 TB</t>
  </si>
  <si>
    <t>0053047700</t>
  </si>
  <si>
    <t>ETHAMBUTOL 100MG TB</t>
  </si>
  <si>
    <t>ETHAMBUTL100 TB</t>
  </si>
  <si>
    <t>0053047742</t>
  </si>
  <si>
    <t>ETHAMBUTOL 400MG TB</t>
  </si>
  <si>
    <t>ETHAMBUTL400 TB</t>
  </si>
  <si>
    <t>0053048708</t>
  </si>
  <si>
    <t>EXEMESTANE 25MG TB</t>
  </si>
  <si>
    <t>EXEMESTAN 25 TB</t>
  </si>
  <si>
    <t>0053048740</t>
  </si>
  <si>
    <t>EZETIMIBE 5MG TB</t>
  </si>
  <si>
    <t>EZETIMIBE 5MGTB</t>
  </si>
  <si>
    <t>0053048757</t>
  </si>
  <si>
    <t>EZETIMIBE 10MG TB</t>
  </si>
  <si>
    <t>EZETIMIBE 10 TB</t>
  </si>
  <si>
    <t>0053048773</t>
  </si>
  <si>
    <t>EZETIMB/SIMVAS10/20MG TB</t>
  </si>
  <si>
    <t>EZE/SIM10/20 TB</t>
  </si>
  <si>
    <t>0053048831</t>
  </si>
  <si>
    <t>ETODOLAC 200MG CP</t>
  </si>
  <si>
    <t>ETODOLAC200MGCP</t>
  </si>
  <si>
    <t>0053048849</t>
  </si>
  <si>
    <t>ETODOLAC 300MG CP</t>
  </si>
  <si>
    <t>ETODOLAC300MGCP</t>
  </si>
  <si>
    <t>0053048872</t>
  </si>
  <si>
    <t>ETODOLAC 400MG XR TB</t>
  </si>
  <si>
    <t>ETODOLAC400XRTB</t>
  </si>
  <si>
    <t>0053048906</t>
  </si>
  <si>
    <t>ETOPOSIDE 50MG CP</t>
  </si>
  <si>
    <t>ETOPOSIDE50MGCP</t>
  </si>
  <si>
    <t>0053048989</t>
  </si>
  <si>
    <t>FAMCICLOVIR 500MG TB</t>
  </si>
  <si>
    <t>FAMCICLVR500 TB</t>
  </si>
  <si>
    <t>0053048997</t>
  </si>
  <si>
    <t>FAMOTIDINE 10MG TB</t>
  </si>
  <si>
    <t>FAMOTIDINE 10TB</t>
  </si>
  <si>
    <t>0053049003</t>
  </si>
  <si>
    <t>FAMOTIDINE 20MG TB</t>
  </si>
  <si>
    <t>FAMOTIDINE 20TB</t>
  </si>
  <si>
    <t>0053049011</t>
  </si>
  <si>
    <t>FAMOTIDINE 40MG TB</t>
  </si>
  <si>
    <t>FAMOTIDINE 40TB</t>
  </si>
  <si>
    <t>0053049029</t>
  </si>
  <si>
    <t>FAMCICLOVIR 250MG TB</t>
  </si>
  <si>
    <t>FAMCICLVR250 TB</t>
  </si>
  <si>
    <t>0053049110</t>
  </si>
  <si>
    <t>FEBUXOSTAT 40MG TB</t>
  </si>
  <si>
    <t>FEBUXOS 40MG TB</t>
  </si>
  <si>
    <t>0053049169</t>
  </si>
  <si>
    <t>FELBAMATE 600MG TB</t>
  </si>
  <si>
    <t>FELBAMATE600 TB</t>
  </si>
  <si>
    <t>0053049193</t>
  </si>
  <si>
    <t>FELODIPINE 2.5MG XR TB</t>
  </si>
  <si>
    <t>FELODIPN2.5XRTB</t>
  </si>
  <si>
    <t>0053049201</t>
  </si>
  <si>
    <t>FELODIPINE 5MG XR TB</t>
  </si>
  <si>
    <t>FELODIPINE5XRTB</t>
  </si>
  <si>
    <t>0053049334</t>
  </si>
  <si>
    <t>FENOFIBRATE 48MG TB</t>
  </si>
  <si>
    <t>FENOFIBRT48 TB</t>
  </si>
  <si>
    <t>0053049359</t>
  </si>
  <si>
    <t>FENOFIBRATE 54MG TB</t>
  </si>
  <si>
    <t>FENOFIBRT54 TB</t>
  </si>
  <si>
    <t>0053049375</t>
  </si>
  <si>
    <t>FENOFIBRATE 160MG TB</t>
  </si>
  <si>
    <t>FENOFIBRT160 TB</t>
  </si>
  <si>
    <t>0053049383</t>
  </si>
  <si>
    <t>FENOFIBRATE 145MG TB</t>
  </si>
  <si>
    <t>FENOFIBRT145 TB</t>
  </si>
  <si>
    <t>0053049821</t>
  </si>
  <si>
    <t>FERROFUMR/DOC150/100XRTB</t>
  </si>
  <si>
    <t>FE FUM/DSS XRTB</t>
  </si>
  <si>
    <t>0053050134</t>
  </si>
  <si>
    <t>FERROUS GLUCONT 325MG TB</t>
  </si>
  <si>
    <t>FE GLUC 325 TB</t>
  </si>
  <si>
    <t>0053050175</t>
  </si>
  <si>
    <t>FERROUS GLUCONT 300MG TB</t>
  </si>
  <si>
    <t>FE GLUC 300 TB</t>
  </si>
  <si>
    <t>0053050423</t>
  </si>
  <si>
    <t>FERROUS SULF 160MG XR TB</t>
  </si>
  <si>
    <t>FE SULF 160XRTB</t>
  </si>
  <si>
    <t>0053050449</t>
  </si>
  <si>
    <t>FERROUS SULFATE 325MG TB</t>
  </si>
  <si>
    <t>FE SULF 325TB</t>
  </si>
  <si>
    <t>0053050563</t>
  </si>
  <si>
    <t>FE CARBONYL 45MG TB</t>
  </si>
  <si>
    <t>FE CARBONL45 TB</t>
  </si>
  <si>
    <t>0053050621</t>
  </si>
  <si>
    <t>FEXOFENADINE 60MG TB</t>
  </si>
  <si>
    <t>FEXOFENAD60 TB</t>
  </si>
  <si>
    <t>0053050662</t>
  </si>
  <si>
    <t>FINASTERIDE 5MG TB</t>
  </si>
  <si>
    <t>FINASTERIDE5 TB</t>
  </si>
  <si>
    <t>0053050696</t>
  </si>
  <si>
    <t>FIDAXOMICIN 200MG TB</t>
  </si>
  <si>
    <t>FIDAXOM 200MGTB</t>
  </si>
  <si>
    <t>0053050795</t>
  </si>
  <si>
    <t>FLAVOXATE 100MG TB</t>
  </si>
  <si>
    <t>FLAVOXATE100 TB</t>
  </si>
  <si>
    <t>0053050845</t>
  </si>
  <si>
    <t>FLECAINIDE 50MG TB</t>
  </si>
  <si>
    <t>FLECAINIDE 50TB</t>
  </si>
  <si>
    <t>0053050852</t>
  </si>
  <si>
    <t>FLECAINIDE 100MG TB</t>
  </si>
  <si>
    <t>FLECAINIDE100TB</t>
  </si>
  <si>
    <t>0053050969</t>
  </si>
  <si>
    <t>FLUCONAZOLE 100MG TB</t>
  </si>
  <si>
    <t>FLUCONAZL100 TB</t>
  </si>
  <si>
    <t>0053050977</t>
  </si>
  <si>
    <t>FLUCONAZOLE 200MG TB</t>
  </si>
  <si>
    <t>FLUCONAZL200 TB</t>
  </si>
  <si>
    <t>0053050985</t>
  </si>
  <si>
    <t>FLUCONAZOLE 150MG TB</t>
  </si>
  <si>
    <t>FLUCONAZL150 TB</t>
  </si>
  <si>
    <t>0053051025</t>
  </si>
  <si>
    <t>FLUCYTOSINE 250MG CP</t>
  </si>
  <si>
    <t>FLUCYTOSIN250CP</t>
  </si>
  <si>
    <t>0053051066</t>
  </si>
  <si>
    <t>FLUCYTOSINE 500MG CP</t>
  </si>
  <si>
    <t>FLUCYTOSIN500CP</t>
  </si>
  <si>
    <t>0053051280</t>
  </si>
  <si>
    <t>FLUDROCORTISONE.05MG TB</t>
  </si>
  <si>
    <t>FLUDROCORT.05TB</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</si>
  <si>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</si>
  <si>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</si>
  <si>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</si>
  <si>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</si>
  <si>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</si>
  <si>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</si>
  <si>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</si>
  <si>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</si>
  <si>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</si>
  <si>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</si>
  <si>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</si>
  <si>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</si>
  <si>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</si>
  <si>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</si>
  <si>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</si>
  <si>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</si>
  <si>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</si>
  <si>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</si>
  <si>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0053052213</t>
  </si>
  <si>
    <t>FLURAZEPAM 15MG CP</t>
  </si>
  <si>
    <t>FLURAZEPAM15 CP</t>
  </si>
  <si>
    <t>0053052239</t>
  </si>
  <si>
    <t>FLURAZEPAM 30MG CP</t>
  </si>
  <si>
    <t>FLURAZEPAM30 CP</t>
  </si>
  <si>
    <t>0053052262</t>
  </si>
  <si>
    <t>FLURBIPROFEN 100MG TB</t>
  </si>
  <si>
    <t>FLURBIPROF100TB</t>
  </si>
  <si>
    <t>0053052288</t>
  </si>
  <si>
    <t>FLUTAMIDE 125MG CP</t>
  </si>
  <si>
    <t>FLUTAMIDE125 CP</t>
  </si>
  <si>
    <t>0053052304</t>
  </si>
  <si>
    <t>FLUVASTATIN 20MG CP</t>
  </si>
  <si>
    <t>FLUVASTATIN20CP</t>
  </si>
  <si>
    <t>0053052312</t>
  </si>
  <si>
    <t>0053052338</t>
  </si>
  <si>
    <t>FOLIC ACID 1MG TB</t>
  </si>
  <si>
    <t>FOLIC AC 1 TB</t>
  </si>
  <si>
    <t>0053052353</t>
  </si>
  <si>
    <t>FLUVOXAMINE 50MG TB</t>
  </si>
  <si>
    <t>FLUXOVAMINE50TB</t>
  </si>
  <si>
    <t>0053052361</t>
  </si>
  <si>
    <t>FLUVOXAMINE 100MG TB</t>
  </si>
  <si>
    <t>FLUXOVAMIN100TB</t>
  </si>
  <si>
    <t>0053052387</t>
  </si>
  <si>
    <t>FLUVASTATIN 80MG XR CP</t>
  </si>
  <si>
    <t>FLUVASTAT80XRCP</t>
  </si>
  <si>
    <t>0053052395</t>
  </si>
  <si>
    <t>FOSFOMYCIN 3GM PWLQ</t>
  </si>
  <si>
    <t>FOSFOMYC3GMPWLQ</t>
  </si>
  <si>
    <t>0053052403</t>
  </si>
  <si>
    <t>FOSINOPRIL 10MG TB</t>
  </si>
  <si>
    <t>FOSINOPRIL10 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</si>
  <si>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</si>
  <si>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</si>
  <si>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</si>
  <si>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</si>
  <si>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</si>
  <si>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</si>
  <si>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</si>
  <si>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</si>
  <si>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</si>
  <si>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</si>
  <si>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</si>
  <si>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</si>
  <si>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</si>
  <si>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</si>
  <si>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</si>
  <si>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</si>
  <si>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</si>
  <si>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</si>
  <si>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</si>
  <si>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</si>
  <si>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</si>
  <si>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0053052999</t>
  </si>
  <si>
    <t>GALANTAMINE 4MG TB</t>
  </si>
  <si>
    <t>GALANTAMIN4MGTB</t>
  </si>
  <si>
    <t>0053053112</t>
  </si>
  <si>
    <t>GEMFIBROZIL 600MG TB</t>
  </si>
  <si>
    <t>GEMFIBROZL600TB</t>
  </si>
  <si>
    <t>0053053195</t>
  </si>
  <si>
    <t>GLIMEPIRIDE 0.5MG TB</t>
  </si>
  <si>
    <t>GLIMEPIRIDE.5TB</t>
  </si>
  <si>
    <t>0053053203</t>
  </si>
  <si>
    <t>GLIMEPIRIDE 1MG TB</t>
  </si>
  <si>
    <t>GLIMEPIRIDE 1TB</t>
  </si>
  <si>
    <t>0053053211</t>
  </si>
  <si>
    <t>GLIMEPIRIDE 2MG TB</t>
  </si>
  <si>
    <t>GLIMEPIRIDE 2TB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</si>
  <si>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</si>
  <si>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</si>
  <si>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</si>
  <si>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</si>
  <si>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</si>
  <si>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</si>
  <si>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</si>
  <si>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</si>
  <si>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</si>
  <si>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</si>
  <si>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</si>
  <si>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</si>
  <si>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</si>
  <si>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</si>
  <si>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</si>
  <si>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</si>
  <si>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GLIPIZDE10XRTB</t>
  </si>
  <si>
    <t>0053054078</t>
  </si>
  <si>
    <t>GLYBURIDE MIC 3MG TB</t>
  </si>
  <si>
    <t>GLYBUR MC3MG TB</t>
  </si>
  <si>
    <t>0053054086</t>
  </si>
  <si>
    <t>GLYBURIDE MIC 1.5MG TB</t>
  </si>
  <si>
    <t>GLYBUR MC1.5 TB</t>
  </si>
  <si>
    <t>0053054094</t>
  </si>
  <si>
    <t>GLYBURIDE 1.25MG TB</t>
  </si>
  <si>
    <t>GLYBUR1.25MG TB</t>
  </si>
  <si>
    <t>0053054110</t>
  </si>
  <si>
    <t>GLYBURIDE 2.5MG TB</t>
  </si>
  <si>
    <t>GLYBUR 2.5MG TB</t>
  </si>
  <si>
    <t>0053054136</t>
  </si>
  <si>
    <t>GLYBURIDE 5MG TB</t>
  </si>
  <si>
    <t>GLYBUR 5MG TB</t>
  </si>
  <si>
    <t>0053054169</t>
  </si>
  <si>
    <t>GLYBUR/METF 2.5/500MG TB</t>
  </si>
  <si>
    <t>GLYB/MET2/500TB</t>
  </si>
  <si>
    <t>0053054177</t>
  </si>
  <si>
    <t>GLYBUR/METFRM 5/500MG TB</t>
  </si>
  <si>
    <t>GLYB/MET5/500TB</t>
  </si>
  <si>
    <t>0053054292</t>
  </si>
  <si>
    <t>GLYCOPYRROLATE 1MG TB</t>
  </si>
  <si>
    <t>GLYCOPYRROL1 TB</t>
  </si>
  <si>
    <t>0053054334</t>
  </si>
  <si>
    <t>GLYCOPYRROLATE 2MG TB</t>
  </si>
  <si>
    <t>GLYCOPYRROL2 TB</t>
  </si>
  <si>
    <t>0053054607</t>
  </si>
  <si>
    <t>GRISEOFULVIN 250MG CP</t>
  </si>
  <si>
    <t>GRISEOFULV250CP</t>
  </si>
  <si>
    <t>0053054672</t>
  </si>
  <si>
    <t>GRISEOFULVN MIC 500MG TB</t>
  </si>
  <si>
    <t>GRISEOF UM500TB</t>
  </si>
  <si>
    <t>0053054714</t>
  </si>
  <si>
    <t>GRISEOFULV U-MIC 250MGTB</t>
  </si>
  <si>
    <t>GRISEOF 250MGTB</t>
  </si>
  <si>
    <t>0053054813</t>
  </si>
  <si>
    <t>GUAIFENESIN 600MG XR TB</t>
  </si>
  <si>
    <t>GUAF 600MG X TB</t>
  </si>
  <si>
    <t>0053055406</t>
  </si>
  <si>
    <t>GUANFACINE 1MG TB</t>
  </si>
  <si>
    <t>GUANFACIN1MGTB</t>
  </si>
  <si>
    <t>0053056081</t>
  </si>
  <si>
    <t>HALOPERIDOL .25MG TB</t>
  </si>
  <si>
    <t>HALOPERD.25MGTB</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</si>
  <si>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</si>
  <si>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</si>
  <si>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</si>
  <si>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</si>
  <si>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</si>
  <si>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</si>
  <si>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</si>
  <si>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</si>
  <si>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</si>
  <si>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</si>
  <si>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</si>
  <si>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</si>
  <si>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0053056263</t>
  </si>
  <si>
    <t>HALOPERIDOL 10MG TB</t>
  </si>
  <si>
    <t>HALOPERD10MG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</si>
  <si>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</si>
  <si>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</si>
  <si>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</si>
  <si>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</si>
  <si>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</si>
  <si>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</si>
  <si>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</si>
  <si>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</si>
  <si>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</si>
  <si>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</si>
  <si>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</si>
  <si>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</si>
  <si>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</si>
  <si>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</si>
  <si>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</si>
  <si>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0053056842</t>
  </si>
  <si>
    <t>HYDRALAZINE 100MG TB</t>
  </si>
  <si>
    <t>HYDRALAZIN100TB</t>
  </si>
  <si>
    <t>0053057147</t>
  </si>
  <si>
    <t>HCTZ 12.5MG CP</t>
  </si>
  <si>
    <t>0053057154</t>
  </si>
  <si>
    <t>HCTZ 25MG TB</t>
  </si>
  <si>
    <t>0053057196</t>
  </si>
  <si>
    <t>HCTZ 50MG TB</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</si>
  <si>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</si>
  <si>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</si>
  <si>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</si>
  <si>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</si>
  <si>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</si>
  <si>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</si>
  <si>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</si>
  <si>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</si>
  <si>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</si>
  <si>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</si>
  <si>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</si>
  <si>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</si>
  <si>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0053057899</t>
  </si>
  <si>
    <t>HYDROXYCHLOROQUN100MG TB</t>
  </si>
  <si>
    <t>HYDROXYCHQ100TB</t>
  </si>
  <si>
    <t>0053058111</t>
  </si>
  <si>
    <t>HYDROXYUREA 500MG CP</t>
  </si>
  <si>
    <t>HYDROXYURE500CP</t>
  </si>
  <si>
    <t>0053058301</t>
  </si>
  <si>
    <t>HYDROXYZINE 10MG TB</t>
  </si>
  <si>
    <t>HYDROXYZIN10TB</t>
  </si>
  <si>
    <t>0053058343</t>
  </si>
  <si>
    <t>HYDROXYZINE 25MG CP</t>
  </si>
  <si>
    <t>HYDROXYZIN25CP</t>
  </si>
  <si>
    <t>0053058350</t>
  </si>
  <si>
    <t>HYDROXYZINE 25MG TB</t>
  </si>
  <si>
    <t>HYDROXYZIN25TB</t>
  </si>
  <si>
    <t>0053058368</t>
  </si>
  <si>
    <t>HYDROXYZINE 50MG TB</t>
  </si>
  <si>
    <t>HYDROXYZIN50TB</t>
  </si>
  <si>
    <t>0053058384</t>
  </si>
  <si>
    <t>HYDROXYZINE 50MG CP</t>
  </si>
  <si>
    <t>HYDROXYZIN50CP</t>
  </si>
  <si>
    <t>0053058426</t>
  </si>
  <si>
    <t>HYDROXYZINE 100MG CP</t>
  </si>
  <si>
    <t>HYDROXYZIN100CP</t>
  </si>
  <si>
    <t>0053058657</t>
  </si>
  <si>
    <t>HYOSCYAMINE .125MG TB</t>
  </si>
  <si>
    <t>HYOSCYAM.125TB</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</si>
  <si>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</si>
  <si>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</si>
  <si>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</si>
  <si>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</si>
  <si>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</si>
  <si>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</si>
  <si>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</si>
  <si>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</si>
  <si>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</si>
  <si>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</si>
  <si>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</si>
  <si>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</si>
  <si>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</si>
  <si>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</si>
  <si>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</si>
  <si>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0053059499</t>
  </si>
  <si>
    <t>IMIPRAMINE 10MG TB</t>
  </si>
  <si>
    <t>IMIPRAMINE10TB</t>
  </si>
  <si>
    <t>0053059507</t>
  </si>
  <si>
    <t>IMIPRAMINE 25MG TB</t>
  </si>
  <si>
    <t>IMIPRAMINE25TB</t>
  </si>
  <si>
    <t>0053059549</t>
  </si>
  <si>
    <t>IMIPRAMINE 50MG TB</t>
  </si>
  <si>
    <t>IMIPRAMINE50TB</t>
  </si>
  <si>
    <t>0053059770</t>
  </si>
  <si>
    <t>INDAPAMIDE 2.5MG TB</t>
  </si>
  <si>
    <t>INDAPAM2.5MG TB</t>
  </si>
  <si>
    <t>0053060000</t>
  </si>
  <si>
    <t>INDOMETHACIN 25MG CP</t>
  </si>
  <si>
    <t>INDOMETHAC25CP</t>
  </si>
  <si>
    <t>0053060042</t>
  </si>
  <si>
    <t>INDOMETHACIN 50MG CP</t>
  </si>
  <si>
    <t>INDOMETHAC50CP</t>
  </si>
  <si>
    <t>0053060083</t>
  </si>
  <si>
    <t>INDOMETHACIN 75MG XR CP</t>
  </si>
  <si>
    <t>INDOMETHA75XRCP</t>
  </si>
  <si>
    <t>0053060513</t>
  </si>
  <si>
    <t>IRBESARTAN 150MG TB</t>
  </si>
  <si>
    <t>IRBESARTAN150TB</t>
  </si>
  <si>
    <t>0053060752</t>
  </si>
  <si>
    <t>MVI VIT B/FE/INTR FAC CP</t>
  </si>
  <si>
    <t>VITB/FE/IF CP</t>
  </si>
  <si>
    <t>0053060950</t>
  </si>
  <si>
    <t>ISOMETH/DICHLOR/APAP CP</t>
  </si>
  <si>
    <t>ISOM/DI/APAP CP</t>
  </si>
  <si>
    <t>0053060976</t>
  </si>
  <si>
    <t>ISONIAZID 100MGTB</t>
  </si>
  <si>
    <t>ISONIAZID100 TB</t>
  </si>
  <si>
    <t>0053061008</t>
  </si>
  <si>
    <t>ISONIAZID 300MG TB</t>
  </si>
  <si>
    <t>ISONIAZID300 TB</t>
  </si>
  <si>
    <t>0053061735</t>
  </si>
  <si>
    <t>ISOSORBIDE DN 5MG TB</t>
  </si>
  <si>
    <t>ISOSOR/DN 5 TB</t>
  </si>
  <si>
    <t>0053061750</t>
  </si>
  <si>
    <t>ISOSORBIDE MN 15MG XR TB</t>
  </si>
  <si>
    <t>ISOSORB MN 15TB</t>
  </si>
  <si>
    <t>0053061776</t>
  </si>
  <si>
    <t>ISOSORBIDE DN 10MG TB</t>
  </si>
  <si>
    <t>ISOSOR DN 10 TB</t>
  </si>
  <si>
    <t>0053061784</t>
  </si>
  <si>
    <t>ISOSORBIDE DN 40MG TB</t>
  </si>
  <si>
    <t>ISOSOR DN 40 TB</t>
  </si>
  <si>
    <t>0053061792</t>
  </si>
  <si>
    <t>ISOSORBIDE DN 15MG TB</t>
  </si>
  <si>
    <t>ISOSOR DN 15 TB</t>
  </si>
  <si>
    <t>0053061818</t>
  </si>
  <si>
    <t>ISOSORBIDE DN 20MG TB</t>
  </si>
  <si>
    <t>ISOSOR DN 20 TB</t>
  </si>
  <si>
    <t>0053061826</t>
  </si>
  <si>
    <t>ISOSORBIDE MN 20MG TB</t>
  </si>
  <si>
    <t>ISOSORB MN 20TB</t>
  </si>
  <si>
    <t>0053061834</t>
  </si>
  <si>
    <t>ISOSORBIDE DN 30MG TB</t>
  </si>
  <si>
    <t>ISOSOR DN 30 TB</t>
  </si>
  <si>
    <t>0053061842</t>
  </si>
  <si>
    <t>ISOSORBIDE MN 30MG XR TB</t>
  </si>
  <si>
    <t>ISOSORB MN 30TB</t>
  </si>
  <si>
    <t>0053061859</t>
  </si>
  <si>
    <t>ISOSORBIDE DN 40MG XR TB</t>
  </si>
  <si>
    <t>ISOS DN40 XR TB</t>
  </si>
  <si>
    <t>0053061867</t>
  </si>
  <si>
    <t>ISOSORBIDE MN 60MG XR TB</t>
  </si>
  <si>
    <t>IMDUR 60MG</t>
  </si>
  <si>
    <t>0053061875</t>
  </si>
  <si>
    <t>ISOSORBID MN 120MG XR TB</t>
  </si>
  <si>
    <t>ISOSORB MN120TB</t>
  </si>
  <si>
    <t>0053061933</t>
  </si>
  <si>
    <t>ISOSORBIDE DN2.5MG SL TB</t>
  </si>
  <si>
    <t>ISOS D2.5 SL TB</t>
  </si>
  <si>
    <t>0053062550</t>
  </si>
  <si>
    <t>ISRADIPINE 2.5MG CP</t>
  </si>
  <si>
    <t>ISRADIP2.5MG CP</t>
  </si>
  <si>
    <t>0053062568</t>
  </si>
  <si>
    <t>ISRADIPINE 5MG CP</t>
  </si>
  <si>
    <t>ISRADIPIN5MG CP</t>
  </si>
  <si>
    <t>0053062576</t>
  </si>
  <si>
    <t>ITRACONAZOLE 100MG CP</t>
  </si>
  <si>
    <t>ITRACONAZL100CP</t>
  </si>
  <si>
    <t>0053062618</t>
  </si>
  <si>
    <t>IVERMECTIN 3MG TB</t>
  </si>
  <si>
    <t>IVERMECTIN3MGTB</t>
  </si>
  <si>
    <t>0053062931</t>
  </si>
  <si>
    <t>KETOCONAZOLE 200MG TB</t>
  </si>
  <si>
    <t>KETOCONAZ200TB</t>
  </si>
  <si>
    <t>0053062998</t>
  </si>
  <si>
    <t>KETOPROFEN 75MG CP</t>
  </si>
  <si>
    <t>KETOPROF 75MGCP</t>
  </si>
  <si>
    <t>0053063020</t>
  </si>
  <si>
    <t>KETOROLAC 5MG TB</t>
  </si>
  <si>
    <t>KETORLAC 5MG TB</t>
  </si>
  <si>
    <t>0053063202</t>
  </si>
  <si>
    <t>LABETALOL 100MG TB</t>
  </si>
  <si>
    <t>LABETALOL100 TB</t>
  </si>
  <si>
    <t>0053063210</t>
  </si>
  <si>
    <t>LABETALOL 200MG TB</t>
  </si>
  <si>
    <t>LABETALOL200 TB</t>
  </si>
  <si>
    <t>0053063251</t>
  </si>
  <si>
    <t>LABETALOL 300MG TB</t>
  </si>
  <si>
    <t>LABETALOL300 TB</t>
  </si>
  <si>
    <t>0053063327</t>
  </si>
  <si>
    <t>LAMOTRIGINE 100MG ODTB</t>
  </si>
  <si>
    <t>LAMOTR100MGODTB</t>
  </si>
  <si>
    <t>0053063392</t>
  </si>
  <si>
    <t>LACTOBACILLUS ACIDPHL CP</t>
  </si>
  <si>
    <t>LACTOBACILLU CP</t>
  </si>
  <si>
    <t>0053063426</t>
  </si>
  <si>
    <t>LAMIVUDINE 100MG TB</t>
  </si>
  <si>
    <t>LAMIVUDINE100TB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</si>
  <si>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</si>
  <si>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</si>
  <si>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</si>
  <si>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</si>
  <si>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</si>
  <si>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</si>
  <si>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</si>
  <si>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</si>
  <si>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</si>
  <si>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</si>
  <si>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</si>
  <si>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</si>
  <si>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</si>
  <si>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</si>
  <si>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</si>
  <si>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0053063483</t>
  </si>
  <si>
    <t>LAMOTRIGINE 150MG TB</t>
  </si>
  <si>
    <t>LAMOTRG150MG TB</t>
  </si>
  <si>
    <t>0053063491</t>
  </si>
  <si>
    <t>LAMOTRIGINE 200MG TB</t>
  </si>
  <si>
    <t>LAMOTRG200MG TB</t>
  </si>
  <si>
    <t>0053063517</t>
  </si>
  <si>
    <t>LANSOPRAZOLE 15MG XR CP</t>
  </si>
  <si>
    <t>LANSOPRAZ15XRCP</t>
  </si>
  <si>
    <t>0053063525</t>
  </si>
  <si>
    <t>LANSOPRAZOLE 30MG XR CP</t>
  </si>
  <si>
    <t>LANSOPRAZ30XRCP</t>
  </si>
  <si>
    <t>0053063541</t>
  </si>
  <si>
    <t>LANSOPRAZOLE 15MG DT</t>
  </si>
  <si>
    <t>LANSOPRAZ15MGDT</t>
  </si>
  <si>
    <t>0053063558</t>
  </si>
  <si>
    <t>LANSOPRAZOLE 30MG DT</t>
  </si>
  <si>
    <t>LANSOPRAZ30MGDT</t>
  </si>
  <si>
    <t>0053063590</t>
  </si>
  <si>
    <t>LANTHANUM CARB1000MG CTB</t>
  </si>
  <si>
    <t>LANTHANU1000CTB</t>
  </si>
  <si>
    <t>0053063616</t>
  </si>
  <si>
    <t>LANTHANUM CARB 500MG CTB</t>
  </si>
  <si>
    <t>LANTHANUM500CTB</t>
  </si>
  <si>
    <t>0053063640</t>
  </si>
  <si>
    <t>LEFLUNOMIDE 20MG TB</t>
  </si>
  <si>
    <t>LEFLUNOM20MGTB</t>
  </si>
  <si>
    <t>0053063681</t>
  </si>
  <si>
    <t>LETROZOLE 2.5MG TB</t>
  </si>
  <si>
    <t>LETROZOL2.5MGTB</t>
  </si>
  <si>
    <t>0053063897</t>
  </si>
  <si>
    <t>LEUCOVORIN 5MG TB</t>
  </si>
  <si>
    <t>LEUCOVORN5MGTB</t>
  </si>
  <si>
    <t>0053063939</t>
  </si>
  <si>
    <t>LEUCOVORIN 25MG TB</t>
  </si>
  <si>
    <t>LEUCOVORN25MGTB</t>
  </si>
  <si>
    <t>0053064051</t>
  </si>
  <si>
    <t>LEVETIRACETAM 250MG TB</t>
  </si>
  <si>
    <t>LEVETIRA250MGTB</t>
  </si>
  <si>
    <t>0053064069</t>
  </si>
  <si>
    <t>LEVETIRACETAM 500MG TB</t>
  </si>
  <si>
    <t>LEVETIRA500MGTB</t>
  </si>
  <si>
    <t>0053064200</t>
  </si>
  <si>
    <t>LEVODOPA 250MG TB/CP</t>
  </si>
  <si>
    <t>LEVODOP250TB/CP</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</si>
  <si>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</si>
  <si>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</si>
  <si>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</si>
  <si>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</si>
  <si>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</si>
  <si>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</si>
  <si>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</si>
  <si>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</si>
  <si>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</si>
  <si>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</si>
  <si>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</si>
  <si>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</si>
  <si>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</si>
  <si>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</si>
  <si>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</si>
  <si>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</si>
  <si>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</si>
  <si>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</si>
  <si>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</si>
  <si>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</si>
  <si>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</si>
  <si>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</si>
  <si>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</si>
  <si>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</si>
  <si>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</si>
  <si>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</si>
  <si>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</si>
  <si>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0053064580</t>
  </si>
  <si>
    <t>LEVOTHYROXIN .125MG TB</t>
  </si>
  <si>
    <t>LEVOTHY.125MGTB</t>
  </si>
  <si>
    <t>0053064598</t>
  </si>
  <si>
    <t>LEVOTHYROXIN .1MG TB</t>
  </si>
  <si>
    <t>LEVOTHY .1MGTB</t>
  </si>
  <si>
    <t>0053064606</t>
  </si>
  <si>
    <t>LEVOTHYROXIN .175MG TB</t>
  </si>
  <si>
    <t>LEVOTHY.175MGTB</t>
  </si>
  <si>
    <t>0053064630</t>
  </si>
  <si>
    <t>LEVOTHYROXIN .2MG TB</t>
  </si>
  <si>
    <t>LEVOTHY .2MGTB</t>
  </si>
  <si>
    <t>0053064671</t>
  </si>
  <si>
    <t>LEVOTHYROXIN .3MG TB</t>
  </si>
  <si>
    <t>LEVOTHY .3MGTB</t>
  </si>
  <si>
    <t>0053064952</t>
  </si>
  <si>
    <t>LINAGLIPTIN 5MG TB</t>
  </si>
  <si>
    <t>LINAGLIPT 5MGTB</t>
  </si>
  <si>
    <t>0053065017</t>
  </si>
  <si>
    <t>LINEZOLID 600MG TB</t>
  </si>
  <si>
    <t>LINEZOLID600TB</t>
  </si>
  <si>
    <t>0053065132</t>
  </si>
  <si>
    <t>LIOTHYRONINE 5MCG TB</t>
  </si>
  <si>
    <t>LIOTHYRON5MCGTB</t>
  </si>
  <si>
    <t>0053065173</t>
  </si>
  <si>
    <t>LIOTHYRONINE 25MCG TB</t>
  </si>
  <si>
    <t>LIOTHYRO25MCGTB</t>
  </si>
  <si>
    <t>0053065199</t>
  </si>
  <si>
    <t>LIOTHYRONINE 50MCG TB</t>
  </si>
  <si>
    <t>LIOTHYRO50MCGTB</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</si>
  <si>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</si>
  <si>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</si>
  <si>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</si>
  <si>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</si>
  <si>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</si>
  <si>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</si>
  <si>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</si>
  <si>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</si>
  <si>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</si>
  <si>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</si>
  <si>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</si>
  <si>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</si>
  <si>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</si>
  <si>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</si>
  <si>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</si>
  <si>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0053066742</t>
  </si>
  <si>
    <t>LITHIUM 150MG CP</t>
  </si>
  <si>
    <t>LITHIUM150MG CP</t>
  </si>
  <si>
    <t>0053066759</t>
  </si>
  <si>
    <t>LITHIUM 300MG CP</t>
  </si>
  <si>
    <t>LITHIUM300MG CP</t>
  </si>
  <si>
    <t>0053066767</t>
  </si>
  <si>
    <t>LITHIUM 450MG XR TB</t>
  </si>
  <si>
    <t>LITHIU450MGXRTB</t>
  </si>
  <si>
    <t>0053067294</t>
  </si>
  <si>
    <t>LOPERAMIDE 2MG CP</t>
  </si>
  <si>
    <t>LOPERAMIDE2MGCP</t>
  </si>
  <si>
    <t>0053067302</t>
  </si>
  <si>
    <t>LOPINAV/RITONA 133/33 CP</t>
  </si>
  <si>
    <t>LOP/RIT133/33CP</t>
  </si>
  <si>
    <t>0053067328</t>
  </si>
  <si>
    <t>LOPINAV/RITONAV100/25 TB</t>
  </si>
  <si>
    <t>LOP/RIT100/25TB</t>
  </si>
  <si>
    <t>0053067401</t>
  </si>
  <si>
    <t>LORATADINE 10MG TB</t>
  </si>
  <si>
    <t>LORATADINE 10TB</t>
  </si>
  <si>
    <t>0053067419</t>
  </si>
  <si>
    <t>LORATADIN/PSE 5/120XR TB</t>
  </si>
  <si>
    <t>LOR/PS5/120XRTB</t>
  </si>
  <si>
    <t>0053067468</t>
  </si>
  <si>
    <t>LORAZEPAM .25MG TB</t>
  </si>
  <si>
    <t>LORAZEPM.25MGTB</t>
  </si>
  <si>
    <t>0053067492</t>
  </si>
  <si>
    <t>LORAZEPAM .5MG TB</t>
  </si>
  <si>
    <t>LORAZEPAM.5MGTB</t>
  </si>
  <si>
    <t>0053067526</t>
  </si>
  <si>
    <t>LORAZEPAM 1MG TB</t>
  </si>
  <si>
    <t>LORAZEPAM1MG TB</t>
  </si>
  <si>
    <t>0053067567</t>
  </si>
  <si>
    <t>LORAZEPAM 2MG TB</t>
  </si>
  <si>
    <t>LORAZEPAM2MG TB</t>
  </si>
  <si>
    <t>0053067575</t>
  </si>
  <si>
    <t>LOSARTAN 50MG TB</t>
  </si>
  <si>
    <t>LOSARTAN50MGTB</t>
  </si>
  <si>
    <t>0053067583</t>
  </si>
  <si>
    <t>LOSARTAN/HCTZ50/12.5 TB</t>
  </si>
  <si>
    <t>LOS/HCZ 50/12TB</t>
  </si>
  <si>
    <t>0053067591</t>
  </si>
  <si>
    <t>LOSARTAN 25MG TB</t>
  </si>
  <si>
    <t>LOSARTAN25MGTB</t>
  </si>
  <si>
    <t>0053067609</t>
  </si>
  <si>
    <t>LOVASTATIN 20MG TB</t>
  </si>
  <si>
    <t>LOVASTATIN20TB</t>
  </si>
  <si>
    <t>0053067617</t>
  </si>
  <si>
    <t>LOVASTATIN 10MG TB</t>
  </si>
  <si>
    <t>LOVASTATIN10TB</t>
  </si>
  <si>
    <t>0053067831</t>
  </si>
  <si>
    <t>LOXAPINE 25MG CP</t>
  </si>
  <si>
    <t>LOXAPINE25MG CP</t>
  </si>
  <si>
    <t>0053067948</t>
  </si>
  <si>
    <t>LUBIPROSTONE 8MCG CP</t>
  </si>
  <si>
    <t>LUBIPROST8MCGCP</t>
  </si>
  <si>
    <t>0053067955</t>
  </si>
  <si>
    <t>LUBIPROSTONE 24MCG CP</t>
  </si>
  <si>
    <t>LUBPRST24MCG CP</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</si>
  <si>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</si>
  <si>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</si>
  <si>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</si>
  <si>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</si>
  <si>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</si>
  <si>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</si>
  <si>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</si>
  <si>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</si>
  <si>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</si>
  <si>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</si>
  <si>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</si>
  <si>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</si>
  <si>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0053069415</t>
  </si>
  <si>
    <t>MEBENDAZOLE 100MG CTB</t>
  </si>
  <si>
    <t>MEBENDAZ 100CTB</t>
  </si>
  <si>
    <t>0053069688</t>
  </si>
  <si>
    <t>MECLIZINE 12.5MG TB</t>
  </si>
  <si>
    <t>MECLIZINE12.5TB</t>
  </si>
  <si>
    <t>0053069720</t>
  </si>
  <si>
    <t>MECLIZINE TAB 25MG TB</t>
  </si>
  <si>
    <t>MECLIZINE 255TB</t>
  </si>
  <si>
    <t>0053070223</t>
  </si>
  <si>
    <t>MEDROXYPROGEST 2.5MG TB</t>
  </si>
  <si>
    <t>MEDROXYPRO2.5TB</t>
  </si>
  <si>
    <t>0053070231</t>
  </si>
  <si>
    <t>MEDROXYPROGEST 5MG TB</t>
  </si>
  <si>
    <t>MEDROXYPROG 5B</t>
  </si>
  <si>
    <t>0053070264</t>
  </si>
  <si>
    <t>MEDROXYPROGEST 10MG TB</t>
  </si>
  <si>
    <t>MEDROXYPROG10TB</t>
  </si>
  <si>
    <t>0053070728</t>
  </si>
  <si>
    <t>MEGESTROL 20MG TB</t>
  </si>
  <si>
    <t>MEGESTROL 20 TB</t>
  </si>
  <si>
    <t>0053070769</t>
  </si>
  <si>
    <t>MEGESTROL 40MG TB</t>
  </si>
  <si>
    <t>MEGESTROL 40 TB</t>
  </si>
  <si>
    <t>0053070801</t>
  </si>
  <si>
    <t>MELATONIN 3MG TB</t>
  </si>
  <si>
    <t>MELATONIN3MG TB</t>
  </si>
  <si>
    <t>0053070827</t>
  </si>
  <si>
    <t>MELATONIN 5MG TB</t>
  </si>
  <si>
    <t>MELATONIN 5MGTB</t>
  </si>
  <si>
    <t>0053070959</t>
  </si>
  <si>
    <t>MELOXICAM 7.5MG TB</t>
  </si>
  <si>
    <t>MELOXICAM7.5 TB</t>
  </si>
  <si>
    <t>0053070967</t>
  </si>
  <si>
    <t>MELOXICAM 15MG TB</t>
  </si>
  <si>
    <t>MELOXICAM15MGTB</t>
  </si>
  <si>
    <t>0053070991</t>
  </si>
  <si>
    <t>MELPHALAN 2MG TB</t>
  </si>
  <si>
    <t>MELPHALAN 2 TB</t>
  </si>
  <si>
    <t>0053071106</t>
  </si>
  <si>
    <t>MEMANTINE 5MG TB</t>
  </si>
  <si>
    <t>MEMANTINE 5 TB</t>
  </si>
  <si>
    <t>0053071155</t>
  </si>
  <si>
    <t>MEMANTINE 21MG XR CP</t>
  </si>
  <si>
    <t>MEMANTINE21XRCP</t>
  </si>
  <si>
    <t>0053071221</t>
  </si>
  <si>
    <t>MENADIOL 5MG TB</t>
  </si>
  <si>
    <t>0053072419</t>
  </si>
  <si>
    <t>MEPROBAMATE 200MG TB</t>
  </si>
  <si>
    <t>MEPROBAMAT200TB</t>
  </si>
  <si>
    <t>0053072492</t>
  </si>
  <si>
    <t>MEPROBAMATE 400MG TB</t>
  </si>
  <si>
    <t>MEPROBAMAT400TB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</si>
  <si>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</si>
  <si>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</si>
  <si>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</si>
  <si>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</si>
  <si>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</si>
  <si>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</si>
  <si>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</si>
  <si>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</si>
  <si>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</si>
  <si>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</si>
  <si>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</si>
  <si>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</si>
  <si>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0053073300</t>
  </si>
  <si>
    <t>METAXOLONE 400MG TB</t>
  </si>
  <si>
    <t>METAXOLON400 TB</t>
  </si>
  <si>
    <t>0053073607</t>
  </si>
  <si>
    <t>METFORMIN 500MG TB</t>
  </si>
  <si>
    <t>METFORMIN500TB</t>
  </si>
  <si>
    <t>0053073615</t>
  </si>
  <si>
    <t>METFORMIN 850MG TB</t>
  </si>
  <si>
    <t>METFORMIN850 TB</t>
  </si>
  <si>
    <t>0053073623</t>
  </si>
  <si>
    <t>METFORMIN 500MG XR TB</t>
  </si>
  <si>
    <t>METFORMN500XRTB</t>
  </si>
  <si>
    <t>0053073995</t>
  </si>
  <si>
    <t>METHAZOLAMIDE 50MG TB</t>
  </si>
  <si>
    <t>METHAZOLAM50TB</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</si>
  <si>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</si>
  <si>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</si>
  <si>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</si>
  <si>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</si>
  <si>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</si>
  <si>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</si>
  <si>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</si>
  <si>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</si>
  <si>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</si>
  <si>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</si>
  <si>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</si>
  <si>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</si>
  <si>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</si>
  <si>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</si>
  <si>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</si>
  <si>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0053075727</t>
  </si>
  <si>
    <t>METHYLCELLULS 2GM PWLQ</t>
  </si>
  <si>
    <t>METHYLCEL2GPWLQ</t>
  </si>
  <si>
    <t>0053075883</t>
  </si>
  <si>
    <t>METHYLDOPA 250MG TB</t>
  </si>
  <si>
    <t>METHYLDOP250 TB</t>
  </si>
  <si>
    <t>0053075925</t>
  </si>
  <si>
    <t>METHYLDOPA 500MG TB</t>
  </si>
  <si>
    <t>METHYLDOP500 TB</t>
  </si>
  <si>
    <t>0053076311</t>
  </si>
  <si>
    <t>METHYLERGONOVIN .2MG TB</t>
  </si>
  <si>
    <t>METHYLERGON.2TB</t>
  </si>
  <si>
    <t>0053076584</t>
  </si>
  <si>
    <t>METHYLPRED 4MG TB</t>
  </si>
  <si>
    <t>METHYLPRED4MGTB</t>
  </si>
  <si>
    <t>0053076626</t>
  </si>
  <si>
    <t>METHYLPRED 4MG 21 PK TB</t>
  </si>
  <si>
    <t>METHYLPRE21PKTB</t>
  </si>
  <si>
    <t>0053077301</t>
  </si>
  <si>
    <t>METOCLOPRAMIDE 5MG TB</t>
  </si>
  <si>
    <t>METOCLOPRAM5TB</t>
  </si>
  <si>
    <t>0053077319</t>
  </si>
  <si>
    <t>METOCLOPRAMIDE 10MG TB</t>
  </si>
  <si>
    <t>METOCLOPRAM10TB</t>
  </si>
  <si>
    <t>0053077541</t>
  </si>
  <si>
    <t>METOLAZONE 10MG TB</t>
  </si>
  <si>
    <t>METOLAZONE10 TB</t>
  </si>
  <si>
    <t>0053077582</t>
  </si>
  <si>
    <t>METOLAZONE 2.5MG TB</t>
  </si>
  <si>
    <t>METOLAZON2.5 TB</t>
  </si>
  <si>
    <t>0053077624</t>
  </si>
  <si>
    <t>METOLAZONE 5MG TB</t>
  </si>
  <si>
    <t>METOLAZONE5 TB</t>
  </si>
  <si>
    <t>0053077855</t>
  </si>
  <si>
    <t>METOPROLOL 50MG TB</t>
  </si>
  <si>
    <t>METOPROLOL50TB</t>
  </si>
  <si>
    <t>0053077863</t>
  </si>
  <si>
    <t>METOPROLOL 50MG XR TB</t>
  </si>
  <si>
    <t>METOPROL50XRTB</t>
  </si>
  <si>
    <t>0053077871</t>
  </si>
  <si>
    <t>METOPROLOL 100MG XR TB</t>
  </si>
  <si>
    <t>METOPROL100XRTB</t>
  </si>
  <si>
    <t>0053077889</t>
  </si>
  <si>
    <t>METOPROLOL 12.5MG TB</t>
  </si>
  <si>
    <t>METOPROL12.5TB</t>
  </si>
  <si>
    <t>0053077897</t>
  </si>
  <si>
    <t>METOPROLOL 100MG TB</t>
  </si>
  <si>
    <t>METOPROLOL100TB</t>
  </si>
  <si>
    <t>0053077913</t>
  </si>
  <si>
    <t>METOPROLOL 25MG TB</t>
  </si>
  <si>
    <t>METOPROLOL25TB</t>
  </si>
  <si>
    <t>0053077921</t>
  </si>
  <si>
    <t>METOPROLOL 25MG XR TB</t>
  </si>
  <si>
    <t>METOPROL25XRTB</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</si>
  <si>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</si>
  <si>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</si>
  <si>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</si>
  <si>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</si>
  <si>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</si>
  <si>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</si>
  <si>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</si>
  <si>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</si>
  <si>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</si>
  <si>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</si>
  <si>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</si>
  <si>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</si>
  <si>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0053078382</t>
  </si>
  <si>
    <t>MEXILETINE 250MG CP</t>
  </si>
  <si>
    <t>MEXILETINE250CP</t>
  </si>
  <si>
    <t>0053078416</t>
  </si>
  <si>
    <t>MIDODRINE 2.5MG TB</t>
  </si>
  <si>
    <t>MIDODRINE2.5TB</t>
  </si>
  <si>
    <t>0053078424</t>
  </si>
  <si>
    <t>MIDODRINE 5MG TB</t>
  </si>
  <si>
    <t>MIDODRINE5MGTB</t>
  </si>
  <si>
    <t>0053078440</t>
  </si>
  <si>
    <t>MIDODRINE 10MG TB</t>
  </si>
  <si>
    <t>MIDODRINE10MGTB</t>
  </si>
  <si>
    <t>0053078580</t>
  </si>
  <si>
    <t>MINOCYCLINE 50MG CP</t>
  </si>
  <si>
    <t>MINOCYCLINE50CP</t>
  </si>
  <si>
    <t>0053078721</t>
  </si>
  <si>
    <t>MIRTAZAPINE 7.5MG TB</t>
  </si>
  <si>
    <t>MIRTAZAPN7.5 TB</t>
  </si>
  <si>
    <t>0053078804</t>
  </si>
  <si>
    <t>MIRTAZAPINE 15MG TB</t>
  </si>
  <si>
    <t>MIRTAZAPN15 TB</t>
  </si>
  <si>
    <t>0053078812</t>
  </si>
  <si>
    <t>MINOXIDIL 2.5MG TB</t>
  </si>
  <si>
    <t>MINOXID2.5MGTB</t>
  </si>
  <si>
    <t>0053078838</t>
  </si>
  <si>
    <t>MODAFINIL 100MG TB</t>
  </si>
  <si>
    <t>MODAFINIL 100TB</t>
  </si>
  <si>
    <t>0053078895</t>
  </si>
  <si>
    <t>MINOXIDIL 10MG TB</t>
  </si>
  <si>
    <t>MINOXIDIL10MGTB</t>
  </si>
  <si>
    <t>0053078903</t>
  </si>
  <si>
    <t>MISOPROSTOL 100MCG TB</t>
  </si>
  <si>
    <t>MISOPROST100 TB</t>
  </si>
  <si>
    <t>0053078911</t>
  </si>
  <si>
    <t>MISOPROSTOL 200MCG TB</t>
  </si>
  <si>
    <t>MISOPROST200 TB</t>
  </si>
  <si>
    <t>0053078952</t>
  </si>
  <si>
    <t>MOEXIPRIL 7.5MG TB</t>
  </si>
  <si>
    <t>MOEXIPRIL7.5 TB</t>
  </si>
  <si>
    <t>0053079034</t>
  </si>
  <si>
    <t>MONTELUKAST 10MG TB</t>
  </si>
  <si>
    <t>MONTELUK10MG TB</t>
  </si>
  <si>
    <t>0053079091</t>
  </si>
  <si>
    <t>MOXIFLOXACIN 400MG TB</t>
  </si>
  <si>
    <t>MOXIFLOXAC400TB</t>
  </si>
  <si>
    <t>0053079125</t>
  </si>
  <si>
    <t>MVI THERAP TB</t>
  </si>
  <si>
    <t>0053079166</t>
  </si>
  <si>
    <t>MVI MIN THERAP TB</t>
  </si>
  <si>
    <t>MVI MIN THER TB</t>
  </si>
  <si>
    <t>0053079240</t>
  </si>
  <si>
    <t>MVI VIT B&amp;C FA CP</t>
  </si>
  <si>
    <t>VIT B&amp;C FA CP</t>
  </si>
  <si>
    <t>0053079398</t>
  </si>
  <si>
    <t>MVI MIN CP</t>
  </si>
  <si>
    <t>0053079430</t>
  </si>
  <si>
    <t>MVI MIN TB</t>
  </si>
  <si>
    <t>0053079562</t>
  </si>
  <si>
    <t>MYCOPHENOLATE 250MG CP</t>
  </si>
  <si>
    <t>MYCOPHEN250MGCP</t>
  </si>
  <si>
    <t>0053079596</t>
  </si>
  <si>
    <t>MYCOPHENOL ACID 180MG TB</t>
  </si>
  <si>
    <t>MYCOPHEN180MGTB</t>
  </si>
  <si>
    <t>0053079604</t>
  </si>
  <si>
    <t>NABUMETONE 500MG TB</t>
  </si>
  <si>
    <t>NABUMETONE500TB</t>
  </si>
  <si>
    <t>0053079703</t>
  </si>
  <si>
    <t>NA/K PHOS 250/280/160 PK</t>
  </si>
  <si>
    <t>NA/K PHOS PK</t>
  </si>
  <si>
    <t>0053079737</t>
  </si>
  <si>
    <t>NADOLOL 20MG TB</t>
  </si>
  <si>
    <t>0053079745</t>
  </si>
  <si>
    <t>NADOLOL 40MG TB</t>
  </si>
  <si>
    <t>0053079786</t>
  </si>
  <si>
    <t>NADOLOL 80MG TB</t>
  </si>
  <si>
    <t>0053080693</t>
  </si>
  <si>
    <t>NALTREXONE 50MG TB</t>
  </si>
  <si>
    <t>NALTREXONE 50TB</t>
  </si>
  <si>
    <t>0053080784</t>
  </si>
  <si>
    <t>NAPROXEN 250MG TB</t>
  </si>
  <si>
    <t>NAPROX 250MG TB</t>
  </si>
  <si>
    <t>0053080792</t>
  </si>
  <si>
    <t>NAPROXEN 220MG TB</t>
  </si>
  <si>
    <t>NAPROX 220MG TB</t>
  </si>
  <si>
    <t>0053080826</t>
  </si>
  <si>
    <t>NAPROXEN 275MG TB</t>
  </si>
  <si>
    <t>NAPROX 275MG TB</t>
  </si>
  <si>
    <t>0053080867</t>
  </si>
  <si>
    <t>NAPROXEN 375MG TB</t>
  </si>
  <si>
    <t>NAPROX 375MG TB</t>
  </si>
  <si>
    <t>0053080883</t>
  </si>
  <si>
    <t>NAPROXEN 500MG TB</t>
  </si>
  <si>
    <t>NAPROX 500MG TB</t>
  </si>
  <si>
    <t>0053080925</t>
  </si>
  <si>
    <t>NATEGLINIDE 60MG TB</t>
  </si>
  <si>
    <t>NATEGLINIDE60TB</t>
  </si>
  <si>
    <t>0053080933</t>
  </si>
  <si>
    <t>NATEGLINIDE120MG TB</t>
  </si>
  <si>
    <t>NATEGLINID120TB</t>
  </si>
  <si>
    <t>0053080941</t>
  </si>
  <si>
    <t>NEFAZODONE 50MG TB</t>
  </si>
  <si>
    <t>NEFAZODN50MGTB</t>
  </si>
  <si>
    <t>0053080958</t>
  </si>
  <si>
    <t>NEFAZODONE 100MG TB</t>
  </si>
  <si>
    <t>NEFAZODN100MGTB</t>
  </si>
  <si>
    <t>0053080966</t>
  </si>
  <si>
    <t>NEFAZODONE 150MG TB</t>
  </si>
  <si>
    <t>NEFAZODN150MGTB</t>
  </si>
  <si>
    <t>0053081048</t>
  </si>
  <si>
    <t>NEBIVOLOL 5MG TB</t>
  </si>
  <si>
    <t>NEBIVOLOL5MG TB</t>
  </si>
  <si>
    <t>0053081055</t>
  </si>
  <si>
    <t>NEOMYCIN 500MG TB</t>
  </si>
  <si>
    <t>NEOMYCN500MG TB</t>
  </si>
  <si>
    <t>0053081303</t>
  </si>
  <si>
    <t>NEVIRAPINE 200MG TB</t>
  </si>
  <si>
    <t>NEVIRAPINE200TB</t>
  </si>
  <si>
    <t>0053081741</t>
  </si>
  <si>
    <t>NIACIN 50MG TB</t>
  </si>
  <si>
    <t>0053081972</t>
  </si>
  <si>
    <t>NIACIN 100MG TB</t>
  </si>
  <si>
    <t>0053082202</t>
  </si>
  <si>
    <t>NIACIN 125MG XR CP</t>
  </si>
  <si>
    <t>NIACN125MGXR CP</t>
  </si>
  <si>
    <t>0053082475</t>
  </si>
  <si>
    <t>NIACIN 500MG TB</t>
  </si>
  <si>
    <t>0053082483</t>
  </si>
  <si>
    <t>NIACIN 500MG XR TB</t>
  </si>
  <si>
    <t>NIACN500MGXR TB</t>
  </si>
  <si>
    <t>0053082517</t>
  </si>
  <si>
    <t>NIACIN 250MG XR CP</t>
  </si>
  <si>
    <t>NIACIN250MGXRCP</t>
  </si>
  <si>
    <t>0053082715</t>
  </si>
  <si>
    <t>NICARDIPINE 20MG CP</t>
  </si>
  <si>
    <t>NICARDIP20MGCP</t>
  </si>
  <si>
    <t>0053082723</t>
  </si>
  <si>
    <t>NICARDIPINE 30MG CP</t>
  </si>
  <si>
    <t>NICARDIP30MGCP</t>
  </si>
  <si>
    <t>0053082756</t>
  </si>
  <si>
    <t>NICOTINE GUM 2MG EA</t>
  </si>
  <si>
    <t>NICOT GUM 2MGEA</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</si>
  <si>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</si>
  <si>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</si>
  <si>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</si>
  <si>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</si>
  <si>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</si>
  <si>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</si>
  <si>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</si>
  <si>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</si>
  <si>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</si>
  <si>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</si>
  <si>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</si>
  <si>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</si>
  <si>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0053083135</t>
  </si>
  <si>
    <t>NIFEDIPINE 20MG CP</t>
  </si>
  <si>
    <t>NIFEDIPIN20MGCP</t>
  </si>
  <si>
    <t>0053083200</t>
  </si>
  <si>
    <t>NIMODIPINE 30MG CP</t>
  </si>
  <si>
    <t>NIMODIPIN30MGCP</t>
  </si>
  <si>
    <t>0053083226</t>
  </si>
  <si>
    <t>NISOLDIPINE 8.5MG XR TB</t>
  </si>
  <si>
    <t>NISOL 8.5MGXRTB</t>
  </si>
  <si>
    <t>0053083259</t>
  </si>
  <si>
    <t>NISOLDIPINE 10MG XR TB</t>
  </si>
  <si>
    <t>NISOLD10MGXR TB</t>
  </si>
  <si>
    <t>0053083358</t>
  </si>
  <si>
    <t>NITROFURANTOIN 50MG CP</t>
  </si>
  <si>
    <t>NITROFUR 50CP</t>
  </si>
  <si>
    <t>0053083374</t>
  </si>
  <si>
    <t>NITROFURANTOIN 100MG CP</t>
  </si>
  <si>
    <t>NITROFUR 100CP</t>
  </si>
  <si>
    <t>0053083424</t>
  </si>
  <si>
    <t>NITROFURAN MONHYD100MGCP</t>
  </si>
  <si>
    <t>NITROFURMH100CP</t>
  </si>
  <si>
    <t>0053083580</t>
  </si>
  <si>
    <t>NITROGLYCERIN 2.5MGXR CP</t>
  </si>
  <si>
    <t>NTG 2.5MGXR CP</t>
  </si>
  <si>
    <t>0053083622</t>
  </si>
  <si>
    <t>NITROGLYCERIN 6.5MGXR CP</t>
  </si>
  <si>
    <t>NTG 6.5MGXR CP</t>
  </si>
  <si>
    <t>0053083663</t>
  </si>
  <si>
    <t>NITROGLYCERIN 9MGXR CP</t>
  </si>
  <si>
    <t>NTG 9MGXR CP</t>
  </si>
  <si>
    <t>0053083747</t>
  </si>
  <si>
    <t>NITROGLYCERIN .3MG SL TB</t>
  </si>
  <si>
    <t>NTG .3MGSL TB</t>
  </si>
  <si>
    <t>0053083788</t>
  </si>
  <si>
    <t>NITROGLYCERIN .4MG SL TB</t>
  </si>
  <si>
    <t>NTG .4MGSL TB</t>
  </si>
  <si>
    <t>0053083796</t>
  </si>
  <si>
    <t>NITROGLYCERIN.4MGSL 25TB</t>
  </si>
  <si>
    <t>NTG.4MGSL 25TB</t>
  </si>
  <si>
    <t>0053084109</t>
  </si>
  <si>
    <t>NORFLOXACIN 400MG TB</t>
  </si>
  <si>
    <t>NORFLOX400MG TB</t>
  </si>
  <si>
    <t>0053084281</t>
  </si>
  <si>
    <t>NORTRIPTYLINE 10MG CP</t>
  </si>
  <si>
    <t>NORTRIPT10MG CP</t>
  </si>
  <si>
    <t>0053084323</t>
  </si>
  <si>
    <t>NORTRIPTYLINE 25MG CP</t>
  </si>
  <si>
    <t>NORTRIPT25MG CP</t>
  </si>
  <si>
    <t>0053084356</t>
  </si>
  <si>
    <t>NORTRIPTYLINE 50MG CP</t>
  </si>
  <si>
    <t>NORTRIPT50MG CP</t>
  </si>
  <si>
    <t>0053084778</t>
  </si>
  <si>
    <t>OSELTAMIVIR 30MG CP</t>
  </si>
  <si>
    <t>OSELTAMIV30MGCP</t>
  </si>
  <si>
    <t>0053084828</t>
  </si>
  <si>
    <t>NYSTATIN 500000U TB</t>
  </si>
  <si>
    <t>NYSTAT 500KU TB</t>
  </si>
  <si>
    <t>0053084851</t>
  </si>
  <si>
    <t>OMEPRAZOLE 10MG XR CP</t>
  </si>
  <si>
    <t>OMEPRAZOL10XRCP</t>
  </si>
  <si>
    <t>0053084869</t>
  </si>
  <si>
    <t>OMEPRAZOLE 20MG XR CP</t>
  </si>
  <si>
    <t>OMEPRAZOL20XRCP</t>
  </si>
  <si>
    <t>0053084901</t>
  </si>
  <si>
    <t>OLSALAZINE 250MG CP</t>
  </si>
  <si>
    <t>OLSALAZINE250CP</t>
  </si>
  <si>
    <t>0053084927</t>
  </si>
  <si>
    <t>ONDANSETRON 4MG DT</t>
  </si>
  <si>
    <t>ONDANSETR 4MGDT</t>
  </si>
  <si>
    <t>0053084935</t>
  </si>
  <si>
    <t>ORPHENADRINE 100MG XR TB</t>
  </si>
  <si>
    <t>ORPHENAD100XRTB</t>
  </si>
  <si>
    <t>0053084950</t>
  </si>
  <si>
    <t>ONDANSETRON 4MG TB</t>
  </si>
  <si>
    <t>ONDANSETR 4MGTB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</si>
  <si>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</si>
  <si>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</si>
  <si>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</si>
  <si>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</si>
  <si>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</si>
  <si>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</si>
  <si>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</si>
  <si>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</si>
  <si>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</si>
  <si>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</si>
  <si>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</si>
  <si>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</si>
  <si>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</si>
  <si>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</si>
  <si>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</si>
  <si>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</si>
  <si>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</si>
  <si>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</si>
  <si>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0053085288</t>
  </si>
  <si>
    <t>OMEGA3 ETH ESTERS 1GM CP</t>
  </si>
  <si>
    <t>OMEGA3EE 1000CP</t>
  </si>
  <si>
    <t>0053085296</t>
  </si>
  <si>
    <t>OMEGA3 FISH OIL 500MGCP</t>
  </si>
  <si>
    <t>OMEGA3FO 500CP</t>
  </si>
  <si>
    <t>0053085304</t>
  </si>
  <si>
    <t>OMEGA3 FISH OIL 1000MGCP</t>
  </si>
  <si>
    <t>OMEGA3FO 1000CP</t>
  </si>
  <si>
    <t>0053085551</t>
  </si>
  <si>
    <t>OXAZEPAM 10MG CP</t>
  </si>
  <si>
    <t>OXAZEPAM 10 CP</t>
  </si>
  <si>
    <t>0053085593</t>
  </si>
  <si>
    <t>OXAZEPAM 15MG CP</t>
  </si>
  <si>
    <t>OXAZEPAM 15 CP</t>
  </si>
  <si>
    <t>0053085700</t>
  </si>
  <si>
    <t>OXCARBAZEPINE 150MG TB</t>
  </si>
  <si>
    <t>OXCARBAZEP150TB</t>
  </si>
  <si>
    <t>0053086393</t>
  </si>
  <si>
    <t>OXYBUTYNIN 2.5MG TB</t>
  </si>
  <si>
    <t>OXYBUTYN 2.5 TB</t>
  </si>
  <si>
    <t>0053086401</t>
  </si>
  <si>
    <t>OXYBUTYNIN 5MG TB</t>
  </si>
  <si>
    <t>OXYBUTYN 5MG TB</t>
  </si>
  <si>
    <t>0053086419</t>
  </si>
  <si>
    <t>OXYBUTYNIN 5MG XR TB</t>
  </si>
  <si>
    <t>OXYBUTY5MGXR TB</t>
  </si>
  <si>
    <t>0053088696</t>
  </si>
  <si>
    <t>PANCRELIP 4-10-17 XRCP</t>
  </si>
  <si>
    <t>DIG ENZ 4K XRCP</t>
  </si>
  <si>
    <t>0053088704</t>
  </si>
  <si>
    <t>PANTOPRAZOLE 40MG EC TB</t>
  </si>
  <si>
    <t>PANTOPRAZ40ECTB</t>
  </si>
  <si>
    <t>0053088712</t>
  </si>
  <si>
    <t>PANTOPRAZOLE 20MG EC TB</t>
  </si>
  <si>
    <t>PANTOPRAZ20ECTB</t>
  </si>
  <si>
    <t>0053088803</t>
  </si>
  <si>
    <t>PALIPERIDONE 6MG XR TB</t>
  </si>
  <si>
    <t>PALIPERID 6XRTB</t>
  </si>
  <si>
    <t>0053088902</t>
  </si>
  <si>
    <t>PAPAVERINE 150MG XR CP</t>
  </si>
  <si>
    <t>PAPAVERN150XRCP</t>
  </si>
  <si>
    <t>0053089009</t>
  </si>
  <si>
    <t>PARICALCITOL 1MCG CP</t>
  </si>
  <si>
    <t>PARICALC1MCG CP</t>
  </si>
  <si>
    <t>0053089496</t>
  </si>
  <si>
    <t>PAROXETINE 10MG TB</t>
  </si>
  <si>
    <t>PAROXETIN10MGTB</t>
  </si>
  <si>
    <t>0053089504</t>
  </si>
  <si>
    <t>PAROXETINE 20MG TB</t>
  </si>
  <si>
    <t>PAROXETIN20MGTB</t>
  </si>
  <si>
    <t>0053089538</t>
  </si>
  <si>
    <t>PAROXETINE 12.5MG XR TB</t>
  </si>
  <si>
    <t>PAROXET12.5XRTB</t>
  </si>
  <si>
    <t>0053090254</t>
  </si>
  <si>
    <t>PENICILLIN 250MG TB</t>
  </si>
  <si>
    <t>PEN V K 250MGTB</t>
  </si>
  <si>
    <t>0053090296</t>
  </si>
  <si>
    <t>PENICILLIN 500MG TB</t>
  </si>
  <si>
    <t>PEN V K 500MGTB</t>
  </si>
  <si>
    <t>0053090668</t>
  </si>
  <si>
    <t>PENTOXIFYLLN 400MG XR TB</t>
  </si>
  <si>
    <t>PENTOX400 XR TB</t>
  </si>
  <si>
    <t>0053090726</t>
  </si>
  <si>
    <t>PERAMPANEL 6MG TB</t>
  </si>
  <si>
    <t>PERAMPAN 6MGTB</t>
  </si>
  <si>
    <t>0053091062</t>
  </si>
  <si>
    <t>PERPHENAZINE 2MG TB</t>
  </si>
  <si>
    <t>PERPHENAZN 2 TB</t>
  </si>
  <si>
    <t>0053091070</t>
  </si>
  <si>
    <t>PERPHENAZINE 4MG TB</t>
  </si>
  <si>
    <t>PERPHENAZN 4 TB</t>
  </si>
  <si>
    <t>0053091096</t>
  </si>
  <si>
    <t>PERPHENAZINE 8MG TB</t>
  </si>
  <si>
    <t>PERPHENAZN 8 TB</t>
  </si>
  <si>
    <t>0053091146</t>
  </si>
  <si>
    <t>PERPHENAZN/AMITRIP2/25TB</t>
  </si>
  <si>
    <t>PERP/AMIT2/25TB</t>
  </si>
  <si>
    <t>0053091229</t>
  </si>
  <si>
    <t>PERPHENAZN/AMITRIP4/25TB</t>
  </si>
  <si>
    <t>PERP/AMIT4/25TB</t>
  </si>
  <si>
    <t>0053091450</t>
  </si>
  <si>
    <t>PHENAZOPYRIDINE 100MG TB</t>
  </si>
  <si>
    <t>PHENAZOPYR100TB</t>
  </si>
  <si>
    <t>0053091492</t>
  </si>
  <si>
    <t>PHENAZOPYRIDINE 200MG TB</t>
  </si>
  <si>
    <t>PHENAZOPYR200TB</t>
  </si>
  <si>
    <t>0053092458</t>
  </si>
  <si>
    <t>PHENOXYBENZAMINE 10MGCP</t>
  </si>
  <si>
    <t>PHENOXYBE10MGCP</t>
  </si>
  <si>
    <t>0053093415</t>
  </si>
  <si>
    <t>GF/PSE 600MG/30MG XR TB</t>
  </si>
  <si>
    <t>GF/PS600/30XRTB</t>
  </si>
  <si>
    <t>0053094348</t>
  </si>
  <si>
    <t>PHENYTOIN 50MG CTB</t>
  </si>
  <si>
    <t>PHENYTOIN50CTB</t>
  </si>
  <si>
    <t>0053094389</t>
  </si>
  <si>
    <t>PHENYTOIN 100MG XR CP</t>
  </si>
  <si>
    <t>PHENYTOIN100CP</t>
  </si>
  <si>
    <t>0053094611</t>
  </si>
  <si>
    <t>PHYTONADIONE 5MG TB</t>
  </si>
  <si>
    <t>PHYTONADIONE5TB</t>
  </si>
  <si>
    <t>0053094702</t>
  </si>
  <si>
    <t>PILOCARPINE 5MG TB</t>
  </si>
  <si>
    <t>PILOCARINE5MGTB</t>
  </si>
  <si>
    <t>0053094843</t>
  </si>
  <si>
    <t>PINDOLOL 5MG TB</t>
  </si>
  <si>
    <t>0053094876</t>
  </si>
  <si>
    <t>PINDOLOL 10MG TB</t>
  </si>
  <si>
    <t>PINDOLOL10MG TB</t>
  </si>
  <si>
    <t>0053095006</t>
  </si>
  <si>
    <t>PIOGLITAZONE 15MG TB</t>
  </si>
  <si>
    <t>PIOGLITAZON15TB</t>
  </si>
  <si>
    <t>0053095022</t>
  </si>
  <si>
    <t>PIOGLITAZONE 30MG TB</t>
  </si>
  <si>
    <t>PIOGLITAZON30TB</t>
  </si>
  <si>
    <t>0053095048</t>
  </si>
  <si>
    <t>PIOGLITAZONE 45MG TB</t>
  </si>
  <si>
    <t>PIOGLITAZON45TB</t>
  </si>
  <si>
    <t>0053095303</t>
  </si>
  <si>
    <t>PIROXICAM 10MG CP</t>
  </si>
  <si>
    <t>PIROXICM10MG CP</t>
  </si>
  <si>
    <t>0053095345</t>
  </si>
  <si>
    <t>PIROXICAM 20MG CP</t>
  </si>
  <si>
    <t>PIROXICM20MG CP</t>
  </si>
  <si>
    <t>0053096400</t>
  </si>
  <si>
    <t>POTASSIUM BICARB25MEQTB</t>
  </si>
  <si>
    <t>K BICARB25MEQTB</t>
  </si>
  <si>
    <t>0053096418</t>
  </si>
  <si>
    <t>POTASSIUM CIT 5MEQ XRTB</t>
  </si>
  <si>
    <t>K CIT 5MEQXRTB</t>
  </si>
  <si>
    <t>0053096426</t>
  </si>
  <si>
    <t>POTASSIUM CIT 10MEQ XRTB</t>
  </si>
  <si>
    <t>K CIT 10MEQXRTB</t>
  </si>
  <si>
    <t>0053096574</t>
  </si>
  <si>
    <t>POTASSIUM CL 10MEQ XR CP</t>
  </si>
  <si>
    <t>KCL 10MEQ XR CP</t>
  </si>
  <si>
    <t>0053096582</t>
  </si>
  <si>
    <t>POTASSIUM CL 20MEQ XR TB</t>
  </si>
  <si>
    <t>KCL 20MEQ XR TB</t>
  </si>
  <si>
    <t>0053096657</t>
  </si>
  <si>
    <t>POTASSIUM CL 8MEQ XR TB</t>
  </si>
  <si>
    <t>KCL 8MEQ XR TB</t>
  </si>
  <si>
    <t>0053096665</t>
  </si>
  <si>
    <t>POTASSIUM CL 8MEQ XR CP</t>
  </si>
  <si>
    <t>KCL 8MEQ XR CP</t>
  </si>
  <si>
    <t>0053096855</t>
  </si>
  <si>
    <t>POT PHOS 1.45GM PWLQ</t>
  </si>
  <si>
    <t>KPHOS1.45GMPWLQ</t>
  </si>
  <si>
    <t>0053096863</t>
  </si>
  <si>
    <t>NA/POT/PHOS NEUT TB</t>
  </si>
  <si>
    <t>NA K PH NEUT TB</t>
  </si>
  <si>
    <t>0053096905</t>
  </si>
  <si>
    <t>PRAVASTATIN 10MG TB</t>
  </si>
  <si>
    <t>PRAVASTIN10MGTB</t>
  </si>
  <si>
    <t>0053096913</t>
  </si>
  <si>
    <t>PRAVASTATIN 20MG TB</t>
  </si>
  <si>
    <t>PRAVASTIN20MGTB</t>
  </si>
  <si>
    <t>0053096921</t>
  </si>
  <si>
    <t>PRAMIPEXOLE .25MG TB</t>
  </si>
  <si>
    <t>PRAMIPX.25MGTB</t>
  </si>
  <si>
    <t>0053096939</t>
  </si>
  <si>
    <t>PRAMIPEXOLE .125MG TB</t>
  </si>
  <si>
    <t>PRAMIPX.125MGTB</t>
  </si>
  <si>
    <t>0053096947</t>
  </si>
  <si>
    <t>PRAMIPEXOLE 1MG TB</t>
  </si>
  <si>
    <t>PRAMIPX1MGTB</t>
  </si>
  <si>
    <t>0053097028</t>
  </si>
  <si>
    <t>PRASUGREL 5MG TB</t>
  </si>
  <si>
    <t>PRASUGREL 5MGTB</t>
  </si>
  <si>
    <t>0053097036</t>
  </si>
  <si>
    <t>PRASUGREL 10MG TB</t>
  </si>
  <si>
    <t>PRASUGREL10MGTB</t>
  </si>
  <si>
    <t>0053097168</t>
  </si>
  <si>
    <t>PRAZIQUANTEL 600MG TB</t>
  </si>
  <si>
    <t>PRAZIQTL600MGTB</t>
  </si>
  <si>
    <t>0053097234</t>
  </si>
  <si>
    <t>PRAZOSIN 1MG CP</t>
  </si>
  <si>
    <t>0053097275</t>
  </si>
  <si>
    <t>PRAZOSIN 2MG CP</t>
  </si>
  <si>
    <t>0053097317</t>
  </si>
  <si>
    <t>PRAZOSIN 5MG CP</t>
  </si>
  <si>
    <t>0053097770</t>
  </si>
  <si>
    <t>PREDNISONE PER 1MG TB</t>
  </si>
  <si>
    <t>PREDNISONE1MGTB</t>
  </si>
  <si>
    <t>0053097812</t>
  </si>
  <si>
    <t>PREDNISONE 2.5MG TB</t>
  </si>
  <si>
    <t>PREDNISONE2.5TB</t>
  </si>
  <si>
    <t>0053097853</t>
  </si>
  <si>
    <t>PREDNISONE PER 5MG TB</t>
  </si>
  <si>
    <t>PREDNISONE5MGTB</t>
  </si>
  <si>
    <t>0053097895</t>
  </si>
  <si>
    <t>PREDNISONE 10MG TB</t>
  </si>
  <si>
    <t>PREDNISONE 10TB</t>
  </si>
  <si>
    <t>0053097937</t>
  </si>
  <si>
    <t>PREDNISONE 20MG TB</t>
  </si>
  <si>
    <t>PREDNISONE 20TB</t>
  </si>
  <si>
    <t>0053097952</t>
  </si>
  <si>
    <t>PREGABALIN 25MG CP</t>
  </si>
  <si>
    <t>PREGABL 25MG CP</t>
  </si>
  <si>
    <t>0053097960</t>
  </si>
  <si>
    <t>PREGABALIN 50MG CP</t>
  </si>
  <si>
    <t>PREGABL 50MG CP</t>
  </si>
  <si>
    <t>0053097978</t>
  </si>
  <si>
    <t>PREDNISONE 50MG TB</t>
  </si>
  <si>
    <t>PREDNISONE 50TB</t>
  </si>
  <si>
    <t>0053097994</t>
  </si>
  <si>
    <t>PREGABALIN 75MG CP</t>
  </si>
  <si>
    <t>PREGABL 75MG CP</t>
  </si>
  <si>
    <t>0053098000</t>
  </si>
  <si>
    <t>MVI PRENTAL TB</t>
  </si>
  <si>
    <t>0053098091</t>
  </si>
  <si>
    <t>PRIMAQUINE 26.3MG TB</t>
  </si>
  <si>
    <t>PRIMAQUINE26TB</t>
  </si>
  <si>
    <t>0053098190</t>
  </si>
  <si>
    <t>PRIMIDONE 25MG TB</t>
  </si>
  <si>
    <t>PRIMIDONE25TB</t>
  </si>
  <si>
    <t>0053098208</t>
  </si>
  <si>
    <t>PRIMIDONE 50MG TB</t>
  </si>
  <si>
    <t>PRIMIDONE50TB</t>
  </si>
  <si>
    <t>0053098240</t>
  </si>
  <si>
    <t>PRIMIDONE 250MG TB</t>
  </si>
  <si>
    <t>PRIMIDONE250TB</t>
  </si>
  <si>
    <t>0053098307</t>
  </si>
  <si>
    <t>PROBIOTIC FORMULA CP</t>
  </si>
  <si>
    <t>PROBIOTIC CP</t>
  </si>
  <si>
    <t>0053098471</t>
  </si>
  <si>
    <t>PROBENECID 500MG TB</t>
  </si>
  <si>
    <t>PROBENEC500MGTB</t>
  </si>
  <si>
    <t>0053098513</t>
  </si>
  <si>
    <t>PROBENEC/COLC 500/.5 TB</t>
  </si>
  <si>
    <t>PROB/CO500/.5TB</t>
  </si>
  <si>
    <t>0053099016</t>
  </si>
  <si>
    <t>PROCAINAMIDE 500MG XR TB</t>
  </si>
  <si>
    <t>PROCAINA500XRTB</t>
  </si>
  <si>
    <t>0053099099</t>
  </si>
  <si>
    <t>PROCAINAMIDE 250MG CP</t>
  </si>
  <si>
    <t>PROCAINAM 250CP</t>
  </si>
  <si>
    <t>0053099792</t>
  </si>
  <si>
    <t>PROCHLORPERAZINE 5MG TB</t>
  </si>
  <si>
    <t>PROCHLRP 5MG TB</t>
  </si>
  <si>
    <t>0053099834</t>
  </si>
  <si>
    <t>PROCHLORPERAZINE 10MG TB</t>
  </si>
  <si>
    <t>PROCHLRP10MG TB</t>
  </si>
  <si>
    <t>0053099917</t>
  </si>
  <si>
    <t>PROCHLORPERZN10MGXR CP</t>
  </si>
  <si>
    <t>PROCHLRP10XRCP</t>
  </si>
  <si>
    <t>0053100681</t>
  </si>
  <si>
    <t>PROMETHAZINE 25MG TB</t>
  </si>
  <si>
    <t>PROMETHAZ25MGTB</t>
  </si>
  <si>
    <t>0053100905</t>
  </si>
  <si>
    <t>PROPAFENONE 150MG TB</t>
  </si>
  <si>
    <t>PROPAFEN150MGTB</t>
  </si>
  <si>
    <t>0053100913</t>
  </si>
  <si>
    <t>PROPAFENONE 300MG TB</t>
  </si>
  <si>
    <t>PROPAFEN300MGTB</t>
  </si>
  <si>
    <t>0053101994</t>
  </si>
  <si>
    <t>PROPRANOLOL 10MG TB</t>
  </si>
  <si>
    <t>PROPRNOL10MG TB</t>
  </si>
  <si>
    <t>0053102018</t>
  </si>
  <si>
    <t>PROPRANOLOL 20MG TB</t>
  </si>
  <si>
    <t>PROPRNOL20MG TB</t>
  </si>
  <si>
    <t>0053102034</t>
  </si>
  <si>
    <t>PROPRANOLOL 40MG TB</t>
  </si>
  <si>
    <t>PROPRNOL40MG TB</t>
  </si>
  <si>
    <t>0053102075</t>
  </si>
  <si>
    <t>PROPRANOLOL 80MG TB</t>
  </si>
  <si>
    <t>PROPRNOL80MG TB</t>
  </si>
  <si>
    <t>0053102083</t>
  </si>
  <si>
    <t>PROPRANOLOL 60MG XR CP</t>
  </si>
  <si>
    <t>PROPRNOL60XR CP</t>
  </si>
  <si>
    <t>0053102109</t>
  </si>
  <si>
    <t>PROPRANOLOL 80MG XR CP</t>
  </si>
  <si>
    <t>PROPRNOL80XR CP</t>
  </si>
  <si>
    <t>0053102117</t>
  </si>
  <si>
    <t>PROPRANOLOL 120MG XR CP</t>
  </si>
  <si>
    <t>PROPRNOL120XRCP</t>
  </si>
  <si>
    <t>0053102125</t>
  </si>
  <si>
    <t>PROPRANOLOL 160MG XR CP</t>
  </si>
  <si>
    <t>PROPRNOL160XRCP</t>
  </si>
  <si>
    <t>0053102166</t>
  </si>
  <si>
    <t>PROPYLTHIOURACIL 50MG TB</t>
  </si>
  <si>
    <t>PROPYLTHIOU50TB</t>
  </si>
  <si>
    <t>0053102364</t>
  </si>
  <si>
    <t>PROTRIPTYLINE 5MG TB</t>
  </si>
  <si>
    <t>PROTRIPTYL 5TB</t>
  </si>
  <si>
    <t>0053102661</t>
  </si>
  <si>
    <t>PSEUDOEPHED 30MG TB</t>
  </si>
  <si>
    <t>PSE 30MG TB</t>
  </si>
  <si>
    <t>0053102703</t>
  </si>
  <si>
    <t>PSEUDOEPHED 60MG TB</t>
  </si>
  <si>
    <t>PSE 60MG TB</t>
  </si>
  <si>
    <t>0053102950</t>
  </si>
  <si>
    <t>PYRAZINAMIDE 500MG TB</t>
  </si>
  <si>
    <t>PYRAZINA500MGTB</t>
  </si>
  <si>
    <t>0053102976</t>
  </si>
  <si>
    <t>PYRIDOSTIGMINE 60MG TB</t>
  </si>
  <si>
    <t>PYRIDOSTIGM60TB</t>
  </si>
  <si>
    <t>0053103248</t>
  </si>
  <si>
    <t>PYRIDOXINE 25MG TB</t>
  </si>
  <si>
    <t>PYRDOXINE25MGTB</t>
  </si>
  <si>
    <t>0053103289</t>
  </si>
  <si>
    <t>PYRIDOXINE 50MG TB</t>
  </si>
  <si>
    <t>PYRDOXINE50MGTB</t>
  </si>
  <si>
    <t>0053103321</t>
  </si>
  <si>
    <t>PYRIDOXINE 100MG TB</t>
  </si>
  <si>
    <t>PYRDOXIN100MGTB</t>
  </si>
  <si>
    <t>0053103354</t>
  </si>
  <si>
    <t>PYRIMETHAMINE 25MG TB</t>
  </si>
  <si>
    <t>PYRIMETHAMN25TB</t>
  </si>
  <si>
    <t>0053103693</t>
  </si>
  <si>
    <t>QUETIAPINE 12.5MG TB</t>
  </si>
  <si>
    <t>QUETAP12.5MG TB</t>
  </si>
  <si>
    <t>0053103701</t>
  </si>
  <si>
    <t>QUETIAPINE 25MG TB</t>
  </si>
  <si>
    <t>QUETAP 25MG TB</t>
  </si>
  <si>
    <t>0053103719</t>
  </si>
  <si>
    <t>QUETIAPINE 100MG TB</t>
  </si>
  <si>
    <t>QUETAP100MG TB</t>
  </si>
  <si>
    <t>0053103974</t>
  </si>
  <si>
    <t>QUINAPRIL 5MG TB</t>
  </si>
  <si>
    <t>QUINAPRIL 5MGTB</t>
  </si>
  <si>
    <t>0053103982</t>
  </si>
  <si>
    <t>QUINAPRIL 10MG TB</t>
  </si>
  <si>
    <t>QUINAPRIL10MGTB</t>
  </si>
  <si>
    <t>0053103990</t>
  </si>
  <si>
    <t>QUINAPRIL 20MG TB</t>
  </si>
  <si>
    <t>QUINAPRIL20MGTB</t>
  </si>
  <si>
    <t>0053104006</t>
  </si>
  <si>
    <t>QUINAPRIL 40MG TB</t>
  </si>
  <si>
    <t>QUINAPRIL40MGTB</t>
  </si>
  <si>
    <t>0053104477</t>
  </si>
  <si>
    <t>QUINIDINE 200MG TB</t>
  </si>
  <si>
    <t>QUINIDINE200 TB</t>
  </si>
  <si>
    <t>0053104519</t>
  </si>
  <si>
    <t>QUINIDINE 300MG TB</t>
  </si>
  <si>
    <t>QUINIDINE300 TB</t>
  </si>
  <si>
    <t>0053104550</t>
  </si>
  <si>
    <t>QUINIDINE 300MG XR TB</t>
  </si>
  <si>
    <t>QUINIDIN300XRTB</t>
  </si>
  <si>
    <t>0053104592</t>
  </si>
  <si>
    <t>QUINIDIN GLUC324MG XR TB</t>
  </si>
  <si>
    <t>QUINIDIN324XRTB</t>
  </si>
  <si>
    <t>0053104600</t>
  </si>
  <si>
    <t>QUINIDINE/DM10MG/20MG CP</t>
  </si>
  <si>
    <t>QUIND/DM10/20CP</t>
  </si>
  <si>
    <t>0053104840</t>
  </si>
  <si>
    <t>QUININE 260MG TB</t>
  </si>
  <si>
    <t>QUININE260MG TB</t>
  </si>
  <si>
    <t>0053104857</t>
  </si>
  <si>
    <t>QUININE 325MG CP</t>
  </si>
  <si>
    <t>QUININE325MG CP</t>
  </si>
  <si>
    <t>0053104873</t>
  </si>
  <si>
    <t>RALOXIFENE 60MG TB</t>
  </si>
  <si>
    <t>RALOXIFINE60TB</t>
  </si>
  <si>
    <t>0053104881</t>
  </si>
  <si>
    <t>RAMELTEON 8MG TB</t>
  </si>
  <si>
    <t>RAMELTEON8MG TB</t>
  </si>
  <si>
    <t>0053104899</t>
  </si>
  <si>
    <t>RAMIPRIL 1.25MG CP</t>
  </si>
  <si>
    <t>RAMIPRL1.25MGCP</t>
  </si>
  <si>
    <t>0053104907</t>
  </si>
  <si>
    <t>RAMIPRIL 2.5MG CP</t>
  </si>
  <si>
    <t>RAMIPRIL2.5MGCP</t>
  </si>
  <si>
    <t>0053104915</t>
  </si>
  <si>
    <t>RAMIPRIL 5MG CP</t>
  </si>
  <si>
    <t>RAMIPRIL 5MGCP</t>
  </si>
  <si>
    <t>0053104931</t>
  </si>
  <si>
    <t>RALTEGRAVIR 400MG TB</t>
  </si>
  <si>
    <t>RALTEGRAV 400TB</t>
  </si>
  <si>
    <t>0053105201</t>
  </si>
  <si>
    <t>RANOLAZINE 500MG XR TB</t>
  </si>
  <si>
    <t>RANOLZIN500XRTB</t>
  </si>
  <si>
    <t>0053105250</t>
  </si>
  <si>
    <t>RASAGILINE 1MG TB</t>
  </si>
  <si>
    <t>RASAGILINE1MGTB</t>
  </si>
  <si>
    <t>0053105524</t>
  </si>
  <si>
    <t>REPAGLINIDE 0.5MG TB</t>
  </si>
  <si>
    <t>REPAGLINID0.5TB</t>
  </si>
  <si>
    <t>0053105532</t>
  </si>
  <si>
    <t>REPAGLINIDE 1MG TB</t>
  </si>
  <si>
    <t>REPAGLINID1MGTB</t>
  </si>
  <si>
    <t>0053105540</t>
  </si>
  <si>
    <t>REPAGLINIDE 2MG TB</t>
  </si>
  <si>
    <t>REPAGLINID2MGTB</t>
  </si>
  <si>
    <t>0053105557</t>
  </si>
  <si>
    <t>RESERPINE .1MG TB</t>
  </si>
  <si>
    <t>RESERPIN.1MG TB</t>
  </si>
  <si>
    <t>0053106175</t>
  </si>
  <si>
    <t>RIBOFLAVIN 50MG TB</t>
  </si>
  <si>
    <t>RIBOFLAVIN 50MG</t>
  </si>
  <si>
    <t>0053106209</t>
  </si>
  <si>
    <t>RIFABUTIN 150MG CP</t>
  </si>
  <si>
    <t>RIFABUTN150MGCP</t>
  </si>
  <si>
    <t>0053106258</t>
  </si>
  <si>
    <t>RIFAXIMIN 200MG TB</t>
  </si>
  <si>
    <t>RIFAXIMIN200TB</t>
  </si>
  <si>
    <t>0053106266</t>
  </si>
  <si>
    <t>RIFAXIMIN 550 MG TB</t>
  </si>
  <si>
    <t>RIFAXIMI550MGTB</t>
  </si>
  <si>
    <t>0053106324</t>
  </si>
  <si>
    <t>RIVAROXABAN 15MG TB</t>
  </si>
  <si>
    <t>RIVAROXAB15MGTB</t>
  </si>
  <si>
    <t>0053106365</t>
  </si>
  <si>
    <t>RIFAMPIN 150MG CP</t>
  </si>
  <si>
    <t>RIFAMPIN150MGCP</t>
  </si>
  <si>
    <t>0053106373</t>
  </si>
  <si>
    <t>RIFAMPIN 300MG CP</t>
  </si>
  <si>
    <t>RIFAMPIN300MGCP</t>
  </si>
  <si>
    <t>0053106399</t>
  </si>
  <si>
    <t>RITONAVIR 100 MG TB</t>
  </si>
  <si>
    <t>RITONAVIR100TB</t>
  </si>
  <si>
    <t>0053106407</t>
  </si>
  <si>
    <t>RIVAROXABAN 10MG TB</t>
  </si>
  <si>
    <t>RIVAROXAB10MGTB</t>
  </si>
  <si>
    <t>0053106480</t>
  </si>
  <si>
    <t>RISEDRONATE 35MG TB</t>
  </si>
  <si>
    <t>RISEDRONATE35TB</t>
  </si>
  <si>
    <t>0053106498</t>
  </si>
  <si>
    <t>RISEDRONATE 5MG TB</t>
  </si>
  <si>
    <t>RISEDRONATE5TB</t>
  </si>
  <si>
    <t>0053106514</t>
  </si>
  <si>
    <t>RISPERIDONE 1MG TB</t>
  </si>
  <si>
    <t>RISPERIDON 1 TB</t>
  </si>
  <si>
    <t>0053106621</t>
  </si>
  <si>
    <t>ROSIGLITAZONE 2MG TB</t>
  </si>
  <si>
    <t>ROSIGLITAZON2TB</t>
  </si>
  <si>
    <t>0053106639</t>
  </si>
  <si>
    <t>ROSIGLITAZONE 4MG TB</t>
  </si>
  <si>
    <t>ROSIGLITAZON4TB</t>
  </si>
  <si>
    <t>0053106654</t>
  </si>
  <si>
    <t>RIVASTIGMINE 1.5MG CP</t>
  </si>
  <si>
    <t>RIVASTIGM1.5CP</t>
  </si>
  <si>
    <t>0053106704</t>
  </si>
  <si>
    <t>RITONAVIR 100 MG CP</t>
  </si>
  <si>
    <t>RITONAVIR100 CP</t>
  </si>
  <si>
    <t>0053106753</t>
  </si>
  <si>
    <t>ROPINIROLE 0.25MG TB</t>
  </si>
  <si>
    <t>ROPINRL.25MG TB</t>
  </si>
  <si>
    <t>0053106761</t>
  </si>
  <si>
    <t>ROPINIROLE 0.5MG TB</t>
  </si>
  <si>
    <t>ROPINRL.5MG TB</t>
  </si>
  <si>
    <t>0053106779</t>
  </si>
  <si>
    <t>ROPINIROLE 1MG TB</t>
  </si>
  <si>
    <t>ROPINRL 1MG TB</t>
  </si>
  <si>
    <t>0053106787</t>
  </si>
  <si>
    <t>ROPINIROLE 2MG TB</t>
  </si>
  <si>
    <t>ROPINRL 2MG TB</t>
  </si>
  <si>
    <t>0053106795</t>
  </si>
  <si>
    <t>ROPINIROLE 5MG TB</t>
  </si>
  <si>
    <t>ROPINRL 5MG TB</t>
  </si>
  <si>
    <t>0053106829</t>
  </si>
  <si>
    <t>ROPINIROLE 4MG TB</t>
  </si>
  <si>
    <t>ROPINRL 4MG TB</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</si>
  <si>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</si>
  <si>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</si>
  <si>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</si>
  <si>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</si>
  <si>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</si>
  <si>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</si>
  <si>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</si>
  <si>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</si>
  <si>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</si>
  <si>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</si>
  <si>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</si>
  <si>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</si>
  <si>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0053106936</t>
  </si>
  <si>
    <t>ROSUVASTATIN 10MG TB</t>
  </si>
  <si>
    <t>ROSUVASTA10MGTB</t>
  </si>
  <si>
    <t>0053106993</t>
  </si>
  <si>
    <t>RUFINAMIDE 200MG TB</t>
  </si>
  <si>
    <t>RUFINAMIDE200TB</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</si>
  <si>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</si>
  <si>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</si>
  <si>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</si>
  <si>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</si>
  <si>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</si>
  <si>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</si>
  <si>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</si>
  <si>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</si>
  <si>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</si>
  <si>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</si>
  <si>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</si>
  <si>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</si>
  <si>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SENNA8.6 TB</t>
  </si>
  <si>
    <t>0053107561</t>
  </si>
  <si>
    <t>DOCUSATE/SENNA TB</t>
  </si>
  <si>
    <t>DOCUSAT/SENNATB</t>
  </si>
  <si>
    <t>0053107595</t>
  </si>
  <si>
    <t>SERTRALINE 25MG TB</t>
  </si>
  <si>
    <t>SERTRALINE25TB</t>
  </si>
  <si>
    <t>0053107603</t>
  </si>
  <si>
    <t>SERTRALINE 50MG TB</t>
  </si>
  <si>
    <t>SERTRALINE50TB</t>
  </si>
  <si>
    <t>0053107611</t>
  </si>
  <si>
    <t>SERTRALINE 100MG TB</t>
  </si>
  <si>
    <t>SERTRALINE100TB</t>
  </si>
  <si>
    <t>0053107629</t>
  </si>
  <si>
    <t>SEVELAMER 403MG CP</t>
  </si>
  <si>
    <t>SEVELAMER403CP</t>
  </si>
  <si>
    <t>0053107637</t>
  </si>
  <si>
    <t>SEVELAMER 400MG TB</t>
  </si>
  <si>
    <t>SEVELAMER400TB</t>
  </si>
  <si>
    <t>0053107645</t>
  </si>
  <si>
    <t>SEVELAMER 800MG TB</t>
  </si>
  <si>
    <t>SEVELAMER800TB</t>
  </si>
  <si>
    <t>0053107652</t>
  </si>
  <si>
    <t>SEVELAMER CARB 800MG TB</t>
  </si>
  <si>
    <t>SEVELAM 800MGTB</t>
  </si>
  <si>
    <t>0053107660</t>
  </si>
  <si>
    <t>SERTRALINE 12.5MG TB</t>
  </si>
  <si>
    <t>SERTRALIN12.5TB</t>
  </si>
  <si>
    <t>0053107736</t>
  </si>
  <si>
    <t>SILDENAFIL 25MG TB</t>
  </si>
  <si>
    <t>SILDENAFIL25 TB</t>
  </si>
  <si>
    <t>0053107751</t>
  </si>
  <si>
    <t>SIMETHICONE 40MG TB</t>
  </si>
  <si>
    <t>SIMETHICON40TB</t>
  </si>
  <si>
    <t>0053107777</t>
  </si>
  <si>
    <t>SILDENAFIL 20MG TB</t>
  </si>
  <si>
    <t>SILDENAFIL20 TB</t>
  </si>
  <si>
    <t>0053107835</t>
  </si>
  <si>
    <t>SIMETHICONE 80MG TB</t>
  </si>
  <si>
    <t>SIMETHICON80TB</t>
  </si>
  <si>
    <t>0053107918</t>
  </si>
  <si>
    <t>SIMVASTATIN 10MG TB</t>
  </si>
  <si>
    <t>SIMVSTAT10MG TB</t>
  </si>
  <si>
    <t>0053107926</t>
  </si>
  <si>
    <t>SIMVASTATIN 20MG TB</t>
  </si>
  <si>
    <t>SIMVSTAT20MG TB</t>
  </si>
  <si>
    <t>0053107959</t>
  </si>
  <si>
    <t>SITAGLIPTIN 25MG TB</t>
  </si>
  <si>
    <t>SITAGLIPT25MGTB</t>
  </si>
  <si>
    <t>0053107967</t>
  </si>
  <si>
    <t>SITAGLIPTIN 100MG TB</t>
  </si>
  <si>
    <t>SITAGLIP100MGTB</t>
  </si>
  <si>
    <t>0053107975</t>
  </si>
  <si>
    <t>SITAGLIPTIN 50MG TB</t>
  </si>
  <si>
    <t>SITAGLIPT50MGTB</t>
  </si>
  <si>
    <t>0053108007</t>
  </si>
  <si>
    <t>SIROLIMUS PER 1MG TB</t>
  </si>
  <si>
    <t>SIROLIMUS 1 TB</t>
  </si>
  <si>
    <t>0053108106</t>
  </si>
  <si>
    <t>NA BICARBONATE 650MG TB</t>
  </si>
  <si>
    <t>NA BICRB650MGTB</t>
  </si>
  <si>
    <t>0053108338</t>
  </si>
  <si>
    <t>NA CL 1GM TB</t>
  </si>
  <si>
    <t>0053108569</t>
  </si>
  <si>
    <t>NA FLUORIDE 2.2MG TB</t>
  </si>
  <si>
    <t>NA FLUO2.2MG TB</t>
  </si>
  <si>
    <t>0053108635</t>
  </si>
  <si>
    <t>SOD/POT/PHOS 278/250/ TB</t>
  </si>
  <si>
    <t>NA/K PHOS1.25TB</t>
  </si>
  <si>
    <t>0053108700</t>
  </si>
  <si>
    <t>SOTALOL 80MG TB</t>
  </si>
  <si>
    <t>0053109013</t>
  </si>
  <si>
    <t>SPIRONOLACTONE 12.5MG TB</t>
  </si>
  <si>
    <t>SPIRONOLA12.5TB</t>
  </si>
  <si>
    <t>0053109021</t>
  </si>
  <si>
    <t>SPIRONOLAC-HCTZ 25/25 TB</t>
  </si>
  <si>
    <t>SPIRO/HC25/25TB</t>
  </si>
  <si>
    <t>0053109062</t>
  </si>
  <si>
    <t>SPIRONOLAC-HCTZ 50/50 TB</t>
  </si>
  <si>
    <t>SPIRO/HC50/50TB</t>
  </si>
  <si>
    <t>0053109104</t>
  </si>
  <si>
    <t>SPIRONOLACTONE 25MG TB</t>
  </si>
  <si>
    <t>SPIRONOLACT25TB</t>
  </si>
  <si>
    <t>0053109146</t>
  </si>
  <si>
    <t>SPIRONOLACTONE 50MG TB</t>
  </si>
  <si>
    <t>SPIRONOLACT50TB</t>
  </si>
  <si>
    <t>0053110060</t>
  </si>
  <si>
    <t>SUCRALFATE 1GM TB</t>
  </si>
  <si>
    <t>SUCRALFATE1GMTB</t>
  </si>
  <si>
    <t>0053110524</t>
  </si>
  <si>
    <t>SULFADIAZINE 500MG TB</t>
  </si>
  <si>
    <t>SULFADIAZ 500TB</t>
  </si>
  <si>
    <t>0053110920</t>
  </si>
  <si>
    <t>SMX-TMP 800/160MG TB</t>
  </si>
  <si>
    <t>SMX-TMP DS TB</t>
  </si>
  <si>
    <t>0053111100</t>
  </si>
  <si>
    <t>SULFASALAZINE 500MG TB</t>
  </si>
  <si>
    <t>SULFASALAZ500TB</t>
  </si>
  <si>
    <t>0053111118</t>
  </si>
  <si>
    <t>SULFASALAZIN 500MG EC TB</t>
  </si>
  <si>
    <t>SULFASAL500ECTB</t>
  </si>
  <si>
    <t>0053111837</t>
  </si>
  <si>
    <t>SULINDAC 150MG TB</t>
  </si>
  <si>
    <t>SULINDAC150MGTB</t>
  </si>
  <si>
    <t>0053111878</t>
  </si>
  <si>
    <t>SULINDAC 200MG TB</t>
  </si>
  <si>
    <t>SULINDAC200MGTB</t>
  </si>
  <si>
    <t>0053111902</t>
  </si>
  <si>
    <t>SUMATRIPTAN 25MG TB</t>
  </si>
  <si>
    <t>SUMATRIPTAN25TB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</si>
  <si>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</si>
  <si>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</si>
  <si>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</si>
  <si>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</si>
  <si>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</si>
  <si>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</si>
  <si>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</si>
  <si>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</si>
  <si>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</si>
  <si>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</si>
  <si>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</si>
  <si>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</si>
  <si>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0053112256</t>
  </si>
  <si>
    <t>TELMISARTAN 20MG TB</t>
  </si>
  <si>
    <t>TELMISARTAN20TB</t>
  </si>
  <si>
    <t>0053112330</t>
  </si>
  <si>
    <t>TEMAZEPAM 15MG CP</t>
  </si>
  <si>
    <t>TEMAZEPAM15MGCP</t>
  </si>
  <si>
    <t>0053112348</t>
  </si>
  <si>
    <t>TEMAZEPAM 7.5MG CP</t>
  </si>
  <si>
    <t>TEMAZEPA7.5MGCP</t>
  </si>
  <si>
    <t>0053112371</t>
  </si>
  <si>
    <t>TEMAZEPAM 30MG CP</t>
  </si>
  <si>
    <t>TEMAZEPAM30MGCP</t>
  </si>
  <si>
    <t>0053112454</t>
  </si>
  <si>
    <t>TENOFOVIR 300MG TB</t>
  </si>
  <si>
    <t>TENOFOVIR300TB</t>
  </si>
  <si>
    <t>0053112504</t>
  </si>
  <si>
    <t>TERAZOSIN 1MG CP</t>
  </si>
  <si>
    <t>TERAZOSIN1MGCP</t>
  </si>
  <si>
    <t>0053112512</t>
  </si>
  <si>
    <t>TERAZOSIN 2MG CP</t>
  </si>
  <si>
    <t>TERAZOSIN2MGCP</t>
  </si>
  <si>
    <t>0053112520</t>
  </si>
  <si>
    <t>TERAZOSIN 5MG CP</t>
  </si>
  <si>
    <t>TERAZOSIN5MGCP</t>
  </si>
  <si>
    <t>0053112553</t>
  </si>
  <si>
    <t>TERBINAFINE 250MG TB</t>
  </si>
  <si>
    <t>TERBINAFIN250TB</t>
  </si>
  <si>
    <t>0053112603</t>
  </si>
  <si>
    <t>TERBUTALINE 2.5MG TB</t>
  </si>
  <si>
    <t>TERBUTAL2.5MGTB</t>
  </si>
  <si>
    <t>0053112645</t>
  </si>
  <si>
    <t>TERBUTALINE 5MG TB</t>
  </si>
  <si>
    <t>TERBUTAL 5MGTB</t>
  </si>
  <si>
    <t>0053113106</t>
  </si>
  <si>
    <t>TETRACYCLINE 250MG CP</t>
  </si>
  <si>
    <t>TETRACYCL250 CP</t>
  </si>
  <si>
    <t>0053113148</t>
  </si>
  <si>
    <t>TETRACYCLINE 500MG CP</t>
  </si>
  <si>
    <t>TETRACYCL500 CP</t>
  </si>
  <si>
    <t>0053113643</t>
  </si>
  <si>
    <t>THEOPHYLLINE 100MG TB</t>
  </si>
  <si>
    <t>THEOPHYL100MGTB</t>
  </si>
  <si>
    <t>0053113858</t>
  </si>
  <si>
    <t>THEOPHYLLINE 100MG XR TB</t>
  </si>
  <si>
    <t>THEOPHYL100XRTB</t>
  </si>
  <si>
    <t>0053113874</t>
  </si>
  <si>
    <t>THEOPHYLLINE 300MG XR CP</t>
  </si>
  <si>
    <t>THEOPHYL300XRCP</t>
  </si>
  <si>
    <t>0053113882</t>
  </si>
  <si>
    <t>THEOPHYLLINE 100MG XR CP</t>
  </si>
  <si>
    <t>THEOPHYL100XRCP</t>
  </si>
  <si>
    <t>0053113924</t>
  </si>
  <si>
    <t>THEOPHYLLINE 200MG XR TB</t>
  </si>
  <si>
    <t>THEOPHYL200XRTB</t>
  </si>
  <si>
    <t>0053113965</t>
  </si>
  <si>
    <t>THEOPHYLLINE 300MG XR TB</t>
  </si>
  <si>
    <t>THEOPHYL300XRTB</t>
  </si>
  <si>
    <t>0053114054</t>
  </si>
  <si>
    <t>THEOPHYLLINE400MG XR24TB</t>
  </si>
  <si>
    <t>THEOPH400XR24TB</t>
  </si>
  <si>
    <t>0053114088</t>
  </si>
  <si>
    <t>THEOPHYLLINE100MG XR24CP</t>
  </si>
  <si>
    <t>THEOPH100XR24CP</t>
  </si>
  <si>
    <t>0053114096</t>
  </si>
  <si>
    <t>THEOPHYLLINE200MG XR24CP</t>
  </si>
  <si>
    <t>THEOPH200XR24CP</t>
  </si>
  <si>
    <t>0053114104</t>
  </si>
  <si>
    <t>THEOPHYLLINE300MG XR24CP</t>
  </si>
  <si>
    <t>THEOPH300XR24CP</t>
  </si>
  <si>
    <t>0053114674</t>
  </si>
  <si>
    <t>THIAMINE 50MG TB</t>
  </si>
  <si>
    <t>THIAMINE50MG TB</t>
  </si>
  <si>
    <t>0053114716</t>
  </si>
  <si>
    <t>THIAMINE 100MG TB</t>
  </si>
  <si>
    <t>THIAMINE100MGTB</t>
  </si>
  <si>
    <t>0053115374</t>
  </si>
  <si>
    <t>THIORIDAZINE 10MG TB</t>
  </si>
  <si>
    <t>THIORIDAZ10MGTB</t>
  </si>
  <si>
    <t>0053115481</t>
  </si>
  <si>
    <t>THIORIDAZINE 25MG TB</t>
  </si>
  <si>
    <t>THIORIDAZ25MGTB</t>
  </si>
  <si>
    <t>0053115523</t>
  </si>
  <si>
    <t>THIORIDAZINE 50MG TB</t>
  </si>
  <si>
    <t>THIORIDAZ50MGTB</t>
  </si>
  <si>
    <t>0053115838</t>
  </si>
  <si>
    <t>THIOTHIXENE 1MG CP</t>
  </si>
  <si>
    <t>THIOTHIXEN1MGCP</t>
  </si>
  <si>
    <t>0053115879</t>
  </si>
  <si>
    <t>THIOTHIXENE 2MG CP</t>
  </si>
  <si>
    <t>THIOTHIXEN2MGCP</t>
  </si>
  <si>
    <t>0053115911</t>
  </si>
  <si>
    <t>THIOTHIXENE 5MG CP</t>
  </si>
  <si>
    <t>THIOTHIXEN5MGCP</t>
  </si>
  <si>
    <t>0053115945</t>
  </si>
  <si>
    <t>THIOTHIXENE 10MG CP</t>
  </si>
  <si>
    <t>THIOTHIXE10MGCP</t>
  </si>
  <si>
    <t>0053116307</t>
  </si>
  <si>
    <t>TIAGABINE 4MG TB</t>
  </si>
  <si>
    <t>TIAGABINE4MG TB</t>
  </si>
  <si>
    <t>0053116414</t>
  </si>
  <si>
    <t>THYROID DESICTD 15MG TB</t>
  </si>
  <si>
    <t>THYROID DES15TB</t>
  </si>
  <si>
    <t>0053116455</t>
  </si>
  <si>
    <t>THYROID DESICTED 30MG TB</t>
  </si>
  <si>
    <t>THYROID DES30TB</t>
  </si>
  <si>
    <t>0053116497</t>
  </si>
  <si>
    <t>THYROID DESICTED 60MG TB</t>
  </si>
  <si>
    <t>THYROID DES60TB</t>
  </si>
  <si>
    <t>0053116729</t>
  </si>
  <si>
    <t>THYROID DESICTD 120MG TB</t>
  </si>
  <si>
    <t>THYROID DE120TB</t>
  </si>
  <si>
    <t>0053116794</t>
  </si>
  <si>
    <t>TICAGRELOR 90MG TB</t>
  </si>
  <si>
    <t>TICAGREL 90MGTB</t>
  </si>
  <si>
    <t>0053116828</t>
  </si>
  <si>
    <t>TICLOPIDINE 250MG TB</t>
  </si>
  <si>
    <t>TICLOPIDIN250TB</t>
  </si>
  <si>
    <t>0053116927</t>
  </si>
  <si>
    <t>TIZANIDINE 4MG TB</t>
  </si>
  <si>
    <t>TIZANIDINE4MGTB</t>
  </si>
  <si>
    <t>0053116943</t>
  </si>
  <si>
    <t>TIZANIDINE 2MG TB</t>
  </si>
  <si>
    <t>TIZANIDINE2MGTB</t>
  </si>
  <si>
    <t>0053116992</t>
  </si>
  <si>
    <t>TOLAZAMIDE 250MG TB</t>
  </si>
  <si>
    <t>TOLAZMD250MG TB</t>
  </si>
  <si>
    <t>0053117305</t>
  </si>
  <si>
    <t>TOLVAPTAN 15MG TB</t>
  </si>
  <si>
    <t>TOLVAPTAN15MGTB</t>
  </si>
  <si>
    <t>0053117313</t>
  </si>
  <si>
    <t>TOLVAPTAN 30MG TB</t>
  </si>
  <si>
    <t>TOLVAPTAN30MGTB</t>
  </si>
  <si>
    <t>0053117479</t>
  </si>
  <si>
    <t>TOLTERODINE 2MG XR CP</t>
  </si>
  <si>
    <t>TOLTEROD2MGXRCP</t>
  </si>
  <si>
    <t>0053117511</t>
  </si>
  <si>
    <t>TOLTERODINE 1MG TB</t>
  </si>
  <si>
    <t>TOLTERODIN1MGTB</t>
  </si>
  <si>
    <t>0053117545</t>
  </si>
  <si>
    <t>TOPIRAMATE 25MG TB</t>
  </si>
  <si>
    <t>TOPIRAMATE25TB</t>
  </si>
  <si>
    <t>0053117552</t>
  </si>
  <si>
    <t>TOPIRAMATE 100MG TB</t>
  </si>
  <si>
    <t>TOPIRAMATE100TB</t>
  </si>
  <si>
    <t>0053117610</t>
  </si>
  <si>
    <t>TORSEMIDE 10MG TB</t>
  </si>
  <si>
    <t>TORSEMIDE 10 TB</t>
  </si>
  <si>
    <t>0053117628</t>
  </si>
  <si>
    <t>TORSEMIDE 20MG TB</t>
  </si>
  <si>
    <t>TORSEMIDE 20 TB</t>
  </si>
  <si>
    <t>0053117644</t>
  </si>
  <si>
    <t>TRANDOLAPRIL 1MG TB</t>
  </si>
  <si>
    <t>TRANDOLAPRIL1TB</t>
  </si>
  <si>
    <t>0053117701</t>
  </si>
  <si>
    <t>TRAMADOL 50MG TB</t>
  </si>
  <si>
    <t>TRAMDOL 50MG TB</t>
  </si>
  <si>
    <t>0053117735</t>
  </si>
  <si>
    <t>TRAMADOL 25MG TB</t>
  </si>
  <si>
    <t>TRAMDOL 25MG TB</t>
  </si>
  <si>
    <t>0053117909</t>
  </si>
  <si>
    <t>TRAZODONE 25MG TB</t>
  </si>
  <si>
    <t>TRAZODONE25MGTB</t>
  </si>
  <si>
    <t>0053117917</t>
  </si>
  <si>
    <t>TRAZODONE 50MG TB</t>
  </si>
  <si>
    <t>TRAZODONE 50 TB</t>
  </si>
  <si>
    <t>0053117958</t>
  </si>
  <si>
    <t>TRAZODONE 100MG TB</t>
  </si>
  <si>
    <t>TRAZODONE100 TB</t>
  </si>
  <si>
    <t>0053118006</t>
  </si>
  <si>
    <t>TRETINOIN 10MG CP</t>
  </si>
  <si>
    <t>TRETINOIN10MGCP</t>
  </si>
  <si>
    <t>0053118576</t>
  </si>
  <si>
    <t>TRIAMTERENE 50MG CP</t>
  </si>
  <si>
    <t>TRIAMTERENE50CP</t>
  </si>
  <si>
    <t>0053118618</t>
  </si>
  <si>
    <t>TRIAMTERENE 100MG CP</t>
  </si>
  <si>
    <t>TRIAMTEREN100CP</t>
  </si>
  <si>
    <t>0053118626</t>
  </si>
  <si>
    <t>TRIAMTER-HCTZ 37.5/25 CP</t>
  </si>
  <si>
    <t>TRIA/HCZ37/25CP</t>
  </si>
  <si>
    <t>0053118634</t>
  </si>
  <si>
    <t>TRIAMTER-HCTZ 37.5/25 TB</t>
  </si>
  <si>
    <t>TRIA/HCZ37/25TB</t>
  </si>
  <si>
    <t>0053118642</t>
  </si>
  <si>
    <t>TRIAMTER-HCTZ 75/50 TB</t>
  </si>
  <si>
    <t>TRIA/HCZ 75/5TB</t>
  </si>
  <si>
    <t>0053118659</t>
  </si>
  <si>
    <t>TRIAMTER-HCTZ 50/25 CP</t>
  </si>
  <si>
    <t>TRIA/HCZ50/25CP</t>
  </si>
  <si>
    <t>0053118667</t>
  </si>
  <si>
    <t>TRIAMTR-HCTZ18.75/12.5TB</t>
  </si>
  <si>
    <t>TRIA/HCZ18/12TB</t>
  </si>
  <si>
    <t>0053118873</t>
  </si>
  <si>
    <t>TRIAZOLAM .125MG TB</t>
  </si>
  <si>
    <t>TRIAZOLAM.125TB</t>
  </si>
  <si>
    <t>0053118881</t>
  </si>
  <si>
    <t>TRIAZOLAM .25MG TB</t>
  </si>
  <si>
    <t>TRIAZOLAM.25 TB</t>
  </si>
  <si>
    <t>0053119152</t>
  </si>
  <si>
    <t>TRIFLUOPERAZINE 1MG TB</t>
  </si>
  <si>
    <t>TRIFLUOPERAZ1TB</t>
  </si>
  <si>
    <t>0053119178</t>
  </si>
  <si>
    <t>TRIFLUOPERAZINE 2MG TB</t>
  </si>
  <si>
    <t>TRIFLUOPERAZ2TB</t>
  </si>
  <si>
    <t>0053119194</t>
  </si>
  <si>
    <t>TRIFLUOPERAZINE 5MGTB</t>
  </si>
  <si>
    <t>TRIFLUOPERAZ5TB</t>
  </si>
  <si>
    <t>0053119426</t>
  </si>
  <si>
    <t>TRIHEXYPHENIDYL 2MGTB</t>
  </si>
  <si>
    <t>TRIHEXYPHEN2TB</t>
  </si>
  <si>
    <t>0053119467</t>
  </si>
  <si>
    <t>TRIHEXYPHENIDYL 5MGTB</t>
  </si>
  <si>
    <t>TRIHEXYPHEN5TB</t>
  </si>
  <si>
    <t>0053120234</t>
  </si>
  <si>
    <t>TRIMETHOBENZAMIDE100MGCP</t>
  </si>
  <si>
    <t>TRIMETHBNZ100CP</t>
  </si>
  <si>
    <t>0053120275</t>
  </si>
  <si>
    <t>TRIMETHOBENZAMIDE250MGCP</t>
  </si>
  <si>
    <t>TRIMETHBNZ250CP</t>
  </si>
  <si>
    <t>0053120283</t>
  </si>
  <si>
    <t>TRIMETHOBENZAMIDE300MGCP</t>
  </si>
  <si>
    <t>TRIMETHBNZ300CP</t>
  </si>
  <si>
    <t>0053120507</t>
  </si>
  <si>
    <t>TRIMETHOPRIM 100MG TB</t>
  </si>
  <si>
    <t>TRIMETHOPR100TB</t>
  </si>
  <si>
    <t>0053121422</t>
  </si>
  <si>
    <t>TRIPROLIDN/PSE 2.5/60 TB</t>
  </si>
  <si>
    <t>TRIPROL/PSE TB</t>
  </si>
  <si>
    <t>0053122412</t>
  </si>
  <si>
    <t>VALSARTAN 20MG TB</t>
  </si>
  <si>
    <t>VALSARTAN20TB</t>
  </si>
  <si>
    <t>0053122545</t>
  </si>
  <si>
    <t>URSODIOL 250MG TB</t>
  </si>
  <si>
    <t>URSODIOL250MGTB</t>
  </si>
  <si>
    <t>0053122552</t>
  </si>
  <si>
    <t>URSODIOL 300MG CP</t>
  </si>
  <si>
    <t>URSODIOL300MGCP</t>
  </si>
  <si>
    <t>0053122578</t>
  </si>
  <si>
    <t>VARENICLINE 0.5MG TB</t>
  </si>
  <si>
    <t>VARENICLINE.5TB</t>
  </si>
  <si>
    <t>0053122586</t>
  </si>
  <si>
    <t>VALACYCLOVIR 500MG TB</t>
  </si>
  <si>
    <t>VALACYCLOV500TB</t>
  </si>
  <si>
    <t>0053122610</t>
  </si>
  <si>
    <t>VALPROATE 250MG CP</t>
  </si>
  <si>
    <t>VALPROAT250MGCP</t>
  </si>
  <si>
    <t>0053122628</t>
  </si>
  <si>
    <t>VALSARTAN 40MG TB</t>
  </si>
  <si>
    <t>VALSARTAN40TB</t>
  </si>
  <si>
    <t>0053122636</t>
  </si>
  <si>
    <t>VALGANCICLOVIR 450MG TB</t>
  </si>
  <si>
    <t>VALGANCICV450TB</t>
  </si>
  <si>
    <t>0053122651</t>
  </si>
  <si>
    <t>VALSARTAN 80MG TB</t>
  </si>
  <si>
    <t>VALSARTAN80TB</t>
  </si>
  <si>
    <t>0053122669</t>
  </si>
  <si>
    <t>VALSARTAN 160MG TB</t>
  </si>
  <si>
    <t>VALSARTAN160TB</t>
  </si>
  <si>
    <t>0053122693</t>
  </si>
  <si>
    <t>VALSARTAN 320MG TB</t>
  </si>
  <si>
    <t>VALSARTAN320TB</t>
  </si>
  <si>
    <t>0053122701</t>
  </si>
  <si>
    <t>VANCOMYCIN 125MG CP</t>
  </si>
  <si>
    <t>VANCOMY125MG CP</t>
  </si>
  <si>
    <t>0053122719</t>
  </si>
  <si>
    <t>VANCOMYCIN 250MG CP</t>
  </si>
  <si>
    <t>VANCOMY250MG CP</t>
  </si>
  <si>
    <t>0053122735</t>
  </si>
  <si>
    <t>VENLAFAXINE 37.5MG XR CP</t>
  </si>
  <si>
    <t>VENLAFX37.5XRCP</t>
  </si>
  <si>
    <t>0053122743</t>
  </si>
  <si>
    <t>VENLAFAXINE 75MG XR CP</t>
  </si>
  <si>
    <t>VENLAFAX75XRCP</t>
  </si>
  <si>
    <t>0053122750</t>
  </si>
  <si>
    <t>VENLAFAXINE 25MG TB</t>
  </si>
  <si>
    <t>VENLAFAX25TB</t>
  </si>
  <si>
    <t>0053122768</t>
  </si>
  <si>
    <t>VENLAFAXINE 37.5MG TB</t>
  </si>
  <si>
    <t>VENLAFAX37.5TB</t>
  </si>
  <si>
    <t>0053122784</t>
  </si>
  <si>
    <t>VENLAFAXINE 75MG TB</t>
  </si>
  <si>
    <t>VENLAFAX75TB</t>
  </si>
  <si>
    <t>0053122800</t>
  </si>
  <si>
    <t>VERAPAMIL 100MG XR24 CP</t>
  </si>
  <si>
    <t>VERA100 XR24 CP</t>
  </si>
  <si>
    <t>0053122818</t>
  </si>
  <si>
    <t>VERAPAMIL 200MG XR24 CP</t>
  </si>
  <si>
    <t>VERA200 XR24 CP</t>
  </si>
  <si>
    <t>0053122834</t>
  </si>
  <si>
    <t>VERAPAMIL 40MG TB</t>
  </si>
  <si>
    <t>VERAPAMIL40 TB</t>
  </si>
  <si>
    <t>0053122842</t>
  </si>
  <si>
    <t>VERAPAMIL 80MG TB</t>
  </si>
  <si>
    <t>VERAPAMIL80 TB</t>
  </si>
  <si>
    <t>0053122867</t>
  </si>
  <si>
    <t>VERAPAMIL 120MG XR24 CP</t>
  </si>
  <si>
    <t>VERA120 XR24 CP</t>
  </si>
  <si>
    <t>0053122883</t>
  </si>
  <si>
    <t>VERAPAMIL 120MG TB</t>
  </si>
  <si>
    <t>VERAPAM 120 TB</t>
  </si>
  <si>
    <t>0053122891</t>
  </si>
  <si>
    <t>VERAPAMIL 240 XR TB</t>
  </si>
  <si>
    <t>VERAP240 XR TB</t>
  </si>
  <si>
    <t>0053122909</t>
  </si>
  <si>
    <t>VERAPAMIL 180MG XR TB</t>
  </si>
  <si>
    <t>VERAP180 XR TB</t>
  </si>
  <si>
    <t>0053122917</t>
  </si>
  <si>
    <t>VERAPAMIL 120MG XR TB</t>
  </si>
  <si>
    <t>VERAP120 XR TB</t>
  </si>
  <si>
    <t>0053123113</t>
  </si>
  <si>
    <t>MVI FE MIN TB</t>
  </si>
  <si>
    <t>0053123345</t>
  </si>
  <si>
    <t>VITAMIN A 25MU CP</t>
  </si>
  <si>
    <t>VIT A 25MU CP</t>
  </si>
  <si>
    <t>0053123352</t>
  </si>
  <si>
    <t>VITAMIN A 10MU CP</t>
  </si>
  <si>
    <t>VIT A 10MU CP</t>
  </si>
  <si>
    <t>0053123451</t>
  </si>
  <si>
    <t>MVI VIT B COMPLEX CP</t>
  </si>
  <si>
    <t>MVI B CMPX CP</t>
  </si>
  <si>
    <t>0053123600</t>
  </si>
  <si>
    <t>VITAMIN B-12 500MCG TB</t>
  </si>
  <si>
    <t>VIT B12 500 TB</t>
  </si>
  <si>
    <t>0053123618</t>
  </si>
  <si>
    <t>VITAMIN B-12 50MCG TB</t>
  </si>
  <si>
    <t>VIT B12 50 TB</t>
  </si>
  <si>
    <t>0053123634</t>
  </si>
  <si>
    <t>VITAMIN B-12 100MCG TB</t>
  </si>
  <si>
    <t>VIT B12 100 TB</t>
  </si>
  <si>
    <t>0053123642</t>
  </si>
  <si>
    <t>VITAMIN B-12 1000MCG TB</t>
  </si>
  <si>
    <t>VIT B12 1000 TB</t>
  </si>
  <si>
    <t>0053123758</t>
  </si>
  <si>
    <t>VITAMIN D 1000U TB</t>
  </si>
  <si>
    <t>VIT D 1000U TB</t>
  </si>
  <si>
    <t>0053123832</t>
  </si>
  <si>
    <t>ERGOCALCIFEROL 400U TB</t>
  </si>
  <si>
    <t>ERGOCA400U TB</t>
  </si>
  <si>
    <t>0053123857</t>
  </si>
  <si>
    <t>VITAMIN D3 1000U CP</t>
  </si>
  <si>
    <t>VIT D3 1000U CP</t>
  </si>
  <si>
    <t>0053123873</t>
  </si>
  <si>
    <t>VITAMIN D3 400U CP</t>
  </si>
  <si>
    <t>VIT D3 400U CP</t>
  </si>
  <si>
    <t>0053123881</t>
  </si>
  <si>
    <t>VITAMIN D3 50000U CP</t>
  </si>
  <si>
    <t>VIT D3 50K U CP</t>
  </si>
  <si>
    <t>0053123907</t>
  </si>
  <si>
    <t>VITAMIN D3 400U TB</t>
  </si>
  <si>
    <t>VIT D3 400U TB</t>
  </si>
  <si>
    <t>0053124038</t>
  </si>
  <si>
    <t>VITAMIN E 100U CP</t>
  </si>
  <si>
    <t>VIT E 100U CP</t>
  </si>
  <si>
    <t>0053124053</t>
  </si>
  <si>
    <t>VITAMIN E 200U CP</t>
  </si>
  <si>
    <t>VIT E 200U CP</t>
  </si>
  <si>
    <t>0053124079</t>
  </si>
  <si>
    <t>VITAMIN E 400U CP</t>
  </si>
  <si>
    <t>VIT E 400U CP</t>
  </si>
  <si>
    <t>0053124111</t>
  </si>
  <si>
    <t>VITAMIN E 1000U CP</t>
  </si>
  <si>
    <t>VIT E 1000U CP</t>
  </si>
  <si>
    <t>0053124350</t>
  </si>
  <si>
    <t>MVI RENAL FORMULA TB</t>
  </si>
  <si>
    <t>MVI RENAL TB</t>
  </si>
  <si>
    <t>0053124509</t>
  </si>
  <si>
    <t>VORICONAZOLE 50MG TB</t>
  </si>
  <si>
    <t>VORICONAZ50TB</t>
  </si>
  <si>
    <t>0053124517</t>
  </si>
  <si>
    <t>VORICONAZOLE 200MG TB</t>
  </si>
  <si>
    <t>VORICONAZ200TB</t>
  </si>
  <si>
    <t>0053124780</t>
  </si>
  <si>
    <t>WARFARIN 1.25MG TB</t>
  </si>
  <si>
    <t>WARFARN1.25MGTB</t>
  </si>
  <si>
    <t>0053124798</t>
  </si>
  <si>
    <t>WARFARIN 0.5MG TB</t>
  </si>
  <si>
    <t>WARFARIN0.5MGTB</t>
  </si>
  <si>
    <t>0053124806</t>
  </si>
  <si>
    <t>WARFARIN 2.5MG TB</t>
  </si>
  <si>
    <t>WARFARN2.5MG TB</t>
  </si>
  <si>
    <t>0053124814</t>
  </si>
  <si>
    <t>WARFARIN 1MG TB</t>
  </si>
  <si>
    <t>WARFARN1MG TB</t>
  </si>
  <si>
    <t>0053124830</t>
  </si>
  <si>
    <t>WARFARIN 3MG TB</t>
  </si>
  <si>
    <t>WARFARN3MG TB</t>
  </si>
  <si>
    <t>0053124848</t>
  </si>
  <si>
    <t>WARFARIN 2MG TB</t>
  </si>
  <si>
    <t>WARFARN2MG TB</t>
  </si>
  <si>
    <t>0053124855</t>
  </si>
  <si>
    <t>WARFARIN 4MG TB</t>
  </si>
  <si>
    <t>WARFARN4MG TB</t>
  </si>
  <si>
    <t>0053124889</t>
  </si>
  <si>
    <t>WARFARIN 5MG TB</t>
  </si>
  <si>
    <t>WARFARN5MG TB</t>
  </si>
  <si>
    <t>0053124921</t>
  </si>
  <si>
    <t>WARFARIN 7.5MG TB</t>
  </si>
  <si>
    <t>WARFARN7.5MG TB</t>
  </si>
  <si>
    <t>0053124962</t>
  </si>
  <si>
    <t>WARFARIN 10MG TB</t>
  </si>
  <si>
    <t>WARFARN10MG TB</t>
  </si>
  <si>
    <t>0053125027</t>
  </si>
  <si>
    <t>ZAFIRLUKAST 20MG TB</t>
  </si>
  <si>
    <t>ZAFIRLUKAST20TB</t>
  </si>
  <si>
    <t>0053125084</t>
  </si>
  <si>
    <t>ZALEPLON 5MG CP</t>
  </si>
  <si>
    <t>0053125100</t>
  </si>
  <si>
    <t>ZIDOVUDINE 100MG CP</t>
  </si>
  <si>
    <t>ZIDOVUDINE100CP</t>
  </si>
  <si>
    <t>0053125126</t>
  </si>
  <si>
    <t>ZINC SULFATE 220MG TB</t>
  </si>
  <si>
    <t>ZINC SULF220TB</t>
  </si>
  <si>
    <t>0053125233</t>
  </si>
  <si>
    <t>ZINC SULFATE 220MG CP</t>
  </si>
  <si>
    <t>ZINC SULF220CP</t>
  </si>
  <si>
    <t>0053125290</t>
  </si>
  <si>
    <t>ZOLPIDEM 5MG TB</t>
  </si>
  <si>
    <t>ZOLPIDEM5MGTB</t>
  </si>
  <si>
    <t>0053125308</t>
  </si>
  <si>
    <t>ZOLPIDEM 10MG TB</t>
  </si>
  <si>
    <t>ZOLPIDEM10MGTB</t>
  </si>
  <si>
    <t>0053125324</t>
  </si>
  <si>
    <t>ZIPRASIDONE 20MG CP</t>
  </si>
  <si>
    <t>ZIPRASIDONE20CP</t>
  </si>
  <si>
    <t>0053125357</t>
  </si>
  <si>
    <t>ZONISAMIDE 100MG CP</t>
  </si>
  <si>
    <t>ZONISAMIDE100CP</t>
  </si>
  <si>
    <t>0053125563</t>
  </si>
  <si>
    <t>MOXIFLOXC PER100MG PMXIJ</t>
  </si>
  <si>
    <t>MOXIFLOXAC100IJ</t>
  </si>
  <si>
    <t>0053140117</t>
  </si>
  <si>
    <t>APAP 160M/5M 5ML LQ</t>
  </si>
  <si>
    <t>APAP 160/5-5 LQ</t>
  </si>
  <si>
    <t>0053140166</t>
  </si>
  <si>
    <t>APAP 160M/5M 20.3ML LQ</t>
  </si>
  <si>
    <t>APAP160/5-20LQ</t>
  </si>
  <si>
    <t>0053140323</t>
  </si>
  <si>
    <t>CHARCOAL 15GM/75ML LQ</t>
  </si>
  <si>
    <t>CHARCL 15-75 LQ</t>
  </si>
  <si>
    <t>0053140331</t>
  </si>
  <si>
    <t>CHAR/SORB25GM/120ML LQ</t>
  </si>
  <si>
    <t>CHR/SRB25-120LQ</t>
  </si>
  <si>
    <t>0053140349</t>
  </si>
  <si>
    <t>CHAR/SORB50GM/240ML LQ</t>
  </si>
  <si>
    <t>CHR/SRB50-240LQ</t>
  </si>
  <si>
    <t>0053140364</t>
  </si>
  <si>
    <t>CHARCOAL 25GM/120ML LQ</t>
  </si>
  <si>
    <t>CHARCL 25-120LQ</t>
  </si>
  <si>
    <t>0053140372</t>
  </si>
  <si>
    <t>CHARCOAL 50GM/240ML LQ</t>
  </si>
  <si>
    <t>CHARCL 50-240LQ</t>
  </si>
  <si>
    <t>0053140398</t>
  </si>
  <si>
    <t>ALBUTEROL2MG/5ML 5ML LQ</t>
  </si>
  <si>
    <t>ALB2/5M/M 5MLLQ</t>
  </si>
  <si>
    <t>0053140778</t>
  </si>
  <si>
    <t>AL/MG OH 30ML LQ</t>
  </si>
  <si>
    <t>AL/MG OH 30 LQ</t>
  </si>
  <si>
    <t>0053141099</t>
  </si>
  <si>
    <t>AL/MG OH 360ML LQ</t>
  </si>
  <si>
    <t>AL/MG OH 360 LQ</t>
  </si>
  <si>
    <t>0053141131</t>
  </si>
  <si>
    <t>AL/MG OH 150ML LQ</t>
  </si>
  <si>
    <t>AL/MG OH 150 LQ</t>
  </si>
  <si>
    <t>0053141198</t>
  </si>
  <si>
    <t>AL/MG OH/SIM 30ML ES LQ</t>
  </si>
  <si>
    <t>AL/MG/SIM30ESLQ</t>
  </si>
  <si>
    <t>0053141230</t>
  </si>
  <si>
    <t>AL/MG OH/SIM 150ML ES LQ</t>
  </si>
  <si>
    <t>AL/MG/SM150ESLQ</t>
  </si>
  <si>
    <t>0053141271</t>
  </si>
  <si>
    <t>AL/MG OH 5ML LQ</t>
  </si>
  <si>
    <t>0053141313</t>
  </si>
  <si>
    <t>AL/MG OH/SIM 30ML LQ</t>
  </si>
  <si>
    <t>AL/MG/SIM30MLLQ</t>
  </si>
  <si>
    <t>0053141669</t>
  </si>
  <si>
    <t>AL OH 600/5 360ML LQ</t>
  </si>
  <si>
    <t>AL OH 360ML LQ</t>
  </si>
  <si>
    <t>0053141776</t>
  </si>
  <si>
    <t>AMANTADINE 10M/M 5ML LQ</t>
  </si>
  <si>
    <t>AMANTADIN5ML LQ</t>
  </si>
  <si>
    <t>0053142352</t>
  </si>
  <si>
    <t>AMOXIC/CLAV125/5 75PWLQ</t>
  </si>
  <si>
    <t>AMOX/CLV12575LQ</t>
  </si>
  <si>
    <t>0053142394</t>
  </si>
  <si>
    <t>AMOXIC/CLAV250/5 75PWLQ</t>
  </si>
  <si>
    <t>AMOX/CLV75PWLQ</t>
  </si>
  <si>
    <t>0053142493</t>
  </si>
  <si>
    <t>AMOXICILLIN 125/5 5ML LQ</t>
  </si>
  <si>
    <t>AMOXIC 125 5LQ</t>
  </si>
  <si>
    <t>0053142535</t>
  </si>
  <si>
    <t>AMOXICILLIN 250/5 5ML LQ</t>
  </si>
  <si>
    <t>AMOXIC 250 5LQ</t>
  </si>
  <si>
    <t>0053142543</t>
  </si>
  <si>
    <t>AMOXICILN 250/5 100ML LQ</t>
  </si>
  <si>
    <t>AMOX250/5 100LQ</t>
  </si>
  <si>
    <t>0053142576</t>
  </si>
  <si>
    <t>AMOXICILLN 250/5 80ML LQ</t>
  </si>
  <si>
    <t>AMOXIC250 80LQ</t>
  </si>
  <si>
    <t>0053142808</t>
  </si>
  <si>
    <t>AMPICILLIN 250/5 5ML LQ</t>
  </si>
  <si>
    <t>AMPIC250 5LQ</t>
  </si>
  <si>
    <t>0053142931</t>
  </si>
  <si>
    <t>ATOVAQUONE 750/5 5ML LQ</t>
  </si>
  <si>
    <t>ATOVAQUONE 5 LQ</t>
  </si>
  <si>
    <t>0053143012</t>
  </si>
  <si>
    <t>AZITHROMYC 200/5 15ML LQ</t>
  </si>
  <si>
    <t>AZITHR 200 15LQ</t>
  </si>
  <si>
    <t>0053143038</t>
  </si>
  <si>
    <t>AZITHROMYCIN 1GM PWLQ</t>
  </si>
  <si>
    <t>AZITHROM 1 PWLQ</t>
  </si>
  <si>
    <t>0053143590</t>
  </si>
  <si>
    <t>BISMUTH SUBCARBN 15ML LQ</t>
  </si>
  <si>
    <t>BISMTH SUBC15LQ</t>
  </si>
  <si>
    <t>0053143814</t>
  </si>
  <si>
    <t>COLONIC LAVAGE 4L PWLQ</t>
  </si>
  <si>
    <t>COLONIC LAV 4L</t>
  </si>
  <si>
    <t>0053144044</t>
  </si>
  <si>
    <t>BROMPHEN/PSE 5ML LQ</t>
  </si>
  <si>
    <t>BROMPHN/PSE 5LQ</t>
  </si>
  <si>
    <t>0053144648</t>
  </si>
  <si>
    <t>CA GLUBIONT1.8/5 60ML LQ</t>
  </si>
  <si>
    <t>CA GLUB 60ML LQ</t>
  </si>
  <si>
    <t>0053144705</t>
  </si>
  <si>
    <t>CALCITRIOL1MCG/ML 1ML LQ</t>
  </si>
  <si>
    <t>CALCITROL 1MLLQ</t>
  </si>
  <si>
    <t>0053144713</t>
  </si>
  <si>
    <t>CALCITRIOL1MCG/ML 15MLLQ</t>
  </si>
  <si>
    <t>CALCITROL15MLLQ</t>
  </si>
  <si>
    <t>0053144820</t>
  </si>
  <si>
    <t>CARBAMAZEPINE100/5 5MLQ</t>
  </si>
  <si>
    <t>CARBAMZP5ML LQ</t>
  </si>
  <si>
    <t>0053144838</t>
  </si>
  <si>
    <t>CARBAMAZEPIN200/10 10MLQ</t>
  </si>
  <si>
    <t>CARBAMZP10ML LQ</t>
  </si>
  <si>
    <t>0053144929</t>
  </si>
  <si>
    <t>CARBINOX/PSE/DM 10ML LQ</t>
  </si>
  <si>
    <t>CRBX/PSE/DM10LQ</t>
  </si>
  <si>
    <t>0053145215</t>
  </si>
  <si>
    <t>CASTOR OIL 30ML LQ</t>
  </si>
  <si>
    <t>CASTOR OIL30 LQ</t>
  </si>
  <si>
    <t>0053145629</t>
  </si>
  <si>
    <t>CEPHALEXIN125/5 5ML PWLQ</t>
  </si>
  <si>
    <t>CEPHALEX125 5LQ</t>
  </si>
  <si>
    <t>0053145645</t>
  </si>
  <si>
    <t>CEPHALEXIN125/5 100 PWLQ</t>
  </si>
  <si>
    <t>CEPHALX125100LQ</t>
  </si>
  <si>
    <t>0053145686</t>
  </si>
  <si>
    <t>CEPHALEXIN250/5 100 PWLQ</t>
  </si>
  <si>
    <t>CEPHALX250100LQ</t>
  </si>
  <si>
    <t>0053145975</t>
  </si>
  <si>
    <t>PHENOL 1.4% 180ML SP</t>
  </si>
  <si>
    <t>PHENOL 180ML SP</t>
  </si>
  <si>
    <t>0053146155</t>
  </si>
  <si>
    <t>CHLORAL HYD500/5 5ML LQ</t>
  </si>
  <si>
    <t>CHLR HYDR 5 LQ</t>
  </si>
  <si>
    <t>0053146387</t>
  </si>
  <si>
    <t>CHLORHEXIDINE 15ML LQ</t>
  </si>
  <si>
    <t>CHLORHEXIDN15LQ</t>
  </si>
  <si>
    <t>0053146668</t>
  </si>
  <si>
    <t>CHLORPROMAZINE 10/5 30LQ</t>
  </si>
  <si>
    <t>CHLORPROMZ30LQ</t>
  </si>
  <si>
    <t>0053146791</t>
  </si>
  <si>
    <t>CHOLESTYRAMINE 9GM PWLQ</t>
  </si>
  <si>
    <t>CHOLESTYR 9PWLQ</t>
  </si>
  <si>
    <t>0053146809</t>
  </si>
  <si>
    <t>CHOLESTYRAMINE 4GM PWLQ</t>
  </si>
  <si>
    <t>CHOLESTYR 4PWLQ</t>
  </si>
  <si>
    <t>0053146817</t>
  </si>
  <si>
    <t>CHOLESTYRAMINE 5GM PWLQ</t>
  </si>
  <si>
    <t>CHOLESTYR 5PWLQ</t>
  </si>
  <si>
    <t>0053147542</t>
  </si>
  <si>
    <t>CITRATE MG 300ML LQ</t>
  </si>
  <si>
    <t>CITRATE MG300LQ</t>
  </si>
  <si>
    <t>0053148557</t>
  </si>
  <si>
    <t>SMX-TMP 200-40/5 20MLLQ</t>
  </si>
  <si>
    <t>SMX-TMP 20 LQ</t>
  </si>
  <si>
    <t>0053148755</t>
  </si>
  <si>
    <t>CYCLOSPORINE100MG/1ML LQ</t>
  </si>
  <si>
    <t>CYCLOSPOR1ML LQ</t>
  </si>
  <si>
    <t>0053149084</t>
  </si>
  <si>
    <t>DEXAMETHASONE .5/5ML LQ</t>
  </si>
  <si>
    <t>DEXAMETHAS 5 LQ</t>
  </si>
  <si>
    <t>0053149324</t>
  </si>
  <si>
    <t>DIAZOXIDE50MG/ML 30ML LQ</t>
  </si>
  <si>
    <t>DIAZOXIDE 30 LQ</t>
  </si>
  <si>
    <t>0053149332</t>
  </si>
  <si>
    <t>DIAZOXIDE50MG/ML 1ML LQ</t>
  </si>
  <si>
    <t>DIAZOXIDE 1 LQ</t>
  </si>
  <si>
    <t>0053149506</t>
  </si>
  <si>
    <t>DICYCLOMINE 10MG/5ML LQ</t>
  </si>
  <si>
    <t>DICYCLOMINE 5LQ</t>
  </si>
  <si>
    <t>0053149647</t>
  </si>
  <si>
    <t>DIGOXIN .05MG/ML 5ML LQ</t>
  </si>
  <si>
    <t>DIGOXIN 5ML LQ</t>
  </si>
  <si>
    <t>0053149985</t>
  </si>
  <si>
    <t>DIPHENHYDRA12.5MG/5ML LQ</t>
  </si>
  <si>
    <t>DIPHENHYDR 5LQ</t>
  </si>
  <si>
    <t>0053150017</t>
  </si>
  <si>
    <t>DIPHENHYDRA12.5/5 10 LQ</t>
  </si>
  <si>
    <t>DIPHENHYDR 10LQ</t>
  </si>
  <si>
    <t>0053150025</t>
  </si>
  <si>
    <t>DIPHENHYDRA 15/5 10ML LQ</t>
  </si>
  <si>
    <t>DIPHENHYDR 10ML</t>
  </si>
  <si>
    <t>0053150157</t>
  </si>
  <si>
    <t>DIPHENOXYLATE/ATRP 5 LQ</t>
  </si>
  <si>
    <t>DIPHENX/ATR5LQ</t>
  </si>
  <si>
    <t>0053150470</t>
  </si>
  <si>
    <t>DOCUSATE 10/1 30ML LQ</t>
  </si>
  <si>
    <t>DOCUSATE 30LQ</t>
  </si>
  <si>
    <t>0053150546</t>
  </si>
  <si>
    <t>DOCUSATE 100MG/10ML LQ</t>
  </si>
  <si>
    <t>DOCUSATE10ML LQ</t>
  </si>
  <si>
    <t>0053150819</t>
  </si>
  <si>
    <t>ATROP/HYOS/PB/SCOP10MLLQ</t>
  </si>
  <si>
    <t>AT/HY/PB/SC10LQ</t>
  </si>
  <si>
    <t>0053151213</t>
  </si>
  <si>
    <t>ENTECVR.05MG/ML 210ML LQ</t>
  </si>
  <si>
    <t>ENTECAVIR210 LQ</t>
  </si>
  <si>
    <t>0053151452</t>
  </si>
  <si>
    <t>ERYTHROMY200MG/5ML LQ</t>
  </si>
  <si>
    <t>ERYTHROM200/5LQ</t>
  </si>
  <si>
    <t>0053151510</t>
  </si>
  <si>
    <t>ERYTHROMYC/SULF 100 PWLQ</t>
  </si>
  <si>
    <t>ERYTH/SU100PWLQ</t>
  </si>
  <si>
    <t>0053151577</t>
  </si>
  <si>
    <t>ERYTHROMY250MG/5ML LQ</t>
  </si>
  <si>
    <t>ERYTHROM250/5LQ</t>
  </si>
  <si>
    <t>0053151916</t>
  </si>
  <si>
    <t>FERROUS GLUCO300MG/5MLLQ</t>
  </si>
  <si>
    <t>FERROUS GLUC5LQ</t>
  </si>
  <si>
    <t>0053152070</t>
  </si>
  <si>
    <t>FERROUS SULF 300MG/5MLLQ</t>
  </si>
  <si>
    <t>FE SULF300/5 LQ</t>
  </si>
  <si>
    <t>0053152104</t>
  </si>
  <si>
    <t>FERROUS SULF220MG/5ML LQ</t>
  </si>
  <si>
    <t>FE SULF220/5 LQ</t>
  </si>
  <si>
    <t>0053152278</t>
  </si>
  <si>
    <t>FLUOXETINE4MG/ML120ML LQ</t>
  </si>
  <si>
    <t>FLUOXETINE120LQ</t>
  </si>
  <si>
    <t>0053152450</t>
  </si>
  <si>
    <t>FUROSEMIDE10MG/ML 4ML LQ</t>
  </si>
  <si>
    <t>FUROSEMID4ML LQ</t>
  </si>
  <si>
    <t>0053152542</t>
  </si>
  <si>
    <t>GI COCKTAIL LQ</t>
  </si>
  <si>
    <t>0053152658</t>
  </si>
  <si>
    <t>GLUCOSAMINE 500MG CP</t>
  </si>
  <si>
    <t>GLUCOSAMN500 CP</t>
  </si>
  <si>
    <t>0053152807</t>
  </si>
  <si>
    <t>GUAF 200MG/10ML LQ</t>
  </si>
  <si>
    <t>GUAF200/10 10LQ</t>
  </si>
  <si>
    <t>0053152823</t>
  </si>
  <si>
    <t>GUAF 100MG/5ML 10ML LQ</t>
  </si>
  <si>
    <t>GUAF100/5 10LQ</t>
  </si>
  <si>
    <t>0053152849</t>
  </si>
  <si>
    <t>GUAF 100MG/5ML120ML LQ</t>
  </si>
  <si>
    <t>GF 120ML LQ</t>
  </si>
  <si>
    <t>0053152856</t>
  </si>
  <si>
    <t>GUAF 100MG/5ML 5ML LQ</t>
  </si>
  <si>
    <t>GF 5ML LQ</t>
  </si>
  <si>
    <t>0053152880</t>
  </si>
  <si>
    <t>GF/CODEINE10-100/5 5MLLQ</t>
  </si>
  <si>
    <t>GF/CODEINE 5 LQ</t>
  </si>
  <si>
    <t>0053152906</t>
  </si>
  <si>
    <t>GF/CODEINE10-100/5 10LQ</t>
  </si>
  <si>
    <t>GF/CODEINE 10LQ</t>
  </si>
  <si>
    <t>0053153011</t>
  </si>
  <si>
    <t>GF/DM 100-10/5 120ML LQ</t>
  </si>
  <si>
    <t>GF/DM 120ML LQ</t>
  </si>
  <si>
    <t>0053153037</t>
  </si>
  <si>
    <t>GF/DM 100-10/5 5ML LQ</t>
  </si>
  <si>
    <t>GF/DM 5ML LQ</t>
  </si>
  <si>
    <t>0053153045</t>
  </si>
  <si>
    <t>GF/DM 100-10/5 10ML LQ</t>
  </si>
  <si>
    <t>GF/DM 10ML LQ</t>
  </si>
  <si>
    <t>0053153128</t>
  </si>
  <si>
    <t>HALOPERIDOL2MG/ML 5ML LQ</t>
  </si>
  <si>
    <t>HALOPERID5MLLQ</t>
  </si>
  <si>
    <t>0053153250</t>
  </si>
  <si>
    <t>HYDROXYZINE 10MG/5ML LQ</t>
  </si>
  <si>
    <t>HYDROXYZINE5LQ</t>
  </si>
  <si>
    <t>0053153334</t>
  </si>
  <si>
    <t>HYOSCYAMINE.125MG/5MLLQ</t>
  </si>
  <si>
    <t>HYOSCYAMINE5LQ</t>
  </si>
  <si>
    <t>0053153359</t>
  </si>
  <si>
    <t>IBUPROFEN 100MG/5ML LQ</t>
  </si>
  <si>
    <t>IBUPROFEN 5MLLQ</t>
  </si>
  <si>
    <t>0053153367</t>
  </si>
  <si>
    <t>IBUPROFEN 100/5 120ML LQ</t>
  </si>
  <si>
    <t>IBUPROFEN 120LQ</t>
  </si>
  <si>
    <t>0053154076</t>
  </si>
  <si>
    <t>KAOLIN 240ML CMPD PWLQ</t>
  </si>
  <si>
    <t>KAOLIN 240 PWLQ</t>
  </si>
  <si>
    <t>0053154308</t>
  </si>
  <si>
    <t>LACOSAMIDE 10MG/1ML LQ</t>
  </si>
  <si>
    <t>LACOSAMID1ML LQ</t>
  </si>
  <si>
    <t>0053154407</t>
  </si>
  <si>
    <t>LACTOBACILLUS GR 1GM PK</t>
  </si>
  <si>
    <t>LACTOBACL GR1PK</t>
  </si>
  <si>
    <t>0053154563</t>
  </si>
  <si>
    <t>LACTULOSE 10/15 15ML LQ</t>
  </si>
  <si>
    <t>LACTULOSE15MLLQ</t>
  </si>
  <si>
    <t>0053154571</t>
  </si>
  <si>
    <t>LACTULOSE 10/15 240ML LQ</t>
  </si>
  <si>
    <t>LACTULOSE240 LQ</t>
  </si>
  <si>
    <t>0053154597</t>
  </si>
  <si>
    <t>LACTULOSE 10/15 30ML LQ</t>
  </si>
  <si>
    <t>LACTULOSE30MLLQ</t>
  </si>
  <si>
    <t>0053154787</t>
  </si>
  <si>
    <t>LEVETIRACETAM500MG/5MLLQ</t>
  </si>
  <si>
    <t>LEVETIRACTAM5LQ</t>
  </si>
  <si>
    <t>0053154852</t>
  </si>
  <si>
    <t>LITHIUM300MG/5ML 5ML LQ</t>
  </si>
  <si>
    <t>LITHIUM 5ML LQ</t>
  </si>
  <si>
    <t>0053154928</t>
  </si>
  <si>
    <t>LANSOPRAZOLE 30MG PWLQ</t>
  </si>
  <si>
    <t>LANSPOPRZ30PWLQ</t>
  </si>
  <si>
    <t>0053155032</t>
  </si>
  <si>
    <t>LIDOCAINE VISC 2% 20 LQ</t>
  </si>
  <si>
    <t>LIDOC VISC 20ML</t>
  </si>
  <si>
    <t>0053155040</t>
  </si>
  <si>
    <t>LIDOCAINE VISC 2% 30 LQ</t>
  </si>
  <si>
    <t>LIDOC VISC 30ML</t>
  </si>
  <si>
    <t>0053155057</t>
  </si>
  <si>
    <t>LIDOCAINE VISC 2% 100 LQ</t>
  </si>
  <si>
    <t>LIDOC VISC 100M</t>
  </si>
  <si>
    <t>0053155065</t>
  </si>
  <si>
    <t>LIDOCAINE VISC 2% 15MLLQ</t>
  </si>
  <si>
    <t>LIDOC VISC 15ML</t>
  </si>
  <si>
    <t>0053155271</t>
  </si>
  <si>
    <t>LOPERAMIDE 1/5 10ML LQ</t>
  </si>
  <si>
    <t>LOPERAMIDE 10LQ</t>
  </si>
  <si>
    <t>0053155289</t>
  </si>
  <si>
    <t>LOPERAMIDE 1/5 5ML LQ</t>
  </si>
  <si>
    <t>LOPERAMIDE 5LQ</t>
  </si>
  <si>
    <t>0053155297</t>
  </si>
  <si>
    <t>LOPERAMIDE 1/5 30ML LQ</t>
  </si>
  <si>
    <t>LOPERAMIDE 30LQ</t>
  </si>
  <si>
    <t>0053155412</t>
  </si>
  <si>
    <t>MAGIC MOUTHWASH CMPD LQ</t>
  </si>
  <si>
    <t>MAGIC MOUTHWASH</t>
  </si>
  <si>
    <t>0053155685</t>
  </si>
  <si>
    <t>MEGESTROL40MG/ML 10ML LQ</t>
  </si>
  <si>
    <t>MEGESTR40 10LQ</t>
  </si>
  <si>
    <t>0053155701</t>
  </si>
  <si>
    <t>MEGESTROL40MG/ML 20ML LQ</t>
  </si>
  <si>
    <t>MEGESTR40 20LQ</t>
  </si>
  <si>
    <t>0053156543</t>
  </si>
  <si>
    <t>METHYLDOPA 250MG/5ML LQ</t>
  </si>
  <si>
    <t>METHYLDOPA5LQ</t>
  </si>
  <si>
    <t>0053156683</t>
  </si>
  <si>
    <t>METOCLOPRAM5/5 10ML LQ</t>
  </si>
  <si>
    <t>METOCLOPRAM10LQ</t>
  </si>
  <si>
    <t>0053156691</t>
  </si>
  <si>
    <t>METOCLOPRAM 5MG/5ML LQ</t>
  </si>
  <si>
    <t>METOCLOPRAM 5LQ</t>
  </si>
  <si>
    <t>0053157145</t>
  </si>
  <si>
    <t>MINERAL OIL 30 ML LQ</t>
  </si>
  <si>
    <t>MINERAL OIL30LQ</t>
  </si>
  <si>
    <t>0053157426</t>
  </si>
  <si>
    <t>MG OH 8% 30ML LQ</t>
  </si>
  <si>
    <t>MG OH 30ML LQ</t>
  </si>
  <si>
    <t>0053158077</t>
  </si>
  <si>
    <t>MVI 5ML LQ</t>
  </si>
  <si>
    <t>0053158119</t>
  </si>
  <si>
    <t>MVI 15ML LQ</t>
  </si>
  <si>
    <t>0053158812</t>
  </si>
  <si>
    <t>NYSTATIN 5ML LQ</t>
  </si>
  <si>
    <t>0053159075</t>
  </si>
  <si>
    <t>OSELTAMIVIR 6/1 1ML PWLQ</t>
  </si>
  <si>
    <t>OSELTAM 1MLPWLQ</t>
  </si>
  <si>
    <t>0053159877</t>
  </si>
  <si>
    <t>PENICILLIN VK125M/5MPWLQ</t>
  </si>
  <si>
    <t>PEN VK 125 5LQ</t>
  </si>
  <si>
    <t>0053160065</t>
  </si>
  <si>
    <t>BISMUTH SUBSALI 15ML LQ</t>
  </si>
  <si>
    <t>BISMTHSUBS15LQ</t>
  </si>
  <si>
    <t>0053160073</t>
  </si>
  <si>
    <t>BISMUTH SUBSALI 120ML LQ</t>
  </si>
  <si>
    <t>BISMTHSUBS120LQ</t>
  </si>
  <si>
    <t>0053160206</t>
  </si>
  <si>
    <t>PHENOL/NA PHENOL180ML SP</t>
  </si>
  <si>
    <t>PHENOL/NAP180SP</t>
  </si>
  <si>
    <t>0053160594</t>
  </si>
  <si>
    <t>PHENYTOIN 100MG/4ML LQ</t>
  </si>
  <si>
    <t>PHENYTOIN 4MLLQ</t>
  </si>
  <si>
    <t>0053160628</t>
  </si>
  <si>
    <t>PHYTONADIONE CMPD 1ML LQ</t>
  </si>
  <si>
    <t>PHYTONAD 1M LLQ</t>
  </si>
  <si>
    <t>0053160727</t>
  </si>
  <si>
    <t>POLYETHYLE GLYCOL 17GMPW</t>
  </si>
  <si>
    <t>POLYETHGLYC17PW</t>
  </si>
  <si>
    <t>0053160735</t>
  </si>
  <si>
    <t>POLYETHYLE GLYCOL255GMPW</t>
  </si>
  <si>
    <t>POLYETHGLY255PW</t>
  </si>
  <si>
    <t>0053160743</t>
  </si>
  <si>
    <t>POLYSTYRENE 30GM PWLQ</t>
  </si>
  <si>
    <t>POLYSTYRE30PWLQ</t>
  </si>
  <si>
    <t>0053160750</t>
  </si>
  <si>
    <t>POLYSTYRENE 60ML LQ</t>
  </si>
  <si>
    <t>POLYSTYRENE60LQ</t>
  </si>
  <si>
    <t>0053160891</t>
  </si>
  <si>
    <t>KCL 10% 30ML LQ</t>
  </si>
  <si>
    <t>0053160933</t>
  </si>
  <si>
    <t>KCL 20% 15ML LQ</t>
  </si>
  <si>
    <t>0053160974</t>
  </si>
  <si>
    <t>KCL 20MEQ PK PWLQ</t>
  </si>
  <si>
    <t>KCL20MEQ PKPWLQ</t>
  </si>
  <si>
    <t>0053160990</t>
  </si>
  <si>
    <t>KCL EFF 20MEQ PWLQ</t>
  </si>
  <si>
    <t>KCL EFF 20 PWLQ</t>
  </si>
  <si>
    <t>0053161014</t>
  </si>
  <si>
    <t>K GLUCONATE10MEQ/15ML LQ</t>
  </si>
  <si>
    <t>K GLUCONATE15LQ</t>
  </si>
  <si>
    <t>0053161030</t>
  </si>
  <si>
    <t>KCL 20MEQ/15ML LQ</t>
  </si>
  <si>
    <t>KCL 15ML LQ</t>
  </si>
  <si>
    <t>0053161048</t>
  </si>
  <si>
    <t>KCL 40MEQ 30ML LQ</t>
  </si>
  <si>
    <t>KCL 30ML LQ</t>
  </si>
  <si>
    <t>0053161071</t>
  </si>
  <si>
    <t>K IODIDE 1GM/ML 30ML LQ</t>
  </si>
  <si>
    <t>K IODIDE 30MLLQ</t>
  </si>
  <si>
    <t>0053161097</t>
  </si>
  <si>
    <t>POTASSIUM 25MEQ EFF TB</t>
  </si>
  <si>
    <t>K 25MEQ EFF TB</t>
  </si>
  <si>
    <t>0053161105</t>
  </si>
  <si>
    <t>KCL EFF 25MEQ PWLQ</t>
  </si>
  <si>
    <t>KCL EFF 25 PWLQ</t>
  </si>
  <si>
    <t>0053161220</t>
  </si>
  <si>
    <t>PREDNISOLONE 5/5 5ML LQ</t>
  </si>
  <si>
    <t>PREDNISOLONE5LQ</t>
  </si>
  <si>
    <t>0053161238</t>
  </si>
  <si>
    <t>PREDNISOLONE 15/5 5ML LQ</t>
  </si>
  <si>
    <t>0053161253</t>
  </si>
  <si>
    <t>PRIMIDONE 250MG/5ML LQ</t>
  </si>
  <si>
    <t>PRIMIDONE 5MLLQ</t>
  </si>
  <si>
    <t>0053161329</t>
  </si>
  <si>
    <t>POTASSIUM 20MEQ EFF TB</t>
  </si>
  <si>
    <t>K 20MEQ EFF TB</t>
  </si>
  <si>
    <t>0053161477</t>
  </si>
  <si>
    <t>PROMETHAZIN/COD 5ML LQ</t>
  </si>
  <si>
    <t>PROMETHZ/CD 5LQ</t>
  </si>
  <si>
    <t>0053161550</t>
  </si>
  <si>
    <t>PROMETHAZ 6.25MG/5ML LQ</t>
  </si>
  <si>
    <t>PROMETHAZ5ML LQ</t>
  </si>
  <si>
    <t>0053161592</t>
  </si>
  <si>
    <t>PROMETHAZ/DM PED CMPD LQ</t>
  </si>
  <si>
    <t>PROMETH/DMPEDLQ</t>
  </si>
  <si>
    <t>0053161634</t>
  </si>
  <si>
    <t>PROMETHAZINE/PE 5ML LQ</t>
  </si>
  <si>
    <t>PROMETHAZ/PE5LQ</t>
  </si>
  <si>
    <t>0053161659</t>
  </si>
  <si>
    <t>PROMETHAZINE/DM 120ML LQ</t>
  </si>
  <si>
    <t>PROMETH/DM120LQ</t>
  </si>
  <si>
    <t>0053161675</t>
  </si>
  <si>
    <t>PROMETHAZ/PE/COD 5ML LQ</t>
  </si>
  <si>
    <t>PROME/PE/CD5LQ</t>
  </si>
  <si>
    <t>0053162053</t>
  </si>
  <si>
    <t>PSYLLIUM PK</t>
  </si>
  <si>
    <t>0053162582</t>
  </si>
  <si>
    <t>SALIVA SUBST 120ML LQ</t>
  </si>
  <si>
    <t>SALIVA SUB120LQ</t>
  </si>
  <si>
    <t>0053163184</t>
  </si>
  <si>
    <t>NA CITRA/CITRC AC 5ML LQ</t>
  </si>
  <si>
    <t>NA CIT/CT AC5LQ</t>
  </si>
  <si>
    <t>0053163333</t>
  </si>
  <si>
    <t>SIMETHICONE40/.6 15ML LQ</t>
  </si>
  <si>
    <t>SIMETHICONE15LQ</t>
  </si>
  <si>
    <t>0053163341</t>
  </si>
  <si>
    <t>SIMETHICONE40/.6 30ML LQ</t>
  </si>
  <si>
    <t>SIMETHICONE30LQ</t>
  </si>
  <si>
    <t>0053163374</t>
  </si>
  <si>
    <t>SIROLIMUS 1MG/ML 1ML LQ</t>
  </si>
  <si>
    <t>SIROLIMUS 1MLLQ</t>
  </si>
  <si>
    <t>0053163556</t>
  </si>
  <si>
    <t>NA CITRA/CITRC AC30ML LQ</t>
  </si>
  <si>
    <t>NA CIT/CTAC30LQ</t>
  </si>
  <si>
    <t>0053163648</t>
  </si>
  <si>
    <t>NA BIPHOPH/NA PHOS45MLLQ</t>
  </si>
  <si>
    <t>NA PHOSPH45MLLQ</t>
  </si>
  <si>
    <t>0053163739</t>
  </si>
  <si>
    <t>SORBITOL 70% 30ML LQ</t>
  </si>
  <si>
    <t>SORBITOL 30MLLQ</t>
  </si>
  <si>
    <t>0053163903</t>
  </si>
  <si>
    <t>SUCRALFATE 1G/10ML LQ</t>
  </si>
  <si>
    <t>SUCRALFAT10MLLQ</t>
  </si>
  <si>
    <t>0053164331</t>
  </si>
  <si>
    <t>THEOPHYLLINE80MG/15ML LQ</t>
  </si>
  <si>
    <t>THEOPHYLL15MLLQ</t>
  </si>
  <si>
    <t>0053165825</t>
  </si>
  <si>
    <t>VALPROATE250MG/5ML10MLLQ</t>
  </si>
  <si>
    <t>VALPROATE10MLLQ</t>
  </si>
  <si>
    <t>0053165858</t>
  </si>
  <si>
    <t>VALPROATE 250MG/5ML LQ</t>
  </si>
  <si>
    <t>VALPROATE 5MLLQ</t>
  </si>
  <si>
    <t>0053165932</t>
  </si>
  <si>
    <t>VANCOMYC 50/1 150MLKT LQ</t>
  </si>
  <si>
    <t>VANCO 150ML LQ</t>
  </si>
  <si>
    <t>0053165981</t>
  </si>
  <si>
    <t>VANCOMYCIN 1G/20MLPWLQ</t>
  </si>
  <si>
    <t>VANCOMYC 20PWLQ</t>
  </si>
  <si>
    <t>0053166021</t>
  </si>
  <si>
    <t>VANCOMYCIN CMPD LQ</t>
  </si>
  <si>
    <t>VANCOMYINCMPDLQ</t>
  </si>
  <si>
    <t>0053166187</t>
  </si>
  <si>
    <t>VITAMIN C 1ML DR LQ</t>
  </si>
  <si>
    <t>VIT C 1ML DR LQ</t>
  </si>
  <si>
    <t>0053180048</t>
  </si>
  <si>
    <t>ACETAZOLAMI UPTO 500MGIJ</t>
  </si>
  <si>
    <t>ACETAZOLAM500IJ</t>
  </si>
  <si>
    <t>0053180089</t>
  </si>
  <si>
    <t>ABCIXIMAB PER 10MG IJ</t>
  </si>
  <si>
    <t>ABCIXIMAB 10IJ</t>
  </si>
  <si>
    <t>0053180154</t>
  </si>
  <si>
    <t>ACYCLOVIR PER 5MG IJ</t>
  </si>
  <si>
    <t>ACYCLOVIR 5MGIJ</t>
  </si>
  <si>
    <t>0053180162</t>
  </si>
  <si>
    <t>ACETYLCYSTEIN PER100MGIJ</t>
  </si>
  <si>
    <t>ACETYLCYST100IJ</t>
  </si>
  <si>
    <t>0053180170</t>
  </si>
  <si>
    <t>ADALIMUMAB PER 20MG IJ</t>
  </si>
  <si>
    <t>ADALIMUMAB 20IJ</t>
  </si>
  <si>
    <t>0053180329</t>
  </si>
  <si>
    <t>ALBUMIN 5% PER 250ML IJ</t>
  </si>
  <si>
    <t>ALBUMIN5% 250IJ</t>
  </si>
  <si>
    <t>0053180477</t>
  </si>
  <si>
    <t>ADENOSINE PER 1MG IJ</t>
  </si>
  <si>
    <t>ADENOSINE 1MGIJ</t>
  </si>
  <si>
    <t>0053180634</t>
  </si>
  <si>
    <t>ALBUMIN 25% PER 50ML IJ</t>
  </si>
  <si>
    <t>ALBUMIN25% 50IJ</t>
  </si>
  <si>
    <t>0053180774</t>
  </si>
  <si>
    <t>ETHANOL99% 5ML IJ</t>
  </si>
  <si>
    <t>ETHANOL 5ML IJ</t>
  </si>
  <si>
    <t>0053180899</t>
  </si>
  <si>
    <t>METHOTREXATE PER 50MG IJ</t>
  </si>
  <si>
    <t>METHOTREX50MGIJ</t>
  </si>
  <si>
    <t>0053180923</t>
  </si>
  <si>
    <t>ALTEPLASE PER 1MG IJ</t>
  </si>
  <si>
    <t>ALTEPLASE 1MGIJ</t>
  </si>
  <si>
    <t>0053181145</t>
  </si>
  <si>
    <t>AMIKACIN PER 100MG IJ</t>
  </si>
  <si>
    <t>AMIKACIN100MGIJ</t>
  </si>
  <si>
    <t>0053181301</t>
  </si>
  <si>
    <t>AMIFOSTINE PER 500MG IJ</t>
  </si>
  <si>
    <t>AMIFOSTN500MGIJ</t>
  </si>
  <si>
    <t>0053181517</t>
  </si>
  <si>
    <t>AMINOCAPROIC ACID 5GM IJ</t>
  </si>
  <si>
    <t>AMINOCAPRO5GMIJ</t>
  </si>
  <si>
    <t>0053181772</t>
  </si>
  <si>
    <t>AMINOPHYLLIN UPTO250MGIJ</t>
  </si>
  <si>
    <t>AMINOPHYLL250IJ</t>
  </si>
  <si>
    <t>0053181996</t>
  </si>
  <si>
    <t>AMIODARONE PER 30MG IJ</t>
  </si>
  <si>
    <t>AMIODARON30MGIJ</t>
  </si>
  <si>
    <t>0053182432</t>
  </si>
  <si>
    <t>AMPHOTER B LC PER 10MGIJ</t>
  </si>
  <si>
    <t>AMPHOTBLC10MGIJ</t>
  </si>
  <si>
    <t>0053182457</t>
  </si>
  <si>
    <t>AMPHOTERICIN B 50MG IJ</t>
  </si>
  <si>
    <t>AMPHOTER50MG IJ</t>
  </si>
  <si>
    <t>0053182507</t>
  </si>
  <si>
    <t>AMPHOTE B CHOL PER10MGIJ</t>
  </si>
  <si>
    <t>AMPHOTBCHOL10IJ</t>
  </si>
  <si>
    <t>0053182515</t>
  </si>
  <si>
    <t>AMPHOT B LIPOS PER10MGIJ</t>
  </si>
  <si>
    <t>AMPHOTBLIPO10IJ</t>
  </si>
  <si>
    <t>0053182648</t>
  </si>
  <si>
    <t>AMPICILLIN 250MG IJ</t>
  </si>
  <si>
    <t>AMPICILL250MGIJ</t>
  </si>
  <si>
    <t>0053182655</t>
  </si>
  <si>
    <t>AMPICILLIN PER 500MG IJ</t>
  </si>
  <si>
    <t>AMPICILL500MGIJ</t>
  </si>
  <si>
    <t>0053182929</t>
  </si>
  <si>
    <t>AMPICIL/SUL PER1.5GM IJ</t>
  </si>
  <si>
    <t>AMPIC/SU1.5GMIJ</t>
  </si>
  <si>
    <t>0053183158</t>
  </si>
  <si>
    <t>ASCORBIC ACID 1GM/2ML IJ</t>
  </si>
  <si>
    <t>ASCORB AC 2MLIJ</t>
  </si>
  <si>
    <t>0053183174</t>
  </si>
  <si>
    <t>ANTITHYM IG EQU 250MG IJ</t>
  </si>
  <si>
    <t>ANTITHY EQ250IJ</t>
  </si>
  <si>
    <t>0053183307</t>
  </si>
  <si>
    <t>ANIDULAFUNGIN PER 1 MGIJ</t>
  </si>
  <si>
    <t>ANIDULAFUNGN1IJ</t>
  </si>
  <si>
    <t>0053183380</t>
  </si>
  <si>
    <t>APAP NOS PER 10MG IJ</t>
  </si>
  <si>
    <t>APAP NOS 10MG I</t>
  </si>
  <si>
    <t>0053183448</t>
  </si>
  <si>
    <t>ARGATROBAN NONESRD 1MGIJ</t>
  </si>
  <si>
    <t>ARGATROB 1MG IJ</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</si>
  <si>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</si>
  <si>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</si>
  <si>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</si>
  <si>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</si>
  <si>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</si>
  <si>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</si>
  <si>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</si>
  <si>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</si>
  <si>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</si>
  <si>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</si>
  <si>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</si>
  <si>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</si>
  <si>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0053184248</t>
  </si>
  <si>
    <t>AZITHROM PER500MG IVPBIJ</t>
  </si>
  <si>
    <t>AZITHR500IVPBIJ</t>
  </si>
  <si>
    <t>0053184305</t>
  </si>
  <si>
    <t>AZTREONAM PER 100MG IJ</t>
  </si>
  <si>
    <t>AZTREONAM PER 1</t>
  </si>
  <si>
    <t>0053184537</t>
  </si>
  <si>
    <t>BACITRACIN 50000U IJ</t>
  </si>
  <si>
    <t>BACITRACN50KUIJ</t>
  </si>
  <si>
    <t>0053185104</t>
  </si>
  <si>
    <t>BENDAMUSTINE PER 1MG IJ</t>
  </si>
  <si>
    <t>TREANDA 1MG IJ</t>
  </si>
  <si>
    <t>0053185385</t>
  </si>
  <si>
    <t>BENZTROPINE PER 1MG IJ</t>
  </si>
  <si>
    <t>BENZTROPIN1MGIJ</t>
  </si>
  <si>
    <t>0053185583</t>
  </si>
  <si>
    <t>BETAMETHASONE PER 6MG IJ</t>
  </si>
  <si>
    <t>BETAMETH 6MG IJ</t>
  </si>
  <si>
    <t>0053186078</t>
  </si>
  <si>
    <t>BEVACIZUMAB PER 10MG IJ</t>
  </si>
  <si>
    <t>BEVACIZUMAB10IJ</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</si>
  <si>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</si>
  <si>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</si>
  <si>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</si>
  <si>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</si>
  <si>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</si>
  <si>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</si>
  <si>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</si>
  <si>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</si>
  <si>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</si>
  <si>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</si>
  <si>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</si>
  <si>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</si>
  <si>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0053186672</t>
  </si>
  <si>
    <t>BRIVARACETAM 50MG/5ML IJ</t>
  </si>
  <si>
    <t>BRIVARACETAM 5M</t>
  </si>
  <si>
    <t>0053186847</t>
  </si>
  <si>
    <t>BUMETANIDE PER .5MG IJ</t>
  </si>
  <si>
    <t>BUMETANID.5MGIJ</t>
  </si>
  <si>
    <t>0053186920</t>
  </si>
  <si>
    <t>BUPIVACAIN LIPO PER1MGIJ</t>
  </si>
  <si>
    <t>BUPIV LIP 1MGIJ</t>
  </si>
  <si>
    <t>0053187522</t>
  </si>
  <si>
    <t>BUTORPHANOL PER 1MG IJ</t>
  </si>
  <si>
    <t>BUTORPHANO1MGIJ</t>
  </si>
  <si>
    <t>0053187688</t>
  </si>
  <si>
    <t>BUPIVACAINE NOS PER 0.5MG IJ</t>
  </si>
  <si>
    <t>BUPIVACAINE NOS</t>
  </si>
  <si>
    <t>0053187720</t>
  </si>
  <si>
    <t>BUPIVACAIN PF NOS PER 0.5MG IJ</t>
  </si>
  <si>
    <t>BUPIVACN PF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</si>
  <si>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</si>
  <si>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</si>
  <si>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</si>
  <si>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</si>
  <si>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</si>
  <si>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</si>
  <si>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</si>
  <si>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</si>
  <si>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</si>
  <si>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</si>
  <si>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</si>
  <si>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</si>
  <si>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</si>
  <si>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</si>
  <si>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</si>
  <si>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0053188264</t>
  </si>
  <si>
    <t>CA GLUC 1GM NS 100ML IJ</t>
  </si>
  <si>
    <t>CAGLUC1GM 100ML</t>
  </si>
  <si>
    <t>0053188512</t>
  </si>
  <si>
    <t>CANDIDA SKIN TEST PER IJ</t>
  </si>
  <si>
    <t>CAND SKN TST IJ</t>
  </si>
  <si>
    <t>0053188553</t>
  </si>
  <si>
    <t>CANGRELOR PER 1MG IJ</t>
  </si>
  <si>
    <t>CANGRELOR 1MGIJ</t>
  </si>
  <si>
    <t>0053189106</t>
  </si>
  <si>
    <t>CARBOPROST 250MCG/1MLIJ</t>
  </si>
  <si>
    <t>CARBOPROST1MLIJ</t>
  </si>
  <si>
    <t>0053189114</t>
  </si>
  <si>
    <t>CARBOPLATIN PER50MG IJ</t>
  </si>
  <si>
    <t>CARBOPLA50MG IJ</t>
  </si>
  <si>
    <t>0053189155</t>
  </si>
  <si>
    <t>CARDIOPLEG SOL 1000ML IJ</t>
  </si>
  <si>
    <t>CARDIOP1000MLIJ</t>
  </si>
  <si>
    <t>0053189197</t>
  </si>
  <si>
    <t>CARDIOPLEG SOL 500ML IJ</t>
  </si>
  <si>
    <t>CARDIOPL500MLIJ</t>
  </si>
  <si>
    <t>0053189262</t>
  </si>
  <si>
    <t>CARDIOPLEG SOL 1053ML IJ</t>
  </si>
  <si>
    <t>CARDIOPL830MLIJ</t>
  </si>
  <si>
    <t>0053189338</t>
  </si>
  <si>
    <t>CASPOFUNGIN PER 5MG IJ</t>
  </si>
  <si>
    <t>CASPOFUNGN5MGIJ</t>
  </si>
  <si>
    <t>0053189734</t>
  </si>
  <si>
    <t>CEFAZOLIN 500MG IVPB IJ</t>
  </si>
  <si>
    <t>CEFAZOL500PBIJ</t>
  </si>
  <si>
    <t>0053189767</t>
  </si>
  <si>
    <t>CEFAZOLIN 500MG IJ</t>
  </si>
  <si>
    <t>CEFAZOL 500MGIJ</t>
  </si>
  <si>
    <t>0053189775</t>
  </si>
  <si>
    <t>CEFAZOLIN 500MG PMX IJ</t>
  </si>
  <si>
    <t>CEFAZOL500PMXIJ</t>
  </si>
  <si>
    <t>0053189858</t>
  </si>
  <si>
    <t>CEFEPIME PER 500MG IJ</t>
  </si>
  <si>
    <t>CEFEPIME500MGIJ</t>
  </si>
  <si>
    <t>0053189882</t>
  </si>
  <si>
    <t>CEFEPIME PER500MG IVPBIJ</t>
  </si>
  <si>
    <t>CEFEPIME500IVPB</t>
  </si>
  <si>
    <t>0053189890</t>
  </si>
  <si>
    <t>CEFEPIME PER500MG PMX IJ</t>
  </si>
  <si>
    <t>CEFEPIME500PMX</t>
  </si>
  <si>
    <t>0053190237</t>
  </si>
  <si>
    <t>CEFOTAXIME PER 1GM IJ</t>
  </si>
  <si>
    <t>CEFOTAXIME1GMIJ</t>
  </si>
  <si>
    <t>0053190302</t>
  </si>
  <si>
    <t>CEFOTETAN 1GM IJ</t>
  </si>
  <si>
    <t>CEFOTETAN 1GMIJ</t>
  </si>
  <si>
    <t>0053190310</t>
  </si>
  <si>
    <t>CEFOTETAN 2GM IJ</t>
  </si>
  <si>
    <t>CEFOTETAN 2GMIJ</t>
  </si>
  <si>
    <t>0053190336</t>
  </si>
  <si>
    <t>CEFOTETAN 1GM PMX IJ</t>
  </si>
  <si>
    <t>CEFOTET1GMPMXIJ</t>
  </si>
  <si>
    <t>0053190344</t>
  </si>
  <si>
    <t>CEFOTETAN 2GM PMX IJ</t>
  </si>
  <si>
    <t>CEFOTET2GMPMXIJ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</si>
  <si>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</si>
  <si>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</si>
  <si>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</si>
  <si>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</si>
  <si>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</si>
  <si>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</si>
  <si>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</si>
  <si>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</si>
  <si>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</si>
  <si>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</si>
  <si>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</si>
  <si>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</si>
  <si>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</si>
  <si>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</si>
  <si>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</si>
  <si>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</si>
  <si>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</si>
  <si>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</si>
  <si>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</si>
  <si>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</si>
  <si>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</si>
  <si>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0053190914</t>
  </si>
  <si>
    <t>CEFTRIAX PER250MG IVPBIJ</t>
  </si>
  <si>
    <t>CEFTRIAX250PBIJ</t>
  </si>
  <si>
    <t>0053190922</t>
  </si>
  <si>
    <t>CEFTRIAX PER250MG PMXIJ</t>
  </si>
  <si>
    <t>CEFTRIA250PMXIJ</t>
  </si>
  <si>
    <t>0053191011</t>
  </si>
  <si>
    <t>CEFUROXIME PER 750MG IJ</t>
  </si>
  <si>
    <t>CEFUROX750MG IJ</t>
  </si>
  <si>
    <t>0053192019</t>
  </si>
  <si>
    <t>CETUXIMAB PER 10MG IJ</t>
  </si>
  <si>
    <t>CETUXIMAB10MGIJ</t>
  </si>
  <si>
    <t>0053192050</t>
  </si>
  <si>
    <t>CHLORDIAZEPOXUPTO100MGIJ</t>
  </si>
  <si>
    <t>CHLORDIAZE100IJ</t>
  </si>
  <si>
    <t>0053192621</t>
  </si>
  <si>
    <t>CHLOROTHIAZID PER500MGIJ</t>
  </si>
  <si>
    <t>CHLOROTHIA500IJ</t>
  </si>
  <si>
    <t>0053193090</t>
  </si>
  <si>
    <t>CHLORPROMAZ UPTO 50MG IJ</t>
  </si>
  <si>
    <t>CHLORPRMZ50MGIJ</t>
  </si>
  <si>
    <t>0053193777</t>
  </si>
  <si>
    <t>CIMETIDINE PER 300MG IJ</t>
  </si>
  <si>
    <t>CIMETID300MG 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</si>
  <si>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</si>
  <si>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</si>
  <si>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</si>
  <si>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</si>
  <si>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</si>
  <si>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</si>
  <si>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</si>
  <si>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</si>
  <si>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</si>
  <si>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</si>
  <si>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</si>
  <si>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</si>
  <si>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</si>
  <si>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</si>
  <si>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</si>
  <si>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0053194098</t>
  </si>
  <si>
    <t>CLEVIDIPINE PER 1MG IJ</t>
  </si>
  <si>
    <t>CLEVIDIP 1MG IJ</t>
  </si>
  <si>
    <t>0053194106</t>
  </si>
  <si>
    <t>CIT/PHOS/DEX 500ML IJ</t>
  </si>
  <si>
    <t>CPD 500ML IJ</t>
  </si>
  <si>
    <t>0053194213</t>
  </si>
  <si>
    <t>CLADRIBINE PER 1MG IJ</t>
  </si>
  <si>
    <t>CLADRIBINE1MGIJ</t>
  </si>
  <si>
    <t>0053194247</t>
  </si>
  <si>
    <t>CLINDAMYCIN PER 300MG IJ</t>
  </si>
  <si>
    <t>CLINDAMY300MGIJ</t>
  </si>
  <si>
    <t>0053194254</t>
  </si>
  <si>
    <t>CLINDAMYCIN PER 300MG PMX IJ</t>
  </si>
  <si>
    <t>CLINDAM300PMXIJ</t>
  </si>
  <si>
    <t>0053194403</t>
  </si>
  <si>
    <t>CLONIDINE PER 1MG IJ</t>
  </si>
  <si>
    <t>CLONIDINE 1MGIJ</t>
  </si>
  <si>
    <t>0053194478</t>
  </si>
  <si>
    <t>FACTOR XA REC-ZHZO PER 10MG IJ</t>
  </si>
  <si>
    <t>FAC XA REC-ZHZO</t>
  </si>
  <si>
    <t>0053194916</t>
  </si>
  <si>
    <t>COLISTIMETHA UPTO150MGIJ</t>
  </si>
  <si>
    <t>COLISTIMET150IJ</t>
  </si>
  <si>
    <t>0053195756</t>
  </si>
  <si>
    <t>CORTROSYN PER.25MG IJ</t>
  </si>
  <si>
    <t>CORTROSY.25MGIJ</t>
  </si>
  <si>
    <t>0053195897</t>
  </si>
  <si>
    <t>COSYNTROPIN PER.25MG IJ</t>
  </si>
  <si>
    <t>COSYNTRO.25MGIJ</t>
  </si>
  <si>
    <t>0053196119</t>
  </si>
  <si>
    <t>SULFAMETH/TRIM PER 5MLIJ</t>
  </si>
  <si>
    <t>SULF/TRIM 5MLIJ</t>
  </si>
  <si>
    <t>0053196127</t>
  </si>
  <si>
    <t>SULFAMETH/TRIM PER10MLIJ</t>
  </si>
  <si>
    <t>SULF/TRIM10MLIJ</t>
  </si>
  <si>
    <t>0053196747</t>
  </si>
  <si>
    <t>CYANOCOBALAMN UPTO1MG IJ</t>
  </si>
  <si>
    <t>CYANOCOBAL1MGIJ</t>
  </si>
  <si>
    <t>0053196804</t>
  </si>
  <si>
    <t>CYTARABINE 100MG IJ</t>
  </si>
  <si>
    <t>CYTARAB 100MGIJ</t>
  </si>
  <si>
    <t>0053197158</t>
  </si>
  <si>
    <t>CYCLOSPORINE PER250MG IJ</t>
  </si>
  <si>
    <t>CYCLOSPO250MGIJ</t>
  </si>
  <si>
    <t>0053197273</t>
  </si>
  <si>
    <t>CYTARABINE LIP PER10MGIJ</t>
  </si>
  <si>
    <t>CYTARABIN L10IJ</t>
  </si>
  <si>
    <t>0053197356</t>
  </si>
  <si>
    <t>DACARBAZINE 100MG IJ</t>
  </si>
  <si>
    <t>DACARBAZ100MGIJ</t>
  </si>
  <si>
    <t>0053197448</t>
  </si>
  <si>
    <t>DACLIZUMAB PER 25MG IJ</t>
  </si>
  <si>
    <t>DACLIZUMAB 25IJ</t>
  </si>
  <si>
    <t>0053197455</t>
  </si>
  <si>
    <t>DACTINOMYCIN PER.5MG IJ</t>
  </si>
  <si>
    <t>DACTINOM.5MG IJ</t>
  </si>
  <si>
    <t>0053197505</t>
  </si>
  <si>
    <t>DALTEPARIN PER 2500U IJ</t>
  </si>
  <si>
    <t>DALTEPAR2500UIJ</t>
  </si>
  <si>
    <t>0053197521</t>
  </si>
  <si>
    <t>DANTROLENE 20MG/70ML IJ</t>
  </si>
  <si>
    <t>DANTROLEN70MLIJ</t>
  </si>
  <si>
    <t>0053197596</t>
  </si>
  <si>
    <t>DAPTOMYCIN PER 1MG IJ</t>
  </si>
  <si>
    <t>DAPTOMYCIN1MGIJ</t>
  </si>
  <si>
    <t>0053197653</t>
  </si>
  <si>
    <t>DARBEPO ALFA PER 1MCG IJ</t>
  </si>
  <si>
    <t>DARBEPOETIN1MCG</t>
  </si>
  <si>
    <t>0053197661</t>
  </si>
  <si>
    <t>DARBEPO ESRD PER 1MCG IJ</t>
  </si>
  <si>
    <t>0053197752</t>
  </si>
  <si>
    <t>DAUNORUBICIN PER10MG IJ</t>
  </si>
  <si>
    <t>DAUNORUB10MG IJ</t>
  </si>
  <si>
    <t>0053197810</t>
  </si>
  <si>
    <t>DECITABINE PER 1MG IJ</t>
  </si>
  <si>
    <t>DECITABINE1MGIJ</t>
  </si>
  <si>
    <t>0053197943</t>
  </si>
  <si>
    <t>DEFEROXAMINE PER500MG IJ</t>
  </si>
  <si>
    <t>DEFEROXAMN500IJ</t>
  </si>
  <si>
    <t>0053198198</t>
  </si>
  <si>
    <t>DESMOPRESSIN PER 1MCG IJ</t>
  </si>
  <si>
    <t>DESMOPRES1MCGIJ</t>
  </si>
  <si>
    <t>0053198644</t>
  </si>
  <si>
    <t>DEXAMETHASONE-S PER1MGIJ</t>
  </si>
  <si>
    <t>DEXAMETHAS1MGIJ</t>
  </si>
  <si>
    <t>0053198800</t>
  </si>
  <si>
    <t>DEXMEDETOMIDINE200MCGIJ</t>
  </si>
  <si>
    <t>DEXMEDETOM200IJ</t>
  </si>
  <si>
    <t>0053198966</t>
  </si>
  <si>
    <t>DEXTRAN 70 100ML IJ</t>
  </si>
  <si>
    <t>DEXTRAN70 100ML</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</si>
  <si>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</si>
  <si>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</si>
  <si>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</si>
  <si>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</si>
  <si>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</si>
  <si>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</si>
  <si>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</si>
  <si>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</si>
  <si>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</si>
  <si>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</si>
  <si>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</si>
  <si>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</si>
  <si>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</si>
  <si>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</si>
  <si>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</si>
  <si>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</si>
  <si>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</si>
  <si>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</si>
  <si>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</si>
  <si>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</si>
  <si>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</si>
  <si>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</si>
  <si>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</si>
  <si>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</si>
  <si>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0053200614</t>
  </si>
  <si>
    <t>DILTIAZEM 50 MG IJ</t>
  </si>
  <si>
    <t>DILTIAZE 50MGIJ</t>
  </si>
  <si>
    <t>0053200648</t>
  </si>
  <si>
    <t>DILTIAZEM 125 MG IJ</t>
  </si>
  <si>
    <t>DILTIAZE125MGIJ</t>
  </si>
  <si>
    <t>0053200705</t>
  </si>
  <si>
    <t>DIMENHYDRINAT UPTO50MGIJ</t>
  </si>
  <si>
    <t>DIMENHYDRIN50IJ</t>
  </si>
  <si>
    <t>0053201174</t>
  </si>
  <si>
    <t>DIPHENHYDR UPTO 50MG IJ</t>
  </si>
  <si>
    <t>DIPHENHYDR 50MG</t>
  </si>
  <si>
    <t>0053201372</t>
  </si>
  <si>
    <t>DIPHTHER TET &gt;7YR PF IJ</t>
  </si>
  <si>
    <t>DIPHTH TET&gt;7IJ</t>
  </si>
  <si>
    <t>0053201471</t>
  </si>
  <si>
    <t>TDAP &gt; 7YR VAC IJ</t>
  </si>
  <si>
    <t>TDAP&gt;7YR VAC IJ</t>
  </si>
  <si>
    <t>0053201851</t>
  </si>
  <si>
    <t>DOBUTAMINE PER250MG IJ</t>
  </si>
  <si>
    <t>DOBUTAM 250MGIJ</t>
  </si>
  <si>
    <t>0053201869</t>
  </si>
  <si>
    <t>DOBUTAMN PER250MG PMX IJ</t>
  </si>
  <si>
    <t>DOBUTAM250MG IJ</t>
  </si>
  <si>
    <t>0053201943</t>
  </si>
  <si>
    <t>DOCETAXEL PER 1MG IJ</t>
  </si>
  <si>
    <t>DOCETAXEL 1MGIJ</t>
  </si>
  <si>
    <t>0053202081</t>
  </si>
  <si>
    <t>DOPAMINE PER40MG PMX IJ</t>
  </si>
  <si>
    <t>DOPAMINE40PMXIJ</t>
  </si>
  <si>
    <t>0053202107</t>
  </si>
  <si>
    <t>DOPAMINE PER40MG IV IJ</t>
  </si>
  <si>
    <t>DOPAMINE 40IVIJ</t>
  </si>
  <si>
    <t>0053202297</t>
  </si>
  <si>
    <t>DORIPENEM PER 10MG IJ</t>
  </si>
  <si>
    <t>DORIPEN 10MG IJ</t>
  </si>
  <si>
    <t>0053202453</t>
  </si>
  <si>
    <t>DOXAPRAM 20MG/ML 1ML IJ</t>
  </si>
  <si>
    <t>DOXAPRAM 1MLIJ</t>
  </si>
  <si>
    <t>0053202685</t>
  </si>
  <si>
    <t>DOXORUBICIN PER 10MG IJ</t>
  </si>
  <si>
    <t>DOXORUB 10MG IJ</t>
  </si>
  <si>
    <t>0053202768</t>
  </si>
  <si>
    <t>DOXORUB (LIPODOX) 10MGIJ</t>
  </si>
  <si>
    <t>LIPODOX 10MG IJ</t>
  </si>
  <si>
    <t>0053202776</t>
  </si>
  <si>
    <t>DOXORUBIC LIP PER10MGIJ</t>
  </si>
  <si>
    <t>0053202941</t>
  </si>
  <si>
    <t>DOXYCYCLINE 100MG IJ</t>
  </si>
  <si>
    <t>DOXYCYCL100MGIJ</t>
  </si>
  <si>
    <t>0053203055</t>
  </si>
  <si>
    <t>DROPERIDOL UPTO 5MG IJ</t>
  </si>
  <si>
    <t>DROPERIDOL5MGIJ</t>
  </si>
  <si>
    <t>0053203105</t>
  </si>
  <si>
    <t>DROTRECOGIN ALFA 5MG IJ</t>
  </si>
  <si>
    <t>DROTRECOGIN 5IJ</t>
  </si>
  <si>
    <t>0053203386</t>
  </si>
  <si>
    <t>EDROPHONIUM10MG/ML15MLIJ</t>
  </si>
  <si>
    <t>EDROPHON15ML IJ</t>
  </si>
  <si>
    <t>0053203899</t>
  </si>
  <si>
    <t>EPHEDRINE50MGNS 5MLPFSIJ</t>
  </si>
  <si>
    <t>EPHED50NS 5MLIJ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</si>
  <si>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</si>
  <si>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</si>
  <si>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</si>
  <si>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</si>
  <si>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</si>
  <si>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</si>
  <si>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</si>
  <si>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</si>
  <si>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</si>
  <si>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</si>
  <si>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</si>
  <si>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</si>
  <si>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</si>
  <si>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</si>
  <si>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</si>
  <si>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0053204202</t>
  </si>
  <si>
    <t>EPIRUBICIN PER 2MG IJ</t>
  </si>
  <si>
    <t>EPIRUBICIN2MGIJ</t>
  </si>
  <si>
    <t>0053204319</t>
  </si>
  <si>
    <t>EPOETIN NON-ESRD 1000U IJ</t>
  </si>
  <si>
    <t>EPOETIN NON-ESR</t>
  </si>
  <si>
    <t>0053204491</t>
  </si>
  <si>
    <t>EPTIFIBATIDE PER 5MG IJ</t>
  </si>
  <si>
    <t>EPTIFIBATIDE5IJ</t>
  </si>
  <si>
    <t>0053204541</t>
  </si>
  <si>
    <t>ERIBULIN PER 0.1MG IJ</t>
  </si>
  <si>
    <t>ERIBULIN0.1MGIJ</t>
  </si>
  <si>
    <t>0053204582</t>
  </si>
  <si>
    <t>EPINEPHRINE PER 0.1MG IJ</t>
  </si>
  <si>
    <t>EPINEPHR0.1MGIJ</t>
  </si>
  <si>
    <t>0053204616</t>
  </si>
  <si>
    <t>EPINEPHRIN4MG/D5W250MLIJ</t>
  </si>
  <si>
    <t>EPI4MG/D5W250IJ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</si>
  <si>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</si>
  <si>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</si>
  <si>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</si>
  <si>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</si>
  <si>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</si>
  <si>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</si>
  <si>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</si>
  <si>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</si>
  <si>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</si>
  <si>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</si>
  <si>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</si>
  <si>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</si>
  <si>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0053205225</t>
  </si>
  <si>
    <t>ESOMEPRAZOLE 40MG IJ</t>
  </si>
  <si>
    <t>ESOMEPRAZOL40IJ</t>
  </si>
  <si>
    <t>0053205282</t>
  </si>
  <si>
    <t>ESMOLOL PER 10MG IJ</t>
  </si>
  <si>
    <t>ESMOLOL PER 10M</t>
  </si>
  <si>
    <t>0053205340</t>
  </si>
  <si>
    <t>ESTRADIOL CY UPTO 5MG IJ</t>
  </si>
  <si>
    <t>ESTRAD CY 5MGIJ</t>
  </si>
  <si>
    <t>0053205365</t>
  </si>
  <si>
    <t>ESTRADIOL VAL TO 10MG IJ</t>
  </si>
  <si>
    <t>ESTRAD V 10MGIJ</t>
  </si>
  <si>
    <t>0053205423</t>
  </si>
  <si>
    <t>ESTROGEN CONJ PER25MG IJ</t>
  </si>
  <si>
    <t>ESTROGEN 25MGIJ</t>
  </si>
  <si>
    <t>0053205506</t>
  </si>
  <si>
    <t>ETANERCEPT PER 25MG IJ</t>
  </si>
  <si>
    <t>ETANERCEPT 25IJ</t>
  </si>
  <si>
    <t>0053205555</t>
  </si>
  <si>
    <t>ETHACRYNIC ACID 50MG IJ</t>
  </si>
  <si>
    <t>ETHACRYN 50MGIJ</t>
  </si>
  <si>
    <t>0053206090</t>
  </si>
  <si>
    <t>ETOMIDATE20MG/10ML IJ</t>
  </si>
  <si>
    <t>ETOMIDATE10MLIJ</t>
  </si>
  <si>
    <t>0053206116</t>
  </si>
  <si>
    <t>ETOMIDATE40MG/20ML IJ</t>
  </si>
  <si>
    <t>ETOMIDATE20MLIJ</t>
  </si>
  <si>
    <t>0053206140</t>
  </si>
  <si>
    <t>ETOPOSIDE PER 10MG IJ</t>
  </si>
  <si>
    <t>ETOPOSID10MG IJ</t>
  </si>
  <si>
    <t>0053206397</t>
  </si>
  <si>
    <t>FACTOR VIIA PER 1MCG IJ</t>
  </si>
  <si>
    <t>FACTOR VIIA 1IJ</t>
  </si>
  <si>
    <t>0053206611</t>
  </si>
  <si>
    <t>FAMOTIDINE PER 20MG IJ</t>
  </si>
  <si>
    <t>FAMOTIDIN20MGIJ</t>
  </si>
  <si>
    <t>0053206637</t>
  </si>
  <si>
    <t>FAMOTIDINE PER20MG PMXIJ</t>
  </si>
  <si>
    <t>FAMOTIDN20PMXIJ</t>
  </si>
  <si>
    <t>0053206728</t>
  </si>
  <si>
    <t>FLU VACC NOS IJ</t>
  </si>
  <si>
    <t>FLU VAC NOS IJ</t>
  </si>
  <si>
    <t>0053206777</t>
  </si>
  <si>
    <t>FLUCONAZ PER200MG PMX IJ</t>
  </si>
  <si>
    <t>FLUCONA200PMXIJ</t>
  </si>
  <si>
    <t>0053206801</t>
  </si>
  <si>
    <t>FLUDARABINE PH PER50MGIJ</t>
  </si>
  <si>
    <t>FLUDARABN50MGIJ</t>
  </si>
  <si>
    <t>0053206819</t>
  </si>
  <si>
    <t>FLUMAZENIL .1MG/ML 5MLIJ</t>
  </si>
  <si>
    <t>FLUMAZENIL5MLIJ</t>
  </si>
  <si>
    <t>0053206934</t>
  </si>
  <si>
    <t>FACTOR 8 RECOM PER IU IJ</t>
  </si>
  <si>
    <t>FAC8 REC PER IU</t>
  </si>
  <si>
    <t>0053207007</t>
  </si>
  <si>
    <t>FLUCONAZOLE 100MG PMX IJ</t>
  </si>
  <si>
    <t>FLUCONA100PMXIJ</t>
  </si>
  <si>
    <t>0053207080</t>
  </si>
  <si>
    <t>FLUOROURACIL PER500MG IJ</t>
  </si>
  <si>
    <t>FLUOROUR500MGIJ</t>
  </si>
  <si>
    <t>0053207254</t>
  </si>
  <si>
    <t>FLUPHENAZ DC UPTO25MG IJ</t>
  </si>
  <si>
    <t>FLUPHEN DEC25IJ</t>
  </si>
  <si>
    <t>0053207312</t>
  </si>
  <si>
    <t>FOMEPIZOLE PER 15MG IJ</t>
  </si>
  <si>
    <t>FOMEPIZOLE 15IJ</t>
  </si>
  <si>
    <t>0053207387</t>
  </si>
  <si>
    <t>FOLIC ACID 5MG/1ML IJ</t>
  </si>
  <si>
    <t>FA 5MG/1ML IJ</t>
  </si>
  <si>
    <t>0053207395</t>
  </si>
  <si>
    <t>FOLIC ACID 50MG/10ML IJ</t>
  </si>
  <si>
    <t>FA 5MG/ML10MLIJ</t>
  </si>
  <si>
    <t>0053207494</t>
  </si>
  <si>
    <t>FOSPHENYTOIN PER 50MG IJ</t>
  </si>
  <si>
    <t>FOSPHENYT50MGIJ</t>
  </si>
  <si>
    <t>0053207643</t>
  </si>
  <si>
    <t>FUROSEMIDE UPTO 20MG IJ</t>
  </si>
  <si>
    <t>FUROSEMID20MGIJ</t>
  </si>
  <si>
    <t>0053207668</t>
  </si>
  <si>
    <t>FONDAPARINUX PER.5MG IJ</t>
  </si>
  <si>
    <t>FONDAPARINX.5IJ</t>
  </si>
  <si>
    <t>0053207775</t>
  </si>
  <si>
    <t>FLU VAC &gt;3Y 4 VAL PF IJ</t>
  </si>
  <si>
    <t>FLUVAC&gt;3YR PFIJ</t>
  </si>
  <si>
    <t>0053207833</t>
  </si>
  <si>
    <t>FILGRASTIM G-CSF 1MCG IJ</t>
  </si>
  <si>
    <t>FILGRAST 1MCGIJ</t>
  </si>
  <si>
    <t>0053207882</t>
  </si>
  <si>
    <t>SARGRAMOSTIM PER 50MCGIJ</t>
  </si>
  <si>
    <t>SARGRAMO50MCGIJ</t>
  </si>
  <si>
    <t>0053208161</t>
  </si>
  <si>
    <t>FLUPHENAZINE HCL PER 1.25MG IJ</t>
  </si>
  <si>
    <t>FLUPHENAZINE 1.</t>
  </si>
  <si>
    <t>0053208302</t>
  </si>
  <si>
    <t>GANCICLOVIR 500MG IJ</t>
  </si>
  <si>
    <t>GANCICLO500MGIJ</t>
  </si>
  <si>
    <t>0053208401</t>
  </si>
  <si>
    <t>GEMCITABINE PER 200MG IJ</t>
  </si>
  <si>
    <t>GEMCITABIN200IJ</t>
  </si>
  <si>
    <t>0053208468</t>
  </si>
  <si>
    <t>GENTAMICIN UPTO 80 PMXIJ</t>
  </si>
  <si>
    <t>GENTAMIC80PMXIJ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</si>
  <si>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</si>
  <si>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</si>
  <si>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</si>
  <si>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</si>
  <si>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</si>
  <si>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</si>
  <si>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</si>
  <si>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</si>
  <si>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</si>
  <si>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</si>
  <si>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</si>
  <si>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GLYCOPYRROLATE</t>
  </si>
  <si>
    <t>0053209680</t>
  </si>
  <si>
    <t>GRANISETRON PER .1MG IJ</t>
  </si>
  <si>
    <t>GRANISETR.1MGIJ</t>
  </si>
  <si>
    <t>0053209722</t>
  </si>
  <si>
    <t>HALOPERIDOL UP TO 5MG IJ</t>
  </si>
  <si>
    <t>HALOPERIDO5MGIJ</t>
  </si>
  <si>
    <t>0053209730</t>
  </si>
  <si>
    <t>HALOPERID DEC PER 50MGIJ</t>
  </si>
  <si>
    <t>HALOP DEC50MGIJ</t>
  </si>
  <si>
    <t>0053209912</t>
  </si>
  <si>
    <t>HEPARIN FLUSH PER 10U IJ</t>
  </si>
  <si>
    <t>HEP FLUSH10U IJ</t>
  </si>
  <si>
    <t>0053210639</t>
  </si>
  <si>
    <t>HEPARIN PER 1000U IJ</t>
  </si>
  <si>
    <t>HEPARIN1000U IJ</t>
  </si>
  <si>
    <t>0053211025</t>
  </si>
  <si>
    <t>HEPARIN PER 1000U PMX IJ</t>
  </si>
  <si>
    <t>HEPAR1000UPMXIJ</t>
  </si>
  <si>
    <t>0053211140</t>
  </si>
  <si>
    <t>HEP B VAC ADULT IJ</t>
  </si>
  <si>
    <t>HEP BVAC ADLTIJ</t>
  </si>
  <si>
    <t>0053211157</t>
  </si>
  <si>
    <t>HEP B VAC PED/ADOL3DS IJ</t>
  </si>
  <si>
    <t>HEP B VAC P/AIJ</t>
  </si>
  <si>
    <t>0053211173</t>
  </si>
  <si>
    <t>HEP B VAC DIALY 4DS IJ</t>
  </si>
  <si>
    <t>HEP B VAC 4DSIJ</t>
  </si>
  <si>
    <t>0053211249</t>
  </si>
  <si>
    <t>HEPAT A PED 720U/.5MLIJ</t>
  </si>
  <si>
    <t>HEP A PED.5MLIJ</t>
  </si>
  <si>
    <t>0053211256</t>
  </si>
  <si>
    <t>HEPAT A ADULT 1440U/MLIJ</t>
  </si>
  <si>
    <t>HEP A ADUL1MLIJ</t>
  </si>
  <si>
    <t>0053211272</t>
  </si>
  <si>
    <t>HETASTARCH 6% 500ML IJ</t>
  </si>
  <si>
    <t>HETASTARCH500IJ</t>
  </si>
  <si>
    <t>0053211603</t>
  </si>
  <si>
    <t>HISTOPLASMIN SKN TST IJ</t>
  </si>
  <si>
    <t>HISTOPLASMIN IJ</t>
  </si>
  <si>
    <t>0053211785</t>
  </si>
  <si>
    <t>HYALURONIDA OV PER 1U IJ</t>
  </si>
  <si>
    <t>HYALURONIDAS 1U</t>
  </si>
  <si>
    <t>0053211819</t>
  </si>
  <si>
    <t>HYALURONIDASE UPTO150UIJ</t>
  </si>
  <si>
    <t>HYALUROND150UIJ</t>
  </si>
  <si>
    <t>0053211900</t>
  </si>
  <si>
    <t>HYALURON 23M/M .6MLPFSIJ</t>
  </si>
  <si>
    <t>HYALURONA.6MLIJ</t>
  </si>
  <si>
    <t>0053212023</t>
  </si>
  <si>
    <t>HYDRALAZINE UPTO 20MG IJ</t>
  </si>
  <si>
    <t>HYDRALAZN20MGIJ</t>
  </si>
  <si>
    <t>0053212437</t>
  </si>
  <si>
    <t>HCTS SS PER 100MG IJ</t>
  </si>
  <si>
    <t>HCTS SS100MG IJ</t>
  </si>
  <si>
    <t>0053212528</t>
  </si>
  <si>
    <t>INS NPH HUM VL 3ML IJ</t>
  </si>
  <si>
    <t>INS NPH H 3MLVL</t>
  </si>
  <si>
    <t>0053212569</t>
  </si>
  <si>
    <t>INS ASPART PER 5U IJ</t>
  </si>
  <si>
    <t>INS ASPART 5U</t>
  </si>
  <si>
    <t>0053212585</t>
  </si>
  <si>
    <t>INS DETEMR PER 5U IJ</t>
  </si>
  <si>
    <t>INS DETEMR 5U</t>
  </si>
  <si>
    <t>0053212601</t>
  </si>
  <si>
    <t>INS GLARG PER 5U IJ</t>
  </si>
  <si>
    <t>INS GLARG 5U</t>
  </si>
  <si>
    <t>0053212627</t>
  </si>
  <si>
    <t>INS NPH HUM PER 5U IJ</t>
  </si>
  <si>
    <t>INS NPH HUM 5U</t>
  </si>
  <si>
    <t>0053212643</t>
  </si>
  <si>
    <t>INS LISPRO PER 5U IJ</t>
  </si>
  <si>
    <t>INS LISPR 5U</t>
  </si>
  <si>
    <t>0053212650</t>
  </si>
  <si>
    <t>INS REG HUM PER 5U IJ</t>
  </si>
  <si>
    <t>INS REG HUM 5U</t>
  </si>
  <si>
    <t>0053212676</t>
  </si>
  <si>
    <t>INS LISP 75/25 5U PFS IJ</t>
  </si>
  <si>
    <t>INS 75/25 5UPFS</t>
  </si>
  <si>
    <t>0053212692</t>
  </si>
  <si>
    <t>INS ASPR 70/30 PER 5U IJ</t>
  </si>
  <si>
    <t>INS ASP70/30 5U</t>
  </si>
  <si>
    <t>0053212700</t>
  </si>
  <si>
    <t>INS N/R 70/30 PER 5U IJ</t>
  </si>
  <si>
    <t>INS NR 70/30 5U</t>
  </si>
  <si>
    <t>0053212981</t>
  </si>
  <si>
    <t>INFLIXIMAB-DYYB PER 10MG IJ</t>
  </si>
  <si>
    <t>INFLECTRA PER 1</t>
  </si>
  <si>
    <t>0053213021</t>
  </si>
  <si>
    <t>IBUPROFEN PER 100MG IJ</t>
  </si>
  <si>
    <t>IBUPROFE100MGIJ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</si>
  <si>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</si>
  <si>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</si>
  <si>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</si>
  <si>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</si>
  <si>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</si>
  <si>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</si>
  <si>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</si>
  <si>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</si>
  <si>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</si>
  <si>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</si>
  <si>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</si>
  <si>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</si>
  <si>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</si>
  <si>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</si>
  <si>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</si>
  <si>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0053213344</t>
  </si>
  <si>
    <t>INDIGO CARMIN8MG/ML5MLIJ</t>
  </si>
  <si>
    <t>INDIGO CAR5MLIJ</t>
  </si>
  <si>
    <t>0053213377</t>
  </si>
  <si>
    <t>INDOCYANINE GRN 25MG IJ</t>
  </si>
  <si>
    <t>INDOCYANINE25IJ</t>
  </si>
  <si>
    <t>0053213542</t>
  </si>
  <si>
    <t>RHO(D) IG IV PER100U IJ</t>
  </si>
  <si>
    <t>RHO D IG 100UIJ</t>
  </si>
  <si>
    <t>0053213567</t>
  </si>
  <si>
    <t>INFLIXIMAB PER 10MG IJ</t>
  </si>
  <si>
    <t>INFLIXIMAB PER</t>
  </si>
  <si>
    <t>0053213708</t>
  </si>
  <si>
    <t>INSULIN HUMAN</t>
  </si>
  <si>
    <t>HUMULIN INJ</t>
  </si>
  <si>
    <t>0053213997</t>
  </si>
  <si>
    <t>INS ANALOG LISPRO 3ML</t>
  </si>
  <si>
    <t>HUMALOG 3ML</t>
  </si>
  <si>
    <t>0053214060</t>
  </si>
  <si>
    <t>INS ANALG LISP75/25 10ML</t>
  </si>
  <si>
    <t>HUMALOG75/2510M</t>
  </si>
  <si>
    <t>0053214078</t>
  </si>
  <si>
    <t>INS GLARGINE 10ML</t>
  </si>
  <si>
    <t>INS GLARGIN10ML</t>
  </si>
  <si>
    <t>0053214086</t>
  </si>
  <si>
    <t>INS GLARGINE DOSE</t>
  </si>
  <si>
    <t>INS GLARG DOSE</t>
  </si>
  <si>
    <t>0053214193</t>
  </si>
  <si>
    <t>INS GLARGINE 3ML PEN</t>
  </si>
  <si>
    <t>INS GLAR 3MLPEN</t>
  </si>
  <si>
    <t>0053214342</t>
  </si>
  <si>
    <t>INS DETEMIR 1 UNIT IJ</t>
  </si>
  <si>
    <t>INS DETEMR1UNIT</t>
  </si>
  <si>
    <t>0053214383</t>
  </si>
  <si>
    <t>INS DETEMIR PEN 3ML</t>
  </si>
  <si>
    <t>INS DETEMIR 3ML</t>
  </si>
  <si>
    <t>0053214409</t>
  </si>
  <si>
    <t>INS DETEMIR 10ML</t>
  </si>
  <si>
    <t>INS DETEMR 10ML</t>
  </si>
  <si>
    <t>0053214433</t>
  </si>
  <si>
    <t>INS ANALG ASPR70/30 10ML</t>
  </si>
  <si>
    <t>NOVOLG70/3010ML</t>
  </si>
  <si>
    <t>0053214441</t>
  </si>
  <si>
    <t>INS ANALOG ASPR70/30 3ML</t>
  </si>
  <si>
    <t>NOVOLOG70/303ML</t>
  </si>
  <si>
    <t>0053214482</t>
  </si>
  <si>
    <t>INS ANALOG ASPAR 3ML</t>
  </si>
  <si>
    <t>NOVOLOG 3ML</t>
  </si>
  <si>
    <t>0053214516</t>
  </si>
  <si>
    <t>INS HUM REG DOSE</t>
  </si>
  <si>
    <t>HUM REG DOSE</t>
  </si>
  <si>
    <t>0053214532</t>
  </si>
  <si>
    <t>INS ANALOG LISPRO 10ML</t>
  </si>
  <si>
    <t>HUMALOG 10ML</t>
  </si>
  <si>
    <t>0053214565</t>
  </si>
  <si>
    <t>INS HUM 70/30 10ML</t>
  </si>
  <si>
    <t>HUM 70/30 10ML</t>
  </si>
  <si>
    <t>0053214615</t>
  </si>
  <si>
    <t>INS HUM NPH 10ML</t>
  </si>
  <si>
    <t>INS HUM NPH 10</t>
  </si>
  <si>
    <t>0053214771</t>
  </si>
  <si>
    <t>INTERFER BETA-1B .3MG IJ</t>
  </si>
  <si>
    <t>INTERFE BETA-1B</t>
  </si>
  <si>
    <t>0053214953</t>
  </si>
  <si>
    <t>INS ANALG ASPART 3ML PEN</t>
  </si>
  <si>
    <t>INS ASP 3ML PEN</t>
  </si>
  <si>
    <t>0053214987</t>
  </si>
  <si>
    <t>INS HUM REG VIAL 3ML</t>
  </si>
  <si>
    <t>HUM REG VL 3ML</t>
  </si>
  <si>
    <t>0053214995</t>
  </si>
  <si>
    <t>INS HUM 70/30 3ML VL IJ</t>
  </si>
  <si>
    <t>HUM 70/30 VL3ML</t>
  </si>
  <si>
    <t>0053215026</t>
  </si>
  <si>
    <t>IRINOTECAN PER 20MG IJ</t>
  </si>
  <si>
    <t>IRINOTECA20MGIJ</t>
  </si>
  <si>
    <t>0053215125</t>
  </si>
  <si>
    <t>FE DEXTRAN PER 50MG IJ</t>
  </si>
  <si>
    <t>FE DEXTRAN 50IJ</t>
  </si>
  <si>
    <t>0053215182</t>
  </si>
  <si>
    <t>INS GLARGINE-YFGN PER 5U IJ</t>
  </si>
  <si>
    <t>INS GLARG-YFGN</t>
  </si>
  <si>
    <t>0053215299</t>
  </si>
  <si>
    <t>IRON SUCROSE PER 1MG IJ</t>
  </si>
  <si>
    <t>IRON SUCROSE PE</t>
  </si>
  <si>
    <t>0053215513</t>
  </si>
  <si>
    <t>ISOPROTERENOL .2MG/1MLIJ</t>
  </si>
  <si>
    <t>ISOPROTERE1MLIJ</t>
  </si>
  <si>
    <t>0053215539</t>
  </si>
  <si>
    <t>ISOPROTERENOL 1MG/5ML IJ</t>
  </si>
  <si>
    <t>ISOPROTERE5MLIJ</t>
  </si>
  <si>
    <t>0053215570</t>
  </si>
  <si>
    <t>ISOPROTERENOL 1MG PFS IJ</t>
  </si>
  <si>
    <t>ISOPROTER1PFSIJ</t>
  </si>
  <si>
    <t>0053215943</t>
  </si>
  <si>
    <t>IVIG LYOP PWD PER500MGIJ</t>
  </si>
  <si>
    <t>IVIG LYOP 500MG</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</si>
  <si>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</si>
  <si>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</si>
  <si>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</si>
  <si>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</si>
  <si>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</si>
  <si>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</si>
  <si>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</si>
  <si>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</si>
  <si>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</si>
  <si>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</si>
  <si>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</si>
  <si>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</si>
  <si>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0053216198</t>
  </si>
  <si>
    <t>KCL PER 2MEQ PMX IJ</t>
  </si>
  <si>
    <t>KCLPER2MEQPMXIJ</t>
  </si>
  <si>
    <t>0053216206</t>
  </si>
  <si>
    <t>KCL PER 2MEQ IJ</t>
  </si>
  <si>
    <t>0053216230</t>
  </si>
  <si>
    <t>KNEE EPID ORTHPED CMP IJ</t>
  </si>
  <si>
    <t>KNEE EPIDUR IJ</t>
  </si>
  <si>
    <t>0053216305</t>
  </si>
  <si>
    <t>KETAMINE 50MG/ML 10ML IJ</t>
  </si>
  <si>
    <t>KETAMINE10ML IJ</t>
  </si>
  <si>
    <t>0053216313</t>
  </si>
  <si>
    <t>KETAMINE 50MG/1ML IJ</t>
  </si>
  <si>
    <t>KETAMINE 1ML IJ</t>
  </si>
  <si>
    <t>0053216339</t>
  </si>
  <si>
    <t>KETOROLAC PER 15MG IJ</t>
  </si>
  <si>
    <t>KETOROLAC 15MG</t>
  </si>
  <si>
    <t>0053216487</t>
  </si>
  <si>
    <t>LEPIRUDIN PER 50MG IJ</t>
  </si>
  <si>
    <t>LEPIRUDIN50MGIJ</t>
  </si>
  <si>
    <t>0053216511</t>
  </si>
  <si>
    <t>LEUCOVORIN PER 50MG IJ</t>
  </si>
  <si>
    <t>LEUCOVORN50MGIJ</t>
  </si>
  <si>
    <t>0053216594</t>
  </si>
  <si>
    <t>LACOSAMIDE PER 1MG IJ</t>
  </si>
  <si>
    <t>LACOSAMID1MG IJ</t>
  </si>
  <si>
    <t>0053216685</t>
  </si>
  <si>
    <t>LEUPROLID DEP 3.75MG IJ</t>
  </si>
  <si>
    <t>LEUPROLID3.75IJ</t>
  </si>
  <si>
    <t>0053216768</t>
  </si>
  <si>
    <t>LEUPROLID DEP PER7.5MGIJ</t>
  </si>
  <si>
    <t>LEUPROLIDE7.5IJ</t>
  </si>
  <si>
    <t>0053216826</t>
  </si>
  <si>
    <t>LABETALOL PER 5MG IJ</t>
  </si>
  <si>
    <t>LABETALOL PER 5</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</si>
  <si>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</si>
  <si>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</si>
  <si>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</si>
  <si>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</si>
  <si>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</si>
  <si>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</si>
  <si>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</si>
  <si>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</si>
  <si>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</si>
  <si>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</si>
  <si>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</si>
  <si>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</si>
  <si>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0053217279</t>
  </si>
  <si>
    <t>LIDOCAINE 1% 10ML PF IJ</t>
  </si>
  <si>
    <t>LIDOCAN10MLPFIJ</t>
  </si>
  <si>
    <t>0053217329</t>
  </si>
  <si>
    <t>LIDOCAIN IV PER10MGPMXIJ</t>
  </si>
  <si>
    <t>LIDOC IVPER10MG</t>
  </si>
  <si>
    <t>0053217402</t>
  </si>
  <si>
    <t>LIDOCAINE .5% /EPI DS IJ</t>
  </si>
  <si>
    <t>LIDO.5%EPI DSIJ</t>
  </si>
  <si>
    <t>0053217410</t>
  </si>
  <si>
    <t>LIDOCAINE.5%/EPI 50ML IJ</t>
  </si>
  <si>
    <t>LIDO.5%/EP50IJ</t>
  </si>
  <si>
    <t>0053217451</t>
  </si>
  <si>
    <t>LIDOCAINE .5% 50ML PF IJ</t>
  </si>
  <si>
    <t>LIDOCAN50MLPFIJ</t>
  </si>
  <si>
    <t>0053217485</t>
  </si>
  <si>
    <t>LIDOCAINE 2%/EPI 10ML IJ</t>
  </si>
  <si>
    <t>LIDO2%/EP10MLIJ</t>
  </si>
  <si>
    <t>0053217600</t>
  </si>
  <si>
    <t>LIDOCAINE 1%/EPI 30ML IJ</t>
  </si>
  <si>
    <t>LIDO1%/EP30MLIJ</t>
  </si>
  <si>
    <t>0053217618</t>
  </si>
  <si>
    <t>LIDOCAINE 1%/EPI 20ML IJ</t>
  </si>
  <si>
    <t>LIDO1%/EP20MLIJ</t>
  </si>
  <si>
    <t>0053217626</t>
  </si>
  <si>
    <t>LIDOCAINE 1%/EPI 50ML IJ</t>
  </si>
  <si>
    <t>LIDO1%/EP50MLIJ</t>
  </si>
  <si>
    <t>0053217659</t>
  </si>
  <si>
    <t>LIDOCAINE 1%/EPI 5ML IJ</t>
  </si>
  <si>
    <t>LIDO1%/EP 5MLIJ</t>
  </si>
  <si>
    <t>0053217675</t>
  </si>
  <si>
    <t>LIDOCAIN/EPI 1% 10MLPFIJ</t>
  </si>
  <si>
    <t>LIDO/EP10MLPFIJ</t>
  </si>
  <si>
    <t>0053217709</t>
  </si>
  <si>
    <t>LIDOCAINE 1% 30ML PF IJ</t>
  </si>
  <si>
    <t>LIDOCA30MLPFIJ</t>
  </si>
  <si>
    <t>0053217717</t>
  </si>
  <si>
    <t>LIDOCAINE 1% 20ML PF IJ</t>
  </si>
  <si>
    <t>LIDOCAN20MLPFIJ</t>
  </si>
  <si>
    <t>0053217725</t>
  </si>
  <si>
    <t>LIDOCAINE 1% 50ML MDV IJ</t>
  </si>
  <si>
    <t>LIDOCA50MLMDVIJ</t>
  </si>
  <si>
    <t>0053217741</t>
  </si>
  <si>
    <t>LIDOCAINE 1% 2ML PF IJ</t>
  </si>
  <si>
    <t>LIDOCAIN2MLPFIJ</t>
  </si>
  <si>
    <t>0053217758</t>
  </si>
  <si>
    <t>LIDOCAINE 1% 5ML PF IJ</t>
  </si>
  <si>
    <t>LIDOCAIN5MLPFIJ</t>
  </si>
  <si>
    <t>0053217766</t>
  </si>
  <si>
    <t>LIDOCAINE 1% 10ML IJ</t>
  </si>
  <si>
    <t>LIDOCAINE10MLIJ</t>
  </si>
  <si>
    <t>0053217808</t>
  </si>
  <si>
    <t>LIDOCAINE1.5%/EPI 30MLIJ</t>
  </si>
  <si>
    <t>LIDO1.5%/EP30IJ</t>
  </si>
  <si>
    <t>0053217899</t>
  </si>
  <si>
    <t>LIDOCAINE 2% 2ML PF IJ</t>
  </si>
  <si>
    <t>0053217923</t>
  </si>
  <si>
    <t>LIDOCAINE 2% 10ML PF IJ</t>
  </si>
  <si>
    <t>LIDOCA10MLPFIJ</t>
  </si>
  <si>
    <t>0053217931</t>
  </si>
  <si>
    <t>LIDOCAINE 2% 20ML IJ</t>
  </si>
  <si>
    <t>LIDOCAINE20MLIJ</t>
  </si>
  <si>
    <t>0053217956</t>
  </si>
  <si>
    <t>LIDOCAINE 2%/EPI 20ML IJ</t>
  </si>
  <si>
    <t>LIDO2%/EP20MLIJ</t>
  </si>
  <si>
    <t>0053218004</t>
  </si>
  <si>
    <t>LIDOCAINE 2%/EPI 5ML IJ</t>
  </si>
  <si>
    <t>LIDO2%/EP 5MLIJ</t>
  </si>
  <si>
    <t>0053218038</t>
  </si>
  <si>
    <t>LIDOCAINE 2% 10ML IJ</t>
  </si>
  <si>
    <t>LIDOCA10ML IJ</t>
  </si>
  <si>
    <t>0053218053</t>
  </si>
  <si>
    <t>LIDOCAINE 2% 5ML PF IJ</t>
  </si>
  <si>
    <t>0053218079</t>
  </si>
  <si>
    <t>LIDOCAINE 4% 5ML PF IJ</t>
  </si>
  <si>
    <t>0053218103</t>
  </si>
  <si>
    <t>LIDOCAINE100MG 5ML SG IJ</t>
  </si>
  <si>
    <t>LIDOCAIN5MLSGIJ</t>
  </si>
  <si>
    <t>0053218202</t>
  </si>
  <si>
    <t>LIDOCAINE 2GM 10ML SG IJ</t>
  </si>
  <si>
    <t>LIDOCAN10MLSGIJ</t>
  </si>
  <si>
    <t>0053218533</t>
  </si>
  <si>
    <t>LINEZOLID PER 200MG IJ</t>
  </si>
  <si>
    <t>LINEZOLID 200IJ</t>
  </si>
  <si>
    <t>0053218889</t>
  </si>
  <si>
    <t>LORAZEPAM PER 2MG INF IJ</t>
  </si>
  <si>
    <t>LORAZEPAM2MGINF</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</si>
  <si>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</si>
  <si>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</si>
  <si>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</si>
  <si>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</si>
  <si>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</si>
  <si>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</si>
  <si>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</si>
  <si>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</si>
  <si>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</si>
  <si>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</si>
  <si>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</si>
  <si>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</si>
  <si>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</si>
  <si>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</si>
  <si>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0053219929</t>
  </si>
  <si>
    <t>MEASLES/MUMPS/RUB VACCIJ</t>
  </si>
  <si>
    <t>MMR VACC IJ</t>
  </si>
  <si>
    <t>0053220216</t>
  </si>
  <si>
    <t>MEDROXYPROGEST PER 1MGIJ</t>
  </si>
  <si>
    <t>MEDROXYPR 1MGIJ</t>
  </si>
  <si>
    <t>0053220596</t>
  </si>
  <si>
    <t>MENINGOCOCCAL VAC IM IJ</t>
  </si>
  <si>
    <t>MENINGOC IM IJ</t>
  </si>
  <si>
    <t>0053221164</t>
  </si>
  <si>
    <t>MEROPENEM PER 100MG IJ</t>
  </si>
  <si>
    <t>MEROPENEM 100IJ</t>
  </si>
  <si>
    <t>0053221206</t>
  </si>
  <si>
    <t>MESNA PER 200MG IJ</t>
  </si>
  <si>
    <t>MESNA 200MG 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</si>
  <si>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</si>
  <si>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</si>
  <si>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</si>
  <si>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</si>
  <si>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</si>
  <si>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</si>
  <si>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</si>
  <si>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</si>
  <si>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</si>
  <si>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</si>
  <si>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</si>
  <si>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</si>
  <si>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</si>
  <si>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</si>
  <si>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</si>
  <si>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</si>
  <si>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</si>
  <si>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</si>
  <si>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</si>
  <si>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</si>
  <si>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</si>
  <si>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</si>
  <si>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</si>
  <si>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</si>
  <si>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</si>
  <si>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</si>
  <si>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</si>
  <si>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</si>
  <si>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</si>
  <si>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</si>
  <si>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</si>
  <si>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</si>
  <si>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</si>
  <si>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</si>
  <si>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</si>
  <si>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</si>
  <si>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0053224929</t>
  </si>
  <si>
    <t>MITOMYCIN PER 5MG IJ</t>
  </si>
  <si>
    <t>MITOMYCIN 5MGIJ</t>
  </si>
  <si>
    <t>0053224994</t>
  </si>
  <si>
    <t>MITOXANTRONE PER 5MG IJ</t>
  </si>
  <si>
    <t>MITOXANTRO5MGIJ</t>
  </si>
  <si>
    <t>0053225033</t>
  </si>
  <si>
    <t>MIVACURIUM 2MG/ML 5ML IJ</t>
  </si>
  <si>
    <t>MIVACURIUM5MLIJ</t>
  </si>
  <si>
    <t>0053225918</t>
  </si>
  <si>
    <t>MVI 10ML IJ</t>
  </si>
  <si>
    <t>0053226338</t>
  </si>
  <si>
    <t>MUMPS ANTIGEN .1ML IJ</t>
  </si>
  <si>
    <t>MUMPS SKN.1MLIJ</t>
  </si>
  <si>
    <t>0053226544</t>
  </si>
  <si>
    <t>NAFCILLIN 500MG IJ</t>
  </si>
  <si>
    <t>NAFCILL 500MGIJ</t>
  </si>
  <si>
    <t>0053226593</t>
  </si>
  <si>
    <t>NAFCILLIN 1GM IJ</t>
  </si>
  <si>
    <t>NAFCILLIN1GM IJ</t>
  </si>
  <si>
    <t>0053226643</t>
  </si>
  <si>
    <t>NAFCILLIN PER 2GM IJ</t>
  </si>
  <si>
    <t>NAFCILLIN2GM IJ</t>
  </si>
  <si>
    <t>0053226692</t>
  </si>
  <si>
    <t>NA FERR GLUC PER12.5MGIJ</t>
  </si>
  <si>
    <t>NAFERRICG12.5IJ</t>
  </si>
  <si>
    <t>0053226718</t>
  </si>
  <si>
    <t>NA GLYCEROPHOSPH 20MLIJ</t>
  </si>
  <si>
    <t>NA GLYCER20MLIJ</t>
  </si>
  <si>
    <t>0053226858</t>
  </si>
  <si>
    <t>NALBUPHINE PER 10MG IJ</t>
  </si>
  <si>
    <t>NALBUPHIN10MGIJ</t>
  </si>
  <si>
    <t>0053227138</t>
  </si>
  <si>
    <t>NALOXONE PER 1MG IJ</t>
  </si>
  <si>
    <t>NALOXONE 1MG IJ</t>
  </si>
  <si>
    <t>0053227344</t>
  </si>
  <si>
    <t>NALTREXONE IV PER 1MG IJ</t>
  </si>
  <si>
    <t>NALTREXONE1MGIJ</t>
  </si>
  <si>
    <t>0053227351</t>
  </si>
  <si>
    <t>NALTREXONE DEP PER1MGIJ</t>
  </si>
  <si>
    <t>NALTREXONE D1IJ</t>
  </si>
  <si>
    <t>0053228003</t>
  </si>
  <si>
    <t>NESIRITIDE PER .1MG IJ</t>
  </si>
  <si>
    <t>NESIRITID.1MGIJ</t>
  </si>
  <si>
    <t>0053228102</t>
  </si>
  <si>
    <t>NEOSTIGMINE UPTO .5MG IJ</t>
  </si>
  <si>
    <t>NEOSTIGMINE.5IJ</t>
  </si>
  <si>
    <t>0053228219</t>
  </si>
  <si>
    <t>OPRELVEKIN PER 5MG IJ</t>
  </si>
  <si>
    <t>OPRELVEKIN5MGIJ</t>
  </si>
  <si>
    <t>0053228516</t>
  </si>
  <si>
    <t>NICARDIPINE PER 0.1MG IJ</t>
  </si>
  <si>
    <t>NICARDIPINE PER</t>
  </si>
  <si>
    <t>0053228755</t>
  </si>
  <si>
    <t>NOREPINEPH 8MG/250ML IJ</t>
  </si>
  <si>
    <t>NOREPIN 8MG IJ</t>
  </si>
  <si>
    <t>0053229134</t>
  </si>
  <si>
    <t>NOREPIN/D5W 4MG/250ML IJ</t>
  </si>
  <si>
    <t>NOREPIN 4MG IJ</t>
  </si>
  <si>
    <t>0053229209</t>
  </si>
  <si>
    <t>OCTREOTIDE PER 25MCG IV IJ</t>
  </si>
  <si>
    <t>OCTREOT PER 25M</t>
  </si>
  <si>
    <t>0053229258</t>
  </si>
  <si>
    <t>NITROPRUSSIDE 50MG/5MLIJ</t>
  </si>
  <si>
    <t>NITROPRUSS5MLIJ</t>
  </si>
  <si>
    <t>0053229266</t>
  </si>
  <si>
    <t>NITROPRUSSIDE 50MG/2MLIJ</t>
  </si>
  <si>
    <t>NITROPRUSS2MLIJ</t>
  </si>
  <si>
    <t>0053229365</t>
  </si>
  <si>
    <t>ONDANSETRON PER 1MG IJ</t>
  </si>
  <si>
    <t>ONDANSETRO1MGIJ</t>
  </si>
  <si>
    <t>0053229464</t>
  </si>
  <si>
    <t>ORPHENADRINE TO 60MG IJ</t>
  </si>
  <si>
    <t>ORPHENADR60MGIJ</t>
  </si>
  <si>
    <t>0053229480</t>
  </si>
  <si>
    <t>OCTREOTIDE PER 25MCG SQ IJ</t>
  </si>
  <si>
    <t>0053229563</t>
  </si>
  <si>
    <t>NITROGLYCERIN PER 5MG PMX IJ</t>
  </si>
  <si>
    <t>NITROGLYCERIN 5</t>
  </si>
  <si>
    <t>0053230082</t>
  </si>
  <si>
    <t>OXALIPLATIN PER .5MG IJ</t>
  </si>
  <si>
    <t>OXALIPLATIN.5IJ</t>
  </si>
  <si>
    <t>0053230454</t>
  </si>
  <si>
    <t>OXYTOCIN UPTO 10U IJ</t>
  </si>
  <si>
    <t>OXYTOCIN 10U IJ</t>
  </si>
  <si>
    <t>0053230504</t>
  </si>
  <si>
    <t>PACLITAXEL PER 1MG IJ</t>
  </si>
  <si>
    <t>PACLITAXEL1MGIJ</t>
  </si>
  <si>
    <t>0053230520</t>
  </si>
  <si>
    <t>PACLITAX PRTBD PER 1MGIJ</t>
  </si>
  <si>
    <t>PACLITAXELPB1IJ</t>
  </si>
  <si>
    <t>0053230603</t>
  </si>
  <si>
    <t>PAMIDRONATE PER 30MG IJ</t>
  </si>
  <si>
    <t>PAMIDRONA30MGIJ</t>
  </si>
  <si>
    <t>0053230645</t>
  </si>
  <si>
    <t>PALONOSETRON PER25MCGIJ</t>
  </si>
  <si>
    <t>PALONOSETRN25IJ</t>
  </si>
  <si>
    <t>0053230660</t>
  </si>
  <si>
    <t>PANCURONIUM 10MG/10ML IJ</t>
  </si>
  <si>
    <t>PANCURONM10MLIJ</t>
  </si>
  <si>
    <t>0053230702</t>
  </si>
  <si>
    <t>PANTOPRAZOLE PER40MGIJ</t>
  </si>
  <si>
    <t>PANTOPRAZOL40IJ</t>
  </si>
  <si>
    <t>0053230777</t>
  </si>
  <si>
    <t>PAPAVERINE UPTO 60MG IJ</t>
  </si>
  <si>
    <t>PAPAVERIN60MGIJ</t>
  </si>
  <si>
    <t>0053230793</t>
  </si>
  <si>
    <t>PARICALCITOL PER 1MCG IJ</t>
  </si>
  <si>
    <t>PARICALCITOL1IJ</t>
  </si>
  <si>
    <t>0053230991</t>
  </si>
  <si>
    <t>PEMETREXED PER 10MG IJ</t>
  </si>
  <si>
    <t>PEMETREXED 10IJ</t>
  </si>
  <si>
    <t>0053231155</t>
  </si>
  <si>
    <t>PEMBROLIZUMAB PER 1MG IJ</t>
  </si>
  <si>
    <t>PEMBROLIZ 1MGIJ</t>
  </si>
  <si>
    <t>0053231213</t>
  </si>
  <si>
    <t>PEN G BENZ PER 100KU IJ</t>
  </si>
  <si>
    <t>PENG BEN100KUIJ</t>
  </si>
  <si>
    <t>0053231510</t>
  </si>
  <si>
    <t>PEN G K UPTO 600KU IJ</t>
  </si>
  <si>
    <t>PENG K 600KU IJ</t>
  </si>
  <si>
    <t>0053231536</t>
  </si>
  <si>
    <t>PENICILLIN G NA 5MU IJ</t>
  </si>
  <si>
    <t>PEN G NA 5MU IJ</t>
  </si>
  <si>
    <t>0053231734</t>
  </si>
  <si>
    <t>PEN G PROC UPTO 600KU IJ</t>
  </si>
  <si>
    <t>PENG PRO600KUIJ</t>
  </si>
  <si>
    <t>0053231890</t>
  </si>
  <si>
    <t>PENTAMIDINE PER 300MG IJ</t>
  </si>
  <si>
    <t>PENTAMID300MGIJ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</si>
  <si>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</si>
  <si>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</si>
  <si>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</si>
  <si>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</si>
  <si>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</si>
  <si>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</si>
  <si>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</si>
  <si>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</si>
  <si>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</si>
  <si>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</si>
  <si>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</si>
  <si>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</si>
  <si>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0053233458</t>
  </si>
  <si>
    <t>PHYSOSTIGM 1MG/ML 2ML IJ</t>
  </si>
  <si>
    <t>PHYSOSTIGM2MLIJ</t>
  </si>
  <si>
    <t>0053233656</t>
  </si>
  <si>
    <t>PHYTONADN PED PER 1MG IJ</t>
  </si>
  <si>
    <t>PHYTONADN 1MGIJ</t>
  </si>
  <si>
    <t>0053233664</t>
  </si>
  <si>
    <t>PHYTONADIONE PER 1MG IJ</t>
  </si>
  <si>
    <t>PHYTONADIONE1IJ</t>
  </si>
  <si>
    <t>0053233920</t>
  </si>
  <si>
    <t>PIPERACILLIN 2GM IJ</t>
  </si>
  <si>
    <t>PIPERACILL2GMIJ</t>
  </si>
  <si>
    <t>0053233979</t>
  </si>
  <si>
    <t>PIPERACILLIN 3GM IJ</t>
  </si>
  <si>
    <t>PIPERACILL3GMIJ</t>
  </si>
  <si>
    <t>0053234027</t>
  </si>
  <si>
    <t>PIPERACILLIN 4GM IJ</t>
  </si>
  <si>
    <t>PIPERACILL4GMIJ</t>
  </si>
  <si>
    <t>0053234118</t>
  </si>
  <si>
    <t>PIPER/TAZPER1.125GMPMXIJ</t>
  </si>
  <si>
    <t>PIP/TAZ1.125IJ</t>
  </si>
  <si>
    <t>0053234126</t>
  </si>
  <si>
    <t>PIPER/TAZ PER1.125GM IJ</t>
  </si>
  <si>
    <t>PIP/TAZ1.12GMIJ</t>
  </si>
  <si>
    <t>0053234134</t>
  </si>
  <si>
    <t>PIPER/TAZ PER1.125GMPBIJ</t>
  </si>
  <si>
    <t>0053234498</t>
  </si>
  <si>
    <t>PNEUMOCOC23 VAL VACC IJ</t>
  </si>
  <si>
    <t>PNEUMOCO23VACIJ</t>
  </si>
  <si>
    <t>0053234555</t>
  </si>
  <si>
    <t>CARMUSTINE 7.7MG WAFR IJ</t>
  </si>
  <si>
    <t>CARMUS7.7MGWFIJ</t>
  </si>
  <si>
    <t>0053234910</t>
  </si>
  <si>
    <t>POLYMYXIN B 500MU IJ</t>
  </si>
  <si>
    <t>POLYMYXN500MUIJ</t>
  </si>
  <si>
    <t>0053235339</t>
  </si>
  <si>
    <t>K ACET 2MEQ/1ML IJ</t>
  </si>
  <si>
    <t>K ACETATE 1MLIJ</t>
  </si>
  <si>
    <t>0053235362</t>
  </si>
  <si>
    <t>K ACET 40MEQ/20ML IJ</t>
  </si>
  <si>
    <t>K ACETATE20MLIJ</t>
  </si>
  <si>
    <t>0053235537</t>
  </si>
  <si>
    <t>K PHOS 3MM/ML 5ML IJ</t>
  </si>
  <si>
    <t>K PHOS 5ML IJ</t>
  </si>
  <si>
    <t>0053235552</t>
  </si>
  <si>
    <t>K PHOS 3MM/ML 15ML IJ</t>
  </si>
  <si>
    <t>K PHOS 15ML IJ</t>
  </si>
  <si>
    <t>0053235800</t>
  </si>
  <si>
    <t>PRAMLINTIDE .6MG/ML5MLIJ</t>
  </si>
  <si>
    <t>PRAMLINTIDE5IJ</t>
  </si>
  <si>
    <t>0053236030</t>
  </si>
  <si>
    <t>PREDNISOLONE TEB 20M/MIJ</t>
  </si>
  <si>
    <t>PREDNISTEBU20IJ</t>
  </si>
  <si>
    <t>0053236782</t>
  </si>
  <si>
    <t>PROCAINAMIDE UPTO 1GM IJ</t>
  </si>
  <si>
    <t>PROCAINAMD1GMIJ</t>
  </si>
  <si>
    <t>0053237004</t>
  </si>
  <si>
    <t>PROCAINE 10% 2ML IJ</t>
  </si>
  <si>
    <t>PROCAINE 2MLIJ</t>
  </si>
  <si>
    <t>0053237202</t>
  </si>
  <si>
    <t>PROCHLORPERAZINE 10MG IJ</t>
  </si>
  <si>
    <t>PROCHLORP10MGIJ</t>
  </si>
  <si>
    <t>0053237251</t>
  </si>
  <si>
    <t>PROCHLORPERAZ 10MG PFSIJ</t>
  </si>
  <si>
    <t>PROCHLOR10PFSIJ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</si>
  <si>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</si>
  <si>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</si>
  <si>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</si>
  <si>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</si>
  <si>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</si>
  <si>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</si>
  <si>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</si>
  <si>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</si>
  <si>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</si>
  <si>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</si>
  <si>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</si>
  <si>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</si>
  <si>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</si>
  <si>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</si>
  <si>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PROTHROMB CMPX</t>
  </si>
  <si>
    <t>0053238770</t>
  </si>
  <si>
    <t>PROTHROM COMPLX BALFAXAR 1U IJ</t>
  </si>
  <si>
    <t>0053239083</t>
  </si>
  <si>
    <t>PYRIDOSTIGMINE10MG/2MLIJ</t>
  </si>
  <si>
    <t>PYRIDOSTIG2MLIJ</t>
  </si>
  <si>
    <t>0053239299</t>
  </si>
  <si>
    <t>PYRIDOXINE PER 100MG IJ</t>
  </si>
  <si>
    <t>PYRIDOXN100MGIJ</t>
  </si>
  <si>
    <t>0053239612</t>
  </si>
  <si>
    <t>RABIES IMM GLOB(KEDRAB) 2ML IJ</t>
  </si>
  <si>
    <t>RABIES IG(KEDRA</t>
  </si>
  <si>
    <t>0053239745</t>
  </si>
  <si>
    <t>RABIES VACCINE IM IJ</t>
  </si>
  <si>
    <t>RABIESVACCIMIJ</t>
  </si>
  <si>
    <t>0053239802</t>
  </si>
  <si>
    <t>RETEPLASE PER18.1MG IJ</t>
  </si>
  <si>
    <t>RETEPLASE18.1IJ</t>
  </si>
  <si>
    <t>0053239927</t>
  </si>
  <si>
    <t>REGADENOSON PER 0.1MG IJ</t>
  </si>
  <si>
    <t>REGADEN.1MG IJ</t>
  </si>
  <si>
    <t>0053239968</t>
  </si>
  <si>
    <t>RASBURICASE PER .5MG IJ</t>
  </si>
  <si>
    <t>RASBURICASE.5IJ</t>
  </si>
  <si>
    <t>0053240008</t>
  </si>
  <si>
    <t>REMDESIVIR PER 1MG IJ</t>
  </si>
  <si>
    <t>REMDESIVIR PER</t>
  </si>
  <si>
    <t>0053240024</t>
  </si>
  <si>
    <t>RITUXIMAB-ABBS PER 10MG IJ</t>
  </si>
  <si>
    <t>RITUXIMAB-ABBS</t>
  </si>
  <si>
    <t>0053240073</t>
  </si>
  <si>
    <t>RITUXIMAB PER 10MG IJ</t>
  </si>
  <si>
    <t>RITUXIMAB PER 1</t>
  </si>
  <si>
    <t>0053240107</t>
  </si>
  <si>
    <t>RHO(D) IG PER 300MCG IJ</t>
  </si>
  <si>
    <t>RHO D 300MCGIJ</t>
  </si>
  <si>
    <t>0053240115</t>
  </si>
  <si>
    <t>RHO(D) IG IM PER 50MCGIJ</t>
  </si>
  <si>
    <t>RHO D IG50MCGIJ</t>
  </si>
  <si>
    <t>0053240156</t>
  </si>
  <si>
    <t>RIFAMPIN 600MG IJ</t>
  </si>
  <si>
    <t>RIFAMPIN600MGIJ</t>
  </si>
  <si>
    <t>0053240248</t>
  </si>
  <si>
    <t>ROCURONIUM10MG/1ML10MLIJ</t>
  </si>
  <si>
    <t>ROCURONIU10MLIJ</t>
  </si>
  <si>
    <t>0053240255</t>
  </si>
  <si>
    <t>ROCURONIUM10MG/1ML 5MLIJ</t>
  </si>
  <si>
    <t>ROCURONIUM5MLIJ</t>
  </si>
  <si>
    <t>0053240271</t>
  </si>
  <si>
    <t>ROMIPLOSTIM PER10MCG IJ</t>
  </si>
  <si>
    <t>ROMIPLOST10 IJ</t>
  </si>
  <si>
    <t>0053240347</t>
  </si>
  <si>
    <t>ROPIV 0.2% PMP 550ML IJ</t>
  </si>
  <si>
    <t>ROPIV.2 550MLIJ</t>
  </si>
  <si>
    <t>0053240529</t>
  </si>
  <si>
    <t>ROPIVACAINE PER 1MG IJ</t>
  </si>
  <si>
    <t>ROPIVACAIN1MGIJ</t>
  </si>
  <si>
    <t>0053240537</t>
  </si>
  <si>
    <t>ROPIVACAINE PER1MG PMXIJ</t>
  </si>
  <si>
    <t>ROPIVIC1MGPMXIJ</t>
  </si>
  <si>
    <t>0053240602</t>
  </si>
  <si>
    <t>SCOPOLAMINE.4MG/1ML IJ</t>
  </si>
  <si>
    <t>SCOPOLAMIN1MLIJ</t>
  </si>
  <si>
    <t>0053241303</t>
  </si>
  <si>
    <t>NA ACETATE2MEQ/ML 20MLIJ</t>
  </si>
  <si>
    <t>NA ACETAT20MLIJ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</si>
  <si>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</si>
  <si>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</si>
  <si>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</si>
  <si>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</si>
  <si>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</si>
  <si>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</si>
  <si>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</si>
  <si>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</si>
  <si>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</si>
  <si>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</si>
  <si>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</si>
  <si>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</si>
  <si>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</si>
  <si>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</si>
  <si>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</si>
  <si>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</si>
  <si>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</si>
  <si>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</si>
  <si>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0053241964</t>
  </si>
  <si>
    <t>NACL .9% 30ML IJ</t>
  </si>
  <si>
    <t>0053241980</t>
  </si>
  <si>
    <t>NACL .9% 5ML PFS IJ</t>
  </si>
  <si>
    <t>NACL 5ML PFS IJ</t>
  </si>
  <si>
    <t>0053242004</t>
  </si>
  <si>
    <t>NACL .9% 10ML PFS IJ</t>
  </si>
  <si>
    <t>NACL10ML PFS IJ</t>
  </si>
  <si>
    <t>0053242012</t>
  </si>
  <si>
    <t>NACL .9% 3ML PFS IJ</t>
  </si>
  <si>
    <t>NACL 3ML PFS IJ</t>
  </si>
  <si>
    <t>0053242574</t>
  </si>
  <si>
    <t>NA PHOSPHATE3MM/ML15MLIJ</t>
  </si>
  <si>
    <t>NA PHOS15ML IJ</t>
  </si>
  <si>
    <t>0053242590</t>
  </si>
  <si>
    <t>NA PHOSPHATE3MM/ML30MLIJ</t>
  </si>
  <si>
    <t>NA PHOS30ML IJ</t>
  </si>
  <si>
    <t>0053243630</t>
  </si>
  <si>
    <t>STREPTOMYCIN UPTO 1GM IJ</t>
  </si>
  <si>
    <t>STREPTOMYC1GMIJ</t>
  </si>
  <si>
    <t>0053244000</t>
  </si>
  <si>
    <t>SUGAMMADEX 200MG/2ML IJ</t>
  </si>
  <si>
    <t>SUGAMADX 200 IJ</t>
  </si>
  <si>
    <t>0053244059</t>
  </si>
  <si>
    <t>SUCCINYLCHOL UPTO 20MGIJ</t>
  </si>
  <si>
    <t>SUCCINYLC20MGIJ</t>
  </si>
  <si>
    <t>0053244190</t>
  </si>
  <si>
    <t>QUINUPR/DALFOPR 500MG IJ</t>
  </si>
  <si>
    <t>QUINUP/DAL500IJ</t>
  </si>
  <si>
    <t>0053244208</t>
  </si>
  <si>
    <t>SUMATRIPTAN PER 6MG IJ</t>
  </si>
  <si>
    <t>SUMATRIPTA6MGIJ</t>
  </si>
  <si>
    <t>0053244216</t>
  </si>
  <si>
    <t>SUMATRIPTAN PER6MG KT IJ</t>
  </si>
  <si>
    <t>SUMATRIPTA6KTIJ</t>
  </si>
  <si>
    <t>0053244232</t>
  </si>
  <si>
    <t>TACROLIMUS PER 5MG IJ</t>
  </si>
  <si>
    <t>TACROLIMUS5MGIJ</t>
  </si>
  <si>
    <t>0053244265</t>
  </si>
  <si>
    <t>TERBUTALINE UPTO 1MG IJ</t>
  </si>
  <si>
    <t>TERBUTALIN1MGIJ</t>
  </si>
  <si>
    <t>0053244315</t>
  </si>
  <si>
    <t>TENECTEPLASE PER 1MG IJ</t>
  </si>
  <si>
    <t>TENECTE 1MG IJ</t>
  </si>
  <si>
    <t>0053244414</t>
  </si>
  <si>
    <t>TBO-FILGRASTIM PER1MCGIJ</t>
  </si>
  <si>
    <t>TBO-FILGR1MCGIJ</t>
  </si>
  <si>
    <t>0053244588</t>
  </si>
  <si>
    <t>TESTOSTERONE CYP 1MG IJ</t>
  </si>
  <si>
    <t>TESTOST 1MG IJ</t>
  </si>
  <si>
    <t>0053244992</t>
  </si>
  <si>
    <t>TETANUS IG UPTO 250U IJ</t>
  </si>
  <si>
    <t>TETANUS IG250IJ</t>
  </si>
  <si>
    <t>0053245619</t>
  </si>
  <si>
    <t>TETRACAINE 1% 2ML IJ</t>
  </si>
  <si>
    <t>TETRACAINE2MLIJ</t>
  </si>
  <si>
    <t>0053246187</t>
  </si>
  <si>
    <t>THIAMINE PER 100MG IJ</t>
  </si>
  <si>
    <t>THIAMINE100MGIJ</t>
  </si>
  <si>
    <t>0053247359</t>
  </si>
  <si>
    <t>TICAR/CLAV PER 3.1GM IJ</t>
  </si>
  <si>
    <t>TIC/CLAV3.1GMIJ</t>
  </si>
  <si>
    <t>0053247391</t>
  </si>
  <si>
    <t>TIGECYCLINE PER 1MG IJ</t>
  </si>
  <si>
    <t>TIGECYCLINE 1IJ</t>
  </si>
  <si>
    <t>0053247631</t>
  </si>
  <si>
    <t>TIROFIBAN PER .25MG IJ</t>
  </si>
  <si>
    <t>TIROFIBAN .25IJ</t>
  </si>
  <si>
    <t>0053247805</t>
  </si>
  <si>
    <t>TOBRAMYCIN UPTO 80MG IJ</t>
  </si>
  <si>
    <t>TOBRAMYC 80MGIJ</t>
  </si>
  <si>
    <t>0053247912</t>
  </si>
  <si>
    <t>TOCILIZUMAB PER 1MG IJ</t>
  </si>
  <si>
    <t>TOCILIZUMB1MGIJ</t>
  </si>
  <si>
    <t>0053247938</t>
  </si>
  <si>
    <t>TOCILIZUMAB (COVID) PER 1MG IJ</t>
  </si>
  <si>
    <t>TOCILIZUMAB(COV</t>
  </si>
  <si>
    <t>0053248209</t>
  </si>
  <si>
    <t>TORSEMIDE 10MG/ML 5ML IJ</t>
  </si>
  <si>
    <t>TORSEMIDE 5MLIJ</t>
  </si>
  <si>
    <t>0053248217</t>
  </si>
  <si>
    <t>TORSEMIDE 10MG/ML 2ML IJ</t>
  </si>
  <si>
    <t>TORSEMIDE 2MLIJ</t>
  </si>
  <si>
    <t>0053248399</t>
  </si>
  <si>
    <t>TRACE METAL 1ML PFS IJ</t>
  </si>
  <si>
    <t>TRACE MET1PFSIJ</t>
  </si>
  <si>
    <t>0053248431</t>
  </si>
  <si>
    <t>TRACE METAL 5ML PFS IJ</t>
  </si>
  <si>
    <t>TRACE MET5PFSIJ</t>
  </si>
  <si>
    <t>0053248449</t>
  </si>
  <si>
    <t>TRACE METAL 1ML IJ</t>
  </si>
  <si>
    <t>TRACE META1MLIJ</t>
  </si>
  <si>
    <t>0053248506</t>
  </si>
  <si>
    <t>TRANEXAMIC ACID1G/10MLIJ</t>
  </si>
  <si>
    <t>TRANEXAMC10MLIJ</t>
  </si>
  <si>
    <t>0053248555</t>
  </si>
  <si>
    <t>TRASTUZUMAB PER 10MG IJ</t>
  </si>
  <si>
    <t>TRASTUZUMAB10IJ</t>
  </si>
  <si>
    <t>0053248654</t>
  </si>
  <si>
    <t>TRIAMCINOLON A PER10MGIJ</t>
  </si>
  <si>
    <t>TRIAMCINO10MGIJ</t>
  </si>
  <si>
    <t>0053248787</t>
  </si>
  <si>
    <t>TRICHOPHYTON .1ML IJ</t>
  </si>
  <si>
    <t>TRICHOPHYTON1IJ</t>
  </si>
  <si>
    <t>0053249538</t>
  </si>
  <si>
    <t>TRIMETHOBENZ TO 200MG IJ</t>
  </si>
  <si>
    <t>TRIMETHOBZ200IJ</t>
  </si>
  <si>
    <t>0053249652</t>
  </si>
  <si>
    <t>TROMETHAMINE18GM/500MLIJ</t>
  </si>
  <si>
    <t>TROMETHA500MLIJ</t>
  </si>
  <si>
    <t>0053249892</t>
  </si>
  <si>
    <t>TUBERCULIN PPD 5TU IJ</t>
  </si>
  <si>
    <t>TB TEST 5TUIJ</t>
  </si>
  <si>
    <t>0053250106</t>
  </si>
  <si>
    <t>TUBOCURARINE3MG/ML20MLIJ</t>
  </si>
  <si>
    <t>TUBOCURAR20MLIJ</t>
  </si>
  <si>
    <t>0053250650</t>
  </si>
  <si>
    <t>VALPROATE 500MG/5ML IJ</t>
  </si>
  <si>
    <t>VALPROATE5ML IJ</t>
  </si>
  <si>
    <t>0053250700</t>
  </si>
  <si>
    <t>VANCOMYC PER500MG IVPBIJ</t>
  </si>
  <si>
    <t>VANCOMYN500MVPB</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</si>
  <si>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</si>
  <si>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</si>
  <si>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</si>
  <si>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</si>
  <si>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</si>
  <si>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</si>
  <si>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</si>
  <si>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</si>
  <si>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</si>
  <si>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</si>
  <si>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</si>
  <si>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</si>
  <si>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0053251153</t>
  </si>
  <si>
    <t>VECURONIUM 20MG IJ</t>
  </si>
  <si>
    <t>VECURONIU20MGIJ</t>
  </si>
  <si>
    <t>0053251252</t>
  </si>
  <si>
    <t>VERAPAMIL2.5MG/ML 2ML IJ</t>
  </si>
  <si>
    <t>VERAPAMIL2ML IJ</t>
  </si>
  <si>
    <t>0053251765</t>
  </si>
  <si>
    <t>VINBLASTINE PER 1MG IJ</t>
  </si>
  <si>
    <t>VINBLASTIN1MGIJ</t>
  </si>
  <si>
    <t>0053251989</t>
  </si>
  <si>
    <t>VINCRISTINE PER 1MG IJ</t>
  </si>
  <si>
    <t>VINCRISTIN1MGIJ</t>
  </si>
  <si>
    <t>0053252102</t>
  </si>
  <si>
    <t>VINORELBINE PER 10MG IJ</t>
  </si>
  <si>
    <t>VINORELBN10MGIJ</t>
  </si>
  <si>
    <t>0053252391</t>
  </si>
  <si>
    <t>VORICONAZOLE PER 10MG IJ</t>
  </si>
  <si>
    <t>VORICONAZOL10IJ</t>
  </si>
  <si>
    <t>0053252466</t>
  </si>
  <si>
    <t>VON WILLEBRANDFC PER1UIJ</t>
  </si>
  <si>
    <t>VON WILLEBR1UIJ</t>
  </si>
  <si>
    <t>0053252482</t>
  </si>
  <si>
    <t>WATER INJ STERL 100ML IJ</t>
  </si>
  <si>
    <t>WATERSTR100MLIJ</t>
  </si>
  <si>
    <t>0053252508</t>
  </si>
  <si>
    <t>WATER INJ STERL 10ML IJ</t>
  </si>
  <si>
    <t>WATERSTER10MLIJ</t>
  </si>
  <si>
    <t>0053252540</t>
  </si>
  <si>
    <t>WATER INJ STERL 50ML IJ</t>
  </si>
  <si>
    <t>WATERSTER50MLIJ</t>
  </si>
  <si>
    <t>0053252938</t>
  </si>
  <si>
    <t>ZOLEDRONIC ACID PER1MGIJ</t>
  </si>
  <si>
    <t>ZOLED AC 1MGIJ</t>
  </si>
  <si>
    <t>0053253019</t>
  </si>
  <si>
    <t>ZIPRASIDONE PER 10MG IJ</t>
  </si>
  <si>
    <t>ZIPRASIDO10MGIJ</t>
  </si>
  <si>
    <t>0053270112</t>
  </si>
  <si>
    <t>APAP/COD 120/12 5ML LQ</t>
  </si>
  <si>
    <t>APAP/COD 5ML LQ</t>
  </si>
  <si>
    <t>0053270153</t>
  </si>
  <si>
    <t>APAP/COD 15MG TB</t>
  </si>
  <si>
    <t>APAP/COD15MG TB</t>
  </si>
  <si>
    <t>0053270195</t>
  </si>
  <si>
    <t>APAP/COD 30MG TB</t>
  </si>
  <si>
    <t>APAP/COD30MG TB</t>
  </si>
  <si>
    <t>0053270237</t>
  </si>
  <si>
    <t>APAP/COD 60MG TB</t>
  </si>
  <si>
    <t>APAP/COD60MG TB</t>
  </si>
  <si>
    <t>0053270302</t>
  </si>
  <si>
    <t>ALPRAZOLAM .125MG TB</t>
  </si>
  <si>
    <t>ALPRAZOL .125TB</t>
  </si>
  <si>
    <t>0053270369</t>
  </si>
  <si>
    <t>APAP/BUTAL/CAF/ TB</t>
  </si>
  <si>
    <t>APAP/BUT/CF TB</t>
  </si>
  <si>
    <t>0053271169</t>
  </si>
  <si>
    <t>AMPHET/DEXAMPHET 15MG TB</t>
  </si>
  <si>
    <t>AMPH/DEXAM 15TB</t>
  </si>
  <si>
    <t>0053271649</t>
  </si>
  <si>
    <t>ASA/BUTAL/CAFF CP</t>
  </si>
  <si>
    <t>ASA/BUT/CAF CP</t>
  </si>
  <si>
    <t>0053272720</t>
  </si>
  <si>
    <t>CHLORAL HYDRATE 500MG CP</t>
  </si>
  <si>
    <t>CHL HYD500MG CP</t>
  </si>
  <si>
    <t>0053273181</t>
  </si>
  <si>
    <t>COCAINE 4% 4ML TS</t>
  </si>
  <si>
    <t>COCAINE 4% 4ML</t>
  </si>
  <si>
    <t>0053273686</t>
  </si>
  <si>
    <t>CODEINE 30MG TB</t>
  </si>
  <si>
    <t>0053273975</t>
  </si>
  <si>
    <t>ASA/BUT/CAF/COD 30MG TB</t>
  </si>
  <si>
    <t>FIORINAL #3 TB</t>
  </si>
  <si>
    <t>0053274304</t>
  </si>
  <si>
    <t>DRONABINOL 2.5MG CP</t>
  </si>
  <si>
    <t>DRONABIN2.5MGCP</t>
  </si>
  <si>
    <t>0053274312</t>
  </si>
  <si>
    <t>DRONABINOL 5MG CP</t>
  </si>
  <si>
    <t>DRONABINOL5MGCP</t>
  </si>
  <si>
    <t>0053275012</t>
  </si>
  <si>
    <t>FENTANYL PER 0.1MG IJ</t>
  </si>
  <si>
    <t>FENTANYL.1MG 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</si>
  <si>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</si>
  <si>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</si>
  <si>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</si>
  <si>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</si>
  <si>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</si>
  <si>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</si>
  <si>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</si>
  <si>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</si>
  <si>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</si>
  <si>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</si>
  <si>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</si>
  <si>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</si>
  <si>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</si>
  <si>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</si>
  <si>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</si>
  <si>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0053275442</t>
  </si>
  <si>
    <t>HYDROCOD/CPM 5ML XR LQ</t>
  </si>
  <si>
    <t>HYDR/CPM XR5ML</t>
  </si>
  <si>
    <t>0053275517</t>
  </si>
  <si>
    <t>HYDROCOD/HOMAT 10ML LQ</t>
  </si>
  <si>
    <t>HYDROC/HOMA10ML</t>
  </si>
  <si>
    <t>0053275533</t>
  </si>
  <si>
    <t>HYDROCOD/HOMAT 5ML LQ</t>
  </si>
  <si>
    <t>HYDROC/HOMAT5ML</t>
  </si>
  <si>
    <t>0053275541</t>
  </si>
  <si>
    <t>HYDROCOD/APAP 5/325 TB</t>
  </si>
  <si>
    <t>HYDR/APAP5/325</t>
  </si>
  <si>
    <t>0053275558</t>
  </si>
  <si>
    <t>HYDROCOD/HOMAT 5/1.5 TB</t>
  </si>
  <si>
    <t>HYDROC/HOMAT TB</t>
  </si>
  <si>
    <t>0053275657</t>
  </si>
  <si>
    <t>HYDROCOD/APAP 10/325 TB</t>
  </si>
  <si>
    <t>HYDR/APAP10/325</t>
  </si>
  <si>
    <t>0053275772</t>
  </si>
  <si>
    <t>HYDROCOD/APAP 10ML LQ</t>
  </si>
  <si>
    <t>HYDROC/APAP10ML</t>
  </si>
  <si>
    <t>0053275780</t>
  </si>
  <si>
    <t>HYDROCOD/APAP 5/500 TB</t>
  </si>
  <si>
    <t>HYDRO/APAP5/500</t>
  </si>
  <si>
    <t>0053275798</t>
  </si>
  <si>
    <t>HYDROCOD/APAP 7.5/500TB</t>
  </si>
  <si>
    <t>HYD/APAP7.5/500</t>
  </si>
  <si>
    <t>0053275848</t>
  </si>
  <si>
    <t>HYDROMORPHONE 1MG TB</t>
  </si>
  <si>
    <t>HYDROMORPH1MGTB</t>
  </si>
  <si>
    <t>0053275871</t>
  </si>
  <si>
    <t>HYDROMORPHONE 2MG TB</t>
  </si>
  <si>
    <t>HYDROMORPH2MGTB</t>
  </si>
  <si>
    <t>0053275921</t>
  </si>
  <si>
    <t>HYDROMORPHONE UPTO4MG IJ</t>
  </si>
  <si>
    <t>HYDROMORP4MG IJ</t>
  </si>
  <si>
    <t>0053275939</t>
  </si>
  <si>
    <t>HYDROMORPHONE 4MG TB</t>
  </si>
  <si>
    <t>HYDROMORPH4MGTB</t>
  </si>
  <si>
    <t>0053276002</t>
  </si>
  <si>
    <t>LEVORPHANOL 2MG TB</t>
  </si>
  <si>
    <t>LEVORPHANO2MGTB</t>
  </si>
  <si>
    <t>0053276374</t>
  </si>
  <si>
    <t>MEPERIDINE PER 100MG IJ</t>
  </si>
  <si>
    <t>MEPERIDIN 100MG</t>
  </si>
  <si>
    <t>0053276416</t>
  </si>
  <si>
    <t>MEPERIDINE 50MG TB</t>
  </si>
  <si>
    <t>MEPERID 50MG TB</t>
  </si>
  <si>
    <t>0053276473</t>
  </si>
  <si>
    <t>MEPERIDINE PER 100MG PCA</t>
  </si>
  <si>
    <t>MEPERID100MGPCA</t>
  </si>
  <si>
    <t>0053276580</t>
  </si>
  <si>
    <t>METHADONE 10MG/5ML LQ</t>
  </si>
  <si>
    <t>METHADON10MG LQ</t>
  </si>
  <si>
    <t>0053276614</t>
  </si>
  <si>
    <t>METHADONE 5MG/5ML LQ</t>
  </si>
  <si>
    <t>METHADON 5MG LQ</t>
  </si>
  <si>
    <t>0053276705</t>
  </si>
  <si>
    <t>METHADONE 10MG TB</t>
  </si>
  <si>
    <t>METHADON10MG TB</t>
  </si>
  <si>
    <t>0053276747</t>
  </si>
  <si>
    <t>METHADONE 5MG TB</t>
  </si>
  <si>
    <t>METHADONE5MG TB</t>
  </si>
  <si>
    <t>0053276770</t>
  </si>
  <si>
    <t>LACOSAMIDE 50MG TB</t>
  </si>
  <si>
    <t>LACOSAMID50MGTB</t>
  </si>
  <si>
    <t>0053276788</t>
  </si>
  <si>
    <t>LACOSAMIDE 100MG TB</t>
  </si>
  <si>
    <t>LACOSAMD100MGTB</t>
  </si>
  <si>
    <t>0053276804</t>
  </si>
  <si>
    <t>METHOHEXITAL 500MG IJ</t>
  </si>
  <si>
    <t>METHOHEXI 500MG</t>
  </si>
  <si>
    <t>0053276820</t>
  </si>
  <si>
    <t>LACOSAMIDE 150MG TB</t>
  </si>
  <si>
    <t>LACOSAMD150MGTB</t>
  </si>
  <si>
    <t>0053276952</t>
  </si>
  <si>
    <t>METHYLPHENIDATE 5MG TB</t>
  </si>
  <si>
    <t>METHYLPHEN5MGTB</t>
  </si>
  <si>
    <t>0053276994</t>
  </si>
  <si>
    <t>METHYLPHENIDATE 10MG TB</t>
  </si>
  <si>
    <t>METHYLPHE10MGTB</t>
  </si>
  <si>
    <t>0053277000</t>
  </si>
  <si>
    <t>METHYLPHENIDATE 20MG TB</t>
  </si>
  <si>
    <t>METHYLPHE20MGTB</t>
  </si>
  <si>
    <t>0053277125</t>
  </si>
  <si>
    <t>MORPH PF EPI/INTR 10MGIJ</t>
  </si>
  <si>
    <t>MORPH PF 10MGIJ</t>
  </si>
  <si>
    <t>0053277190</t>
  </si>
  <si>
    <t>MIDAZOLAM PER 1MG INF IJ</t>
  </si>
  <si>
    <t>MIDAZOLAM1MGINF</t>
  </si>
  <si>
    <t>0053277307</t>
  </si>
  <si>
    <t>MIDAZOLAM 10MG/5ML LQ</t>
  </si>
  <si>
    <t>MIDAZOL 5ML LQ</t>
  </si>
  <si>
    <t>0053277448</t>
  </si>
  <si>
    <t>MORPHINE UPTO 10MG IJ</t>
  </si>
  <si>
    <t>MORPHIN 10MG IJ</t>
  </si>
  <si>
    <t>0053277497</t>
  </si>
  <si>
    <t>MORPHINE 10MG/5ML LQ</t>
  </si>
  <si>
    <t>MORPHIN 10MG LQ</t>
  </si>
  <si>
    <t>0053277539</t>
  </si>
  <si>
    <t>MORPHINE 20MG/5ML LQ</t>
  </si>
  <si>
    <t>MORPHIN20MG/5ML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</si>
  <si>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</si>
  <si>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</si>
  <si>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</si>
  <si>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</si>
  <si>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</si>
  <si>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</si>
  <si>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</si>
  <si>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</si>
  <si>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</si>
  <si>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</si>
  <si>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</si>
  <si>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</si>
  <si>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</si>
  <si>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</si>
  <si>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</si>
  <si>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</si>
  <si>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</si>
  <si>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</si>
  <si>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0053278024</t>
  </si>
  <si>
    <t>BELLADONNA OPIUM 30MGSU</t>
  </si>
  <si>
    <t>BELL OP 30MG SU</t>
  </si>
  <si>
    <t>0053278065</t>
  </si>
  <si>
    <t>BELLADONNA OPIUM 60MGSU</t>
  </si>
  <si>
    <t>BELL OP 60MG SU</t>
  </si>
  <si>
    <t>0053278362</t>
  </si>
  <si>
    <t>MORPHINE PER 10MG PCA</t>
  </si>
  <si>
    <t>MORPHINE10MGPCA</t>
  </si>
  <si>
    <t>0053278404</t>
  </si>
  <si>
    <t>OXANDROLONE 2.5MG TB</t>
  </si>
  <si>
    <t>OXANDROL2.5MGTB</t>
  </si>
  <si>
    <t>0053278412</t>
  </si>
  <si>
    <t>OXYCODONE 15MG XR TB</t>
  </si>
  <si>
    <t>OXYCOD15MG XRTB</t>
  </si>
  <si>
    <t>0053278479</t>
  </si>
  <si>
    <t>OXYCOD/APAP 5/325 TB</t>
  </si>
  <si>
    <t>OXY/APAP 5/325</t>
  </si>
  <si>
    <t>0053278529</t>
  </si>
  <si>
    <t>OXYCODONE/ASA 4.5MG TB</t>
  </si>
  <si>
    <t>OXYCOD/ASA TB</t>
  </si>
  <si>
    <t>0053278552</t>
  </si>
  <si>
    <t>OXYCODONE 5MG TB</t>
  </si>
  <si>
    <t>OXYCODON 5MG TB</t>
  </si>
  <si>
    <t>0053278578</t>
  </si>
  <si>
    <t>OXYCODONE 10MG XR TB</t>
  </si>
  <si>
    <t>OXYCOD10MG XRTB</t>
  </si>
  <si>
    <t>0053278586</t>
  </si>
  <si>
    <t>OXYCODONE 20MG XR TB</t>
  </si>
  <si>
    <t>OXYCOD20MG XRTB</t>
  </si>
  <si>
    <t>0053278602</t>
  </si>
  <si>
    <t>OXYCODONE 80MG XR TB</t>
  </si>
  <si>
    <t>OXYCOD80MG XRTB</t>
  </si>
  <si>
    <t>0053278933</t>
  </si>
  <si>
    <t>HYDROMORPH PER4MG PCA IJ</t>
  </si>
  <si>
    <t>HYDROMORP4MGPCA</t>
  </si>
  <si>
    <t>0053279311</t>
  </si>
  <si>
    <t>PHENOBARBITAL 15MG TB</t>
  </si>
  <si>
    <t>PHENOBARB15MGTB</t>
  </si>
  <si>
    <t>0053279352</t>
  </si>
  <si>
    <t>PHENOBARBITAL 30MG TB</t>
  </si>
  <si>
    <t>PHENOBARB30MGTB</t>
  </si>
  <si>
    <t>0053279360</t>
  </si>
  <si>
    <t>PHENOBARBITAL 32.4MG TB</t>
  </si>
  <si>
    <t>PHENOBARB32.4TB</t>
  </si>
  <si>
    <t>0053279394</t>
  </si>
  <si>
    <t>PHENOBARBITAL 60MG TB</t>
  </si>
  <si>
    <t>PHENOBARB60MGTB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</si>
  <si>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</si>
  <si>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</si>
  <si>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</si>
  <si>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</si>
  <si>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</si>
  <si>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</si>
  <si>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</si>
  <si>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</si>
  <si>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</si>
  <si>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</si>
  <si>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</si>
  <si>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</si>
  <si>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0053279477</t>
  </si>
  <si>
    <t>PHENOBARBIT 20MG/5ML LQ</t>
  </si>
  <si>
    <t>PHENOBARB5ML LQ</t>
  </si>
  <si>
    <t>0053279600</t>
  </si>
  <si>
    <t>REMIFENTANIL 1MG/3ML IJ</t>
  </si>
  <si>
    <t>REMIFENTA1MG IJ</t>
  </si>
  <si>
    <t>0053279915</t>
  </si>
  <si>
    <t>SUFENTANIL 50UG/ML1ML IJ</t>
  </si>
  <si>
    <t>SUFENTAN 1ML IJ</t>
  </si>
  <si>
    <t>0053279931</t>
  </si>
  <si>
    <t>SUFENTANIL 50UG/ML2ML IJ</t>
  </si>
  <si>
    <t>SUFENTAN 2ML IJ</t>
  </si>
  <si>
    <t>0053279956</t>
  </si>
  <si>
    <t>SUFENTANIL 50UG/ML5ML IJ</t>
  </si>
  <si>
    <t>SUFENTAN 5ML IJ</t>
  </si>
  <si>
    <t>0053279980</t>
  </si>
  <si>
    <t>TAPENTADOL 50MG TB</t>
  </si>
  <si>
    <t>TAPENTADL50MGTB</t>
  </si>
  <si>
    <t>0053280673</t>
  </si>
  <si>
    <t>THIOPENTAL 500MG SG IJ</t>
  </si>
  <si>
    <t>THIOPENTAL500SG</t>
  </si>
  <si>
    <t>0053300018</t>
  </si>
  <si>
    <t>MISC EENT PRODUCT</t>
  </si>
  <si>
    <t>MISC EENT</t>
  </si>
  <si>
    <t>0053300174</t>
  </si>
  <si>
    <t>ACETIC AC/AL ACET 60MLOT</t>
  </si>
  <si>
    <t>ACETAC/ALAC60OT</t>
  </si>
  <si>
    <t>0053300232</t>
  </si>
  <si>
    <t>ACETC AC/HCTS2%-1%10MLOT</t>
  </si>
  <si>
    <t>ACE AC/HCTS10OT</t>
  </si>
  <si>
    <t>0053300448</t>
  </si>
  <si>
    <t>ACETYLCHOLINE CL1%2ML OS</t>
  </si>
  <si>
    <t>ACETYLCHOL2MLOS</t>
  </si>
  <si>
    <t>0053300653</t>
  </si>
  <si>
    <t>ACETYLCYSTEINE 10%4ML IS</t>
  </si>
  <si>
    <t>ACETYLCYST4MLIS</t>
  </si>
  <si>
    <t>0053300679</t>
  </si>
  <si>
    <t>ACETYLCYSTEINE10%10ML IS</t>
  </si>
  <si>
    <t>ACETYLCYST10 IS</t>
  </si>
  <si>
    <t>0053300729</t>
  </si>
  <si>
    <t>ACETYLCYSTEINE10%30ML IS</t>
  </si>
  <si>
    <t>ACETYLCYST30 IS</t>
  </si>
  <si>
    <t>0053300794</t>
  </si>
  <si>
    <t>ACETYLCYSTEINE 20%4ML IS</t>
  </si>
  <si>
    <t>0053300935</t>
  </si>
  <si>
    <t>ACETYLCYSTEINE20%30ML IS</t>
  </si>
  <si>
    <t>0053301131</t>
  </si>
  <si>
    <t>ALBUTEROL HFA 18GM IH</t>
  </si>
  <si>
    <t>ALBUTEROL18G IH</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</si>
  <si>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</si>
  <si>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</si>
  <si>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</si>
  <si>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</si>
  <si>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</si>
  <si>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</si>
  <si>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</si>
  <si>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</si>
  <si>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</si>
  <si>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</si>
  <si>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</si>
  <si>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</si>
  <si>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0053301289</t>
  </si>
  <si>
    <t>ALBUTEROL HFA 8GM IH</t>
  </si>
  <si>
    <t>ALBUTER 8GM IH</t>
  </si>
  <si>
    <t>0053301982</t>
  </si>
  <si>
    <t>ANTIPYRINE/BOR AC180MLOS</t>
  </si>
  <si>
    <t>ANTIPY/BOR180OS</t>
  </si>
  <si>
    <t>0053302113</t>
  </si>
  <si>
    <t>APRACLONIDINE .5% 5ML OS</t>
  </si>
  <si>
    <t>APRACLONID5MLOS</t>
  </si>
  <si>
    <t>0053302154</t>
  </si>
  <si>
    <t>APRACLONIDINE 1% .1ML OS</t>
  </si>
  <si>
    <t>APRACLOND.1MLOS</t>
  </si>
  <si>
    <t>0053302170</t>
  </si>
  <si>
    <t>ARFORMOTEROL15MCG/2ML IS</t>
  </si>
  <si>
    <t>ARFORMOTER2MLIS</t>
  </si>
  <si>
    <t>0053302196</t>
  </si>
  <si>
    <t>AMMONIA AROMATIC IH</t>
  </si>
  <si>
    <t>AMMONIA AROM IH</t>
  </si>
  <si>
    <t>0053302428</t>
  </si>
  <si>
    <t>OCULAR LUB PF 15ML OS</t>
  </si>
  <si>
    <t>OCULAR LUB15 OS</t>
  </si>
  <si>
    <t>0053302683</t>
  </si>
  <si>
    <t>ATROPINE 1% 1ML OS</t>
  </si>
  <si>
    <t>ATROPINE 1ML OS</t>
  </si>
  <si>
    <t>0053302758</t>
  </si>
  <si>
    <t>ATROPINE 1% 2ML OS</t>
  </si>
  <si>
    <t>ATROPINE 2ML OS</t>
  </si>
  <si>
    <t>0053302824</t>
  </si>
  <si>
    <t>ATROPINE 1% 5ML OS</t>
  </si>
  <si>
    <t>ATROPINE 5ML OS</t>
  </si>
  <si>
    <t>0053302899</t>
  </si>
  <si>
    <t>ATROPINE 1% 15ML OS</t>
  </si>
  <si>
    <t>ATROPINE15ML OS</t>
  </si>
  <si>
    <t>0053303301</t>
  </si>
  <si>
    <t>AZELASTINE NASAL 30ML SP</t>
  </si>
  <si>
    <t>AZELASTIN30MLSP</t>
  </si>
  <si>
    <t>0053303517</t>
  </si>
  <si>
    <t>BACITRACIN500U/GM3.5GMOO</t>
  </si>
  <si>
    <t>BACITRACIN3.5OO</t>
  </si>
  <si>
    <t>0053303533</t>
  </si>
  <si>
    <t>BACITRA/POLYMYX 3.5GM OO</t>
  </si>
  <si>
    <t>BACIT/POLY3.5OO</t>
  </si>
  <si>
    <t>0053303731</t>
  </si>
  <si>
    <t>BECLOMETH NAS 16.8GM SP</t>
  </si>
  <si>
    <t>BECLOMETH16.8SP</t>
  </si>
  <si>
    <t>0053303749</t>
  </si>
  <si>
    <t>BECLOMETH NAS 25GM SP</t>
  </si>
  <si>
    <t>BECLOMETH25GMSP</t>
  </si>
  <si>
    <t>0053303814</t>
  </si>
  <si>
    <t>BECLOMETHASN80MCG7.3GMIH</t>
  </si>
  <si>
    <t>BECLOMETHA7.3IH</t>
  </si>
  <si>
    <t>0053303822</t>
  </si>
  <si>
    <t>BECLOMETHASN40MCG7.3GMIH</t>
  </si>
  <si>
    <t>0053304010</t>
  </si>
  <si>
    <t>BENZOCAINE/ANTIPYR15MLOT</t>
  </si>
  <si>
    <t>BENZO/ANTIP15OT</t>
  </si>
  <si>
    <t>0053304028</t>
  </si>
  <si>
    <t>BETAXOLOL .25% 15ML OS</t>
  </si>
  <si>
    <t>BETAXOLOL15MLOS</t>
  </si>
  <si>
    <t>0053304044</t>
  </si>
  <si>
    <t>BETAXOLOL .5% 5ML OS</t>
  </si>
  <si>
    <t>BETAXOLOL 5MLOS</t>
  </si>
  <si>
    <t>0053304192</t>
  </si>
  <si>
    <t>BIMATOPROST.03% 2.5ML OS</t>
  </si>
  <si>
    <t>BIMATOPROS2.5OS</t>
  </si>
  <si>
    <t>0053304275</t>
  </si>
  <si>
    <t>BRIMONIDINE .1% 5ML OS</t>
  </si>
  <si>
    <t>BRIMONIDINE 5OS</t>
  </si>
  <si>
    <t>0053304309</t>
  </si>
  <si>
    <t>BUDESONIDE .25MG/2ML IS</t>
  </si>
  <si>
    <t>BUDESONIDE2MLIS</t>
  </si>
  <si>
    <t>0053304366</t>
  </si>
  <si>
    <t>BUDESONIDE NAS 7GM IH</t>
  </si>
  <si>
    <t>BUDESON NS7GMIH</t>
  </si>
  <si>
    <t>0053304374</t>
  </si>
  <si>
    <t>BRIMONIDINE .2% 5ML OS</t>
  </si>
  <si>
    <t>0053304432</t>
  </si>
  <si>
    <t>BRINZOLAMIDE 1% 5ML OS</t>
  </si>
  <si>
    <t>BRINZOLAMIDE5OS</t>
  </si>
  <si>
    <t>0053304440</t>
  </si>
  <si>
    <t>BRINZOLAMIDE 1% 10ML OS</t>
  </si>
  <si>
    <t>BRINZOLAMID10OS</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</si>
  <si>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</si>
  <si>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</si>
  <si>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</si>
  <si>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</si>
  <si>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</si>
  <si>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</si>
  <si>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</si>
  <si>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</si>
  <si>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</si>
  <si>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</si>
  <si>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</si>
  <si>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</si>
  <si>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</si>
  <si>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0053304622</t>
  </si>
  <si>
    <t>BUDES/FORMOT80/4.5 6GMIH</t>
  </si>
  <si>
    <t>BUDES/FORMOT6IH</t>
  </si>
  <si>
    <t>0053304630</t>
  </si>
  <si>
    <t>BUDE/FORMOT160/4.5 6GMIH</t>
  </si>
  <si>
    <t>0053304713</t>
  </si>
  <si>
    <t>CARBACHOL 3% 15ML OS</t>
  </si>
  <si>
    <t>CARBACHOL15MLOS</t>
  </si>
  <si>
    <t>0053304929</t>
  </si>
  <si>
    <t>CARBAMIDE PERX6.5%15MLOT</t>
  </si>
  <si>
    <t>CARBAM PERX15OT</t>
  </si>
  <si>
    <t>0053305439</t>
  </si>
  <si>
    <t>CIPROFLOX/DEXM 7.5ML OT</t>
  </si>
  <si>
    <t>CIPRO/DEXM7.5OT</t>
  </si>
  <si>
    <t>0053305470</t>
  </si>
  <si>
    <t>CIPROFLOXACIN .3% 5ML OS</t>
  </si>
  <si>
    <t>CIPROFLOXACN5OS</t>
  </si>
  <si>
    <t>0053305496</t>
  </si>
  <si>
    <t>CIPROFLOXACIN.3%3.5GM OO</t>
  </si>
  <si>
    <t>CIPROFLOXA3.5OO</t>
  </si>
  <si>
    <t>0053305587</t>
  </si>
  <si>
    <t>CIPROFLOXACIN.2%.25ML OT</t>
  </si>
  <si>
    <t>CIPROFLOX .25OT</t>
  </si>
  <si>
    <t>0053305629</t>
  </si>
  <si>
    <t>CROMOLYN NAS5.2MG13ML SP</t>
  </si>
  <si>
    <t>CROMOLYN NS13SP</t>
  </si>
  <si>
    <t>0053305702</t>
  </si>
  <si>
    <t>CROMOLYN .8MG 8.1GM IH</t>
  </si>
  <si>
    <t>CROMOLYN8.1GMIH</t>
  </si>
  <si>
    <t>0053305900</t>
  </si>
  <si>
    <t>CYCLOPENTOLATE 1% 2ML OS</t>
  </si>
  <si>
    <t>CYCLOPENTOL2 OS</t>
  </si>
  <si>
    <t>0053305975</t>
  </si>
  <si>
    <t>CYCLOPENTOLATE 1%5ML OS</t>
  </si>
  <si>
    <t>CYCLOPENTOL5 OS</t>
  </si>
  <si>
    <t>0053306106</t>
  </si>
  <si>
    <t>CYCLOSPORINE.05% .4ML OS</t>
  </si>
  <si>
    <t>CYCLOSPOR.4MLOS</t>
  </si>
  <si>
    <t>0053306395</t>
  </si>
  <si>
    <t>DESMOPRESSIN .01%2.5MLSP</t>
  </si>
  <si>
    <t>DESMOPRE2.5MLSP</t>
  </si>
  <si>
    <t>0053306957</t>
  </si>
  <si>
    <t>DEXAMETHASONE .1% 5ML OS</t>
  </si>
  <si>
    <t>DEXAMETHASN5 OS</t>
  </si>
  <si>
    <t>0053307229</t>
  </si>
  <si>
    <t>DEXAMETH/NEO/POLY 5ML OS</t>
  </si>
  <si>
    <t>DEX/NEO/POLY5OS</t>
  </si>
  <si>
    <t>0053307518</t>
  </si>
  <si>
    <t>DEXAMETH/NEO/POLY3.5GMOO</t>
  </si>
  <si>
    <t>DEX/NEO/PO3.5OO</t>
  </si>
  <si>
    <t>0053307609</t>
  </si>
  <si>
    <t>DICLOFENAC .1% 5ML OS</t>
  </si>
  <si>
    <t>DICLOFENAC5MLOS</t>
  </si>
  <si>
    <t>0053307617</t>
  </si>
  <si>
    <t>DICLOFENAC .1% 2.5ML OS</t>
  </si>
  <si>
    <t>DICLOFENAC2.5OS</t>
  </si>
  <si>
    <t>0053307724</t>
  </si>
  <si>
    <t>DIPIVEFRIN .1% 5ML OS</t>
  </si>
  <si>
    <t>DIPIVEFRIN5MLOS</t>
  </si>
  <si>
    <t>0053307856</t>
  </si>
  <si>
    <t>DORZOLAMIDE 2% 5ML OS</t>
  </si>
  <si>
    <t>DORZOLAMIDE5 OS</t>
  </si>
  <si>
    <t>0053307864</t>
  </si>
  <si>
    <t>DORZOLAMIDE 2% 10ML OS</t>
  </si>
  <si>
    <t>DORZOLAMIDE10OS</t>
  </si>
  <si>
    <t>0053307872</t>
  </si>
  <si>
    <t>DORZOLAMIDE/TIMOLOL5MLOS</t>
  </si>
  <si>
    <t>DORZOL/TIMOL5OS</t>
  </si>
  <si>
    <t>0053307880</t>
  </si>
  <si>
    <t>DORZOLAMIDE/TIMOLO10MLOS</t>
  </si>
  <si>
    <t>DORZOL/TIMO10OS</t>
  </si>
  <si>
    <t>0053307906</t>
  </si>
  <si>
    <t>DORZOL/TIMOLOL .2MLUD OS</t>
  </si>
  <si>
    <t>DORZOL/TIMO.2OS</t>
  </si>
  <si>
    <t>0053308433</t>
  </si>
  <si>
    <t>EPINEPHRINE1:1000 30MLTS</t>
  </si>
  <si>
    <t>EPI 30ML TS</t>
  </si>
  <si>
    <t>0053308656</t>
  </si>
  <si>
    <t>EPINEPHRINE 2.25%.5ML IS</t>
  </si>
  <si>
    <t>EPI .5ML IS</t>
  </si>
  <si>
    <t>0053309233</t>
  </si>
  <si>
    <t>ERYTHROMYCIN .5% 1GM OO</t>
  </si>
  <si>
    <t>ERYTHROMYC1GMOO</t>
  </si>
  <si>
    <t>0053309266</t>
  </si>
  <si>
    <t>ERYTHROMYCIN .5%3.5GM OO</t>
  </si>
  <si>
    <t>ERYTHROMYC3.5OO</t>
  </si>
  <si>
    <t>0053309449</t>
  </si>
  <si>
    <t>OFLOXACIN .3% 5ML OT</t>
  </si>
  <si>
    <t>OFLOXACIN 5MLOT</t>
  </si>
  <si>
    <t>0053309472</t>
  </si>
  <si>
    <t>FLUNISOLIDE 25MCG25ML SP</t>
  </si>
  <si>
    <t>FLUNISOLIDE25SP</t>
  </si>
  <si>
    <t>0053309480</t>
  </si>
  <si>
    <t>FLUNISOLIDE 250MCG7GM IH</t>
  </si>
  <si>
    <t>FLUNISOLIDE7 IH</t>
  </si>
  <si>
    <t>0053309639</t>
  </si>
  <si>
    <t>FLUORES/PROPAR .25/.5 DOSE OS</t>
  </si>
  <si>
    <t>FLU/PROP .25/.5</t>
  </si>
  <si>
    <t>0053309647</t>
  </si>
  <si>
    <t>FLUORESCEIN-BENOXI 5MLOS</t>
  </si>
  <si>
    <t>FLUOR/BEN 5MLOS</t>
  </si>
  <si>
    <t>0053309688</t>
  </si>
  <si>
    <t>FLUORESCEIN STRIP 1 EACH</t>
  </si>
  <si>
    <t>FLUORESCE STRIP</t>
  </si>
  <si>
    <t>0053309837</t>
  </si>
  <si>
    <t>FLUOROMETHALONE.1%5MLOS</t>
  </si>
  <si>
    <t>FLUOROMETHAL5OS</t>
  </si>
  <si>
    <t>0053309852</t>
  </si>
  <si>
    <t>FLUOROMETHALONE.1%1MLOS</t>
  </si>
  <si>
    <t>FLUOROMETHAL1OS</t>
  </si>
  <si>
    <t>0053309902</t>
  </si>
  <si>
    <t>FLUOROMETHALONE.25%5MLOS</t>
  </si>
  <si>
    <t>0053309928</t>
  </si>
  <si>
    <t>FLURBIPROFEN.03%2.5ML OS</t>
  </si>
  <si>
    <t>FLURBIPROF2.5OS</t>
  </si>
  <si>
    <t>0053309951</t>
  </si>
  <si>
    <t>FLUTICASONE .05MG16GM SP</t>
  </si>
  <si>
    <t>FLUTICASONE16SP</t>
  </si>
  <si>
    <t>0053309977</t>
  </si>
  <si>
    <t>FLUTICASONE44MCG13GM IH</t>
  </si>
  <si>
    <t>FLUTICASONE13IH</t>
  </si>
  <si>
    <t>0053309985</t>
  </si>
  <si>
    <t>FLUTICASONE110MCG13GM IH</t>
  </si>
  <si>
    <t>0053309993</t>
  </si>
  <si>
    <t>FLUTICASONE220MCG13GM IH</t>
  </si>
  <si>
    <t>0053310082</t>
  </si>
  <si>
    <t>FORMOTER12MCG EACH IH CP</t>
  </si>
  <si>
    <t>FORMOTER12MCGCP</t>
  </si>
  <si>
    <t>0053310173</t>
  </si>
  <si>
    <t>FORMOTEROL 20MCG/2ML IS</t>
  </si>
  <si>
    <t>FORMOTEROL2MLIS</t>
  </si>
  <si>
    <t>0053310314</t>
  </si>
  <si>
    <t>GENTAMICIN .3% 3.5GM OO</t>
  </si>
  <si>
    <t>GENTAMIC3.5GMOO</t>
  </si>
  <si>
    <t>0053310389</t>
  </si>
  <si>
    <t>GENTAMICIN .3% 5ML OS</t>
  </si>
  <si>
    <t>GENTAMICIN5MLOS</t>
  </si>
  <si>
    <t>0053311338</t>
  </si>
  <si>
    <t>HOMATROPINE 5% 1ML OS</t>
  </si>
  <si>
    <t>HOMATROPINE1 OS</t>
  </si>
  <si>
    <t>0053311361</t>
  </si>
  <si>
    <t>HOMATROPINE 5% 5ML OS</t>
  </si>
  <si>
    <t>HOMATROPINE5 OS</t>
  </si>
  <si>
    <t>0053311544</t>
  </si>
  <si>
    <t>HYALUR/CHONDRO DEVICE KT</t>
  </si>
  <si>
    <t>HYAL/CHO DEV KT</t>
  </si>
  <si>
    <t>0053311577</t>
  </si>
  <si>
    <t>HYALURON10MG/ML.4ML SGIJ</t>
  </si>
  <si>
    <t>HYALURON.4SGIJ</t>
  </si>
  <si>
    <t>0053311593</t>
  </si>
  <si>
    <t>HYALURON10MG/ML.55MLSGIJ</t>
  </si>
  <si>
    <t>HYALURN.55SGIJ</t>
  </si>
  <si>
    <t>0053312245</t>
  </si>
  <si>
    <t>INHALER SPACER W/MASK</t>
  </si>
  <si>
    <t>INH SPACE W/MSK</t>
  </si>
  <si>
    <t>0053312294</t>
  </si>
  <si>
    <t>ALBUTEROL/IPRATR DS IH</t>
  </si>
  <si>
    <t>ALBUT/IPR DS IH</t>
  </si>
  <si>
    <t>0053312310</t>
  </si>
  <si>
    <t>IPRATROPIUM .02%2.5ML IS</t>
  </si>
  <si>
    <t>IPRATROPIM2.5IS</t>
  </si>
  <si>
    <t>0053312336</t>
  </si>
  <si>
    <t>IPRATROPIUMNAS.03%30MLSP</t>
  </si>
  <si>
    <t>IPRATROPIUM30SP</t>
  </si>
  <si>
    <t>0053312351</t>
  </si>
  <si>
    <t>ALBUTEROL/IPRATR14.7GMIH</t>
  </si>
  <si>
    <t>ALBUT/IPR14.7IH</t>
  </si>
  <si>
    <t>0053312369</t>
  </si>
  <si>
    <t>IPRATROPIUMNAS.06%15MLSP</t>
  </si>
  <si>
    <t>IPRATROPIUM15SP</t>
  </si>
  <si>
    <t>0053312377</t>
  </si>
  <si>
    <t>IPRATROPIUM18MCG14GM IH</t>
  </si>
  <si>
    <t>IPRATROPIUM14IH</t>
  </si>
  <si>
    <t>0053312393</t>
  </si>
  <si>
    <t>IPRATROPIUM17MCG12.9GMIH</t>
  </si>
  <si>
    <t>IPRATROPM12.9IH</t>
  </si>
  <si>
    <t>0053312419</t>
  </si>
  <si>
    <t>IRRIGANT OPHTH 30ML OS</t>
  </si>
  <si>
    <t>IRRG OPHTH30 OS</t>
  </si>
  <si>
    <t>0053312450</t>
  </si>
  <si>
    <t>IRRIGANT OPHTH 120ML OS</t>
  </si>
  <si>
    <t>IRRG OPHTH120OS</t>
  </si>
  <si>
    <t>0053313250</t>
  </si>
  <si>
    <t>ISOPROTERENOL .5%10ML IS</t>
  </si>
  <si>
    <t>ISOPROTEREN10IS</t>
  </si>
  <si>
    <t>0053313557</t>
  </si>
  <si>
    <t>KETOROLAC 0.5% 5ML OS</t>
  </si>
  <si>
    <t>KETOROLAC5ML OS</t>
  </si>
  <si>
    <t>0053313581</t>
  </si>
  <si>
    <t>KETOTIFEN .025%5ML OS</t>
  </si>
  <si>
    <t>KETOTIFEN5ML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</si>
  <si>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</si>
  <si>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</si>
  <si>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</si>
  <si>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</si>
  <si>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</si>
  <si>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</si>
  <si>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</si>
  <si>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</si>
  <si>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</si>
  <si>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</si>
  <si>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</si>
  <si>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</si>
  <si>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</si>
  <si>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</si>
  <si>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0053314415</t>
  </si>
  <si>
    <t>METAPROTERENOL.6%2.5MLIS</t>
  </si>
  <si>
    <t>METAPROTR2.5 IS</t>
  </si>
  <si>
    <t>0053314803</t>
  </si>
  <si>
    <t>OCULAR LUB 5MG INSERT</t>
  </si>
  <si>
    <t>OCULAR LUB 5MG</t>
  </si>
  <si>
    <t>0053314860</t>
  </si>
  <si>
    <t>METIPRANOLOL .3% 5ML OS</t>
  </si>
  <si>
    <t>METIPRANOLOL5OS</t>
  </si>
  <si>
    <t>0053314886</t>
  </si>
  <si>
    <t>MUPIROCIN 2% 22GM OI</t>
  </si>
  <si>
    <t>MUPIROCIN22GMOI</t>
  </si>
  <si>
    <t>0053314894</t>
  </si>
  <si>
    <t>MOMETASONE NASAL 17GM SP</t>
  </si>
  <si>
    <t>MOMETASONE 17SP</t>
  </si>
  <si>
    <t>0053314910</t>
  </si>
  <si>
    <t>MOXIFLOXACIN .5% 3ML OS</t>
  </si>
  <si>
    <t>MOXIFLOX 3ML OS</t>
  </si>
  <si>
    <t>0053314944</t>
  </si>
  <si>
    <t>MOMETASONE220MCG.24GM IH</t>
  </si>
  <si>
    <t>MOMETASONE.24IH</t>
  </si>
  <si>
    <t>0053314951</t>
  </si>
  <si>
    <t>NAPHAZOLINE .012%15ML OS</t>
  </si>
  <si>
    <t>NAPHAZOLINE15OS</t>
  </si>
  <si>
    <t>0053314969</t>
  </si>
  <si>
    <t>MOMETASONE 110MCG IH</t>
  </si>
  <si>
    <t>MOMETAS110MCGIH</t>
  </si>
  <si>
    <t>0053315008</t>
  </si>
  <si>
    <t>NAPHAZOLINE .1% 15ML OS</t>
  </si>
  <si>
    <t>0053315271</t>
  </si>
  <si>
    <t>NAPHAZOLINE-PHENIR15MLOS</t>
  </si>
  <si>
    <t>NAPHAZ/PHEN15OS</t>
  </si>
  <si>
    <t>0053315842</t>
  </si>
  <si>
    <t>NEO/POLY/BAC/HCTS3.5GMOO</t>
  </si>
  <si>
    <t>NEO/PO/B/H3.5OO</t>
  </si>
  <si>
    <t>0053315909</t>
  </si>
  <si>
    <t>COLISTIN/NEOMY/HC 5ML OT</t>
  </si>
  <si>
    <t>COLIST/NEOMY5OT</t>
  </si>
  <si>
    <t>0053316055</t>
  </si>
  <si>
    <t>NEOMY/POLY/GRAMICD10MLOS</t>
  </si>
  <si>
    <t>NEO/POLY/GR10OS</t>
  </si>
  <si>
    <t>0053316121</t>
  </si>
  <si>
    <t>NEOMY/POLY/BACIT3.5GM OO</t>
  </si>
  <si>
    <t>NEO/POL/BA3.5OO</t>
  </si>
  <si>
    <t>0053316246</t>
  </si>
  <si>
    <t>NITROGLYCERIN.4MG4.9GMSP</t>
  </si>
  <si>
    <t>NTG 4.9GM SP</t>
  </si>
  <si>
    <t>0053316253</t>
  </si>
  <si>
    <t>NITROGLYCER .4MG13.8GMSP</t>
  </si>
  <si>
    <t>NTG 13.8GM SP</t>
  </si>
  <si>
    <t>0053316352</t>
  </si>
  <si>
    <t>OCULAR LUB 3.5GM OO</t>
  </si>
  <si>
    <t>OCULAR LUB3.5OO</t>
  </si>
  <si>
    <t>0053316402</t>
  </si>
  <si>
    <t>OFLOXACIN .3% 5ML OS</t>
  </si>
  <si>
    <t>OFLOXACIN5MLOS</t>
  </si>
  <si>
    <t>0053316451</t>
  </si>
  <si>
    <t>OLOPATADINE .1% 5ML OS</t>
  </si>
  <si>
    <t>OLOPATADINE 5OS</t>
  </si>
  <si>
    <t>0053316816</t>
  </si>
  <si>
    <t>OXYMETAZOLN NS.05%30MLSP</t>
  </si>
  <si>
    <t>OXYMETZAOLN30SP</t>
  </si>
  <si>
    <t>0053316824</t>
  </si>
  <si>
    <t>OXYMETAZOLN NS.05%15MLSP</t>
  </si>
  <si>
    <t>OXYMETZAOLN15SP</t>
  </si>
  <si>
    <t>0053317798</t>
  </si>
  <si>
    <t>PE NAS .125% 15ML DR IS</t>
  </si>
  <si>
    <t>PE 15ML DR IS</t>
  </si>
  <si>
    <t>0053317806</t>
  </si>
  <si>
    <t>PE NASAL .125%30ML DR IS</t>
  </si>
  <si>
    <t>PE NAS30ML DRIS</t>
  </si>
  <si>
    <t>0053317871</t>
  </si>
  <si>
    <t>PE NASAL .25% 15ML DR IS</t>
  </si>
  <si>
    <t>PE NS 15ML DRIS</t>
  </si>
  <si>
    <t>0053317947</t>
  </si>
  <si>
    <t>PE NASAL .25% 15ML SP</t>
  </si>
  <si>
    <t>PE NS 15ML SP</t>
  </si>
  <si>
    <t>0053317988</t>
  </si>
  <si>
    <t>PE NASAL .5% 30ML SP</t>
  </si>
  <si>
    <t>PE NAS 30ML SP</t>
  </si>
  <si>
    <t>0053318085</t>
  </si>
  <si>
    <t>PE NASAL .5% 15ML SP</t>
  </si>
  <si>
    <t>PE NS 15NL SP</t>
  </si>
  <si>
    <t>0053318150</t>
  </si>
  <si>
    <t>PE NASAL 1% 15ML DR IS</t>
  </si>
  <si>
    <t>0053318168</t>
  </si>
  <si>
    <t>PE NASAL 1% 15ML SP</t>
  </si>
  <si>
    <t>0053318226</t>
  </si>
  <si>
    <t>PE 10% 5ML OS</t>
  </si>
  <si>
    <t>PE 5ML OS</t>
  </si>
  <si>
    <t>0053318283</t>
  </si>
  <si>
    <t>PE 2.5% 2ML OS</t>
  </si>
  <si>
    <t>PE 2ML OS</t>
  </si>
  <si>
    <t>0053318291</t>
  </si>
  <si>
    <t>PE 2.5% 15ML OS</t>
  </si>
  <si>
    <t>PE 15ML OS</t>
  </si>
  <si>
    <t>0053318309</t>
  </si>
  <si>
    <t>PE 2.5% 3ML OS</t>
  </si>
  <si>
    <t>PE 3ML OS</t>
  </si>
  <si>
    <t>0053318432</t>
  </si>
  <si>
    <t>PE/CYCLOPENT1-.2% 5ML OS</t>
  </si>
  <si>
    <t>PE/CYCLOPEN 5OS</t>
  </si>
  <si>
    <t>0053318994</t>
  </si>
  <si>
    <t>PILOCARPINE .5% 15ML OS</t>
  </si>
  <si>
    <t>PILOCARPINE15OS</t>
  </si>
  <si>
    <t>0053319067</t>
  </si>
  <si>
    <t>PILOCARPINE 1% 15ML OS</t>
  </si>
  <si>
    <t>0053319273</t>
  </si>
  <si>
    <t>PILOCARPINE 2% 15ML OS</t>
  </si>
  <si>
    <t>0053319349</t>
  </si>
  <si>
    <t>PILOCARPINE 2% 2ML OS</t>
  </si>
  <si>
    <t>PILOCARPIN2MLOS</t>
  </si>
  <si>
    <t>0053319414</t>
  </si>
  <si>
    <t>PILOCARPINE 3% 15ML OS</t>
  </si>
  <si>
    <t>0053319489</t>
  </si>
  <si>
    <t>PILOCARPINE 4% 15ML OS</t>
  </si>
  <si>
    <t>0053319497</t>
  </si>
  <si>
    <t>PILOCARPINE 4% 5GM GL</t>
  </si>
  <si>
    <t>PILOCARPINE5 GL</t>
  </si>
  <si>
    <t>0053319505</t>
  </si>
  <si>
    <t>PILOCARPINE 4% 1ML OS</t>
  </si>
  <si>
    <t>PILOCARPINE1 OS</t>
  </si>
  <si>
    <t>0053319729</t>
  </si>
  <si>
    <t>PILOCARPINE 2% 1ML UD OS</t>
  </si>
  <si>
    <t>PILOCARPIN1UDOS</t>
  </si>
  <si>
    <t>0053320065</t>
  </si>
  <si>
    <t>FLUT/SALM 100/50 14DS IH</t>
  </si>
  <si>
    <t>FLUT/SALM 14 IH</t>
  </si>
  <si>
    <t>0053320073</t>
  </si>
  <si>
    <t>FLUT/SALM 500/50 14DS IH</t>
  </si>
  <si>
    <t>0053320081</t>
  </si>
  <si>
    <t>FLUT/SALM 250/50 14DS IH</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</si>
  <si>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</si>
  <si>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</si>
  <si>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</si>
  <si>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</si>
  <si>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</si>
  <si>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</si>
  <si>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</si>
  <si>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</si>
  <si>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</si>
  <si>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</si>
  <si>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</si>
  <si>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0053321451</t>
  </si>
  <si>
    <t>POVIDONE IODINE5%30ML OS</t>
  </si>
  <si>
    <t>POV IOD 30ML OS</t>
  </si>
  <si>
    <t>0053321519</t>
  </si>
  <si>
    <t>SULFACET/PRED.25% 5ML OS</t>
  </si>
  <si>
    <t>SULF/PRED 5MLOS</t>
  </si>
  <si>
    <t>0053321725</t>
  </si>
  <si>
    <t>PREDNISOLONE .12% 5ML OS</t>
  </si>
  <si>
    <t>PREDNISOLONE5OS</t>
  </si>
  <si>
    <t>0053321931</t>
  </si>
  <si>
    <t>PREDNISOLONE 1% 5ML OS</t>
  </si>
  <si>
    <t>0053322004</t>
  </si>
  <si>
    <t>PREDNISOLONE 1% 10ML OS</t>
  </si>
  <si>
    <t>PREDNISOLON10OS</t>
  </si>
  <si>
    <t>0053322079</t>
  </si>
  <si>
    <t>PREDNISOL/NEO/POLY5ML OS</t>
  </si>
  <si>
    <t>PRED/NEO/POL5OS</t>
  </si>
  <si>
    <t>0053322426</t>
  </si>
  <si>
    <t>PROPARACAINE .5% 15ML OS</t>
  </si>
  <si>
    <t>PROPARACAIN15OS</t>
  </si>
  <si>
    <t>0053322756</t>
  </si>
  <si>
    <t>RIMEXOLONE 1% 5ML OS</t>
  </si>
  <si>
    <t>RIMEXOLONE5MLOS</t>
  </si>
  <si>
    <t>0053322806</t>
  </si>
  <si>
    <t>SALMETEROL 21MCG 13GM IH</t>
  </si>
  <si>
    <t>SALMETEROL13 IH</t>
  </si>
  <si>
    <t>0053322822</t>
  </si>
  <si>
    <t>SALMETEROL DK 50MCG PW</t>
  </si>
  <si>
    <t>SALMETERLDK50PW</t>
  </si>
  <si>
    <t>0053322855</t>
  </si>
  <si>
    <t>FLUT/SALM 100/50 28DS IH</t>
  </si>
  <si>
    <t>FLUT/SALM 28 IH</t>
  </si>
  <si>
    <t>0053322871</t>
  </si>
  <si>
    <t>FLUT/SALM 250/50 28DS IH</t>
  </si>
  <si>
    <t>0053322897</t>
  </si>
  <si>
    <t>FLUT/SALM 500/50 28DS IH</t>
  </si>
  <si>
    <t>0053323853</t>
  </si>
  <si>
    <t>NACL .65% 45ML NASAL SP</t>
  </si>
  <si>
    <t>NACL NAS 45MLSP</t>
  </si>
  <si>
    <t>0053323911</t>
  </si>
  <si>
    <t>NACL 9% 3ML IS</t>
  </si>
  <si>
    <t>0053323960</t>
  </si>
  <si>
    <t>NACL .65% 45ML NASL IS</t>
  </si>
  <si>
    <t>NACL NAS 45MLIS</t>
  </si>
  <si>
    <t>0053324018</t>
  </si>
  <si>
    <t>NACL 10% 15ML IS</t>
  </si>
  <si>
    <t>NACL 10%15ML IS</t>
  </si>
  <si>
    <t>0053324026</t>
  </si>
  <si>
    <t>NACL 7% 4ML IS</t>
  </si>
  <si>
    <t>0053324034</t>
  </si>
  <si>
    <t>NACL HYPERTONIC5%15ML OS</t>
  </si>
  <si>
    <t>NACL HYPERT15OS</t>
  </si>
  <si>
    <t>0053324042</t>
  </si>
  <si>
    <t>NACL HYPERTONIC5%3.5MLOO</t>
  </si>
  <si>
    <t>NACL HYPER3.5OO</t>
  </si>
  <si>
    <t>0053324315</t>
  </si>
  <si>
    <t>SULFACETAMIDE10% 5ML OS</t>
  </si>
  <si>
    <t>SULFACETAM5MLOS</t>
  </si>
  <si>
    <t>0053324521</t>
  </si>
  <si>
    <t>BSS IRR 15ML OS</t>
  </si>
  <si>
    <t>BSS IRR15ML OS</t>
  </si>
  <si>
    <t>0053324570</t>
  </si>
  <si>
    <t>BSS PLUS IRR 500ML OS</t>
  </si>
  <si>
    <t>BSSPLUSIRR500OS</t>
  </si>
  <si>
    <t>0053324737</t>
  </si>
  <si>
    <t>SULFACETAMD NA10%3.5GMOO</t>
  </si>
  <si>
    <t>SULFACETNA3.5OO</t>
  </si>
  <si>
    <t>0053325015</t>
  </si>
  <si>
    <t>SULFACETAMID NA10%15MLOS</t>
  </si>
  <si>
    <t>SULFACET NA15OS</t>
  </si>
  <si>
    <t>0053325205</t>
  </si>
  <si>
    <t>SULFACET/PRED 3.5GM OO</t>
  </si>
  <si>
    <t>SULF/PRED 3.5OO</t>
  </si>
  <si>
    <t>0053325908</t>
  </si>
  <si>
    <t>TETRACAINE .5% 4ML OS</t>
  </si>
  <si>
    <t>TETRACAINE4MLOS</t>
  </si>
  <si>
    <t>0053325924</t>
  </si>
  <si>
    <t>TETRACAINE .5% 2ML OS</t>
  </si>
  <si>
    <t>TETRACAINE2MLOS</t>
  </si>
  <si>
    <t>0053326625</t>
  </si>
  <si>
    <t>TETRAHYDRAZOL.05%15ML OS</t>
  </si>
  <si>
    <t>TETRAHYDRAZ15OS</t>
  </si>
  <si>
    <t>0053326690</t>
  </si>
  <si>
    <t>TETRAHYDRAZOL .1%15ML OS</t>
  </si>
  <si>
    <t>0053326948</t>
  </si>
  <si>
    <t>TIMOLOL 0.5% 5ML OS</t>
  </si>
  <si>
    <t>TIMOLOL.5%5MLOS</t>
  </si>
  <si>
    <t>0053326971</t>
  </si>
  <si>
    <t>TIMOLOL .25% 5ML OS</t>
  </si>
  <si>
    <t>TIMOLOL 5ML OS</t>
  </si>
  <si>
    <t>0053326997</t>
  </si>
  <si>
    <t>TIMOLOL .25% 5ML GL</t>
  </si>
  <si>
    <t>TIMOLOL 5ML GL</t>
  </si>
  <si>
    <t>0053327011</t>
  </si>
  <si>
    <t>TIMOLOL .5% 2.5ML GL</t>
  </si>
  <si>
    <t>TIMOLOL 2.5MLGL</t>
  </si>
  <si>
    <t>0053327029</t>
  </si>
  <si>
    <t>TIMOLOL .5% 5ML GL</t>
  </si>
  <si>
    <t>0053327045</t>
  </si>
  <si>
    <t>TIMOLOL .25% .45ML OS</t>
  </si>
  <si>
    <t>TIMOLOL.45ML OS</t>
  </si>
  <si>
    <t>0053327110</t>
  </si>
  <si>
    <t>TIOTROPIUM CP18MCG6DS IH</t>
  </si>
  <si>
    <t>TIOTROP CP6DSIH</t>
  </si>
  <si>
    <t>0053327136</t>
  </si>
  <si>
    <t>TIOTROPIUM CP 18MCG IH</t>
  </si>
  <si>
    <t>TIOTROPCP EA IH</t>
  </si>
  <si>
    <t>0053327144</t>
  </si>
  <si>
    <t>TIOTROPIUM CP18MCG5DS IH</t>
  </si>
  <si>
    <t>TIOTROP CP5DSIH</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</si>
  <si>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</si>
  <si>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</si>
  <si>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</si>
  <si>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</si>
  <si>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</si>
  <si>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</si>
  <si>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</si>
  <si>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</si>
  <si>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</si>
  <si>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</si>
  <si>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</si>
  <si>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</si>
  <si>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</si>
  <si>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</si>
  <si>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</si>
  <si>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</si>
  <si>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</si>
  <si>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</si>
  <si>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0053327359</t>
  </si>
  <si>
    <t>TRIAMCINOLONE 20GM IH</t>
  </si>
  <si>
    <t>TRIAMCINOLN20IH</t>
  </si>
  <si>
    <t>0053327367</t>
  </si>
  <si>
    <t>TRIAMCINOLONE 10GM IH</t>
  </si>
  <si>
    <t>TRIAMCINOLN10IH</t>
  </si>
  <si>
    <t>0053327375</t>
  </si>
  <si>
    <t>TRIAMCINOLONE 16.5GM SP</t>
  </si>
  <si>
    <t>TRIAMCINO16.5SP</t>
  </si>
  <si>
    <t>0053327458</t>
  </si>
  <si>
    <t>TRAVOPROST.004% 2.5ML OS</t>
  </si>
  <si>
    <t>TRAVOPROST2.5OS</t>
  </si>
  <si>
    <t>0053327532</t>
  </si>
  <si>
    <t>TRIFLURIDINE 1% 7.5ML OS</t>
  </si>
  <si>
    <t>TRIFLURIDN7.5OS</t>
  </si>
  <si>
    <t>0053327607</t>
  </si>
  <si>
    <t>TRIMETHPRM/POLYMYX10MLOS</t>
  </si>
  <si>
    <t>TRIMETHP/PO10OS</t>
  </si>
  <si>
    <t>0053327748</t>
  </si>
  <si>
    <t>TROPICAMIDE .5% 15ML OS</t>
  </si>
  <si>
    <t>TROPICAMIDE15OS</t>
  </si>
  <si>
    <t>0053327813</t>
  </si>
  <si>
    <t>TROPICAMIDE 1% 15ML OS</t>
  </si>
  <si>
    <t>0053327904</t>
  </si>
  <si>
    <t>TRYPAN BLUE .06% .5ML OS</t>
  </si>
  <si>
    <t>TRYPAN BLUE.5OS</t>
  </si>
  <si>
    <t>0053328084</t>
  </si>
  <si>
    <t>UMECLIDINIUM BROM 7DS IH</t>
  </si>
  <si>
    <t>UMECLIDIN 7DSIH</t>
  </si>
  <si>
    <t>0053340378</t>
  </si>
  <si>
    <t>ACYCLOVIR 5% 15GM OI</t>
  </si>
  <si>
    <t>ACYCLOVIR15GMOI</t>
  </si>
  <si>
    <t>0053340394</t>
  </si>
  <si>
    <t>ACYCLOVIR 5% 5GM CR</t>
  </si>
  <si>
    <t>ACYCLOVIR 5GMCR</t>
  </si>
  <si>
    <t>0053341202</t>
  </si>
  <si>
    <t>AL SULF/CA ACET 120GM PW</t>
  </si>
  <si>
    <t>ALSUL/CAAC120PW</t>
  </si>
  <si>
    <t>0053341483</t>
  </si>
  <si>
    <t>AMMONIUM LACT12%140GMCR</t>
  </si>
  <si>
    <t>AMMON LACT140CR</t>
  </si>
  <si>
    <t>0053342911</t>
  </si>
  <si>
    <t>BACITRACIN500U/GM15GM OI</t>
  </si>
  <si>
    <t>BACITRACN15GMOI</t>
  </si>
  <si>
    <t>0053342937</t>
  </si>
  <si>
    <t>BACITRACIN 30GM OI</t>
  </si>
  <si>
    <t>BACITRACIN 30OI</t>
  </si>
  <si>
    <t>0053343000</t>
  </si>
  <si>
    <t>BACITRACIN/POLYB.9GM OI</t>
  </si>
  <si>
    <t>BAC/POLYB.9GMOI</t>
  </si>
  <si>
    <t>0053343018</t>
  </si>
  <si>
    <t>BACITRACIN/POLYB 15GM OI</t>
  </si>
  <si>
    <t>BAC/POLYB15GMOI</t>
  </si>
  <si>
    <t>0053343034</t>
  </si>
  <si>
    <t>BACITRACIN/POLYB 30GM OI</t>
  </si>
  <si>
    <t>BAC/POLYB30GMOI</t>
  </si>
  <si>
    <t>0053343042</t>
  </si>
  <si>
    <t>BACITRACIN/POLYB 10GM PW</t>
  </si>
  <si>
    <t>BAC/POLYB10GMPW</t>
  </si>
  <si>
    <t>0053343240</t>
  </si>
  <si>
    <t>ZINC OIDE 30GM OI</t>
  </si>
  <si>
    <t>ZINC OX 30GM OI</t>
  </si>
  <si>
    <t>0053343711</t>
  </si>
  <si>
    <t>GLYCER/WITCH HAZ PAD12EA</t>
  </si>
  <si>
    <t>GLYC/WH PAD12EA</t>
  </si>
  <si>
    <t>0053343927</t>
  </si>
  <si>
    <t>BENZO/BUTA/TETR 56ML SP</t>
  </si>
  <si>
    <t>BENZO/TETRA56SP</t>
  </si>
  <si>
    <t>0053344305</t>
  </si>
  <si>
    <t>BENZOCAINE20% 60ML SP</t>
  </si>
  <si>
    <t>BENZOCAINE 60SP</t>
  </si>
  <si>
    <t>0053344339</t>
  </si>
  <si>
    <t>BENZOCAINE 9.3ML MM TS</t>
  </si>
  <si>
    <t>BENZOCAINE9.3TS</t>
  </si>
  <si>
    <t>0053344388</t>
  </si>
  <si>
    <t>BENZOCAINE20%15MLTS</t>
  </si>
  <si>
    <t>BENZOCAIN15MLTS</t>
  </si>
  <si>
    <t>0053344453</t>
  </si>
  <si>
    <t>BENZOIN TINCTURE 60ML TS</t>
  </si>
  <si>
    <t>BENZOIN TN 60TS</t>
  </si>
  <si>
    <t>0053344933</t>
  </si>
  <si>
    <t>BETAMETHASONE.01%15GMCR</t>
  </si>
  <si>
    <t>BETAMETHA15GMCR</t>
  </si>
  <si>
    <t>0053344958</t>
  </si>
  <si>
    <t>BETAMETHASON-D.05%15GMCR</t>
  </si>
  <si>
    <t>BETAMETHASN15CR</t>
  </si>
  <si>
    <t>0053345054</t>
  </si>
  <si>
    <t>BETAMETHASON-D.05%15GOI</t>
  </si>
  <si>
    <t>BETAMETHASN15OI</t>
  </si>
  <si>
    <t>0053345302</t>
  </si>
  <si>
    <t>BETAMETHASON-V.1%15GMCR</t>
  </si>
  <si>
    <t>0053345351</t>
  </si>
  <si>
    <t>BETAMETHASON-V.1%15GMOI</t>
  </si>
  <si>
    <t>0053345401</t>
  </si>
  <si>
    <t>BETAMETHASON-V.1%45GMCR</t>
  </si>
  <si>
    <t>BETAMETHASN45CR</t>
  </si>
  <si>
    <t>0053345450</t>
  </si>
  <si>
    <t>BETAMETHASON-V.1%45GMOI</t>
  </si>
  <si>
    <t>BETAMETHAS45 OI</t>
  </si>
  <si>
    <t>0053345500</t>
  </si>
  <si>
    <t>BETAMETHASON-V.1%60MLLT</t>
  </si>
  <si>
    <t>BETAMETHASN60LT</t>
  </si>
  <si>
    <t>0053346078</t>
  </si>
  <si>
    <t>BLISTEX 4.25GM OI</t>
  </si>
  <si>
    <t>BLISTEX4.25GMOI</t>
  </si>
  <si>
    <t>0053346482</t>
  </si>
  <si>
    <t>CADEXOMER IODIN.9%40GMGL</t>
  </si>
  <si>
    <t>CADEX IOD40GMGL</t>
  </si>
  <si>
    <t>0053346557</t>
  </si>
  <si>
    <t>CALAMINE 180ML LT</t>
  </si>
  <si>
    <t>CALAMINE180MLLT</t>
  </si>
  <si>
    <t>0053346599</t>
  </si>
  <si>
    <t>CALAMINE 120ML LT</t>
  </si>
  <si>
    <t>CALAMINE120MLLT</t>
  </si>
  <si>
    <t>0053346664</t>
  </si>
  <si>
    <t>CALCIPOTRIENE 60GM CR</t>
  </si>
  <si>
    <t>CALCIPOTRIE60CR</t>
  </si>
  <si>
    <t>0053346862</t>
  </si>
  <si>
    <t>ZINC OX/MENTHOL 71GM OI</t>
  </si>
  <si>
    <t>ZN/MENTH 71GMOI</t>
  </si>
  <si>
    <t>0053346888</t>
  </si>
  <si>
    <t>ZINC OX/MENTHOL 113GM OI</t>
  </si>
  <si>
    <t>ZN/MENTH113GMOI</t>
  </si>
  <si>
    <t>0053347019</t>
  </si>
  <si>
    <t>CAMPHOR/PHENOL 22.5ML TS</t>
  </si>
  <si>
    <t>CAMP/PHEN22.5TS</t>
  </si>
  <si>
    <t>0053347282</t>
  </si>
  <si>
    <t>CAPSAICIN .025% 60GM CR</t>
  </si>
  <si>
    <t>CAPSAICIN60GMCR</t>
  </si>
  <si>
    <t>0053347308</t>
  </si>
  <si>
    <t>CAPSAICIN .025%42.5GM CR</t>
  </si>
  <si>
    <t>CAPSAICIN42.5CR</t>
  </si>
  <si>
    <t>0053347316</t>
  </si>
  <si>
    <t>CAPSAICIN .075% 30GM CR</t>
  </si>
  <si>
    <t>CAPSAICIN30GMCR</t>
  </si>
  <si>
    <t>0053347324</t>
  </si>
  <si>
    <t>CAPSAICIN .075% 60GM CR</t>
  </si>
  <si>
    <t>0053347696</t>
  </si>
  <si>
    <t>CHLORHEXIDINE4%120ML TS</t>
  </si>
  <si>
    <t>CHLORHEX120MLTS</t>
  </si>
  <si>
    <t>0053347704</t>
  </si>
  <si>
    <t>CHLORHEXID.12%480ML MMTS</t>
  </si>
  <si>
    <t>CHLORHEX480MLTS</t>
  </si>
  <si>
    <t>0053348116</t>
  </si>
  <si>
    <t>NA HYPOCHL .5% 480ML TS</t>
  </si>
  <si>
    <t>NA HYPOCH 480ML</t>
  </si>
  <si>
    <t>0053348421</t>
  </si>
  <si>
    <t>CICLOPIROX .77% 30GM GL</t>
  </si>
  <si>
    <t>CICLOPIRX30G GL</t>
  </si>
  <si>
    <t>0053348462</t>
  </si>
  <si>
    <t>CICLOPIROX 8% 6.6ML TS</t>
  </si>
  <si>
    <t>CICLOPIROX6.6TS</t>
  </si>
  <si>
    <t>0053348553</t>
  </si>
  <si>
    <t>CIPROFLOXACIN/HCTS10MLOT</t>
  </si>
  <si>
    <t>CIPROF/HCTS10OT</t>
  </si>
  <si>
    <t>0053348645</t>
  </si>
  <si>
    <t>CLINDAMYCIN 1% 30GM GL</t>
  </si>
  <si>
    <t>CLINDAMYCIN30GL</t>
  </si>
  <si>
    <t>0053348678</t>
  </si>
  <si>
    <t>CLINDAMYCIN 1% 60ML TS</t>
  </si>
  <si>
    <t>CLINDAMYCIN60TS</t>
  </si>
  <si>
    <t>0053348702</t>
  </si>
  <si>
    <t>CLOBETASOL .05% 30GM CR</t>
  </si>
  <si>
    <t>CLOBETASOL 30CR</t>
  </si>
  <si>
    <t>0053348710</t>
  </si>
  <si>
    <t>CLOTRIMAZOLE 1% 15GM CR</t>
  </si>
  <si>
    <t>CLOTRIMAZL15CR</t>
  </si>
  <si>
    <t>0053348744</t>
  </si>
  <si>
    <t>CLOTRIMAZOLE 1% 30GM CR</t>
  </si>
  <si>
    <t>CLOTRIMAZL30CR</t>
  </si>
  <si>
    <t>0053348769</t>
  </si>
  <si>
    <t>CLOTRIMAZOLE 1% 10ML TS</t>
  </si>
  <si>
    <t>CLOTRIMAZL10TS</t>
  </si>
  <si>
    <t>0053348793</t>
  </si>
  <si>
    <t>CLOTRIMAZOLE 1% 30ML TS</t>
  </si>
  <si>
    <t>CLOTRIMAZL30TS</t>
  </si>
  <si>
    <t>0053348843</t>
  </si>
  <si>
    <t>CLOTRIMAZOLE 1%45GM VCR</t>
  </si>
  <si>
    <t>CLOTRIMAZL45VCR</t>
  </si>
  <si>
    <t>0053348934</t>
  </si>
  <si>
    <t>CLOTRIMAZ/BETAMET 15GMCR</t>
  </si>
  <si>
    <t>CLOTR/BETAM15CR</t>
  </si>
  <si>
    <t>0053348959</t>
  </si>
  <si>
    <t>CLOTRIMAZ/BETAMET 45GMCR</t>
  </si>
  <si>
    <t>CLOTR/BETAM45CR</t>
  </si>
  <si>
    <t>0053348975</t>
  </si>
  <si>
    <t>CLONIDINE .1MG XR TD</t>
  </si>
  <si>
    <t>CLONIDINE.1XRTD</t>
  </si>
  <si>
    <t>0053348991</t>
  </si>
  <si>
    <t>CLONIDINE .2MG XR TD</t>
  </si>
  <si>
    <t>CLONIDINE.2XRTD</t>
  </si>
  <si>
    <t>0053349015</t>
  </si>
  <si>
    <t>CLONIDINE .3MG XR TD</t>
  </si>
  <si>
    <t>CLONIDINE.3XRTD</t>
  </si>
  <si>
    <t>0053349361</t>
  </si>
  <si>
    <t>ZINC/COD LIV 40%28GM OI</t>
  </si>
  <si>
    <t>ZINC/COD LV28OI</t>
  </si>
  <si>
    <t>0053349379</t>
  </si>
  <si>
    <t>ZINC/COD LIV 40% 57GM OI</t>
  </si>
  <si>
    <t>ZINC/COD LV57OI</t>
  </si>
  <si>
    <t>0053349585</t>
  </si>
  <si>
    <t>COLLAGENASE250U/GM30GMOI</t>
  </si>
  <si>
    <t>COLLAGENASE30OI</t>
  </si>
  <si>
    <t>0053349981</t>
  </si>
  <si>
    <t>CONJUGAT ESTRGN 30GM VCR</t>
  </si>
  <si>
    <t>CONJ ESTR 30VCR</t>
  </si>
  <si>
    <t>0053349999</t>
  </si>
  <si>
    <t>CONJUGAT ESTRGN42.5GMVCR</t>
  </si>
  <si>
    <t>CONJESTR42.5VCR</t>
  </si>
  <si>
    <t>0053350690</t>
  </si>
  <si>
    <t>DESONIDE .05% 15GM CR</t>
  </si>
  <si>
    <t>DESONIDE 15GMCR</t>
  </si>
  <si>
    <t>0053350930</t>
  </si>
  <si>
    <t>DESOXIMETASONE.25%15GMCR</t>
  </si>
  <si>
    <t>DESOXIMETAS15CR</t>
  </si>
  <si>
    <t>0053350955</t>
  </si>
  <si>
    <t>DESOXIMETASONE.25%60GMOI</t>
  </si>
  <si>
    <t>DESOXIMETAS60OI</t>
  </si>
  <si>
    <t>0053351144</t>
  </si>
  <si>
    <t>DESOXIMETASONE.05%15GMCR</t>
  </si>
  <si>
    <t>0053352001</t>
  </si>
  <si>
    <t>DIBUCAINE 1% 30GM OI</t>
  </si>
  <si>
    <t>DIBUCAINE30GMOI</t>
  </si>
  <si>
    <t>0053352126</t>
  </si>
  <si>
    <t>DICLOFENAC 1% 100GM GL</t>
  </si>
  <si>
    <t>DICLOFEN100G GL</t>
  </si>
  <si>
    <t>0053352704</t>
  </si>
  <si>
    <t>DIPHENHYDRA 2% 30GM CR</t>
  </si>
  <si>
    <t>DIPHENHYDRA30CR</t>
  </si>
  <si>
    <t>0053352753</t>
  </si>
  <si>
    <t>CALAMINE/PRAMOX 45GM CR</t>
  </si>
  <si>
    <t>CALAM/PRAMX45CR</t>
  </si>
  <si>
    <t>0053352803</t>
  </si>
  <si>
    <t>CALAMINE/PRAMOX 180ML LT</t>
  </si>
  <si>
    <t>CALAM/PRAM180LT</t>
  </si>
  <si>
    <t>0053353157</t>
  </si>
  <si>
    <t>ECONAZOLE 1% 15GM CR</t>
  </si>
  <si>
    <t>ECONAZOLE15GMCR</t>
  </si>
  <si>
    <t>0053353488</t>
  </si>
  <si>
    <t>ERYTHROMYCIN 2% 60ML TS</t>
  </si>
  <si>
    <t>ERYTHROMYCN60TS</t>
  </si>
  <si>
    <t>0053353603</t>
  </si>
  <si>
    <t>ESTRADIOL .05BIWK EA TD</t>
  </si>
  <si>
    <t>ESTRADL .05 TD</t>
  </si>
  <si>
    <t>0053353611</t>
  </si>
  <si>
    <t>ESTRADIOL .1BIWK EA TD</t>
  </si>
  <si>
    <t>ESTRADIOL .1 TD</t>
  </si>
  <si>
    <t>0053353751</t>
  </si>
  <si>
    <t>EMOLLIENT 240ML LT</t>
  </si>
  <si>
    <t>EMOLLIENT 240LT</t>
  </si>
  <si>
    <t>0053353785</t>
  </si>
  <si>
    <t>EMOLLIENT 454GM CR</t>
  </si>
  <si>
    <t>EMOLLIENT 454CR</t>
  </si>
  <si>
    <t>0053353967</t>
  </si>
  <si>
    <t>FIBRIN SEALANT 2ML KT TS</t>
  </si>
  <si>
    <t>FIBRIN 2ML KT</t>
  </si>
  <si>
    <t>0053353975</t>
  </si>
  <si>
    <t>FIBRIN SEALANT 5ML KT TS</t>
  </si>
  <si>
    <t>FIBRIN 5ML KIT</t>
  </si>
  <si>
    <t>0053353991</t>
  </si>
  <si>
    <t>FIBRIN SEALANT 1ML KT TS</t>
  </si>
  <si>
    <t>FIBRIN 1ML KIT</t>
  </si>
  <si>
    <t>0053354080</t>
  </si>
  <si>
    <t>FIBRIN SEAL PATCH 2X4 EA</t>
  </si>
  <si>
    <t>FIBRIN PATCH EA</t>
  </si>
  <si>
    <t>0053354379</t>
  </si>
  <si>
    <t>FLUOCINOLONE .01%15GMCR</t>
  </si>
  <si>
    <t>FLUOCINOLON15CR</t>
  </si>
  <si>
    <t>0053354528</t>
  </si>
  <si>
    <t>FLUOCINOLONE .01% 60MLTS</t>
  </si>
  <si>
    <t>FLUOCINOLON60TS</t>
  </si>
  <si>
    <t>0053354627</t>
  </si>
  <si>
    <t>FLUOCINOLONE .025%15GMOI</t>
  </si>
  <si>
    <t>FLUOCINOLON15OI</t>
  </si>
  <si>
    <t>0053354676</t>
  </si>
  <si>
    <t>FLUOCINOLONE .025%60GMCR</t>
  </si>
  <si>
    <t>FLUOCINOLON60CR</t>
  </si>
  <si>
    <t>0053354981</t>
  </si>
  <si>
    <t>FLUOCINONIDE .05%15GM CR</t>
  </si>
  <si>
    <t>FLUOCINONID15CR</t>
  </si>
  <si>
    <t>0053355087</t>
  </si>
  <si>
    <t>FLUOCINONIDE .05%30GM OI</t>
  </si>
  <si>
    <t>FLUOCINONID30OI</t>
  </si>
  <si>
    <t>0053355137</t>
  </si>
  <si>
    <t>FLUOCINONIDE .05%30GM CR</t>
  </si>
  <si>
    <t>FLUOCINONID30CR</t>
  </si>
  <si>
    <t>0053355186</t>
  </si>
  <si>
    <t>FLUOCINONIDE .05%60GM CR</t>
  </si>
  <si>
    <t>FLUOCINONID60CR</t>
  </si>
  <si>
    <t>0053355442</t>
  </si>
  <si>
    <t>FLUORIMETHANE 120ML SP</t>
  </si>
  <si>
    <t>FLUORIMETH120SP</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</si>
  <si>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</si>
  <si>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</si>
  <si>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</si>
  <si>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</si>
  <si>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</si>
  <si>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</si>
  <si>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</si>
  <si>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</si>
  <si>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</si>
  <si>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</si>
  <si>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</si>
  <si>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</si>
  <si>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0053358503</t>
  </si>
  <si>
    <t>HYALURO/CHONDR.35MLKTIJ</t>
  </si>
  <si>
    <t>HYAL/CHO.35KTIJ</t>
  </si>
  <si>
    <t>0053358511</t>
  </si>
  <si>
    <t>HYALURON/CHONDR.5MLKTIJ</t>
  </si>
  <si>
    <t>HYAL/CHON.5KTIJ</t>
  </si>
  <si>
    <t>0053358529</t>
  </si>
  <si>
    <t>NA CHONDR/HYALUR 1ML EA</t>
  </si>
  <si>
    <t>NACHON/HYALR1EA</t>
  </si>
  <si>
    <t>0053358750</t>
  </si>
  <si>
    <t>HEXACHLOROPHENE3%150MLTS</t>
  </si>
  <si>
    <t>HEXACHLORO150TS</t>
  </si>
  <si>
    <t>0053358867</t>
  </si>
  <si>
    <t>HCTS .5% 30GM CR</t>
  </si>
  <si>
    <t>HCTS 30GM CR</t>
  </si>
  <si>
    <t>0053358917</t>
  </si>
  <si>
    <t>HCTS .2% 15GM OI</t>
  </si>
  <si>
    <t>HCTS 15GM OI</t>
  </si>
  <si>
    <t>0053358958</t>
  </si>
  <si>
    <t>HCTS 1% 30GM OI</t>
  </si>
  <si>
    <t>HCTS 30GM OI</t>
  </si>
  <si>
    <t>0053359055</t>
  </si>
  <si>
    <t>HCTS 1% 120ML LT</t>
  </si>
  <si>
    <t>HCTS 120ML LT</t>
  </si>
  <si>
    <t>0053359063</t>
  </si>
  <si>
    <t>HCTS/PRAMOX 10GM R FOAM</t>
  </si>
  <si>
    <t>HCTS/PRAMO10RFM</t>
  </si>
  <si>
    <t>0053359113</t>
  </si>
  <si>
    <t>HCTS 1% 30GM CR</t>
  </si>
  <si>
    <t>0053359139</t>
  </si>
  <si>
    <t>HCTS 2.5% 30GM CR</t>
  </si>
  <si>
    <t>0053359188</t>
  </si>
  <si>
    <t>HCTS 2.5% 20GM CR</t>
  </si>
  <si>
    <t>HCTS 20GM CR</t>
  </si>
  <si>
    <t>0053360822</t>
  </si>
  <si>
    <t>EMOLLIENT 195ML LT</t>
  </si>
  <si>
    <t>EMOLLIENT 195LT</t>
  </si>
  <si>
    <t>0053360848</t>
  </si>
  <si>
    <t>KETOCONAZOLE 2% 15GM CR</t>
  </si>
  <si>
    <t>KETOCONAZOL15CR</t>
  </si>
  <si>
    <t>0053360855</t>
  </si>
  <si>
    <t>KETOCONAZL SHMP2%120MLSH</t>
  </si>
  <si>
    <t>KETOCONSHM120SH</t>
  </si>
  <si>
    <t>0053360871</t>
  </si>
  <si>
    <t>AMMONIUM LACT12%225ML LT</t>
  </si>
  <si>
    <t>AMMON LACT225LT</t>
  </si>
  <si>
    <t>0053361515</t>
  </si>
  <si>
    <t>LANOLIN MINRL OIL240MLLT</t>
  </si>
  <si>
    <t>LANOMINOIL240LT</t>
  </si>
  <si>
    <t>0053361986</t>
  </si>
  <si>
    <t>LIDOCAINE 2% 30GM GL</t>
  </si>
  <si>
    <t>LIDO 30GM GL</t>
  </si>
  <si>
    <t>0053362018</t>
  </si>
  <si>
    <t>LIDOCAINE2%UROJET 10MLGL</t>
  </si>
  <si>
    <t>LIDOCUROJET10GL</t>
  </si>
  <si>
    <t>0053362026</t>
  </si>
  <si>
    <t>LIDOCAINE 2% 5ML GL</t>
  </si>
  <si>
    <t>LIDO 5ML GL</t>
  </si>
  <si>
    <t>0053362034</t>
  </si>
  <si>
    <t>LIDOCAINE 2.5% 35GM OI</t>
  </si>
  <si>
    <t>LIDO 35GM OI</t>
  </si>
  <si>
    <t>0053362042</t>
  </si>
  <si>
    <t>LIDO/PRILOC 2.5% 5GM CR</t>
  </si>
  <si>
    <t>LIDO/PRILOC 5CR</t>
  </si>
  <si>
    <t>0053362083</t>
  </si>
  <si>
    <t>LIDOCAINE 4% 50ML TS</t>
  </si>
  <si>
    <t>LIDO 50ML TS</t>
  </si>
  <si>
    <t>0053362125</t>
  </si>
  <si>
    <t>LIDOCAINE 5% 35GM OI</t>
  </si>
  <si>
    <t>0053362133</t>
  </si>
  <si>
    <t>LIDOCAINE 5% TD</t>
  </si>
  <si>
    <t>LIDO 5% TD</t>
  </si>
  <si>
    <t>0053362141</t>
  </si>
  <si>
    <t>LIDOCAINE 10% 60ML SP</t>
  </si>
  <si>
    <t>LIDO 60ML SP</t>
  </si>
  <si>
    <t>0053362158</t>
  </si>
  <si>
    <t>METHYL SALICY 90GM CR</t>
  </si>
  <si>
    <t>METH SALIC 90CR</t>
  </si>
  <si>
    <t>0053362307</t>
  </si>
  <si>
    <t>LIDOCAINE2%UROJET 20MLGL</t>
  </si>
  <si>
    <t>LIDOCUROJET20GL</t>
  </si>
  <si>
    <t>0053362406</t>
  </si>
  <si>
    <t>LIDOCAINE 4% PATCH TD</t>
  </si>
  <si>
    <t>LIDOCAINE 4% PA</t>
  </si>
  <si>
    <t>0053362752</t>
  </si>
  <si>
    <t>LIP PROTECTANT 5GM OI</t>
  </si>
  <si>
    <t>LIP BALM 5GM OI</t>
  </si>
  <si>
    <t>0053363552</t>
  </si>
  <si>
    <t>MG SULFATE 480GM PW</t>
  </si>
  <si>
    <t>MG SULF480GMPW</t>
  </si>
  <si>
    <t>0053364709</t>
  </si>
  <si>
    <t>METHYL SAL MENTH 30GM OI</t>
  </si>
  <si>
    <t>METHYL SAL 30OI</t>
  </si>
  <si>
    <t>0053365599</t>
  </si>
  <si>
    <t>METRONIDAZOLE.75%28GM GL</t>
  </si>
  <si>
    <t>METRONIDAZL28GL</t>
  </si>
  <si>
    <t>0053365607</t>
  </si>
  <si>
    <t>METRONIDAZOLE.75%70GMVGL</t>
  </si>
  <si>
    <t>METRONIDAZ70VGL</t>
  </si>
  <si>
    <t>0053365797</t>
  </si>
  <si>
    <t>MICONAZOLE 100MG EA VSU</t>
  </si>
  <si>
    <t>MICONAZ VSU EA</t>
  </si>
  <si>
    <t>0053365813</t>
  </si>
  <si>
    <t>MICONAZOLE 200MG VSU</t>
  </si>
  <si>
    <t>MICONAZOL200VSU</t>
  </si>
  <si>
    <t>0053365938</t>
  </si>
  <si>
    <t>MICONAZOLE 2% 15GM CR</t>
  </si>
  <si>
    <t>MICONAZOLE 15CR</t>
  </si>
  <si>
    <t>0053365953</t>
  </si>
  <si>
    <t>MICONAZOLE 2% 45GM VCR</t>
  </si>
  <si>
    <t>MICONAZOLE45VCR</t>
  </si>
  <si>
    <t>0053366100</t>
  </si>
  <si>
    <t>COLLAGEN MICROFIB 1GM PW</t>
  </si>
  <si>
    <t>COLLAGEN MIC1PW</t>
  </si>
  <si>
    <t>0053366209</t>
  </si>
  <si>
    <t>COLLAGEN MICROFIB 5GM PW</t>
  </si>
  <si>
    <t>COLLAGEN MIC5PW</t>
  </si>
  <si>
    <t>0053366449</t>
  </si>
  <si>
    <t>MINERAL OIL STER 10ML LQ</t>
  </si>
  <si>
    <t>MINERAL OIL10LQ</t>
  </si>
  <si>
    <t>0053366720</t>
  </si>
  <si>
    <t>EMOLLIENT 2400GM CR</t>
  </si>
  <si>
    <t>EMOLLIENT2400CR</t>
  </si>
  <si>
    <t>0053366787</t>
  </si>
  <si>
    <t>MOMETASONE .1% 27.5ML LT</t>
  </si>
  <si>
    <t>MOMETASON27.5LT</t>
  </si>
  <si>
    <t>0053366803</t>
  </si>
  <si>
    <t>MOMETASONE .1% 15GM OI</t>
  </si>
  <si>
    <t>MOMETASONE 15OI</t>
  </si>
  <si>
    <t>0053366811</t>
  </si>
  <si>
    <t>MOMETASONE .1% 45GM CR</t>
  </si>
  <si>
    <t>MOMETASONE 45CR</t>
  </si>
  <si>
    <t>0053366829</t>
  </si>
  <si>
    <t>FERRIC SUBSULF 30ML TS</t>
  </si>
  <si>
    <t>FERRICSUBSF30TS</t>
  </si>
  <si>
    <t>0053366852</t>
  </si>
  <si>
    <t>MUPIROCIN 2% 15GM CR</t>
  </si>
  <si>
    <t>MUPIROCIN15GMCR</t>
  </si>
  <si>
    <t>0053367249</t>
  </si>
  <si>
    <t>NEOMYCIN .5% 28GM CR</t>
  </si>
  <si>
    <t>NEOMYCIN 28GMCR</t>
  </si>
  <si>
    <t>0053367751</t>
  </si>
  <si>
    <t>NEO/BAC/POLYB 30GM OI</t>
  </si>
  <si>
    <t>NEO/BAC/P30GMOI</t>
  </si>
  <si>
    <t>0053367777</t>
  </si>
  <si>
    <t>NEO/BAC/POLYB.9GM OI</t>
  </si>
  <si>
    <t>NEO/BAC/P.9GMOI</t>
  </si>
  <si>
    <t>0053367793</t>
  </si>
  <si>
    <t>NEOMYCIN/POLYMB IR 1MLTS</t>
  </si>
  <si>
    <t>NEO/POLYB IR1TS</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</si>
  <si>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</si>
  <si>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</si>
  <si>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</si>
  <si>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</si>
  <si>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</si>
  <si>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</si>
  <si>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</si>
  <si>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</si>
  <si>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</si>
  <si>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</si>
  <si>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</si>
  <si>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</si>
  <si>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0053368361</t>
  </si>
  <si>
    <t>NITROGLYCERIN .2MG/HR TD</t>
  </si>
  <si>
    <t>NTG .2MG/HR TD</t>
  </si>
  <si>
    <t>0053368379</t>
  </si>
  <si>
    <t>NITROGLYCERIN .3MG/HR TD</t>
  </si>
  <si>
    <t>NTG .3MG/HR TD</t>
  </si>
  <si>
    <t>0053368387</t>
  </si>
  <si>
    <t>NITROGLYCERIN .4MG/HR TD</t>
  </si>
  <si>
    <t>NTG .4MG/HR TD</t>
  </si>
  <si>
    <t>0053368403</t>
  </si>
  <si>
    <t>NITROGLYCERIN .6MG/HR TD</t>
  </si>
  <si>
    <t>NTG .6MG/HR TD</t>
  </si>
  <si>
    <t>0053368684</t>
  </si>
  <si>
    <t>NITROGLYCERIN2% 30GM OI</t>
  </si>
  <si>
    <t>NTG 30GM OI</t>
  </si>
  <si>
    <t>0053368882</t>
  </si>
  <si>
    <t>NITROGLYCERIN2% 1GM OI</t>
  </si>
  <si>
    <t>NTG 1GM OI</t>
  </si>
  <si>
    <t>0053369096</t>
  </si>
  <si>
    <t>NYSTATIN 15GM CR</t>
  </si>
  <si>
    <t>NYSTATIN15GMCR</t>
  </si>
  <si>
    <t>0053369146</t>
  </si>
  <si>
    <t>NYSTATIN 30GM CR</t>
  </si>
  <si>
    <t>NYSTATIN30GMCR</t>
  </si>
  <si>
    <t>0053369195</t>
  </si>
  <si>
    <t>NYSTATIN 15GM PW</t>
  </si>
  <si>
    <t>NYSTATIN15GMPW</t>
  </si>
  <si>
    <t>0053369294</t>
  </si>
  <si>
    <t>NYSTATIN 30GM OI</t>
  </si>
  <si>
    <t>NYSTATIN 30GMOI</t>
  </si>
  <si>
    <t>0053369344</t>
  </si>
  <si>
    <t>NYSTATIN 100MU V TB</t>
  </si>
  <si>
    <t>NYSTATN100MUVTB</t>
  </si>
  <si>
    <t>0053369708</t>
  </si>
  <si>
    <t>PAPAIN UREA 30GM OI</t>
  </si>
  <si>
    <t>PAPAIN UREA30OI</t>
  </si>
  <si>
    <t>0053369799</t>
  </si>
  <si>
    <t>PAPAIN UREA 33ML SP</t>
  </si>
  <si>
    <t>PAPAIN UREA33SP</t>
  </si>
  <si>
    <t>0053369963</t>
  </si>
  <si>
    <t>PERMETHRIN 1% 60ML TS</t>
  </si>
  <si>
    <t>PERMETHRIN 60TS</t>
  </si>
  <si>
    <t>0053369971</t>
  </si>
  <si>
    <t>TRYPS/BAL/CASTOIL120MLSP</t>
  </si>
  <si>
    <t>TRYP/BA/CA120SP</t>
  </si>
  <si>
    <t>0053369989</t>
  </si>
  <si>
    <t>PERMETHRIN 5% 60GM CR</t>
  </si>
  <si>
    <t>PERMETHRIN 60CR</t>
  </si>
  <si>
    <t>0053370185</t>
  </si>
  <si>
    <t>PETROLATUM 30GM OI</t>
  </si>
  <si>
    <t>PETROLATUM 30OI</t>
  </si>
  <si>
    <t>0053370193</t>
  </si>
  <si>
    <t>PETROLATUM 5GM UD OI</t>
  </si>
  <si>
    <t>PETROLATUM5GMOI</t>
  </si>
  <si>
    <t>0053370391</t>
  </si>
  <si>
    <t>PE MERCURIC 30GM R OI</t>
  </si>
  <si>
    <t>PE MERCURC30ROI</t>
  </si>
  <si>
    <t>0053370524</t>
  </si>
  <si>
    <t>PIPERONYL/PYRETH 60ML SH</t>
  </si>
  <si>
    <t>LICE SHAMP 60ML</t>
  </si>
  <si>
    <t>0053370813</t>
  </si>
  <si>
    <t>NEO/BAC/POLY/HC 15GM OI</t>
  </si>
  <si>
    <t>NEO/BA/P/HC15OI</t>
  </si>
  <si>
    <t>0053370904</t>
  </si>
  <si>
    <t>K IODIDE/IODINE 480ML TS</t>
  </si>
  <si>
    <t>K IODI/IOD480TS</t>
  </si>
  <si>
    <t>0053371076</t>
  </si>
  <si>
    <t>POVIDONE-IODINE10%30GMOI</t>
  </si>
  <si>
    <t>POV-IOD 30GM OI</t>
  </si>
  <si>
    <t>0053371225</t>
  </si>
  <si>
    <t>POVDN-IOD SKIN CLN 4OZTS</t>
  </si>
  <si>
    <t>POV-IODSKNCL4TS</t>
  </si>
  <si>
    <t>0053371274</t>
  </si>
  <si>
    <t>POVIDONE-IODINE5%88ML SP</t>
  </si>
  <si>
    <t>POV-IOD 88ML SP</t>
  </si>
  <si>
    <t>0053371324</t>
  </si>
  <si>
    <t>POVIDON-IOD 5% 50ML OS</t>
  </si>
  <si>
    <t>POVIDON-IOD50OS</t>
  </si>
  <si>
    <t>0053371399</t>
  </si>
  <si>
    <t>PRAMOXINE HC 1%30GM TCR</t>
  </si>
  <si>
    <t>PRAMOX-HC 30TCR</t>
  </si>
  <si>
    <t>0053372454</t>
  </si>
  <si>
    <t>SELENUM SU SHMP1%210MLLT</t>
  </si>
  <si>
    <t>SELENMSHMP210LT</t>
  </si>
  <si>
    <t>0053372538</t>
  </si>
  <si>
    <t>SCOPOLAMINE1.5MG72HR TD</t>
  </si>
  <si>
    <t>SCOPOLAM1.5MGTD</t>
  </si>
  <si>
    <t>0053372678</t>
  </si>
  <si>
    <t>SILVER SALINE WND45GM GL</t>
  </si>
  <si>
    <t>SILVSALWND45GL</t>
  </si>
  <si>
    <t>0053372710</t>
  </si>
  <si>
    <t>SILVER NITRATE APPL 10PK</t>
  </si>
  <si>
    <t>SILVER NIT 10PK</t>
  </si>
  <si>
    <t>0053372728</t>
  </si>
  <si>
    <t>SILVER SULFADIA 1%50GMCR</t>
  </si>
  <si>
    <t>SSD 50GM CR</t>
  </si>
  <si>
    <t>0053372744</t>
  </si>
  <si>
    <t>SILVER SULFADIA1%400GMCR</t>
  </si>
  <si>
    <t>SSD 400GM CR</t>
  </si>
  <si>
    <t>0053372793</t>
  </si>
  <si>
    <t>SILVER SULFADIA 1%20GMCR</t>
  </si>
  <si>
    <t>SSD 20GM CR</t>
  </si>
  <si>
    <t>0053373049</t>
  </si>
  <si>
    <t>NACL/ALOE.65%14GM NAS GL</t>
  </si>
  <si>
    <t>NACL/ALOE14GMGL</t>
  </si>
  <si>
    <t>0053373056</t>
  </si>
  <si>
    <t>NA HYPOCHL .25% 480ML TS</t>
  </si>
  <si>
    <t>0053373106</t>
  </si>
  <si>
    <t>NA HYPOCHL.125% 480ML TS</t>
  </si>
  <si>
    <t>0053373619</t>
  </si>
  <si>
    <t>CELLULOSE OXIDIZ 2X3 EA</t>
  </si>
  <si>
    <t>CELLULOSE 2X3EA</t>
  </si>
  <si>
    <t>0053373627</t>
  </si>
  <si>
    <t>CELLULOSE OXIDIZ 2X14 EA</t>
  </si>
  <si>
    <t>CELLULOSE2X14EA</t>
  </si>
  <si>
    <t>0053373668</t>
  </si>
  <si>
    <t>CELLULOSE OXIDIZ 4X8 EA</t>
  </si>
  <si>
    <t>CELLULOSE 4X8EA</t>
  </si>
  <si>
    <t>0053373957</t>
  </si>
  <si>
    <t>NYSTATIN/TRIAMCIN 30GMCR</t>
  </si>
  <si>
    <t>NYSTA/TRIAM30CR</t>
  </si>
  <si>
    <t>0053373965</t>
  </si>
  <si>
    <t>NYSTATIN/TRIAMCIN 60GMCR</t>
  </si>
  <si>
    <t>NYSTA/TRIAM60CR</t>
  </si>
  <si>
    <t>0053374146</t>
  </si>
  <si>
    <t>TALC STERILE 5GM PW SP</t>
  </si>
  <si>
    <t>TALC STER 5PWSP</t>
  </si>
  <si>
    <t>0053374195</t>
  </si>
  <si>
    <t>TANNIC ACID CMPD PW</t>
  </si>
  <si>
    <t>TANNIC ACID PW</t>
  </si>
  <si>
    <t>0053374278</t>
  </si>
  <si>
    <t>TERBINAFINE 1% 30GM CR</t>
  </si>
  <si>
    <t>TERBINAFINE30CR</t>
  </si>
  <si>
    <t>0053374294</t>
  </si>
  <si>
    <t>TERBINAFINE 1% 15GM CR</t>
  </si>
  <si>
    <t>TERBINAFINE15CR</t>
  </si>
  <si>
    <t>0053374310</t>
  </si>
  <si>
    <t>TERCONAZOLE.4%45GM VCR</t>
  </si>
  <si>
    <t>TERCONAZOL45VCR</t>
  </si>
  <si>
    <t>0053374377</t>
  </si>
  <si>
    <t>TESTOSTERONE5MG/24HRXRTD</t>
  </si>
  <si>
    <t>TESTOSTR5MGXRTD</t>
  </si>
  <si>
    <t>0053374419</t>
  </si>
  <si>
    <t>TETRACAINE .5%15ML OS</t>
  </si>
  <si>
    <t>TETRACAINE 15OS</t>
  </si>
  <si>
    <t>0053374468</t>
  </si>
  <si>
    <t>TETRACAINE 2%30ML TS</t>
  </si>
  <si>
    <t>TETRACAINE 30TS</t>
  </si>
  <si>
    <t>0053374583</t>
  </si>
  <si>
    <t>THROMBIN 5000U RECOM KT</t>
  </si>
  <si>
    <t>THROMB 5000U KT</t>
  </si>
  <si>
    <t>0053374609</t>
  </si>
  <si>
    <t>NYSTATIN/TRIAMCIN 30GMOI</t>
  </si>
  <si>
    <t>NYSTA/TRIAM30OI</t>
  </si>
  <si>
    <t>0053374658</t>
  </si>
  <si>
    <t>THROMBIN 1000U PW</t>
  </si>
  <si>
    <t>THROMBIN1000UPW</t>
  </si>
  <si>
    <t>0053374674</t>
  </si>
  <si>
    <t>THROMBIN 5000U PW</t>
  </si>
  <si>
    <t>THROMBIN5000UPW</t>
  </si>
  <si>
    <t>0053374708</t>
  </si>
  <si>
    <t>TOBRAMYCIN 1.2GM PW</t>
  </si>
  <si>
    <t>TOBRAMYC1.2GMPW</t>
  </si>
  <si>
    <t>0053374930</t>
  </si>
  <si>
    <t>TOLNAFTATE 1% 15GM CR</t>
  </si>
  <si>
    <t>TOLNAFTATE15CR</t>
  </si>
  <si>
    <t>0053375002</t>
  </si>
  <si>
    <t>PAPAIN/UREA/CHLOR30GM OI</t>
  </si>
  <si>
    <t>PAP/UREA/CH30OI</t>
  </si>
  <si>
    <t>0053375457</t>
  </si>
  <si>
    <t>TRIAMCINOLONE.025%15GMCR</t>
  </si>
  <si>
    <t>TRIAMCINOLN15CR</t>
  </si>
  <si>
    <t>0053375507</t>
  </si>
  <si>
    <t>TRIAMCINOLONE.025%15GMOI</t>
  </si>
  <si>
    <t>TRIAMCINOLN15OI</t>
  </si>
  <si>
    <t>0053375606</t>
  </si>
  <si>
    <t>TRIAMCINOLONE.025%80GMCR</t>
  </si>
  <si>
    <t>TRIAMCINOLN80CR</t>
  </si>
  <si>
    <t>0053375655</t>
  </si>
  <si>
    <t>TRIAMCINOLONE.025%80G OI</t>
  </si>
  <si>
    <t>TRIAMCINOL80 OI</t>
  </si>
  <si>
    <t>0053375705</t>
  </si>
  <si>
    <t>TRIAMCINOLONE .1%15GM CR</t>
  </si>
  <si>
    <t>0053375754</t>
  </si>
  <si>
    <t>TRIAMCINOLONE .1%15GM OI</t>
  </si>
  <si>
    <t>0053375804</t>
  </si>
  <si>
    <t>TRIAMCINOLONE .1%60ML LT</t>
  </si>
  <si>
    <t>TRIAMCINOLN60LT</t>
  </si>
  <si>
    <t>0053375853</t>
  </si>
  <si>
    <t>TRIAMCINOLONE .1%80GM CR</t>
  </si>
  <si>
    <t>0053375903</t>
  </si>
  <si>
    <t>TRIAMCINOLONE .1%80GM OI</t>
  </si>
  <si>
    <t>TRIAMCINOLN80OI</t>
  </si>
  <si>
    <t>0053375952</t>
  </si>
  <si>
    <t>TRIAMCINOLONE .5%15GM CR</t>
  </si>
  <si>
    <t>0053376000</t>
  </si>
  <si>
    <t>TRIAMCINOLONE .5%15GM OI</t>
  </si>
  <si>
    <t>0053376059</t>
  </si>
  <si>
    <t>TRIAMCINOLONE .5%20GM CR</t>
  </si>
  <si>
    <t>TRIAMCINOLN20CR</t>
  </si>
  <si>
    <t>0053376158</t>
  </si>
  <si>
    <t>TRIAMCINOL-A .1%15GM CR</t>
  </si>
  <si>
    <t>TRIAMCIN-A 15CR</t>
  </si>
  <si>
    <t>0053376208</t>
  </si>
  <si>
    <t>TRIAMCIN-A .1% 5GM PASTE</t>
  </si>
  <si>
    <t>TRIAMC-A 5GM</t>
  </si>
  <si>
    <t>0053376455</t>
  </si>
  <si>
    <t>TRIPLE DYE APPL SWAB EA</t>
  </si>
  <si>
    <t>TRIPLE DY AP EA</t>
  </si>
  <si>
    <t>0053376463</t>
  </si>
  <si>
    <t>TRIPLE ANTIBIOT 500ML TS</t>
  </si>
  <si>
    <t>TRIPANTB500MLTS</t>
  </si>
  <si>
    <t>0053376562</t>
  </si>
  <si>
    <t>TRYPS/BALS/CASTOIL60GMOI</t>
  </si>
  <si>
    <t>TRYP/BAL/CA60OI</t>
  </si>
  <si>
    <t>0053376901</t>
  </si>
  <si>
    <t>UREA 10% 240ML LT</t>
  </si>
  <si>
    <t>UREA 240ML LT</t>
  </si>
  <si>
    <t>0053376950</t>
  </si>
  <si>
    <t>UREA 15GM PW</t>
  </si>
  <si>
    <t>0053377354</t>
  </si>
  <si>
    <t>VITAMIN A&amp;D 60GM OI</t>
  </si>
  <si>
    <t>VIT A&amp;D 60GM OI</t>
  </si>
  <si>
    <t>0053377552</t>
  </si>
  <si>
    <t>ZINC OXIDE 40% 60GM OI</t>
  </si>
  <si>
    <t>ZINC OXIDE 60OI</t>
  </si>
  <si>
    <t>0053377560</t>
  </si>
  <si>
    <t>ZINC OXIDE 20% 30GM OI</t>
  </si>
  <si>
    <t>ZINC OXIDE 30OI</t>
  </si>
  <si>
    <t>0053380093</t>
  </si>
  <si>
    <t>RIVASTIGMINE 4.6MG TD</t>
  </si>
  <si>
    <t>RIVASTIGM 4.6MG</t>
  </si>
  <si>
    <t>0053380168</t>
  </si>
  <si>
    <t>APAP 120MG SU</t>
  </si>
  <si>
    <t>0053380200</t>
  </si>
  <si>
    <t>APAP 325MG SU</t>
  </si>
  <si>
    <t>0053380242</t>
  </si>
  <si>
    <t>APAP 650MG SU</t>
  </si>
  <si>
    <t>0053380952</t>
  </si>
  <si>
    <t>ASA 300MG SU</t>
  </si>
  <si>
    <t>0053381166</t>
  </si>
  <si>
    <t>ASA 600MG SU</t>
  </si>
  <si>
    <t>0053381620</t>
  </si>
  <si>
    <t>BISACODYL 10MG SU</t>
  </si>
  <si>
    <t>BISACODY10MG SU</t>
  </si>
  <si>
    <t>0053382040</t>
  </si>
  <si>
    <t>STARCH 51% SU</t>
  </si>
  <si>
    <t>0053382602</t>
  </si>
  <si>
    <t>CLOTRIMAZOLE 100MG V TB</t>
  </si>
  <si>
    <t>CLOTRIMAZO V TB</t>
  </si>
  <si>
    <t>0053382610</t>
  </si>
  <si>
    <t>CLOTRIMAZOL 2% 21GM V CR</t>
  </si>
  <si>
    <t>CLOTRIMAXOL21GM</t>
  </si>
  <si>
    <t>0053383758</t>
  </si>
  <si>
    <t>FECAL MICROBIOTA 250ML</t>
  </si>
  <si>
    <t>FMP250</t>
  </si>
  <si>
    <t>0053384095</t>
  </si>
  <si>
    <t>GLYCERIN ADULT SU</t>
  </si>
  <si>
    <t>GLYCERIN ADU SU</t>
  </si>
  <si>
    <t>0053384137</t>
  </si>
  <si>
    <t>GLYCERIN INFANT SU</t>
  </si>
  <si>
    <t>GLYCERIN INF SU</t>
  </si>
  <si>
    <t>0053384558</t>
  </si>
  <si>
    <t>HCTS 30MG SU</t>
  </si>
  <si>
    <t>0053384855</t>
  </si>
  <si>
    <t>HCTS 2.5% 30GM R CR</t>
  </si>
  <si>
    <t>HCTS 30GM R CR</t>
  </si>
  <si>
    <t>0053384889</t>
  </si>
  <si>
    <t>HCTS 100MG/60ML RE</t>
  </si>
  <si>
    <t>HCTS 100MG/60ML</t>
  </si>
  <si>
    <t>0053384939</t>
  </si>
  <si>
    <t>HCTS 25MG SU</t>
  </si>
  <si>
    <t>0053384970</t>
  </si>
  <si>
    <t>INDOMETHACIN 50MG SUPP</t>
  </si>
  <si>
    <t>INDOMETH50MG SU</t>
  </si>
  <si>
    <t>0053385100</t>
  </si>
  <si>
    <t>MESALAMINE 4G/60ML RE</t>
  </si>
  <si>
    <t>MESALAM 60ML RE</t>
  </si>
  <si>
    <t>0053385118</t>
  </si>
  <si>
    <t>MESALAMINE 500MG SU</t>
  </si>
  <si>
    <t>MESALAM500MG SU</t>
  </si>
  <si>
    <t>0053385340</t>
  </si>
  <si>
    <t>MINERAL OIL 133ML RE</t>
  </si>
  <si>
    <t>MINERAL OIL RE</t>
  </si>
  <si>
    <t>0053385555</t>
  </si>
  <si>
    <t>PHENYLEPHRINE HEMOR SU</t>
  </si>
  <si>
    <t>PHENYL HEM SU</t>
  </si>
  <si>
    <t>0053385605</t>
  </si>
  <si>
    <t>POLYSTYREN SULF 120ML RE</t>
  </si>
  <si>
    <t>POLYSTYRENE30GM</t>
  </si>
  <si>
    <t>0053385761</t>
  </si>
  <si>
    <t>HCTS/PRAMOXINE 10GM R FM</t>
  </si>
  <si>
    <t>HCTS/PRAMOX 10G</t>
  </si>
  <si>
    <t>0053385803</t>
  </si>
  <si>
    <t>PRAMOXINE 1% 15GM R FM</t>
  </si>
  <si>
    <t>PRAMOXIN15GM FM</t>
  </si>
  <si>
    <t>0053385845</t>
  </si>
  <si>
    <t>PRAMOXINE/ZINC 30GM R OI</t>
  </si>
  <si>
    <t>PRAMOX/ZN 30GM</t>
  </si>
  <si>
    <t>0053385852</t>
  </si>
  <si>
    <t>PHENYLEPHRINE HEMOR R OI</t>
  </si>
  <si>
    <t>PHENYLEP HEM OI</t>
  </si>
  <si>
    <t>0053386090</t>
  </si>
  <si>
    <t>PROCHLORPERAZINE 5MG SU</t>
  </si>
  <si>
    <t>PROCHLOR 5MG SU</t>
  </si>
  <si>
    <t>0053386132</t>
  </si>
  <si>
    <t>PROCHLORPERAZINE 25MG SU</t>
  </si>
  <si>
    <t>PROCHLOR25MG SU</t>
  </si>
  <si>
    <t>0053386348</t>
  </si>
  <si>
    <t>PROMETHAZINE 12.5MG SU</t>
  </si>
  <si>
    <t>PROMETHA12MG SU</t>
  </si>
  <si>
    <t>0053386389</t>
  </si>
  <si>
    <t>PROMETHAZINE 25MG SU</t>
  </si>
  <si>
    <t>PROMETHA25MG SU</t>
  </si>
  <si>
    <t>0053387262</t>
  </si>
  <si>
    <t>NA BIPHOSPHATE ADULT RE</t>
  </si>
  <si>
    <t>NA BIPHO ADL RE</t>
  </si>
  <si>
    <t>0053392478</t>
  </si>
  <si>
    <t>BOWEL EVACUANT KIT</t>
  </si>
  <si>
    <t>BOWEL EVAC KIT</t>
  </si>
  <si>
    <t>0053551768</t>
  </si>
  <si>
    <t>BARIUM SUSP 2.1%450ML LQ</t>
  </si>
  <si>
    <t>BA SUS2.1%450ML</t>
  </si>
  <si>
    <t>0053554804</t>
  </si>
  <si>
    <t>DIATR MEGNASOL66/10 120M</t>
  </si>
  <si>
    <t>DIAMNS66/10120M</t>
  </si>
  <si>
    <t>0053559001</t>
  </si>
  <si>
    <t>DIATRIZ SOD POWD 60%250G</t>
  </si>
  <si>
    <t>DIA NAPWD60%250</t>
  </si>
  <si>
    <t>0053559209</t>
  </si>
  <si>
    <t>ETHIODIZED OIL48%10MLIJ</t>
  </si>
  <si>
    <t>ETHIOOIL48%10IJ</t>
  </si>
  <si>
    <t>0053561627</t>
  </si>
  <si>
    <t>GADOBUTROL PER 0.1ML IJ</t>
  </si>
  <si>
    <t>GADOBUTRL 0.1ML</t>
  </si>
  <si>
    <t>0053561643</t>
  </si>
  <si>
    <t>GADOTERATE MEG 0.1ML IJ</t>
  </si>
  <si>
    <t>GADOTERATE0.1ML</t>
  </si>
  <si>
    <t>0053561775</t>
  </si>
  <si>
    <t>GADOXETATE PER 1ML IJ</t>
  </si>
  <si>
    <t>GADOXETATE1MLIJ</t>
  </si>
  <si>
    <t>0053561783</t>
  </si>
  <si>
    <t>GADOTERIDOL PER 1ML IJ</t>
  </si>
  <si>
    <t>GADOTERID1MLIJ</t>
  </si>
  <si>
    <t>0053561817</t>
  </si>
  <si>
    <t>HOCM &lt; = 149MG/ML ID 1ML</t>
  </si>
  <si>
    <t>HOCM 1ML</t>
  </si>
  <si>
    <t>0053561841</t>
  </si>
  <si>
    <t>HOCM 250-299MG/ML ID 1ML</t>
  </si>
  <si>
    <t>0053561866</t>
  </si>
  <si>
    <t>HOCM 350-399MG/ML ID 1ML</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</si>
  <si>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</si>
  <si>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</si>
  <si>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</si>
  <si>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</si>
  <si>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</si>
  <si>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</si>
  <si>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</si>
  <si>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</si>
  <si>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</si>
  <si>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</si>
  <si>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</si>
  <si>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0053582417</t>
  </si>
  <si>
    <t>MR CONTRAST GAD BASE 1ML</t>
  </si>
  <si>
    <t>MR CONTRAST 1ML</t>
  </si>
  <si>
    <t>0053582474</t>
  </si>
  <si>
    <t>PERFLUTREN LIP MICRO 1ML</t>
  </si>
  <si>
    <t>PERFLUTREN 1ML</t>
  </si>
  <si>
    <t>0053582904</t>
  </si>
  <si>
    <t>SINCALIDE 5MCG</t>
  </si>
  <si>
    <t>0053605655</t>
  </si>
  <si>
    <t>0053605937</t>
  </si>
  <si>
    <t>0054121652</t>
  </si>
  <si>
    <t>D5 L RINGERS 500ML IVF</t>
  </si>
  <si>
    <t>D5 LR 500ML IVF</t>
  </si>
  <si>
    <t>0054121702</t>
  </si>
  <si>
    <t>D5 L RINGERS 1000ML IVF</t>
  </si>
  <si>
    <t>D5 LR 1000MLIVF</t>
  </si>
  <si>
    <t>0054121751</t>
  </si>
  <si>
    <t>D5 L RINGER KCL20 1L IVF</t>
  </si>
  <si>
    <t>D5LRKCL20 1LIVF</t>
  </si>
  <si>
    <t>0054121850</t>
  </si>
  <si>
    <t>D5 RINGERS 500ML IVF</t>
  </si>
  <si>
    <t>D5RINGERS500IVF</t>
  </si>
  <si>
    <t>0054121900</t>
  </si>
  <si>
    <t>D5 RINGERS 1000ML IVF</t>
  </si>
  <si>
    <t>D5RINGERS 1LIVF</t>
  </si>
  <si>
    <t>0054122056</t>
  </si>
  <si>
    <t>D5 NACL 0.2 250ML IVF</t>
  </si>
  <si>
    <t>D5NACL.2 250IVF</t>
  </si>
  <si>
    <t>0054122106</t>
  </si>
  <si>
    <t>D5 NACL 0.2 500ML IVF</t>
  </si>
  <si>
    <t>D5NACL.2 .5LIVF</t>
  </si>
  <si>
    <t>0054122155</t>
  </si>
  <si>
    <t>D5 NACL 0.2 1000ML IVF</t>
  </si>
  <si>
    <t>D5NACL.2 1L IVF</t>
  </si>
  <si>
    <t>0054122304</t>
  </si>
  <si>
    <t>D5 NACL.2 KCL20 1L IVF</t>
  </si>
  <si>
    <t>D5.2K20 1LIVF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</si>
  <si>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</si>
  <si>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</si>
  <si>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</si>
  <si>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</si>
  <si>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</si>
  <si>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</si>
  <si>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</si>
  <si>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</si>
  <si>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</si>
  <si>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</si>
  <si>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</si>
  <si>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</si>
  <si>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</si>
  <si>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</si>
  <si>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</si>
  <si>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</si>
  <si>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</si>
  <si>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</si>
  <si>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</si>
  <si>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</si>
  <si>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</si>
  <si>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</si>
  <si>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</si>
  <si>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</si>
  <si>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</si>
  <si>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</si>
  <si>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</si>
  <si>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</si>
  <si>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</si>
  <si>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</si>
  <si>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</si>
  <si>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</si>
  <si>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</si>
  <si>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</si>
  <si>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</si>
  <si>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</si>
  <si>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</si>
  <si>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</si>
  <si>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</si>
  <si>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</si>
  <si>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</si>
  <si>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</si>
  <si>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</si>
  <si>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</si>
  <si>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</si>
  <si>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</si>
  <si>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</si>
  <si>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</si>
  <si>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</si>
  <si>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</si>
  <si>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</si>
  <si>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</si>
  <si>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</si>
  <si>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0054124151</t>
  </si>
  <si>
    <t>D10 NACL 0.45 1000ML IVF</t>
  </si>
  <si>
    <t>D10NACL.45 1IVF</t>
  </si>
  <si>
    <t>0054124250</t>
  </si>
  <si>
    <t>D10 NACL 0.9 1000ML IVF</t>
  </si>
  <si>
    <t>D10NACL.9 1LIVF</t>
  </si>
  <si>
    <t>0054124300</t>
  </si>
  <si>
    <t>D10W 250ML TPN</t>
  </si>
  <si>
    <t>D10%W 250ML TPN</t>
  </si>
  <si>
    <t>0054124359</t>
  </si>
  <si>
    <t>D10W 500ML TPN</t>
  </si>
  <si>
    <t>D10%W 500ML TPN</t>
  </si>
  <si>
    <t>0054124409</t>
  </si>
  <si>
    <t>D10W 1000ML TPN</t>
  </si>
  <si>
    <t>D10W 1L TPN</t>
  </si>
  <si>
    <t>0054124557</t>
  </si>
  <si>
    <t>ISOLYTE E 1000ML IVF</t>
  </si>
  <si>
    <t>ISOLYTE E 1LIVF</t>
  </si>
  <si>
    <t>0054125455</t>
  </si>
  <si>
    <t>L RINGERS 500ML IVF</t>
  </si>
  <si>
    <t>L RINGERS500IVF</t>
  </si>
  <si>
    <t>0054125505</t>
  </si>
  <si>
    <t>L RINGERS 1000ML IVF</t>
  </si>
  <si>
    <t>L RINGERS 1LIVF</t>
  </si>
  <si>
    <t>0054125802</t>
  </si>
  <si>
    <t>MANNITOL 20% 250ML IVF</t>
  </si>
  <si>
    <t>MANNIT20%250IVF</t>
  </si>
  <si>
    <t>0054125851</t>
  </si>
  <si>
    <t>MANNITOL 20% 500ML IVF</t>
  </si>
  <si>
    <t>MANNIT20%500IVF</t>
  </si>
  <si>
    <t>0054126149</t>
  </si>
  <si>
    <t>NACL 0.45 50ML IVF</t>
  </si>
  <si>
    <t>NACL .45 50 IVF</t>
  </si>
  <si>
    <t>0054126164</t>
  </si>
  <si>
    <t>NACL 0.45 250ML IVF</t>
  </si>
  <si>
    <t>NACL.45 250IVF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</si>
  <si>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</si>
  <si>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</si>
  <si>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</si>
  <si>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</si>
  <si>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</si>
  <si>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</si>
  <si>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</si>
  <si>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</si>
  <si>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</si>
  <si>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</si>
  <si>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</si>
  <si>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</si>
  <si>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</si>
  <si>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</si>
  <si>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</si>
  <si>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</si>
  <si>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</si>
  <si>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</si>
  <si>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</si>
  <si>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</si>
  <si>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</si>
  <si>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</si>
  <si>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</si>
  <si>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</si>
  <si>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</si>
  <si>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</si>
  <si>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</si>
  <si>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</si>
  <si>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</si>
  <si>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</si>
  <si>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</si>
  <si>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</si>
  <si>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</si>
  <si>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</si>
  <si>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</si>
  <si>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</si>
  <si>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0054126958</t>
  </si>
  <si>
    <t>NACL 5% 500ML IVF</t>
  </si>
  <si>
    <t>NACL5% 500MLIVF</t>
  </si>
  <si>
    <t>0054127204</t>
  </si>
  <si>
    <t>PLASMALYTE A 1000ML IVF</t>
  </si>
  <si>
    <t>PLASMALY A 1L</t>
  </si>
  <si>
    <t>0054127857</t>
  </si>
  <si>
    <t>WATER STERL INJ .5L IVF</t>
  </si>
  <si>
    <t>WATER ST .5LINJ</t>
  </si>
  <si>
    <t>0054127907</t>
  </si>
  <si>
    <t>WATER STERL INJ 1L IVF</t>
  </si>
  <si>
    <t>WATER ST 1L INJ</t>
  </si>
  <si>
    <t>0054130257</t>
  </si>
  <si>
    <t>AA 3% ELEC GLYC 1L TPN</t>
  </si>
  <si>
    <t>AA3%GELEC 1L</t>
  </si>
  <si>
    <t>0054130307</t>
  </si>
  <si>
    <t>AA 3% ELEC 1L TPN</t>
  </si>
  <si>
    <t>AA3%ELEC 1L</t>
  </si>
  <si>
    <t>0054131206</t>
  </si>
  <si>
    <t>AA 8.5% 500ML TPN</t>
  </si>
  <si>
    <t>AA8.5% 500MLTPN</t>
  </si>
  <si>
    <t>0054131222</t>
  </si>
  <si>
    <t>DOUBLE ANTIBIOT 500MLIRR</t>
  </si>
  <si>
    <t>ANTIBIO500MLIRR</t>
  </si>
  <si>
    <t>0054131750</t>
  </si>
  <si>
    <t>AA 10% 500ML TPN</t>
  </si>
  <si>
    <t>AA10% 500ML TPN</t>
  </si>
  <si>
    <t>0054131909</t>
  </si>
  <si>
    <t>AA 15% 500ML TPN</t>
  </si>
  <si>
    <t>AA15% 500ML TPN</t>
  </si>
  <si>
    <t>0054133350</t>
  </si>
  <si>
    <t>D10W 500ML IN 1L TPN</t>
  </si>
  <si>
    <t>D10W500ML/1LTPN</t>
  </si>
  <si>
    <t>0054133442</t>
  </si>
  <si>
    <t>D20W 500ML IVF</t>
  </si>
  <si>
    <t>0054133509</t>
  </si>
  <si>
    <t>D20W 500ML IN 1L TPN</t>
  </si>
  <si>
    <t>D20W500ML/1LTPN</t>
  </si>
  <si>
    <t>0054133608</t>
  </si>
  <si>
    <t>D30W 500ML TPN</t>
  </si>
  <si>
    <t>0054133855</t>
  </si>
  <si>
    <t>D50W 500ML TPN</t>
  </si>
  <si>
    <t>0054133905</t>
  </si>
  <si>
    <t>D50W 500ML IN 1L TPN</t>
  </si>
  <si>
    <t>D50W500ML/1LTPN</t>
  </si>
  <si>
    <t>0054134150</t>
  </si>
  <si>
    <t>D70W 500ML IN 1L TPN</t>
  </si>
  <si>
    <t>D70W500ML/1LTPN</t>
  </si>
  <si>
    <t>0054134408</t>
  </si>
  <si>
    <t>FAT EMULS 10% 200ML TPN</t>
  </si>
  <si>
    <t>FAT 10% 200 TPN</t>
  </si>
  <si>
    <t>0054134457</t>
  </si>
  <si>
    <t>FAT EMULS 10% 250ML TPN</t>
  </si>
  <si>
    <t>FAT 10% 250 TPN</t>
  </si>
  <si>
    <t>0054134507</t>
  </si>
  <si>
    <t>FAT EMULS 10% 500ML TPN</t>
  </si>
  <si>
    <t>FAT 10% 500 TPN</t>
  </si>
  <si>
    <t>0054134606</t>
  </si>
  <si>
    <t>FAT EMULS 20% 100ML TPN</t>
  </si>
  <si>
    <t>FAT 20% 100 TPN</t>
  </si>
  <si>
    <t>0054134655</t>
  </si>
  <si>
    <t>FAT EMULS 20% 200ML TPN</t>
  </si>
  <si>
    <t>FAT 20% 200 TPN</t>
  </si>
  <si>
    <t>0054134705</t>
  </si>
  <si>
    <t>FAT EMULS 20% 250ML TPN</t>
  </si>
  <si>
    <t>FAT 20% 250 TPN</t>
  </si>
  <si>
    <t>0054134754</t>
  </si>
  <si>
    <t>FAT EMULS 20% 500ML TPN</t>
  </si>
  <si>
    <t>FAT 20% 500 TPN</t>
  </si>
  <si>
    <t>0054140157</t>
  </si>
  <si>
    <t>ACETIC ACID.25% 1L IRR</t>
  </si>
  <si>
    <t>ACET AC 1L IRR</t>
  </si>
  <si>
    <t>0054141858</t>
  </si>
  <si>
    <t>NACL.9 ARTH 3L IRR</t>
  </si>
  <si>
    <t>NACL.9ARTH3LIRR</t>
  </si>
  <si>
    <t>0054141908</t>
  </si>
  <si>
    <t>NACL.9 ARTH 5L IRR</t>
  </si>
  <si>
    <t>NACL.9ARTH5LIRR</t>
  </si>
  <si>
    <t>0054142104</t>
  </si>
  <si>
    <t>SORBITOL 3% 3000ML IRR</t>
  </si>
  <si>
    <t>SORB3% 3L IRR</t>
  </si>
  <si>
    <t>0055000616</t>
  </si>
  <si>
    <t>OPTIFLOW HFOT INITIAL</t>
  </si>
  <si>
    <t>OPTIFLOW HFOT I</t>
  </si>
  <si>
    <t>0055000624</t>
  </si>
  <si>
    <t>OPTIFLOW HFOT MANAGEMENT DLY</t>
  </si>
  <si>
    <t>OPTIFLOW HFOT M</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</si>
  <si>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</si>
  <si>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</si>
  <si>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</si>
  <si>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</si>
  <si>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</si>
  <si>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</si>
  <si>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</si>
  <si>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</si>
  <si>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</si>
  <si>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</si>
  <si>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</si>
  <si>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</si>
  <si>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</si>
  <si>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</si>
  <si>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</si>
  <si>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0055002000</t>
  </si>
  <si>
    <t>0055002232</t>
  </si>
  <si>
    <t>SPUTUM INDUCTION</t>
  </si>
  <si>
    <t>SPUTUM INDUCE</t>
  </si>
  <si>
    <t>0055003750</t>
  </si>
  <si>
    <t>SMKE/TOBAC CNSL 3-10MIN</t>
  </si>
  <si>
    <t>SMK/TOB CNS3-10</t>
  </si>
  <si>
    <t>0055003768</t>
  </si>
  <si>
    <t>SMKE/TOBAC CNSL &gt;10 MIN</t>
  </si>
  <si>
    <t>SMK/TOB CNS&gt;10</t>
  </si>
  <si>
    <t>0055005029</t>
  </si>
  <si>
    <t>IPPB TX</t>
  </si>
  <si>
    <t>0055005045</t>
  </si>
  <si>
    <t>IPPB TX DEMO AND/OR EVAL</t>
  </si>
  <si>
    <t>IPPB DEMO/EVAL</t>
  </si>
  <si>
    <t>0055006001</t>
  </si>
  <si>
    <t>CPAP INITIAL</t>
  </si>
  <si>
    <t>0055006209</t>
  </si>
  <si>
    <t>VOLUME VENTILATOR INTL</t>
  </si>
  <si>
    <t>VOL VENT INIT</t>
  </si>
  <si>
    <t>0055006266</t>
  </si>
  <si>
    <t>VOLUME VENT SUBSQ/DLY</t>
  </si>
  <si>
    <t>VOLUME VENT SUB</t>
  </si>
  <si>
    <t>0055006555</t>
  </si>
  <si>
    <t>BRONCHOSCOPY DIAGNOSTIC</t>
  </si>
  <si>
    <t>BRONCHOSCOPY DX</t>
  </si>
  <si>
    <t>0055006605</t>
  </si>
  <si>
    <t>BRONCHOSCOPY W BIOPSY</t>
  </si>
  <si>
    <t>BRONCHOSC W BX</t>
  </si>
  <si>
    <t>0055008254</t>
  </si>
  <si>
    <t>FLOW VOLUME LOOPS</t>
  </si>
  <si>
    <t>FLOW VOL LOOPS</t>
  </si>
  <si>
    <t>0055010110</t>
  </si>
  <si>
    <t>BRONCHOSCOPY DX W/BRSH</t>
  </si>
  <si>
    <t>BRONCH W/BRSH</t>
  </si>
  <si>
    <t>0055011043</t>
  </si>
  <si>
    <t>BLOOD GAS ARTERIAL STICK</t>
  </si>
  <si>
    <t>BD GAS ART STCK</t>
  </si>
  <si>
    <t>0055011928</t>
  </si>
  <si>
    <t>SPIROMETRY</t>
  </si>
  <si>
    <t>0055012017</t>
  </si>
  <si>
    <t>BRONCHOSPASM EVAL PRE/PS</t>
  </si>
  <si>
    <t>BRONCHO EVAL</t>
  </si>
  <si>
    <t>0055018576</t>
  </si>
  <si>
    <t>BIPAP INITIAL</t>
  </si>
  <si>
    <t>BIPAP INIT</t>
  </si>
  <si>
    <t>0055021000</t>
  </si>
  <si>
    <t>MDI DEMO AND/OR EVAL</t>
  </si>
  <si>
    <t>MDI DEMO/EVAL</t>
  </si>
  <si>
    <t>0055021059</t>
  </si>
  <si>
    <t>MDI TREATMENT</t>
  </si>
  <si>
    <t>0055022057</t>
  </si>
  <si>
    <t>PULSE OX SINGLE</t>
  </si>
  <si>
    <t>0055042006</t>
  </si>
  <si>
    <t>MAX VOLUNTRY VENTILATION</t>
  </si>
  <si>
    <t>MAX VOL VENT</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</si>
  <si>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</si>
  <si>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</si>
  <si>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</si>
  <si>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</si>
  <si>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</si>
  <si>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</si>
  <si>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</si>
  <si>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</si>
  <si>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</si>
  <si>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</si>
  <si>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</si>
  <si>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</si>
  <si>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</si>
  <si>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</si>
  <si>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</si>
  <si>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</si>
  <si>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</si>
  <si>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</si>
  <si>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</si>
  <si>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</si>
  <si>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</si>
  <si>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</si>
  <si>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</si>
  <si>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</si>
  <si>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</si>
  <si>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</si>
  <si>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0055047260</t>
  </si>
  <si>
    <t>PLETHSYMOGRAPHY LUNG VOL</t>
  </si>
  <si>
    <t>PLETHYSMOGRAPHY</t>
  </si>
  <si>
    <t>0055047278</t>
  </si>
  <si>
    <t>LUNG VOL GAS DIL/WASHOUT</t>
  </si>
  <si>
    <t>LUNG VOLUMES</t>
  </si>
  <si>
    <t>0055047294</t>
  </si>
  <si>
    <t>DIFFUSING CAPACITY</t>
  </si>
  <si>
    <t>DIFFUSE CAPCTY</t>
  </si>
  <si>
    <t>0055050256</t>
  </si>
  <si>
    <t>BLOOD GAS PH ONLY</t>
  </si>
  <si>
    <t>BLD GAS PH ONLY</t>
  </si>
  <si>
    <t>0056002579</t>
  </si>
  <si>
    <t>UNSCHED DIAL ESRD PT</t>
  </si>
  <si>
    <t>UNSCH DIAL ESRD</t>
  </si>
  <si>
    <t>0056002587</t>
  </si>
  <si>
    <t>UNSCHED PERIT DIAL ESRD</t>
  </si>
  <si>
    <t>0056009046</t>
  </si>
  <si>
    <t>IP CAPD</t>
  </si>
  <si>
    <t>0056009103</t>
  </si>
  <si>
    <t>IP CCPD</t>
  </si>
  <si>
    <t>0056009764</t>
  </si>
  <si>
    <t>IP HEMODIALYSIS</t>
  </si>
  <si>
    <t>0056009772</t>
  </si>
  <si>
    <t>DIALYSIS PLASMAPHERESIS</t>
  </si>
  <si>
    <t>PLASMAPHERESIS</t>
  </si>
  <si>
    <t>0056009798</t>
  </si>
  <si>
    <t>0056011000</t>
  </si>
  <si>
    <t>CONT RENAL REPLACE THRPY</t>
  </si>
  <si>
    <t>CONT RENL THRPY</t>
  </si>
  <si>
    <t>0057000234</t>
  </si>
  <si>
    <t>PTA E-STIM BASIC</t>
  </si>
  <si>
    <t>PTA E-STIM BASI</t>
  </si>
  <si>
    <t>0057000259</t>
  </si>
  <si>
    <t>PTA MECH TRACTION BSC</t>
  </si>
  <si>
    <t>PTA MECH TRAC B</t>
  </si>
  <si>
    <t>0057000283</t>
  </si>
  <si>
    <t>PTA PARAFFIN BATH BSC</t>
  </si>
  <si>
    <t>PTA PARAFFIN BA</t>
  </si>
  <si>
    <t>0057000374</t>
  </si>
  <si>
    <t>PTA E-STIM MANUAL 15 BSC</t>
  </si>
  <si>
    <t>PTA E-STIM MAN</t>
  </si>
  <si>
    <t>0057000408</t>
  </si>
  <si>
    <t>PTA US EA 15 BASIC</t>
  </si>
  <si>
    <t>PTA US EA 15 BA</t>
  </si>
  <si>
    <t>0057000457</t>
  </si>
  <si>
    <t>PTA THER EX EA 15MIN</t>
  </si>
  <si>
    <t>PTA THER EX EA</t>
  </si>
  <si>
    <t>0057000465</t>
  </si>
  <si>
    <t>PTA THER EX EA 15MIN #2</t>
  </si>
  <si>
    <t>PTA THER EX 15M</t>
  </si>
  <si>
    <t>0057000481</t>
  </si>
  <si>
    <t>PTA NEUROMUSC RE-ED EA15MIN</t>
  </si>
  <si>
    <t>PTA NEUROMUSC 1</t>
  </si>
  <si>
    <t>0057000499</t>
  </si>
  <si>
    <t>PTA NEUROMUSC RE-ED EA15M#2</t>
  </si>
  <si>
    <t>0057000531</t>
  </si>
  <si>
    <t>PTA GAIT/STR TRN EA 15</t>
  </si>
  <si>
    <t>PTA GAIT TRN EA</t>
  </si>
  <si>
    <t>0057000549</t>
  </si>
  <si>
    <t>PTA GAIT/STR TRN EA 15MIN#2</t>
  </si>
  <si>
    <t>PTA GAIT TRN 15</t>
  </si>
  <si>
    <t>0057000556</t>
  </si>
  <si>
    <t>PTA THERAPUTC MASSG EA15MIN</t>
  </si>
  <si>
    <t>PTA MASG EA 15M</t>
  </si>
  <si>
    <t>0057000572</t>
  </si>
  <si>
    <t>PTA MANUAL THRPY EA 15MIN</t>
  </si>
  <si>
    <t>PTA MANUAL THRP</t>
  </si>
  <si>
    <t>0057000598</t>
  </si>
  <si>
    <t>PTA GROUP THRPY PROC INTERM</t>
  </si>
  <si>
    <t>PTA GRP THRPY I</t>
  </si>
  <si>
    <t>0057000606</t>
  </si>
  <si>
    <t>PTA GROUP THRPY PROC CMPLX</t>
  </si>
  <si>
    <t>PTA GRP THRPY C</t>
  </si>
  <si>
    <t>0057000614</t>
  </si>
  <si>
    <t>PTA GROUP THRPY PROC EXTNSV</t>
  </si>
  <si>
    <t>PTA GRP THRPY E</t>
  </si>
  <si>
    <t>0057000622</t>
  </si>
  <si>
    <t>PTA GROUP THRPY PROC BASIC</t>
  </si>
  <si>
    <t>PTA GRP THRPY P</t>
  </si>
  <si>
    <t>0057000630</t>
  </si>
  <si>
    <t>PTA THERAPEUTC ACT EA 15MIN</t>
  </si>
  <si>
    <t>PTA THER ACT 15</t>
  </si>
  <si>
    <t>0057000648</t>
  </si>
  <si>
    <t>PTA THERAPEUTC ACT EA15M #2</t>
  </si>
  <si>
    <t>PTA THER ACT EA</t>
  </si>
  <si>
    <t>0057000705</t>
  </si>
  <si>
    <t>PTA COMM/WK REINT TRN EA15M</t>
  </si>
  <si>
    <t>PTA COM/WK TRN</t>
  </si>
  <si>
    <t>0057000721</t>
  </si>
  <si>
    <t>PTA WHLCHR TRN EA 15MIN</t>
  </si>
  <si>
    <t>PTA WHLCHR TRN</t>
  </si>
  <si>
    <t>0057002834</t>
  </si>
  <si>
    <t>PT E-STIM BASIC</t>
  </si>
  <si>
    <t>E-STIM BSC</t>
  </si>
  <si>
    <t>0057039042</t>
  </si>
  <si>
    <t>PT PROC INIT 30M MCAL</t>
  </si>
  <si>
    <t>PT PRO INIT 30M</t>
  </si>
  <si>
    <t>0057039208</t>
  </si>
  <si>
    <t>MCAL PT TST/MS 30 MINS</t>
  </si>
  <si>
    <t>TEST/MEAS 30</t>
  </si>
  <si>
    <t>0057039224</t>
  </si>
  <si>
    <t>MCAL PT TST/MS ADTL 15MN</t>
  </si>
  <si>
    <t>TEST/MEAS 15MIN</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</si>
  <si>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</si>
  <si>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</si>
  <si>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</si>
  <si>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</si>
  <si>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</si>
  <si>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</si>
  <si>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</si>
  <si>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</si>
  <si>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</si>
  <si>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</si>
  <si>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</si>
  <si>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</si>
  <si>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</si>
  <si>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</si>
  <si>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0057052482</t>
  </si>
  <si>
    <t>PT PARAFFIN BATH BSC</t>
  </si>
  <si>
    <t>PARAFFN BTH BSC</t>
  </si>
  <si>
    <t>0057052664</t>
  </si>
  <si>
    <t>PT E-STIM MANUAL 15 BSC</t>
  </si>
  <si>
    <t>E-STIM MANL BSC</t>
  </si>
  <si>
    <t>0057052847</t>
  </si>
  <si>
    <t>PT US EA 15 BSC</t>
  </si>
  <si>
    <t>US EA 15 BSC</t>
  </si>
  <si>
    <t>0057052961</t>
  </si>
  <si>
    <t>PT THER EX EA 15</t>
  </si>
  <si>
    <t>THERAPTC EXER15</t>
  </si>
  <si>
    <t>0057052987</t>
  </si>
  <si>
    <t>PT THER EX EA 15 #2</t>
  </si>
  <si>
    <t>THERAPTC EXER#2</t>
  </si>
  <si>
    <t>0057053001</t>
  </si>
  <si>
    <t>PT NEUROMUSC RE-ED EA15</t>
  </si>
  <si>
    <t>NEUROMUSC EA 15</t>
  </si>
  <si>
    <t>0057053027</t>
  </si>
  <si>
    <t>PT NEUROMUSC RE-ED EA15#</t>
  </si>
  <si>
    <t>NEUROMUSCEA15#2</t>
  </si>
  <si>
    <t>0057053084</t>
  </si>
  <si>
    <t>PT THERAPEUTC MASSG EA15</t>
  </si>
  <si>
    <t>THERPTC MASSG15</t>
  </si>
  <si>
    <t>0057053126</t>
  </si>
  <si>
    <t>PT THERAPEUTC ACT EA 15</t>
  </si>
  <si>
    <t>THERPTC ACTEA15</t>
  </si>
  <si>
    <t>0057053142</t>
  </si>
  <si>
    <t>PT THERAPEUTC ACT EA15#2</t>
  </si>
  <si>
    <t>THERPTC ACT15#2</t>
  </si>
  <si>
    <t>0057053209</t>
  </si>
  <si>
    <t>PT COMM/WK REINT TRN EA15M</t>
  </si>
  <si>
    <t>COMM/WK REINT15</t>
  </si>
  <si>
    <t>0057053639</t>
  </si>
  <si>
    <t>PT GROUP THERAPY PROCED INTERM</t>
  </si>
  <si>
    <t>PT GRP THERAPY</t>
  </si>
  <si>
    <t>0057053654</t>
  </si>
  <si>
    <t>PT GROUP THERAPY PROCED CMPLX</t>
  </si>
  <si>
    <t>PT GROUP THERAP</t>
  </si>
  <si>
    <t>0057053670</t>
  </si>
  <si>
    <t>PT GROUP THERAPY PROCED EXTNSV</t>
  </si>
  <si>
    <t>0057053688</t>
  </si>
  <si>
    <t>PT GROUP THERAPY PROCED BASIC</t>
  </si>
  <si>
    <t>0057055303</t>
  </si>
  <si>
    <t>PT TX INIT 30 MIN MCAL</t>
  </si>
  <si>
    <t>PT TX INIT30MIN</t>
  </si>
  <si>
    <t>0057055329</t>
  </si>
  <si>
    <t>PT TX EA ADDL 15MIN MCAL</t>
  </si>
  <si>
    <t>PT TX EA ADDL15</t>
  </si>
  <si>
    <t>0057056004</t>
  </si>
  <si>
    <t>PT MECH TRACTION BSC</t>
  </si>
  <si>
    <t>MECH TRACTN BSC</t>
  </si>
  <si>
    <t>0057056566</t>
  </si>
  <si>
    <t>PT GAIT/STR TRN EA 15</t>
  </si>
  <si>
    <t>GAIT/STR TRN 15</t>
  </si>
  <si>
    <t>0057056582</t>
  </si>
  <si>
    <t>PT GAIT/STR TRN EA15 #2</t>
  </si>
  <si>
    <t>GAIT/STR TRN #2</t>
  </si>
  <si>
    <t>0057056640</t>
  </si>
  <si>
    <t>PT WHLCHR TRN EA 15</t>
  </si>
  <si>
    <t>WHLCHR TRN EA15</t>
  </si>
  <si>
    <t>0057071110</t>
  </si>
  <si>
    <t>PT THERAPEUTC EXER 15M-TELEMED</t>
  </si>
  <si>
    <t>PT THERAPEUTC E</t>
  </si>
  <si>
    <t>0057071136</t>
  </si>
  <si>
    <t>PT NEUROMUSC RE-ED 15M-TELEMED</t>
  </si>
  <si>
    <t>PT NEUROMUSC RE</t>
  </si>
  <si>
    <t>0057071177</t>
  </si>
  <si>
    <t>PT GAIT/STAIR TRN 15M-TELEMED</t>
  </si>
  <si>
    <t>PT GAIT/STAIR T</t>
  </si>
  <si>
    <t>0057071615</t>
  </si>
  <si>
    <t>PT EVAL LOW COMPLX 20M-TELEMED</t>
  </si>
  <si>
    <t>PT EVAL LOW COM</t>
  </si>
  <si>
    <t>0057071623</t>
  </si>
  <si>
    <t>PT EVAL MOD COMPLX 30M-TELEMED</t>
  </si>
  <si>
    <t>PT EVAL MOD COM</t>
  </si>
  <si>
    <t>0057071649</t>
  </si>
  <si>
    <t>PT RE-EVAL EST POC 20M-TELEMED</t>
  </si>
  <si>
    <t>PT RE-EVAL EST</t>
  </si>
  <si>
    <t>0057075301</t>
  </si>
  <si>
    <t>PT THERAPEUTC ACT 15M-TELEMED</t>
  </si>
  <si>
    <t>PT THERAPEUTC A</t>
  </si>
  <si>
    <t>0057075442</t>
  </si>
  <si>
    <t>PT WHEELCHAIR TRN 15M-TELEMED</t>
  </si>
  <si>
    <t>PT WHEELCHAIR T</t>
  </si>
  <si>
    <t>0057077570</t>
  </si>
  <si>
    <t>PT ORTHO MGMT/TRN 15M-TELEMED</t>
  </si>
  <si>
    <t>PT ORTHO MGMT/T</t>
  </si>
  <si>
    <t>0057077604</t>
  </si>
  <si>
    <t>PT ORTHO MGMT INIT EA 15MIN</t>
  </si>
  <si>
    <t>PT ORTH MGMT IN</t>
  </si>
  <si>
    <t>0058000126</t>
  </si>
  <si>
    <t>OTA MANUAL THERAPY EA 15M</t>
  </si>
  <si>
    <t>OTA MANUAL THER</t>
  </si>
  <si>
    <t>0058000175</t>
  </si>
  <si>
    <t>OTA PARAFFIN BATH BSC</t>
  </si>
  <si>
    <t>OTA PARAFN BATH</t>
  </si>
  <si>
    <t>0058000241</t>
  </si>
  <si>
    <t>OTA CONT BATH EA 15 BSC</t>
  </si>
  <si>
    <t>OTA CONT BATH 1</t>
  </si>
  <si>
    <t>0058000258</t>
  </si>
  <si>
    <t>OTA US EA 15 BASIC</t>
  </si>
  <si>
    <t>OTA US 15 BSC</t>
  </si>
  <si>
    <t>0058000266</t>
  </si>
  <si>
    <t>OTA THERAPTC EXER EA 15</t>
  </si>
  <si>
    <t>OTA THER EXER 1</t>
  </si>
  <si>
    <t>0058000274</t>
  </si>
  <si>
    <t>OTA THERAPTC EXER EA15 #2</t>
  </si>
  <si>
    <t>OTA THER EX 15#</t>
  </si>
  <si>
    <t>0058000282</t>
  </si>
  <si>
    <t>OTA NEUROMUSC RE-EDUC EA1</t>
  </si>
  <si>
    <t>OTA NEUROM RE-E</t>
  </si>
  <si>
    <t>0058000290</t>
  </si>
  <si>
    <t>OTA NEUROMUSC REEDUC 15 #2</t>
  </si>
  <si>
    <t>OTA NEUROM REED</t>
  </si>
  <si>
    <t>0058000324</t>
  </si>
  <si>
    <t>OTA THERAPTC MASSGE EA15</t>
  </si>
  <si>
    <t>OTA THERAPTC MS</t>
  </si>
  <si>
    <t>0058000340</t>
  </si>
  <si>
    <t>OTA THERAPTC ACT EA 15</t>
  </si>
  <si>
    <t>OTA THERAP ACT</t>
  </si>
  <si>
    <t>0058000357</t>
  </si>
  <si>
    <t>OTA THERAPTC ACT EA 15 #2</t>
  </si>
  <si>
    <t>0058000365</t>
  </si>
  <si>
    <t>OTA SLF CARE HM MGMT EA15</t>
  </si>
  <si>
    <t>OTA SLF CR/HM E</t>
  </si>
  <si>
    <t>0058000373</t>
  </si>
  <si>
    <t>OTA SLF CARE HM MGMT 15#2</t>
  </si>
  <si>
    <t>OTA SLF CR/HM 1</t>
  </si>
  <si>
    <t>0058000381</t>
  </si>
  <si>
    <t>OTA COMM/WK REINT TRNG 15</t>
  </si>
  <si>
    <t>OTA COMM/WK REI</t>
  </si>
  <si>
    <t>0058000407</t>
  </si>
  <si>
    <t>OTA GROUP THRAPY PROCED INTERM</t>
  </si>
  <si>
    <t>OTA GROUP THRAP</t>
  </si>
  <si>
    <t>0058017500</t>
  </si>
  <si>
    <t>OTA GRP THERAPY PROC CMPLX</t>
  </si>
  <si>
    <t>OTA GRP THRAPY</t>
  </si>
  <si>
    <t>0058018003</t>
  </si>
  <si>
    <t>OT EVAL INIT 30 MIN MCAL</t>
  </si>
  <si>
    <t>OT EVAL INIT30M</t>
  </si>
  <si>
    <t>0058018029</t>
  </si>
  <si>
    <t>OT EVAL ADDL 15 MIN MCAL</t>
  </si>
  <si>
    <t>OT EVAL ADDL15M</t>
  </si>
  <si>
    <t>0058018045</t>
  </si>
  <si>
    <t>OT TX INIT 30 MIN MCAL</t>
  </si>
  <si>
    <t>OT TX INIT30MIN</t>
  </si>
  <si>
    <t>0058018102</t>
  </si>
  <si>
    <t>OT TX EA ADDL 15MIN MCAL</t>
  </si>
  <si>
    <t>OT TX ADDL15MIN</t>
  </si>
  <si>
    <t>0058032194</t>
  </si>
  <si>
    <t>OT GROUP THERAPY PROCED CMPLX</t>
  </si>
  <si>
    <t>OT GROUP THERAP</t>
  </si>
  <si>
    <t>0058032202</t>
  </si>
  <si>
    <t>OT GROUP THERAPY PROCED EXTNSV</t>
  </si>
  <si>
    <t>0058038084</t>
  </si>
  <si>
    <t>WHFO CUSTOM FABRICATED</t>
  </si>
  <si>
    <t>WHFO CUSTM FAB</t>
  </si>
  <si>
    <t>0058039066</t>
  </si>
  <si>
    <t>WHO CUST FAB FIT &amp; ADJ</t>
  </si>
  <si>
    <t>WHO CUST FAB</t>
  </si>
  <si>
    <t>0058051806</t>
  </si>
  <si>
    <t>OT MANUAL THERAPY EA 15M</t>
  </si>
  <si>
    <t>0058052010</t>
  </si>
  <si>
    <t>OT EVAL LOW COMP</t>
  </si>
  <si>
    <t>OT EVAL LOW</t>
  </si>
  <si>
    <t>0058052036</t>
  </si>
  <si>
    <t>OT EVAL MOD COMP</t>
  </si>
  <si>
    <t>OT EVAL MOD</t>
  </si>
  <si>
    <t>0058052051</t>
  </si>
  <si>
    <t>OT EVAL HIGH COMP</t>
  </si>
  <si>
    <t>OT EVAL HIGH</t>
  </si>
  <si>
    <t>0058052218</t>
  </si>
  <si>
    <t>OT RE-EVAL</t>
  </si>
  <si>
    <t>0058052481</t>
  </si>
  <si>
    <t>OT PARAFFIN BATH BSC</t>
  </si>
  <si>
    <t>PARAFN BATH BSC</t>
  </si>
  <si>
    <t>0058052788</t>
  </si>
  <si>
    <t>OT CONT BATH EA 15 BSC</t>
  </si>
  <si>
    <t>CONT BATH 15BSC</t>
  </si>
  <si>
    <t>0058052846</t>
  </si>
  <si>
    <t>OT US EA 15 BASIC</t>
  </si>
  <si>
    <t>OT US 15 BSC</t>
  </si>
  <si>
    <t>0058052960</t>
  </si>
  <si>
    <t>OT THERAPTC EXER EA 15</t>
  </si>
  <si>
    <t>OT THER EXER 15</t>
  </si>
  <si>
    <t>0058052986</t>
  </si>
  <si>
    <t>OT THERAPTC EXER EA15 #2</t>
  </si>
  <si>
    <t>OT THER EX 15#2</t>
  </si>
  <si>
    <t>0058053000</t>
  </si>
  <si>
    <t>OT NEUROMUSC RE-EDUC EA15</t>
  </si>
  <si>
    <t>NEUROM RE-ED 15</t>
  </si>
  <si>
    <t>0058053026</t>
  </si>
  <si>
    <t>OT NEUROMUSC REEDUC 15 #2</t>
  </si>
  <si>
    <t>NEUROM REED15#2</t>
  </si>
  <si>
    <t>0058053083</t>
  </si>
  <si>
    <t>OT THERAPTC MASSGE EA15</t>
  </si>
  <si>
    <t>THERAPTC MSG 15</t>
  </si>
  <si>
    <t>0058053125</t>
  </si>
  <si>
    <t>OT THERAPTC ACT EA 15</t>
  </si>
  <si>
    <t>THERAP ACT EA15</t>
  </si>
  <si>
    <t>0058053141</t>
  </si>
  <si>
    <t>OT THERAPTC ACT EA 15 #2</t>
  </si>
  <si>
    <t>THERAP ACT 15#2</t>
  </si>
  <si>
    <t>0058053166</t>
  </si>
  <si>
    <t>OT SLF CARE HM MGMT EA15</t>
  </si>
  <si>
    <t>SLF CR/HM EA 15</t>
  </si>
  <si>
    <t>0058053182</t>
  </si>
  <si>
    <t>OT SLF CARE HM MGMT 15#2</t>
  </si>
  <si>
    <t>SLF CR/HM 15 #2</t>
  </si>
  <si>
    <t>0058053208</t>
  </si>
  <si>
    <t>OT COMM/WK REINT TRNG 15</t>
  </si>
  <si>
    <t>0058053711</t>
  </si>
  <si>
    <t>OT GROUP THERAPY PROCED INTERM</t>
  </si>
  <si>
    <t>0058071101</t>
  </si>
  <si>
    <t>OT THERAPEUTC EXER 15M-TELEMED</t>
  </si>
  <si>
    <t>OT THERAPEUTC E</t>
  </si>
  <si>
    <t>0058071127</t>
  </si>
  <si>
    <t>OT NEUROMUSC RE-ED 15M-TELEMED</t>
  </si>
  <si>
    <t>OT NEUROMUSC RE</t>
  </si>
  <si>
    <t>0058071515</t>
  </si>
  <si>
    <t>OTA GRP THERAPY PROC EXTNSV</t>
  </si>
  <si>
    <t>0058071655</t>
  </si>
  <si>
    <t>OT EVAL LOW COMPLX 20M-TELEMED</t>
  </si>
  <si>
    <t>OT EVAL LOW COM</t>
  </si>
  <si>
    <t>0058071663</t>
  </si>
  <si>
    <t>OT EVAL MOD COMPLX 30M-TELEMED</t>
  </si>
  <si>
    <t>OT EVAL MOD COM</t>
  </si>
  <si>
    <t>0058071689</t>
  </si>
  <si>
    <t>OT RE-EVAL EST POC 20M-TELEMED</t>
  </si>
  <si>
    <t>OT RE-EVAL EST</t>
  </si>
  <si>
    <t>0058075300</t>
  </si>
  <si>
    <t>OT THERAPEUTC ACT 15M-TELEMED</t>
  </si>
  <si>
    <t>OT THERAPEUTC A</t>
  </si>
  <si>
    <t>0058075334</t>
  </si>
  <si>
    <t>OT SLF CR/HM MGMT 15M-TELEMED</t>
  </si>
  <si>
    <t>OT SLF CR/HM MG</t>
  </si>
  <si>
    <t>0058077561</t>
  </si>
  <si>
    <t>OT ORTHO MGMT/TRN 15M-TELEMED</t>
  </si>
  <si>
    <t>OT ORTHO MGMT/T</t>
  </si>
  <si>
    <t>0058077603</t>
  </si>
  <si>
    <t>OT ORTHO MGMT INIT EA 15MIN</t>
  </si>
  <si>
    <t>OT ORTH MGMT IN</t>
  </si>
  <si>
    <t>0059005272</t>
  </si>
  <si>
    <t>SP EVAL LNG COM W/EXP INTERM</t>
  </si>
  <si>
    <t>SP EVAL LNG COM</t>
  </si>
  <si>
    <t>0059005280</t>
  </si>
  <si>
    <t>SP EVAL LNG COM W/EXP COMPLEX</t>
  </si>
  <si>
    <t>0059005306</t>
  </si>
  <si>
    <t>SP EVAL BEH QUAL A W/RS INTERM</t>
  </si>
  <si>
    <t>SP EVAL BEH QUA</t>
  </si>
  <si>
    <t>0059010074</t>
  </si>
  <si>
    <t>SPEECH/LANG TX BASIC</t>
  </si>
  <si>
    <t>TX SP/LANG BSC</t>
  </si>
  <si>
    <t>0059010082</t>
  </si>
  <si>
    <t>SPEECH/LANG TX INTER</t>
  </si>
  <si>
    <t>TX SP/LANG INT</t>
  </si>
  <si>
    <t>0059010090</t>
  </si>
  <si>
    <t>SPEECH/LANG TX CMPLX</t>
  </si>
  <si>
    <t>TX SP/LANG CMPL</t>
  </si>
  <si>
    <t>0059010132</t>
  </si>
  <si>
    <t>SPEECH/LANG TX GRP BASIC</t>
  </si>
  <si>
    <t>TX SPCH GRP BSC</t>
  </si>
  <si>
    <t>0059010140</t>
  </si>
  <si>
    <t>SPEECH/LANG TX GRP INTER</t>
  </si>
  <si>
    <t>TX SPCH GRP INT</t>
  </si>
  <si>
    <t>0059010157</t>
  </si>
  <si>
    <t>SPEECH/LANG TX GRP COMPLEX</t>
  </si>
  <si>
    <t>TX SPCH GRP CMP</t>
  </si>
  <si>
    <t>0059010900</t>
  </si>
  <si>
    <t>SP SWAL/ORAL TX BASIC</t>
  </si>
  <si>
    <t>SWALLW TX BASIC</t>
  </si>
  <si>
    <t>0059010926</t>
  </si>
  <si>
    <t>SP SWAL/ORAL TX INTERM</t>
  </si>
  <si>
    <t>SWALLW TX INTER</t>
  </si>
  <si>
    <t>0059010942</t>
  </si>
  <si>
    <t>SP SWAL/ORAL TX COMPLEX</t>
  </si>
  <si>
    <t>SWALLW TX CMPLX</t>
  </si>
  <si>
    <t>0059025049</t>
  </si>
  <si>
    <t>SP/LANG/VOICE/COMM-TELEMED</t>
  </si>
  <si>
    <t>SP/LANG/VOICE/C</t>
  </si>
  <si>
    <t>0059025148</t>
  </si>
  <si>
    <t>SP SND PROD+LNG+COM-TELEMED</t>
  </si>
  <si>
    <t>SP SND PROD+LNG</t>
  </si>
  <si>
    <t>0059025221</t>
  </si>
  <si>
    <t>SP EVAL SOUND PROD BASIC</t>
  </si>
  <si>
    <t>SP EVAL SOUND P</t>
  </si>
  <si>
    <t>0059025239</t>
  </si>
  <si>
    <t>SP EVAL LNG COM W/EXP BASIC</t>
  </si>
  <si>
    <t>EVAL LNG COM W/</t>
  </si>
  <si>
    <t>0059025247</t>
  </si>
  <si>
    <t>SP EVAL BEH QUAL A V/RS BASIC</t>
  </si>
  <si>
    <t>0059026104</t>
  </si>
  <si>
    <t>SP SWAL EVAL ORAL PHARYN BASIC</t>
  </si>
  <si>
    <t>EVAL ORL/PHARYN</t>
  </si>
  <si>
    <t>0059026112</t>
  </si>
  <si>
    <t>SP EVAL CINE VIDEO</t>
  </si>
  <si>
    <t>EVAL CINE VIDEO</t>
  </si>
  <si>
    <t>0059026179</t>
  </si>
  <si>
    <t>SP SWAL EVAL ORAL PHARYN INTRM</t>
  </si>
  <si>
    <t>EVAL ORAL/PHARY</t>
  </si>
  <si>
    <t>0059026187</t>
  </si>
  <si>
    <t>SP SWAL EVAL ORAL PHARYN COMP</t>
  </si>
  <si>
    <t>EVAL ORAL/PHAR</t>
  </si>
  <si>
    <t>0059026336</t>
  </si>
  <si>
    <t>SP EVAL CINE VIDEO INTERM</t>
  </si>
  <si>
    <t>SP EVAL CINE VI</t>
  </si>
  <si>
    <t>0059026351</t>
  </si>
  <si>
    <t>SP EVAL CINE VIDEO CMPLX</t>
  </si>
  <si>
    <t>0059043000</t>
  </si>
  <si>
    <t>LANGUAGE EVAL M/CAL</t>
  </si>
  <si>
    <t>LANG EVAL</t>
  </si>
  <si>
    <t>0059043018</t>
  </si>
  <si>
    <t>SPEECH EVAL M/CAL</t>
  </si>
  <si>
    <t>SPEECH EVAL</t>
  </si>
  <si>
    <t>0059043034</t>
  </si>
  <si>
    <t>SP/LANG TX PER HR M/CAL</t>
  </si>
  <si>
    <t>SP/LANG TX</t>
  </si>
  <si>
    <t>0061000089</t>
  </si>
  <si>
    <t>INFLUENZA VACC ADMIN</t>
  </si>
  <si>
    <t>FLU VACCINE ADM</t>
  </si>
  <si>
    <t>0061000105</t>
  </si>
  <si>
    <t>HEPATITIS B VACC ADMIN</t>
  </si>
  <si>
    <t>HEP B VACC ADM</t>
  </si>
  <si>
    <t>0061000113</t>
  </si>
  <si>
    <t>IV INF TOCILIZU COV19 1ST DOSE</t>
  </si>
  <si>
    <t>IV TOCILIZU COV</t>
  </si>
  <si>
    <t>0061000121</t>
  </si>
  <si>
    <t>IV INF TOCILIZU COV19 2ND DOSE</t>
  </si>
  <si>
    <t>0061004008</t>
  </si>
  <si>
    <t>SURG PROC LEVEL I</t>
  </si>
  <si>
    <t>SURG LVL I</t>
  </si>
  <si>
    <t>0061004024</t>
  </si>
  <si>
    <t>SURG PROC LEVEL II</t>
  </si>
  <si>
    <t>SURG LVL II</t>
  </si>
  <si>
    <t>0061004040</t>
  </si>
  <si>
    <t>SURG PROC LEVEL III</t>
  </si>
  <si>
    <t>SURG LVLIII</t>
  </si>
  <si>
    <t>0061004958</t>
  </si>
  <si>
    <t>ER VISIT LVL 0</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</si>
  <si>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</si>
  <si>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</si>
  <si>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</si>
  <si>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</si>
  <si>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</si>
  <si>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</si>
  <si>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</si>
  <si>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</si>
  <si>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</si>
  <si>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</si>
  <si>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</si>
  <si>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</si>
  <si>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</si>
  <si>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</si>
  <si>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</si>
  <si>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</si>
  <si>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</si>
  <si>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0061005724</t>
  </si>
  <si>
    <t>ER BLOOD ALCOHOL COLLECT</t>
  </si>
  <si>
    <t>ER BLD ALCH COL</t>
  </si>
  <si>
    <t>0061006102</t>
  </si>
  <si>
    <t>TRANSCUTANEOUS PACING</t>
  </si>
  <si>
    <t>TRANSCUTN PACNG</t>
  </si>
  <si>
    <t>0061007605</t>
  </si>
  <si>
    <t>0061007613</t>
  </si>
  <si>
    <t>IV INF HYD EA ADD HR</t>
  </si>
  <si>
    <t>IV HYD ADD HR</t>
  </si>
  <si>
    <t>0061007654</t>
  </si>
  <si>
    <t>0061007662</t>
  </si>
  <si>
    <t>0061007670</t>
  </si>
  <si>
    <t>IV INF SEQUENTL 1 HR</t>
  </si>
  <si>
    <t>IV SEQUENTL 1HR</t>
  </si>
  <si>
    <t>0061007688</t>
  </si>
  <si>
    <t>IV INF CONCURRENT</t>
  </si>
  <si>
    <t>IV CONCURRENT</t>
  </si>
  <si>
    <t>0061007746</t>
  </si>
  <si>
    <t>0061007753</t>
  </si>
  <si>
    <t>0061007761</t>
  </si>
  <si>
    <t>INJ T/P/D IVP SAME SUBST</t>
  </si>
  <si>
    <t>TX/PRO/DX IVP S</t>
  </si>
  <si>
    <t>0061021200</t>
  </si>
  <si>
    <t>0061029609</t>
  </si>
  <si>
    <t>CARDIOVERSION ELEC/SCHED</t>
  </si>
  <si>
    <t>CARDIO ELEC/SCH</t>
  </si>
  <si>
    <t>0061029617</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</si>
  <si>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</si>
  <si>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</si>
  <si>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</si>
  <si>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</si>
  <si>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</si>
  <si>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</si>
  <si>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</si>
  <si>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</si>
  <si>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</si>
  <si>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</si>
  <si>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</si>
  <si>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</si>
  <si>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0061091518</t>
  </si>
  <si>
    <t>MOD SED SAME&lt;5YRS INIT15</t>
  </si>
  <si>
    <t>0061091526</t>
  </si>
  <si>
    <t>0061091534</t>
  </si>
  <si>
    <t>0061091559</t>
  </si>
  <si>
    <t>MOD SED OTH&lt;5YRS INIT15</t>
  </si>
  <si>
    <t>0061091567</t>
  </si>
  <si>
    <t>MOD SED OTH&gt;5YRS INIT15</t>
  </si>
  <si>
    <t>0061091575</t>
  </si>
  <si>
    <t>MOD SED OTH EA ADD15</t>
  </si>
  <si>
    <t>0061091955</t>
  </si>
  <si>
    <t>PHLEBOTOMY THERAPEUTIC</t>
  </si>
  <si>
    <t>PHLEBOTOMY</t>
  </si>
  <si>
    <t>0062404066</t>
  </si>
  <si>
    <t>OBS 200 ICU 1/HR</t>
  </si>
  <si>
    <t>OBS 200IC 1/HR</t>
  </si>
  <si>
    <t>0062405105</t>
  </si>
  <si>
    <t>OBS 205 CIC 1/HR</t>
  </si>
  <si>
    <t>OBS 205CI 1/HR</t>
  </si>
  <si>
    <t>0062406160</t>
  </si>
  <si>
    <t>OBS 232 M/S 1/HR</t>
  </si>
  <si>
    <t>OBS 232MS 1/HR</t>
  </si>
  <si>
    <t>0062406368</t>
  </si>
  <si>
    <t>OBS 235 M/S 1/HR</t>
  </si>
  <si>
    <t>OBS 235MS 1/HR</t>
  </si>
  <si>
    <t>0062406525</t>
  </si>
  <si>
    <t>OBS 215 DOU 1/HR</t>
  </si>
  <si>
    <t>OBS 215DO 1/HR</t>
  </si>
  <si>
    <t>0062406541</t>
  </si>
  <si>
    <t>OBS 215 DOU DIR ADM</t>
  </si>
  <si>
    <t>OBS 215DO D AD</t>
  </si>
  <si>
    <t>0062406566</t>
  </si>
  <si>
    <t>OBS 216 SDU 1/HR</t>
  </si>
  <si>
    <t>OBS 216SD 1/HR</t>
  </si>
  <si>
    <t>0062406582</t>
  </si>
  <si>
    <t>OBS 216 SDU DIR ADM</t>
  </si>
  <si>
    <t>OBS 216SD D AD</t>
  </si>
  <si>
    <t>0062406608</t>
  </si>
  <si>
    <t>OBS 217 SDU 1/HR</t>
  </si>
  <si>
    <t>OBS 217SD 1/HR</t>
  </si>
  <si>
    <t>0062406624</t>
  </si>
  <si>
    <t>OBS 217 SDU DIR ADM</t>
  </si>
  <si>
    <t>OBS 217SD D AD</t>
  </si>
  <si>
    <t>0062406640</t>
  </si>
  <si>
    <t>OBS 218 SDU 1/HR</t>
  </si>
  <si>
    <t>OBS 218SD 1/HR</t>
  </si>
  <si>
    <t>0062406665</t>
  </si>
  <si>
    <t>OBS 218 SDU DIR ADM</t>
  </si>
  <si>
    <t>OBS 218SD D AD</t>
  </si>
  <si>
    <t>0062416169</t>
  </si>
  <si>
    <t>OBS 232 M/S DIR ADM</t>
  </si>
  <si>
    <t>OBS 232MS D AD</t>
  </si>
  <si>
    <t>0062416367</t>
  </si>
  <si>
    <t>OBS 235 M/S DIR ADM</t>
  </si>
  <si>
    <t>OBS 235MS D AD</t>
  </si>
  <si>
    <t>0062418207</t>
  </si>
  <si>
    <t>OBS 212 IP HOLD 1/HR</t>
  </si>
  <si>
    <t>OBS 212IPH 1/HR</t>
  </si>
  <si>
    <t>0062900089</t>
  </si>
  <si>
    <t>0062900097</t>
  </si>
  <si>
    <t>PNEUMOCOCCAL VACC ADMIN</t>
  </si>
  <si>
    <t>PNEUM VACC ADM</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</si>
  <si>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</si>
  <si>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</si>
  <si>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</si>
  <si>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</si>
  <si>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</si>
  <si>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</si>
  <si>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</si>
  <si>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</si>
  <si>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</si>
  <si>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</si>
  <si>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</si>
  <si>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</si>
  <si>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</si>
  <si>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</si>
  <si>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</si>
  <si>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</si>
  <si>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</si>
  <si>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</si>
  <si>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</si>
  <si>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</si>
  <si>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</si>
  <si>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0062900196</t>
  </si>
  <si>
    <t>0062903653</t>
  </si>
  <si>
    <t>THERAPEUTIC APHERESIS</t>
  </si>
  <si>
    <t>THERPTC APHERES</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</si>
  <si>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</si>
  <si>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</si>
  <si>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</si>
  <si>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</si>
  <si>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</si>
  <si>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</si>
  <si>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</si>
  <si>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</si>
  <si>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</si>
  <si>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</si>
  <si>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</si>
  <si>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</si>
  <si>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</si>
  <si>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</si>
  <si>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</si>
  <si>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</si>
  <si>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</si>
  <si>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</si>
  <si>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0062964135</t>
  </si>
  <si>
    <t>CHEMO IV &lt;=1H INIT</t>
  </si>
  <si>
    <t>CHEMO IV 1H INT</t>
  </si>
  <si>
    <t>0062964150</t>
  </si>
  <si>
    <t>CHEMO INF EA ADD HR</t>
  </si>
  <si>
    <t>CHEMO INF ADD H</t>
  </si>
  <si>
    <t>0062965108</t>
  </si>
  <si>
    <t>0062999990</t>
  </si>
  <si>
    <t>BLOOD ADMINSTRATION OE</t>
  </si>
  <si>
    <t>0070023254</t>
  </si>
  <si>
    <t>ANTI-NEUTRPHL CYTOPLASM</t>
  </si>
  <si>
    <t>ANCA</t>
  </si>
  <si>
    <t>0070026133</t>
  </si>
  <si>
    <t>CYCLOSPORINE</t>
  </si>
  <si>
    <t>0070038831</t>
  </si>
  <si>
    <t>IA TUMOR AG NES QUAN/3</t>
  </si>
  <si>
    <t>IA TUMOR NES QN</t>
  </si>
  <si>
    <t>0070060595</t>
  </si>
  <si>
    <t>ANTI-NEUTRPHL CYTOPLASM/2</t>
  </si>
  <si>
    <t>ANCA/2</t>
  </si>
  <si>
    <t>0070063797</t>
  </si>
  <si>
    <t>SMOOTH MUSCLE AB</t>
  </si>
  <si>
    <t>SM MUSCLE AB</t>
  </si>
  <si>
    <t>0070071014</t>
  </si>
  <si>
    <t>C FUNGI SKIN HAIR NAIL</t>
  </si>
  <si>
    <t>C FUNGUS</t>
  </si>
  <si>
    <t>0070074810</t>
  </si>
  <si>
    <t>CANDIDA AMP PRB</t>
  </si>
  <si>
    <t>0070087077</t>
  </si>
  <si>
    <t>0070203484</t>
  </si>
  <si>
    <t>TACROLIMUS</t>
  </si>
  <si>
    <t>0070226139</t>
  </si>
  <si>
    <t>0070237250</t>
  </si>
  <si>
    <t>0070238605</t>
  </si>
  <si>
    <t>METHOTREXATE</t>
  </si>
  <si>
    <t>0070280011</t>
  </si>
  <si>
    <t>CNSLT/RPT REFRD MATERIAL</t>
  </si>
  <si>
    <t>CNSL/RPT REF MA</t>
  </si>
  <si>
    <t>0070280029</t>
  </si>
  <si>
    <t>TUMOR IMM PER SPEC MAN</t>
  </si>
  <si>
    <t>AB STN MANUAL</t>
  </si>
  <si>
    <t>0070283056</t>
  </si>
  <si>
    <t>0070283171</t>
  </si>
  <si>
    <t>HISTOCHEM STN W/FRZ SECT</t>
  </si>
  <si>
    <t>HISTO STN W/FRZ</t>
  </si>
  <si>
    <t>0070283213</t>
  </si>
  <si>
    <t>0070283304</t>
  </si>
  <si>
    <t>SPEC STAINS GROUP I</t>
  </si>
  <si>
    <t>SPEC STN GRP I</t>
  </si>
  <si>
    <t>0070283338</t>
  </si>
  <si>
    <t>SPEC STAINS GROUP II</t>
  </si>
  <si>
    <t>SPEC STN GRP II</t>
  </si>
  <si>
    <t>0070283403</t>
  </si>
  <si>
    <t>0070283577</t>
  </si>
  <si>
    <t>IMMUNOCYTO EA ADD AB STN</t>
  </si>
  <si>
    <t>IMM EA ADD AB</t>
  </si>
  <si>
    <t>0070283726</t>
  </si>
  <si>
    <t>IN SITU EA PRB PER SPEC</t>
  </si>
  <si>
    <t>INSITU 1ST PRB</t>
  </si>
  <si>
    <t>0070288329</t>
  </si>
  <si>
    <t>COMPR REV MATERIAL</t>
  </si>
  <si>
    <t>COMP REV/RPT</t>
  </si>
  <si>
    <t>0070470760</t>
  </si>
  <si>
    <t>CULTURE ANAEROBIC DEF ID</t>
  </si>
  <si>
    <t>CULT ANAEROBIC</t>
  </si>
  <si>
    <t>0070471065</t>
  </si>
  <si>
    <t>0070471859</t>
  </si>
  <si>
    <t>SUSCEPTIBLTY STUDY MIC</t>
  </si>
  <si>
    <t>0070471867</t>
  </si>
  <si>
    <t>SUSCEPTIBLTY STUDY MIC/2</t>
  </si>
  <si>
    <t>0070471883</t>
  </si>
  <si>
    <t>0070471891</t>
  </si>
  <si>
    <t>SUSCEPTIBLTY STUDY MIC/4</t>
  </si>
  <si>
    <t>0070478110</t>
  </si>
  <si>
    <t>0070487079</t>
  </si>
  <si>
    <t>0070500046</t>
  </si>
  <si>
    <t>0070500053</t>
  </si>
  <si>
    <t>0070503487</t>
  </si>
  <si>
    <t>0070526132</t>
  </si>
  <si>
    <t>0070539309</t>
  </si>
  <si>
    <t>0070539358</t>
  </si>
  <si>
    <t>0070583158</t>
  </si>
  <si>
    <t>0070583190</t>
  </si>
  <si>
    <t>SPECIAL STAIN ID ENZYM</t>
  </si>
  <si>
    <t>SPECIAL STAIN C</t>
  </si>
  <si>
    <t>0070583331</t>
  </si>
  <si>
    <t>0070583422</t>
  </si>
  <si>
    <t>0070583612</t>
  </si>
  <si>
    <t>0070583760</t>
  </si>
  <si>
    <t>0070584040</t>
  </si>
  <si>
    <t>0070800123</t>
  </si>
  <si>
    <t>COVID 19 CDC</t>
  </si>
  <si>
    <t>0070955778</t>
  </si>
  <si>
    <t>0071060958</t>
  </si>
  <si>
    <t>0071200760</t>
  </si>
  <si>
    <t>FLOW CYTO ADD MARKER</t>
  </si>
  <si>
    <t>FLOW CYT ADD MA</t>
  </si>
  <si>
    <t>0071282362</t>
  </si>
  <si>
    <t>TISSUE CULT BONE MARROW</t>
  </si>
  <si>
    <t>TISS CULT F/BN</t>
  </si>
  <si>
    <t>0071283428</t>
  </si>
  <si>
    <t>0071283436</t>
  </si>
  <si>
    <t>0071283626</t>
  </si>
  <si>
    <t>TUMOR IMM PER SPEC COMPT</t>
  </si>
  <si>
    <t>AB STN COMT AST</t>
  </si>
  <si>
    <t>0071283642</t>
  </si>
  <si>
    <t>INSITU EA ADD SNGL PROBE</t>
  </si>
  <si>
    <t>INSITU AD PRB</t>
  </si>
  <si>
    <t>0071283659</t>
  </si>
  <si>
    <t>0071283741</t>
  </si>
  <si>
    <t>INSIT MLTIPLX STAIN CMPT</t>
  </si>
  <si>
    <t>MLTPLX STAIN EA</t>
  </si>
  <si>
    <t>0071283774</t>
  </si>
  <si>
    <t>EA MLTPLX STAIN MANUAL</t>
  </si>
  <si>
    <t>MLTPLX MANUAL</t>
  </si>
  <si>
    <t>0071300032</t>
  </si>
  <si>
    <t>0071383061</t>
  </si>
  <si>
    <t>0071383210</t>
  </si>
  <si>
    <t>0071383301</t>
  </si>
  <si>
    <t>0071383335</t>
  </si>
  <si>
    <t>0071383400</t>
  </si>
  <si>
    <t>0071383442</t>
  </si>
  <si>
    <t>IMMCYT MLTIPLEX AB STAIN</t>
  </si>
  <si>
    <t>EA MLTPLX STN</t>
  </si>
  <si>
    <t>0071383608</t>
  </si>
  <si>
    <t>0071383640</t>
  </si>
  <si>
    <t>0071383657</t>
  </si>
  <si>
    <t>0071383699</t>
  </si>
  <si>
    <t>0071683056</t>
  </si>
  <si>
    <t>SURGICAL PATH LEVEL IV/2</t>
  </si>
  <si>
    <t>0071683122</t>
  </si>
  <si>
    <t>0071683130</t>
  </si>
  <si>
    <t>0071683239</t>
  </si>
  <si>
    <t>0071683403</t>
  </si>
  <si>
    <t>0071683411</t>
  </si>
  <si>
    <t>0071683460</t>
  </si>
  <si>
    <t>IMMUNOFLOR 1ST AB PER SPEC/2</t>
  </si>
  <si>
    <t>0071683510</t>
  </si>
  <si>
    <t>IMMUNOFLR AB ADDL STAIN</t>
  </si>
  <si>
    <t>IMNFLR ADL STN</t>
  </si>
  <si>
    <t>0071683544</t>
  </si>
  <si>
    <t>0071683601</t>
  </si>
  <si>
    <t>0071683627</t>
  </si>
  <si>
    <t>0071683650</t>
  </si>
  <si>
    <t>0071688188</t>
  </si>
  <si>
    <t>0071688196</t>
  </si>
  <si>
    <t>0071688303</t>
  </si>
  <si>
    <t>0072500093</t>
  </si>
  <si>
    <t>FLOW CYTO CEL FIRST MRKR</t>
  </si>
  <si>
    <t>FLOW FRST MARKR</t>
  </si>
  <si>
    <t>0072500168</t>
  </si>
  <si>
    <t>LEVETIRACETAM</t>
  </si>
  <si>
    <t>0072500184</t>
  </si>
  <si>
    <t>NAT KILLER CELL TOT CNT</t>
  </si>
  <si>
    <t>NK CELLS T CNT</t>
  </si>
  <si>
    <t>0072500192</t>
  </si>
  <si>
    <t>MUSK ANTIBODY</t>
  </si>
  <si>
    <t>MUSK AB</t>
  </si>
  <si>
    <t>0072500234</t>
  </si>
  <si>
    <t>INFLIXIMAB</t>
  </si>
  <si>
    <t>0072500408</t>
  </si>
  <si>
    <t>LAMOTRIGINE QUANT</t>
  </si>
  <si>
    <t>LAMICTAL QUANT</t>
  </si>
  <si>
    <t>0072500432</t>
  </si>
  <si>
    <t>0072500457</t>
  </si>
  <si>
    <t>IA NFCT AB SARSCOV2 MULT</t>
  </si>
  <si>
    <t>IA AB SARSCOV2</t>
  </si>
  <si>
    <t>0072500473</t>
  </si>
  <si>
    <t>MAG ANTIBODY</t>
  </si>
  <si>
    <t>MAG AB</t>
  </si>
  <si>
    <t>0072500507</t>
  </si>
  <si>
    <t>HELMINTH AB NES</t>
  </si>
  <si>
    <t>0072500515</t>
  </si>
  <si>
    <t>IA NFCT AB SARSCOV2 MULT/2</t>
  </si>
  <si>
    <t>0072500523</t>
  </si>
  <si>
    <t>IA NFCT AB SARSCOV2 MULT/3</t>
  </si>
  <si>
    <t>0072500747</t>
  </si>
  <si>
    <t>ACUTE HEPATITIS PANEL</t>
  </si>
  <si>
    <t>ACUTE HEP PANEL</t>
  </si>
  <si>
    <t>0072500895</t>
  </si>
  <si>
    <t>FLECAINIDE</t>
  </si>
  <si>
    <t>0072500960</t>
  </si>
  <si>
    <t>PSA FREE/2</t>
  </si>
  <si>
    <t>0072501141</t>
  </si>
  <si>
    <t>0072501463</t>
  </si>
  <si>
    <t>JAK2 GENE TRGT SEQ ALYS</t>
  </si>
  <si>
    <t>JAK2 GENE SEQ A</t>
  </si>
  <si>
    <t>0072501471</t>
  </si>
  <si>
    <t>PSA TOTAL/3</t>
  </si>
  <si>
    <t>0072501596</t>
  </si>
  <si>
    <t>SEX HORMONE BIND GLOBULN/2</t>
  </si>
  <si>
    <t>SEX HRM BND GLB</t>
  </si>
  <si>
    <t>0072501604</t>
  </si>
  <si>
    <t>LIPID PANEL/2</t>
  </si>
  <si>
    <t>0072501737</t>
  </si>
  <si>
    <t>DPPX ANTIBODY</t>
  </si>
  <si>
    <t>DPPX AB</t>
  </si>
  <si>
    <t>0072501745</t>
  </si>
  <si>
    <t>GABA RECEPTOR ANTIBODY</t>
  </si>
  <si>
    <t>GABA RECEPTOR A</t>
  </si>
  <si>
    <t>0072501752</t>
  </si>
  <si>
    <t>AMPAR ANTIBODY</t>
  </si>
  <si>
    <t>AMPAR AB</t>
  </si>
  <si>
    <t>0072501828</t>
  </si>
  <si>
    <t>0072501901</t>
  </si>
  <si>
    <t>INTERLEUKIN</t>
  </si>
  <si>
    <t>0072502149</t>
  </si>
  <si>
    <t>FLUORESCNT SCRN EA AB/3</t>
  </si>
  <si>
    <t>FLUR AB SCRN EA</t>
  </si>
  <si>
    <t>0072502156</t>
  </si>
  <si>
    <t>FLUORESCNT SCRN EA AB/4</t>
  </si>
  <si>
    <t>0072502164</t>
  </si>
  <si>
    <t>FLUORESCNT SCRN EA AB/5</t>
  </si>
  <si>
    <t>0072502172</t>
  </si>
  <si>
    <t>FLUORESCNT SCRN EA AB/6</t>
  </si>
  <si>
    <t>0072502446</t>
  </si>
  <si>
    <t>INTERLEUKIN 6</t>
  </si>
  <si>
    <t>0072502503</t>
  </si>
  <si>
    <t>GABAPENTIN</t>
  </si>
  <si>
    <t>0072502545</t>
  </si>
  <si>
    <t>SIROLIMUS</t>
  </si>
  <si>
    <t>0072502842</t>
  </si>
  <si>
    <t>AMIODARONE</t>
  </si>
  <si>
    <t>0072502925</t>
  </si>
  <si>
    <t>ANTIEPILEPTIC NOS 1-3</t>
  </si>
  <si>
    <t>ANTIEPILEPTIC N</t>
  </si>
  <si>
    <t>0072503022</t>
  </si>
  <si>
    <t>DRUG TEST PRSMV CHEM ANLYZR/13</t>
  </si>
  <si>
    <t>0072503121</t>
  </si>
  <si>
    <t>0072503170</t>
  </si>
  <si>
    <t>OXCARBAZEPINE/2</t>
  </si>
  <si>
    <t>0072503204</t>
  </si>
  <si>
    <t>ALCOHOLS</t>
  </si>
  <si>
    <t>0072503311</t>
  </si>
  <si>
    <t>DRUG TEST PRSMV CHEM ANLYZR/27</t>
  </si>
  <si>
    <t>0072503477</t>
  </si>
  <si>
    <t>BENZODIAZEPINES 13+</t>
  </si>
  <si>
    <t>BENZODIAZEPINES</t>
  </si>
  <si>
    <t>0072503485</t>
  </si>
  <si>
    <t>TACROLIMUS/2</t>
  </si>
  <si>
    <t>0072503568</t>
  </si>
  <si>
    <t>HEROIN METABOLITE</t>
  </si>
  <si>
    <t>HEROIN METAB</t>
  </si>
  <si>
    <t>0072503592</t>
  </si>
  <si>
    <t>METHAMPHETAMINE QUANT</t>
  </si>
  <si>
    <t>METAMPHETAMINE</t>
  </si>
  <si>
    <t>0072503600</t>
  </si>
  <si>
    <t>ALCOHOL BIOMARKERS</t>
  </si>
  <si>
    <t>ALCOHOL BIOMARK</t>
  </si>
  <si>
    <t>0072503659</t>
  </si>
  <si>
    <t>OXYCODONE/METABOLITE</t>
  </si>
  <si>
    <t>OXYCODONE/METAB</t>
  </si>
  <si>
    <t>0072503998</t>
  </si>
  <si>
    <t>MOG AB</t>
  </si>
  <si>
    <t>0072504012</t>
  </si>
  <si>
    <t>LGI1 AB</t>
  </si>
  <si>
    <t>0072504038</t>
  </si>
  <si>
    <t>CASPR2 AB</t>
  </si>
  <si>
    <t>0072504087</t>
  </si>
  <si>
    <t>IA NFCT AB SARSCOV2 MULT/4</t>
  </si>
  <si>
    <t>NFCT AB SARSCOV</t>
  </si>
  <si>
    <t>0072504137</t>
  </si>
  <si>
    <t>NV ORTHOPOX VIR DNA AMP PROBE</t>
  </si>
  <si>
    <t>NV ORTHOPOX DNA</t>
  </si>
  <si>
    <t>0072505035</t>
  </si>
  <si>
    <t>DNER AB</t>
  </si>
  <si>
    <t>0072505043</t>
  </si>
  <si>
    <t>GAD65 AB</t>
  </si>
  <si>
    <t>0072505050</t>
  </si>
  <si>
    <t>ZIC4 AB</t>
  </si>
  <si>
    <t>0072505068</t>
  </si>
  <si>
    <t>MA2/TA AB</t>
  </si>
  <si>
    <t>0072505076</t>
  </si>
  <si>
    <t>MGLUR1 AB</t>
  </si>
  <si>
    <t>0072505084</t>
  </si>
  <si>
    <t>IGLON5 AB</t>
  </si>
  <si>
    <t>0072505167</t>
  </si>
  <si>
    <t>ACTIN SMOOTH MUSCLE AB</t>
  </si>
  <si>
    <t>ACTIN SM MUS AB</t>
  </si>
  <si>
    <t>0072505233</t>
  </si>
  <si>
    <t>HEPATITIS B SURFACE QUAL</t>
  </si>
  <si>
    <t>HEPATITIS B SUR</t>
  </si>
  <si>
    <t>0072512338</t>
  </si>
  <si>
    <t>CALR EXON 9 VARIANTS/2</t>
  </si>
  <si>
    <t>CALR EXON 9 VAR</t>
  </si>
  <si>
    <t>0072512601</t>
  </si>
  <si>
    <t>STRIATED AB SCR</t>
  </si>
  <si>
    <t>0072512932</t>
  </si>
  <si>
    <t>MLH1 FULL SEQUENCE ANLS</t>
  </si>
  <si>
    <t>MLH1 FULL SEQ</t>
  </si>
  <si>
    <t>0072512957</t>
  </si>
  <si>
    <t>MLH1 DUP/DEL VARIANTS</t>
  </si>
  <si>
    <t>MLH1 DUP/DEL</t>
  </si>
  <si>
    <t>0072512965</t>
  </si>
  <si>
    <t>MSH2 FULL SEQUENCE VAR</t>
  </si>
  <si>
    <t>MSH2 FULL SEQ</t>
  </si>
  <si>
    <t>0072512981</t>
  </si>
  <si>
    <t>MSH2 DUP/DEL VARIANTS</t>
  </si>
  <si>
    <t>MSH1 DUP/DEL</t>
  </si>
  <si>
    <t>0072512999</t>
  </si>
  <si>
    <t>MSH6 FULL SEQUENCE VAR</t>
  </si>
  <si>
    <t>MSH6 FULL SEQ</t>
  </si>
  <si>
    <t>0072513013</t>
  </si>
  <si>
    <t>MSH6 DUP/DEL VARIANTS</t>
  </si>
  <si>
    <t>MSH6 DUP/DEL</t>
  </si>
  <si>
    <t>0072513161</t>
  </si>
  <si>
    <t>PML/RARALPHA COM BRKPNTS</t>
  </si>
  <si>
    <t>PML/RAR BRKPNTS</t>
  </si>
  <si>
    <t>0072513187</t>
  </si>
  <si>
    <t>PMS2 FULL SEQUENCE ANLS</t>
  </si>
  <si>
    <t>PMS2 FULL SEQ</t>
  </si>
  <si>
    <t>0072513385</t>
  </si>
  <si>
    <t>HYDRXINDOL ACD5(HIAA)QT/3</t>
  </si>
  <si>
    <t>5HIAA QUANT/3</t>
  </si>
  <si>
    <t>0072513500</t>
  </si>
  <si>
    <t>UGT1A1 COMMON VARIANT</t>
  </si>
  <si>
    <t>UGT1A1 COM VAR</t>
  </si>
  <si>
    <t>0072513518</t>
  </si>
  <si>
    <t>MOLECULAR PATH LEVEL 4</t>
  </si>
  <si>
    <t>MOLEC PATH LV4</t>
  </si>
  <si>
    <t>0072513799</t>
  </si>
  <si>
    <t>HLA I COMPLETE HIGH</t>
  </si>
  <si>
    <t>HLA I COMPLETE</t>
  </si>
  <si>
    <t>0072514052</t>
  </si>
  <si>
    <t>MOLECULAR PATH LEVEL 6</t>
  </si>
  <si>
    <t>MOLEC PATH LV6</t>
  </si>
  <si>
    <t>0072514060</t>
  </si>
  <si>
    <t>MOLECULAR PATH LEVEL 7</t>
  </si>
  <si>
    <t>MOLEC PATH LV7</t>
  </si>
  <si>
    <t>0072514128</t>
  </si>
  <si>
    <t>MOLECULAR PATH LEVEL 3/2</t>
  </si>
  <si>
    <t>MOLEC PATH LV3/</t>
  </si>
  <si>
    <t>0072514508</t>
  </si>
  <si>
    <t>TARGT SEQ ANLYS 5-50</t>
  </si>
  <si>
    <t>GEN SEQ 5-50</t>
  </si>
  <si>
    <t>0072515968</t>
  </si>
  <si>
    <t>NFCT DS CHRNC HCV 6 ASSAYS</t>
  </si>
  <si>
    <t>NFCT CHRNC HCV</t>
  </si>
  <si>
    <t>0072520158</t>
  </si>
  <si>
    <t>ACETONE QUANTITATIVE/2</t>
  </si>
  <si>
    <t>ACETONE QUAN/2</t>
  </si>
  <si>
    <t>0072520240</t>
  </si>
  <si>
    <t>ACTH</t>
  </si>
  <si>
    <t>0072520281</t>
  </si>
  <si>
    <t>ADENOVIRUS AG DFA</t>
  </si>
  <si>
    <t>ADENOVIR AG DFA</t>
  </si>
  <si>
    <t>0072520372</t>
  </si>
  <si>
    <t>DRUGS NOS 7 OR MORE/2</t>
  </si>
  <si>
    <t>DRUGS NOS 7 OR</t>
  </si>
  <si>
    <t>0072520406</t>
  </si>
  <si>
    <t>0072520430</t>
  </si>
  <si>
    <t>MICRO ALBUMIN URINE QNT</t>
  </si>
  <si>
    <t>MICR ALBM UR QN</t>
  </si>
  <si>
    <t>0072520455</t>
  </si>
  <si>
    <t>ALBUMIN QUANT OTH SRC</t>
  </si>
  <si>
    <t>ALBUMIN QNT</t>
  </si>
  <si>
    <t>0072520471</t>
  </si>
  <si>
    <t>MICRO ALBUMIN URINE QNT/3</t>
  </si>
  <si>
    <t>0072520554</t>
  </si>
  <si>
    <t>ALCOHOLS/2</t>
  </si>
  <si>
    <t>0072520851</t>
  </si>
  <si>
    <t>ALDOLASE</t>
  </si>
  <si>
    <t>0072520877</t>
  </si>
  <si>
    <t>ALDOSTERONE</t>
  </si>
  <si>
    <t>0072520893</t>
  </si>
  <si>
    <t>ALDOSTERONE/2</t>
  </si>
  <si>
    <t>0072521040</t>
  </si>
  <si>
    <t>ANTITRYPSIN ALPHA PHENO</t>
  </si>
  <si>
    <t>ANTITRYPSN ALPH</t>
  </si>
  <si>
    <t>0072521107</t>
  </si>
  <si>
    <t>ALUMINUM</t>
  </si>
  <si>
    <t>0072521149</t>
  </si>
  <si>
    <t>0072521248</t>
  </si>
  <si>
    <t>0072521255</t>
  </si>
  <si>
    <t>ORGANIC ACID SNG QNT</t>
  </si>
  <si>
    <t>ORGNC ACD SDL Q</t>
  </si>
  <si>
    <t>0072521263</t>
  </si>
  <si>
    <t>0072521271</t>
  </si>
  <si>
    <t>AMIKAICN/3</t>
  </si>
  <si>
    <t>0072521388</t>
  </si>
  <si>
    <t>ANTIDPRSSNTS CYCLICAL 1-2/5</t>
  </si>
  <si>
    <t>ANTDPRSSNT CYCL</t>
  </si>
  <si>
    <t>0072521396</t>
  </si>
  <si>
    <t>AMINO ACIDS 2-5 QNT EA</t>
  </si>
  <si>
    <t>AMINO ACID 2-5</t>
  </si>
  <si>
    <t>0072521453</t>
  </si>
  <si>
    <t>AMPHETAMINE QUAN 1-2/2</t>
  </si>
  <si>
    <t>AMPHETAMINE QUA</t>
  </si>
  <si>
    <t>0072521503</t>
  </si>
  <si>
    <t>0072521529</t>
  </si>
  <si>
    <t>AMYLASE/3</t>
  </si>
  <si>
    <t>0072521537</t>
  </si>
  <si>
    <t>AMYLASE/4</t>
  </si>
  <si>
    <t>0072521644</t>
  </si>
  <si>
    <t>ANGIOTENSIN CONV ENZYME</t>
  </si>
  <si>
    <t>ANGIOTNSN CN EN</t>
  </si>
  <si>
    <t>0072521651</t>
  </si>
  <si>
    <t>ANGIOTENSIN CONV ENZYME/2</t>
  </si>
  <si>
    <t>0072521743</t>
  </si>
  <si>
    <t>APOLIPOPROTEIN/3</t>
  </si>
  <si>
    <t>APOLIPOPROTEIN/</t>
  </si>
  <si>
    <t>0072521750</t>
  </si>
  <si>
    <t>ARSENIC/3</t>
  </si>
  <si>
    <t>0072521768</t>
  </si>
  <si>
    <t>APOLIPOPROTEIN/4</t>
  </si>
  <si>
    <t>0072522055</t>
  </si>
  <si>
    <t>BARBITURATE/3</t>
  </si>
  <si>
    <t>0072522311</t>
  </si>
  <si>
    <t>BETA-2-MICROGLOBLN</t>
  </si>
  <si>
    <t>B-2-MICROGLOB</t>
  </si>
  <si>
    <t>0072522329</t>
  </si>
  <si>
    <t>BETA-2-MICROGLOBLN/2</t>
  </si>
  <si>
    <t>B-2-MICROGLOB/2</t>
  </si>
  <si>
    <t>0072522477</t>
  </si>
  <si>
    <t>BILIRUBIN TOTAL</t>
  </si>
  <si>
    <t>BILIRUBN TOTAL</t>
  </si>
  <si>
    <t>0072522501</t>
  </si>
  <si>
    <t>0072522808</t>
  </si>
  <si>
    <t>BRCA1&amp;2 GEN FULL SEQ DUP/DEL</t>
  </si>
  <si>
    <t>BRCA1&amp;2 GEN FUL</t>
  </si>
  <si>
    <t>0072523061</t>
  </si>
  <si>
    <t>0072523087</t>
  </si>
  <si>
    <t>CALCITONIN</t>
  </si>
  <si>
    <t>0072523095</t>
  </si>
  <si>
    <t>0072523103</t>
  </si>
  <si>
    <t>CALCIUM/2</t>
  </si>
  <si>
    <t>0072523228</t>
  </si>
  <si>
    <t>ANTI-GLOMERULAR BSMNT</t>
  </si>
  <si>
    <t>ANTI GLOM BSMNT</t>
  </si>
  <si>
    <t>0072523301</t>
  </si>
  <si>
    <t>0072523608</t>
  </si>
  <si>
    <t>CALCULUS QUAN</t>
  </si>
  <si>
    <t>CALCULUS QN</t>
  </si>
  <si>
    <t>0072523756</t>
  </si>
  <si>
    <t>CARBON MONOXIDE QUAN</t>
  </si>
  <si>
    <t>CARBON MON QUAN</t>
  </si>
  <si>
    <t>0072523780</t>
  </si>
  <si>
    <t>0072523822</t>
  </si>
  <si>
    <t>CARBON DIOXIDE/2</t>
  </si>
  <si>
    <t>CARBON DIOXIDE/</t>
  </si>
  <si>
    <t>0072523848</t>
  </si>
  <si>
    <t>CATECHOLAMINES FRAC</t>
  </si>
  <si>
    <t>CATCHOL FRAC</t>
  </si>
  <si>
    <t>0072523855</t>
  </si>
  <si>
    <t>CATECHOLAMINES FRAC/2</t>
  </si>
  <si>
    <t>CATCHOL FRAC/2</t>
  </si>
  <si>
    <t>0072523863</t>
  </si>
  <si>
    <t>CATECHOLAMINES FRAC/3</t>
  </si>
  <si>
    <t>CATCHOL FRAC/3</t>
  </si>
  <si>
    <t>0072523905</t>
  </si>
  <si>
    <t>CERULOPLASMIN</t>
  </si>
  <si>
    <t>CERULOPLSMN</t>
  </si>
  <si>
    <t>0072523970</t>
  </si>
  <si>
    <t>CHEMILUMINESCENT ASY/2</t>
  </si>
  <si>
    <t>CHMLUMNSCNT ASY</t>
  </si>
  <si>
    <t>0072523988</t>
  </si>
  <si>
    <t>CHEMILUMINESCENT ASY/3</t>
  </si>
  <si>
    <t>0072523996</t>
  </si>
  <si>
    <t>IA TUMOR AG NES QUAN</t>
  </si>
  <si>
    <t>0072524390</t>
  </si>
  <si>
    <t>0072524655</t>
  </si>
  <si>
    <t>0072524804</t>
  </si>
  <si>
    <t>CHOLINESTERASE PSEUDO</t>
  </si>
  <si>
    <t>CHOLINEST PSEUD</t>
  </si>
  <si>
    <t>0072525090</t>
  </si>
  <si>
    <t>CITRATE/2</t>
  </si>
  <si>
    <t>0072525207</t>
  </si>
  <si>
    <t>COCAINE</t>
  </si>
  <si>
    <t>0072525231</t>
  </si>
  <si>
    <t>COLLAGEN CROSS LINKS</t>
  </si>
  <si>
    <t>COLLGN CRSS LNK</t>
  </si>
  <si>
    <t>0072525249</t>
  </si>
  <si>
    <t>COLLAGEN CROSS LINKS/2</t>
  </si>
  <si>
    <t>0072525256</t>
  </si>
  <si>
    <t>COPPER/3</t>
  </si>
  <si>
    <t>0072525272</t>
  </si>
  <si>
    <t>COLLAGEN CROSS LINKS/3</t>
  </si>
  <si>
    <t>0072525330</t>
  </si>
  <si>
    <t>CORTISOL TOTAL/4</t>
  </si>
  <si>
    <t>CORTISL TOTAL/4</t>
  </si>
  <si>
    <t>0072525348</t>
  </si>
  <si>
    <t>CORTISOL FREE/2</t>
  </si>
  <si>
    <t>0072525363</t>
  </si>
  <si>
    <t>CORTISOL TOTAL/5</t>
  </si>
  <si>
    <t>CORTISL TOTAL/5</t>
  </si>
  <si>
    <t>0072525397</t>
  </si>
  <si>
    <t>ANTIEPILEPTIC NOS 1-3/9</t>
  </si>
  <si>
    <t>0072525413</t>
  </si>
  <si>
    <t>DRUGS NOS 7 OR MORE/3</t>
  </si>
  <si>
    <t>0072525538</t>
  </si>
  <si>
    <t>0072525702</t>
  </si>
  <si>
    <t>0072525744</t>
  </si>
  <si>
    <t>CREATININE OTHR SRCE/5</t>
  </si>
  <si>
    <t>0072525967</t>
  </si>
  <si>
    <t>CRYOCRIT QUAL/SEMI QNT/2</t>
  </si>
  <si>
    <t>CRYOCRT QL/SQNT</t>
  </si>
  <si>
    <t>0072526007</t>
  </si>
  <si>
    <t>CYANIDE</t>
  </si>
  <si>
    <t>0072526130</t>
  </si>
  <si>
    <t>CYCLOSPORINE/2</t>
  </si>
  <si>
    <t>0072526320</t>
  </si>
  <si>
    <t>DEHYDROEPIANDRSTRONE</t>
  </si>
  <si>
    <t>DHEA</t>
  </si>
  <si>
    <t>0072526528</t>
  </si>
  <si>
    <t>CRYOCRIT QUAL/SEMI QNT/3</t>
  </si>
  <si>
    <t>0072526544</t>
  </si>
  <si>
    <t>FECAL ELASTASE EL1 QN</t>
  </si>
  <si>
    <t>FECAL ELAST QN</t>
  </si>
  <si>
    <t>0072526577</t>
  </si>
  <si>
    <t>ANTIDPRSSNTS CYCLICAL 1-2/8</t>
  </si>
  <si>
    <t>0072526643</t>
  </si>
  <si>
    <t>0072526684</t>
  </si>
  <si>
    <t>ERYTHROPOIETIN</t>
  </si>
  <si>
    <t>0072526700</t>
  </si>
  <si>
    <t>ESTRADIOL</t>
  </si>
  <si>
    <t>0072526726</t>
  </si>
  <si>
    <t>ESTROGENS TOTAL</t>
  </si>
  <si>
    <t>0072526916</t>
  </si>
  <si>
    <t>ETHYLENE GLYCOL</t>
  </si>
  <si>
    <t>0072527054</t>
  </si>
  <si>
    <t>FAT OR LIPID FECES QUAL</t>
  </si>
  <si>
    <t>FT/LIPD FECS QL</t>
  </si>
  <si>
    <t>0072527328</t>
  </si>
  <si>
    <t>PTT SUB EA FRACTION/2</t>
  </si>
  <si>
    <t>0072527468</t>
  </si>
  <si>
    <t>0072527476</t>
  </si>
  <si>
    <t>FOLIC ACID RBC</t>
  </si>
  <si>
    <t>0072527823</t>
  </si>
  <si>
    <t>GAMMAGLOBULIN EA</t>
  </si>
  <si>
    <t>GAMAGLOB EA</t>
  </si>
  <si>
    <t>0072527849</t>
  </si>
  <si>
    <t>GAMMAGLOBULIN EA/3</t>
  </si>
  <si>
    <t>GAMAGLOB EA/3</t>
  </si>
  <si>
    <t>0072527856</t>
  </si>
  <si>
    <t>IMMUNOFIX ELECTRO SERUM</t>
  </si>
  <si>
    <t>I.F.E SERUM</t>
  </si>
  <si>
    <t>0072527880</t>
  </si>
  <si>
    <t>IMMUNOGLOB SUBCLASS EA</t>
  </si>
  <si>
    <t>IMMUNGLOB SUBCL</t>
  </si>
  <si>
    <t>0072527898</t>
  </si>
  <si>
    <t>IMMUNOGLOB SUBCLASS EA/2</t>
  </si>
  <si>
    <t>0072527906</t>
  </si>
  <si>
    <t>IMMUNOGLOB SUBCLASS EA/3</t>
  </si>
  <si>
    <t>0072527914</t>
  </si>
  <si>
    <t>IMMUNOGLOB SUBCLASS EA/4</t>
  </si>
  <si>
    <t>0072529340</t>
  </si>
  <si>
    <t>GIARDIA IA</t>
  </si>
  <si>
    <t>0072529415</t>
  </si>
  <si>
    <t>GASTRIN</t>
  </si>
  <si>
    <t>0072529456</t>
  </si>
  <si>
    <t>0072529472</t>
  </si>
  <si>
    <t>0072529480</t>
  </si>
  <si>
    <t>GLUCOSE QUANTITATIVE/2</t>
  </si>
  <si>
    <t>GLUCOSE QUANT/2</t>
  </si>
  <si>
    <t>0072529555</t>
  </si>
  <si>
    <t>G6PD QUANT</t>
  </si>
  <si>
    <t>0072529803</t>
  </si>
  <si>
    <t>0072529811</t>
  </si>
  <si>
    <t>GGT/2</t>
  </si>
  <si>
    <t>0072529852</t>
  </si>
  <si>
    <t>GLYCATED PROTEIN</t>
  </si>
  <si>
    <t>GLYCATED PROTN</t>
  </si>
  <si>
    <t>0072530017</t>
  </si>
  <si>
    <t>FOLLICLE STIMLAT HORMONE</t>
  </si>
  <si>
    <t>FOLCL STIM HORM</t>
  </si>
  <si>
    <t>0072530025</t>
  </si>
  <si>
    <t>LUTEINING HORMONE</t>
  </si>
  <si>
    <t>LUTEINING HORMN</t>
  </si>
  <si>
    <t>0072530033</t>
  </si>
  <si>
    <t>GROWTH HORMONE(HGH)</t>
  </si>
  <si>
    <t>HGH</t>
  </si>
  <si>
    <t>0072530108</t>
  </si>
  <si>
    <t>HAPTOGLOBIN QUANT</t>
  </si>
  <si>
    <t>HAPTOGLOBIN QN</t>
  </si>
  <si>
    <t>0072530116</t>
  </si>
  <si>
    <t>HAPTOGLOBIN QUANT/2</t>
  </si>
  <si>
    <t>HAPTOGLOBIN QN/</t>
  </si>
  <si>
    <t>0072530124</t>
  </si>
  <si>
    <t>AQUAPORINE 4 AB</t>
  </si>
  <si>
    <t>0072530140</t>
  </si>
  <si>
    <t>0072530215</t>
  </si>
  <si>
    <t>HEMOGLOBIN FRAC &amp; QNT</t>
  </si>
  <si>
    <t>HEMOGLBN FRC&amp;QN</t>
  </si>
  <si>
    <t>0072530231</t>
  </si>
  <si>
    <t>HEMOGLOBN ELECTRPHORESIS</t>
  </si>
  <si>
    <t>HEMOGLBN ELCTRO</t>
  </si>
  <si>
    <t>0072530512</t>
  </si>
  <si>
    <t>HEMOGLOBIN PLASMA</t>
  </si>
  <si>
    <t>HEMOGLOB PLASMA</t>
  </si>
  <si>
    <t>0072530702</t>
  </si>
  <si>
    <t>HEMOSIDERIN QUAL</t>
  </si>
  <si>
    <t>HEMOSIDERIN QL</t>
  </si>
  <si>
    <t>0072530710</t>
  </si>
  <si>
    <t>HEMOSIDERIN QUAL/2</t>
  </si>
  <si>
    <t>HEMOSIDERIN QL/</t>
  </si>
  <si>
    <t>0072530892</t>
  </si>
  <si>
    <t>HOMOCYSTEINE QUANT/2</t>
  </si>
  <si>
    <t>0072531718</t>
  </si>
  <si>
    <t>HUMAN GRWTH HORMONE AB</t>
  </si>
  <si>
    <t>HUM GRWTH HRMN</t>
  </si>
  <si>
    <t>0072532104</t>
  </si>
  <si>
    <t>CRMP -5 AB</t>
  </si>
  <si>
    <t>0072534969</t>
  </si>
  <si>
    <t>SOLUABLE LIVER AG</t>
  </si>
  <si>
    <t>SLA</t>
  </si>
  <si>
    <t>0072534977</t>
  </si>
  <si>
    <t>HYDRXINDOL ACD5(HIAA)QT</t>
  </si>
  <si>
    <t>5HIAA QUANT</t>
  </si>
  <si>
    <t>0072535016</t>
  </si>
  <si>
    <t>NEUROMYELITIS OPTICA</t>
  </si>
  <si>
    <t>NMO AB</t>
  </si>
  <si>
    <t>0072535040</t>
  </si>
  <si>
    <t>HEP C AMPLIFIED PROBE/2</t>
  </si>
  <si>
    <t>HEP C AMP PROBE</t>
  </si>
  <si>
    <t>0072535073</t>
  </si>
  <si>
    <t>HISTOPLASMA IA/2</t>
  </si>
  <si>
    <t>HISTOPLASMA IA/</t>
  </si>
  <si>
    <t>0072535081</t>
  </si>
  <si>
    <t>GLIADIN AB</t>
  </si>
  <si>
    <t>0072535115</t>
  </si>
  <si>
    <t>IMMUNODIFFUSION NES</t>
  </si>
  <si>
    <t>IMMUNDIFF NES</t>
  </si>
  <si>
    <t>0072535123</t>
  </si>
  <si>
    <t>GAMMAGLOBULIN EA/6</t>
  </si>
  <si>
    <t>GAMAGLOB EA/6</t>
  </si>
  <si>
    <t>0072535131</t>
  </si>
  <si>
    <t>IG-E SERUM/3</t>
  </si>
  <si>
    <t>0072535149</t>
  </si>
  <si>
    <t>GAMMAGLOBULIN EA/7</t>
  </si>
  <si>
    <t>GAMAGLOB EA/7</t>
  </si>
  <si>
    <t>0072535156</t>
  </si>
  <si>
    <t>GAMMAGLOBULIN EA/8</t>
  </si>
  <si>
    <t>GAMAGLOB EA/8</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</si>
  <si>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</si>
  <si>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</si>
  <si>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</si>
  <si>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</si>
  <si>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</si>
  <si>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</si>
  <si>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</si>
  <si>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</si>
  <si>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</si>
  <si>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</si>
  <si>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</si>
  <si>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</si>
  <si>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</si>
  <si>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</si>
  <si>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</si>
  <si>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0072535313</t>
  </si>
  <si>
    <t>MYELOPEROXIDASE (MPO) AB</t>
  </si>
  <si>
    <t>MYELOPERX AB</t>
  </si>
  <si>
    <t>0072535347</t>
  </si>
  <si>
    <t>0072535388</t>
  </si>
  <si>
    <t>GLUTAMIC ACID AB</t>
  </si>
  <si>
    <t>GLUTAMIC ACD AB</t>
  </si>
  <si>
    <t>0072535396</t>
  </si>
  <si>
    <t>TRIIODTHYRNINE TOTAL T3</t>
  </si>
  <si>
    <t>TRIIODTH TOT T3</t>
  </si>
  <si>
    <t>0072535404</t>
  </si>
  <si>
    <t>0072535438</t>
  </si>
  <si>
    <t>SOMATOMEDIN</t>
  </si>
  <si>
    <t>0072535461</t>
  </si>
  <si>
    <t>IRON ASSAY/2</t>
  </si>
  <si>
    <t>0072535479</t>
  </si>
  <si>
    <t>INSULIN GF BINDING PROTEIN/4</t>
  </si>
  <si>
    <t>INSULIN GFBP/4</t>
  </si>
  <si>
    <t>0072535503</t>
  </si>
  <si>
    <t>0072535537</t>
  </si>
  <si>
    <t>ANTIPROTEINASE 3 AB</t>
  </si>
  <si>
    <t>PROTEINASE AB</t>
  </si>
  <si>
    <t>0072535545</t>
  </si>
  <si>
    <t>T3 FREE</t>
  </si>
  <si>
    <t>T-3 FREE</t>
  </si>
  <si>
    <t>0072535586</t>
  </si>
  <si>
    <t>CHEMILUMINESCENT ASY/6</t>
  </si>
  <si>
    <t>0072535628</t>
  </si>
  <si>
    <t>TISS TRANSGLUTAMINASE AB/2</t>
  </si>
  <si>
    <t>TRANSGLUTAMINAS</t>
  </si>
  <si>
    <t>0072535677</t>
  </si>
  <si>
    <t>0072535719</t>
  </si>
  <si>
    <t>GANGLIOSIDE AB/4</t>
  </si>
  <si>
    <t>GANGLIOSIDE AB/</t>
  </si>
  <si>
    <t>0072535768</t>
  </si>
  <si>
    <t>VOLTAGE GATED CALCIUM</t>
  </si>
  <si>
    <t>VOLTAGE GATED C</t>
  </si>
  <si>
    <t>0072535800</t>
  </si>
  <si>
    <t>ACHR ANTIBODY</t>
  </si>
  <si>
    <t>ACHR AB</t>
  </si>
  <si>
    <t>0072535818</t>
  </si>
  <si>
    <t>ACHR ANTIBODY/2</t>
  </si>
  <si>
    <t>ACHR AB/2</t>
  </si>
  <si>
    <t>0072535917</t>
  </si>
  <si>
    <t>COLLAGEN BINDING ASSAY</t>
  </si>
  <si>
    <t>COLLAGN BND ASS</t>
  </si>
  <si>
    <t>0072535966</t>
  </si>
  <si>
    <t>CYC CITRULLINATED PEP AB</t>
  </si>
  <si>
    <t>CYC CIT AB(CCP)</t>
  </si>
  <si>
    <t>0072536055</t>
  </si>
  <si>
    <t>0072536071</t>
  </si>
  <si>
    <t>ANTI-PLA2R</t>
  </si>
  <si>
    <t>0072536105</t>
  </si>
  <si>
    <t>LIDOCAINE</t>
  </si>
  <si>
    <t>0072536162</t>
  </si>
  <si>
    <t>0072536550</t>
  </si>
  <si>
    <t>LEAD QUANTITATIVE</t>
  </si>
  <si>
    <t>LEAD QUAN</t>
  </si>
  <si>
    <t>0072536915</t>
  </si>
  <si>
    <t>LIPASE/2</t>
  </si>
  <si>
    <t>0072537160</t>
  </si>
  <si>
    <t>LIPOPROTEIN (A)</t>
  </si>
  <si>
    <t>0072537251</t>
  </si>
  <si>
    <t>0072537319</t>
  </si>
  <si>
    <t>DRUG TEST PRSMV CHEM ANLYZR/36</t>
  </si>
  <si>
    <t>0072538259</t>
  </si>
  <si>
    <t>MERCURY QUANTITATIVE</t>
  </si>
  <si>
    <t>MERCURY QUANT</t>
  </si>
  <si>
    <t>0072538366</t>
  </si>
  <si>
    <t>METANEPHRINES</t>
  </si>
  <si>
    <t>0072538382</t>
  </si>
  <si>
    <t>METANEPHRINES/3</t>
  </si>
  <si>
    <t>0072538689</t>
  </si>
  <si>
    <t>A-2 MACROGLOBULIN</t>
  </si>
  <si>
    <t>A-2 MACROGLOBLN</t>
  </si>
  <si>
    <t>0072538705</t>
  </si>
  <si>
    <t>A-2 MACROGLOBULIN/2</t>
  </si>
  <si>
    <t>0072538739</t>
  </si>
  <si>
    <t>0072538747</t>
  </si>
  <si>
    <t>MYELIN BASIC PROTEIN CSF</t>
  </si>
  <si>
    <t>MYELIN BASICPRT</t>
  </si>
  <si>
    <t>0072538754</t>
  </si>
  <si>
    <t>MYOGLOBIN/2</t>
  </si>
  <si>
    <t>0072538838</t>
  </si>
  <si>
    <t>0072538846</t>
  </si>
  <si>
    <t>KAPPA LAMBDA LT CHN QUAN</t>
  </si>
  <si>
    <t>KAPPA LAM LTCHN</t>
  </si>
  <si>
    <t>0072538887</t>
  </si>
  <si>
    <t>KAPPA LAMBDA LT CHN QUAN/2</t>
  </si>
  <si>
    <t>0072538895</t>
  </si>
  <si>
    <t>KAPPA LAMBDA LT CHN QUAN/3</t>
  </si>
  <si>
    <t>0072539026</t>
  </si>
  <si>
    <t>PARATHORMONE (PTH)</t>
  </si>
  <si>
    <t>PARATHORMNE</t>
  </si>
  <si>
    <t>0072539042</t>
  </si>
  <si>
    <t>ANTIDPRSSNTS CYCLICAL 1-2/10</t>
  </si>
  <si>
    <t>0072539182</t>
  </si>
  <si>
    <t>ASSAY ORGANIC ACIDS QNT</t>
  </si>
  <si>
    <t>ORGANIC ACD QNT</t>
  </si>
  <si>
    <t>0072539257</t>
  </si>
  <si>
    <t>OLIGOCLONAL BANDS</t>
  </si>
  <si>
    <t>OLIGOCLONL BAND</t>
  </si>
  <si>
    <t>0072539299</t>
  </si>
  <si>
    <t>DRUG TEST PRSMV CHEM ANLYZR/40</t>
  </si>
  <si>
    <t>0072539331</t>
  </si>
  <si>
    <t>HEP C QUANT</t>
  </si>
  <si>
    <t>0072539349</t>
  </si>
  <si>
    <t>HEP C QUANT/2</t>
  </si>
  <si>
    <t>0072539703</t>
  </si>
  <si>
    <t>PARATHORMONE (PTH)/4</t>
  </si>
  <si>
    <t>PARATHORMNE/4</t>
  </si>
  <si>
    <t>0072539760</t>
  </si>
  <si>
    <t>C-PEPTIDE</t>
  </si>
  <si>
    <t>0072539794</t>
  </si>
  <si>
    <t>TISS TRANSGLUTAMINASE AB/5</t>
  </si>
  <si>
    <t>0072539802</t>
  </si>
  <si>
    <t>0072540016</t>
  </si>
  <si>
    <t>CALPROTECTIN FECAL</t>
  </si>
  <si>
    <t>CALPROTEC FECAL</t>
  </si>
  <si>
    <t>0072540453</t>
  </si>
  <si>
    <t>PHENYTOIN FREE</t>
  </si>
  <si>
    <t>0072540552</t>
  </si>
  <si>
    <t>MYCOPHENOLIC ACID</t>
  </si>
  <si>
    <t>MYCPHENOLC ACID</t>
  </si>
  <si>
    <t>0072540669</t>
  </si>
  <si>
    <t>PHOSPHATSE PROSTATIC</t>
  </si>
  <si>
    <t>PHOSPHA PROSTAT</t>
  </si>
  <si>
    <t>0072540750</t>
  </si>
  <si>
    <t>0072540800</t>
  </si>
  <si>
    <t>PHOSPHATASE ISO ALK</t>
  </si>
  <si>
    <t>PHOSPHA ISO ALK</t>
  </si>
  <si>
    <t>0072541105</t>
  </si>
  <si>
    <t>PORPHOBILINOGEN URINE QN</t>
  </si>
  <si>
    <t>PORPHOBILIN UR</t>
  </si>
  <si>
    <t>0072541212</t>
  </si>
  <si>
    <t>PORPHYRINS URINE QN/FRACT/2</t>
  </si>
  <si>
    <t>PORPHYRNS UR QN</t>
  </si>
  <si>
    <t>0072541436</t>
  </si>
  <si>
    <t>0072541444</t>
  </si>
  <si>
    <t>PROGESTERONE</t>
  </si>
  <si>
    <t>0072541469</t>
  </si>
  <si>
    <t>PROLACTIN</t>
  </si>
  <si>
    <t>0072541535</t>
  </si>
  <si>
    <t>PSA TOTAL/2</t>
  </si>
  <si>
    <t>0072541543</t>
  </si>
  <si>
    <t>0072541550</t>
  </si>
  <si>
    <t>0072541576</t>
  </si>
  <si>
    <t>PROTEIN URINE/2</t>
  </si>
  <si>
    <t>0072541592</t>
  </si>
  <si>
    <t>0072541659</t>
  </si>
  <si>
    <t>PROTEIN ELCTRO SERUM</t>
  </si>
  <si>
    <t>PROTN ELCT SR</t>
  </si>
  <si>
    <t>0072541667</t>
  </si>
  <si>
    <t>PRE-ALBUMIN</t>
  </si>
  <si>
    <t>0072541675</t>
  </si>
  <si>
    <t>PROTEIN ELCTRO OTHER FLUIDS</t>
  </si>
  <si>
    <t>PROTN ELCT OTHR</t>
  </si>
  <si>
    <t>0072541808</t>
  </si>
  <si>
    <t>PROTEIN URINE/4</t>
  </si>
  <si>
    <t>0072541816</t>
  </si>
  <si>
    <t>PROTEIN WESTERN BLOT/2</t>
  </si>
  <si>
    <t>PROTN WEST BLOT</t>
  </si>
  <si>
    <t>0072541832</t>
  </si>
  <si>
    <t>HELMINTH AB NES/2</t>
  </si>
  <si>
    <t>0072541923</t>
  </si>
  <si>
    <t>YO ANTIBODY SCRN</t>
  </si>
  <si>
    <t>YO AB SCREEN</t>
  </si>
  <si>
    <t>0072541931</t>
  </si>
  <si>
    <t>HU ANTIBODY SCREEN</t>
  </si>
  <si>
    <t>HU AB SCREEN</t>
  </si>
  <si>
    <t>0072542004</t>
  </si>
  <si>
    <t>PSA FREE</t>
  </si>
  <si>
    <t>0072542079</t>
  </si>
  <si>
    <t>PYRIDOXL PHOSPH VIT B6</t>
  </si>
  <si>
    <t>PYRIDOXL PHOSPH</t>
  </si>
  <si>
    <t>0072542137</t>
  </si>
  <si>
    <t>GLIADIN AB/2</t>
  </si>
  <si>
    <t>0072542301</t>
  </si>
  <si>
    <t>QUINIDINE</t>
  </si>
  <si>
    <t>0072542392</t>
  </si>
  <si>
    <t>IMMUNE COMPLEX/2</t>
  </si>
  <si>
    <t>IMMUNE COMPLEX/</t>
  </si>
  <si>
    <t>0072542525</t>
  </si>
  <si>
    <t>RIBOFLAVIN(VITAMIN B2)</t>
  </si>
  <si>
    <t>RIBOFLAVIN</t>
  </si>
  <si>
    <t>0072542558</t>
  </si>
  <si>
    <t>SELENIUM</t>
  </si>
  <si>
    <t>0072542608</t>
  </si>
  <si>
    <t>SEROTONIN</t>
  </si>
  <si>
    <t>0072542707</t>
  </si>
  <si>
    <t>SEX HORMONE BIND GLOBULN</t>
  </si>
  <si>
    <t>0072543135</t>
  </si>
  <si>
    <t>PHOSPHOLIPIDS</t>
  </si>
  <si>
    <t>0072544026</t>
  </si>
  <si>
    <t>TESTOSTERONE FREE/2</t>
  </si>
  <si>
    <t>TESTOSTERN FREE</t>
  </si>
  <si>
    <t>0072544034</t>
  </si>
  <si>
    <t>TESTOSTERONE TOTAL</t>
  </si>
  <si>
    <t>TESTOSTER TOTAL</t>
  </si>
  <si>
    <t>0072544042</t>
  </si>
  <si>
    <t>TESTOSTERONE TOTAL/2</t>
  </si>
  <si>
    <t>0072544059</t>
  </si>
  <si>
    <t>TESTOSTERONE TOTAL/3</t>
  </si>
  <si>
    <t>0072544075</t>
  </si>
  <si>
    <t>TESTOSTERONE FREE</t>
  </si>
  <si>
    <t>0072544232</t>
  </si>
  <si>
    <t>THIAMINE(VITAMIN B1)</t>
  </si>
  <si>
    <t>THIAMINE</t>
  </si>
  <si>
    <t>0072544299</t>
  </si>
  <si>
    <t>THIAMINE(VITAMIN B1)/2</t>
  </si>
  <si>
    <t>THIAMINE/2</t>
  </si>
  <si>
    <t>0072544323</t>
  </si>
  <si>
    <t>THYROGLOBULIN</t>
  </si>
  <si>
    <t>0072544364</t>
  </si>
  <si>
    <t>0072544422</t>
  </si>
  <si>
    <t>TBG-THYROXINE BND GLOBLN</t>
  </si>
  <si>
    <t>TBG</t>
  </si>
  <si>
    <t>0072544430</t>
  </si>
  <si>
    <t>0072544448</t>
  </si>
  <si>
    <t>THYROID STIM IMMUNGLBN</t>
  </si>
  <si>
    <t>THYRD STIM IG</t>
  </si>
  <si>
    <t>0072544463</t>
  </si>
  <si>
    <t>VITAMN E(TOCOPHRL ALPHA)</t>
  </si>
  <si>
    <t>VITAMIN E</t>
  </si>
  <si>
    <t>0072544505</t>
  </si>
  <si>
    <t>0072544513</t>
  </si>
  <si>
    <t>RECEPT ASSAY NON-ENDOCRN/2</t>
  </si>
  <si>
    <t>REC ASSY NONEND</t>
  </si>
  <si>
    <t>0072544547</t>
  </si>
  <si>
    <t>TRANSCORTIN</t>
  </si>
  <si>
    <t>0072544604</t>
  </si>
  <si>
    <t>SGPT(ALT)</t>
  </si>
  <si>
    <t>0072544620</t>
  </si>
  <si>
    <t>0072544703</t>
  </si>
  <si>
    <t>TOPIRAMATE LVL</t>
  </si>
  <si>
    <t>0072544786</t>
  </si>
  <si>
    <t>TRIGLYCERIDES/3</t>
  </si>
  <si>
    <t>TRIGLYCER/3</t>
  </si>
  <si>
    <t>0072544893</t>
  </si>
  <si>
    <t>TRYPSIN BLOOD TOTAL</t>
  </si>
  <si>
    <t>TRYPSIN BLD TTL</t>
  </si>
  <si>
    <t>0072545213</t>
  </si>
  <si>
    <t>BLD UREA NITROGEN QUAN/2</t>
  </si>
  <si>
    <t>0072545858</t>
  </si>
  <si>
    <t>VMA URINE</t>
  </si>
  <si>
    <t>0072545882</t>
  </si>
  <si>
    <t>VASOPRESSIN (ADH)</t>
  </si>
  <si>
    <t>VASOPRESSIN(ADH</t>
  </si>
  <si>
    <t>0072545908</t>
  </si>
  <si>
    <t>VITAMIN A</t>
  </si>
  <si>
    <t>VIT A</t>
  </si>
  <si>
    <t>0072545940</t>
  </si>
  <si>
    <t>VIT D1 25-DIHYDROXY</t>
  </si>
  <si>
    <t>VIT D1 25DIHYDR</t>
  </si>
  <si>
    <t>0072545957</t>
  </si>
  <si>
    <t>VITAMIN D/25 HYDROXY/2</t>
  </si>
  <si>
    <t>0072545973</t>
  </si>
  <si>
    <t>VITAMIN K</t>
  </si>
  <si>
    <t>VIT K</t>
  </si>
  <si>
    <t>0072546005</t>
  </si>
  <si>
    <t>VOLATILES</t>
  </si>
  <si>
    <t>0072546310</t>
  </si>
  <si>
    <t>ZINC/2</t>
  </si>
  <si>
    <t>0072548985</t>
  </si>
  <si>
    <t>0072549009</t>
  </si>
  <si>
    <t>0072549058</t>
  </si>
  <si>
    <t>REVERSE T3</t>
  </si>
  <si>
    <t>0072549983</t>
  </si>
  <si>
    <t>IA TUMOR CA 15-3 QUAN/2</t>
  </si>
  <si>
    <t>0072550064</t>
  </si>
  <si>
    <t>0072550148</t>
  </si>
  <si>
    <t>0072550288</t>
  </si>
  <si>
    <t>0072550411</t>
  </si>
  <si>
    <t>0072552201</t>
  </si>
  <si>
    <t>CLOT FACTOR V (LABILE)</t>
  </si>
  <si>
    <t>CLOT FACTOR V</t>
  </si>
  <si>
    <t>0072552300</t>
  </si>
  <si>
    <t>CLOT FACTOR VII(STABLE)</t>
  </si>
  <si>
    <t>CLOT FACTOR VII</t>
  </si>
  <si>
    <t>0072552318</t>
  </si>
  <si>
    <t>CLOT FCTR VIII(AHG)1 STG/2</t>
  </si>
  <si>
    <t>CLOT FCTOR VIII</t>
  </si>
  <si>
    <t>0072552409</t>
  </si>
  <si>
    <t>CLOT FCTR VIII(AHG)1 STG</t>
  </si>
  <si>
    <t>0072552458</t>
  </si>
  <si>
    <t>FACTR VIII RISTO CO-FCTR</t>
  </si>
  <si>
    <t>FACT VIII RISTO</t>
  </si>
  <si>
    <t>0072552466</t>
  </si>
  <si>
    <t>FACTR VIII VW AG CO-FCTR</t>
  </si>
  <si>
    <t>FACT VIII VW AG</t>
  </si>
  <si>
    <t>0072552474</t>
  </si>
  <si>
    <t>FCTR VIII VW MLT CO-FCTR</t>
  </si>
  <si>
    <t>FCT VIII VW MLT</t>
  </si>
  <si>
    <t>0072552482</t>
  </si>
  <si>
    <t>FACTR VIII RISTO CO-FCTR/2</t>
  </si>
  <si>
    <t>0072552508</t>
  </si>
  <si>
    <t>CLOT FCTR IX(PTC/XMAS)</t>
  </si>
  <si>
    <t>CLOT FACTOR IX</t>
  </si>
  <si>
    <t>0072552607</t>
  </si>
  <si>
    <t>CLOT FCTR X(STUART-PRWR)</t>
  </si>
  <si>
    <t>CLOT FACTOR X</t>
  </si>
  <si>
    <t>0072552706</t>
  </si>
  <si>
    <t>CLOT FCTR XI(PTA)</t>
  </si>
  <si>
    <t>CLOT FACTOR XI</t>
  </si>
  <si>
    <t>0072552805</t>
  </si>
  <si>
    <t>CLOT FCTR XII(HAGEMANN)</t>
  </si>
  <si>
    <t>CLOT FACTOR XII</t>
  </si>
  <si>
    <t>0072553019</t>
  </si>
  <si>
    <t>ANTITHROMBIN III ANTIGEN</t>
  </si>
  <si>
    <t>ANTITHRMBN III</t>
  </si>
  <si>
    <t>0072553027</t>
  </si>
  <si>
    <t>PROTEIN C ANTIGEN</t>
  </si>
  <si>
    <t>PROTEIN C AG</t>
  </si>
  <si>
    <t>0072553043</t>
  </si>
  <si>
    <t>PROTEIN C ACTIVITY/2</t>
  </si>
  <si>
    <t>PROTEIN C ACTIV</t>
  </si>
  <si>
    <t>0072553050</t>
  </si>
  <si>
    <t>PROTEIN S TOTAL</t>
  </si>
  <si>
    <t>0072553068</t>
  </si>
  <si>
    <t>PROTEIN S FREE/2</t>
  </si>
  <si>
    <t>PROTEIN S FREE/</t>
  </si>
  <si>
    <t>0072553084</t>
  </si>
  <si>
    <t>PROTEIN S FREE/3</t>
  </si>
  <si>
    <t>0072553092</t>
  </si>
  <si>
    <t>ANTITHROMBIN III ACTIVITY/2</t>
  </si>
  <si>
    <t>0072553621</t>
  </si>
  <si>
    <t>0072554108</t>
  </si>
  <si>
    <t>ALPHA 2 ANTIPLASMIN</t>
  </si>
  <si>
    <t>ALPH 2 ANTIPLSM</t>
  </si>
  <si>
    <t>0072555360</t>
  </si>
  <si>
    <t>INTRINSIC FACTOR ANTIBDY</t>
  </si>
  <si>
    <t>INTRNSC FCTR AB</t>
  </si>
  <si>
    <t>0072555402</t>
  </si>
  <si>
    <t>LEUKOCYTE ALKA-PHSPHTASE</t>
  </si>
  <si>
    <t>LEUK ALK PHOSPH</t>
  </si>
  <si>
    <t>0072555592</t>
  </si>
  <si>
    <t>MICROSOMAL ANTIBODY EA</t>
  </si>
  <si>
    <t>MICROSOMAL AB E</t>
  </si>
  <si>
    <t>0072555980</t>
  </si>
  <si>
    <t>PHOSPHOLP NEUT HEXAGONAL</t>
  </si>
  <si>
    <t>NEUTRLZTN HEX</t>
  </si>
  <si>
    <t>0072556053</t>
  </si>
  <si>
    <t>HELMINTH AB NES/3</t>
  </si>
  <si>
    <t>0072556079</t>
  </si>
  <si>
    <t>CYSTATIN C</t>
  </si>
  <si>
    <t>0072556137</t>
  </si>
  <si>
    <t>RUSSL VIPR VEN TIME DIL</t>
  </si>
  <si>
    <t>RUS VIP TIME DI</t>
  </si>
  <si>
    <t>0072556152</t>
  </si>
  <si>
    <t>RUSSL VIPR VEN TIME DIL/2</t>
  </si>
  <si>
    <t>0072556178</t>
  </si>
  <si>
    <t>PTT SUB EA FRACTION/3</t>
  </si>
  <si>
    <t>0072556186</t>
  </si>
  <si>
    <t>RUSSL VIPR VEN TIME DIL/3</t>
  </si>
  <si>
    <t>0072556194</t>
  </si>
  <si>
    <t>RUSSL VIPR VEN TIME DIL/4</t>
  </si>
  <si>
    <t>0072556202</t>
  </si>
  <si>
    <t>RUSSL VIPR VEN TIME DIL/5</t>
  </si>
  <si>
    <t>0072556608</t>
  </si>
  <si>
    <t>SICKLING OF RBC</t>
  </si>
  <si>
    <t>0072556707</t>
  </si>
  <si>
    <t>THROMBIN TIME PLASMA/3</t>
  </si>
  <si>
    <t>THROMBIN PLASMA</t>
  </si>
  <si>
    <t>0072557309</t>
  </si>
  <si>
    <t>0072557333</t>
  </si>
  <si>
    <t>PTT SUB EA FRACTION/4</t>
  </si>
  <si>
    <t>0072560022</t>
  </si>
  <si>
    <t>COCCIDIOIDES ANTIBODY</t>
  </si>
  <si>
    <t>COCCIDIOIDES AN</t>
  </si>
  <si>
    <t>0072560170</t>
  </si>
  <si>
    <t>PLATELET AB/2</t>
  </si>
  <si>
    <t>0072560212</t>
  </si>
  <si>
    <t>0072560220</t>
  </si>
  <si>
    <t>PLATELET AB/3</t>
  </si>
  <si>
    <t>0072560279</t>
  </si>
  <si>
    <t>PLATELET AB/6</t>
  </si>
  <si>
    <t>0072560386</t>
  </si>
  <si>
    <t>ANTINUCLEAR AB(ANA)</t>
  </si>
  <si>
    <t>ANTINUCL AB(ANA</t>
  </si>
  <si>
    <t>0072560428</t>
  </si>
  <si>
    <t>INSULIN ANTIBODIES</t>
  </si>
  <si>
    <t>INSULIN AB</t>
  </si>
  <si>
    <t>0072560436</t>
  </si>
  <si>
    <t>ANTINUCLEAR AB(ANA)/2</t>
  </si>
  <si>
    <t>0072560535</t>
  </si>
  <si>
    <t>ALLRGN SPEC IGE EA/22</t>
  </si>
  <si>
    <t>ALLG IGE EA/22</t>
  </si>
  <si>
    <t>0072560584</t>
  </si>
  <si>
    <t>ANTINUCLEAR AB(ANA)/3</t>
  </si>
  <si>
    <t>0072560600</t>
  </si>
  <si>
    <t>ANTI-STREPTOLYSN O TITER</t>
  </si>
  <si>
    <t>ASO TITER</t>
  </si>
  <si>
    <t>0072560618</t>
  </si>
  <si>
    <t>ANTI-STREPTOLYSN SCREEN</t>
  </si>
  <si>
    <t>ASO SCREEN</t>
  </si>
  <si>
    <t>0072560675</t>
  </si>
  <si>
    <t>ANTITRYPSIN ALPHA 1 TOTL</t>
  </si>
  <si>
    <t>0072560741</t>
  </si>
  <si>
    <t>HELICOBACTER PYLORI AB/2</t>
  </si>
  <si>
    <t>HELICO PYLORI A</t>
  </si>
  <si>
    <t>0072560766</t>
  </si>
  <si>
    <t>HELICOBACTER PYLORI AB/3</t>
  </si>
  <si>
    <t>0072561152</t>
  </si>
  <si>
    <t>BETA 2 GLYCOPROT I AB EA</t>
  </si>
  <si>
    <t>BETA 2 GLYCO I</t>
  </si>
  <si>
    <t>0072561160</t>
  </si>
  <si>
    <t>BETA 2 GLYCOPROT I AB EA/2</t>
  </si>
  <si>
    <t>0072561368</t>
  </si>
  <si>
    <t>COMPLEMENT AG EA</t>
  </si>
  <si>
    <t>COMPLEMNT AG EA</t>
  </si>
  <si>
    <t>0072561426</t>
  </si>
  <si>
    <t>ANTIPHOSPHATIDYLSERINE AB</t>
  </si>
  <si>
    <t>ANTIPHOSPHAT AB</t>
  </si>
  <si>
    <t>0072561434</t>
  </si>
  <si>
    <t>ANTIPHOSPHATIDYLSERINE AB/2</t>
  </si>
  <si>
    <t>0072561442</t>
  </si>
  <si>
    <t>ANTIPHOSPHATIDYLSERINE AB/3</t>
  </si>
  <si>
    <t>0072561467</t>
  </si>
  <si>
    <t>BETA 2 GLYCOPROT I AB EA/4</t>
  </si>
  <si>
    <t>0072561517</t>
  </si>
  <si>
    <t>CARCINO-EMBRYONIC AG/2</t>
  </si>
  <si>
    <t>C E A/2</t>
  </si>
  <si>
    <t>0072561624</t>
  </si>
  <si>
    <t>COMPLEMENT TOTAL CH50</t>
  </si>
  <si>
    <t>COMPLMNT TOTAL</t>
  </si>
  <si>
    <t>0072561715</t>
  </si>
  <si>
    <t>LEGIONELLA AB</t>
  </si>
  <si>
    <t>0072561723</t>
  </si>
  <si>
    <t>COCCIDIOIDES ANTIBODY/2</t>
  </si>
  <si>
    <t>0072561731</t>
  </si>
  <si>
    <t>CRYPTOCOCCIS AB</t>
  </si>
  <si>
    <t>0072561749</t>
  </si>
  <si>
    <t>CMPLMNT FIXATION TEST EA AG</t>
  </si>
  <si>
    <t>CMPLMNT FIX TST</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</si>
  <si>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</si>
  <si>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</si>
  <si>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</si>
  <si>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</si>
  <si>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</si>
  <si>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</si>
  <si>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</si>
  <si>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</si>
  <si>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</si>
  <si>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</si>
  <si>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</si>
  <si>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</si>
  <si>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</si>
  <si>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0072562176</t>
  </si>
  <si>
    <t>DNA ANTIBODY</t>
  </si>
  <si>
    <t>DNA AB</t>
  </si>
  <si>
    <t>0072562200</t>
  </si>
  <si>
    <t>DNA ANTIBODY DBL STRAND</t>
  </si>
  <si>
    <t>DNA AB DBL</t>
  </si>
  <si>
    <t>0072562242</t>
  </si>
  <si>
    <t>NUCLEAR ANTIGEN AB/4</t>
  </si>
  <si>
    <t>NUCLEAR AG AB/4</t>
  </si>
  <si>
    <t>0072562291</t>
  </si>
  <si>
    <t>PURKINJE CELL CYTOP AB TYPE TR</t>
  </si>
  <si>
    <t>PURKINJE CEL AB</t>
  </si>
  <si>
    <t>0072562309</t>
  </si>
  <si>
    <t>PURKINJE CELL CYTOP AB TYPE 2</t>
  </si>
  <si>
    <t>PURKINJE CELL A</t>
  </si>
  <si>
    <t>0072562317</t>
  </si>
  <si>
    <t>AMPHIPHYSIN ANTIBODY</t>
  </si>
  <si>
    <t>AMPHIPHYSIN ANT</t>
  </si>
  <si>
    <t>0072562333</t>
  </si>
  <si>
    <t>NUCLEAR ANTIGEN AB/5</t>
  </si>
  <si>
    <t>NUCLEAR AG AB/5</t>
  </si>
  <si>
    <t>0072562341</t>
  </si>
  <si>
    <t>NUCLEAR ANTIGEN AB/6</t>
  </si>
  <si>
    <t>NUCLEAR AG AB/6</t>
  </si>
  <si>
    <t>0072562374</t>
  </si>
  <si>
    <t>NUCLEAR ANTIGEN AB/9</t>
  </si>
  <si>
    <t>NUCLEAR AG AB/9</t>
  </si>
  <si>
    <t>0072562390</t>
  </si>
  <si>
    <t>NUCLEAR ANTIGEN AB/11</t>
  </si>
  <si>
    <t>NUCLEAR AG AB/1</t>
  </si>
  <si>
    <t>0072562440</t>
  </si>
  <si>
    <t>ANTI GLIAL NUCLEAR AB TYPE 1</t>
  </si>
  <si>
    <t>ANTI GLIAL AB T</t>
  </si>
  <si>
    <t>0072562457</t>
  </si>
  <si>
    <t>ANTI NEURAL NUCLEAR AB TYPE 3</t>
  </si>
  <si>
    <t>ANTI NEURAL AB</t>
  </si>
  <si>
    <t>0072562481</t>
  </si>
  <si>
    <t>PARVOVIRUS AB</t>
  </si>
  <si>
    <t>0072562549</t>
  </si>
  <si>
    <t>FLUORESCNT SCRN EA AB/2</t>
  </si>
  <si>
    <t>0072562556</t>
  </si>
  <si>
    <t>FLUORESCENT AB TITER EA/10</t>
  </si>
  <si>
    <t>FLRSCNT AB TITE</t>
  </si>
  <si>
    <t>0072562564</t>
  </si>
  <si>
    <t>FLUORESCENT AB TITER EA/11</t>
  </si>
  <si>
    <t>0072562663</t>
  </si>
  <si>
    <t>VARICELLA ZOSTER AB</t>
  </si>
  <si>
    <t>VARICEL ZSTR AB</t>
  </si>
  <si>
    <t>0072562671</t>
  </si>
  <si>
    <t>FLUORESCENT AB TITER EA/15</t>
  </si>
  <si>
    <t>0072562713</t>
  </si>
  <si>
    <t>NUCLEAR ANTIGEN AB/15</t>
  </si>
  <si>
    <t>0072562739</t>
  </si>
  <si>
    <t>VARICELLA ZOSTER AB/2</t>
  </si>
  <si>
    <t>0072562754</t>
  </si>
  <si>
    <t>NUCLEAR ANTIGEN AB/17</t>
  </si>
  <si>
    <t>0072562788</t>
  </si>
  <si>
    <t>0072562820</t>
  </si>
  <si>
    <t>N-METHYL-D-ASPARTATE RECEPT</t>
  </si>
  <si>
    <t>ASPARTATE RECEP</t>
  </si>
  <si>
    <t>0072562879</t>
  </si>
  <si>
    <t>0072562895</t>
  </si>
  <si>
    <t>HEP B CORE AB TOTAL</t>
  </si>
  <si>
    <t>HBC AB TOTAL</t>
  </si>
  <si>
    <t>0072562911</t>
  </si>
  <si>
    <t>HEPATITIS A AB</t>
  </si>
  <si>
    <t>HEP A AB</t>
  </si>
  <si>
    <t>0072562929</t>
  </si>
  <si>
    <t>HEPATITIS DELTA AGENT AB/2</t>
  </si>
  <si>
    <t>HEP DELTA AB/2</t>
  </si>
  <si>
    <t>0072562937</t>
  </si>
  <si>
    <t>HEPATITIS BE IA</t>
  </si>
  <si>
    <t>HBE IA</t>
  </si>
  <si>
    <t>0072562945</t>
  </si>
  <si>
    <t>0072562960</t>
  </si>
  <si>
    <t>HEPATITIS BE ANTIBODY</t>
  </si>
  <si>
    <t>HEPATITIS BE AB</t>
  </si>
  <si>
    <t>0072562986</t>
  </si>
  <si>
    <t>HERPES AB SMPLX TYPE 1</t>
  </si>
  <si>
    <t>HERPES SMPLX 1</t>
  </si>
  <si>
    <t>0072562994</t>
  </si>
  <si>
    <t>HERPES AB SMPLX TYPE 2/2</t>
  </si>
  <si>
    <t>HERPES SMPLX 2</t>
  </si>
  <si>
    <t>0072563034</t>
  </si>
  <si>
    <t>0072563042</t>
  </si>
  <si>
    <t>0072563125</t>
  </si>
  <si>
    <t>LYME DISEASE AB/2</t>
  </si>
  <si>
    <t>LYME DISEASE AB</t>
  </si>
  <si>
    <t>0072563166</t>
  </si>
  <si>
    <t>PSA TOTAL</t>
  </si>
  <si>
    <t>0072563190</t>
  </si>
  <si>
    <t>IA INFECT AGENT AB QN NOS/6</t>
  </si>
  <si>
    <t>IA INF AG AB QN</t>
  </si>
  <si>
    <t>0072563224</t>
  </si>
  <si>
    <t>HTLV/HIV CONFIRM AB</t>
  </si>
  <si>
    <t>HTLV/HIV CONF A</t>
  </si>
  <si>
    <t>0072563232</t>
  </si>
  <si>
    <t>HIV 1 AMP PROBE</t>
  </si>
  <si>
    <t>HIV 1 AMP PRB</t>
  </si>
  <si>
    <t>0072563323</t>
  </si>
  <si>
    <t>COMPLEMENT AG EA/10</t>
  </si>
  <si>
    <t>0072563331</t>
  </si>
  <si>
    <t>COMPLEMENT AG EA/11</t>
  </si>
  <si>
    <t>0072563448</t>
  </si>
  <si>
    <t>IMMUNOFIX ELECTRO OTHER SR/4</t>
  </si>
  <si>
    <t>I.F.E OTH SR/4</t>
  </si>
  <si>
    <t>0072563604</t>
  </si>
  <si>
    <t>T CELLS T4/T8 INC RATIO</t>
  </si>
  <si>
    <t>T CELLS T4/T8</t>
  </si>
  <si>
    <t>0072563612</t>
  </si>
  <si>
    <t>T-CELLS ABSOLUTE CD4 CNT</t>
  </si>
  <si>
    <t>T-CELLS CD4 CNT</t>
  </si>
  <si>
    <t>0072563638</t>
  </si>
  <si>
    <t>CRP HI SENSITIVITY</t>
  </si>
  <si>
    <t>CRP HI SNSITVTY</t>
  </si>
  <si>
    <t>0072563679</t>
  </si>
  <si>
    <t>ADENOSINE DEAMINASE</t>
  </si>
  <si>
    <t>ADENO DEAMINASE</t>
  </si>
  <si>
    <t>0072563745</t>
  </si>
  <si>
    <t>MICROSOMAL ANTIBODY EA/2</t>
  </si>
  <si>
    <t>0072563760</t>
  </si>
  <si>
    <t>MICROSOMAL ANTIBODY EA/4</t>
  </si>
  <si>
    <t>0072563786</t>
  </si>
  <si>
    <t>NUCLEAR ANTIGEN AB/20</t>
  </si>
  <si>
    <t>NUCLEAR AG AB/2</t>
  </si>
  <si>
    <t>0072563828</t>
  </si>
  <si>
    <t>CARDIOLIPIN AB EA IG/2</t>
  </si>
  <si>
    <t>CARDIOLIPIN AB</t>
  </si>
  <si>
    <t>0072563851</t>
  </si>
  <si>
    <t>CARDIOLIPIN AB EA IG/3</t>
  </si>
  <si>
    <t>0072563869</t>
  </si>
  <si>
    <t>CARDIOLIPIN AB EA IG/4</t>
  </si>
  <si>
    <t>0072564305</t>
  </si>
  <si>
    <t>ISLET CELL ANTIBODY/5</t>
  </si>
  <si>
    <t>ISLET CELL AB/5</t>
  </si>
  <si>
    <t>0072564321</t>
  </si>
  <si>
    <t>RHEUMATOID FACTOR QUANT</t>
  </si>
  <si>
    <t>RA FACTOR QUANT</t>
  </si>
  <si>
    <t>0072564370</t>
  </si>
  <si>
    <t>RICKETTSIA AB/2</t>
  </si>
  <si>
    <t>0072564396</t>
  </si>
  <si>
    <t>RICKETTSIA AB/3</t>
  </si>
  <si>
    <t>0072564404</t>
  </si>
  <si>
    <t>RICKETTSIA AB/4</t>
  </si>
  <si>
    <t>0072564412</t>
  </si>
  <si>
    <t>RICKETTSIA AB/5</t>
  </si>
  <si>
    <t>0072564651</t>
  </si>
  <si>
    <t>ANTI-RI</t>
  </si>
  <si>
    <t>0072565419</t>
  </si>
  <si>
    <t>Q FEVER AB</t>
  </si>
  <si>
    <t>0072565682</t>
  </si>
  <si>
    <t>ENTEROVIRUS AB</t>
  </si>
  <si>
    <t>0072565922</t>
  </si>
  <si>
    <t>0072565948</t>
  </si>
  <si>
    <t>SYPHILIS NONTREP QUAL/2</t>
  </si>
  <si>
    <t>0072566060</t>
  </si>
  <si>
    <t>ASPERGILLUS AB</t>
  </si>
  <si>
    <t>0072566078</t>
  </si>
  <si>
    <t>ASPERGILLUS AB/2</t>
  </si>
  <si>
    <t>0072566110</t>
  </si>
  <si>
    <t>BARTONELLA AB/3</t>
  </si>
  <si>
    <t>0072566128</t>
  </si>
  <si>
    <t>BARTONELLA AB/4</t>
  </si>
  <si>
    <t>0072566136</t>
  </si>
  <si>
    <t>BARTONELLA AB/5</t>
  </si>
  <si>
    <t>0072566144</t>
  </si>
  <si>
    <t>BARTONELLA AB/6</t>
  </si>
  <si>
    <t>0072566219</t>
  </si>
  <si>
    <t>LYME DISEASE AB/5</t>
  </si>
  <si>
    <t>0072566227</t>
  </si>
  <si>
    <t>BRUCELLA AB</t>
  </si>
  <si>
    <t>0072566284</t>
  </si>
  <si>
    <t>BRUCELLA AB/2</t>
  </si>
  <si>
    <t>0072566292</t>
  </si>
  <si>
    <t>CHLAMYDIA IGM</t>
  </si>
  <si>
    <t>0072566326</t>
  </si>
  <si>
    <t>CHLAMYDIA IGM/2</t>
  </si>
  <si>
    <t>0072566342</t>
  </si>
  <si>
    <t>SHIGA-TOXIN IA</t>
  </si>
  <si>
    <t>0072566359</t>
  </si>
  <si>
    <t>BRUCELLA AB/3</t>
  </si>
  <si>
    <t>0072566458</t>
  </si>
  <si>
    <t>CYTOMEGALOVIRUS AB IGM</t>
  </si>
  <si>
    <t>CMV AB IGM</t>
  </si>
  <si>
    <t>0072566508</t>
  </si>
  <si>
    <t>0072566607</t>
  </si>
  <si>
    <t>ENTEROVIRUS AB/6</t>
  </si>
  <si>
    <t>ENTEROVIRUS AB/</t>
  </si>
  <si>
    <t>0072566631</t>
  </si>
  <si>
    <t>EPSTEIN-BARR VIRUS NA AB</t>
  </si>
  <si>
    <t>EB VIRUS NA AB</t>
  </si>
  <si>
    <t>0072566649</t>
  </si>
  <si>
    <t>ENTEROVIRUS AB/9</t>
  </si>
  <si>
    <t>0072566656</t>
  </si>
  <si>
    <t>ENTEROVIRUS AB/10</t>
  </si>
  <si>
    <t>0072566672</t>
  </si>
  <si>
    <t>ENTEROVIRUS AB/11</t>
  </si>
  <si>
    <t>0072566680</t>
  </si>
  <si>
    <t>ENTEROVIRUS AB/12</t>
  </si>
  <si>
    <t>0072566698</t>
  </si>
  <si>
    <t>ENTEROVIRUS AB/13</t>
  </si>
  <si>
    <t>0072566714</t>
  </si>
  <si>
    <t>FUNGUS AB NES</t>
  </si>
  <si>
    <t>0072566722</t>
  </si>
  <si>
    <t>FUNGUS AB NES/2</t>
  </si>
  <si>
    <t>0072566730</t>
  </si>
  <si>
    <t>ENTEROVIRUS AB/15</t>
  </si>
  <si>
    <t>0072566755</t>
  </si>
  <si>
    <t>ENTEROVIRUS AB/16</t>
  </si>
  <si>
    <t>0072566771</t>
  </si>
  <si>
    <t>ENTEROVIRUS AB/17</t>
  </si>
  <si>
    <t>0072566789</t>
  </si>
  <si>
    <t>ENTEROVIRUS AB/18</t>
  </si>
  <si>
    <t>0072566847</t>
  </si>
  <si>
    <t>HELMINTH AB NES/8</t>
  </si>
  <si>
    <t>0072566953</t>
  </si>
  <si>
    <t>HERPES AB SMPLX/2</t>
  </si>
  <si>
    <t>HERPES AB SMPLX</t>
  </si>
  <si>
    <t>0072566979</t>
  </si>
  <si>
    <t>HERPES AB SMPLX TYPE 1/3</t>
  </si>
  <si>
    <t>0072566987</t>
  </si>
  <si>
    <t>HERPES AB SMPLX/3</t>
  </si>
  <si>
    <t>0072567019</t>
  </si>
  <si>
    <t>HIV 1 AB</t>
  </si>
  <si>
    <t>0072567027</t>
  </si>
  <si>
    <t>HIV 2 AB</t>
  </si>
  <si>
    <t>0072567035</t>
  </si>
  <si>
    <t>0072567043</t>
  </si>
  <si>
    <t>HEP B CORE AB TOTAL/2</t>
  </si>
  <si>
    <t>HBC AB TOTAL/2</t>
  </si>
  <si>
    <t>0072567068</t>
  </si>
  <si>
    <t>0072567126</t>
  </si>
  <si>
    <t>MUMPS AB</t>
  </si>
  <si>
    <t>0072567159</t>
  </si>
  <si>
    <t>RUBEOLA AB</t>
  </si>
  <si>
    <t>0072567217</t>
  </si>
  <si>
    <t>COCCIDIOIDES ANTIBODY/4</t>
  </si>
  <si>
    <t>0072567225</t>
  </si>
  <si>
    <t>COCCIDIOIDES ANTIBODY/5</t>
  </si>
  <si>
    <t>0072567241</t>
  </si>
  <si>
    <t>LEGIONELLA AB/2</t>
  </si>
  <si>
    <t>0072567274</t>
  </si>
  <si>
    <t>LYMPH CHORIOMENINGIT AB</t>
  </si>
  <si>
    <t>LYMPH CHORIO AB</t>
  </si>
  <si>
    <t>0072567357</t>
  </si>
  <si>
    <t>MUMPS AB/3</t>
  </si>
  <si>
    <t>0072567399</t>
  </si>
  <si>
    <t>MYCOPLASMA AB/3</t>
  </si>
  <si>
    <t>0072567407</t>
  </si>
  <si>
    <t>MYCOPLASMA AB/4</t>
  </si>
  <si>
    <t>0072567480</t>
  </si>
  <si>
    <t>PARVOVIRUS AB/3</t>
  </si>
  <si>
    <t>0072567530</t>
  </si>
  <si>
    <t>PROTOZOA AB NES/8</t>
  </si>
  <si>
    <t>PROTOZOA AB NES</t>
  </si>
  <si>
    <t>0072567571</t>
  </si>
  <si>
    <t>RICKETTSIA AB/8</t>
  </si>
  <si>
    <t>0072567621</t>
  </si>
  <si>
    <t>RUBELLA AB/3</t>
  </si>
  <si>
    <t>0072567654</t>
  </si>
  <si>
    <t>RUBEOLA AB/2</t>
  </si>
  <si>
    <t>0072567779</t>
  </si>
  <si>
    <t>TOXOPLASMA AB/3</t>
  </si>
  <si>
    <t>0072567787</t>
  </si>
  <si>
    <t>TOXOPLASMA AB/4</t>
  </si>
  <si>
    <t>0072567795</t>
  </si>
  <si>
    <t>TREPONEMA PALLIDUM AB/2</t>
  </si>
  <si>
    <t>TREP PALLIDUM/2</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</si>
  <si>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</si>
  <si>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</si>
  <si>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</si>
  <si>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</si>
  <si>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</si>
  <si>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</si>
  <si>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</si>
  <si>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</si>
  <si>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</si>
  <si>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</si>
  <si>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</si>
  <si>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</si>
  <si>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</si>
  <si>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</si>
  <si>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</si>
  <si>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0072567902</t>
  </si>
  <si>
    <t>HEPATITIS E AB</t>
  </si>
  <si>
    <t>HEP E AB</t>
  </si>
  <si>
    <t>0072567910</t>
  </si>
  <si>
    <t>HTLV ANTIBODY/2</t>
  </si>
  <si>
    <t>HTLV AB/2</t>
  </si>
  <si>
    <t>0072567951</t>
  </si>
  <si>
    <t>HEPATITIS E AB/2</t>
  </si>
  <si>
    <t>HEP E AB/2</t>
  </si>
  <si>
    <t>0072568009</t>
  </si>
  <si>
    <t>THYROGLOBULIN AB/2</t>
  </si>
  <si>
    <t>THYROGLOBLN AB/</t>
  </si>
  <si>
    <t>0072568033</t>
  </si>
  <si>
    <t>HEPATITIS C ANTIBODY/2</t>
  </si>
  <si>
    <t>HEPATITIS C AB/</t>
  </si>
  <si>
    <t>0072568041</t>
  </si>
  <si>
    <t>HEPATITIS C AB CONFIRM TST</t>
  </si>
  <si>
    <t>HEP C AB CONF T</t>
  </si>
  <si>
    <t>0072568058</t>
  </si>
  <si>
    <t>HEPATITIS C AB CONFIRM TST/2</t>
  </si>
  <si>
    <t>0072568983</t>
  </si>
  <si>
    <t>PROTEIN S FREE/4</t>
  </si>
  <si>
    <t>0072569007</t>
  </si>
  <si>
    <t>0072569031</t>
  </si>
  <si>
    <t>CHLAMYDIA AB/5</t>
  </si>
  <si>
    <t>0072569155</t>
  </si>
  <si>
    <t>CYTOMEGALOVIRUS AB/2</t>
  </si>
  <si>
    <t>CMV AB/2</t>
  </si>
  <si>
    <t>0072569239</t>
  </si>
  <si>
    <t>TOXOPLASMA AB IGM</t>
  </si>
  <si>
    <t>TOXO AB IGM</t>
  </si>
  <si>
    <t>0072569296</t>
  </si>
  <si>
    <t>BORDETELLA AB/3</t>
  </si>
  <si>
    <t>0072569312</t>
  </si>
  <si>
    <t>ASPERGILLUS AB/3</t>
  </si>
  <si>
    <t>ASPERGILLUS AB/</t>
  </si>
  <si>
    <t>0072569338</t>
  </si>
  <si>
    <t>ASPERGILLUS AB/5</t>
  </si>
  <si>
    <t>0072569452</t>
  </si>
  <si>
    <t>CHLAMYDIA IGM/3</t>
  </si>
  <si>
    <t>0072570179</t>
  </si>
  <si>
    <t>CONCENTRATION INF AGENT/4</t>
  </si>
  <si>
    <t>CONCNTRTN INF A</t>
  </si>
  <si>
    <t>0072571011</t>
  </si>
  <si>
    <t>0072571037</t>
  </si>
  <si>
    <t>CULTURE FUNGI BLOOD</t>
  </si>
  <si>
    <t>CULT FUNG BLOOD</t>
  </si>
  <si>
    <t>0072571045</t>
  </si>
  <si>
    <t>CULTURE FUNGI OTHER</t>
  </si>
  <si>
    <t>0072571102</t>
  </si>
  <si>
    <t>CULTURE CHLAMYDIA</t>
  </si>
  <si>
    <t>CHLAMYDIA CULT</t>
  </si>
  <si>
    <t>0072571169</t>
  </si>
  <si>
    <t>CULTURE AFB</t>
  </si>
  <si>
    <t>CULT AFB</t>
  </si>
  <si>
    <t>0072571367</t>
  </si>
  <si>
    <t>LYME AMP PROBE/2</t>
  </si>
  <si>
    <t>LYM AMP PRB/2</t>
  </si>
  <si>
    <t>0072571409</t>
  </si>
  <si>
    <t>CULTURE TYPNG FLUORO EA</t>
  </si>
  <si>
    <t>CULT TYPING FM</t>
  </si>
  <si>
    <t>0072571490</t>
  </si>
  <si>
    <t>CULT DIR PRB EA ORGANISM/2</t>
  </si>
  <si>
    <t>CULT DIR PRB EA</t>
  </si>
  <si>
    <t>0072571748</t>
  </si>
  <si>
    <t>EXAM MACRO PARASITE</t>
  </si>
  <si>
    <t>EXAM PARASITE</t>
  </si>
  <si>
    <t>0072571763</t>
  </si>
  <si>
    <t>TISSUE GRIND FOR CULTURE</t>
  </si>
  <si>
    <t>TISS GRIND CULT</t>
  </si>
  <si>
    <t>0072571771</t>
  </si>
  <si>
    <t>OVA &amp; PARASITES SMEARS/2</t>
  </si>
  <si>
    <t>OVA/PARAS SMEAR</t>
  </si>
  <si>
    <t>0072571797</t>
  </si>
  <si>
    <t>CHLAMYDIA DIRECT PRB/2</t>
  </si>
  <si>
    <t>CHLAMYDIA DIR P</t>
  </si>
  <si>
    <t>0072571862</t>
  </si>
  <si>
    <t>0072571920</t>
  </si>
  <si>
    <t>VISCOSITY</t>
  </si>
  <si>
    <t>0072571987</t>
  </si>
  <si>
    <t>SMEAR FLUORESCENT/AFS</t>
  </si>
  <si>
    <t>SMEAR FLUOR/AFS</t>
  </si>
  <si>
    <t>0072572100</t>
  </si>
  <si>
    <t>SMEAR FLUORESCENT/AFS/3</t>
  </si>
  <si>
    <t>0072572522</t>
  </si>
  <si>
    <t>TISS CULT INOC/OBSERV/5</t>
  </si>
  <si>
    <t>OTHR VIRUS CULT</t>
  </si>
  <si>
    <t>0072572605</t>
  </si>
  <si>
    <t>HSV CUL W/ID NON IMMUNO</t>
  </si>
  <si>
    <t>HSV CUL/ID NIMM</t>
  </si>
  <si>
    <t>0072572787</t>
  </si>
  <si>
    <t>LEGIONELLA PNEUMOPHILA/2</t>
  </si>
  <si>
    <t>LGN PNEUMOPHILA</t>
  </si>
  <si>
    <t>0072572811</t>
  </si>
  <si>
    <t>PNEUMOCYST CARIN DFA</t>
  </si>
  <si>
    <t>PNEUM CARIN DFA</t>
  </si>
  <si>
    <t>0072573389</t>
  </si>
  <si>
    <t>H. PYLORI STOOL IA</t>
  </si>
  <si>
    <t>H.PYLORI IA</t>
  </si>
  <si>
    <t>0072573868</t>
  </si>
  <si>
    <t>HISTOPLASMA IA</t>
  </si>
  <si>
    <t>0072573892</t>
  </si>
  <si>
    <t>HIV I AG HIV I HIV II AB/2</t>
  </si>
  <si>
    <t>HIV AG AB COMBO</t>
  </si>
  <si>
    <t>0072574502</t>
  </si>
  <si>
    <t>INFECTIOUS AGNT NOS IA/2</t>
  </si>
  <si>
    <t>INF AGNT IA/2</t>
  </si>
  <si>
    <t>0072574536</t>
  </si>
  <si>
    <t>COCCIDIOIDES ANTIBODY/6</t>
  </si>
  <si>
    <t>0072574841</t>
  </si>
  <si>
    <t>CNS PATHOGENS 12-25/2</t>
  </si>
  <si>
    <t>0072574916</t>
  </si>
  <si>
    <t>CHLAMYDIA AMP PROBE/3</t>
  </si>
  <si>
    <t>CHLAMYD AMP PRB</t>
  </si>
  <si>
    <t>0072574924</t>
  </si>
  <si>
    <t>CHLAMYDIA AMP PROBE/2</t>
  </si>
  <si>
    <t>0072574973</t>
  </si>
  <si>
    <t>CMV QUANT/2</t>
  </si>
  <si>
    <t>0072575004</t>
  </si>
  <si>
    <t>CYTOMEGALOVIRUS AMP PRB</t>
  </si>
  <si>
    <t>CMV AMP PRB</t>
  </si>
  <si>
    <t>0072575020</t>
  </si>
  <si>
    <t>INFLUENZA EA TYPE/SUB</t>
  </si>
  <si>
    <t>FLU EA TYPE</t>
  </si>
  <si>
    <t>0072575038</t>
  </si>
  <si>
    <t>INFLUENZA 1ST 2 TYPE/SUB</t>
  </si>
  <si>
    <t>FLU 1ST 2</t>
  </si>
  <si>
    <t>0072575087</t>
  </si>
  <si>
    <t>GI PATHOGEN 12-15 AMP PROBE</t>
  </si>
  <si>
    <t>GI PATH 12-15 A</t>
  </si>
  <si>
    <t>0072575186</t>
  </si>
  <si>
    <t>HEP B AMP PROBE</t>
  </si>
  <si>
    <t>0072575210</t>
  </si>
  <si>
    <t>HEP C AMPLIFIED PROBE</t>
  </si>
  <si>
    <t>0072575236</t>
  </si>
  <si>
    <t>HCV GENOTYPE</t>
  </si>
  <si>
    <t>0072575293</t>
  </si>
  <si>
    <t>HERPES SIMPLX AMP PRB/3</t>
  </si>
  <si>
    <t>HERPES SMPLX AM</t>
  </si>
  <si>
    <t>0072575301</t>
  </si>
  <si>
    <t>HERPES SIMPLX AMP PRB/2</t>
  </si>
  <si>
    <t>0072575319</t>
  </si>
  <si>
    <t>HERPES SIMPLX AMP PRB</t>
  </si>
  <si>
    <t>0072575327</t>
  </si>
  <si>
    <t>HSV-6 AMP PROBE</t>
  </si>
  <si>
    <t>0072575368</t>
  </si>
  <si>
    <t>HIV-1 QUANT</t>
  </si>
  <si>
    <t>HIV-1 QNT</t>
  </si>
  <si>
    <t>0072575376</t>
  </si>
  <si>
    <t>HIV-1 QUANT/5</t>
  </si>
  <si>
    <t>HIV-1 QNT/5</t>
  </si>
  <si>
    <t>0072575566</t>
  </si>
  <si>
    <t>MTB AMP PROBE</t>
  </si>
  <si>
    <t>MTB AMP PRB</t>
  </si>
  <si>
    <t>0072575921</t>
  </si>
  <si>
    <t>GC DNA AMP PROBE</t>
  </si>
  <si>
    <t>GC DNA AMP PRB</t>
  </si>
  <si>
    <t>0072576234</t>
  </si>
  <si>
    <t>INFECT AGNT NOS QUANT/4</t>
  </si>
  <si>
    <t>INFECT AGNT QN/</t>
  </si>
  <si>
    <t>0072576325</t>
  </si>
  <si>
    <t>RSV AMP PROBE</t>
  </si>
  <si>
    <t>0072576341</t>
  </si>
  <si>
    <t>RESP VIR 12-25 TARGETS</t>
  </si>
  <si>
    <t>0072577802</t>
  </si>
  <si>
    <t>INFECT AGNT NOS AMP PRB/7</t>
  </si>
  <si>
    <t>INFECT AGNT AMP</t>
  </si>
  <si>
    <t>0072577968</t>
  </si>
  <si>
    <t>INFECT AGNT NOS AMP PRB/48</t>
  </si>
  <si>
    <t>0072577976</t>
  </si>
  <si>
    <t>INFECT AGNT NOS AMP PRB/26</t>
  </si>
  <si>
    <t>0072578008</t>
  </si>
  <si>
    <t>INFECT AGNT NOS QUANT/2</t>
  </si>
  <si>
    <t>0072578024</t>
  </si>
  <si>
    <t>INFECT AGNT NOS AMP PRB/43</t>
  </si>
  <si>
    <t>0072578107</t>
  </si>
  <si>
    <t>INFECT AGNT NOS AMP PRB/8</t>
  </si>
  <si>
    <t>0072578222</t>
  </si>
  <si>
    <t>INFECT AGNT NOS QUANT</t>
  </si>
  <si>
    <t>INFECT AGNT QN</t>
  </si>
  <si>
    <t>0072578933</t>
  </si>
  <si>
    <t>INFECT AGNT NOS DIR OPT/13</t>
  </si>
  <si>
    <t>0072579006</t>
  </si>
  <si>
    <t>INFECT AGNT NOS DIR OPT/2</t>
  </si>
  <si>
    <t>0072579022</t>
  </si>
  <si>
    <t>HIV GENO PROTEAS REGION</t>
  </si>
  <si>
    <t>HIV 1 GENO PRT</t>
  </si>
  <si>
    <t>0072579121</t>
  </si>
  <si>
    <t>INFECTIOUS AGNT NOS IA/5</t>
  </si>
  <si>
    <t>INF AGNT IA/5</t>
  </si>
  <si>
    <t>0072579204</t>
  </si>
  <si>
    <t>INFECT AGNT NOS DIR OPT/4</t>
  </si>
  <si>
    <t>0072580178</t>
  </si>
  <si>
    <t>0072580426</t>
  </si>
  <si>
    <t>0072581424</t>
  </si>
  <si>
    <t>CYTO C/V PREP SCREEN</t>
  </si>
  <si>
    <t>CYTO C/V PREP S</t>
  </si>
  <si>
    <t>0072581739</t>
  </si>
  <si>
    <t>0072581853</t>
  </si>
  <si>
    <t>0072582265</t>
  </si>
  <si>
    <t>BACLOFEN</t>
  </si>
  <si>
    <t>0072582273</t>
  </si>
  <si>
    <t>HGB FECAL IA</t>
  </si>
  <si>
    <t>0072582521</t>
  </si>
  <si>
    <t>COLLAGEN CROSS LINKS/6</t>
  </si>
  <si>
    <t>0072582786</t>
  </si>
  <si>
    <t>GAMMAGLOBULIN EA/11</t>
  </si>
  <si>
    <t>GAMAGLOB EA/11</t>
  </si>
  <si>
    <t>0072582943</t>
  </si>
  <si>
    <t>CREATININE OTHR SRCE/6</t>
  </si>
  <si>
    <t>0072583131</t>
  </si>
  <si>
    <t>SPEC STAIN TRICH OVA/PARA</t>
  </si>
  <si>
    <t>SPEC STN TRICHR</t>
  </si>
  <si>
    <t>0072583164</t>
  </si>
  <si>
    <t>CANNABINOID GC/MS QUANT</t>
  </si>
  <si>
    <t>CANNABINOID QT</t>
  </si>
  <si>
    <t>0072583339</t>
  </si>
  <si>
    <t>CHROM/MASS SPEC NES QL/28</t>
  </si>
  <si>
    <t>CHRM/MASS NES/2</t>
  </si>
  <si>
    <t>0072583354</t>
  </si>
  <si>
    <t>VOLTAGE GATED POTASSIUM</t>
  </si>
  <si>
    <t>VGKC AB</t>
  </si>
  <si>
    <t>0072583529</t>
  </si>
  <si>
    <t>0072583545</t>
  </si>
  <si>
    <t>TISS TRANSGLUTAMINASE AB/6</t>
  </si>
  <si>
    <t>0072583743</t>
  </si>
  <si>
    <t>0072583859</t>
  </si>
  <si>
    <t>ACHR ANTIBODY/3</t>
  </si>
  <si>
    <t>ACHR AB/3</t>
  </si>
  <si>
    <t>0072584220</t>
  </si>
  <si>
    <t>OLIGOCLONAL BANDS/3</t>
  </si>
  <si>
    <t>0072584246</t>
  </si>
  <si>
    <t>RENIN</t>
  </si>
  <si>
    <t>0072584436</t>
  </si>
  <si>
    <t>RECEPT ASSAY NON-ENDOCRN/7</t>
  </si>
  <si>
    <t>0072584477</t>
  </si>
  <si>
    <t>TRIGLYCERIDES/4</t>
  </si>
  <si>
    <t>TRIGLYCER/4</t>
  </si>
  <si>
    <t>0072584501</t>
  </si>
  <si>
    <t>B-TYP NATRIURETC PEPTIDE/2</t>
  </si>
  <si>
    <t>0072584550</t>
  </si>
  <si>
    <t>OPIATES/6</t>
  </si>
  <si>
    <t>0072584683</t>
  </si>
  <si>
    <t>WESTERN BLOT BAND ID/6</t>
  </si>
  <si>
    <t>WESTERN BLT BAN</t>
  </si>
  <si>
    <t>0072585268</t>
  </si>
  <si>
    <t>FACTOR ANTIGEN</t>
  </si>
  <si>
    <t>FACTOR AG</t>
  </si>
  <si>
    <t>0072585391</t>
  </si>
  <si>
    <t>ADAMTS 13 ACTIVITY</t>
  </si>
  <si>
    <t>ADAMTS 13 ACT</t>
  </si>
  <si>
    <t>0072585409</t>
  </si>
  <si>
    <t>ADAMTS 13 ACTIVITY/2</t>
  </si>
  <si>
    <t>ADAMTS 13 ACT/2</t>
  </si>
  <si>
    <t>0072586159</t>
  </si>
  <si>
    <t>ANTI NMDA RECEPTOR AB</t>
  </si>
  <si>
    <t>ANTI NMDA AB</t>
  </si>
  <si>
    <t>0072586233</t>
  </si>
  <si>
    <t>NUCLEAR ANTIGEN AB/23</t>
  </si>
  <si>
    <t>0072586266</t>
  </si>
  <si>
    <t>NUCLEAR ANTIGEN AB/24</t>
  </si>
  <si>
    <t>0072586290</t>
  </si>
  <si>
    <t>NUCLEAR ANTIGEN AB/25</t>
  </si>
  <si>
    <t>0072586332</t>
  </si>
  <si>
    <t>IMMUNODIFFUSION GEL QUAL/6</t>
  </si>
  <si>
    <t>IMMUNDIF GEL QL</t>
  </si>
  <si>
    <t>0072586340</t>
  </si>
  <si>
    <t>IMMUNOFIX ELECTRO SERUM/4</t>
  </si>
  <si>
    <t>I.F.E SERUM/4</t>
  </si>
  <si>
    <t>0072586365</t>
  </si>
  <si>
    <t>T CELLS T4/T8 INC RATIO/2</t>
  </si>
  <si>
    <t>T CELLS T4/T8/2</t>
  </si>
  <si>
    <t>0072586381</t>
  </si>
  <si>
    <t>FLUORESCENT AB TITER EA/20</t>
  </si>
  <si>
    <t>0072586407</t>
  </si>
  <si>
    <t>MICROSOMAL ANTIBODY EA/5</t>
  </si>
  <si>
    <t>0072586456</t>
  </si>
  <si>
    <t>ISLET CELL ANTIBODY/7</t>
  </si>
  <si>
    <t>ISLET CELL AB/7</t>
  </si>
  <si>
    <t>0072586480</t>
  </si>
  <si>
    <t>TB TEST CELL AG RESPONSE</t>
  </si>
  <si>
    <t>TB TEST CELL AG</t>
  </si>
  <si>
    <t>0072586589</t>
  </si>
  <si>
    <t>PARIETAL CELL AB</t>
  </si>
  <si>
    <t>PARIETL CELL AB</t>
  </si>
  <si>
    <t>0072586704</t>
  </si>
  <si>
    <t>RETICULIN AB/2</t>
  </si>
  <si>
    <t>0072586738</t>
  </si>
  <si>
    <t>HISTONE AB</t>
  </si>
  <si>
    <t>0072586753</t>
  </si>
  <si>
    <t>HEPATITIS B QUANT/3</t>
  </si>
  <si>
    <t>HEP B QUANT/3</t>
  </si>
  <si>
    <t>0072586761</t>
  </si>
  <si>
    <t>ENDOMYSIAL AB</t>
  </si>
  <si>
    <t>ANTI ENDOMYSIAL</t>
  </si>
  <si>
    <t>0072586779</t>
  </si>
  <si>
    <t>EPSTEIN-BARR VIRUS VCA AB/3</t>
  </si>
  <si>
    <t>EB VIRUS VCA AB</t>
  </si>
  <si>
    <t>0072586787</t>
  </si>
  <si>
    <t>EPSTEIN-BARR VIRUS VCA AB/4</t>
  </si>
  <si>
    <t>0072586803</t>
  </si>
  <si>
    <t>HERPES AB SMPLX TYPE 2/7</t>
  </si>
  <si>
    <t>0072586811</t>
  </si>
  <si>
    <t>COCCIDIOIDES ANTIBODY/8</t>
  </si>
  <si>
    <t>0072586829</t>
  </si>
  <si>
    <t>COCCIDIOIDES ANTIBODY/9</t>
  </si>
  <si>
    <t>0072586860</t>
  </si>
  <si>
    <t>HERPES AB SMPLX/5</t>
  </si>
  <si>
    <t>0072587017</t>
  </si>
  <si>
    <t>HERPES AB SMPLX/6</t>
  </si>
  <si>
    <t>0072587108</t>
  </si>
  <si>
    <t>LYMPH CHORIOMENINGIT AB/3</t>
  </si>
  <si>
    <t>0072587157</t>
  </si>
  <si>
    <t>CULT DIR PRB EA ORGANISM/3</t>
  </si>
  <si>
    <t>0072587249</t>
  </si>
  <si>
    <t>SUSCEPTIBLTY MACROBROTH/4</t>
  </si>
  <si>
    <t>SENSITIV MACBUR</t>
  </si>
  <si>
    <t>0072587256</t>
  </si>
  <si>
    <t>VIRUS INOC SHELL EACH/4</t>
  </si>
  <si>
    <t>VIRUS INNOC EA/</t>
  </si>
  <si>
    <t>0072587280</t>
  </si>
  <si>
    <t>ENTEROVIRUS AB/27</t>
  </si>
  <si>
    <t>0072587306</t>
  </si>
  <si>
    <t>ASPERGILLUS IA/2</t>
  </si>
  <si>
    <t>ASPERGILLUS IA/</t>
  </si>
  <si>
    <t>0072587496</t>
  </si>
  <si>
    <t>CHLAMYDIA DIRECT PRB</t>
  </si>
  <si>
    <t>0072587504</t>
  </si>
  <si>
    <t>ENTEROVIRUS AMP PROBE/2</t>
  </si>
  <si>
    <t>ENTERO AMP PRB/</t>
  </si>
  <si>
    <t>0072587827</t>
  </si>
  <si>
    <t>INFECT AGNT NOS AMP PRB/5</t>
  </si>
  <si>
    <t>0072587876</t>
  </si>
  <si>
    <t>INFECT AGNT NOS AMP PRB/15</t>
  </si>
  <si>
    <t>0072587926</t>
  </si>
  <si>
    <t>INFECT AGNT NOS QUANT/3</t>
  </si>
  <si>
    <t>0072587934</t>
  </si>
  <si>
    <t>INFECT AGNT NOS DIR OPT/3</t>
  </si>
  <si>
    <t>0072587983</t>
  </si>
  <si>
    <t>INFECT AGNT NOS AMP PRB/21</t>
  </si>
  <si>
    <t>0072588320</t>
  </si>
  <si>
    <t>MOLECULR CYTO DNA PRB EA</t>
  </si>
  <si>
    <t>MOL CYTO DNA</t>
  </si>
  <si>
    <t>0072589161</t>
  </si>
  <si>
    <t>MEAT FIBERS FECES</t>
  </si>
  <si>
    <t>MEAT FIBRS FECS</t>
  </si>
  <si>
    <t>0072592009</t>
  </si>
  <si>
    <t>HLA I AG EQUIV EACH LOW/2</t>
  </si>
  <si>
    <t>HLA I LOW/2</t>
  </si>
  <si>
    <t>0072592025</t>
  </si>
  <si>
    <t>BCR/ABL1 MAJOR BREAKPNT/2</t>
  </si>
  <si>
    <t>BCR/ABL1 MAJOR/</t>
  </si>
  <si>
    <t>0072592033</t>
  </si>
  <si>
    <t>BCR/ABL 1 MINOR BREAKPNT/2</t>
  </si>
  <si>
    <t>BCR/ABL 1 MINOR</t>
  </si>
  <si>
    <t>0072592074</t>
  </si>
  <si>
    <t>F5 LEIDEN VARIANT</t>
  </si>
  <si>
    <t>F5 LEIDEN</t>
  </si>
  <si>
    <t>0072592082</t>
  </si>
  <si>
    <t>F2 GENE ANLS VARIANT/2</t>
  </si>
  <si>
    <t>F2 VARIANT/2</t>
  </si>
  <si>
    <t>0072592090</t>
  </si>
  <si>
    <t>HBA 1/2 DELETES/VARIANTS/2</t>
  </si>
  <si>
    <t>HBA1/HBA2/2</t>
  </si>
  <si>
    <t>0072592108</t>
  </si>
  <si>
    <t>MTHFR COMMON VARIANTS</t>
  </si>
  <si>
    <t>MTHFR VARIANT</t>
  </si>
  <si>
    <t>0072592116</t>
  </si>
  <si>
    <t>HEMOCHROM COMMON VARIANT/2</t>
  </si>
  <si>
    <t>HEMOCHROM VAR/2</t>
  </si>
  <si>
    <t>0072592132</t>
  </si>
  <si>
    <t>JAK2 VARIANT/2</t>
  </si>
  <si>
    <t>0072593817</t>
  </si>
  <si>
    <t>PTH ANTIBODY/2</t>
  </si>
  <si>
    <t>0072594252</t>
  </si>
  <si>
    <t>CYTOMEGALOVIRUS AB/4</t>
  </si>
  <si>
    <t>CMV AB/4</t>
  </si>
  <si>
    <t>0072594310</t>
  </si>
  <si>
    <t>EPSTEIN-BARR VIRUS VCA AB/5</t>
  </si>
  <si>
    <t>0072599012</t>
  </si>
  <si>
    <t>0072599020</t>
  </si>
  <si>
    <t>0072599210</t>
  </si>
  <si>
    <t>CYP2C19 COMMON VARIANTS</t>
  </si>
  <si>
    <t>CYP2C19 COM VAR</t>
  </si>
  <si>
    <t>0072700099</t>
  </si>
  <si>
    <t>BCR/ABL1 MAJOR BREAKPNT</t>
  </si>
  <si>
    <t>BCR/ABL1 MAJOR</t>
  </si>
  <si>
    <t>0072700107</t>
  </si>
  <si>
    <t>BCR/ABL 1 MINOR BREAKPNT</t>
  </si>
  <si>
    <t>0072700115</t>
  </si>
  <si>
    <t>BCR/ABL1 OTHER BREAKPNT</t>
  </si>
  <si>
    <t>BCR/ABL1 OTHER</t>
  </si>
  <si>
    <t>0072700123</t>
  </si>
  <si>
    <t>BRAF V600E VARIANT</t>
  </si>
  <si>
    <t>BRAF GENE ANLS</t>
  </si>
  <si>
    <t>0072700131</t>
  </si>
  <si>
    <t>CEPBA GENE ANALYSIS</t>
  </si>
  <si>
    <t>CEPBA GENE ANAL</t>
  </si>
  <si>
    <t>0072700149</t>
  </si>
  <si>
    <t>CALR EXON 9 VARIANTS</t>
  </si>
  <si>
    <t>0072700172</t>
  </si>
  <si>
    <t>EGFR COMMON VARIANTS</t>
  </si>
  <si>
    <t>EGFR COM VAR</t>
  </si>
  <si>
    <t>0072700180</t>
  </si>
  <si>
    <t>FLT3 GENE ANALYSIS</t>
  </si>
  <si>
    <t>FLTS GENE ANLS</t>
  </si>
  <si>
    <t>0072700206</t>
  </si>
  <si>
    <t>IGH GENE ANLS AMP METHOD</t>
  </si>
  <si>
    <t>IGH AMP METHOD</t>
  </si>
  <si>
    <t>0072700214</t>
  </si>
  <si>
    <t>IGH VARIABLE MUTATION</t>
  </si>
  <si>
    <t>IGH VAR MUTATE</t>
  </si>
  <si>
    <t>0072700222</t>
  </si>
  <si>
    <t>IGK GENE REARRANGE ANLS</t>
  </si>
  <si>
    <t>IGK GENE ANLS</t>
  </si>
  <si>
    <t>0072700230</t>
  </si>
  <si>
    <t>JAK2 VARIANT</t>
  </si>
  <si>
    <t>0072700248</t>
  </si>
  <si>
    <t>KIT GENE TARGT SEQ ANLS</t>
  </si>
  <si>
    <t>KIT GENE MUTATI</t>
  </si>
  <si>
    <t>0072700271</t>
  </si>
  <si>
    <t>MLH1 GENE</t>
  </si>
  <si>
    <t>0072700313</t>
  </si>
  <si>
    <t>MICROSAT INSTABILITY ANL</t>
  </si>
  <si>
    <t>INSTABILITY ANL</t>
  </si>
  <si>
    <t>0072700321</t>
  </si>
  <si>
    <t>MYD88 GENE P.LEU265PRO VRNT</t>
  </si>
  <si>
    <t>MYD88 GENE P.LE</t>
  </si>
  <si>
    <t>0072700339</t>
  </si>
  <si>
    <t>NPM1 EXON 12 VARIANTS</t>
  </si>
  <si>
    <t>NPM1 EXN 12 VAR</t>
  </si>
  <si>
    <t>0072700362</t>
  </si>
  <si>
    <t>0072700396</t>
  </si>
  <si>
    <t>TRB AMPLIFICATION METHOD</t>
  </si>
  <si>
    <t>TRB AMPLIFICATE</t>
  </si>
  <si>
    <t>0072700404</t>
  </si>
  <si>
    <t>T CELL AG RECEPTOR GAMMA</t>
  </si>
  <si>
    <t>T CELL AG GAMA</t>
  </si>
  <si>
    <t>0072700420</t>
  </si>
  <si>
    <t>0072700511</t>
  </si>
  <si>
    <t>TARGETED GENOMIC SEQ ANALYS</t>
  </si>
  <si>
    <t>TARGETED GENOMI</t>
  </si>
  <si>
    <t>0072700529</t>
  </si>
  <si>
    <t>0072700545</t>
  </si>
  <si>
    <t>UNLISTED MOLEC PROC</t>
  </si>
  <si>
    <t>UNLIST MOLEC</t>
  </si>
  <si>
    <t>0072700560</t>
  </si>
  <si>
    <t>0072700578</t>
  </si>
  <si>
    <t>HPV HIGH RISK</t>
  </si>
  <si>
    <t>0072700586</t>
  </si>
  <si>
    <t>0072700594</t>
  </si>
  <si>
    <t>CYTO UA 3/5 PRB EA SPEC</t>
  </si>
  <si>
    <t>CYTO PRB UA</t>
  </si>
  <si>
    <t>0072700602</t>
  </si>
  <si>
    <t>CYTO UA 3-5 PB CMPT ASST</t>
  </si>
  <si>
    <t>CYTO UA 3-5 PB</t>
  </si>
  <si>
    <t>0072700610</t>
  </si>
  <si>
    <t>FLOW CYTO CELL CYCLE/DNA</t>
  </si>
  <si>
    <t>FLOW CYT CL/DNA</t>
  </si>
  <si>
    <t>0072700628</t>
  </si>
  <si>
    <t>0072700636</t>
  </si>
  <si>
    <t>0072700644</t>
  </si>
  <si>
    <t>FLOW CYTO INTERP 2-8 MARK</t>
  </si>
  <si>
    <t>FLOW CYTO 2-8 M</t>
  </si>
  <si>
    <t>0072700651</t>
  </si>
  <si>
    <t>FLOW CYTO INTERP 9-15 MARK/2</t>
  </si>
  <si>
    <t>FLOW CYTO 9-15</t>
  </si>
  <si>
    <t>0072700669</t>
  </si>
  <si>
    <t>FLOW CYTO INTERP 16+ MARK/2</t>
  </si>
  <si>
    <t>FLOW CYTO 16+ M</t>
  </si>
  <si>
    <t>0072700677</t>
  </si>
  <si>
    <t>TISSUE CULTURE LYMPHOCYTE</t>
  </si>
  <si>
    <t>TISS CULT LYMPH</t>
  </si>
  <si>
    <t>0072700685</t>
  </si>
  <si>
    <t>TISSUE CULTURE SKIN/BIOPSY</t>
  </si>
  <si>
    <t>TISS CULT SKIN/</t>
  </si>
  <si>
    <t>0072700701</t>
  </si>
  <si>
    <t>0072700719</t>
  </si>
  <si>
    <t>TISS CULT SOLID TUMOR/3</t>
  </si>
  <si>
    <t>TISS CULT TUMOR</t>
  </si>
  <si>
    <t>0072700776</t>
  </si>
  <si>
    <t>CYTO/MOLECULAR REPORT</t>
  </si>
  <si>
    <t>CYTO/MOLECULAR</t>
  </si>
  <si>
    <t>0072700784</t>
  </si>
  <si>
    <t>0072700792</t>
  </si>
  <si>
    <t>0072700800</t>
  </si>
  <si>
    <t>0072700818</t>
  </si>
  <si>
    <t>0072700826</t>
  </si>
  <si>
    <t>0072700834</t>
  </si>
  <si>
    <t>0072700842</t>
  </si>
  <si>
    <t>0072700859</t>
  </si>
  <si>
    <t>0072700867</t>
  </si>
  <si>
    <t>0072700875</t>
  </si>
  <si>
    <t>0072700883</t>
  </si>
  <si>
    <t>0072700891</t>
  </si>
  <si>
    <t>0072700909</t>
  </si>
  <si>
    <t>0072700917</t>
  </si>
  <si>
    <t>0072700925</t>
  </si>
  <si>
    <t>0072700933</t>
  </si>
  <si>
    <t>INSITU 1ST PRB CMPT ASSI</t>
  </si>
  <si>
    <t>MORPH CMPT ASST</t>
  </si>
  <si>
    <t>0072700941</t>
  </si>
  <si>
    <t>INSITU 1ST PRB MANUAL</t>
  </si>
  <si>
    <t>MORPH ANL MANL</t>
  </si>
  <si>
    <t>0072700958</t>
  </si>
  <si>
    <t>INSITU ADD PROBE MANUAL</t>
  </si>
  <si>
    <t>MORPH AD PRB</t>
  </si>
  <si>
    <t>0072700966</t>
  </si>
  <si>
    <t>INSIT E ADD PRB CMP ASST</t>
  </si>
  <si>
    <t>MORPH AD EA PRB</t>
  </si>
  <si>
    <t>0072700974</t>
  </si>
  <si>
    <t>0072700982</t>
  </si>
  <si>
    <t>0072701014</t>
  </si>
  <si>
    <t>0072701022</t>
  </si>
  <si>
    <t>0072701063</t>
  </si>
  <si>
    <t>TISSUE CULT BONE MARROW/2</t>
  </si>
  <si>
    <t>TISS CULT F/BN/</t>
  </si>
  <si>
    <t>0072701147</t>
  </si>
  <si>
    <t>IN SITU EA PRB PER SPEC/2</t>
  </si>
  <si>
    <t>INSITU 1ST PRB/</t>
  </si>
  <si>
    <t>0072701162</t>
  </si>
  <si>
    <t>TARGT SEQ ANLYS 5-50 /2</t>
  </si>
  <si>
    <t>GEN SEQ 5-50 /2</t>
  </si>
  <si>
    <t>0072701238</t>
  </si>
  <si>
    <t>TARGT SEQ ANLYS 5-50 /3</t>
  </si>
  <si>
    <t>GEN SEQ 5-50 /3</t>
  </si>
  <si>
    <t>0072701261</t>
  </si>
  <si>
    <t>UNLISTED MOLEC PROC/2</t>
  </si>
  <si>
    <t>UNLIST MOLEC/2</t>
  </si>
  <si>
    <t>0072701279</t>
  </si>
  <si>
    <t>UNLISTED MOLEC PROC/3</t>
  </si>
  <si>
    <t>UNLIST MOLEC/3</t>
  </si>
  <si>
    <t>0072701287</t>
  </si>
  <si>
    <t>UNLISTED MOLEC PROC/4</t>
  </si>
  <si>
    <t>UNLIST MOLEC/4</t>
  </si>
  <si>
    <t>0072701295</t>
  </si>
  <si>
    <t>UNLISTED MOLEC PROC/5</t>
  </si>
  <si>
    <t>UNLIST MOLEC/5</t>
  </si>
  <si>
    <t>0072701303</t>
  </si>
  <si>
    <t>UNLISTED MOLEC PROC/6</t>
  </si>
  <si>
    <t>UNLIST MOLEC/6</t>
  </si>
  <si>
    <t>0072701311</t>
  </si>
  <si>
    <t>UNLISTED MOLEC PROC/7</t>
  </si>
  <si>
    <t>UNLIST MOLEC/7</t>
  </si>
  <si>
    <t>0072701329</t>
  </si>
  <si>
    <t>UNLISTED MOLEC PROC/8</t>
  </si>
  <si>
    <t>UNLIST MOLEC/8</t>
  </si>
  <si>
    <t>0072701337</t>
  </si>
  <si>
    <t>UNLISTED MOLEC PROC/9</t>
  </si>
  <si>
    <t>UNLIST MOLEC/9</t>
  </si>
  <si>
    <t>0072701345</t>
  </si>
  <si>
    <t>UNLISTED MOLEC PROC/10</t>
  </si>
  <si>
    <t>UNLIST MOLEC/10</t>
  </si>
  <si>
    <t>0072701410</t>
  </si>
  <si>
    <t>TUMOR IMM PER SPEC MAN/2</t>
  </si>
  <si>
    <t>AB STN MANUAL/2</t>
  </si>
  <si>
    <t>0072701451</t>
  </si>
  <si>
    <t>TUMOR IMM PER SPEC MAN/3</t>
  </si>
  <si>
    <t>AB STN MANUAL/3</t>
  </si>
  <si>
    <t>0072701535</t>
  </si>
  <si>
    <t>MPL GENE SEQ ALYS EXON 10</t>
  </si>
  <si>
    <t>MPL GENE SEQ EX</t>
  </si>
  <si>
    <t>0072701667</t>
  </si>
  <si>
    <t>FLOW CYTO ADD MARKERS/4</t>
  </si>
  <si>
    <t>FLOW CYT ADD MARK/4</t>
  </si>
  <si>
    <t>0072701675</t>
  </si>
  <si>
    <t>FLOW CYTO ADD MARKER/5</t>
  </si>
  <si>
    <t>FLOW CYT ADD MARK/5</t>
  </si>
  <si>
    <t>0072701683</t>
  </si>
  <si>
    <t>NTRK TRANSLOCATION ANALYSIS</t>
  </si>
  <si>
    <t>NTRK TRANS ANAL</t>
  </si>
  <si>
    <t>0072701691</t>
  </si>
  <si>
    <t>UNLISTED MOLEC PROC/11</t>
  </si>
  <si>
    <t>UNLIST MOLEC/11</t>
  </si>
  <si>
    <t>0072701709</t>
  </si>
  <si>
    <t>TP53 GENE TRGT SEQ ANALYSIS</t>
  </si>
  <si>
    <t>TP53 GENE TRGT</t>
  </si>
  <si>
    <t>0072701717</t>
  </si>
  <si>
    <t>UNLISTED MOLEC PROC/12</t>
  </si>
  <si>
    <t>UNLIST MOLEC/12</t>
  </si>
  <si>
    <t>0072701725</t>
  </si>
  <si>
    <t>UNLISTED MOLEC PROC/13</t>
  </si>
  <si>
    <t>UNLIST MOLEC/13</t>
  </si>
  <si>
    <t>0072701733</t>
  </si>
  <si>
    <t>UNLISTED MOLEC PROC/14</t>
  </si>
  <si>
    <t>UNLIST MOLEC/14</t>
  </si>
  <si>
    <t>0072701790</t>
  </si>
  <si>
    <t>UNLISTED MOLEC PROC/15</t>
  </si>
  <si>
    <t>UNLIST MOLEC/15</t>
  </si>
  <si>
    <t>0072701808</t>
  </si>
  <si>
    <t>UNLISTED MOLEC PROC/16</t>
  </si>
  <si>
    <t>UNLIST MOLEC/16</t>
  </si>
  <si>
    <t>0072701816</t>
  </si>
  <si>
    <t>UNLISTED MOLEC PROC/17</t>
  </si>
  <si>
    <t>UNLIST MOLEC/17</t>
  </si>
  <si>
    <t>0072799000</t>
  </si>
  <si>
    <t>FLOW CYT ADD MARK</t>
  </si>
  <si>
    <t>0072799018</t>
  </si>
  <si>
    <t>0080310261</t>
  </si>
  <si>
    <t>ANCH ROTATOR</t>
  </si>
  <si>
    <t>0080310279</t>
  </si>
  <si>
    <t>ANCH MITK G II</t>
  </si>
  <si>
    <t>0080313596</t>
  </si>
  <si>
    <t>BN GEL/PUTTY 2.5CC</t>
  </si>
  <si>
    <t>BN GEL/PUTTY</t>
  </si>
  <si>
    <t>0080313661</t>
  </si>
  <si>
    <t>BN GEL/PUTTY 5CC</t>
  </si>
  <si>
    <t>BN GEL/PTY 5CC</t>
  </si>
  <si>
    <t>0080313695</t>
  </si>
  <si>
    <t>BN GEL/PUTTY 10CC</t>
  </si>
  <si>
    <t>BN GEL/PTY 10CC</t>
  </si>
  <si>
    <t>0080316508</t>
  </si>
  <si>
    <t>CATH SUPRAPUBIC</t>
  </si>
  <si>
    <t>0080316573</t>
  </si>
  <si>
    <t>BONE PUTTY</t>
  </si>
  <si>
    <t>0080317456</t>
  </si>
  <si>
    <t>COIL EMBOLIC</t>
  </si>
  <si>
    <t>0080321466</t>
  </si>
  <si>
    <t>EMB MICROSPHR 500-700MIC</t>
  </si>
  <si>
    <t>EMB MICROSPHR</t>
  </si>
  <si>
    <t>0080321516</t>
  </si>
  <si>
    <t>EMB MICROSPHR 100-300MIC</t>
  </si>
  <si>
    <t>0080321540</t>
  </si>
  <si>
    <t>EMB MICROSPHR SPHERICL</t>
  </si>
  <si>
    <t>EMB QUADRASPHER</t>
  </si>
  <si>
    <t>0080322936</t>
  </si>
  <si>
    <t>GEL VOICE INJ</t>
  </si>
  <si>
    <t>0080325699</t>
  </si>
  <si>
    <t>KT CATH PLEURAL</t>
  </si>
  <si>
    <t>0080325723</t>
  </si>
  <si>
    <t>KT CATH CENT VEN SGL LUM</t>
  </si>
  <si>
    <t>KT VEN SGL LUM</t>
  </si>
  <si>
    <t>0080340151</t>
  </si>
  <si>
    <t>SCRW INTERFEREN</t>
  </si>
  <si>
    <t>0080381437</t>
  </si>
  <si>
    <t>BN GEL/PUTTY 1CC</t>
  </si>
  <si>
    <t>BN GEL/PTY 1CC</t>
  </si>
  <si>
    <t>0080517295</t>
  </si>
  <si>
    <t>CATH DUAL ACCES TWIN-PAS</t>
  </si>
  <si>
    <t>CATH TWIN-PASS</t>
  </si>
  <si>
    <t>0080517311</t>
  </si>
  <si>
    <t>CATH DISTAL ACCESS PHENOM PLUS</t>
  </si>
  <si>
    <t>CATH PHENOM PLU</t>
  </si>
  <si>
    <t>0080550023</t>
  </si>
  <si>
    <t>CATH 3D DX ESPHGS MAPNG</t>
  </si>
  <si>
    <t>CATH 3D DX ESPH</t>
  </si>
  <si>
    <t>0080550031</t>
  </si>
  <si>
    <t>CATH ABL BIDRCT THRMCOOL</t>
  </si>
  <si>
    <t>CATH SMARTTOUCH</t>
  </si>
  <si>
    <t>0080550106</t>
  </si>
  <si>
    <t>CATH ABL RF ENDOVENOUS</t>
  </si>
  <si>
    <t>CATH CLOSUREFST</t>
  </si>
  <si>
    <t>0080550791</t>
  </si>
  <si>
    <t>CATH DIL BLN PTA RIVAL</t>
  </si>
  <si>
    <t>CATH DL BLN PTA</t>
  </si>
  <si>
    <t>0080550825</t>
  </si>
  <si>
    <t>CATH BLN DIL OTW</t>
  </si>
  <si>
    <t>CATH BLN DL OTW</t>
  </si>
  <si>
    <t>0080560410</t>
  </si>
  <si>
    <t>CATH GUIDEWIRE SUPPRT</t>
  </si>
  <si>
    <t>CATH GDWR SPRT</t>
  </si>
  <si>
    <t>0080560428</t>
  </si>
  <si>
    <t>CATH ELEC/DIAG 3D VECT</t>
  </si>
  <si>
    <t>CATH ELCT 3D MP</t>
  </si>
  <si>
    <t>0080560451</t>
  </si>
  <si>
    <t>CATH ATHERECTOMY DIRECT</t>
  </si>
  <si>
    <t>CATH ATHERECTMY</t>
  </si>
  <si>
    <t>0080560485</t>
  </si>
  <si>
    <t>CATH ABL PENTARAY NAV</t>
  </si>
  <si>
    <t>CATH ABL NAV</t>
  </si>
  <si>
    <t>0080560543</t>
  </si>
  <si>
    <t>CATH BAL DIL SINUS</t>
  </si>
  <si>
    <t>CATH BAL SINUS</t>
  </si>
  <si>
    <t>0080560923</t>
  </si>
  <si>
    <t>CATH BLLN GUIDE FLOWGATE</t>
  </si>
  <si>
    <t>CATH FLOWGATE</t>
  </si>
  <si>
    <t>0080560949</t>
  </si>
  <si>
    <t>CATH BLN DIL NC EUPHORA</t>
  </si>
  <si>
    <t>CATH NC EUPHORA</t>
  </si>
  <si>
    <t>0080561012</t>
  </si>
  <si>
    <t>CATH BLN VENOGRAM</t>
  </si>
  <si>
    <t>CATH BLN VENGRM</t>
  </si>
  <si>
    <t>0080563703</t>
  </si>
  <si>
    <t>CATH COBRA</t>
  </si>
  <si>
    <t>0080563737</t>
  </si>
  <si>
    <t>CATH FGRTY EMBLA</t>
  </si>
  <si>
    <t>CATH FGRT EMBLA</t>
  </si>
  <si>
    <t>0080563745</t>
  </si>
  <si>
    <t>CATH CRYOABL ARCTC FRONT</t>
  </si>
  <si>
    <t>CATH ADVANCE</t>
  </si>
  <si>
    <t>0080563877</t>
  </si>
  <si>
    <t>CATH FGRTY TROM</t>
  </si>
  <si>
    <t>0080563919</t>
  </si>
  <si>
    <t>CATH DISTAL ACCESS</t>
  </si>
  <si>
    <t>CATH DSTL ACCES</t>
  </si>
  <si>
    <t>0080564396</t>
  </si>
  <si>
    <t>CATH GLIDE</t>
  </si>
  <si>
    <t>0080564453</t>
  </si>
  <si>
    <t>CATH GROSHONG</t>
  </si>
  <si>
    <t>0080564578</t>
  </si>
  <si>
    <t>CATH GUIDE EXTENSION</t>
  </si>
  <si>
    <t>CATH GUIDEZILLA</t>
  </si>
  <si>
    <t>0080564701</t>
  </si>
  <si>
    <t>CATH HICKMAN</t>
  </si>
  <si>
    <t>0080564750</t>
  </si>
  <si>
    <t>0080564966</t>
  </si>
  <si>
    <t>CATH INF SGL LMN</t>
  </si>
  <si>
    <t>CATH INFUSION</t>
  </si>
  <si>
    <t>0080565286</t>
  </si>
  <si>
    <t>CATH INTRACRAN SUPPRT NAVIEN</t>
  </si>
  <si>
    <t>CATH INTRACRAN</t>
  </si>
  <si>
    <t>0080565427</t>
  </si>
  <si>
    <t>CATHETER IVUS</t>
  </si>
  <si>
    <t>0080565906</t>
  </si>
  <si>
    <t>CATH MULT LUM CV</t>
  </si>
  <si>
    <t>CATH MLT LUM CV</t>
  </si>
  <si>
    <t>0080565955</t>
  </si>
  <si>
    <t>CATH MUSHROOM</t>
  </si>
  <si>
    <t>0080566227</t>
  </si>
  <si>
    <t>CATH OCC BLN X-TRA COMPLIANT</t>
  </si>
  <si>
    <t>CATH OCC BLN SC</t>
  </si>
  <si>
    <t>0080566235</t>
  </si>
  <si>
    <t>CATH OCC BLN TRNSFRM COMPLIANT</t>
  </si>
  <si>
    <t>CATH OCC BLN TR</t>
  </si>
  <si>
    <t>0080566367</t>
  </si>
  <si>
    <t>CATH ORIENT BLN STINGRAY</t>
  </si>
  <si>
    <t>CATH PERC BLN</t>
  </si>
  <si>
    <t>0080566516</t>
  </si>
  <si>
    <t>CATH PERCT COR CROSSBOSS</t>
  </si>
  <si>
    <t>CATH PERC COR</t>
  </si>
  <si>
    <t>0080566714</t>
  </si>
  <si>
    <t>CATH PTA CHOCOLATE BLN</t>
  </si>
  <si>
    <t>CATH PTA OTW</t>
  </si>
  <si>
    <t>0080566870</t>
  </si>
  <si>
    <t>CATH THROMBECTOMY</t>
  </si>
  <si>
    <t>CATH THROMBECT</t>
  </si>
  <si>
    <t>0080566896</t>
  </si>
  <si>
    <t>CATH REPERFUS ASPIRATION</t>
  </si>
  <si>
    <t>CATH INDIGO</t>
  </si>
  <si>
    <t>0080567019</t>
  </si>
  <si>
    <t>CATH SINUS GUIDE</t>
  </si>
  <si>
    <t>CATH SINUS GDE</t>
  </si>
  <si>
    <t>0080567084</t>
  </si>
  <si>
    <t>CATH PTCA EMERGE MR US BLN</t>
  </si>
  <si>
    <t>CATH PTCA EMERG</t>
  </si>
  <si>
    <t>0080567316</t>
  </si>
  <si>
    <t>CATH SUPPRT SOFIA PLS LL</t>
  </si>
  <si>
    <t>CATH SOFIA PLUS</t>
  </si>
  <si>
    <t>0080567365</t>
  </si>
  <si>
    <t>CATH SUPPORT USHER</t>
  </si>
  <si>
    <t>CATH USHER</t>
  </si>
  <si>
    <t>0080567373</t>
  </si>
  <si>
    <t>CATH SUPPORT RUBICON</t>
  </si>
  <si>
    <t>CATH RUBICON</t>
  </si>
  <si>
    <t>0080568058</t>
  </si>
  <si>
    <t>CATH TRIP-LUMEN</t>
  </si>
  <si>
    <t>0080568199</t>
  </si>
  <si>
    <t>CATH VALVULOPLSTY BLLN</t>
  </si>
  <si>
    <t>CATH TRUE DILAT</t>
  </si>
  <si>
    <t>0080568835</t>
  </si>
  <si>
    <t>CATH PERIPH IVL SHOCKWAVE S4</t>
  </si>
  <si>
    <t>CATH SHOCKWAVE</t>
  </si>
  <si>
    <t>0080568918</t>
  </si>
  <si>
    <t>CATH PTA DRUG COATED BLN</t>
  </si>
  <si>
    <t>CATH LUTONIX035</t>
  </si>
  <si>
    <t>0080568942</t>
  </si>
  <si>
    <t>CATH PTCA GLIDER BLLN</t>
  </si>
  <si>
    <t>CATH GLIDER</t>
  </si>
  <si>
    <t>0080569114</t>
  </si>
  <si>
    <t>CATH DELIVERY LONG SHTH</t>
  </si>
  <si>
    <t>CATH NEURONMAX</t>
  </si>
  <si>
    <t>0080569163</t>
  </si>
  <si>
    <t>CATH SHOCKWAVE C2</t>
  </si>
  <si>
    <t>0080569379</t>
  </si>
  <si>
    <t>CV CATH OH IABP</t>
  </si>
  <si>
    <t>0080569734</t>
  </si>
  <si>
    <t>KT CATH BENCHMARK 071</t>
  </si>
  <si>
    <t>KT BENCHMARK071</t>
  </si>
  <si>
    <t>0080570260</t>
  </si>
  <si>
    <t>TRY CATH TL NRS MXBR PSS</t>
  </si>
  <si>
    <t>PWRPICC PROVENA</t>
  </si>
  <si>
    <t>0080570294</t>
  </si>
  <si>
    <t>TRY CATH PICC DL MXBAR SHRLCK</t>
  </si>
  <si>
    <t>TRY POWERPICC P</t>
  </si>
  <si>
    <t>0080580491</t>
  </si>
  <si>
    <t>CATH CROSSING VIANCE</t>
  </si>
  <si>
    <t>CATH VIANCE</t>
  </si>
  <si>
    <t>0080580509</t>
  </si>
  <si>
    <t>CATH DIAG EP MAPPING</t>
  </si>
  <si>
    <t>CATH ACHIEVE</t>
  </si>
  <si>
    <t>0080582604</t>
  </si>
  <si>
    <t>CATH PTA IN.PACT ADMIRAL</t>
  </si>
  <si>
    <t>CATH BLN PCLTXL</t>
  </si>
  <si>
    <t>0080582919</t>
  </si>
  <si>
    <t>CATH VAS TURNPIKE GOLD</t>
  </si>
  <si>
    <t>CATH TURNPK GLD</t>
  </si>
  <si>
    <t>0080582976</t>
  </si>
  <si>
    <t>DVC ATHER ROTAPRO ROTAT W/BURR</t>
  </si>
  <si>
    <t>DVC ROTAPRO ROT</t>
  </si>
  <si>
    <t>0080583008</t>
  </si>
  <si>
    <t>DVC ATHERECT DIRECTONAL</t>
  </si>
  <si>
    <t>DVC HAWKONE LS</t>
  </si>
  <si>
    <t>0080585029</t>
  </si>
  <si>
    <t>SYS ATHERECTOMY PHOENIX</t>
  </si>
  <si>
    <t>SYS ATHERECTOMY</t>
  </si>
  <si>
    <t>0080603004</t>
  </si>
  <si>
    <t>COIL EMBOLIC DETACH</t>
  </si>
  <si>
    <t>COIL EMB DETACH</t>
  </si>
  <si>
    <t>0080603012</t>
  </si>
  <si>
    <t>COIL EMBOLIC DETACH 2</t>
  </si>
  <si>
    <t>0080603038</t>
  </si>
  <si>
    <t>DVC STNT INTRALUM SUPPRT LVISJ</t>
  </si>
  <si>
    <t>DVC INTRALUM LV</t>
  </si>
  <si>
    <t>0080620479</t>
  </si>
  <si>
    <t>KT STNT P SGL PIG RX PSH</t>
  </si>
  <si>
    <t>KT STNT ADVANTX</t>
  </si>
  <si>
    <t>0080620644</t>
  </si>
  <si>
    <t>STNT C ION PACL PLAT CHR</t>
  </si>
  <si>
    <t>STNT C ION</t>
  </si>
  <si>
    <t>0080620677</t>
  </si>
  <si>
    <t>STNT C INTEGRITY BMS RX</t>
  </si>
  <si>
    <t>STNT CORONARY</t>
  </si>
  <si>
    <t>0080620693</t>
  </si>
  <si>
    <t>STNT C RESOLUT INTEG DES</t>
  </si>
  <si>
    <t>0080620792</t>
  </si>
  <si>
    <t>STNT CAROTID RX XACT</t>
  </si>
  <si>
    <t>STNT XACT</t>
  </si>
  <si>
    <t>0080620818</t>
  </si>
  <si>
    <t>STNT C REBEL MR BMS</t>
  </si>
  <si>
    <t>STNT C REBEL</t>
  </si>
  <si>
    <t>0080620834</t>
  </si>
  <si>
    <t>STNT COR RESOLUTE ONYX DES RX</t>
  </si>
  <si>
    <t>STNT RESOLUTE O</t>
  </si>
  <si>
    <t>0080621014</t>
  </si>
  <si>
    <t>STNT ENDOPYLOTOMY</t>
  </si>
  <si>
    <t>STNT ENDOPYLTMY</t>
  </si>
  <si>
    <t>0080621048</t>
  </si>
  <si>
    <t>STNT ENDOVAS GRFT FLAIR</t>
  </si>
  <si>
    <t>STNT GRAFT</t>
  </si>
  <si>
    <t>0080621139</t>
  </si>
  <si>
    <t>STNT NEUROVAS WINGSPAN</t>
  </si>
  <si>
    <t>STNT WINGSPAN</t>
  </si>
  <si>
    <t>0080621345</t>
  </si>
  <si>
    <t>STNT TRABCULR MICRO-BYPS</t>
  </si>
  <si>
    <t>STNT ISTENT</t>
  </si>
  <si>
    <t>0080621550</t>
  </si>
  <si>
    <t>STNT URETERAL</t>
  </si>
  <si>
    <t>0080621618</t>
  </si>
  <si>
    <t>STNT URETERAL TRIA</t>
  </si>
  <si>
    <t>STNT URETERAL T</t>
  </si>
  <si>
    <t>0080621824</t>
  </si>
  <si>
    <t>STNT VASC LIFESTENT SOLO</t>
  </si>
  <si>
    <t>STNT VASCULAR</t>
  </si>
  <si>
    <t>0080621840</t>
  </si>
  <si>
    <t>STNT VASC LIFESTENT</t>
  </si>
  <si>
    <t>0080621949</t>
  </si>
  <si>
    <t>STNT VASC COVERED LIFESTREAM</t>
  </si>
  <si>
    <t>STNT VASC LIFES</t>
  </si>
  <si>
    <t>0080621956</t>
  </si>
  <si>
    <t>STNT NEUROFORM ATLAS #H020002</t>
  </si>
  <si>
    <t>STNT NEUROFORM</t>
  </si>
  <si>
    <t>0080621964</t>
  </si>
  <si>
    <t>STNT VASCULAR COVERED COVERA</t>
  </si>
  <si>
    <t>STNT VAS COVERA</t>
  </si>
  <si>
    <t>0080622038</t>
  </si>
  <si>
    <t>SYS STNT TRANSCAROTID</t>
  </si>
  <si>
    <t>SYS ENROUTE</t>
  </si>
  <si>
    <t>0080622053</t>
  </si>
  <si>
    <t>STNT COR XIENCE SIERRA EE RX</t>
  </si>
  <si>
    <t>STNT C XIENCE S</t>
  </si>
  <si>
    <t>0080622061</t>
  </si>
  <si>
    <t>STNT C SYNERGY DES MR</t>
  </si>
  <si>
    <t>STNT C SYNERGY</t>
  </si>
  <si>
    <t>0080622103</t>
  </si>
  <si>
    <t>STNT C XIENCE ALPINE RX</t>
  </si>
  <si>
    <t>0080622202</t>
  </si>
  <si>
    <t>STNT ESOPHAG PC WALLFLEX</t>
  </si>
  <si>
    <t>STNT ESOPHAGEAL</t>
  </si>
  <si>
    <t>0080622707</t>
  </si>
  <si>
    <t>STNT P SGL STR ADVANTIX</t>
  </si>
  <si>
    <t>STNT ADVANTIX</t>
  </si>
  <si>
    <t>0080622715</t>
  </si>
  <si>
    <t>STNT PERIPH PTX DRG ELUT</t>
  </si>
  <si>
    <t>STNT ZILVER PTX</t>
  </si>
  <si>
    <t>0080622723</t>
  </si>
  <si>
    <t>STNT PERIPHERAL SUPERA</t>
  </si>
  <si>
    <t>STENT PERIPHERL</t>
  </si>
  <si>
    <t>0080677990</t>
  </si>
  <si>
    <t>STNT VAS DRUG ELUT ELUVIA</t>
  </si>
  <si>
    <t>STNT VASCULAR D</t>
  </si>
  <si>
    <t>0080678022</t>
  </si>
  <si>
    <t>SYS STENT VENOUS VENOVO</t>
  </si>
  <si>
    <t>SYS STENT VENOU</t>
  </si>
  <si>
    <t>0080730559</t>
  </si>
  <si>
    <t>GW</t>
  </si>
  <si>
    <t>0080730609</t>
  </si>
  <si>
    <t>0080730807</t>
  </si>
  <si>
    <t>0080730849</t>
  </si>
  <si>
    <t>GW X-PEDION HYDROPHILIC</t>
  </si>
  <si>
    <t>GW X-PEDION</t>
  </si>
  <si>
    <t>0080730898</t>
  </si>
  <si>
    <t>GW AVIGO HYDROPHILIC</t>
  </si>
  <si>
    <t>GW AVIGO</t>
  </si>
  <si>
    <t>0080730914</t>
  </si>
  <si>
    <t>GW ANGIO</t>
  </si>
  <si>
    <t>0080730989</t>
  </si>
  <si>
    <t>GW CEREBRAL</t>
  </si>
  <si>
    <t>0080731201</t>
  </si>
  <si>
    <t>GW CV/NV</t>
  </si>
  <si>
    <t>0080731250</t>
  </si>
  <si>
    <t>GW CV/SD</t>
  </si>
  <si>
    <t>0080731656</t>
  </si>
  <si>
    <t>GW INTR</t>
  </si>
  <si>
    <t>0080731755</t>
  </si>
  <si>
    <t>GW KT</t>
  </si>
  <si>
    <t>0080732613</t>
  </si>
  <si>
    <t>SHTH GUID FLEXOR SHUTTLE</t>
  </si>
  <si>
    <t>SHTH GUIDING</t>
  </si>
  <si>
    <t>0080735061</t>
  </si>
  <si>
    <t>GW PRESSR AERIS AGILE TP</t>
  </si>
  <si>
    <t>PRESSUREWIRE</t>
  </si>
  <si>
    <t>0080735251</t>
  </si>
  <si>
    <t>GW TRAXCESS HYDRO CTD</t>
  </si>
  <si>
    <t>GW TRAXCESS</t>
  </si>
  <si>
    <t>0080735269</t>
  </si>
  <si>
    <t>SHTH GUIDE BI-DIRECTNL VIZIGO</t>
  </si>
  <si>
    <t>SHTH CARTO VIZI</t>
  </si>
  <si>
    <t>0080818636</t>
  </si>
  <si>
    <t>KT ASPIRATION TB CAT RX INDIGO</t>
  </si>
  <si>
    <t>KT ASPIRATION C</t>
  </si>
  <si>
    <t>0080818842</t>
  </si>
  <si>
    <t>KT CATH ARES ANTIBIOTIC</t>
  </si>
  <si>
    <t>KT CATH ANTIBIO</t>
  </si>
  <si>
    <t>0080819931</t>
  </si>
  <si>
    <t>KT DRN PLEURAL</t>
  </si>
  <si>
    <t>0080820624</t>
  </si>
  <si>
    <t>KT FASTNER SEROSAFUSE IMP</t>
  </si>
  <si>
    <t>KT FASTNER SERO</t>
  </si>
  <si>
    <t>0080822711</t>
  </si>
  <si>
    <t>KT NSTIM D LD ACCESSORY</t>
  </si>
  <si>
    <t>KT NSTIM ACCESS</t>
  </si>
  <si>
    <t>0080823602</t>
  </si>
  <si>
    <t>KT PERCARDIOCNT</t>
  </si>
  <si>
    <t>0080823982</t>
  </si>
  <si>
    <t>KT PIN PLUG DFIB/PM</t>
  </si>
  <si>
    <t>KT PIN PLUG</t>
  </si>
  <si>
    <t>0080824519</t>
  </si>
  <si>
    <t>KT REPAIR SYNDESMOSIS</t>
  </si>
  <si>
    <t>KT REPAIR SYNDE</t>
  </si>
  <si>
    <t>0080824576</t>
  </si>
  <si>
    <t>KT REVISION INTRATH CATH</t>
  </si>
  <si>
    <t>KIT REVISION</t>
  </si>
  <si>
    <t>0080826258</t>
  </si>
  <si>
    <t>PAPILLOTOME W GW</t>
  </si>
  <si>
    <t>PAPILLOTOM W GW</t>
  </si>
  <si>
    <t>0080826811</t>
  </si>
  <si>
    <t>ST CATH EVD BACTISEAL</t>
  </si>
  <si>
    <t>ST CATH EVD</t>
  </si>
  <si>
    <t>0080826860</t>
  </si>
  <si>
    <t>ST COLON DECOMPRESS W GW</t>
  </si>
  <si>
    <t>ST COLON DECMPR</t>
  </si>
  <si>
    <t>0080840184</t>
  </si>
  <si>
    <t>TRY PICC</t>
  </si>
  <si>
    <t>0081210650</t>
  </si>
  <si>
    <t>EAR TUBE</t>
  </si>
  <si>
    <t>0081220444</t>
  </si>
  <si>
    <t>IOL POSTERIOR CHMBR</t>
  </si>
  <si>
    <t>IOL POST CHMBR</t>
  </si>
  <si>
    <t>0081221673</t>
  </si>
  <si>
    <t>GRFT OCULAR AMNIO MEMBRN</t>
  </si>
  <si>
    <t>GRFT OCULAR</t>
  </si>
  <si>
    <t>0081235053</t>
  </si>
  <si>
    <t>NOSE SPLT</t>
  </si>
  <si>
    <t>0081237000</t>
  </si>
  <si>
    <t>RING CAPSULAR TENSION</t>
  </si>
  <si>
    <t>RING CAPSULAR</t>
  </si>
  <si>
    <t>0081300451</t>
  </si>
  <si>
    <t>HO POST-OP HIP ABDUCTION</t>
  </si>
  <si>
    <t>HO POSTOP ABDCT</t>
  </si>
  <si>
    <t>0081300477</t>
  </si>
  <si>
    <t>KO ADJ JNT POS RIGD SPPT</t>
  </si>
  <si>
    <t>KO ADJ JT POS R</t>
  </si>
  <si>
    <t>0081300485</t>
  </si>
  <si>
    <t>SOFT INTERFC ABV KNEE SE</t>
  </si>
  <si>
    <t>SFT INTFC ABV K</t>
  </si>
  <si>
    <t>0081300576</t>
  </si>
  <si>
    <t>PNEUMATC WALK SPLNT</t>
  </si>
  <si>
    <t>PNEUM WLK SPLNT</t>
  </si>
  <si>
    <t>0081300691</t>
  </si>
  <si>
    <t>STATIC AFO</t>
  </si>
  <si>
    <t>0081300790</t>
  </si>
  <si>
    <t>AFO PLSTC/OTHER PREFAB</t>
  </si>
  <si>
    <t>AFO PLST/OTHER</t>
  </si>
  <si>
    <t>0081300816</t>
  </si>
  <si>
    <t>ORTH ADD BODY SOCK</t>
  </si>
  <si>
    <t>BODY SOCK</t>
  </si>
  <si>
    <t>0081301012</t>
  </si>
  <si>
    <t>ORTH LO RGD A/P L1-L5</t>
  </si>
  <si>
    <t>LO RGD L1L5</t>
  </si>
  <si>
    <t>0081301608</t>
  </si>
  <si>
    <t>ORTH WHFO W/O JNTS PREFA</t>
  </si>
  <si>
    <t>WHFO W/O JNTS</t>
  </si>
  <si>
    <t>0081301681</t>
  </si>
  <si>
    <t>AFO STAT/DYNAM PREFB OTS</t>
  </si>
  <si>
    <t>AFO STATC/DYNMC</t>
  </si>
  <si>
    <t>0081301715</t>
  </si>
  <si>
    <t>WHFO W/O JNT PRE OTS</t>
  </si>
  <si>
    <t>WHFO W/O JNT OT</t>
  </si>
  <si>
    <t>0081302366</t>
  </si>
  <si>
    <t>PROS RADIAL STEM</t>
  </si>
  <si>
    <t>PROS RADL STEM</t>
  </si>
  <si>
    <t>0081309833</t>
  </si>
  <si>
    <t>TLSO TRPLNR MOD PREFB</t>
  </si>
  <si>
    <t>TSLO TRPNR MOD</t>
  </si>
  <si>
    <t>0081310005</t>
  </si>
  <si>
    <t>ACETABULR COMP</t>
  </si>
  <si>
    <t>0081312423</t>
  </si>
  <si>
    <t>BAR LOCKING TIBIAL</t>
  </si>
  <si>
    <t>BAR TIB LCKNG</t>
  </si>
  <si>
    <t>0081312605</t>
  </si>
  <si>
    <t>BN BLOCKS</t>
  </si>
  <si>
    <t>0081312654</t>
  </si>
  <si>
    <t>BN CADAVAR</t>
  </si>
  <si>
    <t>0081312753</t>
  </si>
  <si>
    <t>BN CHIPS</t>
  </si>
  <si>
    <t>0081312761</t>
  </si>
  <si>
    <t>BN FILLER</t>
  </si>
  <si>
    <t>0081312811</t>
  </si>
  <si>
    <t>BN GRANUELS 10CC</t>
  </si>
  <si>
    <t>BN GRANUEL 10CC</t>
  </si>
  <si>
    <t>0081312829</t>
  </si>
  <si>
    <t>BN GRANUELS 15CC</t>
  </si>
  <si>
    <t>BN GRANUELS15CC</t>
  </si>
  <si>
    <t>0081312837</t>
  </si>
  <si>
    <t>BN GRANUELS 30CC</t>
  </si>
  <si>
    <t>BN GRANUELS30CC</t>
  </si>
  <si>
    <t>0081312860</t>
  </si>
  <si>
    <t>BN GRFT 2</t>
  </si>
  <si>
    <t>0081312894</t>
  </si>
  <si>
    <t>BN GRFT INJ 5CC</t>
  </si>
  <si>
    <t>0081312944</t>
  </si>
  <si>
    <t>BN GRFT INJ 10CC</t>
  </si>
  <si>
    <t>BN GRFT INJ 10</t>
  </si>
  <si>
    <t>0081313439</t>
  </si>
  <si>
    <t>BUTTON CBL HEX LCK PLT</t>
  </si>
  <si>
    <t>BUTTON CBL HEX</t>
  </si>
  <si>
    <t>0081315137</t>
  </si>
  <si>
    <t>CBLE FIX BN</t>
  </si>
  <si>
    <t>0081315145</t>
  </si>
  <si>
    <t>CBLE FIX BN SLEVE</t>
  </si>
  <si>
    <t>CBLE FIX BN SLV</t>
  </si>
  <si>
    <t>0081315152</t>
  </si>
  <si>
    <t>CBL ORTHO W CRIMP</t>
  </si>
  <si>
    <t>CBL W CRIMP</t>
  </si>
  <si>
    <t>0081315202</t>
  </si>
  <si>
    <t>CEMT BN</t>
  </si>
  <si>
    <t>0081315228</t>
  </si>
  <si>
    <t>CEMT BN W/ANTIBIOTIC</t>
  </si>
  <si>
    <t>CEMT W/ANTIBIOT</t>
  </si>
  <si>
    <t>0081315293</t>
  </si>
  <si>
    <t>CEMENT HIGH VISCOSITY</t>
  </si>
  <si>
    <t>CEMENT HIGH VIS</t>
  </si>
  <si>
    <t>0081315491</t>
  </si>
  <si>
    <t>COMPONENT FX PHALANGEAL</t>
  </si>
  <si>
    <t>COMPONENT FIX</t>
  </si>
  <si>
    <t>0081315731</t>
  </si>
  <si>
    <t>DVC TROCHANTER FX W CBL2</t>
  </si>
  <si>
    <t>DVC TROCH FIX</t>
  </si>
  <si>
    <t>0081321952</t>
  </si>
  <si>
    <t>EXTERNAL FIXATION MODULE</t>
  </si>
  <si>
    <t>EXFX MODULE</t>
  </si>
  <si>
    <t>0081328908</t>
  </si>
  <si>
    <t>IMP BN MATRIX 3</t>
  </si>
  <si>
    <t>0081329005</t>
  </si>
  <si>
    <t>IMP BN</t>
  </si>
  <si>
    <t>0081329013</t>
  </si>
  <si>
    <t>IMP BN CUBES</t>
  </si>
  <si>
    <t>0081329039</t>
  </si>
  <si>
    <t>IMP BN DOWEL</t>
  </si>
  <si>
    <t>0081329088</t>
  </si>
  <si>
    <t>IMP BN FEMORAL HEAD</t>
  </si>
  <si>
    <t>IMP BN FEM HEAD</t>
  </si>
  <si>
    <t>0081329096</t>
  </si>
  <si>
    <t>IMP BN PATELLA TENDON</t>
  </si>
  <si>
    <t>IMP BN PATELLA</t>
  </si>
  <si>
    <t>0081329112</t>
  </si>
  <si>
    <t>IMP BN MATRIX 1</t>
  </si>
  <si>
    <t>0081329120</t>
  </si>
  <si>
    <t>IMP BN MATRIX 2</t>
  </si>
  <si>
    <t>0081329245</t>
  </si>
  <si>
    <t>IMP HELICAL BLADE</t>
  </si>
  <si>
    <t>IMP HELICAL BLD</t>
  </si>
  <si>
    <t>0081329286</t>
  </si>
  <si>
    <t>IMP RD STABLZTN PHALANGE</t>
  </si>
  <si>
    <t>RD STABLZTN</t>
  </si>
  <si>
    <t>0081329385</t>
  </si>
  <si>
    <t>IMP SUBTALAR MBA</t>
  </si>
  <si>
    <t>IMP SUBTALAR</t>
  </si>
  <si>
    <t>0081329427</t>
  </si>
  <si>
    <t>IMP TENDON ACHILLES</t>
  </si>
  <si>
    <t>IMP TENDN ACHIL</t>
  </si>
  <si>
    <t>0081329476</t>
  </si>
  <si>
    <t>IMP SLV CENTERING</t>
  </si>
  <si>
    <t>IMP SLV CNTRING</t>
  </si>
  <si>
    <t>0081329484</t>
  </si>
  <si>
    <t>IMP TENDON TIBIALIS</t>
  </si>
  <si>
    <t>IMP TENDON TIB</t>
  </si>
  <si>
    <t>0081329583</t>
  </si>
  <si>
    <t>KT BN CEMT W MIXER</t>
  </si>
  <si>
    <t>KT BN CEMT/MIXR</t>
  </si>
  <si>
    <t>0081329658</t>
  </si>
  <si>
    <t>KT REPAIR MINI TIGHTROPE</t>
  </si>
  <si>
    <t>KT REP TIGHTRP</t>
  </si>
  <si>
    <t>0081330011</t>
  </si>
  <si>
    <t>NAIL INTRAMEDULLARY TYP1</t>
  </si>
  <si>
    <t>NAIL INTRAMEDUL</t>
  </si>
  <si>
    <t>0081330029</t>
  </si>
  <si>
    <t>NAIL INTRAMEDULLARY TYP2</t>
  </si>
  <si>
    <t>0081330755</t>
  </si>
  <si>
    <t>NAIL TIBIA</t>
  </si>
  <si>
    <t>0081330813</t>
  </si>
  <si>
    <t>NAIL TITANIUM ELASTIC</t>
  </si>
  <si>
    <t>NAIL TIT ELSTC</t>
  </si>
  <si>
    <t>0081331878</t>
  </si>
  <si>
    <t>ORTHO BOOT PNEU/VAC PREF</t>
  </si>
  <si>
    <t>BOOT PNEU/VAC</t>
  </si>
  <si>
    <t>0081332009</t>
  </si>
  <si>
    <t>ORTH ELBOW ADJ LCK JNT</t>
  </si>
  <si>
    <t>ELBOW ADJ LCK</t>
  </si>
  <si>
    <t>0081332678</t>
  </si>
  <si>
    <t>ORTH TSLO TRPL CTRL 2PC</t>
  </si>
  <si>
    <t>TSLO TPLNR 2P</t>
  </si>
  <si>
    <t>0081332819</t>
  </si>
  <si>
    <t>ORTH LE ADD HIP JNT</t>
  </si>
  <si>
    <t>LE ADD HIP JNT</t>
  </si>
  <si>
    <t>0081335408</t>
  </si>
  <si>
    <t>PIN ABSORBABLE</t>
  </si>
  <si>
    <t>0081335903</t>
  </si>
  <si>
    <t>PIN KNOWLES AS</t>
  </si>
  <si>
    <t>0081336059</t>
  </si>
  <si>
    <t>PIN RUSH 1/8IN</t>
  </si>
  <si>
    <t>PIN RUSH1/8IN</t>
  </si>
  <si>
    <t>0081336109</t>
  </si>
  <si>
    <t>PIN RUSH3/16&amp;1/4</t>
  </si>
  <si>
    <t>PIN RSH3/16&amp;1/4</t>
  </si>
  <si>
    <t>0081336356</t>
  </si>
  <si>
    <t>PIN STEINMAN PL</t>
  </si>
  <si>
    <t>0081336406</t>
  </si>
  <si>
    <t>PIN STEINMAN THR</t>
  </si>
  <si>
    <t>PIN STEINMN THR</t>
  </si>
  <si>
    <t>0081337834</t>
  </si>
  <si>
    <t>PLT NEURO</t>
  </si>
  <si>
    <t>0081338964</t>
  </si>
  <si>
    <t>PLT LC CLAVICLE TIT</t>
  </si>
  <si>
    <t>PLT LC CLAVICLE</t>
  </si>
  <si>
    <t>0081340036</t>
  </si>
  <si>
    <t>POST TAPER</t>
  </si>
  <si>
    <t>0081341505</t>
  </si>
  <si>
    <t>PROS ARTICULAR SURFACE</t>
  </si>
  <si>
    <t>PROS ARTIC SURF</t>
  </si>
  <si>
    <t>0081342040</t>
  </si>
  <si>
    <t>PROS FEMORAL HEAD</t>
  </si>
  <si>
    <t>PROS FEMORAL HD</t>
  </si>
  <si>
    <t>0081342800</t>
  </si>
  <si>
    <t>PROS FINGER JNT</t>
  </si>
  <si>
    <t>0081342909</t>
  </si>
  <si>
    <t>PROS HIP</t>
  </si>
  <si>
    <t>0081343386</t>
  </si>
  <si>
    <t>PROS HIP LINER</t>
  </si>
  <si>
    <t>0081343550</t>
  </si>
  <si>
    <t>PROS JNT SPEC</t>
  </si>
  <si>
    <t>0081344343</t>
  </si>
  <si>
    <t>PROS PSTSURG APPL RGD</t>
  </si>
  <si>
    <t>PSTSURG RGD BK</t>
  </si>
  <si>
    <t>0081344350</t>
  </si>
  <si>
    <t>PROS RADIAL HEAD</t>
  </si>
  <si>
    <t>PROS RADIAL HEA</t>
  </si>
  <si>
    <t>0081344533</t>
  </si>
  <si>
    <t>PROS STEM EXTENDER</t>
  </si>
  <si>
    <t>PROS STEM EXTND</t>
  </si>
  <si>
    <t>0081344566</t>
  </si>
  <si>
    <t>PROS SOCK SNGL PLY BK</t>
  </si>
  <si>
    <t>PROS SCK S BK</t>
  </si>
  <si>
    <t>0081344723</t>
  </si>
  <si>
    <t>PROS TIB BEARING</t>
  </si>
  <si>
    <t>PROS TIB BEARNG</t>
  </si>
  <si>
    <t>0081344806</t>
  </si>
  <si>
    <t>PROS TIB STEM</t>
  </si>
  <si>
    <t>0081344905</t>
  </si>
  <si>
    <t>PROS TOE GREAT</t>
  </si>
  <si>
    <t>0081344954</t>
  </si>
  <si>
    <t>PROS TOE HAMMER</t>
  </si>
  <si>
    <t>0081351496</t>
  </si>
  <si>
    <t>SCAFFLD BN ALLOGEN VIABL</t>
  </si>
  <si>
    <t>GRFT BN VIA</t>
  </si>
  <si>
    <t>0081360059</t>
  </si>
  <si>
    <t>SCRW BN</t>
  </si>
  <si>
    <t>0081360208</t>
  </si>
  <si>
    <t>SCRW CANCL</t>
  </si>
  <si>
    <t>0081360307</t>
  </si>
  <si>
    <t>SCRW CANN</t>
  </si>
  <si>
    <t>0081360653</t>
  </si>
  <si>
    <t>SCRW COMPRS/LAG</t>
  </si>
  <si>
    <t>0081360760</t>
  </si>
  <si>
    <t>SCRW DISTRACTION</t>
  </si>
  <si>
    <t>SCRW DISTRACTN</t>
  </si>
  <si>
    <t>0081360851</t>
  </si>
  <si>
    <t>SCRW E CANCL6.5</t>
  </si>
  <si>
    <t>0081361404</t>
  </si>
  <si>
    <t>SCRW FIXATION</t>
  </si>
  <si>
    <t>0081362758</t>
  </si>
  <si>
    <t>SCRW THR HIP</t>
  </si>
  <si>
    <t>0081364408</t>
  </si>
  <si>
    <t>SYS DELIVERY S-CORE IMPLANT</t>
  </si>
  <si>
    <t>SYS DELIVERY S-</t>
  </si>
  <si>
    <t>0081364663</t>
  </si>
  <si>
    <t>IMP BEAM MIDFOOT</t>
  </si>
  <si>
    <t>IMP BEAM MIDFOO</t>
  </si>
  <si>
    <t>0081365041</t>
  </si>
  <si>
    <t>SPINAL CAGE</t>
  </si>
  <si>
    <t>0081365256</t>
  </si>
  <si>
    <t>SPINAL FIXATN</t>
  </si>
  <si>
    <t>0081366247</t>
  </si>
  <si>
    <t>STAPLE COMPRESSION</t>
  </si>
  <si>
    <t>STPL COMPRESS</t>
  </si>
  <si>
    <t>0081366403</t>
  </si>
  <si>
    <t>STPL FIXATION</t>
  </si>
  <si>
    <t>0081366783</t>
  </si>
  <si>
    <t>SYS ACL TIGHTROPE BTB</t>
  </si>
  <si>
    <t>SYS TIGHTROPE</t>
  </si>
  <si>
    <t>0081366825</t>
  </si>
  <si>
    <t>SYS STERNAL CLOSURE</t>
  </si>
  <si>
    <t>SYS STERNLK 360</t>
  </si>
  <si>
    <t>0081366858</t>
  </si>
  <si>
    <t>SYS TENDON CITRELOCK XPRESS</t>
  </si>
  <si>
    <t>SYS TENDON CITR</t>
  </si>
  <si>
    <t>0081370652</t>
  </si>
  <si>
    <t>WASHER</t>
  </si>
  <si>
    <t>0081370884</t>
  </si>
  <si>
    <t>WEDGE ALLOGRAFT</t>
  </si>
  <si>
    <t>WEDGE ALLOGRFT</t>
  </si>
  <si>
    <t>0081370959</t>
  </si>
  <si>
    <t>WIRE KIRCHNER PL</t>
  </si>
  <si>
    <t>WIRE KIRCHNR PL</t>
  </si>
  <si>
    <t>0081371007</t>
  </si>
  <si>
    <t>WIRE KIRCHNER TH</t>
  </si>
  <si>
    <t>WIRE KIRCHNR TH</t>
  </si>
  <si>
    <t>0081372906</t>
  </si>
  <si>
    <t>DVC FIX FASTNER ZIPTIGHT</t>
  </si>
  <si>
    <t>DVC FIXATION</t>
  </si>
  <si>
    <t>0081374027</t>
  </si>
  <si>
    <t>IMP FOOT/ANKLE TENDON FHL</t>
  </si>
  <si>
    <t>IMP FOOT/ANKLE TENDON</t>
  </si>
  <si>
    <t>0081375834</t>
  </si>
  <si>
    <t>IMP STEM MD CONICAL DST</t>
  </si>
  <si>
    <t>IMP STEM MOD CO</t>
  </si>
  <si>
    <t>0081377004</t>
  </si>
  <si>
    <t>0081377012</t>
  </si>
  <si>
    <t>IMP SUBTALAR 2</t>
  </si>
  <si>
    <t>0081377053</t>
  </si>
  <si>
    <t>IMP TENDON SEMI-TENDNSIS</t>
  </si>
  <si>
    <t>IMP TEND SEMI-T</t>
  </si>
  <si>
    <t>0081377194</t>
  </si>
  <si>
    <t>INSERT HUMERAL STD</t>
  </si>
  <si>
    <t>INSRT HUMRL STD</t>
  </si>
  <si>
    <t>0081377251</t>
  </si>
  <si>
    <t>INSERT SCRW PLT LCK</t>
  </si>
  <si>
    <t>INSERT LCK PLT</t>
  </si>
  <si>
    <t>0081377673</t>
  </si>
  <si>
    <t>IMP FEMALE LONG TENOTAC</t>
  </si>
  <si>
    <t>IMP FEMALE LNG</t>
  </si>
  <si>
    <t>0081377681</t>
  </si>
  <si>
    <t>IMP KT TENO TAC STD STERI</t>
  </si>
  <si>
    <t>IMP KT TENO TAC</t>
  </si>
  <si>
    <t>0081378200</t>
  </si>
  <si>
    <t>PLT CABLE</t>
  </si>
  <si>
    <t>0081378309</t>
  </si>
  <si>
    <t>PLT LCK STERNAL</t>
  </si>
  <si>
    <t>PLT LOCK</t>
  </si>
  <si>
    <t>0081410219</t>
  </si>
  <si>
    <t>BAND ANNULOPLASTY</t>
  </si>
  <si>
    <t>BAND ANNULPLSTY</t>
  </si>
  <si>
    <t>0081412751</t>
  </si>
  <si>
    <t>CATH VENTR</t>
  </si>
  <si>
    <t>0081416000</t>
  </si>
  <si>
    <t>GEL GRFTN</t>
  </si>
  <si>
    <t>0081417693</t>
  </si>
  <si>
    <t>GRFT SAPHNOUS OVER 80CM</t>
  </si>
  <si>
    <t>GRFT SAPH VEIN</t>
  </si>
  <si>
    <t>0081420101</t>
  </si>
  <si>
    <t>GRF GRTX PTCH1MM</t>
  </si>
  <si>
    <t>GRF GRTX PTCH1M</t>
  </si>
  <si>
    <t>0081420309</t>
  </si>
  <si>
    <t>GRFT CV FABR 4IN</t>
  </si>
  <si>
    <t>GRFT CV FABR 4</t>
  </si>
  <si>
    <t>0081420457</t>
  </si>
  <si>
    <t>GRFT CV FELT 6IN</t>
  </si>
  <si>
    <t>GRFT CV FELT 6</t>
  </si>
  <si>
    <t>0081420556</t>
  </si>
  <si>
    <t>GRFT CV PLEDGET</t>
  </si>
  <si>
    <t>0081420655</t>
  </si>
  <si>
    <t>GRFT GRTX PTCH</t>
  </si>
  <si>
    <t>0081420804</t>
  </si>
  <si>
    <t>GRFT MESH MARLX</t>
  </si>
  <si>
    <t>0081420903</t>
  </si>
  <si>
    <t>GRFT MESH PROLN</t>
  </si>
  <si>
    <t>0081421018</t>
  </si>
  <si>
    <t>GRFT MESH COMPOSIX OVAL</t>
  </si>
  <si>
    <t>GRFT MESH COMP</t>
  </si>
  <si>
    <t>0081421034</t>
  </si>
  <si>
    <t>GRFT MESH COMPOSIX 6X8</t>
  </si>
  <si>
    <t>GRFT MESH 6X8</t>
  </si>
  <si>
    <t>0081421158</t>
  </si>
  <si>
    <t>GRFT PATCH</t>
  </si>
  <si>
    <t>0081421166</t>
  </si>
  <si>
    <t>GRFT PATCH DACRON</t>
  </si>
  <si>
    <t>GRF PATCH DACRN</t>
  </si>
  <si>
    <t>0081421182</t>
  </si>
  <si>
    <t>GRFT PERICARDIAL</t>
  </si>
  <si>
    <t>GRFT PERICARDL</t>
  </si>
  <si>
    <t>0081421455</t>
  </si>
  <si>
    <t>GRFT VASC BIF D</t>
  </si>
  <si>
    <t>0081422404</t>
  </si>
  <si>
    <t>GRFT VASC STR G</t>
  </si>
  <si>
    <t>0081422453</t>
  </si>
  <si>
    <t>0081432700</t>
  </si>
  <si>
    <t>KT TAVR HRT VLV SAPIEN TRNCTH</t>
  </si>
  <si>
    <t>KT TAVR HEART V</t>
  </si>
  <si>
    <t>0081434987</t>
  </si>
  <si>
    <t>OH RING ANNULOPLASTY</t>
  </si>
  <si>
    <t>RNG ANNULOPLSTY</t>
  </si>
  <si>
    <t>0081435059</t>
  </si>
  <si>
    <t>OH RING MITRAL</t>
  </si>
  <si>
    <t>0081435109</t>
  </si>
  <si>
    <t>OH VALVE AOR/MIT</t>
  </si>
  <si>
    <t>OH VALVE AOR/MT</t>
  </si>
  <si>
    <t>0081450058</t>
  </si>
  <si>
    <t>SHNT CAROTD BYP</t>
  </si>
  <si>
    <t>0081451452</t>
  </si>
  <si>
    <t>SHNT VALVE FL P</t>
  </si>
  <si>
    <t>0081451502</t>
  </si>
  <si>
    <t>SHNT VALVE PERI</t>
  </si>
  <si>
    <t>0081451551</t>
  </si>
  <si>
    <t>SHNT VESL TIP</t>
  </si>
  <si>
    <t>0081451668</t>
  </si>
  <si>
    <t>ST PUMP IMPELLA CP CATH</t>
  </si>
  <si>
    <t>ST PUMP IMPELLA</t>
  </si>
  <si>
    <t>0081451742</t>
  </si>
  <si>
    <t>SYS VLV AORT INTUITY ELT</t>
  </si>
  <si>
    <t>SYS VLV INTUITY</t>
  </si>
  <si>
    <t>0081457707</t>
  </si>
  <si>
    <t>VENA CAVA UM KT</t>
  </si>
  <si>
    <t>0081457921</t>
  </si>
  <si>
    <t>VLV HAKIM BACTISEAL</t>
  </si>
  <si>
    <t>VLV HAKIM</t>
  </si>
  <si>
    <t>0081457947</t>
  </si>
  <si>
    <t>VLV HAKIM PROGRAMABLE</t>
  </si>
  <si>
    <t>VLV HAKIM PROG</t>
  </si>
  <si>
    <t>0081458101</t>
  </si>
  <si>
    <t>VLV PRGMMBL CERTAS PLUS</t>
  </si>
  <si>
    <t>VLV PROGRAMMBL</t>
  </si>
  <si>
    <t>0081512105</t>
  </si>
  <si>
    <t>CLIP ANUERSYM</t>
  </si>
  <si>
    <t>0081515553</t>
  </si>
  <si>
    <t>GRAFT TENDON</t>
  </si>
  <si>
    <t>0081519787</t>
  </si>
  <si>
    <t>IMPL ANCHOR BIOSTATAK</t>
  </si>
  <si>
    <t>IMPL ANCHOR BIO</t>
  </si>
  <si>
    <t>0081519803</t>
  </si>
  <si>
    <t>IMPL ANCHOR CRKSCRW 5MM</t>
  </si>
  <si>
    <t>IMPL CRKSCRW5MM</t>
  </si>
  <si>
    <t>0081519936</t>
  </si>
  <si>
    <t>IMP CUFF URIN SPHINCTER</t>
  </si>
  <si>
    <t>IMP CUFF URIN</t>
  </si>
  <si>
    <t>0081520033</t>
  </si>
  <si>
    <t>IMP COLLAGEN A/S</t>
  </si>
  <si>
    <t>IMP COLLAGN A/S</t>
  </si>
  <si>
    <t>0081520256</t>
  </si>
  <si>
    <t>IMP WEDGE</t>
  </si>
  <si>
    <t>0081520330</t>
  </si>
  <si>
    <t>IMP SPHINC URN</t>
  </si>
  <si>
    <t>0081520371</t>
  </si>
  <si>
    <t>IMP SFT TISS FIX BROW</t>
  </si>
  <si>
    <t>SFT TISS FIX</t>
  </si>
  <si>
    <t>0081520389</t>
  </si>
  <si>
    <t>IMPL SUTURE ANCHOR</t>
  </si>
  <si>
    <t>IMP SUT ANCHOR</t>
  </si>
  <si>
    <t>0081535106</t>
  </si>
  <si>
    <t>MESH HERNIA VENT</t>
  </si>
  <si>
    <t>MSH HERNIA VENT</t>
  </si>
  <si>
    <t>0081535114</t>
  </si>
  <si>
    <t>MESH HERNIA VENT 2</t>
  </si>
  <si>
    <t>0081540601</t>
  </si>
  <si>
    <t>PROS BREAST</t>
  </si>
  <si>
    <t>0081540957</t>
  </si>
  <si>
    <t>PROS DURA SUBST</t>
  </si>
  <si>
    <t>0081541500</t>
  </si>
  <si>
    <t>PROS PENILE IMP</t>
  </si>
  <si>
    <t>0081541906</t>
  </si>
  <si>
    <t>PROS TESTICULAR</t>
  </si>
  <si>
    <t>0081560369</t>
  </si>
  <si>
    <t>SYS BRTH CNTRL</t>
  </si>
  <si>
    <t>0081611006</t>
  </si>
  <si>
    <t>CATH URETERAL</t>
  </si>
  <si>
    <t>0081720088</t>
  </si>
  <si>
    <t>BARRIER GEL ANTI ADHESN</t>
  </si>
  <si>
    <t>GEL BARRIER ADH</t>
  </si>
  <si>
    <t>0081722837</t>
  </si>
  <si>
    <t>BLD CUTTR TURBOHAWK SUPR</t>
  </si>
  <si>
    <t>BLD CUTTER</t>
  </si>
  <si>
    <t>0081725004</t>
  </si>
  <si>
    <t>IMP BLN PRES REG</t>
  </si>
  <si>
    <t>BLN PRES REG</t>
  </si>
  <si>
    <t>0081728966</t>
  </si>
  <si>
    <t>BUTTON ARTHRO</t>
  </si>
  <si>
    <t>0081730004</t>
  </si>
  <si>
    <t>CABLE DALL MILE</t>
  </si>
  <si>
    <t>0081733271</t>
  </si>
  <si>
    <t>CATH INTRADISCAL</t>
  </si>
  <si>
    <t>CATH INTRADISCL</t>
  </si>
  <si>
    <t>0081733289</t>
  </si>
  <si>
    <t>CATH INTRATHECAL 1 PIECE</t>
  </si>
  <si>
    <t>CATH INTRATHECA</t>
  </si>
  <si>
    <t>0081735003</t>
  </si>
  <si>
    <t>CEMENT</t>
  </si>
  <si>
    <t>0081735086</t>
  </si>
  <si>
    <t>CEMT BN INJECT</t>
  </si>
  <si>
    <t>0081735706</t>
  </si>
  <si>
    <t>CEMT SURG SIMP</t>
  </si>
  <si>
    <t>0081737199</t>
  </si>
  <si>
    <t>COIL EMBOLIZATION MICRO NESTER</t>
  </si>
  <si>
    <t>COIL EMB MICRO</t>
  </si>
  <si>
    <t>0081737231</t>
  </si>
  <si>
    <t>COIL EMB DETACH TARGT 360 NANO</t>
  </si>
  <si>
    <t>COIL TARGET 360</t>
  </si>
  <si>
    <t>0081737249</t>
  </si>
  <si>
    <t>COIL EMB DETACH HELICAL ULTRA</t>
  </si>
  <si>
    <t>COIL EMB TARGET</t>
  </si>
  <si>
    <t>0081737280</t>
  </si>
  <si>
    <t>SYS COIL DETACH INZONE</t>
  </si>
  <si>
    <t>SYS COIL DETACH</t>
  </si>
  <si>
    <t>0081737991</t>
  </si>
  <si>
    <t>COMPONENT VEN OUTFLOW</t>
  </si>
  <si>
    <t>COMP VEN OUTFLW</t>
  </si>
  <si>
    <t>0081740144</t>
  </si>
  <si>
    <t>DVC EMBOLIC PROTECTION</t>
  </si>
  <si>
    <t>DVC SPIDERFX</t>
  </si>
  <si>
    <t>0081740169</t>
  </si>
  <si>
    <t>DVC CHRONIC TOTL OCCLUSN</t>
  </si>
  <si>
    <t>DVC TRUEPATH</t>
  </si>
  <si>
    <t>0081740185</t>
  </si>
  <si>
    <t>DVC EMBOLIZ MSH PIPELINE</t>
  </si>
  <si>
    <t>DVC EMBOLIZATN</t>
  </si>
  <si>
    <t>0081740227</t>
  </si>
  <si>
    <t>DVC UROLIFT SYS DELIVERY</t>
  </si>
  <si>
    <t>DVC UROLIFT</t>
  </si>
  <si>
    <t>0081741134</t>
  </si>
  <si>
    <t>DVC VAS CLSR MYNX</t>
  </si>
  <si>
    <t>DVC VAS CLSR</t>
  </si>
  <si>
    <t>0081741142</t>
  </si>
  <si>
    <t>DVC REVAS TIGERTRIEVR</t>
  </si>
  <si>
    <t>TIGERTRIEVER</t>
  </si>
  <si>
    <t>0081741225</t>
  </si>
  <si>
    <t>COMPONENT ART GRFT HERO</t>
  </si>
  <si>
    <t>COMP ARTERIAL</t>
  </si>
  <si>
    <t>0081741415</t>
  </si>
  <si>
    <t>DVC REVASCULARIZATION</t>
  </si>
  <si>
    <t>DVC SOLITAIRE2</t>
  </si>
  <si>
    <t>0081741464</t>
  </si>
  <si>
    <t>DVC REVASCULARIZATION 3D</t>
  </si>
  <si>
    <t>DVC REVASCULARI</t>
  </si>
  <si>
    <t>0081748618</t>
  </si>
  <si>
    <t>IMP GEN NSTM RESTORESNSR</t>
  </si>
  <si>
    <t>0081750887</t>
  </si>
  <si>
    <t>KT REVISION SUTRLSS PMP</t>
  </si>
  <si>
    <t>KT REVISION</t>
  </si>
  <si>
    <t>0081753394</t>
  </si>
  <si>
    <t>MSH REMODELING ADJ COMANECI</t>
  </si>
  <si>
    <t>MSH REMODELING</t>
  </si>
  <si>
    <t>0081753451</t>
  </si>
  <si>
    <t>MSH PROLENE</t>
  </si>
  <si>
    <t>0081759029</t>
  </si>
  <si>
    <t>OH PATCH PERICARDL BOVIN</t>
  </si>
  <si>
    <t>OH PATCH BOVINE</t>
  </si>
  <si>
    <t>0081759037</t>
  </si>
  <si>
    <t>OH PATCH PERICARDL TUTOP</t>
  </si>
  <si>
    <t>OH PATCH TUTOPS</t>
  </si>
  <si>
    <t>0081760753</t>
  </si>
  <si>
    <t>SHNT VENTRICULR</t>
  </si>
  <si>
    <t>SHNT VENTRICLR</t>
  </si>
  <si>
    <t>0081761074</t>
  </si>
  <si>
    <t>PLUG VASC OCCLUSION</t>
  </si>
  <si>
    <t>PLUG VASC OCCL</t>
  </si>
  <si>
    <t>0081761207</t>
  </si>
  <si>
    <t>IMP PMP CNTRL UR SPHINE</t>
  </si>
  <si>
    <t>PMP CONTROL</t>
  </si>
  <si>
    <t>0081763161</t>
  </si>
  <si>
    <t>ROBOTIC SYS ACCESSORIES</t>
  </si>
  <si>
    <t>0081770240</t>
  </si>
  <si>
    <t>SEPARATOR INDIGO</t>
  </si>
  <si>
    <t>SEPARATR INDIGO</t>
  </si>
  <si>
    <t>0081770315</t>
  </si>
  <si>
    <t>CATH ASPIR XTORQ INDIGO CAT12</t>
  </si>
  <si>
    <t>CATH ASPIRATION</t>
  </si>
  <si>
    <t>0081770703</t>
  </si>
  <si>
    <t>SHNT VENTR PASS</t>
  </si>
  <si>
    <t>SHNT VENTR PAS</t>
  </si>
  <si>
    <t>0081771081</t>
  </si>
  <si>
    <t>SHTH INTRODUCER DRYSEAL</t>
  </si>
  <si>
    <t>SHTH INTRODUCER</t>
  </si>
  <si>
    <t>0081771156</t>
  </si>
  <si>
    <t>SHTH INTRODUCER MICRA</t>
  </si>
  <si>
    <t>INTRODUCR MICRA</t>
  </si>
  <si>
    <t>0081772550</t>
  </si>
  <si>
    <t>ST RENAL DILAT</t>
  </si>
  <si>
    <t>0081774580</t>
  </si>
  <si>
    <t>SYS LUNG BIOPSY TRACT</t>
  </si>
  <si>
    <t>SYS BIOSEAL DEL</t>
  </si>
  <si>
    <t>0081774648</t>
  </si>
  <si>
    <t>SYS MAXILLARY SINUS BLN</t>
  </si>
  <si>
    <t>SYS MAX SINUS</t>
  </si>
  <si>
    <t>0081774663</t>
  </si>
  <si>
    <t>SYS EMBOLIZATION ANEURYSM WEB</t>
  </si>
  <si>
    <t>SYS EMB ANEURYS</t>
  </si>
  <si>
    <t>0081774747</t>
  </si>
  <si>
    <t>SYS RETRV TREVO XP PROVU</t>
  </si>
  <si>
    <t>SYS RETRIEVER</t>
  </si>
  <si>
    <t>0081774887</t>
  </si>
  <si>
    <t>SYS CABLE STERNAL</t>
  </si>
  <si>
    <t>SYS CBL STRNL</t>
  </si>
  <si>
    <t>0081776718</t>
  </si>
  <si>
    <t>TRY CATH PWRGLDPRO BIOPTCH CVR</t>
  </si>
  <si>
    <t>TRY CATH POWERG</t>
  </si>
  <si>
    <t>0081776734</t>
  </si>
  <si>
    <t>TRY CATH POLY MDLN MAXBR</t>
  </si>
  <si>
    <t>TRY CATH MIDLN</t>
  </si>
  <si>
    <t>0081779019</t>
  </si>
  <si>
    <t>VAS CLS ANGIOSEAL</t>
  </si>
  <si>
    <t>VAS CLS ANGSL</t>
  </si>
  <si>
    <t>0081779456</t>
  </si>
  <si>
    <t>VLV HYDROCEPH</t>
  </si>
  <si>
    <t>0081779753</t>
  </si>
  <si>
    <t>WIRE CERCLAGE</t>
  </si>
  <si>
    <t>0081779902</t>
  </si>
  <si>
    <t>WIREGDE AMPLTZ</t>
  </si>
  <si>
    <t>0081780603</t>
  </si>
  <si>
    <t>DVC NEEDLE GUIDE VASCULR</t>
  </si>
  <si>
    <t>DVC VWING</t>
  </si>
  <si>
    <t>0081780736</t>
  </si>
  <si>
    <t>KT BONE SUBST INJECT HA</t>
  </si>
  <si>
    <t>KT BN HYDROSET</t>
  </si>
  <si>
    <t>0081781254</t>
  </si>
  <si>
    <t>ANCH LEAD SPINL STIM</t>
  </si>
  <si>
    <t>ANCH LEAD CLIK</t>
  </si>
  <si>
    <t>0081785982</t>
  </si>
  <si>
    <t>SHTH GUID DEFLCT STEERBL</t>
  </si>
  <si>
    <t>SHTH DESTINO</t>
  </si>
  <si>
    <t>0081787038</t>
  </si>
  <si>
    <t>SYS ILLUM SINUS</t>
  </si>
  <si>
    <t>0081787053</t>
  </si>
  <si>
    <t>SYS EMBOLIC LIQUID ONYX</t>
  </si>
  <si>
    <t>SYS EMBOLIC LIQ</t>
  </si>
  <si>
    <t>0081787434</t>
  </si>
  <si>
    <t>SYS THROMBECTOMY FLOWTREIVER</t>
  </si>
  <si>
    <t>SYS THROMB FLOW</t>
  </si>
  <si>
    <t>0081787442</t>
  </si>
  <si>
    <t>SYS TRNSCAR NEUROPROTECT</t>
  </si>
  <si>
    <t>0081812380</t>
  </si>
  <si>
    <t>TISS REINFORCMNT BIO-A 2</t>
  </si>
  <si>
    <t>TIS REINFORCEMN</t>
  </si>
  <si>
    <t>0081824070</t>
  </si>
  <si>
    <t>GDE SINUS CORON WORLEY</t>
  </si>
  <si>
    <t>GD ADVANCED CSG</t>
  </si>
  <si>
    <t>0081826125</t>
  </si>
  <si>
    <t>INJECTABLE BULK AGENT2</t>
  </si>
  <si>
    <t>INJ BULK AGENT</t>
  </si>
  <si>
    <t>0081826141</t>
  </si>
  <si>
    <t>INJECTABLE BULK AGENT</t>
  </si>
  <si>
    <t>INJECTABLE BULK</t>
  </si>
  <si>
    <t>0081828808</t>
  </si>
  <si>
    <t>KT BIOGLUE</t>
  </si>
  <si>
    <t>0081851388</t>
  </si>
  <si>
    <t>STPL LINE REINFORCEMENT</t>
  </si>
  <si>
    <t>STPL LN REINFRC</t>
  </si>
  <si>
    <t>0081856288</t>
  </si>
  <si>
    <t>SYS GASTRIC BANDING</t>
  </si>
  <si>
    <t>SYS GASTRIC BND</t>
  </si>
  <si>
    <t>0081860991</t>
  </si>
  <si>
    <t>TISS REINFORCEMENT BIO-A</t>
  </si>
  <si>
    <t>0081920191</t>
  </si>
  <si>
    <t>DVC ATRICLIP LAA EXCULSN</t>
  </si>
  <si>
    <t>DVC ATRICLIP</t>
  </si>
  <si>
    <t>0081920266</t>
  </si>
  <si>
    <t>DVC SUTURE DELIVERY</t>
  </si>
  <si>
    <t>DVC DIGITEX SUT</t>
  </si>
  <si>
    <t>0081920506</t>
  </si>
  <si>
    <t>HEMOSTAT BN WAX WTR SOL</t>
  </si>
  <si>
    <t>HEMOSTAT BN WAX</t>
  </si>
  <si>
    <t>0081931057</t>
  </si>
  <si>
    <t>CARTG SUTURE FIX DIGITEX</t>
  </si>
  <si>
    <t>CARTG SUTUR FIX</t>
  </si>
  <si>
    <t>0082400052</t>
  </si>
  <si>
    <t>ANCH/SCRW BN/BN TISS/BN</t>
  </si>
  <si>
    <t>ANCH/SCRW BN/BN</t>
  </si>
  <si>
    <t>0082400060</t>
  </si>
  <si>
    <t>ANCH/SCRW BN/BN TISS/BN2</t>
  </si>
  <si>
    <t>ANCH/SCRW BN/B2</t>
  </si>
  <si>
    <t>0082400094</t>
  </si>
  <si>
    <t>BARRIER ADHESION</t>
  </si>
  <si>
    <t>BARRIER ADHESN</t>
  </si>
  <si>
    <t>0082400201</t>
  </si>
  <si>
    <t>IMP ANCH MITEK GII</t>
  </si>
  <si>
    <t>IMP ANCH MITEK</t>
  </si>
  <si>
    <t>0082400227</t>
  </si>
  <si>
    <t>CATH ACUNAV ULTRSND DIAG</t>
  </si>
  <si>
    <t>CATH ACUNAV US</t>
  </si>
  <si>
    <t>0082400268</t>
  </si>
  <si>
    <t>CATH ANGIOJET RHEO THROM</t>
  </si>
  <si>
    <t>CTH ANGJET RHEO</t>
  </si>
  <si>
    <t>0082400326</t>
  </si>
  <si>
    <t>MORCLLTR LAP GYNCR XTRCT</t>
  </si>
  <si>
    <t>MORCLLTR GYNCR</t>
  </si>
  <si>
    <t>0082400441</t>
  </si>
  <si>
    <t>CATH PT DEV ARRW TREROTL</t>
  </si>
  <si>
    <t>CATH DEV ARROW</t>
  </si>
  <si>
    <t>0082400458</t>
  </si>
  <si>
    <t>CATH PRPH DIL POLARCATH</t>
  </si>
  <si>
    <t>CATH PRPH POLAR</t>
  </si>
  <si>
    <t>0082400508</t>
  </si>
  <si>
    <t>CATH DIAL VAXCEL CHRON</t>
  </si>
  <si>
    <t>CATH DIAL VAXCL</t>
  </si>
  <si>
    <t>0082400763</t>
  </si>
  <si>
    <t>CATH BLN TIS DISSCT NVAS</t>
  </si>
  <si>
    <t>CATH BLNTIS DIS</t>
  </si>
  <si>
    <t>0082400805</t>
  </si>
  <si>
    <t>CATH DIAG NAVI-STAR</t>
  </si>
  <si>
    <t>CATH NAVI-STAR</t>
  </si>
  <si>
    <t>0082400821</t>
  </si>
  <si>
    <t>CATH DRAINAGE</t>
  </si>
  <si>
    <t>0082400888</t>
  </si>
  <si>
    <t>CATH EP DX/ABL 3D/VECTR</t>
  </si>
  <si>
    <t>CATH EP DX/ABL</t>
  </si>
  <si>
    <t>0082400904</t>
  </si>
  <si>
    <t>CATH PRPH DIL RX VTRC 14</t>
  </si>
  <si>
    <t>CTH PRPH DIL RX</t>
  </si>
  <si>
    <t>0082400961</t>
  </si>
  <si>
    <t>CATH GUIDING</t>
  </si>
  <si>
    <t>0082400987</t>
  </si>
  <si>
    <t>CATH HEMODIAL LONG TERM</t>
  </si>
  <si>
    <t>CATH HEMODIAL</t>
  </si>
  <si>
    <t>0082401027</t>
  </si>
  <si>
    <t>CATH HEMODIAL SHORT TERM</t>
  </si>
  <si>
    <t>0082401118</t>
  </si>
  <si>
    <t>CATH INTRASPINAL</t>
  </si>
  <si>
    <t>CATH INTRASPINL</t>
  </si>
  <si>
    <t>0082401134</t>
  </si>
  <si>
    <t>CATH US INTRAVASCULAR</t>
  </si>
  <si>
    <t>CATH US INTRVAS</t>
  </si>
  <si>
    <t>0082401159</t>
  </si>
  <si>
    <t>CATH OCCLUSION</t>
  </si>
  <si>
    <t>0082401241</t>
  </si>
  <si>
    <t>CATH INTRASPINAL INDURA</t>
  </si>
  <si>
    <t>0082401258</t>
  </si>
  <si>
    <t>CATH ANG TRANSLUMNL NLSR</t>
  </si>
  <si>
    <t>CATH ANG TRNSLU</t>
  </si>
  <si>
    <t>0082401332</t>
  </si>
  <si>
    <t>DEV CLOSR VASC IMP/INSRT</t>
  </si>
  <si>
    <t>DEV CLOSR VASC</t>
  </si>
  <si>
    <t>0082401357</t>
  </si>
  <si>
    <t>DEV REP URINARY W/SLING</t>
  </si>
  <si>
    <t>DEV REP URINARY</t>
  </si>
  <si>
    <t>0082401431</t>
  </si>
  <si>
    <t>FILTER VENA CAVA</t>
  </si>
  <si>
    <t>FILTER VENACAVA</t>
  </si>
  <si>
    <t>0082401498</t>
  </si>
  <si>
    <t>IMP JOINT TOE</t>
  </si>
  <si>
    <t>0082401589</t>
  </si>
  <si>
    <t>GRFT VASCULAR 2</t>
  </si>
  <si>
    <t>0082401639</t>
  </si>
  <si>
    <t>GUIDEWIRE II</t>
  </si>
  <si>
    <t>0082401779</t>
  </si>
  <si>
    <t>GRFT VASCULAR</t>
  </si>
  <si>
    <t>0082401795</t>
  </si>
  <si>
    <t>GUIDEWIRE</t>
  </si>
  <si>
    <t>0082401803</t>
  </si>
  <si>
    <t>IMP ADAP/EXT LD PM NSTIM</t>
  </si>
  <si>
    <t>IMP ADAP/EXT LD</t>
  </si>
  <si>
    <t>0082401837</t>
  </si>
  <si>
    <t>IMP PMP INF TEMP N-PRGRM</t>
  </si>
  <si>
    <t>IMP PMP INF</t>
  </si>
  <si>
    <t>0082401852</t>
  </si>
  <si>
    <t>IMP PMP INF PROGRAMMABLE</t>
  </si>
  <si>
    <t>0082401860</t>
  </si>
  <si>
    <t>IMP GEN NSTIM N-RECHG</t>
  </si>
  <si>
    <t>0082401886</t>
  </si>
  <si>
    <t>IMP LD CARDV/DFIB EC DC</t>
  </si>
  <si>
    <t>IMP LD CARDV/DF</t>
  </si>
  <si>
    <t>0082401936</t>
  </si>
  <si>
    <t>IMP LD NSTIM</t>
  </si>
  <si>
    <t>0082401951</t>
  </si>
  <si>
    <t>IMP LD NSTIM TEST KT</t>
  </si>
  <si>
    <t>IMP LD NSTM TST</t>
  </si>
  <si>
    <t>0082401977</t>
  </si>
  <si>
    <t>IMP LD PM/CARD-DFIB COMB</t>
  </si>
  <si>
    <t>LD PM/CARD-DFIB</t>
  </si>
  <si>
    <t>0082401993</t>
  </si>
  <si>
    <t>IMP MESH</t>
  </si>
  <si>
    <t>0082402009</t>
  </si>
  <si>
    <t>KIT STIM INTERSTIM TEST</t>
  </si>
  <si>
    <t>KT STM INTERSTM</t>
  </si>
  <si>
    <t>0082402017</t>
  </si>
  <si>
    <t>IMP PORT INDWELLING</t>
  </si>
  <si>
    <t>IMP PORT INDWEL</t>
  </si>
  <si>
    <t>0082402025</t>
  </si>
  <si>
    <t>IMP PROSTHESIS BREAST</t>
  </si>
  <si>
    <t>IMP PROSTH BRST</t>
  </si>
  <si>
    <t>0082402082</t>
  </si>
  <si>
    <t>IMP JOINT FINGER</t>
  </si>
  <si>
    <t>IMP JOINT FINGR</t>
  </si>
  <si>
    <t>0082402124</t>
  </si>
  <si>
    <t>LD PM CAPSURE FIX</t>
  </si>
  <si>
    <t>LD PM CAPSR FIX</t>
  </si>
  <si>
    <t>0082402132</t>
  </si>
  <si>
    <t>IMP PLATE</t>
  </si>
  <si>
    <t>0082402157</t>
  </si>
  <si>
    <t>IMP SCREW/PIN</t>
  </si>
  <si>
    <t>0082402173</t>
  </si>
  <si>
    <t>LD PM NOT TRNSVEN VDD SP</t>
  </si>
  <si>
    <t>LD PM NOT TRNSV</t>
  </si>
  <si>
    <t>0082402231</t>
  </si>
  <si>
    <t>INTRO EP IC N-LSR N-GUID</t>
  </si>
  <si>
    <t>INTRO EP IC N-L</t>
  </si>
  <si>
    <t>0082402280</t>
  </si>
  <si>
    <t>LD PM TENDRL SDX1488T/46</t>
  </si>
  <si>
    <t>LD TNDRL1488T46</t>
  </si>
  <si>
    <t>0082402363</t>
  </si>
  <si>
    <t>LD PM CAPSURE SP NOVUS</t>
  </si>
  <si>
    <t>LD PM CAPSR NOV</t>
  </si>
  <si>
    <t>0082402371</t>
  </si>
  <si>
    <t>LD PM TENDRL SDX1688T/46</t>
  </si>
  <si>
    <t>LD PM SDX1688T</t>
  </si>
  <si>
    <t>0082402470</t>
  </si>
  <si>
    <t>LD DFIB SPRINT 6947</t>
  </si>
  <si>
    <t>0082402496</t>
  </si>
  <si>
    <t>LD DFIB RELIANCE END0158</t>
  </si>
  <si>
    <t>0082402587</t>
  </si>
  <si>
    <t>LD PM ADAPTOR</t>
  </si>
  <si>
    <t>0082402595</t>
  </si>
  <si>
    <t>LD DFIB RELIANCE END0157</t>
  </si>
  <si>
    <t>0082402645</t>
  </si>
  <si>
    <t>MORCELLATOR</t>
  </si>
  <si>
    <t>0082403536</t>
  </si>
  <si>
    <t>PROBE CRYOABLATION 2</t>
  </si>
  <si>
    <t>PROBE CRYOABLAT</t>
  </si>
  <si>
    <t>0082403551</t>
  </si>
  <si>
    <t>PROBE CRYOABLATION</t>
  </si>
  <si>
    <t>0082403577</t>
  </si>
  <si>
    <t>PROGRAMMER PT NEUROSTIM</t>
  </si>
  <si>
    <t>PROGRMR PT NSTM</t>
  </si>
  <si>
    <t>0082403585</t>
  </si>
  <si>
    <t>PROGRMR SYNERGY EZ PT</t>
  </si>
  <si>
    <t>PROGM SYNRGY EZ</t>
  </si>
  <si>
    <t>0082403601</t>
  </si>
  <si>
    <t>PROS PENILE AMS 700</t>
  </si>
  <si>
    <t>PROS PENILE AMS</t>
  </si>
  <si>
    <t>0082403635</t>
  </si>
  <si>
    <t>PROS PENILE INFLATABLE</t>
  </si>
  <si>
    <t>PROS PENILE INF</t>
  </si>
  <si>
    <t>0082403643</t>
  </si>
  <si>
    <t>PROS PENILE N-INFLATABLE</t>
  </si>
  <si>
    <t>PROS PENILE N-I</t>
  </si>
  <si>
    <t>0082403692</t>
  </si>
  <si>
    <t>RECORDER EVENT CARDIAC</t>
  </si>
  <si>
    <t>RCRDR EVNT CARD</t>
  </si>
  <si>
    <t>0082403742</t>
  </si>
  <si>
    <t>SYS COR ROTLNK CATH/BURR</t>
  </si>
  <si>
    <t>SYS ROTLNK CATH</t>
  </si>
  <si>
    <t>0082403866</t>
  </si>
  <si>
    <t>STNT B PALMAZ CORINTHIAN</t>
  </si>
  <si>
    <t>STNT B PALMAZ</t>
  </si>
  <si>
    <t>0082404070</t>
  </si>
  <si>
    <t>TISS CONNECTIVE HUMAN</t>
  </si>
  <si>
    <t>TISS CONN HUMAN</t>
  </si>
  <si>
    <t>0082404096</t>
  </si>
  <si>
    <t>TISS CONNECTIVE N-HUMAN</t>
  </si>
  <si>
    <t>TISS CONN N-HUM</t>
  </si>
  <si>
    <t>0082404146</t>
  </si>
  <si>
    <t>WSTNT ILIAC ENDPR UNSTP+</t>
  </si>
  <si>
    <t>WSTNT ILIAC END</t>
  </si>
  <si>
    <t>0082404237</t>
  </si>
  <si>
    <t>WSTNT B ENDOPROS VIATOR</t>
  </si>
  <si>
    <t>WSTNT B ENDOPRS</t>
  </si>
  <si>
    <t>0082404328</t>
  </si>
  <si>
    <t>WSTNT TBRNCH ENDOPROS</t>
  </si>
  <si>
    <t>WSTNT TBRNC END</t>
  </si>
  <si>
    <t>0082404518</t>
  </si>
  <si>
    <t>APLIGRAF PER SQ CM</t>
  </si>
  <si>
    <t>APLIGRAF SQ CM</t>
  </si>
  <si>
    <t>0082404708</t>
  </si>
  <si>
    <t>ALLOGRFT BARD FASLATA14</t>
  </si>
  <si>
    <t>GRFT BARD FSL14</t>
  </si>
  <si>
    <t>0082404807</t>
  </si>
  <si>
    <t>ALLOGRFT BARD FASLATA 8</t>
  </si>
  <si>
    <t>GRFT BARD FSL 8</t>
  </si>
  <si>
    <t>0082404971</t>
  </si>
  <si>
    <t>ALLOGRFT SPACER CERVICAL</t>
  </si>
  <si>
    <t>GRFT SPACR CERV</t>
  </si>
  <si>
    <t>0082405051</t>
  </si>
  <si>
    <t>ANCH SCRW SUTR ARTHREX</t>
  </si>
  <si>
    <t>ANCH SCRW SUT</t>
  </si>
  <si>
    <t>0082406471</t>
  </si>
  <si>
    <t>CATH ABL NAVISTAR THERMO</t>
  </si>
  <si>
    <t>CATH ABL THERMO</t>
  </si>
  <si>
    <t>0082407610</t>
  </si>
  <si>
    <t>CATH BLN DIL UROMAX UHP</t>
  </si>
  <si>
    <t>CATH BLN UROMAX</t>
  </si>
  <si>
    <t>0082407719</t>
  </si>
  <si>
    <t>CATH BLN W DIL PSSPRT H+</t>
  </si>
  <si>
    <t>CATH BLN PSSPRT</t>
  </si>
  <si>
    <t>0082408063</t>
  </si>
  <si>
    <t>CATH EP CORDIS FIX QUAD</t>
  </si>
  <si>
    <t>CATH FIX QUAD</t>
  </si>
  <si>
    <t>0082408089</t>
  </si>
  <si>
    <t>CATH EP CORDIS QUAD DEFL</t>
  </si>
  <si>
    <t>CATH QUAD DEFL</t>
  </si>
  <si>
    <t>0082408170</t>
  </si>
  <si>
    <t>CATH EP LASSO DEFL CIRC</t>
  </si>
  <si>
    <t>CATH EP LASSO</t>
  </si>
  <si>
    <t>0082408535</t>
  </si>
  <si>
    <t>CATH TESIO MEDCMP SILCON</t>
  </si>
  <si>
    <t>CATH TESIO MEDC</t>
  </si>
  <si>
    <t>0082409160</t>
  </si>
  <si>
    <t>DEV CAPIO SUTURE OPEN</t>
  </si>
  <si>
    <t>DEV CAPIO SUT</t>
  </si>
  <si>
    <t>0082409376</t>
  </si>
  <si>
    <t>DEV LDLOCK SPECTRA518062</t>
  </si>
  <si>
    <t>DEV LD LOCKING</t>
  </si>
  <si>
    <t>0082409442</t>
  </si>
  <si>
    <t>DEV VAG TP TENSN FR SNGL</t>
  </si>
  <si>
    <t>DEV VAG TP FR</t>
  </si>
  <si>
    <t>0082410747</t>
  </si>
  <si>
    <t>GCATH CRDS VISTABRT TP 6</t>
  </si>
  <si>
    <t>GCATH CORDIS 6F</t>
  </si>
  <si>
    <t>0082410994</t>
  </si>
  <si>
    <t>GINTRO AGILIS STRB NPEEL</t>
  </si>
  <si>
    <t>GINTRO AGILIS</t>
  </si>
  <si>
    <t>0082411786</t>
  </si>
  <si>
    <t>GINTRO SWARTZ</t>
  </si>
  <si>
    <t>0082412446</t>
  </si>
  <si>
    <t>GRFT V IMPRAVNFL C STP45</t>
  </si>
  <si>
    <t>GRFT V IMPVNFL</t>
  </si>
  <si>
    <t>0082412453</t>
  </si>
  <si>
    <t>GRFT VSC FELT TEFLON</t>
  </si>
  <si>
    <t>GRFT VSC FELT</t>
  </si>
  <si>
    <t>0082412545</t>
  </si>
  <si>
    <t>GW HI-TORQ BALANCE MW</t>
  </si>
  <si>
    <t>GW HI-TORQ MW</t>
  </si>
  <si>
    <t>0082413212</t>
  </si>
  <si>
    <t>GW TRANSEND</t>
  </si>
  <si>
    <t>0082414228</t>
  </si>
  <si>
    <t>IMP ANCH MITEK FSTIN RC</t>
  </si>
  <si>
    <t>IMP ANCH FSTNRC</t>
  </si>
  <si>
    <t>0082414384</t>
  </si>
  <si>
    <t>IMP ANCH MITEK SUPER</t>
  </si>
  <si>
    <t>IMP ANCH SUPER</t>
  </si>
  <si>
    <t>0082414541</t>
  </si>
  <si>
    <t>IMP GEN NSTIM N-RECHG1</t>
  </si>
  <si>
    <t>IMP GEN NSSTIM</t>
  </si>
  <si>
    <t>0082414681</t>
  </si>
  <si>
    <t>IMP PMP INF SYNCHROMED</t>
  </si>
  <si>
    <t>IMP PMP SYNCHRO</t>
  </si>
  <si>
    <t>0082414749</t>
  </si>
  <si>
    <t>IMP PMP INF SYNCHROMED P</t>
  </si>
  <si>
    <t>0082414806</t>
  </si>
  <si>
    <t>IMP RECDR CARD REVEAL+</t>
  </si>
  <si>
    <t>IMP RCDR REVEAL</t>
  </si>
  <si>
    <t>0082414913</t>
  </si>
  <si>
    <t>IMP STIM BN GRWTH</t>
  </si>
  <si>
    <t>STIM BN GRWTH</t>
  </si>
  <si>
    <t>0082414921</t>
  </si>
  <si>
    <t>IMP URINARY SYN 1ML</t>
  </si>
  <si>
    <t>IMP URINARY 1ML</t>
  </si>
  <si>
    <t>0082414954</t>
  </si>
  <si>
    <t>INTEGRA 2X2 PER SQ CM</t>
  </si>
  <si>
    <t>0082414962</t>
  </si>
  <si>
    <t>INTEGRA 4X5 PER SQ CM</t>
  </si>
  <si>
    <t>0082414970</t>
  </si>
  <si>
    <t>INTEGRA 4X10 PER SQ CM</t>
  </si>
  <si>
    <t>0082415662</t>
  </si>
  <si>
    <t>KT ANCH MAGNUM 2 PLUS</t>
  </si>
  <si>
    <t>KT ANCH MAGNUM2</t>
  </si>
  <si>
    <t>0082416983</t>
  </si>
  <si>
    <t>LD DFIB EASYTRAK 4543</t>
  </si>
  <si>
    <t>0082417205</t>
  </si>
  <si>
    <t>LD DFIB CAPSURE 4965</t>
  </si>
  <si>
    <t>LD DFIB CAPSURE</t>
  </si>
  <si>
    <t>0082417379</t>
  </si>
  <si>
    <t>LD DFIB SQ ARRAY XP 0085</t>
  </si>
  <si>
    <t>LD DFIB SQ ARAY</t>
  </si>
  <si>
    <t>0082417478</t>
  </si>
  <si>
    <t>LD DFIB RELIANCE END0185</t>
  </si>
  <si>
    <t>0082417544</t>
  </si>
  <si>
    <t>LD DFIB SPRINT 6944</t>
  </si>
  <si>
    <t>0082417999</t>
  </si>
  <si>
    <t>LD NSTIM 1X8 SUB-CMPCT</t>
  </si>
  <si>
    <t>LD NSTIM 1X8</t>
  </si>
  <si>
    <t>0082418153</t>
  </si>
  <si>
    <t>LD NSTIM OCTAD 3778</t>
  </si>
  <si>
    <t>LD NSTIM OCTAD</t>
  </si>
  <si>
    <t>0082418179</t>
  </si>
  <si>
    <t>LD NSTIM TRIAL 3874</t>
  </si>
  <si>
    <t>0082418369</t>
  </si>
  <si>
    <t>LD NSTIM PISCES QD +3888</t>
  </si>
  <si>
    <t>LD NSTIM PISCES</t>
  </si>
  <si>
    <t>0082418385</t>
  </si>
  <si>
    <t>LD NSTIM PISCES QD 3487A</t>
  </si>
  <si>
    <t>0082418609</t>
  </si>
  <si>
    <t>LD PM CAPSURE</t>
  </si>
  <si>
    <t>0082418633</t>
  </si>
  <si>
    <t>LD PM CAPSURE EPI 4968</t>
  </si>
  <si>
    <t>0082418658</t>
  </si>
  <si>
    <t>LD PM CAPSURFX NOVUS5076</t>
  </si>
  <si>
    <t>LD PM CAPSURFIX</t>
  </si>
  <si>
    <t>0082418674</t>
  </si>
  <si>
    <t>LD PM CAPSURFX NOVUS4076</t>
  </si>
  <si>
    <t>0082419078</t>
  </si>
  <si>
    <t>LD PM INNOMEDICA CRD4047</t>
  </si>
  <si>
    <t>LD PM INNOMEDIC</t>
  </si>
  <si>
    <t>0082419219</t>
  </si>
  <si>
    <t>LD PM FLEXTEND 4086</t>
  </si>
  <si>
    <t>LD PM FLEXTEND</t>
  </si>
  <si>
    <t>0082419227</t>
  </si>
  <si>
    <t>LD PM FLEXTEND 4087</t>
  </si>
  <si>
    <t>0082419250</t>
  </si>
  <si>
    <t>LD PM TENDRIL ST 1788TC</t>
  </si>
  <si>
    <t>LD PM TENDRL ST</t>
  </si>
  <si>
    <t>0082419433</t>
  </si>
  <si>
    <t>LD PM SELECTSECURE 3830</t>
  </si>
  <si>
    <t>LD PM SELCTSECR</t>
  </si>
  <si>
    <t>0082419441</t>
  </si>
  <si>
    <t>LD PM SELOX JT45</t>
  </si>
  <si>
    <t>LD PM SELX JT45</t>
  </si>
  <si>
    <t>0082419458</t>
  </si>
  <si>
    <t>LD PM SELOX ST53</t>
  </si>
  <si>
    <t>LD PM SELX ST53</t>
  </si>
  <si>
    <t>0082419466</t>
  </si>
  <si>
    <t>LD PM SELOX ST60</t>
  </si>
  <si>
    <t>LD PM SELX ST60</t>
  </si>
  <si>
    <t>0082419474</t>
  </si>
  <si>
    <t>LD PM SETROX S45</t>
  </si>
  <si>
    <t>LD PM SETRX S45</t>
  </si>
  <si>
    <t>0082419482</t>
  </si>
  <si>
    <t>LD PM SETROX S53</t>
  </si>
  <si>
    <t>LD PM SETRX S53</t>
  </si>
  <si>
    <t>0082419490</t>
  </si>
  <si>
    <t>LD PM SETROX S60</t>
  </si>
  <si>
    <t>LD PM SETRX S60</t>
  </si>
  <si>
    <t>0082420209</t>
  </si>
  <si>
    <t>LD PM TENDRL ST OP1882TC</t>
  </si>
  <si>
    <t>0082420233</t>
  </si>
  <si>
    <t>LD PM TENDRIL ST 1888TC</t>
  </si>
  <si>
    <t>0082420704</t>
  </si>
  <si>
    <t>MATRX COLLGN PELV ACEL48</t>
  </si>
  <si>
    <t>MATRX COLLGN 48</t>
  </si>
  <si>
    <t>0082420761</t>
  </si>
  <si>
    <t>MESH BARD 3DMAX LG</t>
  </si>
  <si>
    <t>MESH BARD 3DMAX</t>
  </si>
  <si>
    <t>0082420787</t>
  </si>
  <si>
    <t>MESH BARD 3DMAX MED</t>
  </si>
  <si>
    <t>0082420811</t>
  </si>
  <si>
    <t>MESH DERMMATRIX 16 SCM</t>
  </si>
  <si>
    <t>MESH DERMMATRIX</t>
  </si>
  <si>
    <t>0082420860</t>
  </si>
  <si>
    <t>MESH HERNIA COMPOSIX 18</t>
  </si>
  <si>
    <t>MESH COMPSX 18</t>
  </si>
  <si>
    <t>0082420886</t>
  </si>
  <si>
    <t>MESH HERNIA COMPOSIX 48</t>
  </si>
  <si>
    <t>MESH COMPSX 48</t>
  </si>
  <si>
    <t>0082420928</t>
  </si>
  <si>
    <t>MESH HERNIA COMPOSIX 80</t>
  </si>
  <si>
    <t>MESH COMPSX 80</t>
  </si>
  <si>
    <t>0082421009</t>
  </si>
  <si>
    <t>MESH GRTX DUAL 150CM1OVL</t>
  </si>
  <si>
    <t>MESH DUAL 150CM</t>
  </si>
  <si>
    <t>0082421025</t>
  </si>
  <si>
    <t>MESH GRTX DUAL 285CM1OVL</t>
  </si>
  <si>
    <t>MESH DUAL 285CM</t>
  </si>
  <si>
    <t>0082421041</t>
  </si>
  <si>
    <t>MESH GRTX DUAL 432CM1THK</t>
  </si>
  <si>
    <t>MESH DUAL 432CM</t>
  </si>
  <si>
    <t>0082421066</t>
  </si>
  <si>
    <t>MESH GRTX DUAL 600CM1THK</t>
  </si>
  <si>
    <t>MESH DUAL 600CM</t>
  </si>
  <si>
    <t>0082421140</t>
  </si>
  <si>
    <t>MESH GRTX DUAL+150CM1OVL</t>
  </si>
  <si>
    <t>MESH DUAL+150CM</t>
  </si>
  <si>
    <t>0082421470</t>
  </si>
  <si>
    <t>MESH H PROLENE 15X15</t>
  </si>
  <si>
    <t>MESH H PROLENE</t>
  </si>
  <si>
    <t>0082424425</t>
  </si>
  <si>
    <t>PERMACOL 10X10 PER SQ CM</t>
  </si>
  <si>
    <t>PERMACOL SQ CM</t>
  </si>
  <si>
    <t>0082424441</t>
  </si>
  <si>
    <t>PERMACOL 10X15 PER SQ CM</t>
  </si>
  <si>
    <t>0082426412</t>
  </si>
  <si>
    <t>PM DC RR PRELIFE</t>
  </si>
  <si>
    <t>PM DC RR PRELIF</t>
  </si>
  <si>
    <t>0082431362</t>
  </si>
  <si>
    <t>STNT B EXPRESS LD</t>
  </si>
  <si>
    <t>STNT B EXPRS LD</t>
  </si>
  <si>
    <t>0082431867</t>
  </si>
  <si>
    <t>STNT C GR II</t>
  </si>
  <si>
    <t>STNT C GRII</t>
  </si>
  <si>
    <t>0082432733</t>
  </si>
  <si>
    <t>STNT U INLAY DBL PIGTAIL</t>
  </si>
  <si>
    <t>STNT U INLAY DB</t>
  </si>
  <si>
    <t>0082435306</t>
  </si>
  <si>
    <t>SYS EMBOLIZATN PROTECT</t>
  </si>
  <si>
    <t>EMBOLZN PROTECT</t>
  </si>
  <si>
    <t>0082436676</t>
  </si>
  <si>
    <t>SYS SLING MONARC</t>
  </si>
  <si>
    <t>SYS SLNG MONARC</t>
  </si>
  <si>
    <t>0082437922</t>
  </si>
  <si>
    <t>TISS MATRIX ACELL DERM</t>
  </si>
  <si>
    <t>TISS MTRX ACELL</t>
  </si>
  <si>
    <t>0082450958</t>
  </si>
  <si>
    <t>CATH BLN CUT INTERVENTNL</t>
  </si>
  <si>
    <t>CATH BLN CUT</t>
  </si>
  <si>
    <t>0082451642</t>
  </si>
  <si>
    <t>CATH BLN DIL SPRINTER</t>
  </si>
  <si>
    <t>CATH BLN DIL</t>
  </si>
  <si>
    <t>0082455312</t>
  </si>
  <si>
    <t>CATH DRAINAGE MALECOT</t>
  </si>
  <si>
    <t>CATH DRN MALCOT</t>
  </si>
  <si>
    <t>0082456344</t>
  </si>
  <si>
    <t>CATH EP STEERDX VLV MAP</t>
  </si>
  <si>
    <t>CATH EP STEERDX</t>
  </si>
  <si>
    <t>0082457482</t>
  </si>
  <si>
    <t>CATH INF LYSUS</t>
  </si>
  <si>
    <t>0082457532</t>
  </si>
  <si>
    <t>CATH INF PICC DL PWR</t>
  </si>
  <si>
    <t>CATH INF PICC</t>
  </si>
  <si>
    <t>0082460825</t>
  </si>
  <si>
    <t>SCRW BIOINTERFER ARTHRX</t>
  </si>
  <si>
    <t>CSCRW BIOINTERF</t>
  </si>
  <si>
    <t>0082461302</t>
  </si>
  <si>
    <t>DFIB DC PRELIFE</t>
  </si>
  <si>
    <t>0082464009</t>
  </si>
  <si>
    <t>GCATH LGL CORDIS ENVOY 5</t>
  </si>
  <si>
    <t>GCATH LGL ENVOY</t>
  </si>
  <si>
    <t>0082464025</t>
  </si>
  <si>
    <t>GCATH LGL CORDIS ENVOY 6</t>
  </si>
  <si>
    <t>0082464553</t>
  </si>
  <si>
    <t>GEN NSTIM N-CHG PRELIFE</t>
  </si>
  <si>
    <t>0082464587</t>
  </si>
  <si>
    <t>GEN NSTIM RECHG PRELIFE</t>
  </si>
  <si>
    <t>GEN NSTIM PRELF</t>
  </si>
  <si>
    <t>0082465501</t>
  </si>
  <si>
    <t>GRFT DVF WOVN HEMASHIELD</t>
  </si>
  <si>
    <t>GRFT DVF WOVEN</t>
  </si>
  <si>
    <t>0082465758</t>
  </si>
  <si>
    <t>GRFT V PTFE ADVANTA ATRI</t>
  </si>
  <si>
    <t>GRFT V PTFE ADV</t>
  </si>
  <si>
    <t>0082466301</t>
  </si>
  <si>
    <t>GW DOC WIRE</t>
  </si>
  <si>
    <t>0082470352</t>
  </si>
  <si>
    <t>IMP COLLAGEN CONTIGEN BA</t>
  </si>
  <si>
    <t>IMP COLLGN CONT</t>
  </si>
  <si>
    <t>0082471350</t>
  </si>
  <si>
    <t>IMP PRT BARDPRT XPORT</t>
  </si>
  <si>
    <t>IMP PRT BARDPRT</t>
  </si>
  <si>
    <t>0082473018</t>
  </si>
  <si>
    <t>LD ATTAIN BIPLR 4194</t>
  </si>
  <si>
    <t>LD ATTAIN BIPLR</t>
  </si>
  <si>
    <t>0082473034</t>
  </si>
  <si>
    <t>LD DFIB DUAL COIL PRELIF</t>
  </si>
  <si>
    <t>LD DFIB PRELIFE</t>
  </si>
  <si>
    <t>0082473174</t>
  </si>
  <si>
    <t>LD PM OTHER THAN PRELIFE</t>
  </si>
  <si>
    <t>LD PM OTHR TRNS</t>
  </si>
  <si>
    <t>0082473489</t>
  </si>
  <si>
    <t>LD DFIB SUB-Q 6996SQ</t>
  </si>
  <si>
    <t>LD DFIB SUB-Q</t>
  </si>
  <si>
    <t>0082473562</t>
  </si>
  <si>
    <t>LD NSTIM PRELIFE</t>
  </si>
  <si>
    <t>LD NSTIM PRELF</t>
  </si>
  <si>
    <t>0082474107</t>
  </si>
  <si>
    <t>LD PM FINELN2 EZSTER4469</t>
  </si>
  <si>
    <t>LD PM FINELN II</t>
  </si>
  <si>
    <t>0082474123</t>
  </si>
  <si>
    <t>LD PM FINELN2 EZSTER4470</t>
  </si>
  <si>
    <t>0082474222</t>
  </si>
  <si>
    <t>LD PM FINELN2 STEROX4456</t>
  </si>
  <si>
    <t>0082474248</t>
  </si>
  <si>
    <t>LD PM FINELN2 STEROX4457</t>
  </si>
  <si>
    <t>0082474289</t>
  </si>
  <si>
    <t>LD PM FINELN2 STEROX4479</t>
  </si>
  <si>
    <t>0082474305</t>
  </si>
  <si>
    <t>LD PM FINELN2 STEROX4480</t>
  </si>
  <si>
    <t>0082477027</t>
  </si>
  <si>
    <t>MATRX TISS XENFORM</t>
  </si>
  <si>
    <t>MATRX XENFORM</t>
  </si>
  <si>
    <t>0082477753</t>
  </si>
  <si>
    <t>MCATH PROWLER PLUS</t>
  </si>
  <si>
    <t>MCATH PROWLER</t>
  </si>
  <si>
    <t>0082478207</t>
  </si>
  <si>
    <t>MESH H ATRIUM SURG</t>
  </si>
  <si>
    <t>MESH H ATRIUM</t>
  </si>
  <si>
    <t>0082478256</t>
  </si>
  <si>
    <t>MESH H BARD COMPOSIX E/X</t>
  </si>
  <si>
    <t>MESH H BARD COM</t>
  </si>
  <si>
    <t>0082478496</t>
  </si>
  <si>
    <t>MESH HERNIA PARIETEX</t>
  </si>
  <si>
    <t>MESH H PARIETEX</t>
  </si>
  <si>
    <t>0082478603</t>
  </si>
  <si>
    <t>MESH PLUG PERFIX BARD</t>
  </si>
  <si>
    <t>MESH PLUG PERFX</t>
  </si>
  <si>
    <t>0082478652</t>
  </si>
  <si>
    <t>MESH PROLENE SOFT</t>
  </si>
  <si>
    <t>MESH PROLENE</t>
  </si>
  <si>
    <t>0082479965</t>
  </si>
  <si>
    <t>OASIS WND MATRIX SQ CM</t>
  </si>
  <si>
    <t>OASIS WND MATRX</t>
  </si>
  <si>
    <t>0082480120</t>
  </si>
  <si>
    <t>PMP INF PROGRM PRELIFE</t>
  </si>
  <si>
    <t>PMP INF PRELIFE</t>
  </si>
  <si>
    <t>0082482647</t>
  </si>
  <si>
    <t>PROS BRST SF TE MGN133FV</t>
  </si>
  <si>
    <t>PROS BRST SF TE</t>
  </si>
  <si>
    <t>0082484106</t>
  </si>
  <si>
    <t>SCRW BIOINTERFER ARTHREX</t>
  </si>
  <si>
    <t>SCRW BIOINTERFR</t>
  </si>
  <si>
    <t>0082486754</t>
  </si>
  <si>
    <t>STNT DUODENAL WALLFLEX</t>
  </si>
  <si>
    <t>STNT DUODENAL</t>
  </si>
  <si>
    <t>0082487588</t>
  </si>
  <si>
    <t>STNT U DP COOK UROLOGICL</t>
  </si>
  <si>
    <t>STNT U DP COOK</t>
  </si>
  <si>
    <t>0082488701</t>
  </si>
  <si>
    <t>STPL COMP WMT UNICLIP</t>
  </si>
  <si>
    <t>STPL COMP UNICL</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</si>
  <si>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</si>
  <si>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</si>
  <si>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</si>
  <si>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</si>
  <si>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</si>
  <si>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</si>
  <si>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</si>
  <si>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</si>
  <si>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</si>
  <si>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</si>
  <si>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</si>
  <si>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</si>
  <si>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</si>
  <si>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</si>
  <si>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</si>
  <si>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</si>
  <si>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</si>
  <si>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</si>
  <si>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</si>
  <si>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</si>
  <si>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</si>
  <si>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</si>
  <si>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</si>
  <si>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</si>
  <si>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</si>
  <si>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</si>
  <si>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</si>
  <si>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</si>
  <si>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</si>
  <si>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</si>
  <si>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</si>
  <si>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</si>
  <si>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</si>
  <si>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</si>
  <si>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</si>
  <si>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</si>
  <si>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</si>
  <si>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</si>
  <si>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</si>
  <si>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</si>
  <si>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</si>
  <si>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</si>
  <si>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</si>
  <si>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</si>
  <si>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</si>
  <si>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</si>
  <si>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</si>
  <si>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</si>
  <si>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</si>
  <si>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</si>
  <si>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</si>
  <si>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</si>
  <si>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</si>
  <si>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</si>
  <si>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</si>
  <si>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</si>
  <si>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</si>
  <si>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</si>
  <si>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</si>
  <si>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</si>
  <si>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</si>
  <si>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</si>
  <si>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</si>
  <si>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</si>
  <si>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</si>
  <si>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</si>
  <si>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</si>
  <si>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</si>
  <si>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</si>
  <si>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</si>
  <si>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</si>
  <si>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</si>
  <si>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</si>
  <si>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</si>
  <si>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</si>
  <si>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</si>
  <si>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</si>
  <si>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</si>
  <si>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</si>
  <si>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</si>
  <si>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</si>
  <si>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</si>
  <si>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</si>
  <si>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</si>
  <si>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</si>
  <si>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</si>
  <si>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</si>
  <si>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</si>
  <si>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</si>
  <si>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</si>
  <si>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</si>
  <si>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</si>
  <si>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</si>
  <si>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</si>
  <si>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</si>
  <si>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</si>
  <si>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</si>
  <si>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</si>
  <si>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</si>
  <si>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</si>
  <si>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</si>
  <si>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</si>
  <si>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</si>
  <si>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</si>
  <si>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</si>
  <si>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</si>
  <si>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</si>
  <si>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</si>
  <si>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</si>
  <si>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</si>
  <si>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</si>
  <si>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106190240</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</si>
  <si>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</si>
  <si>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</si>
  <si>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</si>
  <si>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</si>
  <si>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</si>
  <si>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</si>
  <si>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</si>
  <si>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</si>
  <si>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</si>
  <si>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</si>
  <si>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</si>
  <si>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</si>
  <si>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</si>
  <si>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</si>
  <si>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</si>
  <si>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</si>
  <si>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</si>
  <si>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</si>
  <si>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</si>
  <si>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</si>
  <si>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2023 QTY</t>
  </si>
  <si>
    <t>2023 REV</t>
  </si>
  <si>
    <t>2024 QTY</t>
  </si>
  <si>
    <t>2024 REV</t>
  </si>
  <si>
    <t>2023 AVG RATE</t>
  </si>
  <si>
    <t>2024 AVG RATE</t>
  </si>
  <si>
    <t>AVG RATE CHANGE</t>
  </si>
  <si>
    <t>95861</t>
  </si>
  <si>
    <t>95865</t>
  </si>
  <si>
    <t>95867</t>
  </si>
  <si>
    <t>95868</t>
  </si>
  <si>
    <t>95870</t>
  </si>
  <si>
    <t>95925</t>
  </si>
  <si>
    <t>95926</t>
  </si>
  <si>
    <t>95929</t>
  </si>
  <si>
    <t>95938</t>
  </si>
  <si>
    <t>95939</t>
  </si>
  <si>
    <t>95940</t>
  </si>
  <si>
    <t>95955</t>
  </si>
  <si>
    <t>P9022</t>
  </si>
  <si>
    <t>86891</t>
  </si>
  <si>
    <t>96374</t>
  </si>
  <si>
    <t>99152</t>
  </si>
  <si>
    <t>99153</t>
  </si>
  <si>
    <t>C1882</t>
  </si>
  <si>
    <t>C1722</t>
  </si>
  <si>
    <t>C1721</t>
  </si>
  <si>
    <t>C1764</t>
  </si>
  <si>
    <t>C1900</t>
  </si>
  <si>
    <t>C1898</t>
  </si>
  <si>
    <t>C1777</t>
  </si>
  <si>
    <t>C1786</t>
  </si>
  <si>
    <t>C1785</t>
  </si>
  <si>
    <t>C2621</t>
  </si>
  <si>
    <t>Q4186</t>
  </si>
  <si>
    <t>C1778</t>
  </si>
  <si>
    <t>C1895</t>
  </si>
  <si>
    <t>C1896</t>
  </si>
  <si>
    <t>C1713</t>
  </si>
  <si>
    <t>C1821</t>
  </si>
  <si>
    <t>C1889</t>
  </si>
  <si>
    <t>0040119232</t>
  </si>
  <si>
    <t>HIP PREMIUM ZIMMER CAP</t>
  </si>
  <si>
    <t>C1776</t>
  </si>
  <si>
    <t>0040119273</t>
  </si>
  <si>
    <t>KNEE PREM ZIMMER CAP</t>
  </si>
  <si>
    <t>0040119281</t>
  </si>
  <si>
    <t>KNEE REV ZIM OFF LST PRC</t>
  </si>
  <si>
    <t>0040120974</t>
  </si>
  <si>
    <t>IMP HIP HYBRID</t>
  </si>
  <si>
    <t>0040120982</t>
  </si>
  <si>
    <t>IMP HIP BIPOLAR 2</t>
  </si>
  <si>
    <t>0040121048</t>
  </si>
  <si>
    <t>IMP HIP REVISION</t>
  </si>
  <si>
    <t>0040122038</t>
  </si>
  <si>
    <t>IMP KNEE MED DEMAND</t>
  </si>
  <si>
    <t>0040126005</t>
  </si>
  <si>
    <t>IMP SHOULDER PRIMARY</t>
  </si>
  <si>
    <t>C1762</t>
  </si>
  <si>
    <t>Q4137</t>
  </si>
  <si>
    <t>Q4151</t>
  </si>
  <si>
    <t>Q4125</t>
  </si>
  <si>
    <t>C1725</t>
  </si>
  <si>
    <t>Q4148</t>
  </si>
  <si>
    <t>C1874</t>
  </si>
  <si>
    <t>C1767</t>
  </si>
  <si>
    <t>C1768</t>
  </si>
  <si>
    <t>C1781</t>
  </si>
  <si>
    <t>J3590</t>
  </si>
  <si>
    <t>Q4100</t>
  </si>
  <si>
    <t>Q4118</t>
  </si>
  <si>
    <t>Q4110</t>
  </si>
  <si>
    <t>C2625</t>
  </si>
  <si>
    <t>C1876</t>
  </si>
  <si>
    <t>C2617</t>
  </si>
  <si>
    <t>C1763</t>
  </si>
  <si>
    <t>Q4166</t>
  </si>
  <si>
    <t>Q4155</t>
  </si>
  <si>
    <t>Q4160</t>
  </si>
  <si>
    <t>Q4130</t>
  </si>
  <si>
    <t>C1771</t>
  </si>
  <si>
    <t>A2007</t>
  </si>
  <si>
    <t>C1726</t>
  </si>
  <si>
    <t>C1752</t>
  </si>
  <si>
    <t>C1724</t>
  </si>
  <si>
    <t>C1887</t>
  </si>
  <si>
    <t>C1773</t>
  </si>
  <si>
    <t>Q4107</t>
  </si>
  <si>
    <t>C1769</t>
  </si>
  <si>
    <t>Q4104</t>
  </si>
  <si>
    <t>C1894</t>
  </si>
  <si>
    <t>80051</t>
  </si>
  <si>
    <t>80202</t>
  </si>
  <si>
    <t>80047</t>
  </si>
  <si>
    <t>80307</t>
  </si>
  <si>
    <t>80076</t>
  </si>
  <si>
    <t>87426</t>
  </si>
  <si>
    <t>U0002</t>
  </si>
  <si>
    <t>0041004102</t>
  </si>
  <si>
    <t>SARSCOV2 AMP PRB HTT 48HR</t>
  </si>
  <si>
    <t>U0005</t>
  </si>
  <si>
    <t>81003</t>
  </si>
  <si>
    <t>81015</t>
  </si>
  <si>
    <t>81025</t>
  </si>
  <si>
    <t>81002</t>
  </si>
  <si>
    <t>82010</t>
  </si>
  <si>
    <t>82040</t>
  </si>
  <si>
    <t>82105</t>
  </si>
  <si>
    <t>80150</t>
  </si>
  <si>
    <t>0041021304</t>
  </si>
  <si>
    <t>IA SARSCOV2 AMP PRB HTT</t>
  </si>
  <si>
    <t>U0003</t>
  </si>
  <si>
    <t>80198</t>
  </si>
  <si>
    <t>82140</t>
  </si>
  <si>
    <t>82150</t>
  </si>
  <si>
    <t>82247</t>
  </si>
  <si>
    <t>82248</t>
  </si>
  <si>
    <t>82272</t>
  </si>
  <si>
    <t>82271</t>
  </si>
  <si>
    <t>82310</t>
  </si>
  <si>
    <t>82340</t>
  </si>
  <si>
    <t>80156</t>
  </si>
  <si>
    <t>82436</t>
  </si>
  <si>
    <t>82435</t>
  </si>
  <si>
    <t>82465</t>
  </si>
  <si>
    <t>83721</t>
  </si>
  <si>
    <t>82553</t>
  </si>
  <si>
    <t>82565</t>
  </si>
  <si>
    <t>82570</t>
  </si>
  <si>
    <t>82575</t>
  </si>
  <si>
    <t>82607</t>
  </si>
  <si>
    <t>80162</t>
  </si>
  <si>
    <t>80185</t>
  </si>
  <si>
    <t>82728</t>
  </si>
  <si>
    <t>82746</t>
  </si>
  <si>
    <t>82803</t>
  </si>
  <si>
    <t>82947</t>
  </si>
  <si>
    <t>82950</t>
  </si>
  <si>
    <t>82945</t>
  </si>
  <si>
    <t>82962</t>
  </si>
  <si>
    <t>82977</t>
  </si>
  <si>
    <t>83036</t>
  </si>
  <si>
    <t>80170</t>
  </si>
  <si>
    <t>84703</t>
  </si>
  <si>
    <t>84702</t>
  </si>
  <si>
    <t>83880</t>
  </si>
  <si>
    <t>84439</t>
  </si>
  <si>
    <t>83540</t>
  </si>
  <si>
    <t>83550</t>
  </si>
  <si>
    <t>83605</t>
  </si>
  <si>
    <t>83615</t>
  </si>
  <si>
    <t>83690</t>
  </si>
  <si>
    <t>80178</t>
  </si>
  <si>
    <t>83735</t>
  </si>
  <si>
    <t>83874</t>
  </si>
  <si>
    <t>80184</t>
  </si>
  <si>
    <t>84075</t>
  </si>
  <si>
    <t>84100</t>
  </si>
  <si>
    <t>84105</t>
  </si>
  <si>
    <t>84132</t>
  </si>
  <si>
    <t>84133</t>
  </si>
  <si>
    <t>84152</t>
  </si>
  <si>
    <t>84155</t>
  </si>
  <si>
    <t>84156</t>
  </si>
  <si>
    <t>84157</t>
  </si>
  <si>
    <t>85611</t>
  </si>
  <si>
    <t>84479</t>
  </si>
  <si>
    <t>84295</t>
  </si>
  <si>
    <t>84300</t>
  </si>
  <si>
    <t>84436</t>
  </si>
  <si>
    <t>84450</t>
  </si>
  <si>
    <t>84460</t>
  </si>
  <si>
    <t>84466</t>
  </si>
  <si>
    <t>80200</t>
  </si>
  <si>
    <t>84478</t>
  </si>
  <si>
    <t>84520</t>
  </si>
  <si>
    <t>84545</t>
  </si>
  <si>
    <t>84540</t>
  </si>
  <si>
    <t>84550</t>
  </si>
  <si>
    <t>84560</t>
  </si>
  <si>
    <t>80164</t>
  </si>
  <si>
    <t>82306</t>
  </si>
  <si>
    <t>86301</t>
  </si>
  <si>
    <t>85007</t>
  </si>
  <si>
    <t>85041</t>
  </si>
  <si>
    <t>85032</t>
  </si>
  <si>
    <t>85048</t>
  </si>
  <si>
    <t>85014</t>
  </si>
  <si>
    <t>85018</t>
  </si>
  <si>
    <t>85045</t>
  </si>
  <si>
    <t>85347</t>
  </si>
  <si>
    <t>85379</t>
  </si>
  <si>
    <t>85384</t>
  </si>
  <si>
    <t>85576</t>
  </si>
  <si>
    <t>85049</t>
  </si>
  <si>
    <t>85651</t>
  </si>
  <si>
    <t>85732</t>
  </si>
  <si>
    <t>86308</t>
  </si>
  <si>
    <t>86850</t>
  </si>
  <si>
    <t>86140</t>
  </si>
  <si>
    <t>86870</t>
  </si>
  <si>
    <t>86880</t>
  </si>
  <si>
    <t>86886</t>
  </si>
  <si>
    <t>86156</t>
  </si>
  <si>
    <t>86900</t>
  </si>
  <si>
    <t>86905</t>
  </si>
  <si>
    <t>86901</t>
  </si>
  <si>
    <t>82378</t>
  </si>
  <si>
    <t>86920</t>
  </si>
  <si>
    <t>86921</t>
  </si>
  <si>
    <t>86922</t>
  </si>
  <si>
    <t>87467</t>
  </si>
  <si>
    <t>86706</t>
  </si>
  <si>
    <t>86705</t>
  </si>
  <si>
    <t>86803</t>
  </si>
  <si>
    <t>87430</t>
  </si>
  <si>
    <t>87420</t>
  </si>
  <si>
    <t>86430</t>
  </si>
  <si>
    <t>86592</t>
  </si>
  <si>
    <t>86902</t>
  </si>
  <si>
    <t>87070</t>
  </si>
  <si>
    <t>87040</t>
  </si>
  <si>
    <t>87045</t>
  </si>
  <si>
    <t>87046</t>
  </si>
  <si>
    <t>87075</t>
  </si>
  <si>
    <t>87086</t>
  </si>
  <si>
    <t>87106</t>
  </si>
  <si>
    <t>87081</t>
  </si>
  <si>
    <t>87186</t>
  </si>
  <si>
    <t>87207</t>
  </si>
  <si>
    <t>89055</t>
  </si>
  <si>
    <t>87205</t>
  </si>
  <si>
    <t>87210</t>
  </si>
  <si>
    <t>87324</t>
  </si>
  <si>
    <t>87400</t>
  </si>
  <si>
    <t>87449</t>
  </si>
  <si>
    <t>87483</t>
  </si>
  <si>
    <t>87633</t>
  </si>
  <si>
    <t>87806</t>
  </si>
  <si>
    <t>84145</t>
  </si>
  <si>
    <t>87077</t>
  </si>
  <si>
    <t>87493</t>
  </si>
  <si>
    <t>89050</t>
  </si>
  <si>
    <t>89051</t>
  </si>
  <si>
    <t>89060</t>
  </si>
  <si>
    <t>36415</t>
  </si>
  <si>
    <t>85097</t>
  </si>
  <si>
    <t>88305</t>
  </si>
  <si>
    <t>88104</t>
  </si>
  <si>
    <t>88108</t>
  </si>
  <si>
    <t>88161</t>
  </si>
  <si>
    <t>88333</t>
  </si>
  <si>
    <t>88173</t>
  </si>
  <si>
    <t>88172</t>
  </si>
  <si>
    <t>88300</t>
  </si>
  <si>
    <t>88302</t>
  </si>
  <si>
    <t>88307</t>
  </si>
  <si>
    <t>88309</t>
  </si>
  <si>
    <t>88311</t>
  </si>
  <si>
    <t>88342</t>
  </si>
  <si>
    <t>88329</t>
  </si>
  <si>
    <t>88331</t>
  </si>
  <si>
    <t>88332</t>
  </si>
  <si>
    <t>88304</t>
  </si>
  <si>
    <t>P9016</t>
  </si>
  <si>
    <t>P9017</t>
  </si>
  <si>
    <t>P9035</t>
  </si>
  <si>
    <t>P9012</t>
  </si>
  <si>
    <t>P9037</t>
  </si>
  <si>
    <t>P9040</t>
  </si>
  <si>
    <t>93660</t>
  </si>
  <si>
    <t>93005</t>
  </si>
  <si>
    <t>93017</t>
  </si>
  <si>
    <t>93270</t>
  </si>
  <si>
    <t>93225</t>
  </si>
  <si>
    <t>93226</t>
  </si>
  <si>
    <t>93306</t>
  </si>
  <si>
    <t>93308</t>
  </si>
  <si>
    <t>93350</t>
  </si>
  <si>
    <t>93312</t>
  </si>
  <si>
    <t>93923</t>
  </si>
  <si>
    <t>C8929</t>
  </si>
  <si>
    <t>92986</t>
  </si>
  <si>
    <t>93621</t>
  </si>
  <si>
    <t>93620</t>
  </si>
  <si>
    <t>93624</t>
  </si>
  <si>
    <t>93623</t>
  </si>
  <si>
    <t>93641</t>
  </si>
  <si>
    <t>93642</t>
  </si>
  <si>
    <t>93650</t>
  </si>
  <si>
    <t>92972</t>
  </si>
  <si>
    <t>92960</t>
  </si>
  <si>
    <t>92920</t>
  </si>
  <si>
    <t>92978</t>
  </si>
  <si>
    <t>92921</t>
  </si>
  <si>
    <t>92979</t>
  </si>
  <si>
    <t>92924</t>
  </si>
  <si>
    <t>92928</t>
  </si>
  <si>
    <t>92937</t>
  </si>
  <si>
    <t>92938</t>
  </si>
  <si>
    <t>92941</t>
  </si>
  <si>
    <t>92973</t>
  </si>
  <si>
    <t>93451</t>
  </si>
  <si>
    <t>93453</t>
  </si>
  <si>
    <t>93454</t>
  </si>
  <si>
    <t>93455</t>
  </si>
  <si>
    <t>93456</t>
  </si>
  <si>
    <t>93458</t>
  </si>
  <si>
    <t>93459</t>
  </si>
  <si>
    <t>93460</t>
  </si>
  <si>
    <t>93461</t>
  </si>
  <si>
    <t>93462</t>
  </si>
  <si>
    <t>93503</t>
  </si>
  <si>
    <t>93567</t>
  </si>
  <si>
    <t>93613</t>
  </si>
  <si>
    <t>93653</t>
  </si>
  <si>
    <t>93654</t>
  </si>
  <si>
    <t>93571</t>
  </si>
  <si>
    <t>93572</t>
  </si>
  <si>
    <t>93655</t>
  </si>
  <si>
    <t>93662</t>
  </si>
  <si>
    <t>93656</t>
  </si>
  <si>
    <t>93657</t>
  </si>
  <si>
    <t>75625</t>
  </si>
  <si>
    <t>75710</t>
  </si>
  <si>
    <t>75716</t>
  </si>
  <si>
    <t>75736</t>
  </si>
  <si>
    <t>75820</t>
  </si>
  <si>
    <t>75825</t>
  </si>
  <si>
    <t>76937</t>
  </si>
  <si>
    <t>92950</t>
  </si>
  <si>
    <t>C9600</t>
  </si>
  <si>
    <t>C9601</t>
  </si>
  <si>
    <t>C9602</t>
  </si>
  <si>
    <t>C9603</t>
  </si>
  <si>
    <t>C9606</t>
  </si>
  <si>
    <t>C9607</t>
  </si>
  <si>
    <t>95712</t>
  </si>
  <si>
    <t>95715</t>
  </si>
  <si>
    <t>95819</t>
  </si>
  <si>
    <t>95824</t>
  </si>
  <si>
    <t>95813</t>
  </si>
  <si>
    <t>70110</t>
  </si>
  <si>
    <t>70150</t>
  </si>
  <si>
    <t>70200</t>
  </si>
  <si>
    <t>70160</t>
  </si>
  <si>
    <t>70250</t>
  </si>
  <si>
    <t>70260</t>
  </si>
  <si>
    <t>70330</t>
  </si>
  <si>
    <t>70360</t>
  </si>
  <si>
    <t>71045</t>
  </si>
  <si>
    <t>71047</t>
  </si>
  <si>
    <t>71100</t>
  </si>
  <si>
    <t>71110</t>
  </si>
  <si>
    <t>71120</t>
  </si>
  <si>
    <t>72020</t>
  </si>
  <si>
    <t>72040</t>
  </si>
  <si>
    <t>72050</t>
  </si>
  <si>
    <t>72070</t>
  </si>
  <si>
    <t>72072</t>
  </si>
  <si>
    <t>72080</t>
  </si>
  <si>
    <t>72083</t>
  </si>
  <si>
    <t>72084</t>
  </si>
  <si>
    <t>72100</t>
  </si>
  <si>
    <t>72114</t>
  </si>
  <si>
    <t>72170</t>
  </si>
  <si>
    <t>72202</t>
  </si>
  <si>
    <t>72220</t>
  </si>
  <si>
    <t>72265</t>
  </si>
  <si>
    <t>73000</t>
  </si>
  <si>
    <t>73010</t>
  </si>
  <si>
    <t>73020</t>
  </si>
  <si>
    <t>73030</t>
  </si>
  <si>
    <t>73040</t>
  </si>
  <si>
    <t>73060</t>
  </si>
  <si>
    <t>73070</t>
  </si>
  <si>
    <t>73080</t>
  </si>
  <si>
    <t>73090</t>
  </si>
  <si>
    <t>73092</t>
  </si>
  <si>
    <t>73100</t>
  </si>
  <si>
    <t>73110</t>
  </si>
  <si>
    <t>73120</t>
  </si>
  <si>
    <t>73130</t>
  </si>
  <si>
    <t>73140</t>
  </si>
  <si>
    <t>73501</t>
  </si>
  <si>
    <t>73503</t>
  </si>
  <si>
    <t>73502</t>
  </si>
  <si>
    <t>73521</t>
  </si>
  <si>
    <t>73522</t>
  </si>
  <si>
    <t>73523</t>
  </si>
  <si>
    <t>73525</t>
  </si>
  <si>
    <t>73552</t>
  </si>
  <si>
    <t>73551</t>
  </si>
  <si>
    <t>73560</t>
  </si>
  <si>
    <t>73565</t>
  </si>
  <si>
    <t>73564</t>
  </si>
  <si>
    <t>73580</t>
  </si>
  <si>
    <t>73590</t>
  </si>
  <si>
    <t>73592</t>
  </si>
  <si>
    <t>73600</t>
  </si>
  <si>
    <t>73610</t>
  </si>
  <si>
    <t>73620</t>
  </si>
  <si>
    <t>73630</t>
  </si>
  <si>
    <t>73650</t>
  </si>
  <si>
    <t>73660</t>
  </si>
  <si>
    <t>74018</t>
  </si>
  <si>
    <t>74019</t>
  </si>
  <si>
    <t>74021</t>
  </si>
  <si>
    <t>74330</t>
  </si>
  <si>
    <t>74220</t>
  </si>
  <si>
    <t>74221</t>
  </si>
  <si>
    <t>74230</t>
  </si>
  <si>
    <t>74240</t>
  </si>
  <si>
    <t>74246</t>
  </si>
  <si>
    <t>74248</t>
  </si>
  <si>
    <t>74250</t>
  </si>
  <si>
    <t>74270</t>
  </si>
  <si>
    <t>74280</t>
  </si>
  <si>
    <t>74420</t>
  </si>
  <si>
    <t>74425</t>
  </si>
  <si>
    <t>74430</t>
  </si>
  <si>
    <t>74450</t>
  </si>
  <si>
    <t>74455</t>
  </si>
  <si>
    <t>76000</t>
  </si>
  <si>
    <t>77002</t>
  </si>
  <si>
    <t>77003</t>
  </si>
  <si>
    <t>77073</t>
  </si>
  <si>
    <t>77075</t>
  </si>
  <si>
    <t>76080</t>
  </si>
  <si>
    <t>75630</t>
  </si>
  <si>
    <t>75726</t>
  </si>
  <si>
    <t>75743</t>
  </si>
  <si>
    <t>75822</t>
  </si>
  <si>
    <t>75827</t>
  </si>
  <si>
    <t>75860</t>
  </si>
  <si>
    <t>75885</t>
  </si>
  <si>
    <t>75984</t>
  </si>
  <si>
    <t>77001</t>
  </si>
  <si>
    <t>76942</t>
  </si>
  <si>
    <t>76377</t>
  </si>
  <si>
    <t>0042T</t>
  </si>
  <si>
    <t>70487</t>
  </si>
  <si>
    <t>70486</t>
  </si>
  <si>
    <t>75574</t>
  </si>
  <si>
    <t>70460</t>
  </si>
  <si>
    <t>71275</t>
  </si>
  <si>
    <t>70470</t>
  </si>
  <si>
    <t>70490</t>
  </si>
  <si>
    <t>70491</t>
  </si>
  <si>
    <t>70492</t>
  </si>
  <si>
    <t>75635</t>
  </si>
  <si>
    <t>70496</t>
  </si>
  <si>
    <t>74175</t>
  </si>
  <si>
    <t>70498</t>
  </si>
  <si>
    <t>73206</t>
  </si>
  <si>
    <t>73706</t>
  </si>
  <si>
    <t>70480</t>
  </si>
  <si>
    <t>70481</t>
  </si>
  <si>
    <t>71250</t>
  </si>
  <si>
    <t>71260</t>
  </si>
  <si>
    <t>71270</t>
  </si>
  <si>
    <t>72125</t>
  </si>
  <si>
    <t>72126</t>
  </si>
  <si>
    <t>72128</t>
  </si>
  <si>
    <t>72129</t>
  </si>
  <si>
    <t>72131</t>
  </si>
  <si>
    <t>72132</t>
  </si>
  <si>
    <t>72192</t>
  </si>
  <si>
    <t>72194</t>
  </si>
  <si>
    <t>73200</t>
  </si>
  <si>
    <t>73201</t>
  </si>
  <si>
    <t>73700</t>
  </si>
  <si>
    <t>73701</t>
  </si>
  <si>
    <t>76380</t>
  </si>
  <si>
    <t>74150</t>
  </si>
  <si>
    <t>74170</t>
  </si>
  <si>
    <t>74174</t>
  </si>
  <si>
    <t>74177</t>
  </si>
  <si>
    <t>74178</t>
  </si>
  <si>
    <t>74176</t>
  </si>
  <si>
    <t>77012</t>
  </si>
  <si>
    <t>93970</t>
  </si>
  <si>
    <t>93975</t>
  </si>
  <si>
    <t>93976</t>
  </si>
  <si>
    <t>93978</t>
  </si>
  <si>
    <t>93886</t>
  </si>
  <si>
    <t>76536</t>
  </si>
  <si>
    <t>93882</t>
  </si>
  <si>
    <t>93880</t>
  </si>
  <si>
    <t>76604</t>
  </si>
  <si>
    <t>76642</t>
  </si>
  <si>
    <t>76641</t>
  </si>
  <si>
    <t>76705</t>
  </si>
  <si>
    <t>76770</t>
  </si>
  <si>
    <t>76775</t>
  </si>
  <si>
    <t>76776</t>
  </si>
  <si>
    <t>76870</t>
  </si>
  <si>
    <t>76801</t>
  </si>
  <si>
    <t>76815</t>
  </si>
  <si>
    <t>76817</t>
  </si>
  <si>
    <t>76816</t>
  </si>
  <si>
    <t>76830</t>
  </si>
  <si>
    <t>76856</t>
  </si>
  <si>
    <t>76881</t>
  </si>
  <si>
    <t>76882</t>
  </si>
  <si>
    <t>76998</t>
  </si>
  <si>
    <t>93971</t>
  </si>
  <si>
    <t>93979</t>
  </si>
  <si>
    <t>93990</t>
  </si>
  <si>
    <t>93922</t>
  </si>
  <si>
    <t>93926</t>
  </si>
  <si>
    <t>93931</t>
  </si>
  <si>
    <t>G0500</t>
  </si>
  <si>
    <t>A9556</t>
  </si>
  <si>
    <t>A9548</t>
  </si>
  <si>
    <t>A9547</t>
  </si>
  <si>
    <t>A9503</t>
  </si>
  <si>
    <t>A9510</t>
  </si>
  <si>
    <t>A9500</t>
  </si>
  <si>
    <t>A9558</t>
  </si>
  <si>
    <t>A9516</t>
  </si>
  <si>
    <t>A9538</t>
  </si>
  <si>
    <t>A9539</t>
  </si>
  <si>
    <t>A9540</t>
  </si>
  <si>
    <t>A9541</t>
  </si>
  <si>
    <t>A9560</t>
  </si>
  <si>
    <t>A9562</t>
  </si>
  <si>
    <t>78451</t>
  </si>
  <si>
    <t>78452</t>
  </si>
  <si>
    <t>78012</t>
  </si>
  <si>
    <t>78070</t>
  </si>
  <si>
    <t>78195</t>
  </si>
  <si>
    <t>78215</t>
  </si>
  <si>
    <t>78216</t>
  </si>
  <si>
    <t>78226</t>
  </si>
  <si>
    <t>78227</t>
  </si>
  <si>
    <t>78264</t>
  </si>
  <si>
    <t>78278</t>
  </si>
  <si>
    <t>78306</t>
  </si>
  <si>
    <t>78315</t>
  </si>
  <si>
    <t>78472</t>
  </si>
  <si>
    <t>78466</t>
  </si>
  <si>
    <t>78496</t>
  </si>
  <si>
    <t>78580</t>
  </si>
  <si>
    <t>78582</t>
  </si>
  <si>
    <t>78597</t>
  </si>
  <si>
    <t>78606</t>
  </si>
  <si>
    <t>78708</t>
  </si>
  <si>
    <t>78707</t>
  </si>
  <si>
    <t>78804</t>
  </si>
  <si>
    <t>72156</t>
  </si>
  <si>
    <t>72157</t>
  </si>
  <si>
    <t>72158</t>
  </si>
  <si>
    <t>70544</t>
  </si>
  <si>
    <t>70545</t>
  </si>
  <si>
    <t>70546</t>
  </si>
  <si>
    <t>70547</t>
  </si>
  <si>
    <t>70548</t>
  </si>
  <si>
    <t>70549</t>
  </si>
  <si>
    <t>72141</t>
  </si>
  <si>
    <t>72146</t>
  </si>
  <si>
    <t>72148</t>
  </si>
  <si>
    <t>70551</t>
  </si>
  <si>
    <t>70552</t>
  </si>
  <si>
    <t>70543</t>
  </si>
  <si>
    <t>73218</t>
  </si>
  <si>
    <t>73223</t>
  </si>
  <si>
    <t>72195</t>
  </si>
  <si>
    <t>74183</t>
  </si>
  <si>
    <t>73718</t>
  </si>
  <si>
    <t>73723</t>
  </si>
  <si>
    <t>70540</t>
  </si>
  <si>
    <t>70336</t>
  </si>
  <si>
    <t>72196</t>
  </si>
  <si>
    <t>73220</t>
  </si>
  <si>
    <t>73221</t>
  </si>
  <si>
    <t>73720</t>
  </si>
  <si>
    <t>73721</t>
  </si>
  <si>
    <t>74181</t>
  </si>
  <si>
    <t>74185</t>
  </si>
  <si>
    <t>J8499</t>
  </si>
  <si>
    <t>A9150</t>
  </si>
  <si>
    <t>J7500</t>
  </si>
  <si>
    <t>J8530</t>
  </si>
  <si>
    <t>J7515</t>
  </si>
  <si>
    <t>J8610</t>
  </si>
  <si>
    <t>J7517</t>
  </si>
  <si>
    <t>J7518</t>
  </si>
  <si>
    <t>J7512</t>
  </si>
  <si>
    <t>J7520</t>
  </si>
  <si>
    <t>J7507</t>
  </si>
  <si>
    <t>J8999</t>
  </si>
  <si>
    <t>J1120</t>
  </si>
  <si>
    <t>J0133</t>
  </si>
  <si>
    <t>J0132</t>
  </si>
  <si>
    <t>P9045</t>
  </si>
  <si>
    <t>J0153</t>
  </si>
  <si>
    <t>P9047</t>
  </si>
  <si>
    <t>J9260</t>
  </si>
  <si>
    <t>J2997</t>
  </si>
  <si>
    <t>J0278</t>
  </si>
  <si>
    <t>S0017</t>
  </si>
  <si>
    <t>J0280</t>
  </si>
  <si>
    <t>J0282</t>
  </si>
  <si>
    <t>J0285</t>
  </si>
  <si>
    <t>J0289</t>
  </si>
  <si>
    <t>J0290</t>
  </si>
  <si>
    <t>J0295</t>
  </si>
  <si>
    <t>J0131</t>
  </si>
  <si>
    <t>J0883</t>
  </si>
  <si>
    <t>J0461</t>
  </si>
  <si>
    <t>J0456</t>
  </si>
  <si>
    <t>0053184172</t>
  </si>
  <si>
    <t>AZTREONAM 1GM IJ</t>
  </si>
  <si>
    <t>J3490</t>
  </si>
  <si>
    <t>0053184180</t>
  </si>
  <si>
    <t>AZTREONAM 2GM IJ</t>
  </si>
  <si>
    <t>J0457</t>
  </si>
  <si>
    <t>J0515</t>
  </si>
  <si>
    <t>J0583</t>
  </si>
  <si>
    <t>J9041</t>
  </si>
  <si>
    <t>J0585</t>
  </si>
  <si>
    <t>0053186839</t>
  </si>
  <si>
    <t>BUMETANIDE 2.5MG/10ML IJ</t>
  </si>
  <si>
    <t>J1939</t>
  </si>
  <si>
    <t>0053186854</t>
  </si>
  <si>
    <t>BUMETANIDE 1MG/4ML IJ</t>
  </si>
  <si>
    <t>C9290</t>
  </si>
  <si>
    <t>0053187027</t>
  </si>
  <si>
    <t>BUPIVAC .25% PER 30ML IJ</t>
  </si>
  <si>
    <t>S0020</t>
  </si>
  <si>
    <t>0053187035</t>
  </si>
  <si>
    <t>BUPIVAC.25% PF PER30MLIJ</t>
  </si>
  <si>
    <t>0053187050</t>
  </si>
  <si>
    <t>BUPIVACAINE .25% 50ML IJ</t>
  </si>
  <si>
    <t>0053187084</t>
  </si>
  <si>
    <t>BUPIVACAINE .5% 10ML IJ</t>
  </si>
  <si>
    <t>0053187092</t>
  </si>
  <si>
    <t>BUPIVACAINE .5% 50ML IJ</t>
  </si>
  <si>
    <t>0053187100</t>
  </si>
  <si>
    <t>BUPIVAC .5% PER 30ML IJ</t>
  </si>
  <si>
    <t>0053187167</t>
  </si>
  <si>
    <t>BUPIVAC.75% PF PER30MLIJ</t>
  </si>
  <si>
    <t>0053187365</t>
  </si>
  <si>
    <t>BUPIVAC/EPI .25% 50ML IJ</t>
  </si>
  <si>
    <t>0053187381</t>
  </si>
  <si>
    <t>BUPIVAC/EPI .25% 30ML IJ</t>
  </si>
  <si>
    <t>0053187407</t>
  </si>
  <si>
    <t>BUPIVAC/EPI .5% 50ML IJ</t>
  </si>
  <si>
    <t>0053187415</t>
  </si>
  <si>
    <t>BUPIVAC/EPI .5% 30ML IJ</t>
  </si>
  <si>
    <t>0053187431</t>
  </si>
  <si>
    <t>BUPIVAC/EPI .5% 10ML IJ</t>
  </si>
  <si>
    <t>J0595</t>
  </si>
  <si>
    <t>J0665</t>
  </si>
  <si>
    <t>J0630</t>
  </si>
  <si>
    <t>J0636</t>
  </si>
  <si>
    <t>J0612</t>
  </si>
  <si>
    <t>0053188306</t>
  </si>
  <si>
    <t>CA GLUC(FRESENIUS) PER 10ML IJ</t>
  </si>
  <si>
    <t>J0610</t>
  </si>
  <si>
    <t>C9460</t>
  </si>
  <si>
    <t>J9045</t>
  </si>
  <si>
    <t>J0690</t>
  </si>
  <si>
    <t>J0692</t>
  </si>
  <si>
    <t>J0698</t>
  </si>
  <si>
    <t>J0694</t>
  </si>
  <si>
    <t>J0712</t>
  </si>
  <si>
    <t>J0713</t>
  </si>
  <si>
    <t>J0714</t>
  </si>
  <si>
    <t>J0695</t>
  </si>
  <si>
    <t>J0696</t>
  </si>
  <si>
    <t>J1205</t>
  </si>
  <si>
    <t>J3230</t>
  </si>
  <si>
    <t>J0744</t>
  </si>
  <si>
    <t>J9060</t>
  </si>
  <si>
    <t>J0736</t>
  </si>
  <si>
    <t>J7169</t>
  </si>
  <si>
    <t>J0770</t>
  </si>
  <si>
    <t>J0834</t>
  </si>
  <si>
    <t>0053196010</t>
  </si>
  <si>
    <t>CYCLOPHOSPH PER 100MG IJ</t>
  </si>
  <si>
    <t>J9070</t>
  </si>
  <si>
    <t>S0039</t>
  </si>
  <si>
    <t>J3420</t>
  </si>
  <si>
    <t>J0878</t>
  </si>
  <si>
    <t>J0881</t>
  </si>
  <si>
    <t>J0895</t>
  </si>
  <si>
    <t>J2597</t>
  </si>
  <si>
    <t>J1100</t>
  </si>
  <si>
    <t>J3360</t>
  </si>
  <si>
    <t>J0500</t>
  </si>
  <si>
    <t>J1160</t>
  </si>
  <si>
    <t>J1162</t>
  </si>
  <si>
    <t>J1200</t>
  </si>
  <si>
    <t>90714</t>
  </si>
  <si>
    <t>90715</t>
  </si>
  <si>
    <t>J1250</t>
  </si>
  <si>
    <t>J1265</t>
  </si>
  <si>
    <t>J9000</t>
  </si>
  <si>
    <t>Q2049</t>
  </si>
  <si>
    <t>J1790</t>
  </si>
  <si>
    <t>J1650</t>
  </si>
  <si>
    <t>Q4081</t>
  </si>
  <si>
    <t>J1327</t>
  </si>
  <si>
    <t>J0171</t>
  </si>
  <si>
    <t>Q5105</t>
  </si>
  <si>
    <t>Q5106</t>
  </si>
  <si>
    <t>J1335</t>
  </si>
  <si>
    <t>0053205241</t>
  </si>
  <si>
    <t>ESMOLOL 10MG/ML 10ML IJ</t>
  </si>
  <si>
    <t>0053205266</t>
  </si>
  <si>
    <t>ESMOLOL 250ML PMX IJ</t>
  </si>
  <si>
    <t>J1805</t>
  </si>
  <si>
    <t>J1000</t>
  </si>
  <si>
    <t>J1410</t>
  </si>
  <si>
    <t>J9181</t>
  </si>
  <si>
    <t>J7189</t>
  </si>
  <si>
    <t>S0028</t>
  </si>
  <si>
    <t>J1450</t>
  </si>
  <si>
    <t>J9190</t>
  </si>
  <si>
    <t>J1451</t>
  </si>
  <si>
    <t>Q2009</t>
  </si>
  <si>
    <t>J1940</t>
  </si>
  <si>
    <t>90686</t>
  </si>
  <si>
    <t>J1570</t>
  </si>
  <si>
    <t>J9201</t>
  </si>
  <si>
    <t>J1580</t>
  </si>
  <si>
    <t>J1610</t>
  </si>
  <si>
    <t>0053209193</t>
  </si>
  <si>
    <t>GLYCOPYRROL.2MG/ML 2MLIJ</t>
  </si>
  <si>
    <t>0053209201</t>
  </si>
  <si>
    <t>GLYCOPYRROL.2MG/1ML IJ</t>
  </si>
  <si>
    <t>0053209219</t>
  </si>
  <si>
    <t>GLYCOPYRROL.2MG/ML 5MLIJ</t>
  </si>
  <si>
    <t>J1596</t>
  </si>
  <si>
    <t>J1630</t>
  </si>
  <si>
    <t>J1631</t>
  </si>
  <si>
    <t>J1642</t>
  </si>
  <si>
    <t>J1644</t>
  </si>
  <si>
    <t>90746</t>
  </si>
  <si>
    <t>J3470</t>
  </si>
  <si>
    <t>J0360</t>
  </si>
  <si>
    <t>J1720</t>
  </si>
  <si>
    <t>J1815</t>
  </si>
  <si>
    <t>J3410</t>
  </si>
  <si>
    <t>J9208</t>
  </si>
  <si>
    <t>J2792</t>
  </si>
  <si>
    <t>J1459</t>
  </si>
  <si>
    <t>J1561</t>
  </si>
  <si>
    <t>J3480</t>
  </si>
  <si>
    <t>J1885</t>
  </si>
  <si>
    <t>0053216412</t>
  </si>
  <si>
    <t>LABETALOL5MG/ML 20ML IJ</t>
  </si>
  <si>
    <t>0053216420</t>
  </si>
  <si>
    <t>LABETALOL 5MG/ML4MLSGIJ</t>
  </si>
  <si>
    <t>J0640</t>
  </si>
  <si>
    <t>C9254</t>
  </si>
  <si>
    <t>J1950</t>
  </si>
  <si>
    <t>J9217</t>
  </si>
  <si>
    <t>J1920</t>
  </si>
  <si>
    <t>J1953</t>
  </si>
  <si>
    <t>J1956</t>
  </si>
  <si>
    <t>0053217139</t>
  </si>
  <si>
    <t>LEVOTHYROXINE .1MG IJ</t>
  </si>
  <si>
    <t>0053217154</t>
  </si>
  <si>
    <t>LEVOTHYROXINE .2MG IJ</t>
  </si>
  <si>
    <t>J2001</t>
  </si>
  <si>
    <t>J2020</t>
  </si>
  <si>
    <t>J2060</t>
  </si>
  <si>
    <t>J3475</t>
  </si>
  <si>
    <t>J2150</t>
  </si>
  <si>
    <t>J1050</t>
  </si>
  <si>
    <t>J2185</t>
  </si>
  <si>
    <t>J9209</t>
  </si>
  <si>
    <t>J2210</t>
  </si>
  <si>
    <t>J2212</t>
  </si>
  <si>
    <t>0053222956</t>
  </si>
  <si>
    <t>METHYLPRED A PER40MG IJ</t>
  </si>
  <si>
    <t>J1030</t>
  </si>
  <si>
    <t>0053223053</t>
  </si>
  <si>
    <t>METHYLPRED A PER80MG IJ</t>
  </si>
  <si>
    <t>J1040</t>
  </si>
  <si>
    <t>0053223152</t>
  </si>
  <si>
    <t>METHYLPRED SS UPTO40MGIJ</t>
  </si>
  <si>
    <t>J2920</t>
  </si>
  <si>
    <t>0053223251</t>
  </si>
  <si>
    <t>METHYLPRE SS UPTO125MGIJ</t>
  </si>
  <si>
    <t>J2930</t>
  </si>
  <si>
    <t>J2765</t>
  </si>
  <si>
    <t>0053223889</t>
  </si>
  <si>
    <t>METRONIDAZ PER500MGPMXIJ</t>
  </si>
  <si>
    <t>S0030</t>
  </si>
  <si>
    <t>J1836</t>
  </si>
  <si>
    <t>J2248</t>
  </si>
  <si>
    <t>J2260</t>
  </si>
  <si>
    <t>J2250</t>
  </si>
  <si>
    <t>J2265</t>
  </si>
  <si>
    <t>J9280</t>
  </si>
  <si>
    <t>S0032</t>
  </si>
  <si>
    <t>J2916</t>
  </si>
  <si>
    <t>J2310</t>
  </si>
  <si>
    <t>J2710</t>
  </si>
  <si>
    <t>J2404</t>
  </si>
  <si>
    <t>0053228599</t>
  </si>
  <si>
    <t>NICARDIPINE 20MG/200MLIJ</t>
  </si>
  <si>
    <t>0053228607</t>
  </si>
  <si>
    <t>NICARDIPINE 25MG/10ML IJ</t>
  </si>
  <si>
    <t>0053228961</t>
  </si>
  <si>
    <t>NITROGLY50MG/250MLPMXIJ</t>
  </si>
  <si>
    <t>J2354</t>
  </si>
  <si>
    <t>J2405</t>
  </si>
  <si>
    <t>J2305</t>
  </si>
  <si>
    <t>J9263</t>
  </si>
  <si>
    <t>J2590</t>
  </si>
  <si>
    <t>J9267</t>
  </si>
  <si>
    <t>J2430</t>
  </si>
  <si>
    <t>C9113</t>
  </si>
  <si>
    <t>J2440</t>
  </si>
  <si>
    <t>J0561</t>
  </si>
  <si>
    <t>J2540</t>
  </si>
  <si>
    <t>J2760</t>
  </si>
  <si>
    <t>J2371</t>
  </si>
  <si>
    <t>0053232880</t>
  </si>
  <si>
    <t>PHENYLEPHRINE UPTO 1MLIJ</t>
  </si>
  <si>
    <t>J2370</t>
  </si>
  <si>
    <t>J1165</t>
  </si>
  <si>
    <t>J3430</t>
  </si>
  <si>
    <t>J2543</t>
  </si>
  <si>
    <t>90732</t>
  </si>
  <si>
    <t>J2690</t>
  </si>
  <si>
    <t>J0780</t>
  </si>
  <si>
    <t>J2550</t>
  </si>
  <si>
    <t>J1800</t>
  </si>
  <si>
    <t>J2704</t>
  </si>
  <si>
    <t>J2720</t>
  </si>
  <si>
    <t>J7168</t>
  </si>
  <si>
    <t>J3415</t>
  </si>
  <si>
    <t>C9399</t>
  </si>
  <si>
    <t>90675</t>
  </si>
  <si>
    <t>J2785</t>
  </si>
  <si>
    <t>J2783</t>
  </si>
  <si>
    <t>0053239992</t>
  </si>
  <si>
    <t>REMDESIVIR 100MG IJ</t>
  </si>
  <si>
    <t>J0248</t>
  </si>
  <si>
    <t>Q5115</t>
  </si>
  <si>
    <t>J9312</t>
  </si>
  <si>
    <t>J2790</t>
  </si>
  <si>
    <t>J2795</t>
  </si>
  <si>
    <t>A4216</t>
  </si>
  <si>
    <t>J0330</t>
  </si>
  <si>
    <t>J3030</t>
  </si>
  <si>
    <t>J3105</t>
  </si>
  <si>
    <t>J3101</t>
  </si>
  <si>
    <t>J1447</t>
  </si>
  <si>
    <t>J1071</t>
  </si>
  <si>
    <t>J3411</t>
  </si>
  <si>
    <t>J3243</t>
  </si>
  <si>
    <t>J3246</t>
  </si>
  <si>
    <t>J3260</t>
  </si>
  <si>
    <t>Q0249</t>
  </si>
  <si>
    <t>J3301</t>
  </si>
  <si>
    <t>86580</t>
  </si>
  <si>
    <t>J3370</t>
  </si>
  <si>
    <t>J2598</t>
  </si>
  <si>
    <t>0053251005</t>
  </si>
  <si>
    <t>VASOPRESSIN 20U/1ML IJ</t>
  </si>
  <si>
    <t>J9370</t>
  </si>
  <si>
    <t>J3465</t>
  </si>
  <si>
    <t>J3489</t>
  </si>
  <si>
    <t>J3486</t>
  </si>
  <si>
    <t>J3010</t>
  </si>
  <si>
    <t>J1170</t>
  </si>
  <si>
    <t>J2175</t>
  </si>
  <si>
    <t>S0109</t>
  </si>
  <si>
    <t>J2274</t>
  </si>
  <si>
    <t>J2270</t>
  </si>
  <si>
    <t>J2560</t>
  </si>
  <si>
    <t>J3535</t>
  </si>
  <si>
    <t>A9575</t>
  </si>
  <si>
    <t>A9576</t>
  </si>
  <si>
    <t>Q9958</t>
  </si>
  <si>
    <t>Q9963</t>
  </si>
  <si>
    <t>Q9968</t>
  </si>
  <si>
    <t>Q9967</t>
  </si>
  <si>
    <t>Q9957</t>
  </si>
  <si>
    <t>J7121</t>
  </si>
  <si>
    <t>S5010</t>
  </si>
  <si>
    <t>J7042</t>
  </si>
  <si>
    <t>J7060</t>
  </si>
  <si>
    <t>J7070</t>
  </si>
  <si>
    <t>S5012</t>
  </si>
  <si>
    <t>J7120</t>
  </si>
  <si>
    <t>J7050</t>
  </si>
  <si>
    <t>J7040</t>
  </si>
  <si>
    <t>J7030</t>
  </si>
  <si>
    <t>A4217</t>
  </si>
  <si>
    <t>94799</t>
  </si>
  <si>
    <t>94664</t>
  </si>
  <si>
    <t>0055001705</t>
  </si>
  <si>
    <t>CARBOXYHGB QUANT</t>
  </si>
  <si>
    <t>82375</t>
  </si>
  <si>
    <t>99406</t>
  </si>
  <si>
    <t>99407</t>
  </si>
  <si>
    <t>94660</t>
  </si>
  <si>
    <t>94002</t>
  </si>
  <si>
    <t>94003</t>
  </si>
  <si>
    <t>36600</t>
  </si>
  <si>
    <t>94060</t>
  </si>
  <si>
    <t>94760</t>
  </si>
  <si>
    <t>94644</t>
  </si>
  <si>
    <t>94645</t>
  </si>
  <si>
    <t>94667</t>
  </si>
  <si>
    <t>94668</t>
  </si>
  <si>
    <t>82800</t>
  </si>
  <si>
    <t>G0257</t>
  </si>
  <si>
    <t>90945</t>
  </si>
  <si>
    <t>90935</t>
  </si>
  <si>
    <t>97140</t>
  </si>
  <si>
    <t>97162</t>
  </si>
  <si>
    <t>97163</t>
  </si>
  <si>
    <t>97164</t>
  </si>
  <si>
    <t>97112</t>
  </si>
  <si>
    <t>97530</t>
  </si>
  <si>
    <t>97542</t>
  </si>
  <si>
    <t>97165</t>
  </si>
  <si>
    <t>97166</t>
  </si>
  <si>
    <t>97167</t>
  </si>
  <si>
    <t>97168</t>
  </si>
  <si>
    <t>97535</t>
  </si>
  <si>
    <t>92523</t>
  </si>
  <si>
    <t>92507</t>
  </si>
  <si>
    <t>92526</t>
  </si>
  <si>
    <t>92610</t>
  </si>
  <si>
    <t>92611</t>
  </si>
  <si>
    <t>0061000014</t>
  </si>
  <si>
    <t>VACC ADM COVID-19 PFIZER 1ST</t>
  </si>
  <si>
    <t>0001A</t>
  </si>
  <si>
    <t>0061000022</t>
  </si>
  <si>
    <t>VACC ADM COVID-19 PFIZER 2ND</t>
  </si>
  <si>
    <t>0002A</t>
  </si>
  <si>
    <t>G0008</t>
  </si>
  <si>
    <t>0061000212</t>
  </si>
  <si>
    <t>VACC ADM COVID-19 PFIZER PED 1</t>
  </si>
  <si>
    <t>0071A</t>
  </si>
  <si>
    <t>99281</t>
  </si>
  <si>
    <t>99291</t>
  </si>
  <si>
    <t>92953</t>
  </si>
  <si>
    <t>96360</t>
  </si>
  <si>
    <t>96361</t>
  </si>
  <si>
    <t>96365</t>
  </si>
  <si>
    <t>96366</t>
  </si>
  <si>
    <t>96367</t>
  </si>
  <si>
    <t>96368</t>
  </si>
  <si>
    <t>96375</t>
  </si>
  <si>
    <t>96376</t>
  </si>
  <si>
    <t>96372</t>
  </si>
  <si>
    <t>99292</t>
  </si>
  <si>
    <t>90471</t>
  </si>
  <si>
    <t>90472</t>
  </si>
  <si>
    <t>99151</t>
  </si>
  <si>
    <t>G0378</t>
  </si>
  <si>
    <t>G0379</t>
  </si>
  <si>
    <t>G0009</t>
  </si>
  <si>
    <t>G0010</t>
  </si>
  <si>
    <t>M0249</t>
  </si>
  <si>
    <t>86316</t>
  </si>
  <si>
    <t>88323</t>
  </si>
  <si>
    <t>88321</t>
  </si>
  <si>
    <t>88313</t>
  </si>
  <si>
    <t>88341</t>
  </si>
  <si>
    <t>88325</t>
  </si>
  <si>
    <t>0070289996</t>
  </si>
  <si>
    <t>MISC LAB</t>
  </si>
  <si>
    <t>87481</t>
  </si>
  <si>
    <t>80197</t>
  </si>
  <si>
    <t>80158</t>
  </si>
  <si>
    <t>83930</t>
  </si>
  <si>
    <t>83935</t>
  </si>
  <si>
    <t>88112</t>
  </si>
  <si>
    <t>88312</t>
  </si>
  <si>
    <t>88344</t>
  </si>
  <si>
    <t>88360</t>
  </si>
  <si>
    <t>88364</t>
  </si>
  <si>
    <t>88365</t>
  </si>
  <si>
    <t>88346</t>
  </si>
  <si>
    <t>88350</t>
  </si>
  <si>
    <t>88348</t>
  </si>
  <si>
    <t>0071689996</t>
  </si>
  <si>
    <t>88184</t>
  </si>
  <si>
    <t>80177</t>
  </si>
  <si>
    <t>83516</t>
  </si>
  <si>
    <t>80175</t>
  </si>
  <si>
    <t>86769</t>
  </si>
  <si>
    <t>86682</t>
  </si>
  <si>
    <t>80074</t>
  </si>
  <si>
    <t>0072500846</t>
  </si>
  <si>
    <t>84154</t>
  </si>
  <si>
    <t>0072500978</t>
  </si>
  <si>
    <t>84153</t>
  </si>
  <si>
    <t>80171</t>
  </si>
  <si>
    <t>80151</t>
  </si>
  <si>
    <t>80183</t>
  </si>
  <si>
    <t>80321</t>
  </si>
  <si>
    <t>87593</t>
  </si>
  <si>
    <t>86015</t>
  </si>
  <si>
    <t>81219</t>
  </si>
  <si>
    <t>81450</t>
  </si>
  <si>
    <t>82024</t>
  </si>
  <si>
    <t>82042</t>
  </si>
  <si>
    <t>82043</t>
  </si>
  <si>
    <t>82085</t>
  </si>
  <si>
    <t>82088</t>
  </si>
  <si>
    <t>83921</t>
  </si>
  <si>
    <t>82164</t>
  </si>
  <si>
    <t>82172</t>
  </si>
  <si>
    <t>82232</t>
  </si>
  <si>
    <t>82308</t>
  </si>
  <si>
    <t>82330</t>
  </si>
  <si>
    <t>82384</t>
  </si>
  <si>
    <t>82390</t>
  </si>
  <si>
    <t>82525</t>
  </si>
  <si>
    <t>82533</t>
  </si>
  <si>
    <t>82530</t>
  </si>
  <si>
    <t>80377</t>
  </si>
  <si>
    <t>82626</t>
  </si>
  <si>
    <t>82595</t>
  </si>
  <si>
    <t>82653</t>
  </si>
  <si>
    <t>82668</t>
  </si>
  <si>
    <t>82670</t>
  </si>
  <si>
    <t>82672</t>
  </si>
  <si>
    <t>82705</t>
  </si>
  <si>
    <t>82747</t>
  </si>
  <si>
    <t>86334</t>
  </si>
  <si>
    <t>82787</t>
  </si>
  <si>
    <t>87329</t>
  </si>
  <si>
    <t>82955</t>
  </si>
  <si>
    <t>82985</t>
  </si>
  <si>
    <t>83001</t>
  </si>
  <si>
    <t>83002</t>
  </si>
  <si>
    <t>83003</t>
  </si>
  <si>
    <t>83010</t>
  </si>
  <si>
    <t>83021</t>
  </si>
  <si>
    <t>83020</t>
  </si>
  <si>
    <t>83090</t>
  </si>
  <si>
    <t>83497</t>
  </si>
  <si>
    <t>83520</t>
  </si>
  <si>
    <t>87385</t>
  </si>
  <si>
    <t>86258</t>
  </si>
  <si>
    <t>82784</t>
  </si>
  <si>
    <t>82785</t>
  </si>
  <si>
    <t>86381</t>
  </si>
  <si>
    <t>83525</t>
  </si>
  <si>
    <t>84206</t>
  </si>
  <si>
    <t>84480</t>
  </si>
  <si>
    <t>84305</t>
  </si>
  <si>
    <t>84481</t>
  </si>
  <si>
    <t>86364</t>
  </si>
  <si>
    <t>86200</t>
  </si>
  <si>
    <t>80176</t>
  </si>
  <si>
    <t>83655</t>
  </si>
  <si>
    <t>83695</t>
  </si>
  <si>
    <t>83835</t>
  </si>
  <si>
    <t>83521</t>
  </si>
  <si>
    <t>83970</t>
  </si>
  <si>
    <t>83916</t>
  </si>
  <si>
    <t>87522</t>
  </si>
  <si>
    <t>84681</t>
  </si>
  <si>
    <t>83986</t>
  </si>
  <si>
    <t>83993</t>
  </si>
  <si>
    <t>84080</t>
  </si>
  <si>
    <t>84120</t>
  </si>
  <si>
    <t>84144</t>
  </si>
  <si>
    <t>84146</t>
  </si>
  <si>
    <t>84165</t>
  </si>
  <si>
    <t>84134</t>
  </si>
  <si>
    <t>84166</t>
  </si>
  <si>
    <t>84207</t>
  </si>
  <si>
    <t>84252</t>
  </si>
  <si>
    <t>84255</t>
  </si>
  <si>
    <t>84270</t>
  </si>
  <si>
    <t>84311</t>
  </si>
  <si>
    <t>84403</t>
  </si>
  <si>
    <t>84425</t>
  </si>
  <si>
    <t>84432</t>
  </si>
  <si>
    <t>84442</t>
  </si>
  <si>
    <t>84445</t>
  </si>
  <si>
    <t>84446</t>
  </si>
  <si>
    <t>84238</t>
  </si>
  <si>
    <t>80201</t>
  </si>
  <si>
    <t>83519</t>
  </si>
  <si>
    <t>84585</t>
  </si>
  <si>
    <t>84588</t>
  </si>
  <si>
    <t>82652</t>
  </si>
  <si>
    <t>84630</t>
  </si>
  <si>
    <t>86300</t>
  </si>
  <si>
    <t>84482</t>
  </si>
  <si>
    <t>85220</t>
  </si>
  <si>
    <t>85230</t>
  </si>
  <si>
    <t>85240</t>
  </si>
  <si>
    <t>85246</t>
  </si>
  <si>
    <t>85247</t>
  </si>
  <si>
    <t>85245</t>
  </si>
  <si>
    <t>85250</t>
  </si>
  <si>
    <t>85260</t>
  </si>
  <si>
    <t>85270</t>
  </si>
  <si>
    <t>85280</t>
  </si>
  <si>
    <t>85301</t>
  </si>
  <si>
    <t>85302</t>
  </si>
  <si>
    <t>85303</t>
  </si>
  <si>
    <t>85305</t>
  </si>
  <si>
    <t>85300</t>
  </si>
  <si>
    <t>85362</t>
  </si>
  <si>
    <t>86340</t>
  </si>
  <si>
    <t>86376</t>
  </si>
  <si>
    <t>85598</t>
  </si>
  <si>
    <t>82610</t>
  </si>
  <si>
    <t>85613</t>
  </si>
  <si>
    <t>85660</t>
  </si>
  <si>
    <t>86022</t>
  </si>
  <si>
    <t>86337</t>
  </si>
  <si>
    <t>86038</t>
  </si>
  <si>
    <t>86003</t>
  </si>
  <si>
    <t>86060</t>
  </si>
  <si>
    <t>82103</t>
  </si>
  <si>
    <t>86677</t>
  </si>
  <si>
    <t>86146</t>
  </si>
  <si>
    <t>86160</t>
  </si>
  <si>
    <t>86148</t>
  </si>
  <si>
    <t>86162</t>
  </si>
  <si>
    <t>86641</t>
  </si>
  <si>
    <t>86800</t>
  </si>
  <si>
    <t>86698</t>
  </si>
  <si>
    <t>86612</t>
  </si>
  <si>
    <t>86710</t>
  </si>
  <si>
    <t>86215</t>
  </si>
  <si>
    <t>86225</t>
  </si>
  <si>
    <t>86235</t>
  </si>
  <si>
    <t>86747</t>
  </si>
  <si>
    <t>86256</t>
  </si>
  <si>
    <t>86787</t>
  </si>
  <si>
    <t>86255</t>
  </si>
  <si>
    <t>86708</t>
  </si>
  <si>
    <t>87350</t>
  </si>
  <si>
    <t>86707</t>
  </si>
  <si>
    <t>86695</t>
  </si>
  <si>
    <t>86709</t>
  </si>
  <si>
    <t>86618</t>
  </si>
  <si>
    <t>86335</t>
  </si>
  <si>
    <t>86360</t>
  </si>
  <si>
    <t>86141</t>
  </si>
  <si>
    <t>86147</t>
  </si>
  <si>
    <t>86341</t>
  </si>
  <si>
    <t>86431</t>
  </si>
  <si>
    <t>86757</t>
  </si>
  <si>
    <t>86658</t>
  </si>
  <si>
    <t>86606</t>
  </si>
  <si>
    <t>86611</t>
  </si>
  <si>
    <t>86622</t>
  </si>
  <si>
    <t>86632</t>
  </si>
  <si>
    <t>86645</t>
  </si>
  <si>
    <t>86780</t>
  </si>
  <si>
    <t>86664</t>
  </si>
  <si>
    <t>86671</t>
  </si>
  <si>
    <t>86694</t>
  </si>
  <si>
    <t>86701</t>
  </si>
  <si>
    <t>86702</t>
  </si>
  <si>
    <t>86704</t>
  </si>
  <si>
    <t>86735</t>
  </si>
  <si>
    <t>86765</t>
  </si>
  <si>
    <t>86635</t>
  </si>
  <si>
    <t>86738</t>
  </si>
  <si>
    <t>86753</t>
  </si>
  <si>
    <t>86762</t>
  </si>
  <si>
    <t>86777</t>
  </si>
  <si>
    <t>86788</t>
  </si>
  <si>
    <t>86789</t>
  </si>
  <si>
    <t>86790</t>
  </si>
  <si>
    <t>85306</t>
  </si>
  <si>
    <t>86304</t>
  </si>
  <si>
    <t>86631</t>
  </si>
  <si>
    <t>86615</t>
  </si>
  <si>
    <t>87101</t>
  </si>
  <si>
    <t>87110</t>
  </si>
  <si>
    <t>87116</t>
  </si>
  <si>
    <t>87140</t>
  </si>
  <si>
    <t>87169</t>
  </si>
  <si>
    <t>87177</t>
  </si>
  <si>
    <t>85810</t>
  </si>
  <si>
    <t>87206</t>
  </si>
  <si>
    <t>87252</t>
  </si>
  <si>
    <t>87255</t>
  </si>
  <si>
    <t>87278</t>
  </si>
  <si>
    <t>87281</t>
  </si>
  <si>
    <t>87338</t>
  </si>
  <si>
    <t>87389</t>
  </si>
  <si>
    <t>87491</t>
  </si>
  <si>
    <t>87497</t>
  </si>
  <si>
    <t>87496</t>
  </si>
  <si>
    <t>87902</t>
  </si>
  <si>
    <t>87529</t>
  </si>
  <si>
    <t>87532</t>
  </si>
  <si>
    <t>87536</t>
  </si>
  <si>
    <t>87556</t>
  </si>
  <si>
    <t>87591</t>
  </si>
  <si>
    <t>87799</t>
  </si>
  <si>
    <t>87634</t>
  </si>
  <si>
    <t>87798</t>
  </si>
  <si>
    <t>87899</t>
  </si>
  <si>
    <t>82274</t>
  </si>
  <si>
    <t>87209</t>
  </si>
  <si>
    <t>82542</t>
  </si>
  <si>
    <t>84244</t>
  </si>
  <si>
    <t>85397</t>
  </si>
  <si>
    <t>86480</t>
  </si>
  <si>
    <t>87517</t>
  </si>
  <si>
    <t>86231</t>
  </si>
  <si>
    <t>86665</t>
  </si>
  <si>
    <t>86696</t>
  </si>
  <si>
    <t>87149</t>
  </si>
  <si>
    <t>87188</t>
  </si>
  <si>
    <t>87305</t>
  </si>
  <si>
    <t>0072589997</t>
  </si>
  <si>
    <t>81374</t>
  </si>
  <si>
    <t>81206</t>
  </si>
  <si>
    <t>81207</t>
  </si>
  <si>
    <t>81241</t>
  </si>
  <si>
    <t>81240</t>
  </si>
  <si>
    <t>81257</t>
  </si>
  <si>
    <t>81291</t>
  </si>
  <si>
    <t>81256</t>
  </si>
  <si>
    <t>81270</t>
  </si>
  <si>
    <t>86644</t>
  </si>
  <si>
    <t>81225</t>
  </si>
  <si>
    <t>81263</t>
  </si>
  <si>
    <t>81272</t>
  </si>
  <si>
    <t>81288</t>
  </si>
  <si>
    <t>81340</t>
  </si>
  <si>
    <t>81342</t>
  </si>
  <si>
    <t>81479</t>
  </si>
  <si>
    <t>88185</t>
  </si>
  <si>
    <t>88237</t>
  </si>
  <si>
    <t>88361</t>
  </si>
  <si>
    <t>88374</t>
  </si>
  <si>
    <t>88377</t>
  </si>
  <si>
    <t>81194</t>
  </si>
  <si>
    <t>C1729</t>
  </si>
  <si>
    <t>C1732</t>
  </si>
  <si>
    <t>C1888</t>
  </si>
  <si>
    <t>C1714</t>
  </si>
  <si>
    <t>C2628</t>
  </si>
  <si>
    <t>C1757</t>
  </si>
  <si>
    <t>C1733</t>
  </si>
  <si>
    <t>C1751</t>
  </si>
  <si>
    <t>C1753</t>
  </si>
  <si>
    <t>C2623</t>
  </si>
  <si>
    <t>C1761</t>
  </si>
  <si>
    <t>C1730</t>
  </si>
  <si>
    <t>C1766</t>
  </si>
  <si>
    <t>V2632</t>
  </si>
  <si>
    <t>L8699</t>
  </si>
  <si>
    <t>L8641</t>
  </si>
  <si>
    <t>C1880</t>
  </si>
  <si>
    <t>C1758</t>
  </si>
  <si>
    <t>C1765</t>
  </si>
  <si>
    <t>C1755</t>
  </si>
  <si>
    <t>C1760</t>
  </si>
  <si>
    <t>C1820</t>
  </si>
  <si>
    <t>C1892</t>
  </si>
  <si>
    <t>L8606</t>
  </si>
  <si>
    <t>C1759</t>
  </si>
  <si>
    <t>C1727</t>
  </si>
  <si>
    <t>C1750</t>
  </si>
  <si>
    <t>C1897</t>
  </si>
  <si>
    <t>C1788</t>
  </si>
  <si>
    <t>C1789</t>
  </si>
  <si>
    <t>C2618</t>
  </si>
  <si>
    <t>C1787</t>
  </si>
  <si>
    <t>C1813</t>
  </si>
  <si>
    <t>C1731</t>
  </si>
  <si>
    <t>C2631</t>
  </si>
  <si>
    <t>C1893</t>
  </si>
  <si>
    <t>C1772</t>
  </si>
  <si>
    <t>C1884</t>
  </si>
  <si>
    <t>Hospital Name: UCI Health - Lakewood</t>
  </si>
  <si>
    <t>UCI Health - Lakewood</t>
  </si>
  <si>
    <t>2023 Gross Charges</t>
  </si>
  <si>
    <t>2024 Gross Charges</t>
  </si>
  <si>
    <t>Percentage Increase</t>
  </si>
  <si>
    <t xml:space="preserve">UCI Health - Lakewood </t>
  </si>
  <si>
    <t>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</si>
</sst>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9"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8">
    <xf numFmtId="0" fontId="0" fillId="0" borderId="0" xfId="0"/>
    <xf numFmtId="0" fontId="0" fillId="0" borderId="0" xfId="0" applyAlignment="1">
      <alignment vertical="top"/>
    </xf>
    <xf numFmtId="0" fontId="0" fillId="0" borderId="0" xfId="0" applyAlignment="1">
      <alignment wrapText="1"/>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0" fontId="5" fillId="4" borderId="2" xfId="0" applyFont="1" applyFill="1" applyBorder="1" applyAlignment="1">
      <alignment vertical="top"/>
    </xf>
    <xf numFmtId="0" fontId="4" fillId="0" borderId="2" xfId="0" applyFont="1" applyBorder="1" applyAlignment="1">
      <alignment horizontal="left" vertical="top" indent="1"/>
    </xf>
    <xf numFmtId="0" fontId="4" fillId="0" borderId="2" xfId="0" applyFont="1" applyBorder="1" applyAlignment="1">
      <alignment vertical="top"/>
    </xf>
    <xf numFmtId="0" fontId="5" fillId="4" borderId="3" xfId="0" applyFont="1" applyFill="1" applyBorder="1" applyAlignment="1">
      <alignment horizontal="center" vertical="top"/>
    </xf>
    <xf numFmtId="0" fontId="4" fillId="0" borderId="3" xfId="0" applyFont="1" applyBorder="1" applyAlignment="1">
      <alignment horizontal="center" vertical="top"/>
    </xf>
    <xf numFmtId="0" fontId="5" fillId="0" borderId="5" xfId="0" applyFont="1" applyBorder="1" applyAlignment="1">
      <alignment horizontal="left" vertical="top" indent="1"/>
    </xf>
    <xf numFmtId="0" fontId="4" fillId="0" borderId="6" xfId="0" applyFont="1" applyBorder="1" applyAlignment="1">
      <alignment horizontal="center" vertical="top"/>
    </xf>
    <xf numFmtId="0" fontId="5" fillId="5" borderId="0" xfId="0" applyFont="1" applyFill="1" applyAlignment="1">
      <alignment vertical="top"/>
    </xf>
    <xf numFmtId="0" fontId="4" fillId="5" borderId="0" xfId="0" applyFont="1" applyFill="1" applyAlignment="1">
      <alignment horizontal="center" vertical="top"/>
    </xf>
    <xf numFmtId="0" fontId="4" fillId="5" borderId="0" xfId="0" applyFont="1" applyFill="1" applyAlignment="1">
      <alignment vertical="top"/>
    </xf>
    <xf numFmtId="0" fontId="2" fillId="2" borderId="0" xfId="0" applyFont="1" applyFill="1" applyAlignment="1">
      <alignment vertical="top" wrapText="1"/>
    </xf>
    <xf numFmtId="0" fontId="2" fillId="2" borderId="0" xfId="0" applyFont="1" applyFill="1" applyAlignment="1">
      <alignment horizontal="center" vertical="top" wrapText="1"/>
    </xf>
    <xf numFmtId="3" fontId="2" fillId="2" borderId="0" xfId="0" applyNumberFormat="1" applyFont="1" applyFill="1" applyAlignment="1">
      <alignment horizontal="center" vertical="top" wrapText="1"/>
    </xf>
    <xf numFmtId="165" fontId="2" fillId="2" borderId="0" xfId="0" applyNumberFormat="1" applyFont="1" applyFill="1" applyAlignment="1">
      <alignment horizontal="right" vertical="top" wrapText="1"/>
    </xf>
    <xf numFmtId="165" fontId="0" fillId="0" borderId="0" xfId="0" applyNumberFormat="1" applyAlignment="1">
      <alignment horizontal="right" vertical="top"/>
    </xf>
    <xf numFmtId="166" fontId="2" fillId="2" borderId="0" xfId="0" applyNumberFormat="1" applyFont="1" applyFill="1" applyAlignment="1">
      <alignment horizontal="right" vertical="top" wrapText="1"/>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1" fillId="3" borderId="0" xfId="0" applyFont="1" applyFill="1" applyAlignment="1">
      <alignment horizontal="center" vertical="top"/>
    </xf>
    <xf numFmtId="0" fontId="3" fillId="0" borderId="0" xfId="0" applyFont="1" applyAlignment="1">
      <alignment vertical="top"/>
    </xf>
    <xf numFmtId="17" fontId="3" fillId="3" borderId="0" xfId="0" applyNumberFormat="1" applyFont="1" applyFill="1" applyAlignment="1">
      <alignment horizontal="center" vertical="top" wrapText="1"/>
    </xf>
    <xf numFmtId="0" fontId="0" fillId="0" borderId="0" xfId="0" applyAlignment="1">
      <alignment horizontal="left" vertical="top"/>
    </xf>
    <xf numFmtId="0" fontId="1" fillId="0" borderId="0" xfId="0" applyFont="1" applyAlignment="1">
      <alignment horizontal="left" vertical="top"/>
    </xf>
    <xf numFmtId="0" fontId="3" fillId="3" borderId="0" xfId="0" applyFont="1" applyFill="1" applyAlignment="1">
      <alignment horizontal="left" vertical="top" wrapText="1"/>
    </xf>
    <xf numFmtId="0" fontId="7" fillId="5" borderId="12" xfId="0" applyFont="1" applyFill="1" applyBorder="1" applyAlignment="1">
      <alignment vertical="top"/>
    </xf>
    <xf numFmtId="0" fontId="8" fillId="5" borderId="9" xfId="0" applyFont="1" applyFill="1" applyBorder="1" applyAlignment="1">
      <alignment vertical="top"/>
    </xf>
    <xf numFmtId="0" fontId="8" fillId="5" borderId="15" xfId="0" applyFont="1" applyFill="1" applyBorder="1" applyAlignment="1">
      <alignment vertical="top"/>
    </xf>
    <xf numFmtId="0" fontId="4" fillId="5" borderId="1" xfId="0" applyFont="1" applyFill="1" applyBorder="1" applyAlignment="1">
      <alignment vertical="top" wrapText="1"/>
    </xf>
    <xf numFmtId="0" fontId="0" fillId="5" borderId="1" xfId="0" applyFill="1" applyBorder="1" applyAlignment="1">
      <alignment vertical="top" wrapText="1"/>
    </xf>
    <xf numFmtId="0" fontId="6"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7" fillId="5" borderId="11" xfId="0" applyFont="1" applyFill="1" applyBorder="1" applyAlignment="1">
      <alignment vertical="top"/>
    </xf>
    <xf numFmtId="0" fontId="8" fillId="5" borderId="0" xfId="0" applyFont="1" applyFill="1" applyAlignment="1">
      <alignment vertical="top"/>
    </xf>
    <xf numFmtId="0" fontId="8" fillId="5" borderId="14" xfId="0" applyFont="1" applyFill="1" applyBorder="1" applyAlignment="1">
      <alignment vertical="top"/>
    </xf>
    <xf numFmtId="17" fontId="1" fillId="0" borderId="0" xfId="0" quotePrefix="1" applyNumberFormat="1" applyFont="1" applyAlignment="1">
      <alignment horizontal="left" vertical="top"/>
    </xf>
    <xf numFmtId="164" fontId="4" fillId="5" borderId="0" xfId="0" applyNumberFormat="1" applyFont="1" applyFill="1" applyAlignment="1">
      <alignment horizontal="center" vertical="top"/>
    </xf>
    <xf numFmtId="164" fontId="5" fillId="4" borderId="4" xfId="0" applyNumberFormat="1" applyFont="1" applyFill="1" applyBorder="1" applyAlignment="1">
      <alignment horizontal="center" vertical="top"/>
    </xf>
    <xf numFmtId="164" fontId="4" fillId="0" borderId="4" xfId="0" applyNumberFormat="1" applyFont="1" applyBorder="1" applyAlignment="1">
      <alignment horizontal="center" vertical="top"/>
    </xf>
    <xf numFmtId="3" fontId="5" fillId="0" borderId="7" xfId="0" applyNumberFormat="1" applyFont="1" applyBorder="1" applyAlignment="1">
      <alignment horizontal="center" vertical="top"/>
    </xf>
    <xf numFmtId="164" fontId="4" fillId="0" borderId="0" xfId="0" applyNumberFormat="1" applyFont="1" applyAlignment="1">
      <alignment horizontal="center" vertical="top"/>
    </xf>
    <xf numFmtId="17" fontId="3" fillId="3" borderId="0" xfId="0" quotePrefix="1" applyNumberFormat="1"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CBF1-613C-4FB3-ABD4-93E4FF613CA6}">
  <sheetPr>
    <pageSetUpPr fitToPage="1"/>
  </sheetPr>
  <dimension ref="A1:F6261"/>
  <sheetViews>
    <sheetView tabSelected="1" workbookViewId="0">
      <selection activeCell="J10" sqref="J10"/>
    </sheetView>
  </sheetViews>
  <sheetFormatPr defaultRowHeight="15" x14ac:dyDescent="0.25"/>
  <cols>
    <col min="1" max="1" width="4.42578125" style="5" bestFit="1" customWidth="1"/>
    <col min="2" max="2" width="13.7109375" style="5" bestFit="1" customWidth="1"/>
    <col min="3" max="3" width="34.85546875" style="1" bestFit="1" customWidth="1"/>
    <col min="4" max="4" width="24.7109375" style="1" bestFit="1" customWidth="1"/>
    <col min="5" max="5" width="17.5703125" style="7" bestFit="1" customWidth="1"/>
    <col min="6" max="6" width="20.42578125" style="10" customWidth="1"/>
  </cols>
  <sheetData>
    <row r="1" spans="1:6" s="8" customFormat="1" ht="15" customHeight="1" x14ac:dyDescent="0.25">
      <c r="A1" s="39" t="s">
        <v>18464</v>
      </c>
      <c r="B1" s="39"/>
      <c r="C1" s="39"/>
      <c r="D1" s="39"/>
      <c r="E1" s="36"/>
      <c r="F1" s="57" t="s">
        <v>18465</v>
      </c>
    </row>
    <row r="2" spans="1:6" x14ac:dyDescent="0.25">
      <c r="A2" s="34"/>
      <c r="B2" s="34"/>
      <c r="C2" s="34"/>
      <c r="D2" s="34"/>
      <c r="E2" s="34"/>
      <c r="F2" s="34"/>
    </row>
    <row r="3" spans="1:6" x14ac:dyDescent="0.25">
      <c r="A3" s="4" t="s">
        <v>0</v>
      </c>
      <c r="B3" s="4" t="s">
        <v>1</v>
      </c>
      <c r="C3" s="3" t="s">
        <v>2</v>
      </c>
      <c r="D3" s="3" t="s">
        <v>3</v>
      </c>
      <c r="E3" s="6" t="s">
        <v>4</v>
      </c>
      <c r="F3" s="9" t="s">
        <v>5</v>
      </c>
    </row>
    <row r="4" spans="1:6" x14ac:dyDescent="0.25">
      <c r="A4" s="5" t="s">
        <v>6</v>
      </c>
      <c r="B4" s="5" t="s">
        <v>7</v>
      </c>
      <c r="C4" s="1" t="s">
        <v>8</v>
      </c>
      <c r="D4" s="1" t="s">
        <v>9</v>
      </c>
      <c r="E4" s="7">
        <v>14692</v>
      </c>
    </row>
    <row r="5" spans="1:6" x14ac:dyDescent="0.25">
      <c r="A5" s="5" t="s">
        <v>6</v>
      </c>
      <c r="B5" s="5" t="s">
        <v>10</v>
      </c>
      <c r="C5" s="1" t="s">
        <v>11</v>
      </c>
      <c r="D5" s="1" t="s">
        <v>12</v>
      </c>
      <c r="E5" s="7">
        <v>14692</v>
      </c>
    </row>
    <row r="6" spans="1:6" x14ac:dyDescent="0.25">
      <c r="A6" s="5" t="s">
        <v>6</v>
      </c>
      <c r="B6" s="5" t="s">
        <v>13</v>
      </c>
      <c r="C6" s="1" t="s">
        <v>14</v>
      </c>
      <c r="D6" s="1" t="s">
        <v>15</v>
      </c>
      <c r="E6" s="7">
        <v>19270</v>
      </c>
    </row>
    <row r="7" spans="1:6" x14ac:dyDescent="0.25">
      <c r="A7" s="5" t="s">
        <v>6</v>
      </c>
      <c r="B7" s="5" t="s">
        <v>16</v>
      </c>
      <c r="C7" s="1" t="s">
        <v>17</v>
      </c>
      <c r="D7" s="1" t="s">
        <v>18</v>
      </c>
      <c r="E7" s="7">
        <v>8886</v>
      </c>
    </row>
    <row r="8" spans="1:6" x14ac:dyDescent="0.25">
      <c r="A8" s="5" t="s">
        <v>6</v>
      </c>
      <c r="B8" s="5" t="s">
        <v>19</v>
      </c>
      <c r="C8" s="1" t="s">
        <v>11</v>
      </c>
      <c r="D8" s="1" t="s">
        <v>12</v>
      </c>
      <c r="E8" s="7">
        <v>14692</v>
      </c>
    </row>
    <row r="9" spans="1:6" x14ac:dyDescent="0.25">
      <c r="A9" s="5" t="s">
        <v>6</v>
      </c>
      <c r="B9" s="5" t="s">
        <v>20</v>
      </c>
      <c r="C9" s="1" t="s">
        <v>14</v>
      </c>
      <c r="D9" s="1" t="s">
        <v>15</v>
      </c>
      <c r="E9" s="7">
        <v>19270</v>
      </c>
    </row>
    <row r="10" spans="1:6" x14ac:dyDescent="0.25">
      <c r="A10" s="5" t="s">
        <v>6</v>
      </c>
      <c r="B10" s="5" t="s">
        <v>21</v>
      </c>
      <c r="C10" s="1" t="s">
        <v>17</v>
      </c>
      <c r="D10" s="1" t="s">
        <v>18</v>
      </c>
      <c r="E10" s="7">
        <v>8886</v>
      </c>
    </row>
    <row r="11" spans="1:6" x14ac:dyDescent="0.25">
      <c r="A11" s="5" t="s">
        <v>6</v>
      </c>
      <c r="B11" s="5" t="s">
        <v>22</v>
      </c>
      <c r="C11" s="1" t="s">
        <v>23</v>
      </c>
      <c r="D11" s="1" t="s">
        <v>24</v>
      </c>
      <c r="E11" s="7">
        <v>4968</v>
      </c>
    </row>
    <row r="12" spans="1:6" x14ac:dyDescent="0.25">
      <c r="A12" s="5" t="s">
        <v>6</v>
      </c>
      <c r="B12" s="5" t="s">
        <v>25</v>
      </c>
      <c r="C12" s="1" t="s">
        <v>8</v>
      </c>
      <c r="D12" s="1" t="s">
        <v>9</v>
      </c>
      <c r="E12" s="7">
        <v>14692</v>
      </c>
    </row>
    <row r="13" spans="1:6" x14ac:dyDescent="0.25">
      <c r="A13" s="5" t="s">
        <v>6</v>
      </c>
      <c r="B13" s="5" t="s">
        <v>26</v>
      </c>
      <c r="C13" s="1" t="s">
        <v>11</v>
      </c>
      <c r="D13" s="1" t="s">
        <v>12</v>
      </c>
      <c r="E13" s="7">
        <v>14692</v>
      </c>
    </row>
    <row r="14" spans="1:6" x14ac:dyDescent="0.25">
      <c r="A14" s="5" t="s">
        <v>6</v>
      </c>
      <c r="B14" s="5" t="s">
        <v>27</v>
      </c>
      <c r="C14" s="1" t="s">
        <v>17</v>
      </c>
      <c r="D14" s="1" t="s">
        <v>18</v>
      </c>
      <c r="E14" s="7">
        <v>8886</v>
      </c>
    </row>
    <row r="15" spans="1:6" x14ac:dyDescent="0.25">
      <c r="A15" s="5" t="s">
        <v>6</v>
      </c>
      <c r="B15" s="5" t="s">
        <v>28</v>
      </c>
      <c r="C15" s="1" t="s">
        <v>23</v>
      </c>
      <c r="D15" s="1" t="s">
        <v>24</v>
      </c>
      <c r="E15" s="7">
        <v>4968</v>
      </c>
    </row>
    <row r="16" spans="1:6" x14ac:dyDescent="0.25">
      <c r="A16" s="5" t="s">
        <v>6</v>
      </c>
      <c r="B16" s="5" t="s">
        <v>29</v>
      </c>
      <c r="C16" s="1" t="s">
        <v>8</v>
      </c>
      <c r="D16" s="1" t="s">
        <v>9</v>
      </c>
      <c r="E16" s="7">
        <v>14692</v>
      </c>
    </row>
    <row r="17" spans="1:5" x14ac:dyDescent="0.25">
      <c r="A17" s="5" t="s">
        <v>6</v>
      </c>
      <c r="B17" s="5" t="s">
        <v>30</v>
      </c>
      <c r="C17" s="1" t="s">
        <v>11</v>
      </c>
      <c r="D17" s="1" t="s">
        <v>12</v>
      </c>
      <c r="E17" s="7">
        <v>14692</v>
      </c>
    </row>
    <row r="18" spans="1:5" x14ac:dyDescent="0.25">
      <c r="A18" s="5" t="s">
        <v>6</v>
      </c>
      <c r="B18" s="5" t="s">
        <v>31</v>
      </c>
      <c r="C18" s="1" t="s">
        <v>32</v>
      </c>
      <c r="D18" s="1" t="s">
        <v>33</v>
      </c>
      <c r="E18" s="7">
        <v>4968</v>
      </c>
    </row>
    <row r="19" spans="1:5" x14ac:dyDescent="0.25">
      <c r="A19" s="5" t="s">
        <v>6</v>
      </c>
      <c r="B19" s="5" t="s">
        <v>34</v>
      </c>
      <c r="C19" s="1" t="s">
        <v>35</v>
      </c>
      <c r="D19" s="1" t="s">
        <v>36</v>
      </c>
      <c r="E19" s="7">
        <v>4968</v>
      </c>
    </row>
    <row r="20" spans="1:5" x14ac:dyDescent="0.25">
      <c r="A20" s="5" t="s">
        <v>6</v>
      </c>
      <c r="B20" s="5" t="s">
        <v>37</v>
      </c>
      <c r="C20" s="1" t="s">
        <v>17</v>
      </c>
      <c r="D20" s="1" t="s">
        <v>18</v>
      </c>
      <c r="E20" s="7">
        <v>8886</v>
      </c>
    </row>
    <row r="21" spans="1:5" x14ac:dyDescent="0.25">
      <c r="A21" s="5" t="s">
        <v>6</v>
      </c>
      <c r="B21" s="5" t="s">
        <v>38</v>
      </c>
      <c r="C21" s="1" t="s">
        <v>23</v>
      </c>
      <c r="D21" s="1" t="s">
        <v>24</v>
      </c>
      <c r="E21" s="7">
        <v>4968</v>
      </c>
    </row>
    <row r="22" spans="1:5" x14ac:dyDescent="0.25">
      <c r="A22" s="5" t="s">
        <v>6</v>
      </c>
      <c r="B22" s="5" t="s">
        <v>39</v>
      </c>
      <c r="C22" s="1" t="s">
        <v>8</v>
      </c>
      <c r="D22" s="1" t="s">
        <v>9</v>
      </c>
      <c r="E22" s="7">
        <v>14692</v>
      </c>
    </row>
    <row r="23" spans="1:5" x14ac:dyDescent="0.25">
      <c r="A23" s="5" t="s">
        <v>6</v>
      </c>
      <c r="B23" s="5" t="s">
        <v>40</v>
      </c>
      <c r="C23" s="1" t="s">
        <v>32</v>
      </c>
      <c r="D23" s="1" t="s">
        <v>33</v>
      </c>
      <c r="E23" s="7">
        <v>4968</v>
      </c>
    </row>
    <row r="24" spans="1:5" x14ac:dyDescent="0.25">
      <c r="A24" s="5" t="s">
        <v>6</v>
      </c>
      <c r="B24" s="5" t="s">
        <v>41</v>
      </c>
      <c r="C24" s="1" t="s">
        <v>35</v>
      </c>
      <c r="D24" s="1" t="s">
        <v>36</v>
      </c>
      <c r="E24" s="7">
        <v>4968</v>
      </c>
    </row>
    <row r="25" spans="1:5" x14ac:dyDescent="0.25">
      <c r="A25" s="5" t="s">
        <v>6</v>
      </c>
      <c r="B25" s="5" t="s">
        <v>42</v>
      </c>
      <c r="C25" s="1" t="s">
        <v>17</v>
      </c>
      <c r="D25" s="1" t="s">
        <v>18</v>
      </c>
      <c r="E25" s="7">
        <v>8886</v>
      </c>
    </row>
    <row r="26" spans="1:5" x14ac:dyDescent="0.25">
      <c r="A26" s="5" t="s">
        <v>6</v>
      </c>
      <c r="B26" s="5" t="s">
        <v>43</v>
      </c>
      <c r="C26" s="1" t="s">
        <v>23</v>
      </c>
      <c r="D26" s="1" t="s">
        <v>24</v>
      </c>
      <c r="E26" s="7">
        <v>4968</v>
      </c>
    </row>
    <row r="27" spans="1:5" x14ac:dyDescent="0.25">
      <c r="A27" s="5" t="s">
        <v>6</v>
      </c>
      <c r="B27" s="5" t="s">
        <v>44</v>
      </c>
      <c r="C27" s="1" t="s">
        <v>32</v>
      </c>
      <c r="D27" s="1" t="s">
        <v>33</v>
      </c>
      <c r="E27" s="7">
        <v>4968</v>
      </c>
    </row>
    <row r="28" spans="1:5" x14ac:dyDescent="0.25">
      <c r="A28" s="5" t="s">
        <v>6</v>
      </c>
      <c r="B28" s="5" t="s">
        <v>45</v>
      </c>
      <c r="C28" s="1" t="s">
        <v>35</v>
      </c>
      <c r="D28" s="1" t="s">
        <v>36</v>
      </c>
      <c r="E28" s="7">
        <v>4968</v>
      </c>
    </row>
    <row r="29" spans="1:5" x14ac:dyDescent="0.25">
      <c r="A29" s="5" t="s">
        <v>6</v>
      </c>
      <c r="B29" s="5" t="s">
        <v>46</v>
      </c>
      <c r="C29" s="1" t="s">
        <v>17</v>
      </c>
      <c r="D29" s="1" t="s">
        <v>18</v>
      </c>
      <c r="E29" s="7">
        <v>8886</v>
      </c>
    </row>
    <row r="30" spans="1:5" x14ac:dyDescent="0.25">
      <c r="A30" s="5" t="s">
        <v>6</v>
      </c>
      <c r="B30" s="5" t="s">
        <v>47</v>
      </c>
      <c r="C30" s="1" t="s">
        <v>23</v>
      </c>
      <c r="D30" s="1" t="s">
        <v>24</v>
      </c>
      <c r="E30" s="7">
        <v>4968</v>
      </c>
    </row>
    <row r="31" spans="1:5" x14ac:dyDescent="0.25">
      <c r="A31" s="5" t="s">
        <v>6</v>
      </c>
      <c r="B31" s="5" t="s">
        <v>48</v>
      </c>
      <c r="C31" s="1" t="s">
        <v>32</v>
      </c>
      <c r="D31" s="1" t="s">
        <v>33</v>
      </c>
      <c r="E31" s="7">
        <v>4968</v>
      </c>
    </row>
    <row r="32" spans="1:5" x14ac:dyDescent="0.25">
      <c r="A32" s="5" t="s">
        <v>6</v>
      </c>
      <c r="B32" s="5" t="s">
        <v>49</v>
      </c>
      <c r="C32" s="1" t="s">
        <v>35</v>
      </c>
      <c r="D32" s="1" t="s">
        <v>36</v>
      </c>
      <c r="E32" s="7">
        <v>4968</v>
      </c>
    </row>
    <row r="33" spans="1:5" x14ac:dyDescent="0.25">
      <c r="A33" s="5" t="s">
        <v>6</v>
      </c>
      <c r="B33" s="5" t="s">
        <v>50</v>
      </c>
      <c r="C33" s="1" t="s">
        <v>17</v>
      </c>
      <c r="D33" s="1" t="s">
        <v>18</v>
      </c>
      <c r="E33" s="7">
        <v>8886</v>
      </c>
    </row>
    <row r="34" spans="1:5" x14ac:dyDescent="0.25">
      <c r="A34" s="5" t="s">
        <v>6</v>
      </c>
      <c r="B34" s="5" t="s">
        <v>51</v>
      </c>
      <c r="C34" s="1" t="s">
        <v>23</v>
      </c>
      <c r="D34" s="1" t="s">
        <v>24</v>
      </c>
      <c r="E34" s="7">
        <v>4968</v>
      </c>
    </row>
    <row r="35" spans="1:5" x14ac:dyDescent="0.25">
      <c r="A35" s="5" t="s">
        <v>6</v>
      </c>
      <c r="B35" s="5" t="s">
        <v>52</v>
      </c>
      <c r="C35" s="1" t="s">
        <v>17</v>
      </c>
      <c r="D35" s="1" t="s">
        <v>18</v>
      </c>
      <c r="E35" s="7">
        <v>8886</v>
      </c>
    </row>
    <row r="36" spans="1:5" x14ac:dyDescent="0.25">
      <c r="A36" s="5" t="s">
        <v>6</v>
      </c>
      <c r="B36" s="5" t="s">
        <v>53</v>
      </c>
      <c r="C36" s="1" t="s">
        <v>23</v>
      </c>
      <c r="D36" s="1" t="s">
        <v>24</v>
      </c>
      <c r="E36" s="7">
        <v>4968</v>
      </c>
    </row>
    <row r="37" spans="1:5" x14ac:dyDescent="0.25">
      <c r="A37" s="5" t="s">
        <v>6</v>
      </c>
      <c r="B37" s="5" t="s">
        <v>54</v>
      </c>
      <c r="C37" s="1" t="s">
        <v>17</v>
      </c>
      <c r="D37" s="1" t="s">
        <v>18</v>
      </c>
      <c r="E37" s="7">
        <v>8886</v>
      </c>
    </row>
    <row r="38" spans="1:5" x14ac:dyDescent="0.25">
      <c r="A38" s="5" t="s">
        <v>6</v>
      </c>
      <c r="B38" s="5" t="s">
        <v>55</v>
      </c>
      <c r="C38" s="1" t="s">
        <v>23</v>
      </c>
      <c r="D38" s="1" t="s">
        <v>24</v>
      </c>
      <c r="E38" s="7">
        <v>4968</v>
      </c>
    </row>
    <row r="39" spans="1:5" x14ac:dyDescent="0.25">
      <c r="A39" s="5" t="s">
        <v>6</v>
      </c>
      <c r="B39" s="5" t="s">
        <v>56</v>
      </c>
      <c r="C39" s="1" t="s">
        <v>32</v>
      </c>
      <c r="D39" s="1" t="s">
        <v>33</v>
      </c>
      <c r="E39" s="7">
        <v>4968</v>
      </c>
    </row>
    <row r="40" spans="1:5" x14ac:dyDescent="0.25">
      <c r="A40" s="5" t="s">
        <v>6</v>
      </c>
      <c r="B40" s="5" t="s">
        <v>57</v>
      </c>
      <c r="C40" s="1" t="s">
        <v>35</v>
      </c>
      <c r="D40" s="1" t="s">
        <v>36</v>
      </c>
      <c r="E40" s="7">
        <v>4968</v>
      </c>
    </row>
    <row r="41" spans="1:5" x14ac:dyDescent="0.25">
      <c r="A41" s="5" t="s">
        <v>6</v>
      </c>
      <c r="B41" s="5" t="s">
        <v>58</v>
      </c>
      <c r="C41" s="1" t="s">
        <v>17</v>
      </c>
      <c r="D41" s="1" t="s">
        <v>18</v>
      </c>
      <c r="E41" s="7">
        <v>8886</v>
      </c>
    </row>
    <row r="42" spans="1:5" x14ac:dyDescent="0.25">
      <c r="A42" s="5" t="s">
        <v>6</v>
      </c>
      <c r="B42" s="5" t="s">
        <v>59</v>
      </c>
      <c r="C42" s="1" t="s">
        <v>23</v>
      </c>
      <c r="D42" s="1" t="s">
        <v>24</v>
      </c>
      <c r="E42" s="7">
        <v>4968</v>
      </c>
    </row>
    <row r="43" spans="1:5" x14ac:dyDescent="0.25">
      <c r="A43" s="5" t="s">
        <v>6</v>
      </c>
      <c r="B43" s="5" t="s">
        <v>60</v>
      </c>
      <c r="C43" s="1" t="s">
        <v>32</v>
      </c>
      <c r="D43" s="1" t="s">
        <v>33</v>
      </c>
      <c r="E43" s="7">
        <v>4968</v>
      </c>
    </row>
    <row r="44" spans="1:5" x14ac:dyDescent="0.25">
      <c r="A44" s="5" t="s">
        <v>6</v>
      </c>
      <c r="B44" s="5" t="s">
        <v>61</v>
      </c>
      <c r="C44" s="1" t="s">
        <v>35</v>
      </c>
      <c r="D44" s="1" t="s">
        <v>36</v>
      </c>
      <c r="E44" s="7">
        <v>4968</v>
      </c>
    </row>
    <row r="45" spans="1:5" x14ac:dyDescent="0.25">
      <c r="A45" s="5" t="s">
        <v>6</v>
      </c>
      <c r="B45" s="5" t="s">
        <v>62</v>
      </c>
      <c r="C45" s="1" t="s">
        <v>17</v>
      </c>
      <c r="D45" s="1" t="s">
        <v>18</v>
      </c>
      <c r="E45" s="7">
        <v>8886</v>
      </c>
    </row>
    <row r="46" spans="1:5" x14ac:dyDescent="0.25">
      <c r="A46" s="5" t="s">
        <v>6</v>
      </c>
      <c r="B46" s="5" t="s">
        <v>63</v>
      </c>
      <c r="C46" s="1" t="s">
        <v>64</v>
      </c>
      <c r="D46" s="1" t="s">
        <v>65</v>
      </c>
      <c r="E46" s="7">
        <v>21507</v>
      </c>
    </row>
    <row r="47" spans="1:5" x14ac:dyDescent="0.25">
      <c r="A47" s="5" t="s">
        <v>6</v>
      </c>
      <c r="B47" s="5" t="s">
        <v>66</v>
      </c>
      <c r="C47" s="1" t="s">
        <v>65</v>
      </c>
      <c r="D47" s="1" t="s">
        <v>65</v>
      </c>
      <c r="E47" s="7">
        <v>19915</v>
      </c>
    </row>
    <row r="48" spans="1:5" x14ac:dyDescent="0.25">
      <c r="A48" s="5" t="s">
        <v>6</v>
      </c>
      <c r="B48" s="5" t="s">
        <v>67</v>
      </c>
      <c r="C48" s="1" t="s">
        <v>68</v>
      </c>
      <c r="D48" s="1" t="s">
        <v>69</v>
      </c>
      <c r="E48" s="7">
        <v>21507</v>
      </c>
    </row>
    <row r="49" spans="1:5" x14ac:dyDescent="0.25">
      <c r="A49" s="5" t="s">
        <v>6</v>
      </c>
      <c r="B49" s="5" t="s">
        <v>70</v>
      </c>
      <c r="C49" s="1" t="s">
        <v>71</v>
      </c>
      <c r="D49" s="1" t="s">
        <v>72</v>
      </c>
      <c r="E49" s="7">
        <v>2452</v>
      </c>
    </row>
    <row r="50" spans="1:5" x14ac:dyDescent="0.25">
      <c r="A50" s="5" t="s">
        <v>6</v>
      </c>
      <c r="B50" s="5" t="s">
        <v>73</v>
      </c>
      <c r="C50" s="1" t="s">
        <v>74</v>
      </c>
      <c r="D50" s="1" t="s">
        <v>75</v>
      </c>
      <c r="E50" s="7">
        <v>647</v>
      </c>
    </row>
    <row r="51" spans="1:5" x14ac:dyDescent="0.25">
      <c r="A51" s="5" t="s">
        <v>6</v>
      </c>
      <c r="B51" s="5" t="s">
        <v>76</v>
      </c>
      <c r="C51" s="1" t="s">
        <v>77</v>
      </c>
      <c r="D51" s="1" t="s">
        <v>78</v>
      </c>
      <c r="E51" s="7">
        <v>2429</v>
      </c>
    </row>
    <row r="52" spans="1:5" x14ac:dyDescent="0.25">
      <c r="A52" s="5" t="s">
        <v>6</v>
      </c>
      <c r="B52" s="5" t="s">
        <v>79</v>
      </c>
      <c r="C52" s="1" t="s">
        <v>80</v>
      </c>
      <c r="D52" s="1" t="s">
        <v>81</v>
      </c>
      <c r="E52" s="7">
        <v>10640</v>
      </c>
    </row>
    <row r="53" spans="1:5" x14ac:dyDescent="0.25">
      <c r="A53" s="5" t="s">
        <v>6</v>
      </c>
      <c r="B53" s="5" t="s">
        <v>82</v>
      </c>
      <c r="C53" s="1" t="s">
        <v>83</v>
      </c>
      <c r="D53" s="1" t="s">
        <v>84</v>
      </c>
      <c r="E53" s="7">
        <v>5224</v>
      </c>
    </row>
    <row r="54" spans="1:5" x14ac:dyDescent="0.25">
      <c r="A54" s="5" t="s">
        <v>6</v>
      </c>
      <c r="B54" s="5" t="s">
        <v>85</v>
      </c>
      <c r="C54" s="1" t="s">
        <v>86</v>
      </c>
      <c r="D54" s="1" t="s">
        <v>87</v>
      </c>
      <c r="E54" s="7">
        <v>11052</v>
      </c>
    </row>
    <row r="55" spans="1:5" x14ac:dyDescent="0.25">
      <c r="A55" s="5" t="s">
        <v>6</v>
      </c>
      <c r="B55" s="5" t="s">
        <v>88</v>
      </c>
      <c r="C55" s="1" t="s">
        <v>89</v>
      </c>
      <c r="D55" s="1" t="s">
        <v>90</v>
      </c>
      <c r="E55" s="7">
        <v>5156</v>
      </c>
    </row>
    <row r="56" spans="1:5" x14ac:dyDescent="0.25">
      <c r="A56" s="5" t="s">
        <v>6</v>
      </c>
      <c r="B56" s="5" t="s">
        <v>91</v>
      </c>
      <c r="C56" s="1" t="s">
        <v>92</v>
      </c>
      <c r="D56" s="1" t="s">
        <v>93</v>
      </c>
      <c r="E56" s="7">
        <v>11701</v>
      </c>
    </row>
    <row r="57" spans="1:5" x14ac:dyDescent="0.25">
      <c r="A57" s="5" t="s">
        <v>6</v>
      </c>
      <c r="B57" s="5" t="s">
        <v>94</v>
      </c>
      <c r="C57" s="1" t="s">
        <v>95</v>
      </c>
      <c r="D57" s="1" t="s">
        <v>96</v>
      </c>
      <c r="E57" s="7">
        <v>5467</v>
      </c>
    </row>
    <row r="58" spans="1:5" x14ac:dyDescent="0.25">
      <c r="A58" s="5" t="s">
        <v>6</v>
      </c>
      <c r="B58" s="5" t="s">
        <v>97</v>
      </c>
      <c r="C58" s="1" t="s">
        <v>98</v>
      </c>
      <c r="D58" s="1" t="s">
        <v>99</v>
      </c>
      <c r="E58" s="7">
        <v>12509</v>
      </c>
    </row>
    <row r="59" spans="1:5" x14ac:dyDescent="0.25">
      <c r="A59" s="5" t="s">
        <v>6</v>
      </c>
      <c r="B59" s="5" t="s">
        <v>100</v>
      </c>
      <c r="C59" s="1" t="s">
        <v>101</v>
      </c>
      <c r="D59" s="1" t="s">
        <v>102</v>
      </c>
      <c r="E59" s="7">
        <v>5886</v>
      </c>
    </row>
    <row r="60" spans="1:5" x14ac:dyDescent="0.25">
      <c r="A60" s="5" t="s">
        <v>6</v>
      </c>
      <c r="B60" s="5" t="s">
        <v>103</v>
      </c>
      <c r="C60" s="1" t="s">
        <v>104</v>
      </c>
      <c r="D60" s="1" t="s">
        <v>105</v>
      </c>
      <c r="E60" s="7">
        <v>11518</v>
      </c>
    </row>
    <row r="61" spans="1:5" x14ac:dyDescent="0.25">
      <c r="A61" s="5" t="s">
        <v>6</v>
      </c>
      <c r="B61" s="5" t="s">
        <v>106</v>
      </c>
      <c r="C61" s="1" t="s">
        <v>107</v>
      </c>
      <c r="D61" s="1" t="s">
        <v>105</v>
      </c>
      <c r="E61" s="7">
        <v>5377</v>
      </c>
    </row>
    <row r="62" spans="1:5" x14ac:dyDescent="0.25">
      <c r="A62" s="5" t="s">
        <v>6</v>
      </c>
      <c r="B62" s="5" t="s">
        <v>108</v>
      </c>
      <c r="C62" s="1" t="s">
        <v>109</v>
      </c>
      <c r="D62" s="1" t="s">
        <v>110</v>
      </c>
      <c r="E62" s="7">
        <v>11935</v>
      </c>
    </row>
    <row r="63" spans="1:5" x14ac:dyDescent="0.25">
      <c r="A63" s="5" t="s">
        <v>6</v>
      </c>
      <c r="B63" s="5" t="s">
        <v>111</v>
      </c>
      <c r="C63" s="1" t="s">
        <v>112</v>
      </c>
      <c r="D63" s="1" t="s">
        <v>110</v>
      </c>
      <c r="E63" s="7">
        <v>5595</v>
      </c>
    </row>
    <row r="64" spans="1:5" x14ac:dyDescent="0.25">
      <c r="A64" s="5" t="s">
        <v>6</v>
      </c>
      <c r="B64" s="5" t="s">
        <v>113</v>
      </c>
      <c r="C64" s="1" t="s">
        <v>114</v>
      </c>
      <c r="D64" s="1" t="s">
        <v>115</v>
      </c>
      <c r="E64" s="7">
        <v>13987</v>
      </c>
    </row>
    <row r="65" spans="1:5" x14ac:dyDescent="0.25">
      <c r="A65" s="5" t="s">
        <v>6</v>
      </c>
      <c r="B65" s="5" t="s">
        <v>116</v>
      </c>
      <c r="C65" s="1" t="s">
        <v>117</v>
      </c>
      <c r="D65" s="1" t="s">
        <v>115</v>
      </c>
      <c r="E65" s="7">
        <v>6582</v>
      </c>
    </row>
    <row r="66" spans="1:5" x14ac:dyDescent="0.25">
      <c r="A66" s="5" t="s">
        <v>6</v>
      </c>
      <c r="B66" s="5" t="s">
        <v>118</v>
      </c>
      <c r="C66" s="1" t="s">
        <v>119</v>
      </c>
      <c r="D66" s="1" t="s">
        <v>120</v>
      </c>
      <c r="E66" s="7">
        <v>11518</v>
      </c>
    </row>
    <row r="67" spans="1:5" x14ac:dyDescent="0.25">
      <c r="A67" s="5" t="s">
        <v>6</v>
      </c>
      <c r="B67" s="5" t="s">
        <v>121</v>
      </c>
      <c r="C67" s="1" t="s">
        <v>122</v>
      </c>
      <c r="D67" s="1" t="s">
        <v>120</v>
      </c>
      <c r="E67" s="7">
        <v>5377</v>
      </c>
    </row>
    <row r="68" spans="1:5" x14ac:dyDescent="0.25">
      <c r="A68" s="5" t="s">
        <v>6</v>
      </c>
      <c r="B68" s="5" t="s">
        <v>123</v>
      </c>
      <c r="C68" s="1" t="s">
        <v>124</v>
      </c>
      <c r="D68" s="1" t="s">
        <v>125</v>
      </c>
      <c r="E68" s="7">
        <v>11701</v>
      </c>
    </row>
    <row r="69" spans="1:5" x14ac:dyDescent="0.25">
      <c r="A69" s="5" t="s">
        <v>6</v>
      </c>
      <c r="B69" s="5" t="s">
        <v>126</v>
      </c>
      <c r="C69" s="1" t="s">
        <v>127</v>
      </c>
      <c r="D69" s="1" t="s">
        <v>125</v>
      </c>
      <c r="E69" s="7">
        <v>5467</v>
      </c>
    </row>
    <row r="70" spans="1:5" x14ac:dyDescent="0.25">
      <c r="A70" s="5" t="s">
        <v>6</v>
      </c>
      <c r="B70" s="5" t="s">
        <v>128</v>
      </c>
      <c r="C70" s="1" t="s">
        <v>129</v>
      </c>
      <c r="D70" s="1" t="s">
        <v>130</v>
      </c>
      <c r="E70" s="7">
        <v>12509</v>
      </c>
    </row>
    <row r="71" spans="1:5" x14ac:dyDescent="0.25">
      <c r="A71" s="5" t="s">
        <v>6</v>
      </c>
      <c r="B71" s="5" t="s">
        <v>131</v>
      </c>
      <c r="C71" s="1" t="s">
        <v>132</v>
      </c>
      <c r="D71" s="1" t="s">
        <v>130</v>
      </c>
      <c r="E71" s="7">
        <v>5886</v>
      </c>
    </row>
    <row r="72" spans="1:5" x14ac:dyDescent="0.25">
      <c r="A72" s="5" t="s">
        <v>6</v>
      </c>
      <c r="B72" s="5" t="s">
        <v>133</v>
      </c>
      <c r="C72" s="1" t="s">
        <v>134</v>
      </c>
      <c r="D72" s="1" t="s">
        <v>135</v>
      </c>
      <c r="E72" s="7">
        <v>956</v>
      </c>
    </row>
    <row r="73" spans="1:5" x14ac:dyDescent="0.25">
      <c r="A73" s="5" t="s">
        <v>6</v>
      </c>
      <c r="B73" s="5" t="s">
        <v>136</v>
      </c>
      <c r="C73" s="1" t="s">
        <v>137</v>
      </c>
      <c r="D73" s="1" t="s">
        <v>138</v>
      </c>
      <c r="E73" s="7">
        <v>1037</v>
      </c>
    </row>
    <row r="74" spans="1:5" x14ac:dyDescent="0.25">
      <c r="A74" s="5" t="s">
        <v>6</v>
      </c>
      <c r="B74" s="5" t="s">
        <v>139</v>
      </c>
      <c r="C74" s="1" t="s">
        <v>140</v>
      </c>
      <c r="D74" s="1" t="s">
        <v>140</v>
      </c>
      <c r="E74" s="7">
        <v>1037</v>
      </c>
    </row>
    <row r="75" spans="1:5" x14ac:dyDescent="0.25">
      <c r="A75" s="5" t="s">
        <v>6</v>
      </c>
      <c r="B75" s="5" t="s">
        <v>141</v>
      </c>
      <c r="C75" s="1" t="s">
        <v>142</v>
      </c>
      <c r="D75" s="1" t="s">
        <v>143</v>
      </c>
      <c r="E75" s="7">
        <v>1037</v>
      </c>
    </row>
    <row r="76" spans="1:5" x14ac:dyDescent="0.25">
      <c r="A76" s="5" t="s">
        <v>6</v>
      </c>
      <c r="B76" s="5" t="s">
        <v>144</v>
      </c>
      <c r="C76" s="1" t="s">
        <v>145</v>
      </c>
      <c r="D76" s="1" t="s">
        <v>146</v>
      </c>
      <c r="E76" s="7">
        <v>1223</v>
      </c>
    </row>
    <row r="77" spans="1:5" x14ac:dyDescent="0.25">
      <c r="A77" s="5" t="s">
        <v>6</v>
      </c>
      <c r="B77" s="5" t="s">
        <v>147</v>
      </c>
      <c r="C77" s="1" t="s">
        <v>148</v>
      </c>
      <c r="D77" s="1" t="s">
        <v>149</v>
      </c>
      <c r="E77" s="7">
        <v>767</v>
      </c>
    </row>
    <row r="78" spans="1:5" x14ac:dyDescent="0.25">
      <c r="A78" s="5" t="s">
        <v>6</v>
      </c>
      <c r="B78" s="5" t="s">
        <v>150</v>
      </c>
      <c r="C78" s="1" t="s">
        <v>151</v>
      </c>
      <c r="D78" s="1" t="s">
        <v>152</v>
      </c>
      <c r="E78" s="7">
        <v>1163</v>
      </c>
    </row>
    <row r="79" spans="1:5" x14ac:dyDescent="0.25">
      <c r="A79" s="5" t="s">
        <v>6</v>
      </c>
      <c r="B79" s="5" t="s">
        <v>153</v>
      </c>
      <c r="C79" s="1" t="s">
        <v>154</v>
      </c>
      <c r="D79" s="1" t="s">
        <v>155</v>
      </c>
      <c r="E79" s="7">
        <v>1067</v>
      </c>
    </row>
    <row r="80" spans="1:5" x14ac:dyDescent="0.25">
      <c r="A80" s="5" t="s">
        <v>6</v>
      </c>
      <c r="B80" s="5" t="s">
        <v>156</v>
      </c>
      <c r="C80" s="1" t="s">
        <v>157</v>
      </c>
      <c r="D80" s="1" t="s">
        <v>158</v>
      </c>
      <c r="E80" s="7">
        <v>1177</v>
      </c>
    </row>
    <row r="81" spans="1:5" x14ac:dyDescent="0.25">
      <c r="A81" s="5" t="s">
        <v>6</v>
      </c>
      <c r="B81" s="5" t="s">
        <v>159</v>
      </c>
      <c r="C81" s="1" t="s">
        <v>160</v>
      </c>
      <c r="D81" s="1" t="s">
        <v>161</v>
      </c>
      <c r="E81" s="7">
        <v>1113</v>
      </c>
    </row>
    <row r="82" spans="1:5" x14ac:dyDescent="0.25">
      <c r="A82" s="5" t="s">
        <v>6</v>
      </c>
      <c r="B82" s="5" t="s">
        <v>162</v>
      </c>
      <c r="C82" s="1" t="s">
        <v>163</v>
      </c>
      <c r="D82" s="1" t="s">
        <v>164</v>
      </c>
      <c r="E82" s="7">
        <v>785</v>
      </c>
    </row>
    <row r="83" spans="1:5" x14ac:dyDescent="0.25">
      <c r="A83" s="5" t="s">
        <v>6</v>
      </c>
      <c r="B83" s="5" t="s">
        <v>165</v>
      </c>
      <c r="C83" s="1" t="s">
        <v>166</v>
      </c>
      <c r="D83" s="1" t="s">
        <v>167</v>
      </c>
      <c r="E83" s="7">
        <v>3721</v>
      </c>
    </row>
    <row r="84" spans="1:5" x14ac:dyDescent="0.25">
      <c r="A84" s="5" t="s">
        <v>6</v>
      </c>
      <c r="B84" s="5" t="s">
        <v>168</v>
      </c>
      <c r="C84" s="1" t="s">
        <v>169</v>
      </c>
      <c r="D84" s="1" t="s">
        <v>170</v>
      </c>
      <c r="E84" s="7">
        <v>1615</v>
      </c>
    </row>
    <row r="85" spans="1:5" x14ac:dyDescent="0.25">
      <c r="A85" s="5" t="s">
        <v>6</v>
      </c>
      <c r="B85" s="5" t="s">
        <v>171</v>
      </c>
      <c r="C85" s="1" t="s">
        <v>172</v>
      </c>
      <c r="D85" s="1" t="s">
        <v>173</v>
      </c>
      <c r="E85" s="7">
        <v>96</v>
      </c>
    </row>
    <row r="86" spans="1:5" x14ac:dyDescent="0.25">
      <c r="A86" s="5" t="s">
        <v>6</v>
      </c>
      <c r="B86" s="5" t="s">
        <v>174</v>
      </c>
      <c r="C86" s="1" t="s">
        <v>175</v>
      </c>
      <c r="D86" s="1" t="s">
        <v>176</v>
      </c>
      <c r="E86" s="7">
        <v>314</v>
      </c>
    </row>
    <row r="87" spans="1:5" x14ac:dyDescent="0.25">
      <c r="A87" s="5" t="s">
        <v>6</v>
      </c>
      <c r="B87" s="5" t="s">
        <v>177</v>
      </c>
      <c r="C87" s="1" t="s">
        <v>178</v>
      </c>
      <c r="D87" s="1" t="s">
        <v>179</v>
      </c>
      <c r="E87" s="7">
        <v>1585</v>
      </c>
    </row>
    <row r="88" spans="1:5" x14ac:dyDescent="0.25">
      <c r="A88" s="5" t="s">
        <v>6</v>
      </c>
      <c r="B88" s="5" t="s">
        <v>180</v>
      </c>
      <c r="C88" s="1" t="s">
        <v>181</v>
      </c>
      <c r="D88" s="1" t="s">
        <v>182</v>
      </c>
      <c r="E88" s="7">
        <v>1585</v>
      </c>
    </row>
    <row r="89" spans="1:5" x14ac:dyDescent="0.25">
      <c r="A89" s="5" t="s">
        <v>6</v>
      </c>
      <c r="B89" s="5" t="s">
        <v>183</v>
      </c>
      <c r="C89" s="1" t="s">
        <v>184</v>
      </c>
      <c r="D89" s="1" t="s">
        <v>185</v>
      </c>
      <c r="E89" s="7">
        <v>785</v>
      </c>
    </row>
    <row r="90" spans="1:5" x14ac:dyDescent="0.25">
      <c r="A90" s="5" t="s">
        <v>6</v>
      </c>
      <c r="B90" s="5" t="s">
        <v>186</v>
      </c>
      <c r="C90" s="1" t="s">
        <v>187</v>
      </c>
      <c r="D90" s="1" t="s">
        <v>188</v>
      </c>
      <c r="E90" s="7">
        <v>540</v>
      </c>
    </row>
    <row r="91" spans="1:5" x14ac:dyDescent="0.25">
      <c r="A91" s="5" t="s">
        <v>6</v>
      </c>
      <c r="B91" s="5" t="s">
        <v>189</v>
      </c>
      <c r="C91" s="1" t="s">
        <v>190</v>
      </c>
      <c r="D91" s="1" t="s">
        <v>191</v>
      </c>
      <c r="E91" s="7">
        <v>654</v>
      </c>
    </row>
    <row r="92" spans="1:5" x14ac:dyDescent="0.25">
      <c r="A92" s="5" t="s">
        <v>6</v>
      </c>
      <c r="B92" s="5" t="s">
        <v>192</v>
      </c>
      <c r="C92" s="1" t="s">
        <v>193</v>
      </c>
      <c r="D92" s="1" t="s">
        <v>194</v>
      </c>
      <c r="E92" s="7">
        <v>765</v>
      </c>
    </row>
    <row r="93" spans="1:5" x14ac:dyDescent="0.25">
      <c r="A93" s="5" t="s">
        <v>6</v>
      </c>
      <c r="B93" s="5" t="s">
        <v>195</v>
      </c>
      <c r="C93" s="1" t="s">
        <v>196</v>
      </c>
      <c r="D93" s="1" t="s">
        <v>197</v>
      </c>
      <c r="E93" s="7">
        <v>401</v>
      </c>
    </row>
    <row r="94" spans="1:5" x14ac:dyDescent="0.25">
      <c r="A94" s="5" t="s">
        <v>6</v>
      </c>
      <c r="B94" s="5" t="s">
        <v>198</v>
      </c>
      <c r="C94" s="1" t="s">
        <v>199</v>
      </c>
      <c r="D94" s="1" t="s">
        <v>200</v>
      </c>
      <c r="E94" s="7">
        <v>3572</v>
      </c>
    </row>
    <row r="95" spans="1:5" x14ac:dyDescent="0.25">
      <c r="A95" s="5" t="s">
        <v>6</v>
      </c>
      <c r="B95" s="5" t="s">
        <v>201</v>
      </c>
      <c r="C95" s="1" t="s">
        <v>202</v>
      </c>
      <c r="D95" s="1" t="s">
        <v>203</v>
      </c>
      <c r="E95" s="7">
        <v>3555</v>
      </c>
    </row>
    <row r="96" spans="1:5" x14ac:dyDescent="0.25">
      <c r="A96" s="5" t="s">
        <v>6</v>
      </c>
      <c r="B96" s="5" t="s">
        <v>204</v>
      </c>
      <c r="C96" s="1" t="s">
        <v>205</v>
      </c>
      <c r="D96" s="1" t="s">
        <v>206</v>
      </c>
      <c r="E96" s="7">
        <v>1448</v>
      </c>
    </row>
    <row r="97" spans="1:5" x14ac:dyDescent="0.25">
      <c r="A97" s="5" t="s">
        <v>6</v>
      </c>
      <c r="B97" s="5" t="s">
        <v>207</v>
      </c>
      <c r="C97" s="1" t="s">
        <v>77</v>
      </c>
      <c r="D97" s="1" t="s">
        <v>78</v>
      </c>
      <c r="E97" s="7">
        <v>2429</v>
      </c>
    </row>
    <row r="98" spans="1:5" x14ac:dyDescent="0.25">
      <c r="A98" s="5" t="s">
        <v>6</v>
      </c>
      <c r="B98" s="5" t="s">
        <v>208</v>
      </c>
      <c r="C98" s="1" t="s">
        <v>209</v>
      </c>
      <c r="D98" s="1" t="s">
        <v>210</v>
      </c>
      <c r="E98" s="7">
        <v>15926</v>
      </c>
    </row>
    <row r="99" spans="1:5" x14ac:dyDescent="0.25">
      <c r="A99" s="5" t="s">
        <v>6</v>
      </c>
      <c r="B99" s="5" t="s">
        <v>211</v>
      </c>
      <c r="C99" s="1" t="s">
        <v>212</v>
      </c>
      <c r="D99" s="1" t="s">
        <v>213</v>
      </c>
      <c r="E99" s="7">
        <v>7495</v>
      </c>
    </row>
    <row r="100" spans="1:5" x14ac:dyDescent="0.25">
      <c r="A100" s="5" t="s">
        <v>6</v>
      </c>
      <c r="B100" s="5" t="s">
        <v>214</v>
      </c>
      <c r="C100" s="1" t="s">
        <v>187</v>
      </c>
      <c r="D100" s="1" t="s">
        <v>215</v>
      </c>
      <c r="E100" s="7">
        <v>534</v>
      </c>
    </row>
    <row r="101" spans="1:5" x14ac:dyDescent="0.25">
      <c r="A101" s="5" t="s">
        <v>6</v>
      </c>
      <c r="B101" s="5" t="s">
        <v>216</v>
      </c>
      <c r="C101" s="1" t="s">
        <v>190</v>
      </c>
      <c r="D101" s="1" t="s">
        <v>191</v>
      </c>
      <c r="E101" s="7">
        <v>954</v>
      </c>
    </row>
    <row r="102" spans="1:5" x14ac:dyDescent="0.25">
      <c r="A102" s="5" t="s">
        <v>6</v>
      </c>
      <c r="B102" s="5" t="s">
        <v>217</v>
      </c>
      <c r="C102" s="1" t="s">
        <v>218</v>
      </c>
      <c r="D102" s="1" t="s">
        <v>219</v>
      </c>
      <c r="E102" s="7">
        <v>1860</v>
      </c>
    </row>
    <row r="103" spans="1:5" x14ac:dyDescent="0.25">
      <c r="A103" s="5" t="s">
        <v>6</v>
      </c>
      <c r="B103" s="5" t="s">
        <v>220</v>
      </c>
      <c r="C103" s="1" t="s">
        <v>221</v>
      </c>
      <c r="D103" s="1" t="s">
        <v>222</v>
      </c>
      <c r="E103" s="7">
        <v>1860</v>
      </c>
    </row>
    <row r="104" spans="1:5" x14ac:dyDescent="0.25">
      <c r="A104" s="5" t="s">
        <v>6</v>
      </c>
      <c r="B104" s="5" t="s">
        <v>223</v>
      </c>
      <c r="C104" s="1" t="s">
        <v>224</v>
      </c>
      <c r="D104" s="1" t="s">
        <v>225</v>
      </c>
      <c r="E104" s="7">
        <v>464</v>
      </c>
    </row>
    <row r="105" spans="1:5" x14ac:dyDescent="0.25">
      <c r="A105" s="5" t="s">
        <v>6</v>
      </c>
      <c r="B105" s="5" t="s">
        <v>226</v>
      </c>
      <c r="C105" s="1" t="s">
        <v>227</v>
      </c>
      <c r="D105" s="1" t="s">
        <v>228</v>
      </c>
      <c r="E105" s="7">
        <v>444</v>
      </c>
    </row>
    <row r="106" spans="1:5" x14ac:dyDescent="0.25">
      <c r="A106" s="5" t="s">
        <v>6</v>
      </c>
      <c r="B106" s="5" t="s">
        <v>229</v>
      </c>
      <c r="C106" s="1" t="s">
        <v>230</v>
      </c>
      <c r="D106" s="1" t="s">
        <v>231</v>
      </c>
      <c r="E106" s="7">
        <v>464</v>
      </c>
    </row>
    <row r="107" spans="1:5" x14ac:dyDescent="0.25">
      <c r="A107" s="5" t="s">
        <v>6</v>
      </c>
      <c r="B107" s="5" t="s">
        <v>232</v>
      </c>
      <c r="C107" s="1" t="s">
        <v>233</v>
      </c>
      <c r="D107" s="1" t="s">
        <v>234</v>
      </c>
      <c r="E107" s="7">
        <v>1322</v>
      </c>
    </row>
    <row r="108" spans="1:5" x14ac:dyDescent="0.25">
      <c r="A108" s="5" t="s">
        <v>6</v>
      </c>
      <c r="B108" s="5" t="s">
        <v>235</v>
      </c>
      <c r="C108" s="1" t="s">
        <v>236</v>
      </c>
      <c r="D108" s="1" t="s">
        <v>237</v>
      </c>
      <c r="E108" s="7">
        <v>464</v>
      </c>
    </row>
    <row r="109" spans="1:5" x14ac:dyDescent="0.25">
      <c r="A109" s="5" t="s">
        <v>6</v>
      </c>
      <c r="B109" s="5" t="s">
        <v>238</v>
      </c>
      <c r="C109" s="1" t="s">
        <v>239</v>
      </c>
      <c r="D109" s="1" t="s">
        <v>240</v>
      </c>
      <c r="E109" s="7">
        <v>3527</v>
      </c>
    </row>
    <row r="110" spans="1:5" x14ac:dyDescent="0.25">
      <c r="A110" s="5" t="s">
        <v>6</v>
      </c>
      <c r="B110" s="5" t="s">
        <v>241</v>
      </c>
      <c r="C110" s="1" t="s">
        <v>242</v>
      </c>
      <c r="D110" s="1" t="s">
        <v>243</v>
      </c>
      <c r="E110" s="7">
        <v>1425</v>
      </c>
    </row>
    <row r="111" spans="1:5" x14ac:dyDescent="0.25">
      <c r="A111" s="5" t="s">
        <v>6</v>
      </c>
      <c r="B111" s="5" t="s">
        <v>244</v>
      </c>
      <c r="C111" s="1" t="s">
        <v>245</v>
      </c>
      <c r="D111" s="1" t="s">
        <v>246</v>
      </c>
      <c r="E111" s="7">
        <v>485</v>
      </c>
    </row>
    <row r="112" spans="1:5" x14ac:dyDescent="0.25">
      <c r="A112" s="5" t="s">
        <v>6</v>
      </c>
      <c r="B112" s="5" t="s">
        <v>247</v>
      </c>
      <c r="C112" s="1" t="s">
        <v>248</v>
      </c>
      <c r="D112" s="1" t="s">
        <v>249</v>
      </c>
      <c r="E112" s="7">
        <v>417</v>
      </c>
    </row>
    <row r="113" spans="1:5" x14ac:dyDescent="0.25">
      <c r="A113" s="5" t="s">
        <v>6</v>
      </c>
      <c r="B113" s="5" t="s">
        <v>250</v>
      </c>
      <c r="C113" s="1" t="s">
        <v>251</v>
      </c>
      <c r="D113" s="1" t="s">
        <v>252</v>
      </c>
      <c r="E113" s="7">
        <v>142294</v>
      </c>
    </row>
    <row r="114" spans="1:5" x14ac:dyDescent="0.25">
      <c r="A114" s="5" t="s">
        <v>6</v>
      </c>
      <c r="B114" s="5" t="s">
        <v>253</v>
      </c>
      <c r="C114" s="1" t="s">
        <v>254</v>
      </c>
      <c r="D114" s="1" t="s">
        <v>255</v>
      </c>
      <c r="E114" s="7">
        <v>142294</v>
      </c>
    </row>
    <row r="115" spans="1:5" x14ac:dyDescent="0.25">
      <c r="A115" s="5" t="s">
        <v>6</v>
      </c>
      <c r="B115" s="5" t="s">
        <v>256</v>
      </c>
      <c r="C115" s="1" t="s">
        <v>257</v>
      </c>
      <c r="D115" s="1" t="s">
        <v>258</v>
      </c>
      <c r="E115" s="7">
        <v>103041</v>
      </c>
    </row>
    <row r="116" spans="1:5" x14ac:dyDescent="0.25">
      <c r="A116" s="5" t="s">
        <v>6</v>
      </c>
      <c r="B116" s="5" t="s">
        <v>259</v>
      </c>
      <c r="C116" s="1" t="s">
        <v>260</v>
      </c>
      <c r="D116" s="1" t="s">
        <v>261</v>
      </c>
      <c r="E116" s="7">
        <v>230791</v>
      </c>
    </row>
    <row r="117" spans="1:5" x14ac:dyDescent="0.25">
      <c r="A117" s="5" t="s">
        <v>6</v>
      </c>
      <c r="B117" s="5" t="s">
        <v>262</v>
      </c>
      <c r="C117" s="1" t="s">
        <v>263</v>
      </c>
      <c r="D117" s="1" t="s">
        <v>261</v>
      </c>
      <c r="E117" s="7">
        <v>277797</v>
      </c>
    </row>
    <row r="118" spans="1:5" x14ac:dyDescent="0.25">
      <c r="A118" s="5" t="s">
        <v>6</v>
      </c>
      <c r="B118" s="5" t="s">
        <v>264</v>
      </c>
      <c r="C118" s="1" t="s">
        <v>265</v>
      </c>
      <c r="D118" s="1" t="s">
        <v>261</v>
      </c>
      <c r="E118" s="7">
        <v>279676</v>
      </c>
    </row>
    <row r="119" spans="1:5" x14ac:dyDescent="0.25">
      <c r="A119" s="5" t="s">
        <v>6</v>
      </c>
      <c r="B119" s="5" t="s">
        <v>266</v>
      </c>
      <c r="C119" s="1" t="s">
        <v>267</v>
      </c>
      <c r="D119" s="1" t="s">
        <v>268</v>
      </c>
      <c r="E119" s="7">
        <v>174219</v>
      </c>
    </row>
    <row r="120" spans="1:5" x14ac:dyDescent="0.25">
      <c r="A120" s="5" t="s">
        <v>6</v>
      </c>
      <c r="B120" s="5" t="s">
        <v>269</v>
      </c>
      <c r="C120" s="1" t="s">
        <v>270</v>
      </c>
      <c r="D120" s="1" t="s">
        <v>271</v>
      </c>
      <c r="E120" s="7">
        <v>260793</v>
      </c>
    </row>
    <row r="121" spans="1:5" x14ac:dyDescent="0.25">
      <c r="A121" s="5" t="s">
        <v>6</v>
      </c>
      <c r="B121" s="5" t="s">
        <v>272</v>
      </c>
      <c r="C121" s="1" t="s">
        <v>273</v>
      </c>
      <c r="D121" s="1" t="s">
        <v>274</v>
      </c>
      <c r="E121" s="7">
        <v>224652</v>
      </c>
    </row>
    <row r="122" spans="1:5" x14ac:dyDescent="0.25">
      <c r="A122" s="5" t="s">
        <v>6</v>
      </c>
      <c r="B122" s="5" t="s">
        <v>275</v>
      </c>
      <c r="C122" s="1" t="s">
        <v>276</v>
      </c>
      <c r="D122" s="1" t="s">
        <v>271</v>
      </c>
      <c r="E122" s="7">
        <v>246032</v>
      </c>
    </row>
    <row r="123" spans="1:5" x14ac:dyDescent="0.25">
      <c r="A123" s="5" t="s">
        <v>6</v>
      </c>
      <c r="B123" s="5" t="s">
        <v>277</v>
      </c>
      <c r="C123" s="1" t="s">
        <v>278</v>
      </c>
      <c r="D123" s="1" t="s">
        <v>279</v>
      </c>
      <c r="E123" s="7">
        <v>164254</v>
      </c>
    </row>
    <row r="124" spans="1:5" x14ac:dyDescent="0.25">
      <c r="A124" s="5" t="s">
        <v>6</v>
      </c>
      <c r="B124" s="5" t="s">
        <v>280</v>
      </c>
      <c r="C124" s="1" t="s">
        <v>281</v>
      </c>
      <c r="D124" s="1" t="s">
        <v>282</v>
      </c>
      <c r="E124" s="7">
        <v>177711</v>
      </c>
    </row>
    <row r="125" spans="1:5" x14ac:dyDescent="0.25">
      <c r="A125" s="5" t="s">
        <v>6</v>
      </c>
      <c r="B125" s="5" t="s">
        <v>283</v>
      </c>
      <c r="C125" s="1" t="s">
        <v>284</v>
      </c>
      <c r="D125" s="1" t="s">
        <v>285</v>
      </c>
      <c r="E125" s="7">
        <v>137404</v>
      </c>
    </row>
    <row r="126" spans="1:5" x14ac:dyDescent="0.25">
      <c r="A126" s="5" t="s">
        <v>6</v>
      </c>
      <c r="B126" s="5" t="s">
        <v>286</v>
      </c>
      <c r="C126" s="1" t="s">
        <v>287</v>
      </c>
      <c r="D126" s="1" t="s">
        <v>288</v>
      </c>
      <c r="E126" s="7">
        <v>174219</v>
      </c>
    </row>
    <row r="127" spans="1:5" x14ac:dyDescent="0.25">
      <c r="A127" s="5" t="s">
        <v>6</v>
      </c>
      <c r="B127" s="5" t="s">
        <v>289</v>
      </c>
      <c r="C127" s="1" t="s">
        <v>290</v>
      </c>
      <c r="D127" s="1" t="s">
        <v>291</v>
      </c>
      <c r="E127" s="7">
        <v>201527</v>
      </c>
    </row>
    <row r="128" spans="1:5" x14ac:dyDescent="0.25">
      <c r="A128" s="5" t="s">
        <v>6</v>
      </c>
      <c r="B128" s="5" t="s">
        <v>292</v>
      </c>
      <c r="C128" s="1" t="s">
        <v>293</v>
      </c>
      <c r="D128" s="1" t="s">
        <v>293</v>
      </c>
      <c r="E128" s="7">
        <v>205399</v>
      </c>
    </row>
    <row r="129" spans="1:5" x14ac:dyDescent="0.25">
      <c r="A129" s="5" t="s">
        <v>6</v>
      </c>
      <c r="B129" s="5" t="s">
        <v>294</v>
      </c>
      <c r="C129" s="1" t="s">
        <v>295</v>
      </c>
      <c r="D129" s="1" t="s">
        <v>296</v>
      </c>
      <c r="E129" s="7">
        <v>202647</v>
      </c>
    </row>
    <row r="130" spans="1:5" x14ac:dyDescent="0.25">
      <c r="A130" s="5" t="s">
        <v>6</v>
      </c>
      <c r="B130" s="5" t="s">
        <v>297</v>
      </c>
      <c r="C130" s="1" t="s">
        <v>298</v>
      </c>
      <c r="D130" s="1" t="s">
        <v>299</v>
      </c>
      <c r="E130" s="7">
        <v>183389</v>
      </c>
    </row>
    <row r="131" spans="1:5" x14ac:dyDescent="0.25">
      <c r="A131" s="5" t="s">
        <v>6</v>
      </c>
      <c r="B131" s="5" t="s">
        <v>300</v>
      </c>
      <c r="C131" s="1" t="s">
        <v>301</v>
      </c>
      <c r="D131" s="1" t="s">
        <v>302</v>
      </c>
      <c r="E131" s="7">
        <v>94533</v>
      </c>
    </row>
    <row r="132" spans="1:5" x14ac:dyDescent="0.25">
      <c r="A132" s="5" t="s">
        <v>6</v>
      </c>
      <c r="B132" s="5" t="s">
        <v>303</v>
      </c>
      <c r="C132" s="1" t="s">
        <v>304</v>
      </c>
      <c r="D132" s="1" t="s">
        <v>305</v>
      </c>
      <c r="E132" s="7">
        <v>224652</v>
      </c>
    </row>
    <row r="133" spans="1:5" x14ac:dyDescent="0.25">
      <c r="A133" s="5" t="s">
        <v>6</v>
      </c>
      <c r="B133" s="5" t="s">
        <v>306</v>
      </c>
      <c r="C133" s="1" t="s">
        <v>307</v>
      </c>
      <c r="D133" s="1" t="s">
        <v>308</v>
      </c>
      <c r="E133" s="7">
        <v>136713</v>
      </c>
    </row>
    <row r="134" spans="1:5" x14ac:dyDescent="0.25">
      <c r="A134" s="5" t="s">
        <v>6</v>
      </c>
      <c r="B134" s="5" t="s">
        <v>309</v>
      </c>
      <c r="C134" s="1" t="s">
        <v>310</v>
      </c>
      <c r="D134" s="1" t="s">
        <v>311</v>
      </c>
      <c r="E134" s="7">
        <v>136713</v>
      </c>
    </row>
    <row r="135" spans="1:5" x14ac:dyDescent="0.25">
      <c r="A135" s="5" t="s">
        <v>6</v>
      </c>
      <c r="B135" s="5" t="s">
        <v>312</v>
      </c>
      <c r="C135" s="1" t="s">
        <v>313</v>
      </c>
      <c r="D135" s="1" t="s">
        <v>314</v>
      </c>
      <c r="E135" s="7">
        <v>133138</v>
      </c>
    </row>
    <row r="136" spans="1:5" x14ac:dyDescent="0.25">
      <c r="A136" s="5" t="s">
        <v>6</v>
      </c>
      <c r="B136" s="5" t="s">
        <v>315</v>
      </c>
      <c r="C136" s="1" t="s">
        <v>316</v>
      </c>
      <c r="D136" s="1" t="s">
        <v>317</v>
      </c>
      <c r="E136" s="7">
        <v>155883</v>
      </c>
    </row>
    <row r="137" spans="1:5" x14ac:dyDescent="0.25">
      <c r="A137" s="5" t="s">
        <v>6</v>
      </c>
      <c r="B137" s="5" t="s">
        <v>318</v>
      </c>
      <c r="C137" s="1" t="s">
        <v>319</v>
      </c>
      <c r="D137" s="1" t="s">
        <v>320</v>
      </c>
      <c r="E137" s="7">
        <v>191879</v>
      </c>
    </row>
    <row r="138" spans="1:5" x14ac:dyDescent="0.25">
      <c r="A138" s="5" t="s">
        <v>6</v>
      </c>
      <c r="B138" s="5" t="s">
        <v>321</v>
      </c>
      <c r="C138" s="1" t="s">
        <v>322</v>
      </c>
      <c r="D138" s="1" t="s">
        <v>323</v>
      </c>
      <c r="E138" s="7">
        <v>197145</v>
      </c>
    </row>
    <row r="139" spans="1:5" x14ac:dyDescent="0.25">
      <c r="A139" s="5" t="s">
        <v>6</v>
      </c>
      <c r="B139" s="5" t="s">
        <v>324</v>
      </c>
      <c r="C139" s="1" t="s">
        <v>325</v>
      </c>
      <c r="D139" s="1" t="s">
        <v>323</v>
      </c>
      <c r="E139" s="7">
        <v>197145</v>
      </c>
    </row>
    <row r="140" spans="1:5" x14ac:dyDescent="0.25">
      <c r="A140" s="5" t="s">
        <v>6</v>
      </c>
      <c r="B140" s="5" t="s">
        <v>326</v>
      </c>
      <c r="C140" s="1" t="s">
        <v>327</v>
      </c>
      <c r="D140" s="1" t="s">
        <v>328</v>
      </c>
      <c r="E140" s="7">
        <v>186286</v>
      </c>
    </row>
    <row r="141" spans="1:5" x14ac:dyDescent="0.25">
      <c r="A141" s="5" t="s">
        <v>6</v>
      </c>
      <c r="B141" s="5" t="s">
        <v>329</v>
      </c>
      <c r="C141" s="1" t="s">
        <v>330</v>
      </c>
      <c r="D141" s="1" t="s">
        <v>331</v>
      </c>
      <c r="E141" s="7">
        <v>138700</v>
      </c>
    </row>
    <row r="142" spans="1:5" x14ac:dyDescent="0.25">
      <c r="A142" s="5" t="s">
        <v>6</v>
      </c>
      <c r="B142" s="5" t="s">
        <v>332</v>
      </c>
      <c r="C142" s="1" t="s">
        <v>333</v>
      </c>
      <c r="D142" s="1" t="s">
        <v>331</v>
      </c>
      <c r="E142" s="7">
        <v>123414</v>
      </c>
    </row>
    <row r="143" spans="1:5" x14ac:dyDescent="0.25">
      <c r="A143" s="5" t="s">
        <v>6</v>
      </c>
      <c r="B143" s="5" t="s">
        <v>334</v>
      </c>
      <c r="C143" s="1" t="s">
        <v>335</v>
      </c>
      <c r="D143" s="1" t="s">
        <v>331</v>
      </c>
      <c r="E143" s="7">
        <v>138700</v>
      </c>
    </row>
    <row r="144" spans="1:5" x14ac:dyDescent="0.25">
      <c r="A144" s="5" t="s">
        <v>6</v>
      </c>
      <c r="B144" s="5" t="s">
        <v>336</v>
      </c>
      <c r="C144" s="1" t="s">
        <v>337</v>
      </c>
      <c r="D144" s="1" t="s">
        <v>338</v>
      </c>
      <c r="E144" s="7">
        <v>143681</v>
      </c>
    </row>
    <row r="145" spans="1:5" x14ac:dyDescent="0.25">
      <c r="A145" s="5" t="s">
        <v>6</v>
      </c>
      <c r="B145" s="5" t="s">
        <v>339</v>
      </c>
      <c r="C145" s="1" t="s">
        <v>340</v>
      </c>
      <c r="D145" s="1" t="s">
        <v>338</v>
      </c>
      <c r="E145" s="7">
        <v>156533</v>
      </c>
    </row>
    <row r="146" spans="1:5" x14ac:dyDescent="0.25">
      <c r="A146" s="5" t="s">
        <v>6</v>
      </c>
      <c r="B146" s="5" t="s">
        <v>341</v>
      </c>
      <c r="C146" s="1" t="s">
        <v>342</v>
      </c>
      <c r="D146" s="1" t="s">
        <v>343</v>
      </c>
      <c r="E146" s="7">
        <v>120372</v>
      </c>
    </row>
    <row r="147" spans="1:5" x14ac:dyDescent="0.25">
      <c r="A147" s="5" t="s">
        <v>6</v>
      </c>
      <c r="B147" s="5" t="s">
        <v>344</v>
      </c>
      <c r="C147" s="1" t="s">
        <v>345</v>
      </c>
      <c r="D147" s="1" t="s">
        <v>346</v>
      </c>
      <c r="E147" s="7">
        <v>245370</v>
      </c>
    </row>
    <row r="148" spans="1:5" x14ac:dyDescent="0.25">
      <c r="A148" s="5" t="s">
        <v>6</v>
      </c>
      <c r="B148" s="5" t="s">
        <v>347</v>
      </c>
      <c r="C148" s="1" t="s">
        <v>348</v>
      </c>
      <c r="D148" s="1" t="s">
        <v>349</v>
      </c>
      <c r="E148" s="7">
        <v>215181</v>
      </c>
    </row>
    <row r="149" spans="1:5" x14ac:dyDescent="0.25">
      <c r="A149" s="5" t="s">
        <v>6</v>
      </c>
      <c r="B149" s="5" t="s">
        <v>350</v>
      </c>
      <c r="C149" s="1" t="s">
        <v>351</v>
      </c>
      <c r="D149" s="1" t="s">
        <v>346</v>
      </c>
      <c r="E149" s="7">
        <v>238008</v>
      </c>
    </row>
    <row r="150" spans="1:5" x14ac:dyDescent="0.25">
      <c r="A150" s="5" t="s">
        <v>6</v>
      </c>
      <c r="B150" s="5" t="s">
        <v>352</v>
      </c>
      <c r="C150" s="1" t="s">
        <v>353</v>
      </c>
      <c r="D150" s="1" t="s">
        <v>354</v>
      </c>
      <c r="E150" s="7">
        <v>203633</v>
      </c>
    </row>
    <row r="151" spans="1:5" x14ac:dyDescent="0.25">
      <c r="A151" s="5" t="s">
        <v>6</v>
      </c>
      <c r="B151" s="5" t="s">
        <v>355</v>
      </c>
      <c r="C151" s="1" t="s">
        <v>356</v>
      </c>
      <c r="D151" s="1" t="s">
        <v>357</v>
      </c>
      <c r="E151" s="7">
        <v>141268</v>
      </c>
    </row>
    <row r="152" spans="1:5" x14ac:dyDescent="0.25">
      <c r="A152" s="5" t="s">
        <v>6</v>
      </c>
      <c r="B152" s="5" t="s">
        <v>358</v>
      </c>
      <c r="C152" s="1" t="s">
        <v>359</v>
      </c>
      <c r="D152" s="1" t="s">
        <v>360</v>
      </c>
      <c r="E152" s="7">
        <v>119377</v>
      </c>
    </row>
    <row r="153" spans="1:5" x14ac:dyDescent="0.25">
      <c r="A153" s="5" t="s">
        <v>6</v>
      </c>
      <c r="B153" s="5" t="s">
        <v>361</v>
      </c>
      <c r="C153" s="1" t="s">
        <v>362</v>
      </c>
      <c r="D153" s="1" t="s">
        <v>354</v>
      </c>
      <c r="E153" s="7">
        <v>219848</v>
      </c>
    </row>
    <row r="154" spans="1:5" x14ac:dyDescent="0.25">
      <c r="A154" s="5" t="s">
        <v>6</v>
      </c>
      <c r="B154" s="5" t="s">
        <v>363</v>
      </c>
      <c r="C154" s="1" t="s">
        <v>364</v>
      </c>
      <c r="D154" s="1" t="s">
        <v>360</v>
      </c>
      <c r="E154" s="7">
        <v>201727</v>
      </c>
    </row>
    <row r="155" spans="1:5" x14ac:dyDescent="0.25">
      <c r="A155" s="5" t="s">
        <v>6</v>
      </c>
      <c r="B155" s="5" t="s">
        <v>365</v>
      </c>
      <c r="C155" s="1" t="s">
        <v>366</v>
      </c>
      <c r="D155" s="1" t="s">
        <v>367</v>
      </c>
      <c r="E155" s="7">
        <v>150800</v>
      </c>
    </row>
    <row r="156" spans="1:5" x14ac:dyDescent="0.25">
      <c r="A156" s="5" t="s">
        <v>6</v>
      </c>
      <c r="B156" s="5" t="s">
        <v>368</v>
      </c>
      <c r="C156" s="1" t="s">
        <v>369</v>
      </c>
      <c r="D156" s="1" t="s">
        <v>370</v>
      </c>
      <c r="E156" s="7">
        <v>197495</v>
      </c>
    </row>
    <row r="157" spans="1:5" x14ac:dyDescent="0.25">
      <c r="A157" s="5" t="s">
        <v>6</v>
      </c>
      <c r="B157" s="5" t="s">
        <v>371</v>
      </c>
      <c r="C157" s="1" t="s">
        <v>372</v>
      </c>
      <c r="D157" s="1" t="s">
        <v>373</v>
      </c>
      <c r="E157" s="7">
        <v>201641</v>
      </c>
    </row>
    <row r="158" spans="1:5" x14ac:dyDescent="0.25">
      <c r="A158" s="5" t="s">
        <v>6</v>
      </c>
      <c r="B158" s="5" t="s">
        <v>374</v>
      </c>
      <c r="C158" s="1" t="s">
        <v>375</v>
      </c>
      <c r="D158" s="1" t="s">
        <v>376</v>
      </c>
      <c r="E158" s="7">
        <v>222871</v>
      </c>
    </row>
    <row r="159" spans="1:5" x14ac:dyDescent="0.25">
      <c r="A159" s="5" t="s">
        <v>6</v>
      </c>
      <c r="B159" s="5" t="s">
        <v>377</v>
      </c>
      <c r="C159" s="1" t="s">
        <v>378</v>
      </c>
      <c r="D159" s="1" t="s">
        <v>379</v>
      </c>
      <c r="E159" s="7">
        <v>181842</v>
      </c>
    </row>
    <row r="160" spans="1:5" x14ac:dyDescent="0.25">
      <c r="A160" s="5" t="s">
        <v>6</v>
      </c>
      <c r="B160" s="5" t="s">
        <v>380</v>
      </c>
      <c r="C160" s="1" t="s">
        <v>381</v>
      </c>
      <c r="D160" s="1" t="s">
        <v>379</v>
      </c>
      <c r="E160" s="7">
        <v>167120</v>
      </c>
    </row>
    <row r="161" spans="1:5" x14ac:dyDescent="0.25">
      <c r="A161" s="5" t="s">
        <v>6</v>
      </c>
      <c r="B161" s="5" t="s">
        <v>382</v>
      </c>
      <c r="C161" s="1" t="s">
        <v>383</v>
      </c>
      <c r="D161" s="1" t="s">
        <v>379</v>
      </c>
      <c r="E161" s="7">
        <v>149089</v>
      </c>
    </row>
    <row r="162" spans="1:5" x14ac:dyDescent="0.25">
      <c r="A162" s="5" t="s">
        <v>6</v>
      </c>
      <c r="B162" s="5" t="s">
        <v>384</v>
      </c>
      <c r="C162" s="1" t="s">
        <v>385</v>
      </c>
      <c r="D162" s="1" t="s">
        <v>386</v>
      </c>
      <c r="E162" s="7">
        <v>142294</v>
      </c>
    </row>
    <row r="163" spans="1:5" x14ac:dyDescent="0.25">
      <c r="A163" s="5" t="s">
        <v>6</v>
      </c>
      <c r="B163" s="5" t="s">
        <v>387</v>
      </c>
      <c r="C163" s="1" t="s">
        <v>388</v>
      </c>
      <c r="D163" s="1" t="s">
        <v>389</v>
      </c>
      <c r="E163" s="7">
        <v>111283</v>
      </c>
    </row>
    <row r="164" spans="1:5" x14ac:dyDescent="0.25">
      <c r="A164" s="5" t="s">
        <v>6</v>
      </c>
      <c r="B164" s="5" t="s">
        <v>390</v>
      </c>
      <c r="C164" s="1" t="s">
        <v>391</v>
      </c>
      <c r="D164" s="1" t="s">
        <v>392</v>
      </c>
      <c r="E164" s="7">
        <v>106537</v>
      </c>
    </row>
    <row r="165" spans="1:5" x14ac:dyDescent="0.25">
      <c r="A165" s="5" t="s">
        <v>6</v>
      </c>
      <c r="B165" s="5" t="s">
        <v>393</v>
      </c>
      <c r="C165" s="1" t="s">
        <v>394</v>
      </c>
      <c r="D165" s="1" t="s">
        <v>395</v>
      </c>
      <c r="E165" s="7">
        <v>101817</v>
      </c>
    </row>
    <row r="166" spans="1:5" x14ac:dyDescent="0.25">
      <c r="A166" s="5" t="s">
        <v>6</v>
      </c>
      <c r="B166" s="5" t="s">
        <v>396</v>
      </c>
      <c r="C166" s="1" t="s">
        <v>397</v>
      </c>
      <c r="D166" s="1" t="s">
        <v>395</v>
      </c>
      <c r="E166" s="7">
        <v>101817</v>
      </c>
    </row>
    <row r="167" spans="1:5" x14ac:dyDescent="0.25">
      <c r="A167" s="5" t="s">
        <v>6</v>
      </c>
      <c r="B167" s="5" t="s">
        <v>398</v>
      </c>
      <c r="C167" s="1" t="s">
        <v>399</v>
      </c>
      <c r="D167" s="1" t="s">
        <v>400</v>
      </c>
      <c r="E167" s="7">
        <v>153461.53</v>
      </c>
    </row>
    <row r="168" spans="1:5" x14ac:dyDescent="0.25">
      <c r="A168" s="5" t="s">
        <v>6</v>
      </c>
      <c r="B168" s="5" t="s">
        <v>401</v>
      </c>
      <c r="C168" s="1" t="s">
        <v>402</v>
      </c>
      <c r="D168" s="1" t="s">
        <v>400</v>
      </c>
      <c r="E168" s="7">
        <v>169830</v>
      </c>
    </row>
    <row r="169" spans="1:5" x14ac:dyDescent="0.25">
      <c r="A169" s="5" t="s">
        <v>6</v>
      </c>
      <c r="B169" s="5" t="s">
        <v>403</v>
      </c>
      <c r="C169" s="1" t="s">
        <v>404</v>
      </c>
      <c r="D169" s="1" t="s">
        <v>405</v>
      </c>
      <c r="E169" s="7">
        <v>144478</v>
      </c>
    </row>
    <row r="170" spans="1:5" x14ac:dyDescent="0.25">
      <c r="A170" s="5" t="s">
        <v>6</v>
      </c>
      <c r="B170" s="5" t="s">
        <v>406</v>
      </c>
      <c r="C170" s="1" t="s">
        <v>407</v>
      </c>
      <c r="D170" s="1" t="s">
        <v>408</v>
      </c>
      <c r="E170" s="7">
        <v>129548</v>
      </c>
    </row>
    <row r="171" spans="1:5" x14ac:dyDescent="0.25">
      <c r="A171" s="5" t="s">
        <v>6</v>
      </c>
      <c r="B171" s="5" t="s">
        <v>409</v>
      </c>
      <c r="C171" s="1" t="s">
        <v>410</v>
      </c>
      <c r="D171" s="1" t="s">
        <v>411</v>
      </c>
      <c r="E171" s="7">
        <v>104172</v>
      </c>
    </row>
    <row r="172" spans="1:5" x14ac:dyDescent="0.25">
      <c r="A172" s="5" t="s">
        <v>6</v>
      </c>
      <c r="B172" s="5" t="s">
        <v>412</v>
      </c>
      <c r="C172" s="1" t="s">
        <v>413</v>
      </c>
      <c r="D172" s="1" t="s">
        <v>414</v>
      </c>
      <c r="E172" s="7">
        <v>151265</v>
      </c>
    </row>
    <row r="173" spans="1:5" x14ac:dyDescent="0.25">
      <c r="A173" s="5" t="s">
        <v>6</v>
      </c>
      <c r="B173" s="5" t="s">
        <v>415</v>
      </c>
      <c r="C173" s="1" t="s">
        <v>416</v>
      </c>
      <c r="D173" s="1" t="s">
        <v>417</v>
      </c>
      <c r="E173" s="7">
        <v>130167</v>
      </c>
    </row>
    <row r="174" spans="1:5" x14ac:dyDescent="0.25">
      <c r="A174" s="5" t="s">
        <v>6</v>
      </c>
      <c r="B174" s="5" t="s">
        <v>418</v>
      </c>
      <c r="C174" s="1" t="s">
        <v>419</v>
      </c>
      <c r="D174" s="1" t="s">
        <v>419</v>
      </c>
      <c r="E174" s="7">
        <v>165050</v>
      </c>
    </row>
    <row r="175" spans="1:5" x14ac:dyDescent="0.25">
      <c r="A175" s="5" t="s">
        <v>6</v>
      </c>
      <c r="B175" s="5" t="s">
        <v>420</v>
      </c>
      <c r="C175" s="1" t="s">
        <v>421</v>
      </c>
      <c r="D175" s="1" t="s">
        <v>422</v>
      </c>
      <c r="E175" s="7">
        <v>163216</v>
      </c>
    </row>
    <row r="176" spans="1:5" x14ac:dyDescent="0.25">
      <c r="A176" s="5" t="s">
        <v>6</v>
      </c>
      <c r="B176" s="5" t="s">
        <v>423</v>
      </c>
      <c r="C176" s="1" t="s">
        <v>424</v>
      </c>
      <c r="D176" s="1" t="s">
        <v>425</v>
      </c>
      <c r="E176" s="7">
        <v>175137</v>
      </c>
    </row>
    <row r="177" spans="1:5" x14ac:dyDescent="0.25">
      <c r="A177" s="5" t="s">
        <v>6</v>
      </c>
      <c r="B177" s="5" t="s">
        <v>426</v>
      </c>
      <c r="C177" s="1" t="s">
        <v>427</v>
      </c>
      <c r="D177" s="1" t="s">
        <v>428</v>
      </c>
      <c r="E177" s="7">
        <v>136713</v>
      </c>
    </row>
    <row r="178" spans="1:5" x14ac:dyDescent="0.25">
      <c r="A178" s="5" t="s">
        <v>6</v>
      </c>
      <c r="B178" s="5" t="s">
        <v>429</v>
      </c>
      <c r="C178" s="1" t="s">
        <v>430</v>
      </c>
      <c r="D178" s="1" t="s">
        <v>431</v>
      </c>
      <c r="E178" s="7">
        <v>126162</v>
      </c>
    </row>
    <row r="179" spans="1:5" x14ac:dyDescent="0.25">
      <c r="A179" s="5" t="s">
        <v>6</v>
      </c>
      <c r="B179" s="5" t="s">
        <v>432</v>
      </c>
      <c r="C179" s="1" t="s">
        <v>433</v>
      </c>
      <c r="D179" s="1" t="s">
        <v>434</v>
      </c>
      <c r="E179" s="7">
        <v>116713</v>
      </c>
    </row>
    <row r="180" spans="1:5" x14ac:dyDescent="0.25">
      <c r="A180" s="5" t="s">
        <v>6</v>
      </c>
      <c r="B180" s="5" t="s">
        <v>435</v>
      </c>
      <c r="C180" s="1" t="s">
        <v>436</v>
      </c>
      <c r="D180" s="1" t="s">
        <v>437</v>
      </c>
      <c r="E180" s="7">
        <v>131312</v>
      </c>
    </row>
    <row r="181" spans="1:5" x14ac:dyDescent="0.25">
      <c r="A181" s="5" t="s">
        <v>6</v>
      </c>
      <c r="B181" s="5" t="s">
        <v>438</v>
      </c>
      <c r="C181" s="1" t="s">
        <v>439</v>
      </c>
      <c r="D181" s="1" t="s">
        <v>440</v>
      </c>
      <c r="E181" s="7">
        <v>168516</v>
      </c>
    </row>
    <row r="182" spans="1:5" x14ac:dyDescent="0.25">
      <c r="A182" s="5" t="s">
        <v>6</v>
      </c>
      <c r="B182" s="5" t="s">
        <v>441</v>
      </c>
      <c r="C182" s="1" t="s">
        <v>442</v>
      </c>
      <c r="D182" s="1" t="s">
        <v>440</v>
      </c>
      <c r="E182" s="7">
        <v>152414</v>
      </c>
    </row>
    <row r="183" spans="1:5" x14ac:dyDescent="0.25">
      <c r="A183" s="5" t="s">
        <v>6</v>
      </c>
      <c r="B183" s="5" t="s">
        <v>443</v>
      </c>
      <c r="C183" s="1" t="s">
        <v>444</v>
      </c>
      <c r="D183" s="1" t="s">
        <v>445</v>
      </c>
      <c r="E183" s="7">
        <v>5140</v>
      </c>
    </row>
    <row r="184" spans="1:5" x14ac:dyDescent="0.25">
      <c r="A184" s="5" t="s">
        <v>6</v>
      </c>
      <c r="B184" s="5" t="s">
        <v>446</v>
      </c>
      <c r="C184" s="1" t="s">
        <v>447</v>
      </c>
      <c r="D184" s="1" t="s">
        <v>448</v>
      </c>
      <c r="E184" s="7">
        <v>48263</v>
      </c>
    </row>
    <row r="185" spans="1:5" x14ac:dyDescent="0.25">
      <c r="A185" s="5" t="s">
        <v>6</v>
      </c>
      <c r="B185" s="5" t="s">
        <v>449</v>
      </c>
      <c r="C185" s="1" t="s">
        <v>450</v>
      </c>
      <c r="D185" s="1" t="s">
        <v>451</v>
      </c>
      <c r="E185" s="7">
        <v>35143</v>
      </c>
    </row>
    <row r="186" spans="1:5" x14ac:dyDescent="0.25">
      <c r="A186" s="5" t="s">
        <v>6</v>
      </c>
      <c r="B186" s="5" t="s">
        <v>452</v>
      </c>
      <c r="C186" s="1" t="s">
        <v>453</v>
      </c>
      <c r="D186" s="1" t="s">
        <v>454</v>
      </c>
      <c r="E186" s="7">
        <v>19510</v>
      </c>
    </row>
    <row r="187" spans="1:5" x14ac:dyDescent="0.25">
      <c r="A187" s="5" t="s">
        <v>6</v>
      </c>
      <c r="B187" s="5" t="s">
        <v>455</v>
      </c>
      <c r="C187" s="1" t="s">
        <v>456</v>
      </c>
      <c r="D187" s="1" t="s">
        <v>457</v>
      </c>
      <c r="E187" s="7">
        <v>19512</v>
      </c>
    </row>
    <row r="188" spans="1:5" x14ac:dyDescent="0.25">
      <c r="A188" s="5" t="s">
        <v>6</v>
      </c>
      <c r="B188" s="5" t="s">
        <v>458</v>
      </c>
      <c r="C188" s="1" t="s">
        <v>459</v>
      </c>
      <c r="D188" s="1" t="s">
        <v>460</v>
      </c>
      <c r="E188" s="7">
        <v>17594</v>
      </c>
    </row>
    <row r="189" spans="1:5" x14ac:dyDescent="0.25">
      <c r="A189" s="5" t="s">
        <v>6</v>
      </c>
      <c r="B189" s="5" t="s">
        <v>461</v>
      </c>
      <c r="C189" s="1" t="s">
        <v>462</v>
      </c>
      <c r="D189" s="1" t="s">
        <v>463</v>
      </c>
      <c r="E189" s="7">
        <v>15903</v>
      </c>
    </row>
    <row r="190" spans="1:5" x14ac:dyDescent="0.25">
      <c r="A190" s="5" t="s">
        <v>6</v>
      </c>
      <c r="B190" s="5" t="s">
        <v>464</v>
      </c>
      <c r="C190" s="1" t="s">
        <v>465</v>
      </c>
      <c r="D190" s="1" t="s">
        <v>463</v>
      </c>
      <c r="E190" s="7">
        <v>18831</v>
      </c>
    </row>
    <row r="191" spans="1:5" x14ac:dyDescent="0.25">
      <c r="A191" s="5" t="s">
        <v>6</v>
      </c>
      <c r="B191" s="5" t="s">
        <v>466</v>
      </c>
      <c r="C191" s="1" t="s">
        <v>467</v>
      </c>
      <c r="D191" s="1" t="s">
        <v>463</v>
      </c>
      <c r="E191" s="7">
        <v>19236</v>
      </c>
    </row>
    <row r="192" spans="1:5" x14ac:dyDescent="0.25">
      <c r="A192" s="5" t="s">
        <v>6</v>
      </c>
      <c r="B192" s="5" t="s">
        <v>468</v>
      </c>
      <c r="C192" s="1" t="s">
        <v>469</v>
      </c>
      <c r="D192" s="1" t="s">
        <v>463</v>
      </c>
      <c r="E192" s="7">
        <v>15158</v>
      </c>
    </row>
    <row r="193" spans="1:5" x14ac:dyDescent="0.25">
      <c r="A193" s="5" t="s">
        <v>6</v>
      </c>
      <c r="B193" s="5" t="s">
        <v>470</v>
      </c>
      <c r="C193" s="1" t="s">
        <v>471</v>
      </c>
      <c r="D193" s="1" t="s">
        <v>472</v>
      </c>
      <c r="E193" s="7">
        <v>21325</v>
      </c>
    </row>
    <row r="194" spans="1:5" x14ac:dyDescent="0.25">
      <c r="A194" s="5" t="s">
        <v>6</v>
      </c>
      <c r="B194" s="5" t="s">
        <v>473</v>
      </c>
      <c r="C194" s="1" t="s">
        <v>474</v>
      </c>
      <c r="D194" s="1" t="s">
        <v>475</v>
      </c>
      <c r="E194" s="7">
        <v>15160</v>
      </c>
    </row>
    <row r="195" spans="1:5" x14ac:dyDescent="0.25">
      <c r="A195" s="5" t="s">
        <v>6</v>
      </c>
      <c r="B195" s="5" t="s">
        <v>476</v>
      </c>
      <c r="C195" s="1" t="s">
        <v>477</v>
      </c>
      <c r="D195" s="1" t="s">
        <v>475</v>
      </c>
      <c r="E195" s="7">
        <v>15175</v>
      </c>
    </row>
    <row r="196" spans="1:5" x14ac:dyDescent="0.25">
      <c r="A196" s="5" t="s">
        <v>6</v>
      </c>
      <c r="B196" s="5" t="s">
        <v>478</v>
      </c>
      <c r="C196" s="1" t="s">
        <v>479</v>
      </c>
      <c r="D196" s="1" t="s">
        <v>475</v>
      </c>
      <c r="E196" s="7">
        <v>23884</v>
      </c>
    </row>
    <row r="197" spans="1:5" x14ac:dyDescent="0.25">
      <c r="A197" s="5" t="s">
        <v>6</v>
      </c>
      <c r="B197" s="5" t="s">
        <v>480</v>
      </c>
      <c r="C197" s="1" t="s">
        <v>481</v>
      </c>
      <c r="D197" s="1" t="s">
        <v>482</v>
      </c>
      <c r="E197" s="7">
        <v>31844</v>
      </c>
    </row>
    <row r="198" spans="1:5" x14ac:dyDescent="0.25">
      <c r="A198" s="5" t="s">
        <v>6</v>
      </c>
      <c r="B198" s="5" t="s">
        <v>483</v>
      </c>
      <c r="C198" s="1" t="s">
        <v>484</v>
      </c>
      <c r="D198" s="1" t="s">
        <v>485</v>
      </c>
      <c r="E198" s="7">
        <v>36640</v>
      </c>
    </row>
    <row r="199" spans="1:5" x14ac:dyDescent="0.25">
      <c r="A199" s="5" t="s">
        <v>6</v>
      </c>
      <c r="B199" s="5" t="s">
        <v>486</v>
      </c>
      <c r="C199" s="1" t="s">
        <v>487</v>
      </c>
      <c r="D199" s="1" t="s">
        <v>488</v>
      </c>
      <c r="E199" s="7">
        <v>57847</v>
      </c>
    </row>
    <row r="200" spans="1:5" x14ac:dyDescent="0.25">
      <c r="A200" s="5" t="s">
        <v>6</v>
      </c>
      <c r="B200" s="5" t="s">
        <v>489</v>
      </c>
      <c r="C200" s="1" t="s">
        <v>490</v>
      </c>
      <c r="D200" s="1" t="s">
        <v>488</v>
      </c>
      <c r="E200" s="7">
        <v>54575</v>
      </c>
    </row>
    <row r="201" spans="1:5" x14ac:dyDescent="0.25">
      <c r="A201" s="5" t="s">
        <v>6</v>
      </c>
      <c r="B201" s="5" t="s">
        <v>491</v>
      </c>
      <c r="C201" s="1" t="s">
        <v>492</v>
      </c>
      <c r="D201" s="1" t="s">
        <v>493</v>
      </c>
      <c r="E201" s="7">
        <v>25925</v>
      </c>
    </row>
    <row r="202" spans="1:5" x14ac:dyDescent="0.25">
      <c r="A202" s="5" t="s">
        <v>6</v>
      </c>
      <c r="B202" s="5" t="s">
        <v>494</v>
      </c>
      <c r="C202" s="1" t="s">
        <v>495</v>
      </c>
      <c r="D202" s="1" t="s">
        <v>493</v>
      </c>
      <c r="E202" s="7">
        <v>25925</v>
      </c>
    </row>
    <row r="203" spans="1:5" x14ac:dyDescent="0.25">
      <c r="A203" s="5" t="s">
        <v>6</v>
      </c>
      <c r="B203" s="5" t="s">
        <v>496</v>
      </c>
      <c r="C203" s="1" t="s">
        <v>497</v>
      </c>
      <c r="D203" s="1" t="s">
        <v>498</v>
      </c>
      <c r="E203" s="7">
        <v>4390</v>
      </c>
    </row>
    <row r="204" spans="1:5" x14ac:dyDescent="0.25">
      <c r="A204" s="5" t="s">
        <v>6</v>
      </c>
      <c r="B204" s="5" t="s">
        <v>499</v>
      </c>
      <c r="C204" s="1" t="s">
        <v>500</v>
      </c>
      <c r="D204" s="1" t="s">
        <v>501</v>
      </c>
      <c r="E204" s="7">
        <v>4565</v>
      </c>
    </row>
    <row r="205" spans="1:5" x14ac:dyDescent="0.25">
      <c r="A205" s="5" t="s">
        <v>6</v>
      </c>
      <c r="B205" s="5" t="s">
        <v>502</v>
      </c>
      <c r="C205" s="1" t="s">
        <v>503</v>
      </c>
      <c r="D205" s="1" t="s">
        <v>501</v>
      </c>
      <c r="E205" s="7">
        <v>4798</v>
      </c>
    </row>
    <row r="206" spans="1:5" x14ac:dyDescent="0.25">
      <c r="A206" s="5" t="s">
        <v>6</v>
      </c>
      <c r="B206" s="5" t="s">
        <v>504</v>
      </c>
      <c r="C206" s="1" t="s">
        <v>505</v>
      </c>
      <c r="D206" s="1" t="s">
        <v>501</v>
      </c>
      <c r="E206" s="7">
        <v>4795</v>
      </c>
    </row>
    <row r="207" spans="1:5" x14ac:dyDescent="0.25">
      <c r="A207" s="5" t="s">
        <v>6</v>
      </c>
      <c r="B207" s="5" t="s">
        <v>506</v>
      </c>
      <c r="C207" s="1" t="s">
        <v>507</v>
      </c>
      <c r="D207" s="1" t="s">
        <v>508</v>
      </c>
      <c r="E207" s="7">
        <v>5181</v>
      </c>
    </row>
    <row r="208" spans="1:5" x14ac:dyDescent="0.25">
      <c r="A208" s="5" t="s">
        <v>6</v>
      </c>
      <c r="B208" s="5" t="s">
        <v>509</v>
      </c>
      <c r="C208" s="1" t="s">
        <v>510</v>
      </c>
      <c r="D208" s="1" t="s">
        <v>508</v>
      </c>
      <c r="E208" s="7">
        <v>4318</v>
      </c>
    </row>
    <row r="209" spans="1:5" x14ac:dyDescent="0.25">
      <c r="A209" s="5" t="s">
        <v>6</v>
      </c>
      <c r="B209" s="5" t="s">
        <v>511</v>
      </c>
      <c r="C209" s="1" t="s">
        <v>512</v>
      </c>
      <c r="D209" s="1" t="s">
        <v>508</v>
      </c>
      <c r="E209" s="7">
        <v>5496</v>
      </c>
    </row>
    <row r="210" spans="1:5" x14ac:dyDescent="0.25">
      <c r="A210" s="5" t="s">
        <v>6</v>
      </c>
      <c r="B210" s="5" t="s">
        <v>513</v>
      </c>
      <c r="C210" s="1" t="s">
        <v>514</v>
      </c>
      <c r="D210" s="1" t="s">
        <v>515</v>
      </c>
      <c r="E210" s="7">
        <v>5496</v>
      </c>
    </row>
    <row r="211" spans="1:5" x14ac:dyDescent="0.25">
      <c r="A211" s="5" t="s">
        <v>6</v>
      </c>
      <c r="B211" s="5" t="s">
        <v>516</v>
      </c>
      <c r="C211" s="1" t="s">
        <v>517</v>
      </c>
      <c r="D211" s="1" t="s">
        <v>518</v>
      </c>
      <c r="E211" s="7">
        <v>5859</v>
      </c>
    </row>
    <row r="212" spans="1:5" x14ac:dyDescent="0.25">
      <c r="A212" s="5" t="s">
        <v>6</v>
      </c>
      <c r="B212" s="5" t="s">
        <v>519</v>
      </c>
      <c r="C212" s="1" t="s">
        <v>520</v>
      </c>
      <c r="D212" s="1" t="s">
        <v>518</v>
      </c>
      <c r="E212" s="7">
        <v>5859</v>
      </c>
    </row>
    <row r="213" spans="1:5" x14ac:dyDescent="0.25">
      <c r="A213" s="5" t="s">
        <v>6</v>
      </c>
      <c r="B213" s="5" t="s">
        <v>521</v>
      </c>
      <c r="C213" s="1" t="s">
        <v>522</v>
      </c>
      <c r="D213" s="1" t="s">
        <v>523</v>
      </c>
      <c r="E213" s="7">
        <v>27477</v>
      </c>
    </row>
    <row r="214" spans="1:5" x14ac:dyDescent="0.25">
      <c r="A214" s="5" t="s">
        <v>6</v>
      </c>
      <c r="B214" s="5" t="s">
        <v>524</v>
      </c>
      <c r="C214" s="1" t="s">
        <v>525</v>
      </c>
      <c r="D214" s="1" t="s">
        <v>523</v>
      </c>
      <c r="E214" s="7">
        <v>27477</v>
      </c>
    </row>
    <row r="215" spans="1:5" x14ac:dyDescent="0.25">
      <c r="A215" s="5" t="s">
        <v>6</v>
      </c>
      <c r="B215" s="5" t="s">
        <v>526</v>
      </c>
      <c r="C215" s="1" t="s">
        <v>527</v>
      </c>
      <c r="D215" s="1" t="s">
        <v>528</v>
      </c>
      <c r="E215" s="7">
        <v>6291</v>
      </c>
    </row>
    <row r="216" spans="1:5" x14ac:dyDescent="0.25">
      <c r="A216" s="5" t="s">
        <v>6</v>
      </c>
      <c r="B216" s="5" t="s">
        <v>529</v>
      </c>
      <c r="C216" s="1" t="s">
        <v>530</v>
      </c>
      <c r="D216" s="1" t="s">
        <v>531</v>
      </c>
      <c r="E216" s="7">
        <v>56852</v>
      </c>
    </row>
    <row r="217" spans="1:5" x14ac:dyDescent="0.25">
      <c r="A217" s="5" t="s">
        <v>6</v>
      </c>
      <c r="B217" s="5" t="s">
        <v>532</v>
      </c>
      <c r="C217" s="1" t="s">
        <v>533</v>
      </c>
      <c r="D217" s="1" t="s">
        <v>534</v>
      </c>
      <c r="E217" s="7">
        <v>29413</v>
      </c>
    </row>
    <row r="218" spans="1:5" x14ac:dyDescent="0.25">
      <c r="A218" s="5" t="s">
        <v>6</v>
      </c>
      <c r="B218" s="5" t="s">
        <v>535</v>
      </c>
      <c r="C218" s="1" t="s">
        <v>536</v>
      </c>
      <c r="D218" s="1" t="s">
        <v>537</v>
      </c>
      <c r="E218" s="7">
        <v>20438</v>
      </c>
    </row>
    <row r="219" spans="1:5" x14ac:dyDescent="0.25">
      <c r="A219" s="5" t="s">
        <v>6</v>
      </c>
      <c r="B219" s="5" t="s">
        <v>538</v>
      </c>
      <c r="C219" s="1" t="s">
        <v>539</v>
      </c>
      <c r="D219" s="1" t="s">
        <v>540</v>
      </c>
      <c r="E219" s="7">
        <v>37298</v>
      </c>
    </row>
    <row r="220" spans="1:5" x14ac:dyDescent="0.25">
      <c r="A220" s="5" t="s">
        <v>6</v>
      </c>
      <c r="B220" s="5" t="s">
        <v>541</v>
      </c>
      <c r="C220" s="1" t="s">
        <v>542</v>
      </c>
      <c r="D220" s="1" t="s">
        <v>540</v>
      </c>
      <c r="E220" s="7">
        <v>29700</v>
      </c>
    </row>
    <row r="221" spans="1:5" x14ac:dyDescent="0.25">
      <c r="A221" s="5" t="s">
        <v>6</v>
      </c>
      <c r="B221" s="5" t="s">
        <v>543</v>
      </c>
      <c r="C221" s="1" t="s">
        <v>544</v>
      </c>
      <c r="D221" s="1" t="s">
        <v>545</v>
      </c>
      <c r="E221" s="7">
        <v>44000</v>
      </c>
    </row>
    <row r="222" spans="1:5" x14ac:dyDescent="0.25">
      <c r="A222" s="5" t="s">
        <v>6</v>
      </c>
      <c r="B222" s="5" t="s">
        <v>546</v>
      </c>
      <c r="C222" s="1" t="s">
        <v>547</v>
      </c>
      <c r="D222" s="1" t="s">
        <v>540</v>
      </c>
      <c r="E222" s="7">
        <v>45073</v>
      </c>
    </row>
    <row r="223" spans="1:5" x14ac:dyDescent="0.25">
      <c r="A223" s="5" t="s">
        <v>6</v>
      </c>
      <c r="B223" s="5" t="s">
        <v>548</v>
      </c>
      <c r="C223" s="1" t="s">
        <v>549</v>
      </c>
      <c r="D223" s="1" t="s">
        <v>550</v>
      </c>
      <c r="E223" s="7">
        <v>58293</v>
      </c>
    </row>
    <row r="224" spans="1:5" x14ac:dyDescent="0.25">
      <c r="A224" s="5" t="s">
        <v>6</v>
      </c>
      <c r="B224" s="5" t="s">
        <v>551</v>
      </c>
      <c r="C224" s="1" t="s">
        <v>552</v>
      </c>
      <c r="D224" s="1" t="s">
        <v>553</v>
      </c>
      <c r="E224" s="7">
        <v>44177</v>
      </c>
    </row>
    <row r="225" spans="1:5" x14ac:dyDescent="0.25">
      <c r="A225" s="5" t="s">
        <v>6</v>
      </c>
      <c r="B225" s="5" t="s">
        <v>554</v>
      </c>
      <c r="C225" s="1" t="s">
        <v>555</v>
      </c>
      <c r="D225" s="1" t="s">
        <v>556</v>
      </c>
      <c r="E225" s="7">
        <v>34304</v>
      </c>
    </row>
    <row r="226" spans="1:5" x14ac:dyDescent="0.25">
      <c r="A226" s="5" t="s">
        <v>6</v>
      </c>
      <c r="B226" s="5" t="s">
        <v>557</v>
      </c>
      <c r="C226" s="1" t="s">
        <v>558</v>
      </c>
      <c r="D226" s="1" t="s">
        <v>559</v>
      </c>
      <c r="E226" s="7">
        <v>33580</v>
      </c>
    </row>
    <row r="227" spans="1:5" x14ac:dyDescent="0.25">
      <c r="A227" s="5" t="s">
        <v>6</v>
      </c>
      <c r="B227" s="5" t="s">
        <v>560</v>
      </c>
      <c r="C227" s="1" t="s">
        <v>561</v>
      </c>
      <c r="D227" s="1" t="s">
        <v>562</v>
      </c>
      <c r="E227" s="7">
        <v>66038</v>
      </c>
    </row>
    <row r="228" spans="1:5" x14ac:dyDescent="0.25">
      <c r="A228" s="5" t="s">
        <v>6</v>
      </c>
      <c r="B228" s="5" t="s">
        <v>563</v>
      </c>
      <c r="C228" s="1" t="s">
        <v>564</v>
      </c>
      <c r="D228" s="1" t="s">
        <v>565</v>
      </c>
      <c r="E228" s="7">
        <v>87110</v>
      </c>
    </row>
    <row r="229" spans="1:5" x14ac:dyDescent="0.25">
      <c r="A229" s="5" t="s">
        <v>6</v>
      </c>
      <c r="B229" s="5" t="s">
        <v>566</v>
      </c>
      <c r="C229" s="1" t="s">
        <v>567</v>
      </c>
      <c r="D229" s="1" t="s">
        <v>568</v>
      </c>
      <c r="E229" s="7">
        <v>38386</v>
      </c>
    </row>
    <row r="230" spans="1:5" x14ac:dyDescent="0.25">
      <c r="A230" s="5" t="s">
        <v>6</v>
      </c>
      <c r="B230" s="5" t="s">
        <v>569</v>
      </c>
      <c r="C230" s="1" t="s">
        <v>570</v>
      </c>
      <c r="D230" s="1" t="s">
        <v>571</v>
      </c>
      <c r="E230" s="7">
        <v>34947</v>
      </c>
    </row>
    <row r="231" spans="1:5" x14ac:dyDescent="0.25">
      <c r="A231" s="5" t="s">
        <v>6</v>
      </c>
      <c r="B231" s="5" t="s">
        <v>572</v>
      </c>
      <c r="C231" s="1" t="s">
        <v>573</v>
      </c>
      <c r="D231" s="1" t="s">
        <v>574</v>
      </c>
      <c r="E231" s="7">
        <v>54077</v>
      </c>
    </row>
    <row r="232" spans="1:5" x14ac:dyDescent="0.25">
      <c r="A232" s="5" t="s">
        <v>6</v>
      </c>
      <c r="B232" s="5" t="s">
        <v>575</v>
      </c>
      <c r="C232" s="1" t="s">
        <v>576</v>
      </c>
      <c r="D232" s="1" t="s">
        <v>577</v>
      </c>
      <c r="E232" s="7">
        <v>54743</v>
      </c>
    </row>
    <row r="233" spans="1:5" x14ac:dyDescent="0.25">
      <c r="A233" s="5" t="s">
        <v>6</v>
      </c>
      <c r="B233" s="5" t="s">
        <v>578</v>
      </c>
      <c r="C233" s="1" t="s">
        <v>579</v>
      </c>
      <c r="D233" s="1" t="s">
        <v>580</v>
      </c>
      <c r="E233" s="7">
        <v>40560</v>
      </c>
    </row>
    <row r="234" spans="1:5" x14ac:dyDescent="0.25">
      <c r="A234" s="5" t="s">
        <v>6</v>
      </c>
      <c r="B234" s="5" t="s">
        <v>581</v>
      </c>
      <c r="C234" s="1" t="s">
        <v>582</v>
      </c>
      <c r="D234" s="1" t="s">
        <v>583</v>
      </c>
      <c r="E234" s="7">
        <v>34032</v>
      </c>
    </row>
    <row r="235" spans="1:5" x14ac:dyDescent="0.25">
      <c r="A235" s="5" t="s">
        <v>6</v>
      </c>
      <c r="B235" s="5" t="s">
        <v>584</v>
      </c>
      <c r="C235" s="1" t="s">
        <v>585</v>
      </c>
      <c r="D235" s="1" t="s">
        <v>586</v>
      </c>
      <c r="E235" s="7">
        <v>27187</v>
      </c>
    </row>
    <row r="236" spans="1:5" x14ac:dyDescent="0.25">
      <c r="A236" s="5" t="s">
        <v>6</v>
      </c>
      <c r="B236" s="5" t="s">
        <v>587</v>
      </c>
      <c r="C236" s="1" t="s">
        <v>588</v>
      </c>
      <c r="D236" s="1" t="s">
        <v>589</v>
      </c>
      <c r="E236" s="7">
        <v>53442</v>
      </c>
    </row>
    <row r="237" spans="1:5" x14ac:dyDescent="0.25">
      <c r="A237" s="5" t="s">
        <v>6</v>
      </c>
      <c r="B237" s="5" t="s">
        <v>590</v>
      </c>
      <c r="C237" s="1" t="s">
        <v>591</v>
      </c>
      <c r="D237" s="1" t="s">
        <v>577</v>
      </c>
      <c r="E237" s="7">
        <v>59602</v>
      </c>
    </row>
    <row r="238" spans="1:5" x14ac:dyDescent="0.25">
      <c r="A238" s="5" t="s">
        <v>6</v>
      </c>
      <c r="B238" s="5" t="s">
        <v>592</v>
      </c>
      <c r="C238" s="1" t="s">
        <v>593</v>
      </c>
      <c r="D238" s="1" t="s">
        <v>577</v>
      </c>
      <c r="E238" s="7">
        <v>53624</v>
      </c>
    </row>
    <row r="239" spans="1:5" x14ac:dyDescent="0.25">
      <c r="A239" s="5" t="s">
        <v>6</v>
      </c>
      <c r="B239" s="5" t="s">
        <v>594</v>
      </c>
      <c r="C239" s="1" t="s">
        <v>595</v>
      </c>
      <c r="D239" s="1" t="s">
        <v>577</v>
      </c>
      <c r="E239" s="7">
        <v>59602</v>
      </c>
    </row>
    <row r="240" spans="1:5" x14ac:dyDescent="0.25">
      <c r="A240" s="5" t="s">
        <v>6</v>
      </c>
      <c r="B240" s="5" t="s">
        <v>596</v>
      </c>
      <c r="C240" s="1" t="s">
        <v>597</v>
      </c>
      <c r="D240" s="1" t="s">
        <v>577</v>
      </c>
      <c r="E240" s="7">
        <v>20935</v>
      </c>
    </row>
    <row r="241" spans="1:5" x14ac:dyDescent="0.25">
      <c r="A241" s="5" t="s">
        <v>6</v>
      </c>
      <c r="B241" s="5" t="s">
        <v>598</v>
      </c>
      <c r="C241" s="1" t="s">
        <v>599</v>
      </c>
      <c r="D241" s="1" t="s">
        <v>577</v>
      </c>
      <c r="E241" s="7">
        <v>54743</v>
      </c>
    </row>
    <row r="242" spans="1:5" x14ac:dyDescent="0.25">
      <c r="A242" s="5" t="s">
        <v>6</v>
      </c>
      <c r="B242" s="5" t="s">
        <v>600</v>
      </c>
      <c r="C242" s="1" t="s">
        <v>601</v>
      </c>
      <c r="D242" s="1" t="s">
        <v>577</v>
      </c>
      <c r="E242" s="7">
        <v>41172</v>
      </c>
    </row>
    <row r="243" spans="1:5" x14ac:dyDescent="0.25">
      <c r="A243" s="5" t="s">
        <v>6</v>
      </c>
      <c r="B243" s="5" t="s">
        <v>602</v>
      </c>
      <c r="C243" s="1" t="s">
        <v>603</v>
      </c>
      <c r="D243" s="1" t="s">
        <v>577</v>
      </c>
      <c r="E243" s="7">
        <v>51350</v>
      </c>
    </row>
    <row r="244" spans="1:5" x14ac:dyDescent="0.25">
      <c r="A244" s="5" t="s">
        <v>6</v>
      </c>
      <c r="B244" s="5" t="s">
        <v>604</v>
      </c>
      <c r="C244" s="1" t="s">
        <v>605</v>
      </c>
      <c r="D244" s="1" t="s">
        <v>577</v>
      </c>
      <c r="E244" s="7">
        <v>54743</v>
      </c>
    </row>
    <row r="245" spans="1:5" x14ac:dyDescent="0.25">
      <c r="A245" s="5" t="s">
        <v>6</v>
      </c>
      <c r="B245" s="5" t="s">
        <v>606</v>
      </c>
      <c r="C245" s="1" t="s">
        <v>607</v>
      </c>
      <c r="D245" s="1" t="s">
        <v>577</v>
      </c>
      <c r="E245" s="7">
        <v>54743</v>
      </c>
    </row>
    <row r="246" spans="1:5" x14ac:dyDescent="0.25">
      <c r="A246" s="5" t="s">
        <v>6</v>
      </c>
      <c r="B246" s="5" t="s">
        <v>608</v>
      </c>
      <c r="C246" s="1" t="s">
        <v>609</v>
      </c>
      <c r="D246" s="1" t="s">
        <v>577</v>
      </c>
      <c r="E246" s="7">
        <v>54743</v>
      </c>
    </row>
    <row r="247" spans="1:5" x14ac:dyDescent="0.25">
      <c r="A247" s="5" t="s">
        <v>6</v>
      </c>
      <c r="B247" s="5" t="s">
        <v>610</v>
      </c>
      <c r="C247" s="1" t="s">
        <v>611</v>
      </c>
      <c r="D247" s="1" t="s">
        <v>577</v>
      </c>
      <c r="E247" s="7">
        <v>54743</v>
      </c>
    </row>
    <row r="248" spans="1:5" x14ac:dyDescent="0.25">
      <c r="A248" s="5" t="s">
        <v>6</v>
      </c>
      <c r="B248" s="5" t="s">
        <v>612</v>
      </c>
      <c r="C248" s="1" t="s">
        <v>613</v>
      </c>
      <c r="D248" s="1" t="s">
        <v>577</v>
      </c>
      <c r="E248" s="7">
        <v>54743</v>
      </c>
    </row>
    <row r="249" spans="1:5" x14ac:dyDescent="0.25">
      <c r="A249" s="5" t="s">
        <v>6</v>
      </c>
      <c r="B249" s="5" t="s">
        <v>614</v>
      </c>
      <c r="C249" s="1" t="s">
        <v>615</v>
      </c>
      <c r="D249" s="1" t="s">
        <v>577</v>
      </c>
      <c r="E249" s="7">
        <v>57308</v>
      </c>
    </row>
    <row r="250" spans="1:5" x14ac:dyDescent="0.25">
      <c r="A250" s="5" t="s">
        <v>6</v>
      </c>
      <c r="B250" s="5" t="s">
        <v>616</v>
      </c>
      <c r="C250" s="1" t="s">
        <v>617</v>
      </c>
      <c r="D250" s="1" t="s">
        <v>577</v>
      </c>
      <c r="E250" s="7">
        <v>54743</v>
      </c>
    </row>
    <row r="251" spans="1:5" x14ac:dyDescent="0.25">
      <c r="A251" s="5" t="s">
        <v>6</v>
      </c>
      <c r="B251" s="5" t="s">
        <v>618</v>
      </c>
      <c r="C251" s="1" t="s">
        <v>619</v>
      </c>
      <c r="D251" s="1" t="s">
        <v>577</v>
      </c>
      <c r="E251" s="7">
        <v>54743</v>
      </c>
    </row>
    <row r="252" spans="1:5" x14ac:dyDescent="0.25">
      <c r="A252" s="5" t="s">
        <v>6</v>
      </c>
      <c r="B252" s="5" t="s">
        <v>620</v>
      </c>
      <c r="C252" s="1" t="s">
        <v>621</v>
      </c>
      <c r="D252" s="1" t="s">
        <v>622</v>
      </c>
      <c r="E252" s="7">
        <v>22538.46</v>
      </c>
    </row>
    <row r="253" spans="1:5" x14ac:dyDescent="0.25">
      <c r="A253" s="5" t="s">
        <v>6</v>
      </c>
      <c r="B253" s="5" t="s">
        <v>623</v>
      </c>
      <c r="C253" s="1" t="s">
        <v>624</v>
      </c>
      <c r="D253" s="1" t="s">
        <v>577</v>
      </c>
      <c r="E253" s="7">
        <v>28773</v>
      </c>
    </row>
    <row r="254" spans="1:5" x14ac:dyDescent="0.25">
      <c r="A254" s="5" t="s">
        <v>6</v>
      </c>
      <c r="B254" s="5" t="s">
        <v>625</v>
      </c>
      <c r="C254" s="1" t="s">
        <v>626</v>
      </c>
      <c r="D254" s="1" t="s">
        <v>577</v>
      </c>
      <c r="E254" s="7">
        <v>56852</v>
      </c>
    </row>
    <row r="255" spans="1:5" x14ac:dyDescent="0.25">
      <c r="A255" s="5" t="s">
        <v>6</v>
      </c>
      <c r="B255" s="5" t="s">
        <v>627</v>
      </c>
      <c r="C255" s="1" t="s">
        <v>628</v>
      </c>
      <c r="D255" s="1" t="s">
        <v>577</v>
      </c>
      <c r="E255" s="7">
        <v>50431</v>
      </c>
    </row>
    <row r="256" spans="1:5" x14ac:dyDescent="0.25">
      <c r="A256" s="5" t="s">
        <v>6</v>
      </c>
      <c r="B256" s="5" t="s">
        <v>629</v>
      </c>
      <c r="C256" s="1" t="s">
        <v>630</v>
      </c>
      <c r="D256" s="1" t="s">
        <v>577</v>
      </c>
      <c r="E256" s="7">
        <v>54743</v>
      </c>
    </row>
    <row r="257" spans="1:5" x14ac:dyDescent="0.25">
      <c r="A257" s="5" t="s">
        <v>6</v>
      </c>
      <c r="B257" s="5" t="s">
        <v>631</v>
      </c>
      <c r="C257" s="1" t="s">
        <v>632</v>
      </c>
      <c r="D257" s="1" t="s">
        <v>577</v>
      </c>
      <c r="E257" s="7">
        <v>54743</v>
      </c>
    </row>
    <row r="258" spans="1:5" x14ac:dyDescent="0.25">
      <c r="A258" s="5" t="s">
        <v>6</v>
      </c>
      <c r="B258" s="5" t="s">
        <v>633</v>
      </c>
      <c r="C258" s="1" t="s">
        <v>634</v>
      </c>
      <c r="D258" s="1" t="s">
        <v>577</v>
      </c>
      <c r="E258" s="7">
        <v>30103</v>
      </c>
    </row>
    <row r="259" spans="1:5" x14ac:dyDescent="0.25">
      <c r="A259" s="5" t="s">
        <v>6</v>
      </c>
      <c r="B259" s="5" t="s">
        <v>635</v>
      </c>
      <c r="C259" s="1" t="s">
        <v>636</v>
      </c>
      <c r="D259" s="1" t="s">
        <v>637</v>
      </c>
      <c r="E259" s="7">
        <v>57384</v>
      </c>
    </row>
    <row r="260" spans="1:5" x14ac:dyDescent="0.25">
      <c r="A260" s="5" t="s">
        <v>6</v>
      </c>
      <c r="B260" s="5" t="s">
        <v>638</v>
      </c>
      <c r="C260" s="1" t="s">
        <v>639</v>
      </c>
      <c r="D260" s="1" t="s">
        <v>637</v>
      </c>
      <c r="E260" s="7">
        <v>57384</v>
      </c>
    </row>
    <row r="261" spans="1:5" x14ac:dyDescent="0.25">
      <c r="A261" s="5" t="s">
        <v>6</v>
      </c>
      <c r="B261" s="5" t="s">
        <v>640</v>
      </c>
      <c r="C261" s="1" t="s">
        <v>641</v>
      </c>
      <c r="D261" s="1" t="s">
        <v>642</v>
      </c>
      <c r="E261" s="7">
        <v>56793</v>
      </c>
    </row>
    <row r="262" spans="1:5" x14ac:dyDescent="0.25">
      <c r="A262" s="5" t="s">
        <v>6</v>
      </c>
      <c r="B262" s="5" t="s">
        <v>643</v>
      </c>
      <c r="C262" s="1" t="s">
        <v>644</v>
      </c>
      <c r="D262" s="1" t="s">
        <v>645</v>
      </c>
      <c r="E262" s="7">
        <v>21113</v>
      </c>
    </row>
    <row r="263" spans="1:5" x14ac:dyDescent="0.25">
      <c r="A263" s="5" t="s">
        <v>6</v>
      </c>
      <c r="B263" s="5" t="s">
        <v>646</v>
      </c>
      <c r="C263" s="1" t="s">
        <v>647</v>
      </c>
      <c r="D263" s="1" t="s">
        <v>648</v>
      </c>
      <c r="E263" s="7">
        <v>27393</v>
      </c>
    </row>
    <row r="264" spans="1:5" x14ac:dyDescent="0.25">
      <c r="A264" s="5" t="s">
        <v>6</v>
      </c>
      <c r="B264" s="5" t="s">
        <v>649</v>
      </c>
      <c r="C264" s="1" t="s">
        <v>650</v>
      </c>
      <c r="D264" s="1" t="s">
        <v>651</v>
      </c>
      <c r="E264" s="7">
        <v>68486</v>
      </c>
    </row>
    <row r="265" spans="1:5" x14ac:dyDescent="0.25">
      <c r="A265" s="5" t="s">
        <v>6</v>
      </c>
      <c r="B265" s="5" t="s">
        <v>652</v>
      </c>
      <c r="C265" s="1" t="s">
        <v>653</v>
      </c>
      <c r="D265" s="1" t="s">
        <v>654</v>
      </c>
      <c r="E265" s="7">
        <v>52355</v>
      </c>
    </row>
    <row r="266" spans="1:5" x14ac:dyDescent="0.25">
      <c r="A266" s="5" t="s">
        <v>6</v>
      </c>
      <c r="B266" s="5" t="s">
        <v>655</v>
      </c>
      <c r="C266" s="1" t="s">
        <v>656</v>
      </c>
      <c r="D266" s="1" t="s">
        <v>657</v>
      </c>
      <c r="E266" s="7">
        <v>44487</v>
      </c>
    </row>
    <row r="267" spans="1:5" x14ac:dyDescent="0.25">
      <c r="A267" s="5" t="s">
        <v>6</v>
      </c>
      <c r="B267" s="5" t="s">
        <v>658</v>
      </c>
      <c r="C267" s="1" t="s">
        <v>659</v>
      </c>
      <c r="D267" s="1" t="s">
        <v>660</v>
      </c>
      <c r="E267" s="7">
        <v>24154</v>
      </c>
    </row>
    <row r="268" spans="1:5" x14ac:dyDescent="0.25">
      <c r="A268" s="5" t="s">
        <v>6</v>
      </c>
      <c r="B268" s="5" t="s">
        <v>661</v>
      </c>
      <c r="C268" s="1" t="s">
        <v>662</v>
      </c>
      <c r="D268" s="1" t="s">
        <v>663</v>
      </c>
      <c r="E268" s="7">
        <v>23399</v>
      </c>
    </row>
    <row r="269" spans="1:5" x14ac:dyDescent="0.25">
      <c r="A269" s="5" t="s">
        <v>6</v>
      </c>
      <c r="B269" s="5" t="s">
        <v>664</v>
      </c>
      <c r="C269" s="1" t="s">
        <v>665</v>
      </c>
      <c r="D269" s="1" t="s">
        <v>666</v>
      </c>
      <c r="E269" s="7">
        <v>36239</v>
      </c>
    </row>
    <row r="270" spans="1:5" x14ac:dyDescent="0.25">
      <c r="A270" s="5" t="s">
        <v>6</v>
      </c>
      <c r="B270" s="5" t="s">
        <v>667</v>
      </c>
      <c r="C270" s="1" t="s">
        <v>668</v>
      </c>
      <c r="D270" s="1" t="s">
        <v>669</v>
      </c>
      <c r="E270" s="7">
        <v>47225</v>
      </c>
    </row>
    <row r="271" spans="1:5" x14ac:dyDescent="0.25">
      <c r="A271" s="5" t="s">
        <v>6</v>
      </c>
      <c r="B271" s="5" t="s">
        <v>670</v>
      </c>
      <c r="C271" s="1" t="s">
        <v>671</v>
      </c>
      <c r="D271" s="1" t="s">
        <v>669</v>
      </c>
      <c r="E271" s="7">
        <v>24879</v>
      </c>
    </row>
    <row r="272" spans="1:5" x14ac:dyDescent="0.25">
      <c r="A272" s="5" t="s">
        <v>6</v>
      </c>
      <c r="B272" s="5" t="s">
        <v>672</v>
      </c>
      <c r="C272" s="1" t="s">
        <v>673</v>
      </c>
      <c r="D272" s="1" t="s">
        <v>669</v>
      </c>
      <c r="E272" s="7">
        <v>54743</v>
      </c>
    </row>
    <row r="273" spans="1:5" x14ac:dyDescent="0.25">
      <c r="A273" s="5" t="s">
        <v>6</v>
      </c>
      <c r="B273" s="5" t="s">
        <v>674</v>
      </c>
      <c r="C273" s="1" t="s">
        <v>675</v>
      </c>
      <c r="D273" s="1" t="s">
        <v>669</v>
      </c>
      <c r="E273" s="7">
        <v>54743</v>
      </c>
    </row>
    <row r="274" spans="1:5" x14ac:dyDescent="0.25">
      <c r="A274" s="5" t="s">
        <v>6</v>
      </c>
      <c r="B274" s="5" t="s">
        <v>676</v>
      </c>
      <c r="C274" s="1" t="s">
        <v>677</v>
      </c>
      <c r="D274" s="1" t="s">
        <v>669</v>
      </c>
      <c r="E274" s="7">
        <v>54743</v>
      </c>
    </row>
    <row r="275" spans="1:5" x14ac:dyDescent="0.25">
      <c r="A275" s="5" t="s">
        <v>6</v>
      </c>
      <c r="B275" s="5" t="s">
        <v>678</v>
      </c>
      <c r="C275" s="1" t="s">
        <v>679</v>
      </c>
      <c r="D275" s="1" t="s">
        <v>669</v>
      </c>
      <c r="E275" s="7">
        <v>54743</v>
      </c>
    </row>
    <row r="276" spans="1:5" x14ac:dyDescent="0.25">
      <c r="A276" s="5" t="s">
        <v>6</v>
      </c>
      <c r="B276" s="5" t="s">
        <v>680</v>
      </c>
      <c r="C276" s="1" t="s">
        <v>681</v>
      </c>
      <c r="D276" s="1" t="s">
        <v>669</v>
      </c>
      <c r="E276" s="7">
        <v>52726</v>
      </c>
    </row>
    <row r="277" spans="1:5" x14ac:dyDescent="0.25">
      <c r="A277" s="5" t="s">
        <v>6</v>
      </c>
      <c r="B277" s="5" t="s">
        <v>682</v>
      </c>
      <c r="C277" s="1" t="s">
        <v>683</v>
      </c>
      <c r="D277" s="1" t="s">
        <v>669</v>
      </c>
      <c r="E277" s="7">
        <v>43054</v>
      </c>
    </row>
    <row r="278" spans="1:5" x14ac:dyDescent="0.25">
      <c r="A278" s="5" t="s">
        <v>6</v>
      </c>
      <c r="B278" s="5" t="s">
        <v>684</v>
      </c>
      <c r="C278" s="1" t="s">
        <v>685</v>
      </c>
      <c r="D278" s="1" t="s">
        <v>669</v>
      </c>
      <c r="E278" s="7">
        <v>54743</v>
      </c>
    </row>
    <row r="279" spans="1:5" x14ac:dyDescent="0.25">
      <c r="A279" s="5" t="s">
        <v>6</v>
      </c>
      <c r="B279" s="5" t="s">
        <v>686</v>
      </c>
      <c r="C279" s="1" t="s">
        <v>687</v>
      </c>
      <c r="D279" s="1" t="s">
        <v>669</v>
      </c>
      <c r="E279" s="7">
        <v>41680</v>
      </c>
    </row>
    <row r="280" spans="1:5" x14ac:dyDescent="0.25">
      <c r="A280" s="5" t="s">
        <v>6</v>
      </c>
      <c r="B280" s="5" t="s">
        <v>688</v>
      </c>
      <c r="C280" s="1" t="s">
        <v>689</v>
      </c>
      <c r="D280" s="1" t="s">
        <v>669</v>
      </c>
      <c r="E280" s="7">
        <v>54743</v>
      </c>
    </row>
    <row r="281" spans="1:5" x14ac:dyDescent="0.25">
      <c r="A281" s="5" t="s">
        <v>6</v>
      </c>
      <c r="B281" s="5" t="s">
        <v>690</v>
      </c>
      <c r="C281" s="1" t="s">
        <v>691</v>
      </c>
      <c r="D281" s="1" t="s">
        <v>669</v>
      </c>
      <c r="E281" s="7">
        <v>54743</v>
      </c>
    </row>
    <row r="282" spans="1:5" x14ac:dyDescent="0.25">
      <c r="A282" s="5" t="s">
        <v>6</v>
      </c>
      <c r="B282" s="5" t="s">
        <v>692</v>
      </c>
      <c r="C282" s="1" t="s">
        <v>693</v>
      </c>
      <c r="D282" s="1" t="s">
        <v>694</v>
      </c>
      <c r="E282" s="7">
        <v>42780</v>
      </c>
    </row>
    <row r="283" spans="1:5" x14ac:dyDescent="0.25">
      <c r="A283" s="5" t="s">
        <v>6</v>
      </c>
      <c r="B283" s="5" t="s">
        <v>695</v>
      </c>
      <c r="C283" s="1" t="s">
        <v>696</v>
      </c>
      <c r="D283" s="1" t="s">
        <v>697</v>
      </c>
      <c r="E283" s="7">
        <v>32598</v>
      </c>
    </row>
    <row r="284" spans="1:5" x14ac:dyDescent="0.25">
      <c r="A284" s="5" t="s">
        <v>6</v>
      </c>
      <c r="B284" s="5" t="s">
        <v>698</v>
      </c>
      <c r="C284" s="1" t="s">
        <v>699</v>
      </c>
      <c r="D284" s="1" t="s">
        <v>669</v>
      </c>
      <c r="E284" s="7">
        <v>46764</v>
      </c>
    </row>
    <row r="285" spans="1:5" x14ac:dyDescent="0.25">
      <c r="A285" s="5" t="s">
        <v>6</v>
      </c>
      <c r="B285" s="5" t="s">
        <v>700</v>
      </c>
      <c r="C285" s="1" t="s">
        <v>701</v>
      </c>
      <c r="D285" s="1" t="s">
        <v>702</v>
      </c>
      <c r="E285" s="7">
        <v>43054</v>
      </c>
    </row>
    <row r="286" spans="1:5" x14ac:dyDescent="0.25">
      <c r="A286" s="5" t="s">
        <v>6</v>
      </c>
      <c r="B286" s="5" t="s">
        <v>703</v>
      </c>
      <c r="C286" s="1" t="s">
        <v>704</v>
      </c>
      <c r="D286" s="1" t="s">
        <v>705</v>
      </c>
      <c r="E286" s="7">
        <v>62572</v>
      </c>
    </row>
    <row r="287" spans="1:5" x14ac:dyDescent="0.25">
      <c r="A287" s="5" t="s">
        <v>6</v>
      </c>
      <c r="B287" s="5" t="s">
        <v>706</v>
      </c>
      <c r="C287" s="1" t="s">
        <v>707</v>
      </c>
      <c r="D287" s="1" t="s">
        <v>705</v>
      </c>
      <c r="E287" s="7">
        <v>100292</v>
      </c>
    </row>
    <row r="288" spans="1:5" x14ac:dyDescent="0.25">
      <c r="A288" s="5" t="s">
        <v>6</v>
      </c>
      <c r="B288" s="5" t="s">
        <v>708</v>
      </c>
      <c r="C288" s="1" t="s">
        <v>709</v>
      </c>
      <c r="D288" s="1" t="s">
        <v>710</v>
      </c>
      <c r="E288" s="7">
        <v>50448</v>
      </c>
    </row>
    <row r="289" spans="1:5" x14ac:dyDescent="0.25">
      <c r="A289" s="5" t="s">
        <v>6</v>
      </c>
      <c r="B289" s="5" t="s">
        <v>711</v>
      </c>
      <c r="C289" s="1" t="s">
        <v>712</v>
      </c>
      <c r="D289" s="1" t="s">
        <v>710</v>
      </c>
      <c r="E289" s="7">
        <v>20107</v>
      </c>
    </row>
    <row r="290" spans="1:5" x14ac:dyDescent="0.25">
      <c r="A290" s="5" t="s">
        <v>6</v>
      </c>
      <c r="B290" s="5" t="s">
        <v>713</v>
      </c>
      <c r="C290" s="1" t="s">
        <v>714</v>
      </c>
      <c r="D290" s="1" t="s">
        <v>710</v>
      </c>
      <c r="E290" s="7">
        <v>24730</v>
      </c>
    </row>
    <row r="291" spans="1:5" x14ac:dyDescent="0.25">
      <c r="A291" s="5" t="s">
        <v>6</v>
      </c>
      <c r="B291" s="5" t="s">
        <v>715</v>
      </c>
      <c r="C291" s="1" t="s">
        <v>716</v>
      </c>
      <c r="D291" s="1" t="s">
        <v>710</v>
      </c>
      <c r="E291" s="7">
        <v>43280</v>
      </c>
    </row>
    <row r="292" spans="1:5" x14ac:dyDescent="0.25">
      <c r="A292" s="5" t="s">
        <v>6</v>
      </c>
      <c r="B292" s="5" t="s">
        <v>717</v>
      </c>
      <c r="C292" s="1" t="s">
        <v>718</v>
      </c>
      <c r="D292" s="1" t="s">
        <v>710</v>
      </c>
      <c r="E292" s="7">
        <v>38997</v>
      </c>
    </row>
    <row r="293" spans="1:5" x14ac:dyDescent="0.25">
      <c r="A293" s="5" t="s">
        <v>6</v>
      </c>
      <c r="B293" s="5" t="s">
        <v>719</v>
      </c>
      <c r="C293" s="1" t="s">
        <v>720</v>
      </c>
      <c r="D293" s="1" t="s">
        <v>710</v>
      </c>
      <c r="E293" s="7">
        <v>39205</v>
      </c>
    </row>
    <row r="294" spans="1:5" x14ac:dyDescent="0.25">
      <c r="A294" s="5" t="s">
        <v>6</v>
      </c>
      <c r="B294" s="5" t="s">
        <v>721</v>
      </c>
      <c r="C294" s="1" t="s">
        <v>722</v>
      </c>
      <c r="D294" s="1" t="s">
        <v>723</v>
      </c>
      <c r="E294" s="7">
        <v>58818</v>
      </c>
    </row>
    <row r="295" spans="1:5" x14ac:dyDescent="0.25">
      <c r="A295" s="5" t="s">
        <v>6</v>
      </c>
      <c r="B295" s="5" t="s">
        <v>724</v>
      </c>
      <c r="C295" s="1" t="s">
        <v>725</v>
      </c>
      <c r="D295" s="1" t="s">
        <v>726</v>
      </c>
      <c r="E295" s="7">
        <v>54743</v>
      </c>
    </row>
    <row r="296" spans="1:5" x14ac:dyDescent="0.25">
      <c r="A296" s="5" t="s">
        <v>6</v>
      </c>
      <c r="B296" s="5" t="s">
        <v>727</v>
      </c>
      <c r="C296" s="1" t="s">
        <v>728</v>
      </c>
      <c r="D296" s="1" t="s">
        <v>729</v>
      </c>
      <c r="E296" s="7">
        <v>42175</v>
      </c>
    </row>
    <row r="297" spans="1:5" x14ac:dyDescent="0.25">
      <c r="A297" s="5" t="s">
        <v>6</v>
      </c>
      <c r="B297" s="5" t="s">
        <v>730</v>
      </c>
      <c r="C297" s="1" t="s">
        <v>731</v>
      </c>
      <c r="D297" s="1" t="s">
        <v>732</v>
      </c>
      <c r="E297" s="7">
        <v>59914</v>
      </c>
    </row>
    <row r="298" spans="1:5" x14ac:dyDescent="0.25">
      <c r="A298" s="5" t="s">
        <v>6</v>
      </c>
      <c r="B298" s="5" t="s">
        <v>733</v>
      </c>
      <c r="C298" s="1" t="s">
        <v>734</v>
      </c>
      <c r="D298" s="1" t="s">
        <v>735</v>
      </c>
      <c r="E298" s="7">
        <v>29833</v>
      </c>
    </row>
    <row r="299" spans="1:5" x14ac:dyDescent="0.25">
      <c r="A299" s="5" t="s">
        <v>6</v>
      </c>
      <c r="B299" s="5" t="s">
        <v>736</v>
      </c>
      <c r="C299" s="1" t="s">
        <v>737</v>
      </c>
      <c r="D299" s="1" t="s">
        <v>666</v>
      </c>
      <c r="E299" s="7">
        <v>25600</v>
      </c>
    </row>
    <row r="300" spans="1:5" x14ac:dyDescent="0.25">
      <c r="A300" s="5" t="s">
        <v>6</v>
      </c>
      <c r="B300" s="5" t="s">
        <v>738</v>
      </c>
      <c r="C300" s="1" t="s">
        <v>739</v>
      </c>
      <c r="D300" s="1" t="s">
        <v>740</v>
      </c>
      <c r="E300" s="7">
        <v>53354</v>
      </c>
    </row>
    <row r="301" spans="1:5" x14ac:dyDescent="0.25">
      <c r="A301" s="5" t="s">
        <v>6</v>
      </c>
      <c r="B301" s="5" t="s">
        <v>741</v>
      </c>
      <c r="C301" s="1" t="s">
        <v>742</v>
      </c>
      <c r="D301" s="1" t="s">
        <v>743</v>
      </c>
      <c r="E301" s="7">
        <v>39187</v>
      </c>
    </row>
    <row r="302" spans="1:5" x14ac:dyDescent="0.25">
      <c r="A302" s="5" t="s">
        <v>6</v>
      </c>
      <c r="B302" s="5" t="s">
        <v>744</v>
      </c>
      <c r="C302" s="1" t="s">
        <v>745</v>
      </c>
      <c r="D302" s="1" t="s">
        <v>743</v>
      </c>
      <c r="E302" s="7">
        <v>39111</v>
      </c>
    </row>
    <row r="303" spans="1:5" x14ac:dyDescent="0.25">
      <c r="A303" s="5" t="s">
        <v>6</v>
      </c>
      <c r="B303" s="5" t="s">
        <v>746</v>
      </c>
      <c r="C303" s="1" t="s">
        <v>747</v>
      </c>
      <c r="D303" s="1" t="s">
        <v>743</v>
      </c>
      <c r="E303" s="7">
        <v>29444</v>
      </c>
    </row>
    <row r="304" spans="1:5" x14ac:dyDescent="0.25">
      <c r="A304" s="5" t="s">
        <v>6</v>
      </c>
      <c r="B304" s="5" t="s">
        <v>748</v>
      </c>
      <c r="C304" s="1" t="s">
        <v>749</v>
      </c>
      <c r="D304" s="1" t="s">
        <v>750</v>
      </c>
      <c r="E304" s="7">
        <v>48873</v>
      </c>
    </row>
    <row r="305" spans="1:5" x14ac:dyDescent="0.25">
      <c r="A305" s="5" t="s">
        <v>6</v>
      </c>
      <c r="B305" s="5" t="s">
        <v>751</v>
      </c>
      <c r="C305" s="1" t="s">
        <v>752</v>
      </c>
      <c r="D305" s="1" t="s">
        <v>753</v>
      </c>
      <c r="E305" s="7">
        <v>36083</v>
      </c>
    </row>
    <row r="306" spans="1:5" x14ac:dyDescent="0.25">
      <c r="A306" s="5" t="s">
        <v>6</v>
      </c>
      <c r="B306" s="5" t="s">
        <v>754</v>
      </c>
      <c r="C306" s="1" t="s">
        <v>755</v>
      </c>
      <c r="D306" s="1" t="s">
        <v>756</v>
      </c>
      <c r="E306" s="7">
        <v>25499</v>
      </c>
    </row>
    <row r="307" spans="1:5" x14ac:dyDescent="0.25">
      <c r="A307" s="5" t="s">
        <v>6</v>
      </c>
      <c r="B307" s="5" t="s">
        <v>757</v>
      </c>
      <c r="C307" s="1" t="s">
        <v>758</v>
      </c>
      <c r="D307" s="1" t="s">
        <v>759</v>
      </c>
      <c r="E307" s="7">
        <v>49761</v>
      </c>
    </row>
    <row r="308" spans="1:5" x14ac:dyDescent="0.25">
      <c r="A308" s="5" t="s">
        <v>6</v>
      </c>
      <c r="B308" s="5" t="s">
        <v>760</v>
      </c>
      <c r="C308" s="1" t="s">
        <v>761</v>
      </c>
      <c r="D308" s="1" t="s">
        <v>759</v>
      </c>
      <c r="E308" s="7">
        <v>23010</v>
      </c>
    </row>
    <row r="309" spans="1:5" x14ac:dyDescent="0.25">
      <c r="A309" s="5" t="s">
        <v>6</v>
      </c>
      <c r="B309" s="5" t="s">
        <v>762</v>
      </c>
      <c r="C309" s="1" t="s">
        <v>763</v>
      </c>
      <c r="D309" s="1" t="s">
        <v>759</v>
      </c>
      <c r="E309" s="7">
        <v>24987</v>
      </c>
    </row>
    <row r="310" spans="1:5" x14ac:dyDescent="0.25">
      <c r="A310" s="5" t="s">
        <v>6</v>
      </c>
      <c r="B310" s="5" t="s">
        <v>764</v>
      </c>
      <c r="C310" s="1" t="s">
        <v>765</v>
      </c>
      <c r="D310" s="1" t="s">
        <v>766</v>
      </c>
      <c r="E310" s="7">
        <v>42972</v>
      </c>
    </row>
    <row r="311" spans="1:5" x14ac:dyDescent="0.25">
      <c r="A311" s="5" t="s">
        <v>6</v>
      </c>
      <c r="B311" s="5" t="s">
        <v>767</v>
      </c>
      <c r="C311" s="1" t="s">
        <v>768</v>
      </c>
      <c r="D311" s="1" t="s">
        <v>769</v>
      </c>
      <c r="E311" s="7">
        <v>66748</v>
      </c>
    </row>
    <row r="312" spans="1:5" x14ac:dyDescent="0.25">
      <c r="A312" s="5" t="s">
        <v>6</v>
      </c>
      <c r="B312" s="5" t="s">
        <v>770</v>
      </c>
      <c r="C312" s="1" t="s">
        <v>771</v>
      </c>
      <c r="D312" s="1" t="s">
        <v>772</v>
      </c>
      <c r="E312" s="7">
        <v>57899</v>
      </c>
    </row>
    <row r="313" spans="1:5" x14ac:dyDescent="0.25">
      <c r="A313" s="5" t="s">
        <v>6</v>
      </c>
      <c r="B313" s="5" t="s">
        <v>773</v>
      </c>
      <c r="C313" s="1" t="s">
        <v>774</v>
      </c>
      <c r="D313" s="1" t="s">
        <v>775</v>
      </c>
      <c r="E313" s="7">
        <v>105059</v>
      </c>
    </row>
    <row r="314" spans="1:5" x14ac:dyDescent="0.25">
      <c r="A314" s="5" t="s">
        <v>6</v>
      </c>
      <c r="B314" s="5" t="s">
        <v>776</v>
      </c>
      <c r="C314" s="1" t="s">
        <v>777</v>
      </c>
      <c r="D314" s="1" t="s">
        <v>775</v>
      </c>
      <c r="E314" s="7">
        <v>67418</v>
      </c>
    </row>
    <row r="315" spans="1:5" x14ac:dyDescent="0.25">
      <c r="A315" s="5" t="s">
        <v>6</v>
      </c>
      <c r="B315" s="5" t="s">
        <v>778</v>
      </c>
      <c r="C315" s="1" t="s">
        <v>779</v>
      </c>
      <c r="D315" s="1" t="s">
        <v>780</v>
      </c>
      <c r="E315" s="7">
        <v>82180</v>
      </c>
    </row>
    <row r="316" spans="1:5" x14ac:dyDescent="0.25">
      <c r="A316" s="5" t="s">
        <v>6</v>
      </c>
      <c r="B316" s="5" t="s">
        <v>781</v>
      </c>
      <c r="C316" s="1" t="s">
        <v>782</v>
      </c>
      <c r="D316" s="1" t="s">
        <v>780</v>
      </c>
      <c r="E316" s="7">
        <v>76987</v>
      </c>
    </row>
    <row r="317" spans="1:5" x14ac:dyDescent="0.25">
      <c r="A317" s="5" t="s">
        <v>6</v>
      </c>
      <c r="B317" s="5" t="s">
        <v>783</v>
      </c>
      <c r="C317" s="1" t="s">
        <v>784</v>
      </c>
      <c r="D317" s="1" t="s">
        <v>785</v>
      </c>
      <c r="E317" s="7">
        <v>29074</v>
      </c>
    </row>
    <row r="318" spans="1:5" x14ac:dyDescent="0.25">
      <c r="A318" s="5" t="s">
        <v>6</v>
      </c>
      <c r="B318" s="5" t="s">
        <v>786</v>
      </c>
      <c r="C318" s="1" t="s">
        <v>787</v>
      </c>
      <c r="D318" s="1" t="s">
        <v>788</v>
      </c>
      <c r="E318" s="7">
        <v>31476</v>
      </c>
    </row>
    <row r="319" spans="1:5" x14ac:dyDescent="0.25">
      <c r="A319" s="5" t="s">
        <v>6</v>
      </c>
      <c r="B319" s="5" t="s">
        <v>789</v>
      </c>
      <c r="C319" s="1" t="s">
        <v>790</v>
      </c>
      <c r="D319" s="1" t="s">
        <v>791</v>
      </c>
      <c r="E319" s="7">
        <v>71085</v>
      </c>
    </row>
    <row r="320" spans="1:5" x14ac:dyDescent="0.25">
      <c r="A320" s="5" t="s">
        <v>6</v>
      </c>
      <c r="B320" s="5" t="s">
        <v>792</v>
      </c>
      <c r="C320" s="1" t="s">
        <v>793</v>
      </c>
      <c r="D320" s="1" t="s">
        <v>794</v>
      </c>
      <c r="E320" s="7">
        <v>65227</v>
      </c>
    </row>
    <row r="321" spans="1:5" x14ac:dyDescent="0.25">
      <c r="A321" s="5" t="s">
        <v>6</v>
      </c>
      <c r="B321" s="5" t="s">
        <v>795</v>
      </c>
      <c r="C321" s="1" t="s">
        <v>796</v>
      </c>
      <c r="D321" s="1" t="s">
        <v>797</v>
      </c>
      <c r="E321" s="7">
        <v>57240</v>
      </c>
    </row>
    <row r="322" spans="1:5" x14ac:dyDescent="0.25">
      <c r="A322" s="5" t="s">
        <v>6</v>
      </c>
      <c r="B322" s="5" t="s">
        <v>798</v>
      </c>
      <c r="C322" s="1" t="s">
        <v>799</v>
      </c>
      <c r="D322" s="1" t="s">
        <v>800</v>
      </c>
      <c r="E322" s="7">
        <v>59722</v>
      </c>
    </row>
    <row r="323" spans="1:5" x14ac:dyDescent="0.25">
      <c r="A323" s="5" t="s">
        <v>6</v>
      </c>
      <c r="B323" s="5" t="s">
        <v>801</v>
      </c>
      <c r="C323" s="1" t="s">
        <v>802</v>
      </c>
      <c r="D323" s="1" t="s">
        <v>803</v>
      </c>
      <c r="E323" s="7">
        <v>98276</v>
      </c>
    </row>
    <row r="324" spans="1:5" x14ac:dyDescent="0.25">
      <c r="A324" s="5" t="s">
        <v>6</v>
      </c>
      <c r="B324" s="5" t="s">
        <v>804</v>
      </c>
      <c r="C324" s="1" t="s">
        <v>805</v>
      </c>
      <c r="D324" s="1" t="s">
        <v>800</v>
      </c>
      <c r="E324" s="7">
        <v>49294</v>
      </c>
    </row>
    <row r="325" spans="1:5" x14ac:dyDescent="0.25">
      <c r="A325" s="5" t="s">
        <v>6</v>
      </c>
      <c r="B325" s="5" t="s">
        <v>806</v>
      </c>
      <c r="C325" s="1" t="s">
        <v>807</v>
      </c>
      <c r="D325" s="1" t="s">
        <v>808</v>
      </c>
      <c r="E325" s="7">
        <v>90816</v>
      </c>
    </row>
    <row r="326" spans="1:5" x14ac:dyDescent="0.25">
      <c r="A326" s="5" t="s">
        <v>6</v>
      </c>
      <c r="B326" s="5" t="s">
        <v>809</v>
      </c>
      <c r="C326" s="1" t="s">
        <v>810</v>
      </c>
      <c r="D326" s="1" t="s">
        <v>811</v>
      </c>
      <c r="E326" s="7">
        <v>110401</v>
      </c>
    </row>
    <row r="327" spans="1:5" x14ac:dyDescent="0.25">
      <c r="A327" s="5" t="s">
        <v>6</v>
      </c>
      <c r="B327" s="5" t="s">
        <v>812</v>
      </c>
      <c r="C327" s="1" t="s">
        <v>813</v>
      </c>
      <c r="D327" s="1" t="s">
        <v>814</v>
      </c>
      <c r="E327" s="7">
        <v>698</v>
      </c>
    </row>
    <row r="328" spans="1:5" x14ac:dyDescent="0.25">
      <c r="A328" s="5" t="s">
        <v>6</v>
      </c>
      <c r="B328" s="5" t="s">
        <v>815</v>
      </c>
      <c r="C328" s="1" t="s">
        <v>816</v>
      </c>
      <c r="D328" s="1" t="s">
        <v>817</v>
      </c>
      <c r="E328" s="7">
        <v>117346.15</v>
      </c>
    </row>
    <row r="329" spans="1:5" x14ac:dyDescent="0.25">
      <c r="A329" s="5" t="s">
        <v>6</v>
      </c>
      <c r="B329" s="5" t="s">
        <v>818</v>
      </c>
      <c r="C329" s="1" t="s">
        <v>819</v>
      </c>
      <c r="D329" s="1" t="s">
        <v>817</v>
      </c>
      <c r="E329" s="7">
        <v>153461.53</v>
      </c>
    </row>
    <row r="330" spans="1:5" x14ac:dyDescent="0.25">
      <c r="A330" s="5" t="s">
        <v>6</v>
      </c>
      <c r="B330" s="5" t="s">
        <v>820</v>
      </c>
      <c r="C330" s="1" t="s">
        <v>821</v>
      </c>
      <c r="D330" s="1" t="s">
        <v>817</v>
      </c>
      <c r="E330" s="7">
        <v>153461.53</v>
      </c>
    </row>
    <row r="331" spans="1:5" x14ac:dyDescent="0.25">
      <c r="A331" s="5" t="s">
        <v>6</v>
      </c>
      <c r="B331" s="5" t="s">
        <v>822</v>
      </c>
      <c r="C331" s="1" t="s">
        <v>823</v>
      </c>
      <c r="D331" s="1" t="s">
        <v>824</v>
      </c>
      <c r="E331" s="7">
        <v>149240.38</v>
      </c>
    </row>
    <row r="332" spans="1:5" x14ac:dyDescent="0.25">
      <c r="A332" s="5" t="s">
        <v>6</v>
      </c>
      <c r="B332" s="5" t="s">
        <v>825</v>
      </c>
      <c r="C332" s="1" t="s">
        <v>826</v>
      </c>
      <c r="D332" s="1" t="s">
        <v>827</v>
      </c>
      <c r="E332" s="7">
        <v>198132</v>
      </c>
    </row>
    <row r="333" spans="1:5" x14ac:dyDescent="0.25">
      <c r="A333" s="5" t="s">
        <v>6</v>
      </c>
      <c r="B333" s="5" t="s">
        <v>828</v>
      </c>
      <c r="C333" s="1" t="s">
        <v>829</v>
      </c>
      <c r="D333" s="1" t="s">
        <v>824</v>
      </c>
      <c r="E333" s="7">
        <v>123825</v>
      </c>
    </row>
    <row r="334" spans="1:5" x14ac:dyDescent="0.25">
      <c r="A334" s="5" t="s">
        <v>6</v>
      </c>
      <c r="B334" s="5" t="s">
        <v>830</v>
      </c>
      <c r="C334" s="1" t="s">
        <v>831</v>
      </c>
      <c r="D334" s="1" t="s">
        <v>827</v>
      </c>
      <c r="E334" s="7">
        <v>161936</v>
      </c>
    </row>
    <row r="335" spans="1:5" x14ac:dyDescent="0.25">
      <c r="A335" s="5" t="s">
        <v>6</v>
      </c>
      <c r="B335" s="5" t="s">
        <v>832</v>
      </c>
      <c r="C335" s="1" t="s">
        <v>833</v>
      </c>
      <c r="D335" s="1" t="s">
        <v>834</v>
      </c>
      <c r="E335" s="7">
        <v>161936</v>
      </c>
    </row>
    <row r="336" spans="1:5" x14ac:dyDescent="0.25">
      <c r="A336" s="5" t="s">
        <v>6</v>
      </c>
      <c r="B336" s="5" t="s">
        <v>835</v>
      </c>
      <c r="C336" s="1" t="s">
        <v>836</v>
      </c>
      <c r="D336" s="1" t="s">
        <v>827</v>
      </c>
      <c r="E336" s="7">
        <v>165933</v>
      </c>
    </row>
    <row r="337" spans="1:5" x14ac:dyDescent="0.25">
      <c r="A337" s="5" t="s">
        <v>6</v>
      </c>
      <c r="B337" s="5" t="s">
        <v>837</v>
      </c>
      <c r="C337" s="1" t="s">
        <v>838</v>
      </c>
      <c r="D337" s="1" t="s">
        <v>827</v>
      </c>
      <c r="E337" s="7">
        <v>165933</v>
      </c>
    </row>
    <row r="338" spans="1:5" x14ac:dyDescent="0.25">
      <c r="A338" s="5" t="s">
        <v>6</v>
      </c>
      <c r="B338" s="5" t="s">
        <v>839</v>
      </c>
      <c r="C338" s="1" t="s">
        <v>840</v>
      </c>
      <c r="D338" s="1" t="s">
        <v>841</v>
      </c>
      <c r="E338" s="7">
        <v>123825</v>
      </c>
    </row>
    <row r="339" spans="1:5" x14ac:dyDescent="0.25">
      <c r="A339" s="5" t="s">
        <v>6</v>
      </c>
      <c r="B339" s="5" t="s">
        <v>842</v>
      </c>
      <c r="C339" s="1" t="s">
        <v>843</v>
      </c>
      <c r="D339" s="1" t="s">
        <v>844</v>
      </c>
      <c r="E339" s="7">
        <v>146506</v>
      </c>
    </row>
    <row r="340" spans="1:5" x14ac:dyDescent="0.25">
      <c r="A340" s="5" t="s">
        <v>6</v>
      </c>
      <c r="B340" s="5" t="s">
        <v>845</v>
      </c>
      <c r="C340" s="1" t="s">
        <v>846</v>
      </c>
      <c r="D340" s="1" t="s">
        <v>844</v>
      </c>
      <c r="E340" s="7">
        <v>149347</v>
      </c>
    </row>
    <row r="341" spans="1:5" x14ac:dyDescent="0.25">
      <c r="A341" s="5" t="s">
        <v>6</v>
      </c>
      <c r="B341" s="5" t="s">
        <v>847</v>
      </c>
      <c r="C341" s="1" t="s">
        <v>848</v>
      </c>
      <c r="D341" s="1" t="s">
        <v>849</v>
      </c>
      <c r="E341" s="7">
        <v>173138</v>
      </c>
    </row>
    <row r="342" spans="1:5" x14ac:dyDescent="0.25">
      <c r="A342" s="5" t="s">
        <v>6</v>
      </c>
      <c r="B342" s="5" t="s">
        <v>850</v>
      </c>
      <c r="C342" s="1" t="s">
        <v>851</v>
      </c>
      <c r="D342" s="1" t="s">
        <v>844</v>
      </c>
      <c r="E342" s="7">
        <v>93029</v>
      </c>
    </row>
    <row r="343" spans="1:5" x14ac:dyDescent="0.25">
      <c r="A343" s="5" t="s">
        <v>6</v>
      </c>
      <c r="B343" s="5" t="s">
        <v>852</v>
      </c>
      <c r="C343" s="1" t="s">
        <v>853</v>
      </c>
      <c r="D343" s="1" t="s">
        <v>849</v>
      </c>
      <c r="E343" s="7">
        <v>222850</v>
      </c>
    </row>
    <row r="344" spans="1:5" x14ac:dyDescent="0.25">
      <c r="A344" s="5" t="s">
        <v>6</v>
      </c>
      <c r="B344" s="5" t="s">
        <v>854</v>
      </c>
      <c r="C344" s="1" t="s">
        <v>855</v>
      </c>
      <c r="D344" s="1" t="s">
        <v>856</v>
      </c>
      <c r="E344" s="7">
        <v>138701</v>
      </c>
    </row>
    <row r="345" spans="1:5" x14ac:dyDescent="0.25">
      <c r="A345" s="5" t="s">
        <v>6</v>
      </c>
      <c r="B345" s="5" t="s">
        <v>857</v>
      </c>
      <c r="C345" s="1" t="s">
        <v>858</v>
      </c>
      <c r="D345" s="1" t="s">
        <v>856</v>
      </c>
      <c r="E345" s="7">
        <v>123290</v>
      </c>
    </row>
    <row r="346" spans="1:5" x14ac:dyDescent="0.25">
      <c r="A346" s="5" t="s">
        <v>6</v>
      </c>
      <c r="B346" s="5" t="s">
        <v>859</v>
      </c>
      <c r="C346" s="1" t="s">
        <v>860</v>
      </c>
      <c r="D346" s="1" t="s">
        <v>861</v>
      </c>
      <c r="E346" s="7">
        <v>112380</v>
      </c>
    </row>
    <row r="347" spans="1:5" x14ac:dyDescent="0.25">
      <c r="A347" s="5" t="s">
        <v>6</v>
      </c>
      <c r="B347" s="5" t="s">
        <v>862</v>
      </c>
      <c r="C347" s="1" t="s">
        <v>863</v>
      </c>
      <c r="D347" s="1" t="s">
        <v>864</v>
      </c>
      <c r="E347" s="7">
        <v>133889</v>
      </c>
    </row>
    <row r="348" spans="1:5" x14ac:dyDescent="0.25">
      <c r="A348" s="5" t="s">
        <v>6</v>
      </c>
      <c r="B348" s="5" t="s">
        <v>865</v>
      </c>
      <c r="C348" s="1" t="s">
        <v>866</v>
      </c>
      <c r="D348" s="1" t="s">
        <v>867</v>
      </c>
      <c r="E348" s="7">
        <v>100980</v>
      </c>
    </row>
    <row r="349" spans="1:5" x14ac:dyDescent="0.25">
      <c r="A349" s="5" t="s">
        <v>6</v>
      </c>
      <c r="B349" s="5" t="s">
        <v>868</v>
      </c>
      <c r="C349" s="1" t="s">
        <v>869</v>
      </c>
      <c r="D349" s="1" t="s">
        <v>870</v>
      </c>
      <c r="E349" s="7">
        <v>107249</v>
      </c>
    </row>
    <row r="350" spans="1:5" x14ac:dyDescent="0.25">
      <c r="A350" s="5" t="s">
        <v>6</v>
      </c>
      <c r="B350" s="5" t="s">
        <v>871</v>
      </c>
      <c r="C350" s="1" t="s">
        <v>872</v>
      </c>
      <c r="D350" s="1" t="s">
        <v>873</v>
      </c>
      <c r="E350" s="7">
        <v>117693</v>
      </c>
    </row>
    <row r="351" spans="1:5" x14ac:dyDescent="0.25">
      <c r="A351" s="5" t="s">
        <v>6</v>
      </c>
      <c r="B351" s="5" t="s">
        <v>874</v>
      </c>
      <c r="C351" s="1" t="s">
        <v>875</v>
      </c>
      <c r="D351" s="1" t="s">
        <v>873</v>
      </c>
      <c r="E351" s="7">
        <v>89140</v>
      </c>
    </row>
    <row r="352" spans="1:5" x14ac:dyDescent="0.25">
      <c r="A352" s="5" t="s">
        <v>6</v>
      </c>
      <c r="B352" s="5" t="s">
        <v>876</v>
      </c>
      <c r="C352" s="1" t="s">
        <v>877</v>
      </c>
      <c r="D352" s="1" t="s">
        <v>873</v>
      </c>
      <c r="E352" s="7">
        <v>100287</v>
      </c>
    </row>
    <row r="353" spans="1:5" x14ac:dyDescent="0.25">
      <c r="A353" s="5" t="s">
        <v>6</v>
      </c>
      <c r="B353" s="5" t="s">
        <v>878</v>
      </c>
      <c r="C353" s="1" t="s">
        <v>879</v>
      </c>
      <c r="D353" s="1" t="s">
        <v>880</v>
      </c>
      <c r="E353" s="7">
        <v>115117</v>
      </c>
    </row>
    <row r="354" spans="1:5" x14ac:dyDescent="0.25">
      <c r="A354" s="5" t="s">
        <v>6</v>
      </c>
      <c r="B354" s="5" t="s">
        <v>881</v>
      </c>
      <c r="C354" s="1" t="s">
        <v>882</v>
      </c>
      <c r="D354" s="1" t="s">
        <v>880</v>
      </c>
      <c r="E354" s="7">
        <v>103749</v>
      </c>
    </row>
    <row r="355" spans="1:5" x14ac:dyDescent="0.25">
      <c r="A355" s="5" t="s">
        <v>6</v>
      </c>
      <c r="B355" s="5" t="s">
        <v>883</v>
      </c>
      <c r="C355" s="1" t="s">
        <v>884</v>
      </c>
      <c r="D355" s="1" t="s">
        <v>880</v>
      </c>
      <c r="E355" s="7">
        <v>118678</v>
      </c>
    </row>
    <row r="356" spans="1:5" x14ac:dyDescent="0.25">
      <c r="A356" s="5" t="s">
        <v>6</v>
      </c>
      <c r="B356" s="5" t="s">
        <v>885</v>
      </c>
      <c r="C356" s="1" t="s">
        <v>886</v>
      </c>
      <c r="D356" s="1" t="s">
        <v>880</v>
      </c>
      <c r="E356" s="7">
        <v>118678</v>
      </c>
    </row>
    <row r="357" spans="1:5" x14ac:dyDescent="0.25">
      <c r="A357" s="5" t="s">
        <v>6</v>
      </c>
      <c r="B357" s="5" t="s">
        <v>887</v>
      </c>
      <c r="C357" s="1" t="s">
        <v>888</v>
      </c>
      <c r="D357" s="1" t="s">
        <v>880</v>
      </c>
      <c r="E357" s="7">
        <v>174424</v>
      </c>
    </row>
    <row r="358" spans="1:5" x14ac:dyDescent="0.25">
      <c r="A358" s="5" t="s">
        <v>6</v>
      </c>
      <c r="B358" s="5" t="s">
        <v>889</v>
      </c>
      <c r="C358" s="1" t="s">
        <v>890</v>
      </c>
      <c r="D358" s="1" t="s">
        <v>891</v>
      </c>
      <c r="E358" s="7">
        <v>138785</v>
      </c>
    </row>
    <row r="359" spans="1:5" x14ac:dyDescent="0.25">
      <c r="A359" s="5" t="s">
        <v>6</v>
      </c>
      <c r="B359" s="5" t="s">
        <v>892</v>
      </c>
      <c r="C359" s="1" t="s">
        <v>893</v>
      </c>
      <c r="D359" s="1" t="s">
        <v>894</v>
      </c>
      <c r="E359" s="7">
        <v>217295</v>
      </c>
    </row>
    <row r="360" spans="1:5" x14ac:dyDescent="0.25">
      <c r="A360" s="5" t="s">
        <v>6</v>
      </c>
      <c r="B360" s="5" t="s">
        <v>895</v>
      </c>
      <c r="C360" s="1" t="s">
        <v>896</v>
      </c>
      <c r="D360" s="1" t="s">
        <v>894</v>
      </c>
      <c r="E360" s="7">
        <v>239894</v>
      </c>
    </row>
    <row r="361" spans="1:5" x14ac:dyDescent="0.25">
      <c r="A361" s="5" t="s">
        <v>6</v>
      </c>
      <c r="B361" s="5" t="s">
        <v>897</v>
      </c>
      <c r="C361" s="1" t="s">
        <v>898</v>
      </c>
      <c r="D361" s="1" t="s">
        <v>899</v>
      </c>
      <c r="E361" s="7">
        <v>250510</v>
      </c>
    </row>
    <row r="362" spans="1:5" x14ac:dyDescent="0.25">
      <c r="A362" s="5" t="s">
        <v>6</v>
      </c>
      <c r="B362" s="5" t="s">
        <v>900</v>
      </c>
      <c r="C362" s="1" t="s">
        <v>901</v>
      </c>
      <c r="D362" s="1" t="s">
        <v>873</v>
      </c>
      <c r="E362" s="7">
        <v>175742</v>
      </c>
    </row>
    <row r="363" spans="1:5" x14ac:dyDescent="0.25">
      <c r="A363" s="5" t="s">
        <v>6</v>
      </c>
      <c r="B363" s="5" t="s">
        <v>902</v>
      </c>
      <c r="C363" s="1" t="s">
        <v>903</v>
      </c>
      <c r="D363" s="1" t="s">
        <v>894</v>
      </c>
      <c r="E363" s="7">
        <v>204904</v>
      </c>
    </row>
    <row r="364" spans="1:5" x14ac:dyDescent="0.25">
      <c r="A364" s="5" t="s">
        <v>6</v>
      </c>
      <c r="B364" s="5" t="s">
        <v>904</v>
      </c>
      <c r="C364" s="1" t="s">
        <v>905</v>
      </c>
      <c r="D364" s="1" t="s">
        <v>906</v>
      </c>
      <c r="E364" s="7">
        <v>103041</v>
      </c>
    </row>
    <row r="365" spans="1:5" x14ac:dyDescent="0.25">
      <c r="A365" s="5" t="s">
        <v>6</v>
      </c>
      <c r="B365" s="5" t="s">
        <v>907</v>
      </c>
      <c r="C365" s="1" t="s">
        <v>908</v>
      </c>
      <c r="D365" s="1" t="s">
        <v>906</v>
      </c>
      <c r="E365" s="7">
        <v>161150</v>
      </c>
    </row>
    <row r="366" spans="1:5" x14ac:dyDescent="0.25">
      <c r="A366" s="5" t="s">
        <v>6</v>
      </c>
      <c r="B366" s="5" t="s">
        <v>909</v>
      </c>
      <c r="C366" s="1" t="s">
        <v>910</v>
      </c>
      <c r="D366" s="1" t="s">
        <v>911</v>
      </c>
      <c r="E366" s="7">
        <v>98183</v>
      </c>
    </row>
    <row r="367" spans="1:5" x14ac:dyDescent="0.25">
      <c r="A367" s="5" t="s">
        <v>6</v>
      </c>
      <c r="B367" s="5" t="s">
        <v>912</v>
      </c>
      <c r="C367" s="1" t="s">
        <v>913</v>
      </c>
      <c r="D367" s="1" t="s">
        <v>906</v>
      </c>
      <c r="E367" s="7">
        <v>103041</v>
      </c>
    </row>
    <row r="368" spans="1:5" x14ac:dyDescent="0.25">
      <c r="A368" s="5" t="s">
        <v>6</v>
      </c>
      <c r="B368" s="5" t="s">
        <v>914</v>
      </c>
      <c r="C368" s="1" t="s">
        <v>915</v>
      </c>
      <c r="D368" s="1" t="s">
        <v>916</v>
      </c>
      <c r="E368" s="7">
        <v>102050</v>
      </c>
    </row>
    <row r="369" spans="1:5" x14ac:dyDescent="0.25">
      <c r="A369" s="5" t="s">
        <v>6</v>
      </c>
      <c r="B369" s="5" t="s">
        <v>917</v>
      </c>
      <c r="C369" s="1" t="s">
        <v>918</v>
      </c>
      <c r="D369" s="1" t="s">
        <v>919</v>
      </c>
      <c r="E369" s="7">
        <v>74434</v>
      </c>
    </row>
    <row r="370" spans="1:5" x14ac:dyDescent="0.25">
      <c r="A370" s="5" t="s">
        <v>6</v>
      </c>
      <c r="B370" s="5" t="s">
        <v>920</v>
      </c>
      <c r="C370" s="1" t="s">
        <v>921</v>
      </c>
      <c r="D370" s="1" t="s">
        <v>922</v>
      </c>
      <c r="E370" s="7">
        <v>95166</v>
      </c>
    </row>
    <row r="371" spans="1:5" x14ac:dyDescent="0.25">
      <c r="A371" s="5" t="s">
        <v>6</v>
      </c>
      <c r="B371" s="5" t="s">
        <v>923</v>
      </c>
      <c r="C371" s="1" t="s">
        <v>924</v>
      </c>
      <c r="D371" s="1" t="s">
        <v>922</v>
      </c>
      <c r="E371" s="7">
        <v>82814</v>
      </c>
    </row>
    <row r="372" spans="1:5" x14ac:dyDescent="0.25">
      <c r="A372" s="5" t="s">
        <v>6</v>
      </c>
      <c r="B372" s="5" t="s">
        <v>925</v>
      </c>
      <c r="C372" s="1" t="s">
        <v>926</v>
      </c>
      <c r="D372" s="1" t="s">
        <v>922</v>
      </c>
      <c r="E372" s="7">
        <v>115691</v>
      </c>
    </row>
    <row r="373" spans="1:5" x14ac:dyDescent="0.25">
      <c r="A373" s="5" t="s">
        <v>6</v>
      </c>
      <c r="B373" s="5" t="s">
        <v>927</v>
      </c>
      <c r="C373" s="1" t="s">
        <v>928</v>
      </c>
      <c r="D373" s="1" t="s">
        <v>922</v>
      </c>
      <c r="E373" s="7">
        <v>84343</v>
      </c>
    </row>
    <row r="374" spans="1:5" x14ac:dyDescent="0.25">
      <c r="A374" s="5" t="s">
        <v>6</v>
      </c>
      <c r="B374" s="5" t="s">
        <v>929</v>
      </c>
      <c r="C374" s="1" t="s">
        <v>930</v>
      </c>
      <c r="D374" s="1" t="s">
        <v>922</v>
      </c>
      <c r="E374" s="7">
        <v>95166</v>
      </c>
    </row>
    <row r="375" spans="1:5" x14ac:dyDescent="0.25">
      <c r="A375" s="5" t="s">
        <v>6</v>
      </c>
      <c r="B375" s="5" t="s">
        <v>931</v>
      </c>
      <c r="C375" s="1" t="s">
        <v>932</v>
      </c>
      <c r="D375" s="1" t="s">
        <v>922</v>
      </c>
      <c r="E375" s="7">
        <v>111959</v>
      </c>
    </row>
    <row r="376" spans="1:5" x14ac:dyDescent="0.25">
      <c r="A376" s="5" t="s">
        <v>6</v>
      </c>
      <c r="B376" s="5" t="s">
        <v>933</v>
      </c>
      <c r="C376" s="1" t="s">
        <v>934</v>
      </c>
      <c r="D376" s="1" t="s">
        <v>935</v>
      </c>
      <c r="E376" s="7">
        <v>86496</v>
      </c>
    </row>
    <row r="377" spans="1:5" x14ac:dyDescent="0.25">
      <c r="A377" s="5" t="s">
        <v>6</v>
      </c>
      <c r="B377" s="5" t="s">
        <v>936</v>
      </c>
      <c r="C377" s="1" t="s">
        <v>937</v>
      </c>
      <c r="D377" s="1" t="s">
        <v>938</v>
      </c>
      <c r="E377" s="7">
        <v>120880</v>
      </c>
    </row>
    <row r="378" spans="1:5" x14ac:dyDescent="0.25">
      <c r="A378" s="5" t="s">
        <v>6</v>
      </c>
      <c r="B378" s="5" t="s">
        <v>939</v>
      </c>
      <c r="C378" s="1" t="s">
        <v>940</v>
      </c>
      <c r="D378" s="1" t="s">
        <v>941</v>
      </c>
      <c r="E378" s="7">
        <v>96833</v>
      </c>
    </row>
    <row r="379" spans="1:5" x14ac:dyDescent="0.25">
      <c r="A379" s="5" t="s">
        <v>6</v>
      </c>
      <c r="B379" s="5" t="s">
        <v>942</v>
      </c>
      <c r="C379" s="1" t="s">
        <v>943</v>
      </c>
      <c r="D379" s="1" t="s">
        <v>941</v>
      </c>
      <c r="E379" s="7">
        <v>93029</v>
      </c>
    </row>
    <row r="380" spans="1:5" x14ac:dyDescent="0.25">
      <c r="A380" s="5" t="s">
        <v>6</v>
      </c>
      <c r="B380" s="5" t="s">
        <v>944</v>
      </c>
      <c r="C380" s="1" t="s">
        <v>945</v>
      </c>
      <c r="D380" s="1" t="s">
        <v>941</v>
      </c>
      <c r="E380" s="7">
        <v>98459</v>
      </c>
    </row>
    <row r="381" spans="1:5" x14ac:dyDescent="0.25">
      <c r="A381" s="5" t="s">
        <v>6</v>
      </c>
      <c r="B381" s="5" t="s">
        <v>946</v>
      </c>
      <c r="C381" s="1" t="s">
        <v>947</v>
      </c>
      <c r="D381" s="1" t="s">
        <v>938</v>
      </c>
      <c r="E381" s="7">
        <v>115125</v>
      </c>
    </row>
    <row r="382" spans="1:5" x14ac:dyDescent="0.25">
      <c r="A382" s="5" t="s">
        <v>6</v>
      </c>
      <c r="B382" s="5" t="s">
        <v>948</v>
      </c>
      <c r="C382" s="1" t="s">
        <v>949</v>
      </c>
      <c r="D382" s="1" t="s">
        <v>919</v>
      </c>
      <c r="E382" s="7">
        <v>83967</v>
      </c>
    </row>
    <row r="383" spans="1:5" x14ac:dyDescent="0.25">
      <c r="A383" s="5" t="s">
        <v>6</v>
      </c>
      <c r="B383" s="5" t="s">
        <v>950</v>
      </c>
      <c r="C383" s="1" t="s">
        <v>951</v>
      </c>
      <c r="D383" s="1" t="s">
        <v>919</v>
      </c>
      <c r="E383" s="7">
        <v>76737</v>
      </c>
    </row>
    <row r="384" spans="1:5" x14ac:dyDescent="0.25">
      <c r="A384" s="5" t="s">
        <v>6</v>
      </c>
      <c r="B384" s="5" t="s">
        <v>952</v>
      </c>
      <c r="C384" s="1" t="s">
        <v>953</v>
      </c>
      <c r="D384" s="1" t="s">
        <v>954</v>
      </c>
      <c r="E384" s="7">
        <v>83353</v>
      </c>
    </row>
    <row r="385" spans="1:5" x14ac:dyDescent="0.25">
      <c r="A385" s="5" t="s">
        <v>6</v>
      </c>
      <c r="B385" s="5" t="s">
        <v>955</v>
      </c>
      <c r="C385" s="1" t="s">
        <v>956</v>
      </c>
      <c r="D385" s="1" t="s">
        <v>957</v>
      </c>
      <c r="E385" s="7">
        <v>94631</v>
      </c>
    </row>
    <row r="386" spans="1:5" x14ac:dyDescent="0.25">
      <c r="A386" s="5" t="s">
        <v>6</v>
      </c>
      <c r="B386" s="5" t="s">
        <v>958</v>
      </c>
      <c r="C386" s="1" t="s">
        <v>959</v>
      </c>
      <c r="D386" s="1" t="s">
        <v>954</v>
      </c>
      <c r="E386" s="7">
        <v>110800</v>
      </c>
    </row>
    <row r="387" spans="1:5" x14ac:dyDescent="0.25">
      <c r="A387" s="5" t="s">
        <v>6</v>
      </c>
      <c r="B387" s="5" t="s">
        <v>960</v>
      </c>
      <c r="C387" s="1" t="s">
        <v>961</v>
      </c>
      <c r="D387" s="1" t="s">
        <v>954</v>
      </c>
      <c r="E387" s="7">
        <v>81541</v>
      </c>
    </row>
    <row r="388" spans="1:5" x14ac:dyDescent="0.25">
      <c r="A388" s="5" t="s">
        <v>6</v>
      </c>
      <c r="B388" s="5" t="s">
        <v>962</v>
      </c>
      <c r="C388" s="1" t="s">
        <v>963</v>
      </c>
      <c r="D388" s="1" t="s">
        <v>954</v>
      </c>
      <c r="E388" s="7">
        <v>110800</v>
      </c>
    </row>
    <row r="389" spans="1:5" x14ac:dyDescent="0.25">
      <c r="A389" s="5" t="s">
        <v>6</v>
      </c>
      <c r="B389" s="5" t="s">
        <v>964</v>
      </c>
      <c r="C389" s="1" t="s">
        <v>965</v>
      </c>
      <c r="D389" s="1" t="s">
        <v>954</v>
      </c>
      <c r="E389" s="7">
        <v>205446</v>
      </c>
    </row>
    <row r="390" spans="1:5" x14ac:dyDescent="0.25">
      <c r="A390" s="5" t="s">
        <v>6</v>
      </c>
      <c r="B390" s="5" t="s">
        <v>966</v>
      </c>
      <c r="C390" s="1" t="s">
        <v>967</v>
      </c>
      <c r="D390" s="1" t="s">
        <v>954</v>
      </c>
      <c r="E390" s="7">
        <v>153809</v>
      </c>
    </row>
    <row r="391" spans="1:5" x14ac:dyDescent="0.25">
      <c r="A391" s="5" t="s">
        <v>6</v>
      </c>
      <c r="B391" s="5" t="s">
        <v>968</v>
      </c>
      <c r="C391" s="1" t="s">
        <v>969</v>
      </c>
      <c r="D391" s="1" t="s">
        <v>970</v>
      </c>
      <c r="E391" s="7">
        <v>188144</v>
      </c>
    </row>
    <row r="392" spans="1:5" x14ac:dyDescent="0.25">
      <c r="A392" s="5" t="s">
        <v>6</v>
      </c>
      <c r="B392" s="5" t="s">
        <v>971</v>
      </c>
      <c r="C392" s="1" t="s">
        <v>972</v>
      </c>
      <c r="D392" s="1" t="s">
        <v>957</v>
      </c>
      <c r="E392" s="7">
        <v>205106</v>
      </c>
    </row>
    <row r="393" spans="1:5" x14ac:dyDescent="0.25">
      <c r="A393" s="5" t="s">
        <v>6</v>
      </c>
      <c r="B393" s="5" t="s">
        <v>973</v>
      </c>
      <c r="C393" s="1" t="s">
        <v>974</v>
      </c>
      <c r="D393" s="1" t="s">
        <v>975</v>
      </c>
      <c r="E393" s="7">
        <v>197453</v>
      </c>
    </row>
    <row r="394" spans="1:5" x14ac:dyDescent="0.25">
      <c r="A394" s="5" t="s">
        <v>6</v>
      </c>
      <c r="B394" s="5" t="s">
        <v>976</v>
      </c>
      <c r="C394" s="1" t="s">
        <v>977</v>
      </c>
      <c r="D394" s="1" t="s">
        <v>978</v>
      </c>
      <c r="E394" s="7">
        <v>215181</v>
      </c>
    </row>
    <row r="395" spans="1:5" x14ac:dyDescent="0.25">
      <c r="A395" s="5" t="s">
        <v>6</v>
      </c>
      <c r="B395" s="5" t="s">
        <v>979</v>
      </c>
      <c r="C395" s="1" t="s">
        <v>980</v>
      </c>
      <c r="D395" s="1" t="s">
        <v>978</v>
      </c>
      <c r="E395" s="7">
        <v>232682</v>
      </c>
    </row>
    <row r="396" spans="1:5" x14ac:dyDescent="0.25">
      <c r="A396" s="5" t="s">
        <v>6</v>
      </c>
      <c r="B396" s="5" t="s">
        <v>981</v>
      </c>
      <c r="C396" s="1" t="s">
        <v>982</v>
      </c>
      <c r="D396" s="1" t="s">
        <v>983</v>
      </c>
      <c r="E396" s="7">
        <v>204658</v>
      </c>
    </row>
    <row r="397" spans="1:5" x14ac:dyDescent="0.25">
      <c r="A397" s="5" t="s">
        <v>6</v>
      </c>
      <c r="B397" s="5" t="s">
        <v>984</v>
      </c>
      <c r="C397" s="1" t="s">
        <v>985</v>
      </c>
      <c r="D397" s="1" t="s">
        <v>906</v>
      </c>
      <c r="E397" s="7">
        <v>118790</v>
      </c>
    </row>
    <row r="398" spans="1:5" x14ac:dyDescent="0.25">
      <c r="A398" s="5" t="s">
        <v>6</v>
      </c>
      <c r="B398" s="5" t="s">
        <v>986</v>
      </c>
      <c r="C398" s="1" t="s">
        <v>987</v>
      </c>
      <c r="D398" s="1" t="s">
        <v>988</v>
      </c>
      <c r="E398" s="7">
        <v>121617</v>
      </c>
    </row>
    <row r="399" spans="1:5" x14ac:dyDescent="0.25">
      <c r="A399" s="5" t="s">
        <v>6</v>
      </c>
      <c r="B399" s="5" t="s">
        <v>989</v>
      </c>
      <c r="C399" s="1" t="s">
        <v>990</v>
      </c>
      <c r="D399" s="1" t="s">
        <v>991</v>
      </c>
      <c r="E399" s="7">
        <v>84348</v>
      </c>
    </row>
    <row r="400" spans="1:5" x14ac:dyDescent="0.25">
      <c r="A400" s="5" t="s">
        <v>6</v>
      </c>
      <c r="B400" s="5" t="s">
        <v>992</v>
      </c>
      <c r="C400" s="1" t="s">
        <v>993</v>
      </c>
      <c r="D400" s="1" t="s">
        <v>994</v>
      </c>
      <c r="E400" s="7">
        <v>88663</v>
      </c>
    </row>
    <row r="401" spans="1:5" x14ac:dyDescent="0.25">
      <c r="A401" s="5" t="s">
        <v>6</v>
      </c>
      <c r="B401" s="5" t="s">
        <v>995</v>
      </c>
      <c r="C401" s="1" t="s">
        <v>996</v>
      </c>
      <c r="D401" s="1" t="s">
        <v>997</v>
      </c>
      <c r="E401" s="7">
        <v>169545</v>
      </c>
    </row>
    <row r="402" spans="1:5" x14ac:dyDescent="0.25">
      <c r="A402" s="5" t="s">
        <v>6</v>
      </c>
      <c r="B402" s="5" t="s">
        <v>998</v>
      </c>
      <c r="C402" s="1" t="s">
        <v>999</v>
      </c>
      <c r="D402" s="1" t="s">
        <v>1000</v>
      </c>
      <c r="E402" s="7">
        <v>174047</v>
      </c>
    </row>
    <row r="403" spans="1:5" x14ac:dyDescent="0.25">
      <c r="A403" s="5" t="s">
        <v>6</v>
      </c>
      <c r="B403" s="5" t="s">
        <v>1001</v>
      </c>
      <c r="C403" s="1" t="s">
        <v>1002</v>
      </c>
      <c r="D403" s="1" t="s">
        <v>1003</v>
      </c>
      <c r="E403" s="7">
        <v>168516</v>
      </c>
    </row>
    <row r="404" spans="1:5" x14ac:dyDescent="0.25">
      <c r="A404" s="5" t="s">
        <v>6</v>
      </c>
      <c r="B404" s="5" t="s">
        <v>1004</v>
      </c>
      <c r="C404" s="1" t="s">
        <v>1005</v>
      </c>
      <c r="D404" s="1" t="s">
        <v>1003</v>
      </c>
      <c r="E404" s="7">
        <v>168516</v>
      </c>
    </row>
    <row r="405" spans="1:5" x14ac:dyDescent="0.25">
      <c r="A405" s="5" t="s">
        <v>6</v>
      </c>
      <c r="B405" s="5" t="s">
        <v>1006</v>
      </c>
      <c r="C405" s="1" t="s">
        <v>1007</v>
      </c>
      <c r="D405" s="1" t="s">
        <v>311</v>
      </c>
      <c r="E405" s="7">
        <v>169248</v>
      </c>
    </row>
    <row r="406" spans="1:5" x14ac:dyDescent="0.25">
      <c r="A406" s="5" t="s">
        <v>6</v>
      </c>
      <c r="B406" s="5" t="s">
        <v>1008</v>
      </c>
      <c r="C406" s="1" t="s">
        <v>1009</v>
      </c>
      <c r="D406" s="1" t="s">
        <v>997</v>
      </c>
      <c r="E406" s="7">
        <v>147322</v>
      </c>
    </row>
    <row r="407" spans="1:5" x14ac:dyDescent="0.25">
      <c r="A407" s="5" t="s">
        <v>6</v>
      </c>
      <c r="B407" s="5" t="s">
        <v>1010</v>
      </c>
      <c r="C407" s="1" t="s">
        <v>1011</v>
      </c>
      <c r="D407" s="1" t="s">
        <v>311</v>
      </c>
      <c r="E407" s="7">
        <v>169248</v>
      </c>
    </row>
    <row r="408" spans="1:5" x14ac:dyDescent="0.25">
      <c r="A408" s="5" t="s">
        <v>6</v>
      </c>
      <c r="B408" s="5" t="s">
        <v>1012</v>
      </c>
      <c r="C408" s="1" t="s">
        <v>1013</v>
      </c>
      <c r="D408" s="1" t="s">
        <v>311</v>
      </c>
      <c r="E408" s="7">
        <v>120274</v>
      </c>
    </row>
    <row r="409" spans="1:5" x14ac:dyDescent="0.25">
      <c r="A409" s="5" t="s">
        <v>6</v>
      </c>
      <c r="B409" s="5" t="s">
        <v>1014</v>
      </c>
      <c r="C409" s="1" t="s">
        <v>1015</v>
      </c>
      <c r="D409" s="1" t="s">
        <v>997</v>
      </c>
      <c r="E409" s="7">
        <v>123578</v>
      </c>
    </row>
    <row r="410" spans="1:5" x14ac:dyDescent="0.25">
      <c r="A410" s="5" t="s">
        <v>6</v>
      </c>
      <c r="B410" s="5" t="s">
        <v>1016</v>
      </c>
      <c r="C410" s="1" t="s">
        <v>1017</v>
      </c>
      <c r="D410" s="1" t="s">
        <v>311</v>
      </c>
      <c r="E410" s="7">
        <v>163947</v>
      </c>
    </row>
    <row r="411" spans="1:5" x14ac:dyDescent="0.25">
      <c r="A411" s="5" t="s">
        <v>6</v>
      </c>
      <c r="B411" s="5" t="s">
        <v>1018</v>
      </c>
      <c r="C411" s="1" t="s">
        <v>1019</v>
      </c>
      <c r="D411" s="1" t="s">
        <v>311</v>
      </c>
      <c r="E411" s="7">
        <v>115117</v>
      </c>
    </row>
    <row r="412" spans="1:5" x14ac:dyDescent="0.25">
      <c r="A412" s="5" t="s">
        <v>6</v>
      </c>
      <c r="B412" s="5" t="s">
        <v>1020</v>
      </c>
      <c r="C412" s="1" t="s">
        <v>1021</v>
      </c>
      <c r="D412" s="1" t="s">
        <v>1022</v>
      </c>
      <c r="E412" s="7">
        <v>129315</v>
      </c>
    </row>
    <row r="413" spans="1:5" x14ac:dyDescent="0.25">
      <c r="A413" s="5" t="s">
        <v>6</v>
      </c>
      <c r="B413" s="5" t="s">
        <v>1023</v>
      </c>
      <c r="C413" s="1" t="s">
        <v>1024</v>
      </c>
      <c r="D413" s="1" t="s">
        <v>1025</v>
      </c>
      <c r="E413" s="7">
        <v>137308</v>
      </c>
    </row>
    <row r="414" spans="1:5" x14ac:dyDescent="0.25">
      <c r="A414" s="5" t="s">
        <v>6</v>
      </c>
      <c r="B414" s="5" t="s">
        <v>1026</v>
      </c>
      <c r="C414" s="1" t="s">
        <v>1027</v>
      </c>
      <c r="D414" s="1" t="s">
        <v>1025</v>
      </c>
      <c r="E414" s="7">
        <v>135800</v>
      </c>
    </row>
    <row r="415" spans="1:5" x14ac:dyDescent="0.25">
      <c r="A415" s="5" t="s">
        <v>6</v>
      </c>
      <c r="B415" s="5" t="s">
        <v>1028</v>
      </c>
      <c r="C415" s="1" t="s">
        <v>1029</v>
      </c>
      <c r="D415" s="1" t="s">
        <v>1025</v>
      </c>
      <c r="E415" s="7">
        <v>224200</v>
      </c>
    </row>
    <row r="416" spans="1:5" x14ac:dyDescent="0.25">
      <c r="A416" s="5" t="s">
        <v>6</v>
      </c>
      <c r="B416" s="5" t="s">
        <v>1030</v>
      </c>
      <c r="C416" s="1" t="s">
        <v>1031</v>
      </c>
      <c r="D416" s="1" t="s">
        <v>328</v>
      </c>
      <c r="E416" s="7">
        <v>164026</v>
      </c>
    </row>
    <row r="417" spans="1:5" x14ac:dyDescent="0.25">
      <c r="A417" s="5" t="s">
        <v>6</v>
      </c>
      <c r="B417" s="5" t="s">
        <v>1032</v>
      </c>
      <c r="C417" s="1" t="s">
        <v>1033</v>
      </c>
      <c r="D417" s="1" t="s">
        <v>328</v>
      </c>
      <c r="E417" s="7">
        <v>98524</v>
      </c>
    </row>
    <row r="418" spans="1:5" x14ac:dyDescent="0.25">
      <c r="A418" s="5" t="s">
        <v>6</v>
      </c>
      <c r="B418" s="5" t="s">
        <v>1034</v>
      </c>
      <c r="C418" s="1" t="s">
        <v>1035</v>
      </c>
      <c r="D418" s="1" t="s">
        <v>1036</v>
      </c>
      <c r="E418" s="7">
        <v>116516</v>
      </c>
    </row>
    <row r="419" spans="1:5" x14ac:dyDescent="0.25">
      <c r="A419" s="5" t="s">
        <v>6</v>
      </c>
      <c r="B419" s="5" t="s">
        <v>1037</v>
      </c>
      <c r="C419" s="1" t="s">
        <v>1038</v>
      </c>
      <c r="D419" s="1" t="s">
        <v>1039</v>
      </c>
      <c r="E419" s="7">
        <v>100010</v>
      </c>
    </row>
    <row r="420" spans="1:5" x14ac:dyDescent="0.25">
      <c r="A420" s="5" t="s">
        <v>6</v>
      </c>
      <c r="B420" s="5" t="s">
        <v>1040</v>
      </c>
      <c r="C420" s="1" t="s">
        <v>1041</v>
      </c>
      <c r="D420" s="1" t="s">
        <v>864</v>
      </c>
      <c r="E420" s="7">
        <v>138783</v>
      </c>
    </row>
    <row r="421" spans="1:5" x14ac:dyDescent="0.25">
      <c r="A421" s="5" t="s">
        <v>6</v>
      </c>
      <c r="B421" s="5" t="s">
        <v>1042</v>
      </c>
      <c r="C421" s="1" t="s">
        <v>1043</v>
      </c>
      <c r="D421" s="1" t="s">
        <v>997</v>
      </c>
      <c r="E421" s="7">
        <v>94154</v>
      </c>
    </row>
    <row r="422" spans="1:5" x14ac:dyDescent="0.25">
      <c r="A422" s="5" t="s">
        <v>6</v>
      </c>
      <c r="B422" s="5" t="s">
        <v>1044</v>
      </c>
      <c r="C422" s="1" t="s">
        <v>1045</v>
      </c>
      <c r="D422" s="1" t="s">
        <v>997</v>
      </c>
      <c r="E422" s="7">
        <v>114945</v>
      </c>
    </row>
    <row r="423" spans="1:5" x14ac:dyDescent="0.25">
      <c r="A423" s="5" t="s">
        <v>6</v>
      </c>
      <c r="B423" s="5" t="s">
        <v>1046</v>
      </c>
      <c r="C423" s="1" t="s">
        <v>1047</v>
      </c>
      <c r="D423" s="1" t="s">
        <v>997</v>
      </c>
      <c r="E423" s="7">
        <v>68882</v>
      </c>
    </row>
    <row r="424" spans="1:5" x14ac:dyDescent="0.25">
      <c r="A424" s="5" t="s">
        <v>6</v>
      </c>
      <c r="B424" s="5" t="s">
        <v>1048</v>
      </c>
      <c r="C424" s="1" t="s">
        <v>1049</v>
      </c>
      <c r="D424" s="1" t="s">
        <v>1050</v>
      </c>
      <c r="E424" s="7">
        <v>129315</v>
      </c>
    </row>
    <row r="425" spans="1:5" x14ac:dyDescent="0.25">
      <c r="A425" s="5" t="s">
        <v>6</v>
      </c>
      <c r="B425" s="5" t="s">
        <v>1051</v>
      </c>
      <c r="C425" s="1" t="s">
        <v>1052</v>
      </c>
      <c r="D425" s="1" t="s">
        <v>1053</v>
      </c>
      <c r="E425" s="7">
        <v>160475</v>
      </c>
    </row>
    <row r="426" spans="1:5" x14ac:dyDescent="0.25">
      <c r="A426" s="5" t="s">
        <v>6</v>
      </c>
      <c r="B426" s="5" t="s">
        <v>1054</v>
      </c>
      <c r="C426" s="1" t="s">
        <v>1055</v>
      </c>
      <c r="D426" s="1" t="s">
        <v>1050</v>
      </c>
      <c r="E426" s="7">
        <v>207223</v>
      </c>
    </row>
    <row r="427" spans="1:5" x14ac:dyDescent="0.25">
      <c r="A427" s="5" t="s">
        <v>6</v>
      </c>
      <c r="B427" s="5" t="s">
        <v>1056</v>
      </c>
      <c r="C427" s="1" t="s">
        <v>1057</v>
      </c>
      <c r="D427" s="1" t="s">
        <v>1058</v>
      </c>
      <c r="E427" s="7">
        <v>96192</v>
      </c>
    </row>
    <row r="428" spans="1:5" x14ac:dyDescent="0.25">
      <c r="A428" s="5" t="s">
        <v>6</v>
      </c>
      <c r="B428" s="5" t="s">
        <v>1059</v>
      </c>
      <c r="C428" s="1" t="s">
        <v>1060</v>
      </c>
      <c r="D428" s="1" t="s">
        <v>1058</v>
      </c>
      <c r="E428" s="7">
        <v>82882</v>
      </c>
    </row>
    <row r="429" spans="1:5" x14ac:dyDescent="0.25">
      <c r="A429" s="5" t="s">
        <v>6</v>
      </c>
      <c r="B429" s="5" t="s">
        <v>1061</v>
      </c>
      <c r="C429" s="1" t="s">
        <v>1062</v>
      </c>
      <c r="D429" s="1" t="s">
        <v>1058</v>
      </c>
      <c r="E429" s="7">
        <v>131679</v>
      </c>
    </row>
    <row r="430" spans="1:5" x14ac:dyDescent="0.25">
      <c r="A430" s="5" t="s">
        <v>6</v>
      </c>
      <c r="B430" s="5" t="s">
        <v>1063</v>
      </c>
      <c r="C430" s="1" t="s">
        <v>1064</v>
      </c>
      <c r="D430" s="1" t="s">
        <v>1058</v>
      </c>
      <c r="E430" s="7">
        <v>158839</v>
      </c>
    </row>
    <row r="431" spans="1:5" x14ac:dyDescent="0.25">
      <c r="A431" s="5" t="s">
        <v>6</v>
      </c>
      <c r="B431" s="5" t="s">
        <v>1065</v>
      </c>
      <c r="C431" s="1" t="s">
        <v>1066</v>
      </c>
      <c r="D431" s="1" t="s">
        <v>1058</v>
      </c>
      <c r="E431" s="7">
        <v>97503</v>
      </c>
    </row>
    <row r="432" spans="1:5" x14ac:dyDescent="0.25">
      <c r="A432" s="5" t="s">
        <v>6</v>
      </c>
      <c r="B432" s="5" t="s">
        <v>1067</v>
      </c>
      <c r="C432" s="1" t="s">
        <v>1068</v>
      </c>
      <c r="D432" s="1" t="s">
        <v>1069</v>
      </c>
      <c r="E432" s="7">
        <v>134977</v>
      </c>
    </row>
    <row r="433" spans="1:5" x14ac:dyDescent="0.25">
      <c r="A433" s="5" t="s">
        <v>6</v>
      </c>
      <c r="B433" s="5" t="s">
        <v>1070</v>
      </c>
      <c r="C433" s="1" t="s">
        <v>1071</v>
      </c>
      <c r="D433" s="1" t="s">
        <v>1072</v>
      </c>
      <c r="E433" s="7">
        <v>98477</v>
      </c>
    </row>
    <row r="434" spans="1:5" x14ac:dyDescent="0.25">
      <c r="A434" s="5" t="s">
        <v>6</v>
      </c>
      <c r="B434" s="5" t="s">
        <v>1073</v>
      </c>
      <c r="C434" s="1" t="s">
        <v>1074</v>
      </c>
      <c r="D434" s="1" t="s">
        <v>1075</v>
      </c>
      <c r="E434" s="7">
        <v>130545</v>
      </c>
    </row>
    <row r="435" spans="1:5" x14ac:dyDescent="0.25">
      <c r="A435" s="5" t="s">
        <v>6</v>
      </c>
      <c r="B435" s="5" t="s">
        <v>1076</v>
      </c>
      <c r="C435" s="1" t="s">
        <v>1077</v>
      </c>
      <c r="D435" s="1" t="s">
        <v>1078</v>
      </c>
      <c r="E435" s="7">
        <v>142294</v>
      </c>
    </row>
    <row r="436" spans="1:5" x14ac:dyDescent="0.25">
      <c r="A436" s="5" t="s">
        <v>6</v>
      </c>
      <c r="B436" s="5" t="s">
        <v>1079</v>
      </c>
      <c r="C436" s="1" t="s">
        <v>1080</v>
      </c>
      <c r="D436" s="1" t="s">
        <v>1075</v>
      </c>
      <c r="E436" s="7">
        <v>204658</v>
      </c>
    </row>
    <row r="437" spans="1:5" x14ac:dyDescent="0.25">
      <c r="A437" s="5" t="s">
        <v>6</v>
      </c>
      <c r="B437" s="5" t="s">
        <v>1081</v>
      </c>
      <c r="C437" s="1" t="s">
        <v>1082</v>
      </c>
      <c r="D437" s="1" t="s">
        <v>1083</v>
      </c>
      <c r="E437" s="7">
        <v>118790</v>
      </c>
    </row>
    <row r="438" spans="1:5" x14ac:dyDescent="0.25">
      <c r="A438" s="5" t="s">
        <v>6</v>
      </c>
      <c r="B438" s="5" t="s">
        <v>1084</v>
      </c>
      <c r="C438" s="1" t="s">
        <v>1085</v>
      </c>
      <c r="D438" s="1" t="s">
        <v>1086</v>
      </c>
      <c r="E438" s="7">
        <v>176653</v>
      </c>
    </row>
    <row r="439" spans="1:5" x14ac:dyDescent="0.25">
      <c r="A439" s="5" t="s">
        <v>6</v>
      </c>
      <c r="B439" s="5" t="s">
        <v>1087</v>
      </c>
      <c r="C439" s="1" t="s">
        <v>1088</v>
      </c>
      <c r="D439" s="1" t="s">
        <v>1086</v>
      </c>
      <c r="E439" s="7">
        <v>192552</v>
      </c>
    </row>
    <row r="440" spans="1:5" x14ac:dyDescent="0.25">
      <c r="A440" s="5" t="s">
        <v>6</v>
      </c>
      <c r="B440" s="5" t="s">
        <v>1089</v>
      </c>
      <c r="C440" s="1" t="s">
        <v>1090</v>
      </c>
      <c r="D440" s="1" t="s">
        <v>1086</v>
      </c>
      <c r="E440" s="7">
        <v>158432</v>
      </c>
    </row>
    <row r="441" spans="1:5" x14ac:dyDescent="0.25">
      <c r="A441" s="5" t="s">
        <v>6</v>
      </c>
      <c r="B441" s="5" t="s">
        <v>1091</v>
      </c>
      <c r="C441" s="1" t="s">
        <v>1092</v>
      </c>
      <c r="D441" s="1" t="s">
        <v>1093</v>
      </c>
      <c r="E441" s="7">
        <v>143048</v>
      </c>
    </row>
    <row r="442" spans="1:5" x14ac:dyDescent="0.25">
      <c r="A442" s="5" t="s">
        <v>6</v>
      </c>
      <c r="B442" s="5" t="s">
        <v>1094</v>
      </c>
      <c r="C442" s="1" t="s">
        <v>1095</v>
      </c>
      <c r="D442" s="1" t="s">
        <v>1096</v>
      </c>
      <c r="E442" s="7">
        <v>144336</v>
      </c>
    </row>
    <row r="443" spans="1:5" x14ac:dyDescent="0.25">
      <c r="A443" s="5" t="s">
        <v>6</v>
      </c>
      <c r="B443" s="5" t="s">
        <v>1097</v>
      </c>
      <c r="C443" s="1" t="s">
        <v>1098</v>
      </c>
      <c r="D443" s="1" t="s">
        <v>817</v>
      </c>
      <c r="E443" s="7">
        <v>103188.67</v>
      </c>
    </row>
    <row r="444" spans="1:5" x14ac:dyDescent="0.25">
      <c r="A444" s="5" t="s">
        <v>6</v>
      </c>
      <c r="B444" s="5" t="s">
        <v>1099</v>
      </c>
      <c r="C444" s="1" t="s">
        <v>1100</v>
      </c>
      <c r="D444" s="1" t="s">
        <v>1101</v>
      </c>
      <c r="E444" s="7">
        <v>92853</v>
      </c>
    </row>
    <row r="445" spans="1:5" x14ac:dyDescent="0.25">
      <c r="A445" s="5" t="s">
        <v>6</v>
      </c>
      <c r="B445" s="5" t="s">
        <v>1102</v>
      </c>
      <c r="C445" s="1" t="s">
        <v>1103</v>
      </c>
      <c r="D445" s="1" t="s">
        <v>1104</v>
      </c>
      <c r="E445" s="7">
        <v>205033</v>
      </c>
    </row>
    <row r="446" spans="1:5" x14ac:dyDescent="0.25">
      <c r="A446" s="5" t="s">
        <v>6</v>
      </c>
      <c r="B446" s="5" t="s">
        <v>1105</v>
      </c>
      <c r="C446" s="1" t="s">
        <v>1106</v>
      </c>
      <c r="D446" s="1" t="s">
        <v>1107</v>
      </c>
      <c r="E446" s="7">
        <v>144076</v>
      </c>
    </row>
    <row r="447" spans="1:5" x14ac:dyDescent="0.25">
      <c r="A447" s="5" t="s">
        <v>6</v>
      </c>
      <c r="B447" s="5" t="s">
        <v>1108</v>
      </c>
      <c r="C447" s="1" t="s">
        <v>1109</v>
      </c>
      <c r="D447" s="1" t="s">
        <v>1107</v>
      </c>
      <c r="E447" s="7">
        <v>144076</v>
      </c>
    </row>
    <row r="448" spans="1:5" x14ac:dyDescent="0.25">
      <c r="A448" s="5" t="s">
        <v>6</v>
      </c>
      <c r="B448" s="5" t="s">
        <v>1110</v>
      </c>
      <c r="C448" s="1" t="s">
        <v>1111</v>
      </c>
      <c r="D448" s="1" t="s">
        <v>1107</v>
      </c>
      <c r="E448" s="7">
        <v>194034</v>
      </c>
    </row>
    <row r="449" spans="1:5" x14ac:dyDescent="0.25">
      <c r="A449" s="5" t="s">
        <v>6</v>
      </c>
      <c r="B449" s="5" t="s">
        <v>1112</v>
      </c>
      <c r="C449" s="1" t="s">
        <v>1113</v>
      </c>
      <c r="D449" s="1" t="s">
        <v>1107</v>
      </c>
      <c r="E449" s="7">
        <v>141459</v>
      </c>
    </row>
    <row r="450" spans="1:5" x14ac:dyDescent="0.25">
      <c r="A450" s="5" t="s">
        <v>6</v>
      </c>
      <c r="B450" s="5" t="s">
        <v>1114</v>
      </c>
      <c r="C450" s="1" t="s">
        <v>1115</v>
      </c>
      <c r="D450" s="1" t="s">
        <v>1107</v>
      </c>
      <c r="E450" s="7">
        <v>249718</v>
      </c>
    </row>
    <row r="451" spans="1:5" x14ac:dyDescent="0.25">
      <c r="A451" s="5" t="s">
        <v>6</v>
      </c>
      <c r="B451" s="5" t="s">
        <v>1116</v>
      </c>
      <c r="C451" s="1" t="s">
        <v>1117</v>
      </c>
      <c r="D451" s="1" t="s">
        <v>1118</v>
      </c>
      <c r="E451" s="7">
        <v>192007</v>
      </c>
    </row>
    <row r="452" spans="1:5" x14ac:dyDescent="0.25">
      <c r="A452" s="5" t="s">
        <v>6</v>
      </c>
      <c r="B452" s="5" t="s">
        <v>1119</v>
      </c>
      <c r="C452" s="1" t="s">
        <v>1120</v>
      </c>
      <c r="D452" s="1" t="s">
        <v>1121</v>
      </c>
      <c r="E452" s="7">
        <v>156395</v>
      </c>
    </row>
    <row r="453" spans="1:5" x14ac:dyDescent="0.25">
      <c r="A453" s="5" t="s">
        <v>6</v>
      </c>
      <c r="B453" s="5" t="s">
        <v>1122</v>
      </c>
      <c r="C453" s="1" t="s">
        <v>1123</v>
      </c>
      <c r="D453" s="1" t="s">
        <v>1124</v>
      </c>
      <c r="E453" s="7">
        <v>61279</v>
      </c>
    </row>
    <row r="454" spans="1:5" x14ac:dyDescent="0.25">
      <c r="A454" s="5" t="s">
        <v>6</v>
      </c>
      <c r="B454" s="5" t="s">
        <v>1125</v>
      </c>
      <c r="C454" s="1" t="s">
        <v>1126</v>
      </c>
      <c r="D454" s="1" t="s">
        <v>1118</v>
      </c>
      <c r="E454" s="7">
        <v>159519</v>
      </c>
    </row>
    <row r="455" spans="1:5" x14ac:dyDescent="0.25">
      <c r="A455" s="5" t="s">
        <v>6</v>
      </c>
      <c r="B455" s="5" t="s">
        <v>1127</v>
      </c>
      <c r="C455" s="1" t="s">
        <v>1128</v>
      </c>
      <c r="D455" s="1" t="s">
        <v>1129</v>
      </c>
      <c r="E455" s="7">
        <v>251088</v>
      </c>
    </row>
    <row r="456" spans="1:5" x14ac:dyDescent="0.25">
      <c r="A456" s="5" t="s">
        <v>6</v>
      </c>
      <c r="B456" s="5" t="s">
        <v>1130</v>
      </c>
      <c r="C456" s="1" t="s">
        <v>1131</v>
      </c>
      <c r="D456" s="1" t="s">
        <v>1129</v>
      </c>
      <c r="E456" s="7">
        <v>232488</v>
      </c>
    </row>
    <row r="457" spans="1:5" x14ac:dyDescent="0.25">
      <c r="A457" s="5" t="s">
        <v>6</v>
      </c>
      <c r="B457" s="5" t="s">
        <v>1132</v>
      </c>
      <c r="C457" s="1" t="s">
        <v>1133</v>
      </c>
      <c r="D457" s="1" t="s">
        <v>1129</v>
      </c>
      <c r="E457" s="7">
        <v>249253</v>
      </c>
    </row>
    <row r="458" spans="1:5" x14ac:dyDescent="0.25">
      <c r="A458" s="5" t="s">
        <v>6</v>
      </c>
      <c r="B458" s="5" t="s">
        <v>1134</v>
      </c>
      <c r="C458" s="1" t="s">
        <v>1135</v>
      </c>
      <c r="D458" s="1" t="s">
        <v>1129</v>
      </c>
      <c r="E458" s="7">
        <v>249253</v>
      </c>
    </row>
    <row r="459" spans="1:5" x14ac:dyDescent="0.25">
      <c r="A459" s="5" t="s">
        <v>6</v>
      </c>
      <c r="B459" s="5" t="s">
        <v>1136</v>
      </c>
      <c r="C459" s="1" t="s">
        <v>1137</v>
      </c>
      <c r="D459" s="1" t="s">
        <v>1138</v>
      </c>
      <c r="E459" s="7">
        <v>53956</v>
      </c>
    </row>
    <row r="460" spans="1:5" x14ac:dyDescent="0.25">
      <c r="A460" s="5" t="s">
        <v>6</v>
      </c>
      <c r="B460" s="5" t="s">
        <v>1139</v>
      </c>
      <c r="C460" s="1" t="s">
        <v>1140</v>
      </c>
      <c r="D460" s="1" t="s">
        <v>1141</v>
      </c>
      <c r="E460" s="7">
        <v>248301</v>
      </c>
    </row>
    <row r="461" spans="1:5" x14ac:dyDescent="0.25">
      <c r="A461" s="5" t="s">
        <v>6</v>
      </c>
      <c r="B461" s="5" t="s">
        <v>1142</v>
      </c>
      <c r="C461" s="1" t="s">
        <v>1143</v>
      </c>
      <c r="D461" s="1" t="s">
        <v>1144</v>
      </c>
      <c r="E461" s="7">
        <v>207223</v>
      </c>
    </row>
    <row r="462" spans="1:5" x14ac:dyDescent="0.25">
      <c r="A462" s="5" t="s">
        <v>6</v>
      </c>
      <c r="B462" s="5" t="s">
        <v>1145</v>
      </c>
      <c r="C462" s="1" t="s">
        <v>1146</v>
      </c>
      <c r="D462" s="1" t="s">
        <v>1147</v>
      </c>
      <c r="E462" s="7">
        <v>41216</v>
      </c>
    </row>
    <row r="463" spans="1:5" x14ac:dyDescent="0.25">
      <c r="A463" s="5" t="s">
        <v>6</v>
      </c>
      <c r="B463" s="5" t="s">
        <v>1148</v>
      </c>
      <c r="C463" s="1" t="s">
        <v>1149</v>
      </c>
      <c r="D463" s="1" t="s">
        <v>1150</v>
      </c>
      <c r="E463" s="7">
        <v>39096</v>
      </c>
    </row>
    <row r="464" spans="1:5" x14ac:dyDescent="0.25">
      <c r="A464" s="5" t="s">
        <v>6</v>
      </c>
      <c r="B464" s="5" t="s">
        <v>1151</v>
      </c>
      <c r="C464" s="1" t="s">
        <v>1152</v>
      </c>
      <c r="D464" s="1" t="s">
        <v>1153</v>
      </c>
      <c r="E464" s="7">
        <v>40484</v>
      </c>
    </row>
    <row r="465" spans="1:5" x14ac:dyDescent="0.25">
      <c r="A465" s="5" t="s">
        <v>6</v>
      </c>
      <c r="B465" s="5" t="s">
        <v>1154</v>
      </c>
      <c r="C465" s="1" t="s">
        <v>1155</v>
      </c>
      <c r="D465" s="1" t="s">
        <v>1156</v>
      </c>
      <c r="E465" s="7">
        <v>6292</v>
      </c>
    </row>
    <row r="466" spans="1:5" x14ac:dyDescent="0.25">
      <c r="A466" s="5" t="s">
        <v>6</v>
      </c>
      <c r="B466" s="5" t="s">
        <v>1157</v>
      </c>
      <c r="C466" s="1" t="s">
        <v>1158</v>
      </c>
      <c r="D466" s="1" t="s">
        <v>1159</v>
      </c>
      <c r="E466" s="7">
        <v>30570</v>
      </c>
    </row>
    <row r="467" spans="1:5" x14ac:dyDescent="0.25">
      <c r="A467" s="5" t="s">
        <v>6</v>
      </c>
      <c r="B467" s="5" t="s">
        <v>1160</v>
      </c>
      <c r="C467" s="1" t="s">
        <v>1161</v>
      </c>
      <c r="D467" s="1" t="s">
        <v>1162</v>
      </c>
      <c r="E467" s="7">
        <v>6397</v>
      </c>
    </row>
    <row r="468" spans="1:5" x14ac:dyDescent="0.25">
      <c r="A468" s="5" t="s">
        <v>6</v>
      </c>
      <c r="B468" s="5" t="s">
        <v>1163</v>
      </c>
      <c r="C468" s="1" t="s">
        <v>1164</v>
      </c>
      <c r="D468" s="1" t="s">
        <v>1165</v>
      </c>
      <c r="E468" s="7">
        <v>57698</v>
      </c>
    </row>
    <row r="469" spans="1:5" x14ac:dyDescent="0.25">
      <c r="A469" s="5" t="s">
        <v>6</v>
      </c>
      <c r="B469" s="5" t="s">
        <v>1166</v>
      </c>
      <c r="C469" s="1" t="s">
        <v>1167</v>
      </c>
      <c r="D469" s="1" t="s">
        <v>1168</v>
      </c>
      <c r="E469" s="7">
        <v>28815</v>
      </c>
    </row>
    <row r="470" spans="1:5" x14ac:dyDescent="0.25">
      <c r="A470" s="5" t="s">
        <v>6</v>
      </c>
      <c r="B470" s="5" t="s">
        <v>1169</v>
      </c>
      <c r="C470" s="1" t="s">
        <v>1170</v>
      </c>
      <c r="D470" s="1" t="s">
        <v>1171</v>
      </c>
      <c r="E470" s="7">
        <v>17714</v>
      </c>
    </row>
    <row r="471" spans="1:5" x14ac:dyDescent="0.25">
      <c r="A471" s="5" t="s">
        <v>6</v>
      </c>
      <c r="B471" s="5" t="s">
        <v>1172</v>
      </c>
      <c r="C471" s="1" t="s">
        <v>1173</v>
      </c>
      <c r="D471" s="1" t="s">
        <v>1171</v>
      </c>
      <c r="E471" s="7">
        <v>16421</v>
      </c>
    </row>
    <row r="472" spans="1:5" x14ac:dyDescent="0.25">
      <c r="A472" s="5" t="s">
        <v>6</v>
      </c>
      <c r="B472" s="5" t="s">
        <v>1174</v>
      </c>
      <c r="C472" s="1" t="s">
        <v>1175</v>
      </c>
      <c r="D472" s="1" t="s">
        <v>460</v>
      </c>
      <c r="E472" s="7">
        <v>32014</v>
      </c>
    </row>
    <row r="473" spans="1:5" x14ac:dyDescent="0.25">
      <c r="A473" s="5" t="s">
        <v>6</v>
      </c>
      <c r="B473" s="5" t="s">
        <v>1176</v>
      </c>
      <c r="C473" s="1" t="s">
        <v>1177</v>
      </c>
      <c r="D473" s="1" t="s">
        <v>460</v>
      </c>
      <c r="E473" s="7">
        <v>15917</v>
      </c>
    </row>
    <row r="474" spans="1:5" x14ac:dyDescent="0.25">
      <c r="A474" s="5" t="s">
        <v>6</v>
      </c>
      <c r="B474" s="5" t="s">
        <v>1178</v>
      </c>
      <c r="C474" s="1" t="s">
        <v>1179</v>
      </c>
      <c r="D474" s="1" t="s">
        <v>1168</v>
      </c>
      <c r="E474" s="7">
        <v>31239</v>
      </c>
    </row>
    <row r="475" spans="1:5" x14ac:dyDescent="0.25">
      <c r="A475" s="5" t="s">
        <v>6</v>
      </c>
      <c r="B475" s="5" t="s">
        <v>1180</v>
      </c>
      <c r="C475" s="1" t="s">
        <v>1181</v>
      </c>
      <c r="D475" s="1" t="s">
        <v>1168</v>
      </c>
      <c r="E475" s="7">
        <v>27405</v>
      </c>
    </row>
    <row r="476" spans="1:5" x14ac:dyDescent="0.25">
      <c r="A476" s="5" t="s">
        <v>6</v>
      </c>
      <c r="B476" s="5" t="s">
        <v>1182</v>
      </c>
      <c r="C476" s="1" t="s">
        <v>1183</v>
      </c>
      <c r="D476" s="1" t="s">
        <v>1184</v>
      </c>
      <c r="E476" s="7">
        <v>28237</v>
      </c>
    </row>
    <row r="477" spans="1:5" x14ac:dyDescent="0.25">
      <c r="A477" s="5" t="s">
        <v>6</v>
      </c>
      <c r="B477" s="5" t="s">
        <v>1185</v>
      </c>
      <c r="C477" s="1" t="s">
        <v>1186</v>
      </c>
      <c r="D477" s="1" t="s">
        <v>1187</v>
      </c>
      <c r="E477" s="7">
        <v>24278</v>
      </c>
    </row>
    <row r="478" spans="1:5" x14ac:dyDescent="0.25">
      <c r="A478" s="5" t="s">
        <v>6</v>
      </c>
      <c r="B478" s="5" t="s">
        <v>1188</v>
      </c>
      <c r="C478" s="1" t="s">
        <v>1189</v>
      </c>
      <c r="D478" s="1" t="s">
        <v>1190</v>
      </c>
      <c r="E478" s="7">
        <v>22129</v>
      </c>
    </row>
    <row r="479" spans="1:5" x14ac:dyDescent="0.25">
      <c r="A479" s="5" t="s">
        <v>6</v>
      </c>
      <c r="B479" s="5" t="s">
        <v>1191</v>
      </c>
      <c r="C479" s="1" t="s">
        <v>1192</v>
      </c>
      <c r="D479" s="1" t="s">
        <v>488</v>
      </c>
      <c r="E479" s="7">
        <v>44022</v>
      </c>
    </row>
    <row r="480" spans="1:5" x14ac:dyDescent="0.25">
      <c r="A480" s="5" t="s">
        <v>6</v>
      </c>
      <c r="B480" s="5" t="s">
        <v>1193</v>
      </c>
      <c r="C480" s="1" t="s">
        <v>1194</v>
      </c>
      <c r="D480" s="1" t="s">
        <v>488</v>
      </c>
      <c r="E480" s="7">
        <v>43978</v>
      </c>
    </row>
    <row r="481" spans="1:5" x14ac:dyDescent="0.25">
      <c r="A481" s="5" t="s">
        <v>6</v>
      </c>
      <c r="B481" s="5" t="s">
        <v>1195</v>
      </c>
      <c r="C481" s="1" t="s">
        <v>1196</v>
      </c>
      <c r="D481" s="1" t="s">
        <v>488</v>
      </c>
      <c r="E481" s="7">
        <v>43978</v>
      </c>
    </row>
    <row r="482" spans="1:5" x14ac:dyDescent="0.25">
      <c r="A482" s="5" t="s">
        <v>6</v>
      </c>
      <c r="B482" s="5" t="s">
        <v>1197</v>
      </c>
      <c r="C482" s="1" t="s">
        <v>1198</v>
      </c>
      <c r="D482" s="1" t="s">
        <v>1199</v>
      </c>
      <c r="E482" s="7">
        <v>57698</v>
      </c>
    </row>
    <row r="483" spans="1:5" x14ac:dyDescent="0.25">
      <c r="A483" s="5" t="s">
        <v>6</v>
      </c>
      <c r="B483" s="5" t="s">
        <v>1200</v>
      </c>
      <c r="C483" s="1" t="s">
        <v>1201</v>
      </c>
      <c r="D483" s="1" t="s">
        <v>1202</v>
      </c>
      <c r="E483" s="7">
        <v>30318</v>
      </c>
    </row>
    <row r="484" spans="1:5" x14ac:dyDescent="0.25">
      <c r="A484" s="5" t="s">
        <v>6</v>
      </c>
      <c r="B484" s="5" t="s">
        <v>1203</v>
      </c>
      <c r="C484" s="1" t="s">
        <v>1204</v>
      </c>
      <c r="D484" s="1" t="s">
        <v>1202</v>
      </c>
      <c r="E484" s="7">
        <v>27462</v>
      </c>
    </row>
    <row r="485" spans="1:5" x14ac:dyDescent="0.25">
      <c r="A485" s="5" t="s">
        <v>6</v>
      </c>
      <c r="B485" s="5" t="s">
        <v>1205</v>
      </c>
      <c r="C485" s="1" t="s">
        <v>1206</v>
      </c>
      <c r="D485" s="1" t="s">
        <v>493</v>
      </c>
      <c r="E485" s="7">
        <v>25925</v>
      </c>
    </row>
    <row r="486" spans="1:5" x14ac:dyDescent="0.25">
      <c r="A486" s="5" t="s">
        <v>6</v>
      </c>
      <c r="B486" s="5" t="s">
        <v>1207</v>
      </c>
      <c r="C486" s="1" t="s">
        <v>1208</v>
      </c>
      <c r="D486" s="1" t="s">
        <v>1209</v>
      </c>
      <c r="E486" s="7">
        <v>33168</v>
      </c>
    </row>
    <row r="487" spans="1:5" x14ac:dyDescent="0.25">
      <c r="A487" s="5" t="s">
        <v>6</v>
      </c>
      <c r="B487" s="5" t="s">
        <v>1210</v>
      </c>
      <c r="C487" s="1" t="s">
        <v>1211</v>
      </c>
      <c r="D487" s="1" t="s">
        <v>1202</v>
      </c>
      <c r="E487" s="7">
        <v>28885</v>
      </c>
    </row>
    <row r="488" spans="1:5" x14ac:dyDescent="0.25">
      <c r="A488" s="5" t="s">
        <v>6</v>
      </c>
      <c r="B488" s="5" t="s">
        <v>1212</v>
      </c>
      <c r="C488" s="1" t="s">
        <v>1213</v>
      </c>
      <c r="D488" s="1" t="s">
        <v>1202</v>
      </c>
      <c r="E488" s="7">
        <v>28834</v>
      </c>
    </row>
    <row r="489" spans="1:5" x14ac:dyDescent="0.25">
      <c r="A489" s="5" t="s">
        <v>6</v>
      </c>
      <c r="B489" s="5" t="s">
        <v>1214</v>
      </c>
      <c r="C489" s="1" t="s">
        <v>1215</v>
      </c>
      <c r="D489" s="1" t="s">
        <v>1202</v>
      </c>
      <c r="E489" s="7">
        <v>24382</v>
      </c>
    </row>
    <row r="490" spans="1:5" x14ac:dyDescent="0.25">
      <c r="A490" s="5" t="s">
        <v>6</v>
      </c>
      <c r="B490" s="5" t="s">
        <v>1216</v>
      </c>
      <c r="C490" s="1" t="s">
        <v>1217</v>
      </c>
      <c r="D490" s="1" t="s">
        <v>1202</v>
      </c>
      <c r="E490" s="7">
        <v>25600</v>
      </c>
    </row>
    <row r="491" spans="1:5" x14ac:dyDescent="0.25">
      <c r="A491" s="5" t="s">
        <v>6</v>
      </c>
      <c r="B491" s="5" t="s">
        <v>1218</v>
      </c>
      <c r="C491" s="1" t="s">
        <v>1219</v>
      </c>
      <c r="D491" s="1" t="s">
        <v>1220</v>
      </c>
      <c r="E491" s="7">
        <v>29341</v>
      </c>
    </row>
    <row r="492" spans="1:5" x14ac:dyDescent="0.25">
      <c r="A492" s="5" t="s">
        <v>6</v>
      </c>
      <c r="B492" s="5" t="s">
        <v>1221</v>
      </c>
      <c r="C492" s="1" t="s">
        <v>1222</v>
      </c>
      <c r="D492" s="1" t="s">
        <v>1220</v>
      </c>
      <c r="E492" s="7">
        <v>32387</v>
      </c>
    </row>
    <row r="493" spans="1:5" x14ac:dyDescent="0.25">
      <c r="A493" s="5" t="s">
        <v>6</v>
      </c>
      <c r="B493" s="5" t="s">
        <v>1223</v>
      </c>
      <c r="C493" s="1" t="s">
        <v>1224</v>
      </c>
      <c r="D493" s="1" t="s">
        <v>1220</v>
      </c>
      <c r="E493" s="7">
        <v>38489</v>
      </c>
    </row>
    <row r="494" spans="1:5" x14ac:dyDescent="0.25">
      <c r="A494" s="5" t="s">
        <v>6</v>
      </c>
      <c r="B494" s="5" t="s">
        <v>1225</v>
      </c>
      <c r="C494" s="1" t="s">
        <v>1226</v>
      </c>
      <c r="D494" s="1" t="s">
        <v>1220</v>
      </c>
      <c r="E494" s="7">
        <v>32387</v>
      </c>
    </row>
    <row r="495" spans="1:5" x14ac:dyDescent="0.25">
      <c r="A495" s="5" t="s">
        <v>6</v>
      </c>
      <c r="B495" s="5" t="s">
        <v>1227</v>
      </c>
      <c r="C495" s="1" t="s">
        <v>1228</v>
      </c>
      <c r="D495" s="1" t="s">
        <v>1220</v>
      </c>
      <c r="E495" s="7">
        <v>30844</v>
      </c>
    </row>
    <row r="496" spans="1:5" x14ac:dyDescent="0.25">
      <c r="A496" s="5" t="s">
        <v>6</v>
      </c>
      <c r="B496" s="5" t="s">
        <v>1229</v>
      </c>
      <c r="C496" s="1" t="s">
        <v>1230</v>
      </c>
      <c r="D496" s="1" t="s">
        <v>1231</v>
      </c>
      <c r="E496" s="7">
        <v>23068</v>
      </c>
    </row>
    <row r="497" spans="1:5" x14ac:dyDescent="0.25">
      <c r="A497" s="5" t="s">
        <v>6</v>
      </c>
      <c r="B497" s="5" t="s">
        <v>1232</v>
      </c>
      <c r="C497" s="1" t="s">
        <v>1233</v>
      </c>
      <c r="D497" s="1" t="s">
        <v>1184</v>
      </c>
      <c r="E497" s="7">
        <v>45269</v>
      </c>
    </row>
    <row r="498" spans="1:5" x14ac:dyDescent="0.25">
      <c r="A498" s="5" t="s">
        <v>6</v>
      </c>
      <c r="B498" s="5" t="s">
        <v>1234</v>
      </c>
      <c r="C498" s="1" t="s">
        <v>1235</v>
      </c>
      <c r="D498" s="1" t="s">
        <v>1236</v>
      </c>
      <c r="E498" s="7">
        <v>38027</v>
      </c>
    </row>
    <row r="499" spans="1:5" x14ac:dyDescent="0.25">
      <c r="A499" s="5" t="s">
        <v>6</v>
      </c>
      <c r="B499" s="5" t="s">
        <v>1237</v>
      </c>
      <c r="C499" s="1" t="s">
        <v>1238</v>
      </c>
      <c r="D499" s="1" t="s">
        <v>1239</v>
      </c>
      <c r="E499" s="7">
        <v>23010</v>
      </c>
    </row>
    <row r="500" spans="1:5" x14ac:dyDescent="0.25">
      <c r="A500" s="5" t="s">
        <v>6</v>
      </c>
      <c r="B500" s="5" t="s">
        <v>1240</v>
      </c>
      <c r="C500" s="1" t="s">
        <v>1241</v>
      </c>
      <c r="D500" s="1" t="s">
        <v>1242</v>
      </c>
      <c r="E500" s="7">
        <v>24382</v>
      </c>
    </row>
    <row r="501" spans="1:5" x14ac:dyDescent="0.25">
      <c r="A501" s="5" t="s">
        <v>6</v>
      </c>
      <c r="B501" s="5" t="s">
        <v>1243</v>
      </c>
      <c r="C501" s="1" t="s">
        <v>1244</v>
      </c>
      <c r="D501" s="1" t="s">
        <v>1236</v>
      </c>
      <c r="E501" s="7">
        <v>38027</v>
      </c>
    </row>
    <row r="502" spans="1:5" x14ac:dyDescent="0.25">
      <c r="A502" s="5" t="s">
        <v>6</v>
      </c>
      <c r="B502" s="5" t="s">
        <v>1245</v>
      </c>
      <c r="C502" s="1" t="s">
        <v>1246</v>
      </c>
      <c r="D502" s="1" t="s">
        <v>1220</v>
      </c>
      <c r="E502" s="7">
        <v>25232</v>
      </c>
    </row>
    <row r="503" spans="1:5" x14ac:dyDescent="0.25">
      <c r="A503" s="5" t="s">
        <v>6</v>
      </c>
      <c r="B503" s="5" t="s">
        <v>1247</v>
      </c>
      <c r="C503" s="1" t="s">
        <v>1248</v>
      </c>
      <c r="D503" s="1" t="s">
        <v>1249</v>
      </c>
      <c r="E503" s="7">
        <v>34410</v>
      </c>
    </row>
    <row r="504" spans="1:5" x14ac:dyDescent="0.25">
      <c r="A504" s="5" t="s">
        <v>6</v>
      </c>
      <c r="B504" s="5" t="s">
        <v>1250</v>
      </c>
      <c r="C504" s="1" t="s">
        <v>1251</v>
      </c>
      <c r="D504" s="1" t="s">
        <v>523</v>
      </c>
      <c r="E504" s="7">
        <v>36654</v>
      </c>
    </row>
    <row r="505" spans="1:5" x14ac:dyDescent="0.25">
      <c r="A505" s="5" t="s">
        <v>6</v>
      </c>
      <c r="B505" s="5" t="s">
        <v>1252</v>
      </c>
      <c r="C505" s="1" t="s">
        <v>1253</v>
      </c>
      <c r="D505" s="1" t="s">
        <v>523</v>
      </c>
      <c r="E505" s="7">
        <v>31677</v>
      </c>
    </row>
    <row r="506" spans="1:5" x14ac:dyDescent="0.25">
      <c r="A506" s="5" t="s">
        <v>6</v>
      </c>
      <c r="B506" s="5" t="s">
        <v>1254</v>
      </c>
      <c r="C506" s="1" t="s">
        <v>1255</v>
      </c>
      <c r="D506" s="1" t="s">
        <v>523</v>
      </c>
      <c r="E506" s="7">
        <v>36654</v>
      </c>
    </row>
    <row r="507" spans="1:5" x14ac:dyDescent="0.25">
      <c r="A507" s="5" t="s">
        <v>6</v>
      </c>
      <c r="B507" s="5" t="s">
        <v>1256</v>
      </c>
      <c r="C507" s="1" t="s">
        <v>1257</v>
      </c>
      <c r="D507" s="1" t="s">
        <v>1202</v>
      </c>
      <c r="E507" s="7">
        <v>23010</v>
      </c>
    </row>
    <row r="508" spans="1:5" x14ac:dyDescent="0.25">
      <c r="A508" s="5" t="s">
        <v>6</v>
      </c>
      <c r="B508" s="5" t="s">
        <v>1258</v>
      </c>
      <c r="C508" s="1" t="s">
        <v>1259</v>
      </c>
      <c r="D508" s="1" t="s">
        <v>1209</v>
      </c>
      <c r="E508" s="7">
        <v>26551</v>
      </c>
    </row>
    <row r="509" spans="1:5" x14ac:dyDescent="0.25">
      <c r="A509" s="5" t="s">
        <v>6</v>
      </c>
      <c r="B509" s="5" t="s">
        <v>1260</v>
      </c>
      <c r="C509" s="1" t="s">
        <v>1261</v>
      </c>
      <c r="D509" s="1" t="s">
        <v>523</v>
      </c>
      <c r="E509" s="7">
        <v>31677</v>
      </c>
    </row>
    <row r="510" spans="1:5" x14ac:dyDescent="0.25">
      <c r="A510" s="5" t="s">
        <v>6</v>
      </c>
      <c r="B510" s="5" t="s">
        <v>1262</v>
      </c>
      <c r="C510" s="1" t="s">
        <v>1263</v>
      </c>
      <c r="D510" s="1" t="s">
        <v>523</v>
      </c>
      <c r="E510" s="7">
        <v>29676</v>
      </c>
    </row>
    <row r="511" spans="1:5" x14ac:dyDescent="0.25">
      <c r="A511" s="5" t="s">
        <v>6</v>
      </c>
      <c r="B511" s="5" t="s">
        <v>1264</v>
      </c>
      <c r="C511" s="1" t="s">
        <v>1265</v>
      </c>
      <c r="D511" s="1" t="s">
        <v>1266</v>
      </c>
      <c r="E511" s="7">
        <v>45253</v>
      </c>
    </row>
    <row r="512" spans="1:5" x14ac:dyDescent="0.25">
      <c r="A512" s="5" t="s">
        <v>6</v>
      </c>
      <c r="B512" s="5" t="s">
        <v>1267</v>
      </c>
      <c r="C512" s="1" t="s">
        <v>1268</v>
      </c>
      <c r="D512" s="1" t="s">
        <v>1269</v>
      </c>
      <c r="E512" s="7">
        <v>7599</v>
      </c>
    </row>
    <row r="513" spans="1:5" x14ac:dyDescent="0.25">
      <c r="A513" s="5" t="s">
        <v>6</v>
      </c>
      <c r="B513" s="5" t="s">
        <v>1270</v>
      </c>
      <c r="C513" s="1" t="s">
        <v>1271</v>
      </c>
      <c r="D513" s="1" t="s">
        <v>1269</v>
      </c>
      <c r="E513" s="7">
        <v>6863</v>
      </c>
    </row>
    <row r="514" spans="1:5" x14ac:dyDescent="0.25">
      <c r="A514" s="5" t="s">
        <v>6</v>
      </c>
      <c r="B514" s="5" t="s">
        <v>1272</v>
      </c>
      <c r="C514" s="1" t="s">
        <v>1273</v>
      </c>
      <c r="D514" s="1" t="s">
        <v>1274</v>
      </c>
      <c r="E514" s="7">
        <v>7354</v>
      </c>
    </row>
    <row r="515" spans="1:5" x14ac:dyDescent="0.25">
      <c r="A515" s="5" t="s">
        <v>6</v>
      </c>
      <c r="B515" s="5" t="s">
        <v>1275</v>
      </c>
      <c r="C515" s="1" t="s">
        <v>1276</v>
      </c>
      <c r="D515" s="1" t="s">
        <v>1277</v>
      </c>
      <c r="E515" s="7">
        <v>12762</v>
      </c>
    </row>
    <row r="516" spans="1:5" x14ac:dyDescent="0.25">
      <c r="A516" s="5" t="s">
        <v>6</v>
      </c>
      <c r="B516" s="5" t="s">
        <v>1278</v>
      </c>
      <c r="C516" s="1" t="s">
        <v>1279</v>
      </c>
      <c r="D516" s="1" t="s">
        <v>1280</v>
      </c>
      <c r="E516" s="7">
        <v>26245</v>
      </c>
    </row>
    <row r="517" spans="1:5" x14ac:dyDescent="0.25">
      <c r="A517" s="5" t="s">
        <v>6</v>
      </c>
      <c r="B517" s="5" t="s">
        <v>1281</v>
      </c>
      <c r="C517" s="1" t="s">
        <v>1282</v>
      </c>
      <c r="D517" s="1" t="s">
        <v>1283</v>
      </c>
      <c r="E517" s="7">
        <v>16050</v>
      </c>
    </row>
    <row r="518" spans="1:5" x14ac:dyDescent="0.25">
      <c r="A518" s="5" t="s">
        <v>6</v>
      </c>
      <c r="B518" s="5" t="s">
        <v>1284</v>
      </c>
      <c r="C518" s="1" t="s">
        <v>1285</v>
      </c>
      <c r="D518" s="1" t="s">
        <v>1286</v>
      </c>
      <c r="E518" s="7">
        <v>11035</v>
      </c>
    </row>
    <row r="519" spans="1:5" x14ac:dyDescent="0.25">
      <c r="A519" s="5" t="s">
        <v>6</v>
      </c>
      <c r="B519" s="5" t="s">
        <v>1287</v>
      </c>
      <c r="C519" s="1" t="s">
        <v>1288</v>
      </c>
      <c r="D519" s="1" t="s">
        <v>1289</v>
      </c>
      <c r="E519" s="7">
        <v>3041</v>
      </c>
    </row>
    <row r="520" spans="1:5" x14ac:dyDescent="0.25">
      <c r="A520" s="5" t="s">
        <v>6</v>
      </c>
      <c r="B520" s="5" t="s">
        <v>1290</v>
      </c>
      <c r="C520" s="1" t="s">
        <v>1291</v>
      </c>
      <c r="D520" s="1" t="s">
        <v>498</v>
      </c>
      <c r="E520" s="7">
        <v>3257</v>
      </c>
    </row>
    <row r="521" spans="1:5" x14ac:dyDescent="0.25">
      <c r="A521" s="5" t="s">
        <v>6</v>
      </c>
      <c r="B521" s="5" t="s">
        <v>1292</v>
      </c>
      <c r="C521" s="1" t="s">
        <v>1293</v>
      </c>
      <c r="D521" s="1" t="s">
        <v>1294</v>
      </c>
      <c r="E521" s="7">
        <v>8230</v>
      </c>
    </row>
    <row r="522" spans="1:5" x14ac:dyDescent="0.25">
      <c r="A522" s="5" t="s">
        <v>6</v>
      </c>
      <c r="B522" s="5" t="s">
        <v>1295</v>
      </c>
      <c r="C522" s="1" t="s">
        <v>1296</v>
      </c>
      <c r="D522" s="1" t="s">
        <v>1274</v>
      </c>
      <c r="E522" s="7">
        <v>6937</v>
      </c>
    </row>
    <row r="523" spans="1:5" x14ac:dyDescent="0.25">
      <c r="A523" s="5" t="s">
        <v>6</v>
      </c>
      <c r="B523" s="5" t="s">
        <v>1297</v>
      </c>
      <c r="C523" s="1" t="s">
        <v>1298</v>
      </c>
      <c r="D523" s="1" t="s">
        <v>1274</v>
      </c>
      <c r="E523" s="7">
        <v>6937</v>
      </c>
    </row>
    <row r="524" spans="1:5" x14ac:dyDescent="0.25">
      <c r="A524" s="5" t="s">
        <v>6</v>
      </c>
      <c r="B524" s="5" t="s">
        <v>1299</v>
      </c>
      <c r="C524" s="1" t="s">
        <v>1300</v>
      </c>
      <c r="D524" s="1" t="s">
        <v>1274</v>
      </c>
      <c r="E524" s="7">
        <v>6937</v>
      </c>
    </row>
    <row r="525" spans="1:5" x14ac:dyDescent="0.25">
      <c r="A525" s="5" t="s">
        <v>6</v>
      </c>
      <c r="B525" s="5" t="s">
        <v>1301</v>
      </c>
      <c r="C525" s="1" t="s">
        <v>1302</v>
      </c>
      <c r="D525" s="1" t="s">
        <v>1274</v>
      </c>
      <c r="E525" s="7">
        <v>5317</v>
      </c>
    </row>
    <row r="526" spans="1:5" x14ac:dyDescent="0.25">
      <c r="A526" s="5" t="s">
        <v>6</v>
      </c>
      <c r="B526" s="5" t="s">
        <v>1303</v>
      </c>
      <c r="C526" s="1" t="s">
        <v>1304</v>
      </c>
      <c r="D526" s="1" t="s">
        <v>1274</v>
      </c>
      <c r="E526" s="7">
        <v>6937</v>
      </c>
    </row>
    <row r="527" spans="1:5" x14ac:dyDescent="0.25">
      <c r="A527" s="5" t="s">
        <v>6</v>
      </c>
      <c r="B527" s="5" t="s">
        <v>1305</v>
      </c>
      <c r="C527" s="1" t="s">
        <v>1306</v>
      </c>
      <c r="D527" s="1" t="s">
        <v>1274</v>
      </c>
      <c r="E527" s="7">
        <v>6937</v>
      </c>
    </row>
    <row r="528" spans="1:5" x14ac:dyDescent="0.25">
      <c r="A528" s="5" t="s">
        <v>6</v>
      </c>
      <c r="B528" s="5" t="s">
        <v>1307</v>
      </c>
      <c r="C528" s="1" t="s">
        <v>1308</v>
      </c>
      <c r="D528" s="1" t="s">
        <v>523</v>
      </c>
      <c r="E528" s="7">
        <v>27477</v>
      </c>
    </row>
    <row r="529" spans="1:5" x14ac:dyDescent="0.25">
      <c r="A529" s="5" t="s">
        <v>6</v>
      </c>
      <c r="B529" s="5" t="s">
        <v>1309</v>
      </c>
      <c r="C529" s="1" t="s">
        <v>1310</v>
      </c>
      <c r="D529" s="1" t="s">
        <v>1311</v>
      </c>
      <c r="E529" s="7">
        <v>5317</v>
      </c>
    </row>
    <row r="530" spans="1:5" x14ac:dyDescent="0.25">
      <c r="A530" s="5" t="s">
        <v>6</v>
      </c>
      <c r="B530" s="5" t="s">
        <v>1312</v>
      </c>
      <c r="C530" s="1" t="s">
        <v>1313</v>
      </c>
      <c r="D530" s="1" t="s">
        <v>1311</v>
      </c>
      <c r="E530" s="7">
        <v>5317</v>
      </c>
    </row>
    <row r="531" spans="1:5" x14ac:dyDescent="0.25">
      <c r="A531" s="5" t="s">
        <v>6</v>
      </c>
      <c r="B531" s="5" t="s">
        <v>1314</v>
      </c>
      <c r="C531" s="1" t="s">
        <v>1315</v>
      </c>
      <c r="D531" s="1" t="s">
        <v>1311</v>
      </c>
      <c r="E531" s="7">
        <v>5317</v>
      </c>
    </row>
    <row r="532" spans="1:5" x14ac:dyDescent="0.25">
      <c r="A532" s="5" t="s">
        <v>6</v>
      </c>
      <c r="B532" s="5" t="s">
        <v>1316</v>
      </c>
      <c r="C532" s="1" t="s">
        <v>1317</v>
      </c>
      <c r="D532" s="1" t="s">
        <v>1318</v>
      </c>
      <c r="E532" s="7">
        <v>3041</v>
      </c>
    </row>
    <row r="533" spans="1:5" x14ac:dyDescent="0.25">
      <c r="A533" s="5" t="s">
        <v>6</v>
      </c>
      <c r="B533" s="5" t="s">
        <v>1319</v>
      </c>
      <c r="C533" s="1" t="s">
        <v>1320</v>
      </c>
      <c r="D533" s="1" t="s">
        <v>515</v>
      </c>
      <c r="E533" s="7">
        <v>5496</v>
      </c>
    </row>
    <row r="534" spans="1:5" x14ac:dyDescent="0.25">
      <c r="A534" s="5" t="s">
        <v>6</v>
      </c>
      <c r="B534" s="5" t="s">
        <v>1321</v>
      </c>
      <c r="C534" s="1" t="s">
        <v>1322</v>
      </c>
      <c r="D534" s="1" t="s">
        <v>1323</v>
      </c>
      <c r="E534" s="7">
        <v>5037</v>
      </c>
    </row>
    <row r="535" spans="1:5" x14ac:dyDescent="0.25">
      <c r="A535" s="5" t="s">
        <v>6</v>
      </c>
      <c r="B535" s="5" t="s">
        <v>1324</v>
      </c>
      <c r="C535" s="1" t="s">
        <v>1325</v>
      </c>
      <c r="D535" s="1" t="s">
        <v>1325</v>
      </c>
      <c r="E535" s="7">
        <v>6127</v>
      </c>
    </row>
    <row r="536" spans="1:5" x14ac:dyDescent="0.25">
      <c r="A536" s="5" t="s">
        <v>6</v>
      </c>
      <c r="B536" s="5" t="s">
        <v>1326</v>
      </c>
      <c r="C536" s="1" t="s">
        <v>1327</v>
      </c>
      <c r="D536" s="1" t="s">
        <v>1327</v>
      </c>
      <c r="E536" s="7">
        <v>4239</v>
      </c>
    </row>
    <row r="537" spans="1:5" x14ac:dyDescent="0.25">
      <c r="A537" s="5" t="s">
        <v>6</v>
      </c>
      <c r="B537" s="5" t="s">
        <v>1328</v>
      </c>
      <c r="C537" s="1" t="s">
        <v>1329</v>
      </c>
      <c r="D537" s="1" t="s">
        <v>1329</v>
      </c>
      <c r="E537" s="7">
        <v>4239</v>
      </c>
    </row>
    <row r="538" spans="1:5" x14ac:dyDescent="0.25">
      <c r="A538" s="5" t="s">
        <v>6</v>
      </c>
      <c r="B538" s="5" t="s">
        <v>1330</v>
      </c>
      <c r="C538" s="1" t="s">
        <v>1331</v>
      </c>
      <c r="D538" s="1" t="s">
        <v>1332</v>
      </c>
      <c r="E538" s="7">
        <v>3546</v>
      </c>
    </row>
    <row r="539" spans="1:5" x14ac:dyDescent="0.25">
      <c r="A539" s="5" t="s">
        <v>6</v>
      </c>
      <c r="B539" s="5" t="s">
        <v>1333</v>
      </c>
      <c r="C539" s="1" t="s">
        <v>1334</v>
      </c>
      <c r="D539" s="1" t="s">
        <v>1335</v>
      </c>
      <c r="E539" s="7">
        <v>5611</v>
      </c>
    </row>
    <row r="540" spans="1:5" x14ac:dyDescent="0.25">
      <c r="A540" s="5" t="s">
        <v>6</v>
      </c>
      <c r="B540" s="5" t="s">
        <v>1336</v>
      </c>
      <c r="C540" s="1" t="s">
        <v>1337</v>
      </c>
      <c r="D540" s="1" t="s">
        <v>1337</v>
      </c>
      <c r="E540" s="7">
        <v>3296</v>
      </c>
    </row>
    <row r="541" spans="1:5" x14ac:dyDescent="0.25">
      <c r="A541" s="5" t="s">
        <v>6</v>
      </c>
      <c r="B541" s="5" t="s">
        <v>1338</v>
      </c>
      <c r="C541" s="1" t="s">
        <v>1339</v>
      </c>
      <c r="D541" s="1" t="s">
        <v>1339</v>
      </c>
      <c r="E541" s="7">
        <v>4119</v>
      </c>
    </row>
    <row r="542" spans="1:5" x14ac:dyDescent="0.25">
      <c r="A542" s="5" t="s">
        <v>6</v>
      </c>
      <c r="B542" s="5" t="s">
        <v>1340</v>
      </c>
      <c r="C542" s="1" t="s">
        <v>1341</v>
      </c>
      <c r="D542" s="1" t="s">
        <v>1341</v>
      </c>
      <c r="E542" s="7">
        <v>4119</v>
      </c>
    </row>
    <row r="543" spans="1:5" x14ac:dyDescent="0.25">
      <c r="A543" s="5" t="s">
        <v>6</v>
      </c>
      <c r="B543" s="5" t="s">
        <v>1342</v>
      </c>
      <c r="C543" s="1" t="s">
        <v>1343</v>
      </c>
      <c r="D543" s="1" t="s">
        <v>1344</v>
      </c>
      <c r="E543" s="7">
        <v>36056</v>
      </c>
    </row>
    <row r="544" spans="1:5" x14ac:dyDescent="0.25">
      <c r="A544" s="5" t="s">
        <v>6</v>
      </c>
      <c r="B544" s="5" t="s">
        <v>1345</v>
      </c>
      <c r="C544" s="1" t="s">
        <v>1346</v>
      </c>
      <c r="D544" s="1" t="s">
        <v>1344</v>
      </c>
      <c r="E544" s="7">
        <v>33385</v>
      </c>
    </row>
    <row r="545" spans="1:5" x14ac:dyDescent="0.25">
      <c r="A545" s="5" t="s">
        <v>6</v>
      </c>
      <c r="B545" s="5" t="s">
        <v>1347</v>
      </c>
      <c r="C545" s="1" t="s">
        <v>1348</v>
      </c>
      <c r="D545" s="1" t="s">
        <v>1344</v>
      </c>
      <c r="E545" s="7">
        <v>33385</v>
      </c>
    </row>
    <row r="546" spans="1:5" x14ac:dyDescent="0.25">
      <c r="A546" s="5" t="s">
        <v>6</v>
      </c>
      <c r="B546" s="5" t="s">
        <v>1349</v>
      </c>
      <c r="C546" s="1" t="s">
        <v>1350</v>
      </c>
      <c r="D546" s="1" t="s">
        <v>1344</v>
      </c>
      <c r="E546" s="7">
        <v>33385</v>
      </c>
    </row>
    <row r="547" spans="1:5" x14ac:dyDescent="0.25">
      <c r="A547" s="5" t="s">
        <v>6</v>
      </c>
      <c r="B547" s="5" t="s">
        <v>1351</v>
      </c>
      <c r="C547" s="1" t="s">
        <v>1352</v>
      </c>
      <c r="D547" s="1" t="s">
        <v>1353</v>
      </c>
      <c r="E547" s="7">
        <v>17106</v>
      </c>
    </row>
    <row r="548" spans="1:5" x14ac:dyDescent="0.25">
      <c r="A548" s="5" t="s">
        <v>6</v>
      </c>
      <c r="B548" s="5" t="s">
        <v>1354</v>
      </c>
      <c r="C548" s="1" t="s">
        <v>1355</v>
      </c>
      <c r="D548" s="1" t="s">
        <v>1353</v>
      </c>
      <c r="E548" s="7">
        <v>24691</v>
      </c>
    </row>
    <row r="549" spans="1:5" x14ac:dyDescent="0.25">
      <c r="A549" s="5" t="s">
        <v>6</v>
      </c>
      <c r="B549" s="5" t="s">
        <v>1356</v>
      </c>
      <c r="C549" s="1" t="s">
        <v>1357</v>
      </c>
      <c r="D549" s="1" t="s">
        <v>1358</v>
      </c>
      <c r="E549" s="7">
        <v>37318</v>
      </c>
    </row>
    <row r="550" spans="1:5" x14ac:dyDescent="0.25">
      <c r="A550" s="5" t="s">
        <v>6</v>
      </c>
      <c r="B550" s="5" t="s">
        <v>1359</v>
      </c>
      <c r="C550" s="1" t="s">
        <v>1360</v>
      </c>
      <c r="D550" s="1" t="s">
        <v>1361</v>
      </c>
      <c r="E550" s="7">
        <v>6885</v>
      </c>
    </row>
    <row r="551" spans="1:5" x14ac:dyDescent="0.25">
      <c r="A551" s="5" t="s">
        <v>6</v>
      </c>
      <c r="B551" s="5" t="s">
        <v>1362</v>
      </c>
      <c r="C551" s="1" t="s">
        <v>1363</v>
      </c>
      <c r="D551" s="1" t="s">
        <v>1364</v>
      </c>
      <c r="E551" s="7">
        <v>22626</v>
      </c>
    </row>
    <row r="552" spans="1:5" x14ac:dyDescent="0.25">
      <c r="A552" s="5" t="s">
        <v>6</v>
      </c>
      <c r="B552" s="5" t="s">
        <v>1365</v>
      </c>
      <c r="C552" s="1" t="s">
        <v>1366</v>
      </c>
      <c r="D552" s="1" t="s">
        <v>1364</v>
      </c>
      <c r="E552" s="7">
        <v>25658</v>
      </c>
    </row>
    <row r="553" spans="1:5" x14ac:dyDescent="0.25">
      <c r="A553" s="5" t="s">
        <v>6</v>
      </c>
      <c r="B553" s="5" t="s">
        <v>1367</v>
      </c>
      <c r="C553" s="1" t="s">
        <v>1368</v>
      </c>
      <c r="D553" s="1" t="s">
        <v>1369</v>
      </c>
      <c r="E553" s="7">
        <v>21611</v>
      </c>
    </row>
    <row r="554" spans="1:5" x14ac:dyDescent="0.25">
      <c r="A554" s="5" t="s">
        <v>6</v>
      </c>
      <c r="B554" s="5" t="s">
        <v>1370</v>
      </c>
      <c r="C554" s="1" t="s">
        <v>1371</v>
      </c>
      <c r="D554" s="1" t="s">
        <v>1372</v>
      </c>
      <c r="E554" s="7">
        <v>43396.22</v>
      </c>
    </row>
    <row r="555" spans="1:5" x14ac:dyDescent="0.25">
      <c r="A555" s="5" t="s">
        <v>6</v>
      </c>
      <c r="B555" s="5" t="s">
        <v>1373</v>
      </c>
      <c r="C555" s="1" t="s">
        <v>1374</v>
      </c>
      <c r="D555" s="1" t="s">
        <v>1375</v>
      </c>
      <c r="E555" s="7">
        <v>33018.86</v>
      </c>
    </row>
    <row r="556" spans="1:5" x14ac:dyDescent="0.25">
      <c r="A556" s="5" t="s">
        <v>6</v>
      </c>
      <c r="B556" s="5" t="s">
        <v>1376</v>
      </c>
      <c r="C556" s="1" t="s">
        <v>1377</v>
      </c>
      <c r="D556" s="1" t="s">
        <v>1378</v>
      </c>
      <c r="E556" s="7">
        <v>4433.96</v>
      </c>
    </row>
    <row r="557" spans="1:5" x14ac:dyDescent="0.25">
      <c r="A557" s="5" t="s">
        <v>6</v>
      </c>
      <c r="B557" s="5" t="s">
        <v>1379</v>
      </c>
      <c r="C557" s="1" t="s">
        <v>1380</v>
      </c>
      <c r="D557" s="1" t="s">
        <v>1380</v>
      </c>
      <c r="E557" s="7">
        <v>12264.15</v>
      </c>
    </row>
    <row r="558" spans="1:5" x14ac:dyDescent="0.25">
      <c r="A558" s="5" t="s">
        <v>6</v>
      </c>
      <c r="B558" s="5" t="s">
        <v>1381</v>
      </c>
      <c r="C558" s="1" t="s">
        <v>1382</v>
      </c>
      <c r="D558" s="1" t="s">
        <v>1383</v>
      </c>
      <c r="E558" s="7">
        <v>15639</v>
      </c>
    </row>
    <row r="559" spans="1:5" x14ac:dyDescent="0.25">
      <c r="A559" s="5" t="s">
        <v>6</v>
      </c>
      <c r="B559" s="5" t="s">
        <v>1384</v>
      </c>
      <c r="C559" s="1" t="s">
        <v>1385</v>
      </c>
      <c r="D559" s="1" t="s">
        <v>1385</v>
      </c>
      <c r="E559" s="7">
        <v>42390</v>
      </c>
    </row>
    <row r="560" spans="1:5" x14ac:dyDescent="0.25">
      <c r="A560" s="5" t="s">
        <v>6</v>
      </c>
      <c r="B560" s="5" t="s">
        <v>1386</v>
      </c>
      <c r="C560" s="1" t="s">
        <v>1387</v>
      </c>
      <c r="D560" s="1" t="s">
        <v>1388</v>
      </c>
      <c r="E560" s="7">
        <v>27050</v>
      </c>
    </row>
    <row r="561" spans="1:5" x14ac:dyDescent="0.25">
      <c r="A561" s="5" t="s">
        <v>6</v>
      </c>
      <c r="B561" s="5" t="s">
        <v>1389</v>
      </c>
      <c r="C561" s="1" t="s">
        <v>1390</v>
      </c>
      <c r="D561" s="1" t="s">
        <v>1388</v>
      </c>
      <c r="E561" s="7">
        <v>15335</v>
      </c>
    </row>
    <row r="562" spans="1:5" x14ac:dyDescent="0.25">
      <c r="A562" s="5" t="s">
        <v>6</v>
      </c>
      <c r="B562" s="5" t="s">
        <v>1391</v>
      </c>
      <c r="C562" s="1" t="s">
        <v>1392</v>
      </c>
      <c r="D562" s="1" t="s">
        <v>1393</v>
      </c>
      <c r="E562" s="7">
        <v>14181</v>
      </c>
    </row>
    <row r="563" spans="1:5" x14ac:dyDescent="0.25">
      <c r="A563" s="5" t="s">
        <v>6</v>
      </c>
      <c r="B563" s="5" t="s">
        <v>1394</v>
      </c>
      <c r="C563" s="1" t="s">
        <v>1395</v>
      </c>
      <c r="D563" s="1" t="s">
        <v>1396</v>
      </c>
      <c r="E563" s="7">
        <v>14181</v>
      </c>
    </row>
    <row r="564" spans="1:5" x14ac:dyDescent="0.25">
      <c r="A564" s="5" t="s">
        <v>6</v>
      </c>
      <c r="B564" s="5" t="s">
        <v>1397</v>
      </c>
      <c r="C564" s="1" t="s">
        <v>1398</v>
      </c>
      <c r="D564" s="1" t="s">
        <v>1399</v>
      </c>
      <c r="E564" s="7">
        <v>3451</v>
      </c>
    </row>
    <row r="565" spans="1:5" x14ac:dyDescent="0.25">
      <c r="A565" s="5" t="s">
        <v>6</v>
      </c>
      <c r="B565" s="5" t="s">
        <v>1400</v>
      </c>
      <c r="C565" s="1" t="s">
        <v>1401</v>
      </c>
      <c r="D565" s="1" t="s">
        <v>1402</v>
      </c>
      <c r="E565" s="7">
        <v>7785</v>
      </c>
    </row>
    <row r="566" spans="1:5" x14ac:dyDescent="0.25">
      <c r="A566" s="5" t="s">
        <v>6</v>
      </c>
      <c r="B566" s="5" t="s">
        <v>1403</v>
      </c>
      <c r="C566" s="1" t="s">
        <v>1404</v>
      </c>
      <c r="D566" s="1" t="s">
        <v>1405</v>
      </c>
      <c r="E566" s="7">
        <v>23091</v>
      </c>
    </row>
    <row r="567" spans="1:5" x14ac:dyDescent="0.25">
      <c r="A567" s="5" t="s">
        <v>6</v>
      </c>
      <c r="B567" s="5" t="s">
        <v>1406</v>
      </c>
      <c r="C567" s="1" t="s">
        <v>1407</v>
      </c>
      <c r="D567" s="1" t="s">
        <v>1408</v>
      </c>
      <c r="E567" s="7">
        <v>1422</v>
      </c>
    </row>
    <row r="568" spans="1:5" x14ac:dyDescent="0.25">
      <c r="A568" s="5" t="s">
        <v>6</v>
      </c>
      <c r="B568" s="5" t="s">
        <v>1409</v>
      </c>
      <c r="C568" s="1" t="s">
        <v>1410</v>
      </c>
      <c r="D568" s="1" t="s">
        <v>1411</v>
      </c>
      <c r="E568" s="7">
        <v>7263</v>
      </c>
    </row>
    <row r="569" spans="1:5" x14ac:dyDescent="0.25">
      <c r="A569" s="5" t="s">
        <v>6</v>
      </c>
      <c r="B569" s="5" t="s">
        <v>1412</v>
      </c>
      <c r="C569" s="1" t="s">
        <v>1413</v>
      </c>
      <c r="D569" s="1" t="s">
        <v>1414</v>
      </c>
      <c r="E569" s="7">
        <v>8184</v>
      </c>
    </row>
    <row r="570" spans="1:5" x14ac:dyDescent="0.25">
      <c r="A570" s="5" t="s">
        <v>6</v>
      </c>
      <c r="B570" s="5" t="s">
        <v>1415</v>
      </c>
      <c r="C570" s="1" t="s">
        <v>1416</v>
      </c>
      <c r="D570" s="1" t="s">
        <v>1417</v>
      </c>
      <c r="E570" s="7">
        <v>1791</v>
      </c>
    </row>
    <row r="571" spans="1:5" x14ac:dyDescent="0.25">
      <c r="A571" s="5" t="s">
        <v>6</v>
      </c>
      <c r="B571" s="5" t="s">
        <v>1418</v>
      </c>
      <c r="C571" s="1" t="s">
        <v>1419</v>
      </c>
      <c r="D571" s="1" t="s">
        <v>1419</v>
      </c>
      <c r="E571" s="7">
        <v>3238</v>
      </c>
    </row>
    <row r="572" spans="1:5" x14ac:dyDescent="0.25">
      <c r="A572" s="5" t="s">
        <v>6</v>
      </c>
      <c r="B572" s="5" t="s">
        <v>1420</v>
      </c>
      <c r="C572" s="1" t="s">
        <v>1421</v>
      </c>
      <c r="D572" s="1" t="s">
        <v>1422</v>
      </c>
      <c r="E572" s="7">
        <v>13590</v>
      </c>
    </row>
    <row r="573" spans="1:5" x14ac:dyDescent="0.25">
      <c r="A573" s="5" t="s">
        <v>6</v>
      </c>
      <c r="B573" s="5" t="s">
        <v>1423</v>
      </c>
      <c r="C573" s="1" t="s">
        <v>1424</v>
      </c>
      <c r="D573" s="1" t="s">
        <v>1425</v>
      </c>
      <c r="E573" s="7">
        <v>15041</v>
      </c>
    </row>
    <row r="574" spans="1:5" x14ac:dyDescent="0.25">
      <c r="A574" s="5" t="s">
        <v>6</v>
      </c>
      <c r="B574" s="5" t="s">
        <v>1426</v>
      </c>
      <c r="C574" s="1" t="s">
        <v>1427</v>
      </c>
      <c r="D574" s="1" t="s">
        <v>1428</v>
      </c>
      <c r="E574" s="7">
        <v>17325</v>
      </c>
    </row>
    <row r="575" spans="1:5" x14ac:dyDescent="0.25">
      <c r="A575" s="5" t="s">
        <v>6</v>
      </c>
      <c r="B575" s="5" t="s">
        <v>1429</v>
      </c>
      <c r="C575" s="1" t="s">
        <v>1430</v>
      </c>
      <c r="D575" s="1" t="s">
        <v>1431</v>
      </c>
      <c r="E575" s="7">
        <v>17779</v>
      </c>
    </row>
    <row r="576" spans="1:5" x14ac:dyDescent="0.25">
      <c r="A576" s="5" t="s">
        <v>6</v>
      </c>
      <c r="B576" s="5" t="s">
        <v>1432</v>
      </c>
      <c r="C576" s="1" t="s">
        <v>1433</v>
      </c>
      <c r="D576" s="1" t="s">
        <v>1434</v>
      </c>
      <c r="E576" s="7">
        <v>3248</v>
      </c>
    </row>
    <row r="577" spans="1:5" x14ac:dyDescent="0.25">
      <c r="A577" s="5" t="s">
        <v>6</v>
      </c>
      <c r="B577" s="5" t="s">
        <v>1435</v>
      </c>
      <c r="C577" s="1" t="s">
        <v>1436</v>
      </c>
      <c r="D577" s="1" t="s">
        <v>1437</v>
      </c>
      <c r="E577" s="7">
        <v>15015</v>
      </c>
    </row>
    <row r="578" spans="1:5" x14ac:dyDescent="0.25">
      <c r="A578" s="5" t="s">
        <v>6</v>
      </c>
      <c r="B578" s="5" t="s">
        <v>1438</v>
      </c>
      <c r="C578" s="1" t="s">
        <v>1439</v>
      </c>
      <c r="D578" s="1" t="s">
        <v>1440</v>
      </c>
      <c r="E578" s="7">
        <v>22690</v>
      </c>
    </row>
    <row r="579" spans="1:5" x14ac:dyDescent="0.25">
      <c r="A579" s="5" t="s">
        <v>6</v>
      </c>
      <c r="B579" s="5" t="s">
        <v>1441</v>
      </c>
      <c r="C579" s="1" t="s">
        <v>1442</v>
      </c>
      <c r="D579" s="1" t="s">
        <v>1443</v>
      </c>
      <c r="E579" s="7">
        <v>8324</v>
      </c>
    </row>
    <row r="580" spans="1:5" x14ac:dyDescent="0.25">
      <c r="A580" s="5" t="s">
        <v>6</v>
      </c>
      <c r="B580" s="5" t="s">
        <v>1444</v>
      </c>
      <c r="C580" s="1" t="s">
        <v>1445</v>
      </c>
      <c r="D580" s="1" t="s">
        <v>1446</v>
      </c>
      <c r="E580" s="7">
        <v>18874</v>
      </c>
    </row>
    <row r="581" spans="1:5" x14ac:dyDescent="0.25">
      <c r="A581" s="5" t="s">
        <v>6</v>
      </c>
      <c r="B581" s="5" t="s">
        <v>1447</v>
      </c>
      <c r="C581" s="1" t="s">
        <v>1448</v>
      </c>
      <c r="D581" s="1" t="s">
        <v>1449</v>
      </c>
      <c r="E581" s="7">
        <v>61279</v>
      </c>
    </row>
    <row r="582" spans="1:5" x14ac:dyDescent="0.25">
      <c r="A582" s="5" t="s">
        <v>6</v>
      </c>
      <c r="B582" s="5" t="s">
        <v>1450</v>
      </c>
      <c r="C582" s="1" t="s">
        <v>1451</v>
      </c>
      <c r="D582" s="1" t="s">
        <v>1452</v>
      </c>
      <c r="E582" s="7">
        <v>41720</v>
      </c>
    </row>
    <row r="583" spans="1:5" x14ac:dyDescent="0.25">
      <c r="A583" s="5" t="s">
        <v>6</v>
      </c>
      <c r="B583" s="5" t="s">
        <v>1453</v>
      </c>
      <c r="C583" s="1" t="s">
        <v>1454</v>
      </c>
      <c r="D583" s="1" t="s">
        <v>1455</v>
      </c>
      <c r="E583" s="7">
        <v>14544</v>
      </c>
    </row>
    <row r="584" spans="1:5" x14ac:dyDescent="0.25">
      <c r="A584" s="5" t="s">
        <v>6</v>
      </c>
      <c r="B584" s="5" t="s">
        <v>1456</v>
      </c>
      <c r="C584" s="1" t="s">
        <v>1457</v>
      </c>
      <c r="D584" s="1" t="s">
        <v>1458</v>
      </c>
      <c r="E584" s="7">
        <v>10924</v>
      </c>
    </row>
    <row r="585" spans="1:5" x14ac:dyDescent="0.25">
      <c r="A585" s="5" t="s">
        <v>6</v>
      </c>
      <c r="B585" s="5" t="s">
        <v>1459</v>
      </c>
      <c r="C585" s="1" t="s">
        <v>1460</v>
      </c>
      <c r="D585" s="1" t="s">
        <v>1460</v>
      </c>
      <c r="E585" s="7">
        <v>15098</v>
      </c>
    </row>
    <row r="586" spans="1:5" x14ac:dyDescent="0.25">
      <c r="A586" s="5" t="s">
        <v>6</v>
      </c>
      <c r="B586" s="5" t="s">
        <v>1461</v>
      </c>
      <c r="C586" s="1" t="s">
        <v>1462</v>
      </c>
      <c r="D586" s="1" t="s">
        <v>1463</v>
      </c>
      <c r="E586" s="7">
        <v>26010</v>
      </c>
    </row>
    <row r="587" spans="1:5" x14ac:dyDescent="0.25">
      <c r="A587" s="5" t="s">
        <v>6</v>
      </c>
      <c r="B587" s="5" t="s">
        <v>1464</v>
      </c>
      <c r="C587" s="1" t="s">
        <v>1465</v>
      </c>
      <c r="D587" s="1" t="s">
        <v>1465</v>
      </c>
      <c r="E587" s="7">
        <v>31716</v>
      </c>
    </row>
    <row r="588" spans="1:5" x14ac:dyDescent="0.25">
      <c r="A588" s="5" t="s">
        <v>6</v>
      </c>
      <c r="B588" s="5" t="s">
        <v>1466</v>
      </c>
      <c r="C588" s="1" t="s">
        <v>1467</v>
      </c>
      <c r="D588" s="1" t="s">
        <v>1468</v>
      </c>
      <c r="E588" s="7">
        <v>3776</v>
      </c>
    </row>
    <row r="589" spans="1:5" x14ac:dyDescent="0.25">
      <c r="A589" s="5" t="s">
        <v>6</v>
      </c>
      <c r="B589" s="5" t="s">
        <v>1469</v>
      </c>
      <c r="C589" s="1" t="s">
        <v>1470</v>
      </c>
      <c r="D589" s="1" t="s">
        <v>1471</v>
      </c>
      <c r="E589" s="7">
        <v>3776</v>
      </c>
    </row>
    <row r="590" spans="1:5" x14ac:dyDescent="0.25">
      <c r="A590" s="5" t="s">
        <v>6</v>
      </c>
      <c r="B590" s="5" t="s">
        <v>1472</v>
      </c>
      <c r="C590" s="1" t="s">
        <v>1473</v>
      </c>
      <c r="D590" s="1" t="s">
        <v>1473</v>
      </c>
      <c r="E590" s="7">
        <v>13590</v>
      </c>
    </row>
    <row r="591" spans="1:5" x14ac:dyDescent="0.25">
      <c r="A591" s="5" t="s">
        <v>6</v>
      </c>
      <c r="B591" s="5" t="s">
        <v>1474</v>
      </c>
      <c r="C591" s="1" t="s">
        <v>1475</v>
      </c>
      <c r="D591" s="1" t="s">
        <v>1476</v>
      </c>
      <c r="E591" s="7">
        <v>11687</v>
      </c>
    </row>
    <row r="592" spans="1:5" x14ac:dyDescent="0.25">
      <c r="A592" s="5" t="s">
        <v>6</v>
      </c>
      <c r="B592" s="5" t="s">
        <v>1477</v>
      </c>
      <c r="C592" s="1" t="s">
        <v>1478</v>
      </c>
      <c r="D592" s="1" t="s">
        <v>1479</v>
      </c>
      <c r="E592" s="7">
        <v>15758</v>
      </c>
    </row>
    <row r="593" spans="1:5" x14ac:dyDescent="0.25">
      <c r="A593" s="5" t="s">
        <v>6</v>
      </c>
      <c r="B593" s="5" t="s">
        <v>1480</v>
      </c>
      <c r="C593" s="1" t="s">
        <v>1481</v>
      </c>
      <c r="D593" s="1" t="s">
        <v>1482</v>
      </c>
      <c r="E593" s="7">
        <v>1850.96</v>
      </c>
    </row>
    <row r="594" spans="1:5" x14ac:dyDescent="0.25">
      <c r="A594" s="5" t="s">
        <v>6</v>
      </c>
      <c r="B594" s="5" t="s">
        <v>1483</v>
      </c>
      <c r="C594" s="1" t="s">
        <v>1484</v>
      </c>
      <c r="D594" s="1" t="s">
        <v>1485</v>
      </c>
      <c r="E594" s="7">
        <v>4136</v>
      </c>
    </row>
    <row r="595" spans="1:5" x14ac:dyDescent="0.25">
      <c r="A595" s="5" t="s">
        <v>6</v>
      </c>
      <c r="B595" s="5" t="s">
        <v>1486</v>
      </c>
      <c r="C595" s="1" t="s">
        <v>1487</v>
      </c>
      <c r="D595" s="1" t="s">
        <v>1488</v>
      </c>
      <c r="E595" s="7">
        <v>569</v>
      </c>
    </row>
    <row r="596" spans="1:5" x14ac:dyDescent="0.25">
      <c r="A596" s="5" t="s">
        <v>6</v>
      </c>
      <c r="B596" s="5" t="s">
        <v>1489</v>
      </c>
      <c r="C596" s="1" t="s">
        <v>1490</v>
      </c>
      <c r="D596" s="1" t="s">
        <v>1491</v>
      </c>
      <c r="E596" s="7">
        <v>2605</v>
      </c>
    </row>
    <row r="597" spans="1:5" x14ac:dyDescent="0.25">
      <c r="A597" s="5" t="s">
        <v>6</v>
      </c>
      <c r="B597" s="5" t="s">
        <v>1492</v>
      </c>
      <c r="C597" s="1" t="s">
        <v>1493</v>
      </c>
      <c r="D597" s="1" t="s">
        <v>1494</v>
      </c>
      <c r="E597" s="7">
        <v>48667.996800000001</v>
      </c>
    </row>
    <row r="598" spans="1:5" x14ac:dyDescent="0.25">
      <c r="A598" s="5" t="s">
        <v>6</v>
      </c>
      <c r="B598" s="5" t="s">
        <v>1495</v>
      </c>
      <c r="C598" s="1" t="s">
        <v>1496</v>
      </c>
      <c r="D598" s="1" t="s">
        <v>1497</v>
      </c>
      <c r="E598" s="7">
        <v>38707.449699999997</v>
      </c>
    </row>
    <row r="599" spans="1:5" x14ac:dyDescent="0.25">
      <c r="A599" s="5" t="s">
        <v>6</v>
      </c>
      <c r="B599" s="5" t="s">
        <v>1498</v>
      </c>
      <c r="C599" s="1" t="s">
        <v>1499</v>
      </c>
      <c r="D599" s="1" t="s">
        <v>1500</v>
      </c>
      <c r="E599" s="7">
        <v>128058.11199999999</v>
      </c>
    </row>
    <row r="600" spans="1:5" x14ac:dyDescent="0.25">
      <c r="A600" s="5" t="s">
        <v>6</v>
      </c>
      <c r="B600" s="5" t="s">
        <v>1501</v>
      </c>
      <c r="C600" s="1" t="s">
        <v>1502</v>
      </c>
      <c r="D600" s="1" t="s">
        <v>1503</v>
      </c>
      <c r="E600" s="7">
        <v>27268</v>
      </c>
    </row>
    <row r="601" spans="1:5" x14ac:dyDescent="0.25">
      <c r="A601" s="5" t="s">
        <v>6</v>
      </c>
      <c r="B601" s="5" t="s">
        <v>1504</v>
      </c>
      <c r="C601" s="1" t="s">
        <v>1505</v>
      </c>
      <c r="D601" s="1" t="s">
        <v>1506</v>
      </c>
      <c r="E601" s="7">
        <v>2575</v>
      </c>
    </row>
    <row r="602" spans="1:5" x14ac:dyDescent="0.25">
      <c r="A602" s="5" t="s">
        <v>6</v>
      </c>
      <c r="B602" s="5" t="s">
        <v>1507</v>
      </c>
      <c r="C602" s="1" t="s">
        <v>1508</v>
      </c>
      <c r="D602" s="1" t="s">
        <v>1509</v>
      </c>
      <c r="E602" s="7">
        <v>58242.7886</v>
      </c>
    </row>
    <row r="603" spans="1:5" x14ac:dyDescent="0.25">
      <c r="A603" s="5" t="s">
        <v>6</v>
      </c>
      <c r="B603" s="5" t="s">
        <v>1510</v>
      </c>
      <c r="C603" s="1" t="s">
        <v>1511</v>
      </c>
      <c r="D603" s="1" t="s">
        <v>1511</v>
      </c>
      <c r="E603" s="7">
        <v>18156</v>
      </c>
    </row>
    <row r="604" spans="1:5" x14ac:dyDescent="0.25">
      <c r="A604" s="5" t="s">
        <v>6</v>
      </c>
      <c r="B604" s="5" t="s">
        <v>1512</v>
      </c>
      <c r="C604" s="1" t="s">
        <v>1513</v>
      </c>
      <c r="D604" s="1" t="s">
        <v>1514</v>
      </c>
      <c r="E604" s="7">
        <v>20673.080000000002</v>
      </c>
    </row>
    <row r="605" spans="1:5" x14ac:dyDescent="0.25">
      <c r="A605" s="5" t="s">
        <v>6</v>
      </c>
      <c r="B605" s="5" t="s">
        <v>1515</v>
      </c>
      <c r="C605" s="1" t="s">
        <v>1516</v>
      </c>
      <c r="D605" s="1" t="s">
        <v>1517</v>
      </c>
      <c r="E605" s="7">
        <v>6752</v>
      </c>
    </row>
    <row r="606" spans="1:5" x14ac:dyDescent="0.25">
      <c r="A606" s="5" t="s">
        <v>6</v>
      </c>
      <c r="B606" s="5" t="s">
        <v>1518</v>
      </c>
      <c r="C606" s="1" t="s">
        <v>1519</v>
      </c>
      <c r="D606" s="1" t="s">
        <v>1520</v>
      </c>
      <c r="E606" s="7">
        <v>5851</v>
      </c>
    </row>
    <row r="607" spans="1:5" x14ac:dyDescent="0.25">
      <c r="A607" s="5" t="s">
        <v>6</v>
      </c>
      <c r="B607" s="5" t="s">
        <v>1521</v>
      </c>
      <c r="C607" s="1" t="s">
        <v>1522</v>
      </c>
      <c r="D607" s="1" t="s">
        <v>1523</v>
      </c>
      <c r="E607" s="7">
        <v>8197</v>
      </c>
    </row>
    <row r="608" spans="1:5" x14ac:dyDescent="0.25">
      <c r="A608" s="5" t="s">
        <v>6</v>
      </c>
      <c r="B608" s="5" t="s">
        <v>1524</v>
      </c>
      <c r="C608" s="1" t="s">
        <v>1525</v>
      </c>
      <c r="D608" s="1" t="s">
        <v>1526</v>
      </c>
      <c r="E608" s="7">
        <v>18396.22</v>
      </c>
    </row>
    <row r="609" spans="1:5" x14ac:dyDescent="0.25">
      <c r="A609" s="5" t="s">
        <v>6</v>
      </c>
      <c r="B609" s="5" t="s">
        <v>1527</v>
      </c>
      <c r="C609" s="1" t="s">
        <v>1528</v>
      </c>
      <c r="D609" s="1" t="s">
        <v>1529</v>
      </c>
      <c r="E609" s="7">
        <v>8454</v>
      </c>
    </row>
    <row r="610" spans="1:5" x14ac:dyDescent="0.25">
      <c r="A610" s="5" t="s">
        <v>6</v>
      </c>
      <c r="B610" s="5" t="s">
        <v>1530</v>
      </c>
      <c r="C610" s="1" t="s">
        <v>1531</v>
      </c>
      <c r="D610" s="1" t="s">
        <v>1532</v>
      </c>
      <c r="E610" s="7">
        <v>7515</v>
      </c>
    </row>
    <row r="611" spans="1:5" x14ac:dyDescent="0.25">
      <c r="A611" s="5" t="s">
        <v>6</v>
      </c>
      <c r="B611" s="5" t="s">
        <v>1533</v>
      </c>
      <c r="C611" s="1" t="s">
        <v>1534</v>
      </c>
      <c r="D611" s="1" t="s">
        <v>1535</v>
      </c>
      <c r="E611" s="7">
        <v>5872</v>
      </c>
    </row>
    <row r="612" spans="1:5" x14ac:dyDescent="0.25">
      <c r="A612" s="5" t="s">
        <v>6</v>
      </c>
      <c r="B612" s="5" t="s">
        <v>1536</v>
      </c>
      <c r="C612" s="1" t="s">
        <v>1537</v>
      </c>
      <c r="D612" s="1" t="s">
        <v>1538</v>
      </c>
      <c r="E612" s="7">
        <v>8454</v>
      </c>
    </row>
    <row r="613" spans="1:5" x14ac:dyDescent="0.25">
      <c r="A613" s="5" t="s">
        <v>6</v>
      </c>
      <c r="B613" s="5" t="s">
        <v>1539</v>
      </c>
      <c r="C613" s="1" t="s">
        <v>1540</v>
      </c>
      <c r="D613" s="1" t="s">
        <v>1541</v>
      </c>
      <c r="E613" s="7">
        <v>42837</v>
      </c>
    </row>
    <row r="614" spans="1:5" x14ac:dyDescent="0.25">
      <c r="A614" s="5" t="s">
        <v>6</v>
      </c>
      <c r="B614" s="5" t="s">
        <v>1542</v>
      </c>
      <c r="C614" s="1" t="s">
        <v>1543</v>
      </c>
      <c r="D614" s="1" t="s">
        <v>1544</v>
      </c>
      <c r="E614" s="7">
        <v>14091</v>
      </c>
    </row>
    <row r="615" spans="1:5" x14ac:dyDescent="0.25">
      <c r="A615" s="5" t="s">
        <v>6</v>
      </c>
      <c r="B615" s="5" t="s">
        <v>1545</v>
      </c>
      <c r="C615" s="1" t="s">
        <v>1546</v>
      </c>
      <c r="D615" s="1" t="s">
        <v>1547</v>
      </c>
      <c r="E615" s="7">
        <v>22311</v>
      </c>
    </row>
    <row r="616" spans="1:5" x14ac:dyDescent="0.25">
      <c r="A616" s="5" t="s">
        <v>6</v>
      </c>
      <c r="B616" s="5" t="s">
        <v>1548</v>
      </c>
      <c r="C616" s="1" t="s">
        <v>1549</v>
      </c>
      <c r="D616" s="1" t="s">
        <v>1550</v>
      </c>
      <c r="E616" s="7">
        <v>18789</v>
      </c>
    </row>
    <row r="617" spans="1:5" x14ac:dyDescent="0.25">
      <c r="A617" s="5" t="s">
        <v>6</v>
      </c>
      <c r="B617" s="5" t="s">
        <v>1551</v>
      </c>
      <c r="C617" s="1" t="s">
        <v>1552</v>
      </c>
      <c r="D617" s="1" t="s">
        <v>1553</v>
      </c>
      <c r="E617" s="7">
        <v>15030</v>
      </c>
    </row>
    <row r="618" spans="1:5" x14ac:dyDescent="0.25">
      <c r="A618" s="5" t="s">
        <v>6</v>
      </c>
      <c r="B618" s="5" t="s">
        <v>1554</v>
      </c>
      <c r="C618" s="1" t="s">
        <v>1555</v>
      </c>
      <c r="D618" s="1" t="s">
        <v>1556</v>
      </c>
      <c r="E618" s="7">
        <v>3758</v>
      </c>
    </row>
    <row r="619" spans="1:5" x14ac:dyDescent="0.25">
      <c r="A619" s="5" t="s">
        <v>6</v>
      </c>
      <c r="B619" s="5" t="s">
        <v>1557</v>
      </c>
      <c r="C619" s="1" t="s">
        <v>1558</v>
      </c>
      <c r="D619" s="1" t="s">
        <v>1559</v>
      </c>
      <c r="E619" s="7">
        <v>8454</v>
      </c>
    </row>
    <row r="620" spans="1:5" x14ac:dyDescent="0.25">
      <c r="A620" s="5" t="s">
        <v>6</v>
      </c>
      <c r="B620" s="5" t="s">
        <v>1560</v>
      </c>
      <c r="C620" s="1" t="s">
        <v>1561</v>
      </c>
      <c r="D620" s="1" t="s">
        <v>1562</v>
      </c>
      <c r="E620" s="7">
        <v>17849</v>
      </c>
    </row>
    <row r="621" spans="1:5" x14ac:dyDescent="0.25">
      <c r="A621" s="5" t="s">
        <v>6</v>
      </c>
      <c r="B621" s="5" t="s">
        <v>1563</v>
      </c>
      <c r="C621" s="1" t="s">
        <v>1564</v>
      </c>
      <c r="D621" s="1" t="s">
        <v>1565</v>
      </c>
      <c r="E621" s="7">
        <v>9394</v>
      </c>
    </row>
    <row r="622" spans="1:5" x14ac:dyDescent="0.25">
      <c r="A622" s="5" t="s">
        <v>6</v>
      </c>
      <c r="B622" s="5" t="s">
        <v>1566</v>
      </c>
      <c r="C622" s="1" t="s">
        <v>1567</v>
      </c>
      <c r="D622" s="1" t="s">
        <v>1568</v>
      </c>
      <c r="E622" s="7">
        <v>7046</v>
      </c>
    </row>
    <row r="623" spans="1:5" x14ac:dyDescent="0.25">
      <c r="A623" s="5" t="s">
        <v>6</v>
      </c>
      <c r="B623" s="5" t="s">
        <v>1569</v>
      </c>
      <c r="C623" s="1" t="s">
        <v>1570</v>
      </c>
      <c r="D623" s="1" t="s">
        <v>1571</v>
      </c>
      <c r="E623" s="7">
        <v>2348</v>
      </c>
    </row>
    <row r="624" spans="1:5" x14ac:dyDescent="0.25">
      <c r="A624" s="5" t="s">
        <v>6</v>
      </c>
      <c r="B624" s="5" t="s">
        <v>1572</v>
      </c>
      <c r="C624" s="1" t="s">
        <v>1573</v>
      </c>
      <c r="D624" s="1" t="s">
        <v>1574</v>
      </c>
      <c r="E624" s="7">
        <v>1879</v>
      </c>
    </row>
    <row r="625" spans="1:5" x14ac:dyDescent="0.25">
      <c r="A625" s="5" t="s">
        <v>6</v>
      </c>
      <c r="B625" s="5" t="s">
        <v>1575</v>
      </c>
      <c r="C625" s="1" t="s">
        <v>1576</v>
      </c>
      <c r="D625" s="1" t="s">
        <v>1577</v>
      </c>
      <c r="E625" s="7">
        <v>10333</v>
      </c>
    </row>
    <row r="626" spans="1:5" x14ac:dyDescent="0.25">
      <c r="A626" s="5" t="s">
        <v>6</v>
      </c>
      <c r="B626" s="5" t="s">
        <v>1578</v>
      </c>
      <c r="C626" s="1" t="s">
        <v>1579</v>
      </c>
      <c r="D626" s="1" t="s">
        <v>1580</v>
      </c>
      <c r="E626" s="7">
        <v>10400</v>
      </c>
    </row>
    <row r="627" spans="1:5" x14ac:dyDescent="0.25">
      <c r="A627" s="5" t="s">
        <v>6</v>
      </c>
      <c r="B627" s="5" t="s">
        <v>1581</v>
      </c>
      <c r="C627" s="1" t="s">
        <v>1582</v>
      </c>
      <c r="D627" s="1" t="s">
        <v>1583</v>
      </c>
      <c r="E627" s="7">
        <v>11161</v>
      </c>
    </row>
    <row r="628" spans="1:5" x14ac:dyDescent="0.25">
      <c r="A628" s="5" t="s">
        <v>6</v>
      </c>
      <c r="B628" s="5" t="s">
        <v>1584</v>
      </c>
      <c r="C628" s="1" t="s">
        <v>1585</v>
      </c>
      <c r="D628" s="1" t="s">
        <v>1586</v>
      </c>
      <c r="E628" s="7">
        <v>7356</v>
      </c>
    </row>
    <row r="629" spans="1:5" x14ac:dyDescent="0.25">
      <c r="A629" s="5" t="s">
        <v>6</v>
      </c>
      <c r="B629" s="5" t="s">
        <v>1587</v>
      </c>
      <c r="C629" s="1" t="s">
        <v>1588</v>
      </c>
      <c r="D629" s="1" t="s">
        <v>1589</v>
      </c>
      <c r="E629" s="7">
        <v>12682</v>
      </c>
    </row>
    <row r="630" spans="1:5" x14ac:dyDescent="0.25">
      <c r="A630" s="5" t="s">
        <v>6</v>
      </c>
      <c r="B630" s="5" t="s">
        <v>1590</v>
      </c>
      <c r="C630" s="1" t="s">
        <v>1591</v>
      </c>
      <c r="D630" s="1" t="s">
        <v>1592</v>
      </c>
      <c r="E630" s="7">
        <v>27395</v>
      </c>
    </row>
    <row r="631" spans="1:5" x14ac:dyDescent="0.25">
      <c r="A631" s="5" t="s">
        <v>6</v>
      </c>
      <c r="B631" s="5" t="s">
        <v>1593</v>
      </c>
      <c r="C631" s="1" t="s">
        <v>1594</v>
      </c>
      <c r="D631" s="1" t="s">
        <v>1595</v>
      </c>
      <c r="E631" s="7">
        <v>27395</v>
      </c>
    </row>
    <row r="632" spans="1:5" x14ac:dyDescent="0.25">
      <c r="A632" s="5" t="s">
        <v>6</v>
      </c>
      <c r="B632" s="5" t="s">
        <v>1596</v>
      </c>
      <c r="C632" s="1" t="s">
        <v>1597</v>
      </c>
      <c r="D632" s="1" t="s">
        <v>1598</v>
      </c>
      <c r="E632" s="7">
        <v>711</v>
      </c>
    </row>
    <row r="633" spans="1:5" x14ac:dyDescent="0.25">
      <c r="A633" s="5" t="s">
        <v>6</v>
      </c>
      <c r="B633" s="5" t="s">
        <v>1599</v>
      </c>
      <c r="C633" s="1" t="s">
        <v>1600</v>
      </c>
      <c r="D633" s="1" t="s">
        <v>1601</v>
      </c>
      <c r="E633" s="7">
        <v>8847</v>
      </c>
    </row>
    <row r="634" spans="1:5" x14ac:dyDescent="0.25">
      <c r="A634" s="5" t="s">
        <v>6</v>
      </c>
      <c r="B634" s="5" t="s">
        <v>1602</v>
      </c>
      <c r="C634" s="1" t="s">
        <v>1603</v>
      </c>
      <c r="D634" s="1" t="s">
        <v>1604</v>
      </c>
      <c r="E634" s="7">
        <v>15727</v>
      </c>
    </row>
    <row r="635" spans="1:5" x14ac:dyDescent="0.25">
      <c r="A635" s="5" t="s">
        <v>6</v>
      </c>
      <c r="B635" s="5" t="s">
        <v>1605</v>
      </c>
      <c r="C635" s="1" t="s">
        <v>1606</v>
      </c>
      <c r="D635" s="1" t="s">
        <v>1607</v>
      </c>
      <c r="E635" s="7">
        <v>10197</v>
      </c>
    </row>
    <row r="636" spans="1:5" x14ac:dyDescent="0.25">
      <c r="A636" s="5" t="s">
        <v>6</v>
      </c>
      <c r="B636" s="5" t="s">
        <v>1608</v>
      </c>
      <c r="C636" s="1" t="s">
        <v>1609</v>
      </c>
      <c r="D636" s="1" t="s">
        <v>1610</v>
      </c>
      <c r="E636" s="7">
        <v>18263</v>
      </c>
    </row>
    <row r="637" spans="1:5" x14ac:dyDescent="0.25">
      <c r="A637" s="5" t="s">
        <v>6</v>
      </c>
      <c r="B637" s="5" t="s">
        <v>1611</v>
      </c>
      <c r="C637" s="1" t="s">
        <v>1612</v>
      </c>
      <c r="D637" s="1" t="s">
        <v>1613</v>
      </c>
      <c r="E637" s="7">
        <v>508</v>
      </c>
    </row>
    <row r="638" spans="1:5" x14ac:dyDescent="0.25">
      <c r="A638" s="5" t="s">
        <v>6</v>
      </c>
      <c r="B638" s="5" t="s">
        <v>1614</v>
      </c>
      <c r="C638" s="1" t="s">
        <v>1615</v>
      </c>
      <c r="D638" s="1" t="s">
        <v>1616</v>
      </c>
      <c r="E638" s="7">
        <v>7610</v>
      </c>
    </row>
    <row r="639" spans="1:5" x14ac:dyDescent="0.25">
      <c r="A639" s="5" t="s">
        <v>6</v>
      </c>
      <c r="B639" s="5" t="s">
        <v>1617</v>
      </c>
      <c r="C639" s="1" t="s">
        <v>1618</v>
      </c>
      <c r="D639" s="1" t="s">
        <v>1619</v>
      </c>
      <c r="E639" s="7">
        <v>1014</v>
      </c>
    </row>
    <row r="640" spans="1:5" x14ac:dyDescent="0.25">
      <c r="A640" s="5" t="s">
        <v>6</v>
      </c>
      <c r="B640" s="5" t="s">
        <v>1620</v>
      </c>
      <c r="C640" s="1" t="s">
        <v>1621</v>
      </c>
      <c r="D640" s="1" t="s">
        <v>1622</v>
      </c>
      <c r="E640" s="7">
        <v>15219</v>
      </c>
    </row>
    <row r="641" spans="1:5" x14ac:dyDescent="0.25">
      <c r="A641" s="5" t="s">
        <v>6</v>
      </c>
      <c r="B641" s="5" t="s">
        <v>1623</v>
      </c>
      <c r="C641" s="1" t="s">
        <v>1624</v>
      </c>
      <c r="D641" s="1" t="s">
        <v>1625</v>
      </c>
      <c r="E641" s="7">
        <v>10197</v>
      </c>
    </row>
    <row r="642" spans="1:5" x14ac:dyDescent="0.25">
      <c r="A642" s="5" t="s">
        <v>6</v>
      </c>
      <c r="B642" s="5" t="s">
        <v>1626</v>
      </c>
      <c r="C642" s="1" t="s">
        <v>1627</v>
      </c>
      <c r="D642" s="1" t="s">
        <v>1628</v>
      </c>
      <c r="E642" s="7">
        <v>8117</v>
      </c>
    </row>
    <row r="643" spans="1:5" x14ac:dyDescent="0.25">
      <c r="A643" s="5" t="s">
        <v>6</v>
      </c>
      <c r="B643" s="5" t="s">
        <v>1629</v>
      </c>
      <c r="C643" s="1" t="s">
        <v>1630</v>
      </c>
      <c r="D643" s="1" t="s">
        <v>1631</v>
      </c>
      <c r="E643" s="7">
        <v>37542</v>
      </c>
    </row>
    <row r="644" spans="1:5" x14ac:dyDescent="0.25">
      <c r="A644" s="5" t="s">
        <v>6</v>
      </c>
      <c r="B644" s="5" t="s">
        <v>1632</v>
      </c>
      <c r="C644" s="1" t="s">
        <v>1633</v>
      </c>
      <c r="D644" s="1" t="s">
        <v>1634</v>
      </c>
      <c r="E644" s="7">
        <v>17654</v>
      </c>
    </row>
    <row r="645" spans="1:5" x14ac:dyDescent="0.25">
      <c r="A645" s="5" t="s">
        <v>6</v>
      </c>
      <c r="B645" s="5" t="s">
        <v>1635</v>
      </c>
      <c r="C645" s="1" t="s">
        <v>1636</v>
      </c>
      <c r="D645" s="1" t="s">
        <v>1637</v>
      </c>
      <c r="E645" s="7">
        <v>3043</v>
      </c>
    </row>
    <row r="646" spans="1:5" x14ac:dyDescent="0.25">
      <c r="A646" s="5" t="s">
        <v>6</v>
      </c>
      <c r="B646" s="5" t="s">
        <v>1638</v>
      </c>
      <c r="C646" s="1" t="s">
        <v>1639</v>
      </c>
      <c r="D646" s="1" t="s">
        <v>1640</v>
      </c>
      <c r="E646" s="7">
        <v>7457</v>
      </c>
    </row>
    <row r="647" spans="1:5" x14ac:dyDescent="0.25">
      <c r="A647" s="5" t="s">
        <v>6</v>
      </c>
      <c r="B647" s="5" t="s">
        <v>1641</v>
      </c>
      <c r="C647" s="1" t="s">
        <v>1642</v>
      </c>
      <c r="D647" s="1" t="s">
        <v>1643</v>
      </c>
      <c r="E647" s="7">
        <v>3551</v>
      </c>
    </row>
    <row r="648" spans="1:5" x14ac:dyDescent="0.25">
      <c r="A648" s="5" t="s">
        <v>6</v>
      </c>
      <c r="B648" s="5" t="s">
        <v>1644</v>
      </c>
      <c r="C648" s="1" t="s">
        <v>1645</v>
      </c>
      <c r="D648" s="1" t="s">
        <v>1646</v>
      </c>
      <c r="E648" s="7">
        <v>19279</v>
      </c>
    </row>
    <row r="649" spans="1:5" x14ac:dyDescent="0.25">
      <c r="A649" s="5" t="s">
        <v>6</v>
      </c>
      <c r="B649" s="5" t="s">
        <v>1647</v>
      </c>
      <c r="C649" s="1" t="s">
        <v>1648</v>
      </c>
      <c r="D649" s="1" t="s">
        <v>1649</v>
      </c>
      <c r="E649" s="7">
        <v>14713</v>
      </c>
    </row>
    <row r="650" spans="1:5" x14ac:dyDescent="0.25">
      <c r="A650" s="5" t="s">
        <v>6</v>
      </c>
      <c r="B650" s="5" t="s">
        <v>1650</v>
      </c>
      <c r="C650" s="1" t="s">
        <v>1651</v>
      </c>
      <c r="D650" s="1" t="s">
        <v>1652</v>
      </c>
      <c r="E650" s="7">
        <v>13504</v>
      </c>
    </row>
    <row r="651" spans="1:5" x14ac:dyDescent="0.25">
      <c r="A651" s="5" t="s">
        <v>6</v>
      </c>
      <c r="B651" s="5" t="s">
        <v>1653</v>
      </c>
      <c r="C651" s="1" t="s">
        <v>1654</v>
      </c>
      <c r="D651" s="1" t="s">
        <v>1655</v>
      </c>
      <c r="E651" s="7">
        <v>7610</v>
      </c>
    </row>
    <row r="652" spans="1:5" x14ac:dyDescent="0.25">
      <c r="A652" s="5" t="s">
        <v>6</v>
      </c>
      <c r="B652" s="5" t="s">
        <v>1656</v>
      </c>
      <c r="C652" s="1" t="s">
        <v>1657</v>
      </c>
      <c r="D652" s="1" t="s">
        <v>1658</v>
      </c>
      <c r="E652" s="7">
        <v>10653</v>
      </c>
    </row>
    <row r="653" spans="1:5" x14ac:dyDescent="0.25">
      <c r="A653" s="5" t="s">
        <v>6</v>
      </c>
      <c r="B653" s="5" t="s">
        <v>1659</v>
      </c>
      <c r="C653" s="1" t="s">
        <v>1660</v>
      </c>
      <c r="D653" s="1" t="s">
        <v>1661</v>
      </c>
      <c r="E653" s="7">
        <v>9132</v>
      </c>
    </row>
    <row r="654" spans="1:5" x14ac:dyDescent="0.25">
      <c r="A654" s="5" t="s">
        <v>6</v>
      </c>
      <c r="B654" s="5" t="s">
        <v>1662</v>
      </c>
      <c r="C654" s="1" t="s">
        <v>1663</v>
      </c>
      <c r="D654" s="1" t="s">
        <v>1664</v>
      </c>
      <c r="E654" s="7">
        <v>4819</v>
      </c>
    </row>
    <row r="655" spans="1:5" x14ac:dyDescent="0.25">
      <c r="A655" s="5" t="s">
        <v>6</v>
      </c>
      <c r="B655" s="5" t="s">
        <v>1665</v>
      </c>
      <c r="C655" s="1" t="s">
        <v>1666</v>
      </c>
      <c r="D655" s="1" t="s">
        <v>1667</v>
      </c>
      <c r="E655" s="7">
        <v>2537</v>
      </c>
    </row>
    <row r="656" spans="1:5" x14ac:dyDescent="0.25">
      <c r="A656" s="5" t="s">
        <v>6</v>
      </c>
      <c r="B656" s="5" t="s">
        <v>1668</v>
      </c>
      <c r="C656" s="1" t="s">
        <v>1669</v>
      </c>
      <c r="D656" s="1" t="s">
        <v>1670</v>
      </c>
      <c r="E656" s="7">
        <v>5073</v>
      </c>
    </row>
    <row r="657" spans="1:5" x14ac:dyDescent="0.25">
      <c r="A657" s="5" t="s">
        <v>6</v>
      </c>
      <c r="B657" s="5" t="s">
        <v>1671</v>
      </c>
      <c r="C657" s="1" t="s">
        <v>1672</v>
      </c>
      <c r="D657" s="1" t="s">
        <v>1673</v>
      </c>
      <c r="E657" s="7">
        <v>7610</v>
      </c>
    </row>
    <row r="658" spans="1:5" x14ac:dyDescent="0.25">
      <c r="A658" s="5" t="s">
        <v>6</v>
      </c>
      <c r="B658" s="5" t="s">
        <v>1674</v>
      </c>
      <c r="C658" s="1" t="s">
        <v>1675</v>
      </c>
      <c r="D658" s="1" t="s">
        <v>1676</v>
      </c>
      <c r="E658" s="7">
        <v>9447</v>
      </c>
    </row>
    <row r="659" spans="1:5" x14ac:dyDescent="0.25">
      <c r="A659" s="5" t="s">
        <v>6</v>
      </c>
      <c r="B659" s="5" t="s">
        <v>1677</v>
      </c>
      <c r="C659" s="1" t="s">
        <v>1678</v>
      </c>
      <c r="D659" s="1" t="s">
        <v>1679</v>
      </c>
      <c r="E659" s="7">
        <v>9893</v>
      </c>
    </row>
    <row r="660" spans="1:5" x14ac:dyDescent="0.25">
      <c r="A660" s="5" t="s">
        <v>6</v>
      </c>
      <c r="B660" s="5" t="s">
        <v>1680</v>
      </c>
      <c r="C660" s="1" t="s">
        <v>1681</v>
      </c>
      <c r="D660" s="1" t="s">
        <v>1682</v>
      </c>
      <c r="E660" s="7">
        <v>15981</v>
      </c>
    </row>
    <row r="661" spans="1:5" x14ac:dyDescent="0.25">
      <c r="A661" s="5" t="s">
        <v>6</v>
      </c>
      <c r="B661" s="5" t="s">
        <v>1683</v>
      </c>
      <c r="C661" s="1" t="s">
        <v>1684</v>
      </c>
      <c r="D661" s="1" t="s">
        <v>1685</v>
      </c>
      <c r="E661" s="7">
        <v>10400</v>
      </c>
    </row>
    <row r="662" spans="1:5" x14ac:dyDescent="0.25">
      <c r="A662" s="5" t="s">
        <v>6</v>
      </c>
      <c r="B662" s="5" t="s">
        <v>1686</v>
      </c>
      <c r="C662" s="1" t="s">
        <v>1687</v>
      </c>
      <c r="D662" s="1" t="s">
        <v>1688</v>
      </c>
      <c r="E662" s="7">
        <v>14418</v>
      </c>
    </row>
    <row r="663" spans="1:5" x14ac:dyDescent="0.25">
      <c r="A663" s="5" t="s">
        <v>6</v>
      </c>
      <c r="B663" s="5" t="s">
        <v>1689</v>
      </c>
      <c r="C663" s="1" t="s">
        <v>1690</v>
      </c>
      <c r="D663" s="1" t="s">
        <v>1691</v>
      </c>
      <c r="E663" s="7">
        <v>5786</v>
      </c>
    </row>
    <row r="664" spans="1:5" x14ac:dyDescent="0.25">
      <c r="A664" s="5" t="s">
        <v>6</v>
      </c>
      <c r="B664" s="5" t="s">
        <v>1692</v>
      </c>
      <c r="C664" s="1" t="s">
        <v>1693</v>
      </c>
      <c r="D664" s="1" t="s">
        <v>1694</v>
      </c>
      <c r="E664" s="7">
        <v>8679</v>
      </c>
    </row>
    <row r="665" spans="1:5" x14ac:dyDescent="0.25">
      <c r="A665" s="5" t="s">
        <v>6</v>
      </c>
      <c r="B665" s="5" t="s">
        <v>1695</v>
      </c>
      <c r="C665" s="1" t="s">
        <v>1696</v>
      </c>
      <c r="D665" s="1" t="s">
        <v>1697</v>
      </c>
      <c r="E665" s="7">
        <v>7716</v>
      </c>
    </row>
    <row r="666" spans="1:5" x14ac:dyDescent="0.25">
      <c r="A666" s="5" t="s">
        <v>6</v>
      </c>
      <c r="B666" s="5" t="s">
        <v>1698</v>
      </c>
      <c r="C666" s="1" t="s">
        <v>1699</v>
      </c>
      <c r="D666" s="1" t="s">
        <v>1586</v>
      </c>
      <c r="E666" s="7">
        <v>11573</v>
      </c>
    </row>
    <row r="667" spans="1:5" x14ac:dyDescent="0.25">
      <c r="A667" s="5" t="s">
        <v>6</v>
      </c>
      <c r="B667" s="5" t="s">
        <v>1700</v>
      </c>
      <c r="C667" s="1" t="s">
        <v>1701</v>
      </c>
      <c r="D667" s="1" t="s">
        <v>1702</v>
      </c>
      <c r="E667" s="7">
        <v>24785</v>
      </c>
    </row>
    <row r="668" spans="1:5" x14ac:dyDescent="0.25">
      <c r="A668" s="5" t="s">
        <v>6</v>
      </c>
      <c r="B668" s="5" t="s">
        <v>1703</v>
      </c>
      <c r="C668" s="1" t="s">
        <v>1704</v>
      </c>
      <c r="D668" s="1" t="s">
        <v>1705</v>
      </c>
      <c r="E668" s="7">
        <v>9643</v>
      </c>
    </row>
    <row r="669" spans="1:5" x14ac:dyDescent="0.25">
      <c r="A669" s="5" t="s">
        <v>6</v>
      </c>
      <c r="B669" s="5" t="s">
        <v>1706</v>
      </c>
      <c r="C669" s="1" t="s">
        <v>1707</v>
      </c>
      <c r="D669" s="1" t="s">
        <v>1598</v>
      </c>
      <c r="E669" s="7">
        <v>434</v>
      </c>
    </row>
    <row r="670" spans="1:5" x14ac:dyDescent="0.25">
      <c r="A670" s="5" t="s">
        <v>6</v>
      </c>
      <c r="B670" s="5" t="s">
        <v>1708</v>
      </c>
      <c r="C670" s="1" t="s">
        <v>1709</v>
      </c>
      <c r="D670" s="1" t="s">
        <v>1710</v>
      </c>
      <c r="E670" s="7">
        <v>8679</v>
      </c>
    </row>
    <row r="671" spans="1:5" x14ac:dyDescent="0.25">
      <c r="A671" s="5" t="s">
        <v>6</v>
      </c>
      <c r="B671" s="5" t="s">
        <v>1711</v>
      </c>
      <c r="C671" s="1" t="s">
        <v>1712</v>
      </c>
      <c r="D671" s="1" t="s">
        <v>1713</v>
      </c>
      <c r="E671" s="7">
        <v>10609</v>
      </c>
    </row>
    <row r="672" spans="1:5" x14ac:dyDescent="0.25">
      <c r="A672" s="5" t="s">
        <v>6</v>
      </c>
      <c r="B672" s="5" t="s">
        <v>1714</v>
      </c>
      <c r="C672" s="1" t="s">
        <v>1715</v>
      </c>
      <c r="D672" s="1" t="s">
        <v>1716</v>
      </c>
      <c r="E672" s="7">
        <v>8679</v>
      </c>
    </row>
    <row r="673" spans="1:5" x14ac:dyDescent="0.25">
      <c r="A673" s="5" t="s">
        <v>6</v>
      </c>
      <c r="B673" s="5" t="s">
        <v>1717</v>
      </c>
      <c r="C673" s="1" t="s">
        <v>1718</v>
      </c>
      <c r="D673" s="1" t="s">
        <v>1719</v>
      </c>
      <c r="E673" s="7">
        <v>7233</v>
      </c>
    </row>
    <row r="674" spans="1:5" x14ac:dyDescent="0.25">
      <c r="A674" s="5" t="s">
        <v>6</v>
      </c>
      <c r="B674" s="5" t="s">
        <v>1720</v>
      </c>
      <c r="C674" s="1" t="s">
        <v>1721</v>
      </c>
      <c r="D674" s="1" t="s">
        <v>1722</v>
      </c>
      <c r="E674" s="7">
        <v>7233</v>
      </c>
    </row>
    <row r="675" spans="1:5" x14ac:dyDescent="0.25">
      <c r="A675" s="5" t="s">
        <v>6</v>
      </c>
      <c r="B675" s="5" t="s">
        <v>1723</v>
      </c>
      <c r="C675" s="1" t="s">
        <v>1724</v>
      </c>
      <c r="D675" s="1" t="s">
        <v>1725</v>
      </c>
      <c r="E675" s="7">
        <v>17359</v>
      </c>
    </row>
    <row r="676" spans="1:5" x14ac:dyDescent="0.25">
      <c r="A676" s="5" t="s">
        <v>6</v>
      </c>
      <c r="B676" s="5" t="s">
        <v>1726</v>
      </c>
      <c r="C676" s="1" t="s">
        <v>1727</v>
      </c>
      <c r="D676" s="1" t="s">
        <v>1728</v>
      </c>
      <c r="E676" s="7">
        <v>14370</v>
      </c>
    </row>
    <row r="677" spans="1:5" x14ac:dyDescent="0.25">
      <c r="A677" s="5" t="s">
        <v>6</v>
      </c>
      <c r="B677" s="5" t="s">
        <v>1729</v>
      </c>
      <c r="C677" s="1" t="s">
        <v>1730</v>
      </c>
      <c r="D677" s="1" t="s">
        <v>1731</v>
      </c>
      <c r="E677" s="7">
        <v>2893</v>
      </c>
    </row>
    <row r="678" spans="1:5" x14ac:dyDescent="0.25">
      <c r="A678" s="5" t="s">
        <v>6</v>
      </c>
      <c r="B678" s="5" t="s">
        <v>1732</v>
      </c>
      <c r="C678" s="1" t="s">
        <v>1733</v>
      </c>
      <c r="D678" s="1" t="s">
        <v>1734</v>
      </c>
      <c r="E678" s="7">
        <v>2893</v>
      </c>
    </row>
    <row r="679" spans="1:5" x14ac:dyDescent="0.25">
      <c r="A679" s="5" t="s">
        <v>6</v>
      </c>
      <c r="B679" s="5" t="s">
        <v>1735</v>
      </c>
      <c r="C679" s="1" t="s">
        <v>1736</v>
      </c>
      <c r="D679" s="1" t="s">
        <v>1737</v>
      </c>
      <c r="E679" s="7">
        <v>6847</v>
      </c>
    </row>
    <row r="680" spans="1:5" x14ac:dyDescent="0.25">
      <c r="A680" s="5" t="s">
        <v>6</v>
      </c>
      <c r="B680" s="5" t="s">
        <v>1738</v>
      </c>
      <c r="C680" s="1" t="s">
        <v>1739</v>
      </c>
      <c r="D680" s="1" t="s">
        <v>1740</v>
      </c>
      <c r="E680" s="7">
        <v>17841</v>
      </c>
    </row>
    <row r="681" spans="1:5" x14ac:dyDescent="0.25">
      <c r="A681" s="5" t="s">
        <v>6</v>
      </c>
      <c r="B681" s="5" t="s">
        <v>1741</v>
      </c>
      <c r="C681" s="1" t="s">
        <v>1742</v>
      </c>
      <c r="D681" s="1" t="s">
        <v>1743</v>
      </c>
      <c r="E681" s="7">
        <v>17841</v>
      </c>
    </row>
    <row r="682" spans="1:5" x14ac:dyDescent="0.25">
      <c r="A682" s="5" t="s">
        <v>6</v>
      </c>
      <c r="B682" s="5" t="s">
        <v>1744</v>
      </c>
      <c r="C682" s="1" t="s">
        <v>1745</v>
      </c>
      <c r="D682" s="1" t="s">
        <v>1652</v>
      </c>
      <c r="E682" s="7">
        <v>7484</v>
      </c>
    </row>
    <row r="683" spans="1:5" x14ac:dyDescent="0.25">
      <c r="A683" s="5" t="s">
        <v>6</v>
      </c>
      <c r="B683" s="5" t="s">
        <v>1746</v>
      </c>
      <c r="C683" s="1" t="s">
        <v>1747</v>
      </c>
      <c r="D683" s="1" t="s">
        <v>1748</v>
      </c>
      <c r="E683" s="7">
        <v>13983</v>
      </c>
    </row>
    <row r="684" spans="1:5" x14ac:dyDescent="0.25">
      <c r="A684" s="5" t="s">
        <v>6</v>
      </c>
      <c r="B684" s="5" t="s">
        <v>1749</v>
      </c>
      <c r="C684" s="1" t="s">
        <v>1750</v>
      </c>
      <c r="D684" s="1" t="s">
        <v>1751</v>
      </c>
      <c r="E684" s="7">
        <v>9643</v>
      </c>
    </row>
    <row r="685" spans="1:5" x14ac:dyDescent="0.25">
      <c r="A685" s="5" t="s">
        <v>6</v>
      </c>
      <c r="B685" s="5" t="s">
        <v>1752</v>
      </c>
      <c r="C685" s="1" t="s">
        <v>1753</v>
      </c>
      <c r="D685" s="1" t="s">
        <v>1754</v>
      </c>
      <c r="E685" s="7">
        <v>2412</v>
      </c>
    </row>
    <row r="686" spans="1:5" x14ac:dyDescent="0.25">
      <c r="A686" s="5" t="s">
        <v>6</v>
      </c>
      <c r="B686" s="5" t="s">
        <v>1755</v>
      </c>
      <c r="C686" s="1" t="s">
        <v>1756</v>
      </c>
      <c r="D686" s="1" t="s">
        <v>1757</v>
      </c>
      <c r="E686" s="7">
        <v>2412</v>
      </c>
    </row>
    <row r="687" spans="1:5" x14ac:dyDescent="0.25">
      <c r="A687" s="5" t="s">
        <v>6</v>
      </c>
      <c r="B687" s="5" t="s">
        <v>1758</v>
      </c>
      <c r="C687" s="1" t="s">
        <v>1759</v>
      </c>
      <c r="D687" s="1" t="s">
        <v>1760</v>
      </c>
      <c r="E687" s="7">
        <v>12537</v>
      </c>
    </row>
    <row r="688" spans="1:5" x14ac:dyDescent="0.25">
      <c r="A688" s="5" t="s">
        <v>6</v>
      </c>
      <c r="B688" s="5" t="s">
        <v>1761</v>
      </c>
      <c r="C688" s="1" t="s">
        <v>1762</v>
      </c>
      <c r="D688" s="1" t="s">
        <v>1763</v>
      </c>
      <c r="E688" s="7">
        <v>9355</v>
      </c>
    </row>
    <row r="689" spans="1:5" x14ac:dyDescent="0.25">
      <c r="A689" s="5" t="s">
        <v>6</v>
      </c>
      <c r="B689" s="5" t="s">
        <v>1764</v>
      </c>
      <c r="C689" s="1" t="s">
        <v>1765</v>
      </c>
      <c r="D689" s="1" t="s">
        <v>1763</v>
      </c>
      <c r="E689" s="7">
        <v>11091</v>
      </c>
    </row>
    <row r="690" spans="1:5" x14ac:dyDescent="0.25">
      <c r="A690" s="5" t="s">
        <v>6</v>
      </c>
      <c r="B690" s="5" t="s">
        <v>1766</v>
      </c>
      <c r="C690" s="1" t="s">
        <v>1767</v>
      </c>
      <c r="D690" s="1" t="s">
        <v>1768</v>
      </c>
      <c r="E690" s="7">
        <v>9355</v>
      </c>
    </row>
    <row r="691" spans="1:5" x14ac:dyDescent="0.25">
      <c r="A691" s="5" t="s">
        <v>6</v>
      </c>
      <c r="B691" s="5" t="s">
        <v>1769</v>
      </c>
      <c r="C691" s="1" t="s">
        <v>1770</v>
      </c>
      <c r="D691" s="1" t="s">
        <v>1771</v>
      </c>
      <c r="E691" s="7">
        <v>13501</v>
      </c>
    </row>
    <row r="692" spans="1:5" x14ac:dyDescent="0.25">
      <c r="A692" s="5" t="s">
        <v>6</v>
      </c>
      <c r="B692" s="5" t="s">
        <v>1772</v>
      </c>
      <c r="C692" s="1" t="s">
        <v>1773</v>
      </c>
      <c r="D692" s="1" t="s">
        <v>1774</v>
      </c>
      <c r="E692" s="7">
        <v>5786</v>
      </c>
    </row>
    <row r="693" spans="1:5" x14ac:dyDescent="0.25">
      <c r="A693" s="5" t="s">
        <v>6</v>
      </c>
      <c r="B693" s="5" t="s">
        <v>1775</v>
      </c>
      <c r="C693" s="1" t="s">
        <v>1776</v>
      </c>
      <c r="D693" s="1" t="s">
        <v>1777</v>
      </c>
      <c r="E693" s="7">
        <v>9355</v>
      </c>
    </row>
    <row r="694" spans="1:5" x14ac:dyDescent="0.25">
      <c r="A694" s="5" t="s">
        <v>6</v>
      </c>
      <c r="B694" s="5" t="s">
        <v>1778</v>
      </c>
      <c r="C694" s="1" t="s">
        <v>1779</v>
      </c>
      <c r="D694" s="1" t="s">
        <v>1780</v>
      </c>
      <c r="E694" s="7">
        <v>13501</v>
      </c>
    </row>
    <row r="695" spans="1:5" x14ac:dyDescent="0.25">
      <c r="A695" s="5" t="s">
        <v>6</v>
      </c>
      <c r="B695" s="5" t="s">
        <v>1781</v>
      </c>
      <c r="C695" s="1" t="s">
        <v>1782</v>
      </c>
      <c r="D695" s="1" t="s">
        <v>1783</v>
      </c>
      <c r="E695" s="7">
        <v>9643</v>
      </c>
    </row>
    <row r="696" spans="1:5" x14ac:dyDescent="0.25">
      <c r="A696" s="5" t="s">
        <v>6</v>
      </c>
      <c r="B696" s="5" t="s">
        <v>1784</v>
      </c>
      <c r="C696" s="1" t="s">
        <v>1785</v>
      </c>
      <c r="D696" s="1" t="s">
        <v>1786</v>
      </c>
      <c r="E696" s="7">
        <v>8397</v>
      </c>
    </row>
    <row r="697" spans="1:5" x14ac:dyDescent="0.25">
      <c r="A697" s="5" t="s">
        <v>6</v>
      </c>
      <c r="B697" s="5" t="s">
        <v>1787</v>
      </c>
      <c r="C697" s="1" t="s">
        <v>1788</v>
      </c>
      <c r="D697" s="1" t="s">
        <v>1789</v>
      </c>
      <c r="E697" s="7">
        <v>4356</v>
      </c>
    </row>
    <row r="698" spans="1:5" x14ac:dyDescent="0.25">
      <c r="A698" s="5" t="s">
        <v>6</v>
      </c>
      <c r="B698" s="5" t="s">
        <v>1790</v>
      </c>
      <c r="C698" s="1" t="s">
        <v>1791</v>
      </c>
      <c r="D698" s="1" t="s">
        <v>1792</v>
      </c>
      <c r="E698" s="7">
        <v>4789</v>
      </c>
    </row>
    <row r="699" spans="1:5" x14ac:dyDescent="0.25">
      <c r="A699" s="5" t="s">
        <v>6</v>
      </c>
      <c r="B699" s="5" t="s">
        <v>1793</v>
      </c>
      <c r="C699" s="1" t="s">
        <v>1794</v>
      </c>
      <c r="D699" s="1" t="s">
        <v>1795</v>
      </c>
      <c r="E699" s="7">
        <v>11974</v>
      </c>
    </row>
    <row r="700" spans="1:5" x14ac:dyDescent="0.25">
      <c r="A700" s="5" t="s">
        <v>6</v>
      </c>
      <c r="B700" s="5" t="s">
        <v>1796</v>
      </c>
      <c r="C700" s="1" t="s">
        <v>1797</v>
      </c>
      <c r="D700" s="1" t="s">
        <v>1798</v>
      </c>
      <c r="E700" s="7">
        <v>6730.77</v>
      </c>
    </row>
    <row r="701" spans="1:5" x14ac:dyDescent="0.25">
      <c r="A701" s="5" t="s">
        <v>6</v>
      </c>
      <c r="B701" s="5" t="s">
        <v>1799</v>
      </c>
      <c r="C701" s="1" t="s">
        <v>1800</v>
      </c>
      <c r="D701" s="1" t="s">
        <v>1801</v>
      </c>
      <c r="E701" s="7">
        <v>530</v>
      </c>
    </row>
    <row r="702" spans="1:5" x14ac:dyDescent="0.25">
      <c r="A702" s="5" t="s">
        <v>6</v>
      </c>
      <c r="B702" s="5" t="s">
        <v>1802</v>
      </c>
      <c r="C702" s="1" t="s">
        <v>1803</v>
      </c>
      <c r="D702" s="1" t="s">
        <v>1804</v>
      </c>
      <c r="E702" s="7">
        <v>530</v>
      </c>
    </row>
    <row r="703" spans="1:5" x14ac:dyDescent="0.25">
      <c r="A703" s="5" t="s">
        <v>6</v>
      </c>
      <c r="B703" s="5" t="s">
        <v>1805</v>
      </c>
      <c r="C703" s="1" t="s">
        <v>1806</v>
      </c>
      <c r="D703" s="1" t="s">
        <v>1807</v>
      </c>
      <c r="E703" s="7">
        <v>4822</v>
      </c>
    </row>
    <row r="704" spans="1:5" x14ac:dyDescent="0.25">
      <c r="A704" s="5" t="s">
        <v>6</v>
      </c>
      <c r="B704" s="5" t="s">
        <v>1808</v>
      </c>
      <c r="C704" s="1" t="s">
        <v>1809</v>
      </c>
      <c r="D704" s="1" t="s">
        <v>1810</v>
      </c>
      <c r="E704" s="7">
        <v>18324</v>
      </c>
    </row>
    <row r="705" spans="1:5" x14ac:dyDescent="0.25">
      <c r="A705" s="5" t="s">
        <v>6</v>
      </c>
      <c r="B705" s="5" t="s">
        <v>1811</v>
      </c>
      <c r="C705" s="1" t="s">
        <v>1812</v>
      </c>
      <c r="D705" s="1" t="s">
        <v>1813</v>
      </c>
      <c r="E705" s="7">
        <v>14466</v>
      </c>
    </row>
    <row r="706" spans="1:5" x14ac:dyDescent="0.25">
      <c r="A706" s="5" t="s">
        <v>6</v>
      </c>
      <c r="B706" s="5" t="s">
        <v>1814</v>
      </c>
      <c r="C706" s="1" t="s">
        <v>1815</v>
      </c>
      <c r="D706" s="1" t="s">
        <v>1816</v>
      </c>
      <c r="E706" s="7">
        <v>8197</v>
      </c>
    </row>
    <row r="707" spans="1:5" x14ac:dyDescent="0.25">
      <c r="A707" s="5" t="s">
        <v>6</v>
      </c>
      <c r="B707" s="5" t="s">
        <v>1817</v>
      </c>
      <c r="C707" s="1" t="s">
        <v>1818</v>
      </c>
      <c r="D707" s="1" t="s">
        <v>1819</v>
      </c>
      <c r="E707" s="7">
        <v>9643</v>
      </c>
    </row>
    <row r="708" spans="1:5" x14ac:dyDescent="0.25">
      <c r="A708" s="5" t="s">
        <v>6</v>
      </c>
      <c r="B708" s="5" t="s">
        <v>1820</v>
      </c>
      <c r="C708" s="1" t="s">
        <v>1821</v>
      </c>
      <c r="D708" s="1" t="s">
        <v>1822</v>
      </c>
      <c r="E708" s="7">
        <v>18767</v>
      </c>
    </row>
    <row r="709" spans="1:5" x14ac:dyDescent="0.25">
      <c r="A709" s="5" t="s">
        <v>6</v>
      </c>
      <c r="B709" s="5" t="s">
        <v>1823</v>
      </c>
      <c r="C709" s="1" t="s">
        <v>1824</v>
      </c>
      <c r="D709" s="1" t="s">
        <v>1825</v>
      </c>
      <c r="E709" s="7">
        <v>7277</v>
      </c>
    </row>
    <row r="710" spans="1:5" x14ac:dyDescent="0.25">
      <c r="A710" s="5" t="s">
        <v>6</v>
      </c>
      <c r="B710" s="5" t="s">
        <v>1826</v>
      </c>
      <c r="C710" s="1" t="s">
        <v>1827</v>
      </c>
      <c r="D710" s="1" t="s">
        <v>1828</v>
      </c>
      <c r="E710" s="7">
        <v>6042</v>
      </c>
    </row>
    <row r="711" spans="1:5" x14ac:dyDescent="0.25">
      <c r="A711" s="5" t="s">
        <v>6</v>
      </c>
      <c r="B711" s="5" t="s">
        <v>1829</v>
      </c>
      <c r="C711" s="1" t="s">
        <v>1830</v>
      </c>
      <c r="D711" s="1" t="s">
        <v>1831</v>
      </c>
      <c r="E711" s="7">
        <v>39207</v>
      </c>
    </row>
    <row r="712" spans="1:5" x14ac:dyDescent="0.25">
      <c r="A712" s="5" t="s">
        <v>6</v>
      </c>
      <c r="B712" s="5" t="s">
        <v>1832</v>
      </c>
      <c r="C712" s="1" t="s">
        <v>1833</v>
      </c>
      <c r="D712" s="1" t="s">
        <v>1834</v>
      </c>
      <c r="E712" s="7">
        <v>43397</v>
      </c>
    </row>
    <row r="713" spans="1:5" x14ac:dyDescent="0.25">
      <c r="A713" s="5" t="s">
        <v>6</v>
      </c>
      <c r="B713" s="5" t="s">
        <v>1835</v>
      </c>
      <c r="C713" s="1" t="s">
        <v>1836</v>
      </c>
      <c r="D713" s="1" t="s">
        <v>1837</v>
      </c>
      <c r="E713" s="7">
        <v>9003</v>
      </c>
    </row>
    <row r="714" spans="1:5" x14ac:dyDescent="0.25">
      <c r="A714" s="5" t="s">
        <v>6</v>
      </c>
      <c r="B714" s="5" t="s">
        <v>1838</v>
      </c>
      <c r="C714" s="1" t="s">
        <v>1839</v>
      </c>
      <c r="D714" s="1" t="s">
        <v>1840</v>
      </c>
      <c r="E714" s="7">
        <v>3970</v>
      </c>
    </row>
    <row r="715" spans="1:5" x14ac:dyDescent="0.25">
      <c r="A715" s="5" t="s">
        <v>6</v>
      </c>
      <c r="B715" s="5" t="s">
        <v>1841</v>
      </c>
      <c r="C715" s="1" t="s">
        <v>1842</v>
      </c>
      <c r="D715" s="1" t="s">
        <v>1843</v>
      </c>
      <c r="E715" s="7">
        <v>22507</v>
      </c>
    </row>
    <row r="716" spans="1:5" x14ac:dyDescent="0.25">
      <c r="A716" s="5" t="s">
        <v>6</v>
      </c>
      <c r="B716" s="5" t="s">
        <v>1844</v>
      </c>
      <c r="C716" s="1" t="s">
        <v>1845</v>
      </c>
      <c r="D716" s="1" t="s">
        <v>1846</v>
      </c>
      <c r="E716" s="7">
        <v>23080</v>
      </c>
    </row>
    <row r="717" spans="1:5" x14ac:dyDescent="0.25">
      <c r="A717" s="5" t="s">
        <v>6</v>
      </c>
      <c r="B717" s="5" t="s">
        <v>1847</v>
      </c>
      <c r="C717" s="1" t="s">
        <v>1848</v>
      </c>
      <c r="D717" s="1" t="s">
        <v>1849</v>
      </c>
      <c r="E717" s="7">
        <v>11540</v>
      </c>
    </row>
    <row r="718" spans="1:5" x14ac:dyDescent="0.25">
      <c r="A718" s="5" t="s">
        <v>6</v>
      </c>
      <c r="B718" s="5" t="s">
        <v>1850</v>
      </c>
      <c r="C718" s="1" t="s">
        <v>1851</v>
      </c>
      <c r="D718" s="1" t="s">
        <v>1852</v>
      </c>
      <c r="E718" s="7">
        <v>7212</v>
      </c>
    </row>
    <row r="719" spans="1:5" x14ac:dyDescent="0.25">
      <c r="A719" s="5" t="s">
        <v>6</v>
      </c>
      <c r="B719" s="5" t="s">
        <v>1853</v>
      </c>
      <c r="C719" s="1" t="s">
        <v>1854</v>
      </c>
      <c r="D719" s="1" t="s">
        <v>1855</v>
      </c>
      <c r="E719" s="7">
        <v>23080</v>
      </c>
    </row>
    <row r="720" spans="1:5" x14ac:dyDescent="0.25">
      <c r="A720" s="5" t="s">
        <v>6</v>
      </c>
      <c r="B720" s="5" t="s">
        <v>1856</v>
      </c>
      <c r="C720" s="1" t="s">
        <v>1857</v>
      </c>
      <c r="D720" s="1" t="s">
        <v>1858</v>
      </c>
      <c r="E720" s="7">
        <v>25244</v>
      </c>
    </row>
    <row r="721" spans="1:5" x14ac:dyDescent="0.25">
      <c r="A721" s="5" t="s">
        <v>6</v>
      </c>
      <c r="B721" s="5" t="s">
        <v>1859</v>
      </c>
      <c r="C721" s="1" t="s">
        <v>1860</v>
      </c>
      <c r="D721" s="1" t="s">
        <v>1861</v>
      </c>
      <c r="E721" s="7">
        <v>25244</v>
      </c>
    </row>
    <row r="722" spans="1:5" x14ac:dyDescent="0.25">
      <c r="A722" s="5" t="s">
        <v>6</v>
      </c>
      <c r="B722" s="5" t="s">
        <v>1862</v>
      </c>
      <c r="C722" s="1" t="s">
        <v>1863</v>
      </c>
      <c r="D722" s="1" t="s">
        <v>1864</v>
      </c>
      <c r="E722" s="7">
        <v>14426</v>
      </c>
    </row>
    <row r="723" spans="1:5" x14ac:dyDescent="0.25">
      <c r="A723" s="5" t="s">
        <v>6</v>
      </c>
      <c r="B723" s="5" t="s">
        <v>1865</v>
      </c>
      <c r="C723" s="1" t="s">
        <v>1866</v>
      </c>
      <c r="D723" s="1" t="s">
        <v>1867</v>
      </c>
      <c r="E723" s="7">
        <v>10818</v>
      </c>
    </row>
    <row r="724" spans="1:5" x14ac:dyDescent="0.25">
      <c r="A724" s="5" t="s">
        <v>6</v>
      </c>
      <c r="B724" s="5" t="s">
        <v>1868</v>
      </c>
      <c r="C724" s="1" t="s">
        <v>1869</v>
      </c>
      <c r="D724" s="1" t="s">
        <v>1870</v>
      </c>
      <c r="E724" s="7">
        <v>7212</v>
      </c>
    </row>
    <row r="725" spans="1:5" x14ac:dyDescent="0.25">
      <c r="A725" s="5" t="s">
        <v>6</v>
      </c>
      <c r="B725" s="5" t="s">
        <v>1871</v>
      </c>
      <c r="C725" s="1" t="s">
        <v>1872</v>
      </c>
      <c r="D725" s="1" t="s">
        <v>1740</v>
      </c>
      <c r="E725" s="7">
        <v>27408</v>
      </c>
    </row>
    <row r="726" spans="1:5" x14ac:dyDescent="0.25">
      <c r="A726" s="5" t="s">
        <v>6</v>
      </c>
      <c r="B726" s="5" t="s">
        <v>1873</v>
      </c>
      <c r="C726" s="1" t="s">
        <v>1874</v>
      </c>
      <c r="D726" s="1" t="s">
        <v>1875</v>
      </c>
      <c r="E726" s="7">
        <v>8655</v>
      </c>
    </row>
    <row r="727" spans="1:5" x14ac:dyDescent="0.25">
      <c r="A727" s="5" t="s">
        <v>6</v>
      </c>
      <c r="B727" s="5" t="s">
        <v>1876</v>
      </c>
      <c r="C727" s="1" t="s">
        <v>1877</v>
      </c>
      <c r="D727" s="1" t="s">
        <v>1878</v>
      </c>
      <c r="E727" s="7">
        <v>65475</v>
      </c>
    </row>
    <row r="728" spans="1:5" x14ac:dyDescent="0.25">
      <c r="A728" s="5" t="s">
        <v>6</v>
      </c>
      <c r="B728" s="5" t="s">
        <v>1879</v>
      </c>
      <c r="C728" s="1" t="s">
        <v>1880</v>
      </c>
      <c r="D728" s="1" t="s">
        <v>1881</v>
      </c>
      <c r="E728" s="7">
        <v>25965</v>
      </c>
    </row>
    <row r="729" spans="1:5" x14ac:dyDescent="0.25">
      <c r="A729" s="5" t="s">
        <v>6</v>
      </c>
      <c r="B729" s="5" t="s">
        <v>1882</v>
      </c>
      <c r="C729" s="1" t="s">
        <v>1883</v>
      </c>
      <c r="D729" s="1" t="s">
        <v>1884</v>
      </c>
      <c r="E729" s="7">
        <v>11540</v>
      </c>
    </row>
    <row r="730" spans="1:5" x14ac:dyDescent="0.25">
      <c r="A730" s="5" t="s">
        <v>6</v>
      </c>
      <c r="B730" s="5" t="s">
        <v>1885</v>
      </c>
      <c r="C730" s="1" t="s">
        <v>1886</v>
      </c>
      <c r="D730" s="1" t="s">
        <v>1887</v>
      </c>
      <c r="E730" s="7">
        <v>14064</v>
      </c>
    </row>
    <row r="731" spans="1:5" x14ac:dyDescent="0.25">
      <c r="A731" s="5" t="s">
        <v>6</v>
      </c>
      <c r="B731" s="5" t="s">
        <v>1888</v>
      </c>
      <c r="C731" s="1" t="s">
        <v>1889</v>
      </c>
      <c r="D731" s="1" t="s">
        <v>1890</v>
      </c>
      <c r="E731" s="7">
        <v>8655</v>
      </c>
    </row>
    <row r="732" spans="1:5" x14ac:dyDescent="0.25">
      <c r="A732" s="5" t="s">
        <v>6</v>
      </c>
      <c r="B732" s="5" t="s">
        <v>1891</v>
      </c>
      <c r="C732" s="1" t="s">
        <v>1892</v>
      </c>
      <c r="D732" s="1" t="s">
        <v>1893</v>
      </c>
      <c r="E732" s="7">
        <v>16878</v>
      </c>
    </row>
    <row r="733" spans="1:5" x14ac:dyDescent="0.25">
      <c r="A733" s="5" t="s">
        <v>6</v>
      </c>
      <c r="B733" s="5" t="s">
        <v>1894</v>
      </c>
      <c r="C733" s="1" t="s">
        <v>1895</v>
      </c>
      <c r="D733" s="1" t="s">
        <v>1896</v>
      </c>
      <c r="E733" s="7">
        <v>3606</v>
      </c>
    </row>
    <row r="734" spans="1:5" x14ac:dyDescent="0.25">
      <c r="A734" s="5" t="s">
        <v>6</v>
      </c>
      <c r="B734" s="5" t="s">
        <v>1897</v>
      </c>
      <c r="C734" s="1" t="s">
        <v>1898</v>
      </c>
      <c r="D734" s="1" t="s">
        <v>1899</v>
      </c>
      <c r="E734" s="7">
        <v>33321</v>
      </c>
    </row>
    <row r="735" spans="1:5" x14ac:dyDescent="0.25">
      <c r="A735" s="5" t="s">
        <v>6</v>
      </c>
      <c r="B735" s="5" t="s">
        <v>1900</v>
      </c>
      <c r="C735" s="1" t="s">
        <v>1901</v>
      </c>
      <c r="D735" s="1" t="s">
        <v>1902</v>
      </c>
      <c r="E735" s="7">
        <v>15867</v>
      </c>
    </row>
    <row r="736" spans="1:5" x14ac:dyDescent="0.25">
      <c r="A736" s="5" t="s">
        <v>6</v>
      </c>
      <c r="B736" s="5" t="s">
        <v>1903</v>
      </c>
      <c r="C736" s="1" t="s">
        <v>1904</v>
      </c>
      <c r="D736" s="1" t="s">
        <v>1905</v>
      </c>
      <c r="E736" s="7">
        <v>5119</v>
      </c>
    </row>
    <row r="737" spans="1:5" x14ac:dyDescent="0.25">
      <c r="A737" s="5" t="s">
        <v>6</v>
      </c>
      <c r="B737" s="5" t="s">
        <v>1906</v>
      </c>
      <c r="C737" s="1" t="s">
        <v>1907</v>
      </c>
      <c r="D737" s="1" t="s">
        <v>1908</v>
      </c>
      <c r="E737" s="7">
        <v>5119</v>
      </c>
    </row>
    <row r="738" spans="1:5" x14ac:dyDescent="0.25">
      <c r="A738" s="5" t="s">
        <v>6</v>
      </c>
      <c r="B738" s="5" t="s">
        <v>1909</v>
      </c>
      <c r="C738" s="1" t="s">
        <v>1910</v>
      </c>
      <c r="D738" s="1" t="s">
        <v>1911</v>
      </c>
      <c r="E738" s="7">
        <v>20479</v>
      </c>
    </row>
    <row r="739" spans="1:5" x14ac:dyDescent="0.25">
      <c r="A739" s="5" t="s">
        <v>6</v>
      </c>
      <c r="B739" s="5" t="s">
        <v>1912</v>
      </c>
      <c r="C739" s="1" t="s">
        <v>1913</v>
      </c>
      <c r="D739" s="1" t="s">
        <v>1911</v>
      </c>
      <c r="E739" s="7">
        <v>9309</v>
      </c>
    </row>
    <row r="740" spans="1:5" x14ac:dyDescent="0.25">
      <c r="A740" s="5" t="s">
        <v>6</v>
      </c>
      <c r="B740" s="5" t="s">
        <v>1914</v>
      </c>
      <c r="C740" s="1" t="s">
        <v>1915</v>
      </c>
      <c r="D740" s="1" t="s">
        <v>1916</v>
      </c>
      <c r="E740" s="7">
        <v>16755</v>
      </c>
    </row>
    <row r="741" spans="1:5" x14ac:dyDescent="0.25">
      <c r="A741" s="5" t="s">
        <v>6</v>
      </c>
      <c r="B741" s="5" t="s">
        <v>1917</v>
      </c>
      <c r="C741" s="1" t="s">
        <v>1918</v>
      </c>
      <c r="D741" s="1" t="s">
        <v>1919</v>
      </c>
      <c r="E741" s="7">
        <v>20479</v>
      </c>
    </row>
    <row r="742" spans="1:5" x14ac:dyDescent="0.25">
      <c r="A742" s="5" t="s">
        <v>6</v>
      </c>
      <c r="B742" s="5" t="s">
        <v>1920</v>
      </c>
      <c r="C742" s="1" t="s">
        <v>1921</v>
      </c>
      <c r="D742" s="1" t="s">
        <v>1922</v>
      </c>
      <c r="E742" s="7">
        <v>10239</v>
      </c>
    </row>
    <row r="743" spans="1:5" x14ac:dyDescent="0.25">
      <c r="A743" s="5" t="s">
        <v>6</v>
      </c>
      <c r="B743" s="5" t="s">
        <v>1923</v>
      </c>
      <c r="C743" s="1" t="s">
        <v>1924</v>
      </c>
      <c r="D743" s="1" t="s">
        <v>1911</v>
      </c>
      <c r="E743" s="7">
        <v>13032</v>
      </c>
    </row>
    <row r="744" spans="1:5" x14ac:dyDescent="0.25">
      <c r="A744" s="5" t="s">
        <v>6</v>
      </c>
      <c r="B744" s="5" t="s">
        <v>1925</v>
      </c>
      <c r="C744" s="1" t="s">
        <v>1926</v>
      </c>
      <c r="D744" s="1" t="s">
        <v>1927</v>
      </c>
      <c r="E744" s="7">
        <v>11170</v>
      </c>
    </row>
    <row r="745" spans="1:5" x14ac:dyDescent="0.25">
      <c r="A745" s="5" t="s">
        <v>6</v>
      </c>
      <c r="B745" s="5" t="s">
        <v>1928</v>
      </c>
      <c r="C745" s="1" t="s">
        <v>1929</v>
      </c>
      <c r="D745" s="1" t="s">
        <v>1930</v>
      </c>
      <c r="E745" s="7">
        <v>9309</v>
      </c>
    </row>
    <row r="746" spans="1:5" x14ac:dyDescent="0.25">
      <c r="A746" s="5" t="s">
        <v>6</v>
      </c>
      <c r="B746" s="5" t="s">
        <v>1931</v>
      </c>
      <c r="C746" s="1" t="s">
        <v>1932</v>
      </c>
      <c r="D746" s="1" t="s">
        <v>1933</v>
      </c>
      <c r="E746" s="7">
        <v>8378</v>
      </c>
    </row>
    <row r="747" spans="1:5" x14ac:dyDescent="0.25">
      <c r="A747" s="5" t="s">
        <v>6</v>
      </c>
      <c r="B747" s="5" t="s">
        <v>1934</v>
      </c>
      <c r="C747" s="1" t="s">
        <v>1935</v>
      </c>
      <c r="D747" s="1" t="s">
        <v>1936</v>
      </c>
      <c r="E747" s="7">
        <v>25133</v>
      </c>
    </row>
    <row r="748" spans="1:5" x14ac:dyDescent="0.25">
      <c r="A748" s="5" t="s">
        <v>6</v>
      </c>
      <c r="B748" s="5" t="s">
        <v>1937</v>
      </c>
      <c r="C748" s="1" t="s">
        <v>1938</v>
      </c>
      <c r="D748" s="1" t="s">
        <v>1939</v>
      </c>
      <c r="E748" s="7">
        <v>465</v>
      </c>
    </row>
    <row r="749" spans="1:5" x14ac:dyDescent="0.25">
      <c r="A749" s="5" t="s">
        <v>6</v>
      </c>
      <c r="B749" s="5" t="s">
        <v>1940</v>
      </c>
      <c r="C749" s="1" t="s">
        <v>1941</v>
      </c>
      <c r="D749" s="1" t="s">
        <v>1942</v>
      </c>
      <c r="E749" s="7">
        <v>8571</v>
      </c>
    </row>
    <row r="750" spans="1:5" x14ac:dyDescent="0.25">
      <c r="A750" s="5" t="s">
        <v>6</v>
      </c>
      <c r="B750" s="5" t="s">
        <v>1943</v>
      </c>
      <c r="C750" s="1" t="s">
        <v>1944</v>
      </c>
      <c r="D750" s="1" t="s">
        <v>1945</v>
      </c>
      <c r="E750" s="7">
        <v>5892</v>
      </c>
    </row>
    <row r="751" spans="1:5" x14ac:dyDescent="0.25">
      <c r="A751" s="5" t="s">
        <v>6</v>
      </c>
      <c r="B751" s="5" t="s">
        <v>1946</v>
      </c>
      <c r="C751" s="1" t="s">
        <v>1947</v>
      </c>
      <c r="D751" s="1" t="s">
        <v>1947</v>
      </c>
      <c r="E751" s="7">
        <v>7534</v>
      </c>
    </row>
    <row r="752" spans="1:5" x14ac:dyDescent="0.25">
      <c r="A752" s="5" t="s">
        <v>6</v>
      </c>
      <c r="B752" s="5" t="s">
        <v>1948</v>
      </c>
      <c r="C752" s="1" t="s">
        <v>1949</v>
      </c>
      <c r="D752" s="1" t="s">
        <v>1950</v>
      </c>
      <c r="E752" s="7">
        <v>10301</v>
      </c>
    </row>
    <row r="753" spans="1:5" x14ac:dyDescent="0.25">
      <c r="A753" s="5" t="s">
        <v>6</v>
      </c>
      <c r="B753" s="5" t="s">
        <v>1951</v>
      </c>
      <c r="C753" s="1" t="s">
        <v>1952</v>
      </c>
      <c r="D753" s="1" t="s">
        <v>1953</v>
      </c>
      <c r="E753" s="7">
        <v>3043</v>
      </c>
    </row>
    <row r="754" spans="1:5" x14ac:dyDescent="0.25">
      <c r="A754" s="5" t="s">
        <v>6</v>
      </c>
      <c r="B754" s="5" t="s">
        <v>1954</v>
      </c>
      <c r="C754" s="1" t="s">
        <v>1955</v>
      </c>
      <c r="D754" s="1" t="s">
        <v>1956</v>
      </c>
      <c r="E754" s="7">
        <v>8117</v>
      </c>
    </row>
    <row r="755" spans="1:5" x14ac:dyDescent="0.25">
      <c r="A755" s="5" t="s">
        <v>6</v>
      </c>
      <c r="B755" s="5" t="s">
        <v>1957</v>
      </c>
      <c r="C755" s="1" t="s">
        <v>1958</v>
      </c>
      <c r="D755" s="1" t="s">
        <v>1562</v>
      </c>
      <c r="E755" s="7">
        <v>16233</v>
      </c>
    </row>
    <row r="756" spans="1:5" x14ac:dyDescent="0.25">
      <c r="A756" s="5" t="s">
        <v>6</v>
      </c>
      <c r="B756" s="5" t="s">
        <v>1959</v>
      </c>
      <c r="C756" s="1" t="s">
        <v>1960</v>
      </c>
      <c r="D756" s="1" t="s">
        <v>1961</v>
      </c>
      <c r="E756" s="7">
        <v>12176</v>
      </c>
    </row>
    <row r="757" spans="1:5" x14ac:dyDescent="0.25">
      <c r="A757" s="5" t="s">
        <v>6</v>
      </c>
      <c r="B757" s="5" t="s">
        <v>1962</v>
      </c>
      <c r="C757" s="1" t="s">
        <v>1963</v>
      </c>
      <c r="D757" s="1" t="s">
        <v>1964</v>
      </c>
      <c r="E757" s="7">
        <v>7610</v>
      </c>
    </row>
    <row r="758" spans="1:5" x14ac:dyDescent="0.25">
      <c r="A758" s="5" t="s">
        <v>6</v>
      </c>
      <c r="B758" s="5" t="s">
        <v>1965</v>
      </c>
      <c r="C758" s="1" t="s">
        <v>1966</v>
      </c>
      <c r="D758" s="1" t="s">
        <v>1967</v>
      </c>
      <c r="E758" s="7">
        <v>2029</v>
      </c>
    </row>
    <row r="759" spans="1:5" x14ac:dyDescent="0.25">
      <c r="A759" s="5" t="s">
        <v>6</v>
      </c>
      <c r="B759" s="5" t="s">
        <v>1968</v>
      </c>
      <c r="C759" s="1" t="s">
        <v>1969</v>
      </c>
      <c r="D759" s="1" t="s">
        <v>1970</v>
      </c>
      <c r="E759" s="7">
        <v>7103</v>
      </c>
    </row>
    <row r="760" spans="1:5" x14ac:dyDescent="0.25">
      <c r="A760" s="5" t="s">
        <v>6</v>
      </c>
      <c r="B760" s="5" t="s">
        <v>1971</v>
      </c>
      <c r="C760" s="1" t="s">
        <v>1972</v>
      </c>
      <c r="D760" s="1" t="s">
        <v>1911</v>
      </c>
      <c r="E760" s="7">
        <v>13032</v>
      </c>
    </row>
    <row r="761" spans="1:5" x14ac:dyDescent="0.25">
      <c r="A761" s="5" t="s">
        <v>6</v>
      </c>
      <c r="B761" s="5" t="s">
        <v>1973</v>
      </c>
      <c r="C761" s="1" t="s">
        <v>1974</v>
      </c>
      <c r="D761" s="1" t="s">
        <v>1975</v>
      </c>
      <c r="E761" s="7">
        <v>11170</v>
      </c>
    </row>
    <row r="762" spans="1:5" x14ac:dyDescent="0.25">
      <c r="A762" s="5" t="s">
        <v>6</v>
      </c>
      <c r="B762" s="5" t="s">
        <v>1976</v>
      </c>
      <c r="C762" s="1" t="s">
        <v>1977</v>
      </c>
      <c r="D762" s="1" t="s">
        <v>1978</v>
      </c>
      <c r="E762" s="7">
        <v>11170</v>
      </c>
    </row>
    <row r="763" spans="1:5" x14ac:dyDescent="0.25">
      <c r="A763" s="5" t="s">
        <v>6</v>
      </c>
      <c r="B763" s="5" t="s">
        <v>1979</v>
      </c>
      <c r="C763" s="1" t="s">
        <v>1980</v>
      </c>
      <c r="D763" s="1" t="s">
        <v>1981</v>
      </c>
      <c r="E763" s="7">
        <v>931</v>
      </c>
    </row>
    <row r="764" spans="1:5" x14ac:dyDescent="0.25">
      <c r="A764" s="5" t="s">
        <v>6</v>
      </c>
      <c r="B764" s="5" t="s">
        <v>1982</v>
      </c>
      <c r="C764" s="1" t="s">
        <v>1983</v>
      </c>
      <c r="D764" s="1" t="s">
        <v>1984</v>
      </c>
      <c r="E764" s="7">
        <v>4378.84</v>
      </c>
    </row>
    <row r="765" spans="1:5" x14ac:dyDescent="0.25">
      <c r="A765" s="5" t="s">
        <v>6</v>
      </c>
      <c r="B765" s="5" t="s">
        <v>1985</v>
      </c>
      <c r="C765" s="1" t="s">
        <v>1986</v>
      </c>
      <c r="D765" s="1" t="s">
        <v>1987</v>
      </c>
      <c r="E765" s="7">
        <v>6345</v>
      </c>
    </row>
    <row r="766" spans="1:5" x14ac:dyDescent="0.25">
      <c r="A766" s="5" t="s">
        <v>6</v>
      </c>
      <c r="B766" s="5" t="s">
        <v>1988</v>
      </c>
      <c r="C766" s="1" t="s">
        <v>1989</v>
      </c>
      <c r="D766" s="1" t="s">
        <v>1990</v>
      </c>
      <c r="E766" s="7">
        <v>1637</v>
      </c>
    </row>
    <row r="767" spans="1:5" x14ac:dyDescent="0.25">
      <c r="A767" s="5" t="s">
        <v>6</v>
      </c>
      <c r="B767" s="5" t="s">
        <v>1991</v>
      </c>
      <c r="C767" s="1" t="s">
        <v>1992</v>
      </c>
      <c r="D767" s="1" t="s">
        <v>1993</v>
      </c>
      <c r="E767" s="7">
        <v>33853</v>
      </c>
    </row>
    <row r="768" spans="1:5" x14ac:dyDescent="0.25">
      <c r="A768" s="5" t="s">
        <v>6</v>
      </c>
      <c r="B768" s="5" t="s">
        <v>1994</v>
      </c>
      <c r="C768" s="1" t="s">
        <v>1995</v>
      </c>
      <c r="D768" s="1" t="s">
        <v>1996</v>
      </c>
      <c r="E768" s="7">
        <v>13064</v>
      </c>
    </row>
    <row r="769" spans="1:5" x14ac:dyDescent="0.25">
      <c r="A769" s="5" t="s">
        <v>6</v>
      </c>
      <c r="B769" s="5" t="s">
        <v>1997</v>
      </c>
      <c r="C769" s="1" t="s">
        <v>1998</v>
      </c>
      <c r="D769" s="1" t="s">
        <v>1999</v>
      </c>
      <c r="E769" s="7">
        <v>20758</v>
      </c>
    </row>
    <row r="770" spans="1:5" x14ac:dyDescent="0.25">
      <c r="A770" s="5" t="s">
        <v>6</v>
      </c>
      <c r="B770" s="5" t="s">
        <v>2000</v>
      </c>
      <c r="C770" s="1" t="s">
        <v>2001</v>
      </c>
      <c r="D770" s="1" t="s">
        <v>2002</v>
      </c>
      <c r="E770" s="7">
        <v>5077</v>
      </c>
    </row>
    <row r="771" spans="1:5" x14ac:dyDescent="0.25">
      <c r="A771" s="5" t="s">
        <v>6</v>
      </c>
      <c r="B771" s="5" t="s">
        <v>2003</v>
      </c>
      <c r="C771" s="1" t="s">
        <v>2004</v>
      </c>
      <c r="D771" s="1" t="s">
        <v>2005</v>
      </c>
      <c r="E771" s="7">
        <v>1067</v>
      </c>
    </row>
    <row r="772" spans="1:5" x14ac:dyDescent="0.25">
      <c r="A772" s="5" t="s">
        <v>6</v>
      </c>
      <c r="B772" s="5" t="s">
        <v>2006</v>
      </c>
      <c r="C772" s="1" t="s">
        <v>2007</v>
      </c>
      <c r="D772" s="1" t="s">
        <v>2008</v>
      </c>
      <c r="E772" s="7">
        <v>14838</v>
      </c>
    </row>
    <row r="773" spans="1:5" x14ac:dyDescent="0.25">
      <c r="A773" s="5" t="s">
        <v>6</v>
      </c>
      <c r="B773" s="5" t="s">
        <v>2009</v>
      </c>
      <c r="C773" s="1" t="s">
        <v>2010</v>
      </c>
      <c r="D773" s="1" t="s">
        <v>2011</v>
      </c>
      <c r="E773" s="7">
        <v>72857</v>
      </c>
    </row>
    <row r="774" spans="1:5" x14ac:dyDescent="0.25">
      <c r="A774" s="5" t="s">
        <v>6</v>
      </c>
      <c r="B774" s="5" t="s">
        <v>2012</v>
      </c>
      <c r="C774" s="1" t="s">
        <v>2013</v>
      </c>
      <c r="D774" s="1" t="s">
        <v>2014</v>
      </c>
      <c r="E774" s="7">
        <v>17061</v>
      </c>
    </row>
    <row r="775" spans="1:5" x14ac:dyDescent="0.25">
      <c r="A775" s="5" t="s">
        <v>6</v>
      </c>
      <c r="B775" s="5" t="s">
        <v>2015</v>
      </c>
      <c r="C775" s="1" t="s">
        <v>2016</v>
      </c>
      <c r="D775" s="1" t="s">
        <v>2017</v>
      </c>
      <c r="E775" s="7">
        <v>1665</v>
      </c>
    </row>
    <row r="776" spans="1:5" x14ac:dyDescent="0.25">
      <c r="A776" s="5" t="s">
        <v>6</v>
      </c>
      <c r="B776" s="5" t="s">
        <v>2018</v>
      </c>
      <c r="C776" s="1" t="s">
        <v>2019</v>
      </c>
      <c r="D776" s="1" t="s">
        <v>2020</v>
      </c>
      <c r="E776" s="7">
        <v>16750</v>
      </c>
    </row>
    <row r="777" spans="1:5" x14ac:dyDescent="0.25">
      <c r="A777" s="5" t="s">
        <v>6</v>
      </c>
      <c r="B777" s="5" t="s">
        <v>2021</v>
      </c>
      <c r="C777" s="1" t="s">
        <v>2022</v>
      </c>
      <c r="D777" s="1" t="s">
        <v>2023</v>
      </c>
      <c r="E777" s="7">
        <v>14844</v>
      </c>
    </row>
    <row r="778" spans="1:5" x14ac:dyDescent="0.25">
      <c r="A778" s="5" t="s">
        <v>6</v>
      </c>
      <c r="B778" s="5" t="s">
        <v>2024</v>
      </c>
      <c r="C778" s="1" t="s">
        <v>2025</v>
      </c>
      <c r="D778" s="1" t="s">
        <v>2026</v>
      </c>
      <c r="E778" s="7">
        <v>12451.92</v>
      </c>
    </row>
    <row r="779" spans="1:5" x14ac:dyDescent="0.25">
      <c r="A779" s="5" t="s">
        <v>6</v>
      </c>
      <c r="B779" s="5" t="s">
        <v>2027</v>
      </c>
      <c r="C779" s="1" t="s">
        <v>2028</v>
      </c>
      <c r="D779" s="1" t="s">
        <v>2029</v>
      </c>
      <c r="E779" s="7">
        <v>30000</v>
      </c>
    </row>
    <row r="780" spans="1:5" x14ac:dyDescent="0.25">
      <c r="A780" s="5" t="s">
        <v>6</v>
      </c>
      <c r="B780" s="5" t="s">
        <v>2030</v>
      </c>
      <c r="C780" s="1" t="s">
        <v>2031</v>
      </c>
      <c r="D780" s="1" t="s">
        <v>2032</v>
      </c>
      <c r="E780" s="7">
        <v>415</v>
      </c>
    </row>
    <row r="781" spans="1:5" x14ac:dyDescent="0.25">
      <c r="A781" s="5" t="s">
        <v>6</v>
      </c>
      <c r="B781" s="5" t="s">
        <v>2033</v>
      </c>
      <c r="C781" s="1" t="s">
        <v>2034</v>
      </c>
      <c r="D781" s="1" t="s">
        <v>2035</v>
      </c>
      <c r="E781" s="7">
        <v>13396</v>
      </c>
    </row>
    <row r="782" spans="1:5" x14ac:dyDescent="0.25">
      <c r="A782" s="5" t="s">
        <v>6</v>
      </c>
      <c r="B782" s="5" t="s">
        <v>2036</v>
      </c>
      <c r="C782" s="1" t="s">
        <v>2037</v>
      </c>
      <c r="D782" s="1" t="s">
        <v>2038</v>
      </c>
      <c r="E782" s="7">
        <v>47389</v>
      </c>
    </row>
    <row r="783" spans="1:5" x14ac:dyDescent="0.25">
      <c r="A783" s="5" t="s">
        <v>6</v>
      </c>
      <c r="B783" s="5" t="s">
        <v>2039</v>
      </c>
      <c r="C783" s="1" t="s">
        <v>2040</v>
      </c>
      <c r="D783" s="1" t="s">
        <v>2041</v>
      </c>
      <c r="E783" s="7">
        <v>274</v>
      </c>
    </row>
    <row r="784" spans="1:5" x14ac:dyDescent="0.25">
      <c r="A784" s="5" t="s">
        <v>6</v>
      </c>
      <c r="B784" s="5" t="s">
        <v>2042</v>
      </c>
      <c r="C784" s="1" t="s">
        <v>2043</v>
      </c>
      <c r="D784" s="1" t="s">
        <v>2044</v>
      </c>
      <c r="E784" s="7">
        <v>207.57</v>
      </c>
    </row>
    <row r="785" spans="1:5" x14ac:dyDescent="0.25">
      <c r="A785" s="5" t="s">
        <v>6</v>
      </c>
      <c r="B785" s="5" t="s">
        <v>2045</v>
      </c>
      <c r="C785" s="1" t="s">
        <v>2046</v>
      </c>
      <c r="D785" s="1" t="s">
        <v>2047</v>
      </c>
      <c r="E785" s="7">
        <v>464</v>
      </c>
    </row>
    <row r="786" spans="1:5" x14ac:dyDescent="0.25">
      <c r="A786" s="5" t="s">
        <v>6</v>
      </c>
      <c r="B786" s="5" t="s">
        <v>2048</v>
      </c>
      <c r="C786" s="1" t="s">
        <v>2049</v>
      </c>
      <c r="D786" s="1" t="s">
        <v>2050</v>
      </c>
      <c r="E786" s="7">
        <v>1512</v>
      </c>
    </row>
    <row r="787" spans="1:5" x14ac:dyDescent="0.25">
      <c r="A787" s="5" t="s">
        <v>6</v>
      </c>
      <c r="B787" s="5" t="s">
        <v>2051</v>
      </c>
      <c r="C787" s="1" t="s">
        <v>2052</v>
      </c>
      <c r="D787" s="1" t="s">
        <v>2052</v>
      </c>
      <c r="E787" s="7">
        <v>3926</v>
      </c>
    </row>
    <row r="788" spans="1:5" x14ac:dyDescent="0.25">
      <c r="A788" s="5" t="s">
        <v>6</v>
      </c>
      <c r="B788" s="5" t="s">
        <v>2053</v>
      </c>
      <c r="C788" s="1" t="s">
        <v>2054</v>
      </c>
      <c r="D788" s="1" t="s">
        <v>2055</v>
      </c>
      <c r="E788" s="7">
        <v>640</v>
      </c>
    </row>
    <row r="789" spans="1:5" x14ac:dyDescent="0.25">
      <c r="A789" s="5" t="s">
        <v>6</v>
      </c>
      <c r="B789" s="5" t="s">
        <v>2056</v>
      </c>
      <c r="C789" s="1" t="s">
        <v>2057</v>
      </c>
      <c r="D789" s="1" t="s">
        <v>2057</v>
      </c>
      <c r="E789" s="7">
        <v>1610</v>
      </c>
    </row>
    <row r="790" spans="1:5" x14ac:dyDescent="0.25">
      <c r="A790" s="5" t="s">
        <v>6</v>
      </c>
      <c r="B790" s="5" t="s">
        <v>2058</v>
      </c>
      <c r="C790" s="1" t="s">
        <v>2059</v>
      </c>
      <c r="D790" s="1" t="s">
        <v>2060</v>
      </c>
      <c r="E790" s="7">
        <v>674</v>
      </c>
    </row>
    <row r="791" spans="1:5" x14ac:dyDescent="0.25">
      <c r="A791" s="5" t="s">
        <v>6</v>
      </c>
      <c r="B791" s="5" t="s">
        <v>2061</v>
      </c>
      <c r="C791" s="1" t="s">
        <v>2062</v>
      </c>
      <c r="D791" s="1" t="s">
        <v>2062</v>
      </c>
      <c r="E791" s="7">
        <v>29993</v>
      </c>
    </row>
    <row r="792" spans="1:5" x14ac:dyDescent="0.25">
      <c r="A792" s="5" t="s">
        <v>6</v>
      </c>
      <c r="B792" s="5" t="s">
        <v>2063</v>
      </c>
      <c r="C792" s="1" t="s">
        <v>2064</v>
      </c>
      <c r="D792" s="1" t="s">
        <v>2064</v>
      </c>
      <c r="E792" s="7">
        <v>4852</v>
      </c>
    </row>
    <row r="793" spans="1:5" x14ac:dyDescent="0.25">
      <c r="A793" s="5" t="s">
        <v>6</v>
      </c>
      <c r="B793" s="5" t="s">
        <v>2065</v>
      </c>
      <c r="C793" s="1" t="s">
        <v>2066</v>
      </c>
      <c r="D793" s="1" t="s">
        <v>2066</v>
      </c>
      <c r="E793" s="7">
        <v>6719</v>
      </c>
    </row>
    <row r="794" spans="1:5" x14ac:dyDescent="0.25">
      <c r="A794" s="5" t="s">
        <v>6</v>
      </c>
      <c r="B794" s="5" t="s">
        <v>2067</v>
      </c>
      <c r="C794" s="1" t="s">
        <v>2068</v>
      </c>
      <c r="D794" s="1" t="s">
        <v>2068</v>
      </c>
      <c r="E794" s="7">
        <v>729</v>
      </c>
    </row>
    <row r="795" spans="1:5" x14ac:dyDescent="0.25">
      <c r="A795" s="5" t="s">
        <v>6</v>
      </c>
      <c r="B795" s="5" t="s">
        <v>2069</v>
      </c>
      <c r="C795" s="1" t="s">
        <v>2070</v>
      </c>
      <c r="D795" s="1" t="s">
        <v>2071</v>
      </c>
      <c r="E795" s="7">
        <v>17221</v>
      </c>
    </row>
    <row r="796" spans="1:5" x14ac:dyDescent="0.25">
      <c r="A796" s="5" t="s">
        <v>6</v>
      </c>
      <c r="B796" s="5" t="s">
        <v>2072</v>
      </c>
      <c r="C796" s="1" t="s">
        <v>2073</v>
      </c>
      <c r="D796" s="1" t="s">
        <v>2074</v>
      </c>
      <c r="E796" s="7">
        <v>21396</v>
      </c>
    </row>
    <row r="797" spans="1:5" x14ac:dyDescent="0.25">
      <c r="A797" s="5" t="s">
        <v>6</v>
      </c>
      <c r="B797" s="5" t="s">
        <v>2075</v>
      </c>
      <c r="C797" s="1" t="s">
        <v>2076</v>
      </c>
      <c r="D797" s="1" t="s">
        <v>2077</v>
      </c>
      <c r="E797" s="7">
        <v>2388</v>
      </c>
    </row>
    <row r="798" spans="1:5" x14ac:dyDescent="0.25">
      <c r="A798" s="5" t="s">
        <v>6</v>
      </c>
      <c r="B798" s="5" t="s">
        <v>2078</v>
      </c>
      <c r="C798" s="1" t="s">
        <v>2079</v>
      </c>
      <c r="D798" s="1" t="s">
        <v>2080</v>
      </c>
      <c r="E798" s="7">
        <v>3942.31</v>
      </c>
    </row>
    <row r="799" spans="1:5" x14ac:dyDescent="0.25">
      <c r="A799" s="5" t="s">
        <v>6</v>
      </c>
      <c r="B799" s="5" t="s">
        <v>2081</v>
      </c>
      <c r="C799" s="1" t="s">
        <v>2082</v>
      </c>
      <c r="D799" s="1" t="s">
        <v>2083</v>
      </c>
      <c r="E799" s="7">
        <v>18107</v>
      </c>
    </row>
    <row r="800" spans="1:5" x14ac:dyDescent="0.25">
      <c r="A800" s="5" t="s">
        <v>6</v>
      </c>
      <c r="B800" s="5" t="s">
        <v>2084</v>
      </c>
      <c r="C800" s="1" t="s">
        <v>2085</v>
      </c>
      <c r="D800" s="1" t="s">
        <v>2086</v>
      </c>
      <c r="E800" s="7">
        <v>88847</v>
      </c>
    </row>
    <row r="801" spans="1:5" x14ac:dyDescent="0.25">
      <c r="A801" s="5" t="s">
        <v>6</v>
      </c>
      <c r="B801" s="5" t="s">
        <v>2087</v>
      </c>
      <c r="C801" s="1" t="s">
        <v>2088</v>
      </c>
      <c r="D801" s="1" t="s">
        <v>2089</v>
      </c>
      <c r="E801" s="7">
        <v>169518</v>
      </c>
    </row>
    <row r="802" spans="1:5" x14ac:dyDescent="0.25">
      <c r="A802" s="5" t="s">
        <v>6</v>
      </c>
      <c r="B802" s="5" t="s">
        <v>2090</v>
      </c>
      <c r="C802" s="1" t="s">
        <v>2091</v>
      </c>
      <c r="D802" s="1" t="s">
        <v>2092</v>
      </c>
      <c r="E802" s="7">
        <v>79857</v>
      </c>
    </row>
    <row r="803" spans="1:5" x14ac:dyDescent="0.25">
      <c r="A803" s="5" t="s">
        <v>6</v>
      </c>
      <c r="B803" s="5" t="s">
        <v>2093</v>
      </c>
      <c r="C803" s="1" t="s">
        <v>2094</v>
      </c>
      <c r="D803" s="1" t="s">
        <v>2095</v>
      </c>
      <c r="E803" s="7">
        <v>51540</v>
      </c>
    </row>
    <row r="804" spans="1:5" x14ac:dyDescent="0.25">
      <c r="A804" s="5" t="s">
        <v>6</v>
      </c>
      <c r="B804" s="5" t="s">
        <v>2096</v>
      </c>
      <c r="C804" s="1" t="s">
        <v>2097</v>
      </c>
      <c r="D804" s="1" t="s">
        <v>2095</v>
      </c>
      <c r="E804" s="7">
        <v>84224</v>
      </c>
    </row>
    <row r="805" spans="1:5" x14ac:dyDescent="0.25">
      <c r="A805" s="5" t="s">
        <v>6</v>
      </c>
      <c r="B805" s="5" t="s">
        <v>2098</v>
      </c>
      <c r="C805" s="1" t="s">
        <v>2099</v>
      </c>
      <c r="D805" s="1" t="s">
        <v>2095</v>
      </c>
      <c r="E805" s="7">
        <v>27390</v>
      </c>
    </row>
    <row r="806" spans="1:5" x14ac:dyDescent="0.25">
      <c r="A806" s="5" t="s">
        <v>6</v>
      </c>
      <c r="B806" s="5" t="s">
        <v>2100</v>
      </c>
      <c r="C806" s="1" t="s">
        <v>2101</v>
      </c>
      <c r="D806" s="1" t="s">
        <v>2102</v>
      </c>
      <c r="E806" s="7">
        <v>7062</v>
      </c>
    </row>
    <row r="807" spans="1:5" x14ac:dyDescent="0.25">
      <c r="A807" s="5" t="s">
        <v>6</v>
      </c>
      <c r="B807" s="5" t="s">
        <v>2103</v>
      </c>
      <c r="C807" s="1" t="s">
        <v>2104</v>
      </c>
      <c r="D807" s="1" t="s">
        <v>2105</v>
      </c>
      <c r="E807" s="7">
        <v>3190</v>
      </c>
    </row>
    <row r="808" spans="1:5" x14ac:dyDescent="0.25">
      <c r="A808" s="5" t="s">
        <v>6</v>
      </c>
      <c r="B808" s="5" t="s">
        <v>2106</v>
      </c>
      <c r="C808" s="1" t="s">
        <v>2107</v>
      </c>
      <c r="D808" s="1" t="s">
        <v>2108</v>
      </c>
      <c r="E808" s="7">
        <v>24524</v>
      </c>
    </row>
    <row r="809" spans="1:5" x14ac:dyDescent="0.25">
      <c r="A809" s="5" t="s">
        <v>6</v>
      </c>
      <c r="B809" s="5" t="s">
        <v>2109</v>
      </c>
      <c r="C809" s="1" t="s">
        <v>2110</v>
      </c>
      <c r="D809" s="1" t="s">
        <v>2111</v>
      </c>
      <c r="E809" s="7">
        <v>10940</v>
      </c>
    </row>
    <row r="810" spans="1:5" x14ac:dyDescent="0.25">
      <c r="A810" s="5" t="s">
        <v>6</v>
      </c>
      <c r="B810" s="5" t="s">
        <v>2112</v>
      </c>
      <c r="C810" s="1" t="s">
        <v>2113</v>
      </c>
      <c r="D810" s="1" t="s">
        <v>2114</v>
      </c>
      <c r="E810" s="7">
        <v>34316</v>
      </c>
    </row>
    <row r="811" spans="1:5" x14ac:dyDescent="0.25">
      <c r="A811" s="5" t="s">
        <v>6</v>
      </c>
      <c r="B811" s="5" t="s">
        <v>2115</v>
      </c>
      <c r="C811" s="1" t="s">
        <v>2116</v>
      </c>
      <c r="D811" s="1" t="s">
        <v>2117</v>
      </c>
      <c r="E811" s="7">
        <v>22880</v>
      </c>
    </row>
    <row r="812" spans="1:5" x14ac:dyDescent="0.25">
      <c r="A812" s="5" t="s">
        <v>6</v>
      </c>
      <c r="B812" s="5" t="s">
        <v>2118</v>
      </c>
      <c r="C812" s="1" t="s">
        <v>2119</v>
      </c>
      <c r="D812" s="1" t="s">
        <v>2120</v>
      </c>
      <c r="E812" s="7">
        <v>950</v>
      </c>
    </row>
    <row r="813" spans="1:5" x14ac:dyDescent="0.25">
      <c r="A813" s="5" t="s">
        <v>6</v>
      </c>
      <c r="B813" s="5" t="s">
        <v>2121</v>
      </c>
      <c r="C813" s="1" t="s">
        <v>2122</v>
      </c>
      <c r="D813" s="1" t="s">
        <v>2123</v>
      </c>
      <c r="E813" s="7">
        <v>86332</v>
      </c>
    </row>
    <row r="814" spans="1:5" x14ac:dyDescent="0.25">
      <c r="A814" s="5" t="s">
        <v>6</v>
      </c>
      <c r="B814" s="5" t="s">
        <v>2124</v>
      </c>
      <c r="C814" s="1" t="s">
        <v>2125</v>
      </c>
      <c r="D814" s="1" t="s">
        <v>2126</v>
      </c>
      <c r="E814" s="7">
        <v>3892</v>
      </c>
    </row>
    <row r="815" spans="1:5" x14ac:dyDescent="0.25">
      <c r="A815" s="5" t="s">
        <v>6</v>
      </c>
      <c r="B815" s="5" t="s">
        <v>2127</v>
      </c>
      <c r="C815" s="1" t="s">
        <v>2128</v>
      </c>
      <c r="D815" s="1" t="s">
        <v>2129</v>
      </c>
      <c r="E815" s="7">
        <v>6791</v>
      </c>
    </row>
    <row r="816" spans="1:5" x14ac:dyDescent="0.25">
      <c r="A816" s="5" t="s">
        <v>6</v>
      </c>
      <c r="B816" s="5" t="s">
        <v>2130</v>
      </c>
      <c r="C816" s="1" t="s">
        <v>2131</v>
      </c>
      <c r="D816" s="1" t="s">
        <v>2132</v>
      </c>
      <c r="E816" s="7">
        <v>635</v>
      </c>
    </row>
    <row r="817" spans="1:5" x14ac:dyDescent="0.25">
      <c r="A817" s="5" t="s">
        <v>6</v>
      </c>
      <c r="B817" s="5" t="s">
        <v>2133</v>
      </c>
      <c r="C817" s="1" t="s">
        <v>2134</v>
      </c>
      <c r="D817" s="1" t="s">
        <v>2135</v>
      </c>
      <c r="E817" s="7">
        <v>6359</v>
      </c>
    </row>
    <row r="818" spans="1:5" x14ac:dyDescent="0.25">
      <c r="A818" s="5" t="s">
        <v>6</v>
      </c>
      <c r="B818" s="5" t="s">
        <v>2136</v>
      </c>
      <c r="C818" s="1" t="s">
        <v>2137</v>
      </c>
      <c r="D818" s="1" t="s">
        <v>2138</v>
      </c>
      <c r="E818" s="7">
        <v>2463</v>
      </c>
    </row>
    <row r="819" spans="1:5" x14ac:dyDescent="0.25">
      <c r="A819" s="5" t="s">
        <v>6</v>
      </c>
      <c r="B819" s="5" t="s">
        <v>2139</v>
      </c>
      <c r="C819" s="1" t="s">
        <v>2140</v>
      </c>
      <c r="D819" s="1" t="s">
        <v>2141</v>
      </c>
      <c r="E819" s="7">
        <v>23770</v>
      </c>
    </row>
    <row r="820" spans="1:5" x14ac:dyDescent="0.25">
      <c r="A820" s="5" t="s">
        <v>6</v>
      </c>
      <c r="B820" s="5" t="s">
        <v>2142</v>
      </c>
      <c r="C820" s="1" t="s">
        <v>2143</v>
      </c>
      <c r="D820" s="1" t="s">
        <v>2143</v>
      </c>
      <c r="E820" s="7">
        <v>1688</v>
      </c>
    </row>
    <row r="821" spans="1:5" x14ac:dyDescent="0.25">
      <c r="A821" s="5" t="s">
        <v>6</v>
      </c>
      <c r="B821" s="5" t="s">
        <v>2144</v>
      </c>
      <c r="C821" s="1" t="s">
        <v>2145</v>
      </c>
      <c r="D821" s="1" t="s">
        <v>2145</v>
      </c>
      <c r="E821" s="7">
        <v>8767</v>
      </c>
    </row>
    <row r="822" spans="1:5" x14ac:dyDescent="0.25">
      <c r="A822" s="5" t="s">
        <v>6</v>
      </c>
      <c r="B822" s="5" t="s">
        <v>2146</v>
      </c>
      <c r="C822" s="1" t="s">
        <v>2147</v>
      </c>
      <c r="D822" s="1" t="s">
        <v>2148</v>
      </c>
      <c r="E822" s="7">
        <v>36320.75</v>
      </c>
    </row>
    <row r="823" spans="1:5" x14ac:dyDescent="0.25">
      <c r="A823" s="5" t="s">
        <v>6</v>
      </c>
      <c r="B823" s="5" t="s">
        <v>2149</v>
      </c>
      <c r="C823" s="1" t="s">
        <v>2150</v>
      </c>
      <c r="D823" s="1" t="s">
        <v>2151</v>
      </c>
      <c r="E823" s="7">
        <v>7838</v>
      </c>
    </row>
    <row r="824" spans="1:5" x14ac:dyDescent="0.25">
      <c r="A824" s="5" t="s">
        <v>6</v>
      </c>
      <c r="B824" s="5" t="s">
        <v>2152</v>
      </c>
      <c r="C824" s="1" t="s">
        <v>2153</v>
      </c>
      <c r="D824" s="1" t="s">
        <v>2154</v>
      </c>
      <c r="E824" s="7">
        <v>2935</v>
      </c>
    </row>
    <row r="825" spans="1:5" x14ac:dyDescent="0.25">
      <c r="A825" s="5" t="s">
        <v>6</v>
      </c>
      <c r="B825" s="5" t="s">
        <v>2155</v>
      </c>
      <c r="C825" s="1" t="s">
        <v>2156</v>
      </c>
      <c r="D825" s="1" t="s">
        <v>2157</v>
      </c>
      <c r="E825" s="7">
        <v>13953</v>
      </c>
    </row>
    <row r="826" spans="1:5" x14ac:dyDescent="0.25">
      <c r="A826" s="5" t="s">
        <v>6</v>
      </c>
      <c r="B826" s="5" t="s">
        <v>2158</v>
      </c>
      <c r="C826" s="1" t="s">
        <v>2159</v>
      </c>
      <c r="D826" s="1" t="s">
        <v>2160</v>
      </c>
      <c r="E826" s="7">
        <v>7137</v>
      </c>
    </row>
    <row r="827" spans="1:5" x14ac:dyDescent="0.25">
      <c r="A827" s="5" t="s">
        <v>6</v>
      </c>
      <c r="B827" s="5" t="s">
        <v>2161</v>
      </c>
      <c r="C827" s="1" t="s">
        <v>2162</v>
      </c>
      <c r="D827" s="1" t="s">
        <v>2163</v>
      </c>
      <c r="E827" s="7">
        <v>13338</v>
      </c>
    </row>
    <row r="828" spans="1:5" x14ac:dyDescent="0.25">
      <c r="A828" s="5" t="s">
        <v>6</v>
      </c>
      <c r="B828" s="5" t="s">
        <v>2164</v>
      </c>
      <c r="C828" s="1" t="s">
        <v>2165</v>
      </c>
      <c r="D828" s="1" t="s">
        <v>2166</v>
      </c>
      <c r="E828" s="7">
        <v>11523</v>
      </c>
    </row>
    <row r="829" spans="1:5" x14ac:dyDescent="0.25">
      <c r="A829" s="5" t="s">
        <v>6</v>
      </c>
      <c r="B829" s="5" t="s">
        <v>2167</v>
      </c>
      <c r="C829" s="1" t="s">
        <v>2168</v>
      </c>
      <c r="D829" s="1" t="s">
        <v>2169</v>
      </c>
      <c r="E829" s="7">
        <v>53579</v>
      </c>
    </row>
    <row r="830" spans="1:5" x14ac:dyDescent="0.25">
      <c r="A830" s="5" t="s">
        <v>6</v>
      </c>
      <c r="B830" s="5" t="s">
        <v>2170</v>
      </c>
      <c r="C830" s="1" t="s">
        <v>2171</v>
      </c>
      <c r="D830" s="1" t="s">
        <v>2172</v>
      </c>
      <c r="E830" s="7">
        <v>4119</v>
      </c>
    </row>
    <row r="831" spans="1:5" x14ac:dyDescent="0.25">
      <c r="A831" s="5" t="s">
        <v>6</v>
      </c>
      <c r="B831" s="5" t="s">
        <v>2173</v>
      </c>
      <c r="C831" s="1" t="s">
        <v>2174</v>
      </c>
      <c r="D831" s="1" t="s">
        <v>2175</v>
      </c>
      <c r="E831" s="7">
        <v>15638</v>
      </c>
    </row>
    <row r="832" spans="1:5" x14ac:dyDescent="0.25">
      <c r="A832" s="5" t="s">
        <v>6</v>
      </c>
      <c r="B832" s="5" t="s">
        <v>2176</v>
      </c>
      <c r="C832" s="1" t="s">
        <v>2177</v>
      </c>
      <c r="D832" s="1" t="s">
        <v>2175</v>
      </c>
      <c r="E832" s="7">
        <v>68894</v>
      </c>
    </row>
    <row r="833" spans="1:5" x14ac:dyDescent="0.25">
      <c r="A833" s="5" t="s">
        <v>6</v>
      </c>
      <c r="B833" s="5" t="s">
        <v>2178</v>
      </c>
      <c r="C833" s="1" t="s">
        <v>2179</v>
      </c>
      <c r="D833" s="1" t="s">
        <v>2180</v>
      </c>
      <c r="E833" s="7">
        <v>7092</v>
      </c>
    </row>
    <row r="834" spans="1:5" x14ac:dyDescent="0.25">
      <c r="A834" s="5" t="s">
        <v>6</v>
      </c>
      <c r="B834" s="5" t="s">
        <v>2181</v>
      </c>
      <c r="C834" s="1" t="s">
        <v>2182</v>
      </c>
      <c r="D834" s="1" t="s">
        <v>2183</v>
      </c>
      <c r="E834" s="7">
        <v>6966</v>
      </c>
    </row>
    <row r="835" spans="1:5" x14ac:dyDescent="0.25">
      <c r="A835" s="5" t="s">
        <v>6</v>
      </c>
      <c r="B835" s="5" t="s">
        <v>2184</v>
      </c>
      <c r="C835" s="1" t="s">
        <v>2185</v>
      </c>
      <c r="D835" s="1" t="s">
        <v>2186</v>
      </c>
      <c r="E835" s="7">
        <v>12188</v>
      </c>
    </row>
    <row r="836" spans="1:5" x14ac:dyDescent="0.25">
      <c r="A836" s="5" t="s">
        <v>6</v>
      </c>
      <c r="B836" s="5" t="s">
        <v>2187</v>
      </c>
      <c r="C836" s="1" t="s">
        <v>2188</v>
      </c>
      <c r="D836" s="1" t="s">
        <v>2189</v>
      </c>
      <c r="E836" s="7">
        <v>10074</v>
      </c>
    </row>
    <row r="837" spans="1:5" x14ac:dyDescent="0.25">
      <c r="A837" s="5" t="s">
        <v>6</v>
      </c>
      <c r="B837" s="5" t="s">
        <v>2190</v>
      </c>
      <c r="C837" s="1" t="s">
        <v>2191</v>
      </c>
      <c r="D837" s="1" t="s">
        <v>2192</v>
      </c>
      <c r="E837" s="7">
        <v>5882</v>
      </c>
    </row>
    <row r="838" spans="1:5" x14ac:dyDescent="0.25">
      <c r="A838" s="5" t="s">
        <v>6</v>
      </c>
      <c r="B838" s="5" t="s">
        <v>2193</v>
      </c>
      <c r="C838" s="1" t="s">
        <v>2194</v>
      </c>
      <c r="D838" s="1" t="s">
        <v>2195</v>
      </c>
      <c r="E838" s="7">
        <v>11879</v>
      </c>
    </row>
    <row r="839" spans="1:5" x14ac:dyDescent="0.25">
      <c r="A839" s="5" t="s">
        <v>6</v>
      </c>
      <c r="B839" s="5" t="s">
        <v>2196</v>
      </c>
      <c r="C839" s="1" t="s">
        <v>2197</v>
      </c>
      <c r="D839" s="1" t="s">
        <v>2198</v>
      </c>
      <c r="E839" s="7">
        <v>22013</v>
      </c>
    </row>
    <row r="840" spans="1:5" x14ac:dyDescent="0.25">
      <c r="A840" s="5" t="s">
        <v>6</v>
      </c>
      <c r="B840" s="5" t="s">
        <v>2199</v>
      </c>
      <c r="C840" s="1" t="s">
        <v>2200</v>
      </c>
      <c r="D840" s="1" t="s">
        <v>2201</v>
      </c>
      <c r="E840" s="7">
        <v>5350</v>
      </c>
    </row>
    <row r="841" spans="1:5" x14ac:dyDescent="0.25">
      <c r="A841" s="5" t="s">
        <v>6</v>
      </c>
      <c r="B841" s="5" t="s">
        <v>2202</v>
      </c>
      <c r="C841" s="1" t="s">
        <v>2203</v>
      </c>
      <c r="D841" s="1" t="s">
        <v>2204</v>
      </c>
      <c r="E841" s="7">
        <v>1645</v>
      </c>
    </row>
    <row r="842" spans="1:5" x14ac:dyDescent="0.25">
      <c r="A842" s="5" t="s">
        <v>6</v>
      </c>
      <c r="B842" s="5" t="s">
        <v>2205</v>
      </c>
      <c r="C842" s="1" t="s">
        <v>2206</v>
      </c>
      <c r="D842" s="1" t="s">
        <v>2207</v>
      </c>
      <c r="E842" s="7">
        <v>38845</v>
      </c>
    </row>
    <row r="843" spans="1:5" x14ac:dyDescent="0.25">
      <c r="A843" s="5" t="s">
        <v>6</v>
      </c>
      <c r="B843" s="5" t="s">
        <v>2208</v>
      </c>
      <c r="C843" s="1" t="s">
        <v>2209</v>
      </c>
      <c r="D843" s="1" t="s">
        <v>2210</v>
      </c>
      <c r="E843" s="7">
        <v>18</v>
      </c>
    </row>
    <row r="844" spans="1:5" x14ac:dyDescent="0.25">
      <c r="A844" s="5" t="s">
        <v>6</v>
      </c>
      <c r="B844" s="5" t="s">
        <v>2211</v>
      </c>
      <c r="C844" s="1" t="s">
        <v>2212</v>
      </c>
      <c r="D844" s="1" t="s">
        <v>2213</v>
      </c>
      <c r="E844" s="7">
        <v>7783.01</v>
      </c>
    </row>
    <row r="845" spans="1:5" x14ac:dyDescent="0.25">
      <c r="A845" s="5" t="s">
        <v>6</v>
      </c>
      <c r="B845" s="5" t="s">
        <v>2214</v>
      </c>
      <c r="C845" s="1" t="s">
        <v>2215</v>
      </c>
      <c r="D845" s="1" t="s">
        <v>2216</v>
      </c>
      <c r="E845" s="7">
        <v>597</v>
      </c>
    </row>
    <row r="846" spans="1:5" x14ac:dyDescent="0.25">
      <c r="A846" s="5" t="s">
        <v>6</v>
      </c>
      <c r="B846" s="5" t="s">
        <v>2217</v>
      </c>
      <c r="C846" s="1" t="s">
        <v>2218</v>
      </c>
      <c r="D846" s="1" t="s">
        <v>2219</v>
      </c>
      <c r="E846" s="7">
        <v>2427</v>
      </c>
    </row>
    <row r="847" spans="1:5" x14ac:dyDescent="0.25">
      <c r="A847" s="5" t="s">
        <v>6</v>
      </c>
      <c r="B847" s="5" t="s">
        <v>2220</v>
      </c>
      <c r="C847" s="1" t="s">
        <v>2221</v>
      </c>
      <c r="D847" s="1" t="s">
        <v>2222</v>
      </c>
      <c r="E847" s="7">
        <v>19821</v>
      </c>
    </row>
    <row r="848" spans="1:5" x14ac:dyDescent="0.25">
      <c r="A848" s="5" t="s">
        <v>6</v>
      </c>
      <c r="B848" s="5" t="s">
        <v>2223</v>
      </c>
      <c r="C848" s="1" t="s">
        <v>2224</v>
      </c>
      <c r="D848" s="1" t="s">
        <v>2225</v>
      </c>
      <c r="E848" s="7">
        <v>8474</v>
      </c>
    </row>
    <row r="849" spans="1:5" x14ac:dyDescent="0.25">
      <c r="A849" s="5" t="s">
        <v>6</v>
      </c>
      <c r="B849" s="5" t="s">
        <v>2226</v>
      </c>
      <c r="C849" s="1" t="s">
        <v>2227</v>
      </c>
      <c r="D849" s="1" t="s">
        <v>2228</v>
      </c>
      <c r="E849" s="7">
        <v>5280</v>
      </c>
    </row>
    <row r="850" spans="1:5" x14ac:dyDescent="0.25">
      <c r="A850" s="5" t="s">
        <v>6</v>
      </c>
      <c r="B850" s="5" t="s">
        <v>2229</v>
      </c>
      <c r="C850" s="1" t="s">
        <v>2230</v>
      </c>
      <c r="D850" s="1" t="s">
        <v>2231</v>
      </c>
      <c r="E850" s="7">
        <v>3248</v>
      </c>
    </row>
    <row r="851" spans="1:5" x14ac:dyDescent="0.25">
      <c r="A851" s="5" t="s">
        <v>6</v>
      </c>
      <c r="B851" s="5" t="s">
        <v>2232</v>
      </c>
      <c r="C851" s="1" t="s">
        <v>2233</v>
      </c>
      <c r="D851" s="1" t="s">
        <v>2234</v>
      </c>
      <c r="E851" s="7">
        <v>2574</v>
      </c>
    </row>
    <row r="852" spans="1:5" x14ac:dyDescent="0.25">
      <c r="A852" s="5" t="s">
        <v>6</v>
      </c>
      <c r="B852" s="5" t="s">
        <v>2235</v>
      </c>
      <c r="C852" s="1" t="s">
        <v>2236</v>
      </c>
      <c r="D852" s="1" t="s">
        <v>2237</v>
      </c>
      <c r="E852" s="7">
        <v>7185</v>
      </c>
    </row>
    <row r="853" spans="1:5" x14ac:dyDescent="0.25">
      <c r="A853" s="5" t="s">
        <v>6</v>
      </c>
      <c r="B853" s="5" t="s">
        <v>2238</v>
      </c>
      <c r="C853" s="1" t="s">
        <v>2239</v>
      </c>
      <c r="D853" s="1" t="s">
        <v>2219</v>
      </c>
      <c r="E853" s="7">
        <v>6792</v>
      </c>
    </row>
    <row r="854" spans="1:5" x14ac:dyDescent="0.25">
      <c r="A854" s="5" t="s">
        <v>6</v>
      </c>
      <c r="B854" s="5" t="s">
        <v>2240</v>
      </c>
      <c r="C854" s="1" t="s">
        <v>2241</v>
      </c>
      <c r="D854" s="1" t="s">
        <v>2242</v>
      </c>
      <c r="E854" s="7">
        <v>576</v>
      </c>
    </row>
    <row r="855" spans="1:5" x14ac:dyDescent="0.25">
      <c r="A855" s="5" t="s">
        <v>6</v>
      </c>
      <c r="B855" s="5" t="s">
        <v>2243</v>
      </c>
      <c r="C855" s="1" t="s">
        <v>2244</v>
      </c>
      <c r="D855" s="1" t="s">
        <v>2245</v>
      </c>
      <c r="E855" s="7">
        <v>18693</v>
      </c>
    </row>
    <row r="856" spans="1:5" x14ac:dyDescent="0.25">
      <c r="A856" s="5" t="s">
        <v>6</v>
      </c>
      <c r="B856" s="5" t="s">
        <v>2246</v>
      </c>
      <c r="C856" s="1" t="s">
        <v>2247</v>
      </c>
      <c r="D856" s="1" t="s">
        <v>2245</v>
      </c>
      <c r="E856" s="7">
        <v>8382</v>
      </c>
    </row>
    <row r="857" spans="1:5" x14ac:dyDescent="0.25">
      <c r="A857" s="5" t="s">
        <v>6</v>
      </c>
      <c r="B857" s="5" t="s">
        <v>2248</v>
      </c>
      <c r="C857" s="1" t="s">
        <v>2249</v>
      </c>
      <c r="D857" s="1" t="s">
        <v>2250</v>
      </c>
      <c r="E857" s="7">
        <v>1699</v>
      </c>
    </row>
    <row r="858" spans="1:5" x14ac:dyDescent="0.25">
      <c r="A858" s="5" t="s">
        <v>6</v>
      </c>
      <c r="B858" s="5" t="s">
        <v>2251</v>
      </c>
      <c r="C858" s="1" t="s">
        <v>2252</v>
      </c>
      <c r="D858" s="1" t="s">
        <v>2245</v>
      </c>
      <c r="E858" s="7">
        <v>13472</v>
      </c>
    </row>
    <row r="859" spans="1:5" x14ac:dyDescent="0.25">
      <c r="A859" s="5" t="s">
        <v>6</v>
      </c>
      <c r="B859" s="5" t="s">
        <v>2253</v>
      </c>
      <c r="C859" s="1" t="s">
        <v>2254</v>
      </c>
      <c r="D859" s="1" t="s">
        <v>2255</v>
      </c>
      <c r="E859" s="7">
        <v>2160</v>
      </c>
    </row>
    <row r="860" spans="1:5" x14ac:dyDescent="0.25">
      <c r="A860" s="5" t="s">
        <v>6</v>
      </c>
      <c r="B860" s="5" t="s">
        <v>2256</v>
      </c>
      <c r="C860" s="1" t="s">
        <v>2257</v>
      </c>
      <c r="D860" s="1" t="s">
        <v>2258</v>
      </c>
      <c r="E860" s="7">
        <v>5956</v>
      </c>
    </row>
    <row r="861" spans="1:5" x14ac:dyDescent="0.25">
      <c r="A861" s="5" t="s">
        <v>6</v>
      </c>
      <c r="B861" s="5" t="s">
        <v>2259</v>
      </c>
      <c r="C861" s="1" t="s">
        <v>2260</v>
      </c>
      <c r="D861" s="1" t="s">
        <v>2260</v>
      </c>
      <c r="E861" s="7">
        <v>4122</v>
      </c>
    </row>
    <row r="862" spans="1:5" x14ac:dyDescent="0.25">
      <c r="A862" s="5" t="s">
        <v>6</v>
      </c>
      <c r="B862" s="5" t="s">
        <v>2261</v>
      </c>
      <c r="C862" s="1" t="s">
        <v>2262</v>
      </c>
      <c r="D862" s="1" t="s">
        <v>2263</v>
      </c>
      <c r="E862" s="7">
        <v>13146</v>
      </c>
    </row>
    <row r="863" spans="1:5" x14ac:dyDescent="0.25">
      <c r="A863" s="5" t="s">
        <v>6</v>
      </c>
      <c r="B863" s="5" t="s">
        <v>2264</v>
      </c>
      <c r="C863" s="1" t="s">
        <v>2265</v>
      </c>
      <c r="D863" s="1" t="s">
        <v>2266</v>
      </c>
      <c r="E863" s="7">
        <v>5038</v>
      </c>
    </row>
    <row r="864" spans="1:5" x14ac:dyDescent="0.25">
      <c r="A864" s="5" t="s">
        <v>6</v>
      </c>
      <c r="B864" s="5" t="s">
        <v>2267</v>
      </c>
      <c r="C864" s="1" t="s">
        <v>2268</v>
      </c>
      <c r="D864" s="1" t="s">
        <v>2269</v>
      </c>
      <c r="E864" s="7">
        <v>406</v>
      </c>
    </row>
    <row r="865" spans="1:5" x14ac:dyDescent="0.25">
      <c r="A865" s="5" t="s">
        <v>6</v>
      </c>
      <c r="B865" s="5" t="s">
        <v>2270</v>
      </c>
      <c r="C865" s="1" t="s">
        <v>2271</v>
      </c>
      <c r="D865" s="1" t="s">
        <v>2269</v>
      </c>
      <c r="E865" s="7">
        <v>485</v>
      </c>
    </row>
    <row r="866" spans="1:5" x14ac:dyDescent="0.25">
      <c r="A866" s="5" t="s">
        <v>6</v>
      </c>
      <c r="B866" s="5" t="s">
        <v>2272</v>
      </c>
      <c r="C866" s="1" t="s">
        <v>2273</v>
      </c>
      <c r="D866" s="1" t="s">
        <v>2269</v>
      </c>
      <c r="E866" s="7">
        <v>1318</v>
      </c>
    </row>
    <row r="867" spans="1:5" x14ac:dyDescent="0.25">
      <c r="A867" s="5" t="s">
        <v>6</v>
      </c>
      <c r="B867" s="5" t="s">
        <v>2274</v>
      </c>
      <c r="C867" s="1" t="s">
        <v>2275</v>
      </c>
      <c r="D867" s="1" t="s">
        <v>2276</v>
      </c>
      <c r="E867" s="7">
        <v>2323</v>
      </c>
    </row>
    <row r="868" spans="1:5" x14ac:dyDescent="0.25">
      <c r="A868" s="5" t="s">
        <v>6</v>
      </c>
      <c r="B868" s="5" t="s">
        <v>2277</v>
      </c>
      <c r="C868" s="1" t="s">
        <v>2278</v>
      </c>
      <c r="D868" s="1" t="s">
        <v>2279</v>
      </c>
      <c r="E868" s="7">
        <v>17164</v>
      </c>
    </row>
    <row r="869" spans="1:5" x14ac:dyDescent="0.25">
      <c r="A869" s="5" t="s">
        <v>6</v>
      </c>
      <c r="B869" s="5" t="s">
        <v>2280</v>
      </c>
      <c r="C869" s="1" t="s">
        <v>2281</v>
      </c>
      <c r="D869" s="1" t="s">
        <v>2279</v>
      </c>
      <c r="E869" s="7">
        <v>10408</v>
      </c>
    </row>
    <row r="870" spans="1:5" x14ac:dyDescent="0.25">
      <c r="A870" s="5" t="s">
        <v>6</v>
      </c>
      <c r="B870" s="5" t="s">
        <v>2282</v>
      </c>
      <c r="C870" s="1" t="s">
        <v>2283</v>
      </c>
      <c r="D870" s="1" t="s">
        <v>2284</v>
      </c>
      <c r="E870" s="7">
        <v>4160</v>
      </c>
    </row>
    <row r="871" spans="1:5" x14ac:dyDescent="0.25">
      <c r="A871" s="5" t="s">
        <v>6</v>
      </c>
      <c r="B871" s="5" t="s">
        <v>2285</v>
      </c>
      <c r="C871" s="1" t="s">
        <v>2286</v>
      </c>
      <c r="D871" s="1" t="s">
        <v>2083</v>
      </c>
      <c r="E871" s="7">
        <v>2901</v>
      </c>
    </row>
    <row r="872" spans="1:5" x14ac:dyDescent="0.25">
      <c r="A872" s="5" t="s">
        <v>6</v>
      </c>
      <c r="B872" s="5" t="s">
        <v>2287</v>
      </c>
      <c r="C872" s="1" t="s">
        <v>2288</v>
      </c>
      <c r="D872" s="1" t="s">
        <v>2289</v>
      </c>
      <c r="E872" s="7">
        <v>5160</v>
      </c>
    </row>
    <row r="873" spans="1:5" x14ac:dyDescent="0.25">
      <c r="A873" s="5" t="s">
        <v>6</v>
      </c>
      <c r="B873" s="5" t="s">
        <v>2290</v>
      </c>
      <c r="C873" s="1" t="s">
        <v>2291</v>
      </c>
      <c r="D873" s="1" t="s">
        <v>2292</v>
      </c>
      <c r="E873" s="7">
        <v>704</v>
      </c>
    </row>
    <row r="874" spans="1:5" x14ac:dyDescent="0.25">
      <c r="A874" s="5" t="s">
        <v>6</v>
      </c>
      <c r="B874" s="5" t="s">
        <v>2293</v>
      </c>
      <c r="C874" s="1" t="s">
        <v>2294</v>
      </c>
      <c r="D874" s="1" t="s">
        <v>2295</v>
      </c>
      <c r="E874" s="7">
        <v>2301</v>
      </c>
    </row>
    <row r="875" spans="1:5" x14ac:dyDescent="0.25">
      <c r="A875" s="5" t="s">
        <v>6</v>
      </c>
      <c r="B875" s="5" t="s">
        <v>2296</v>
      </c>
      <c r="C875" s="1" t="s">
        <v>2297</v>
      </c>
      <c r="D875" s="1" t="s">
        <v>2298</v>
      </c>
      <c r="E875" s="7">
        <v>6906</v>
      </c>
    </row>
    <row r="876" spans="1:5" x14ac:dyDescent="0.25">
      <c r="A876" s="5" t="s">
        <v>6</v>
      </c>
      <c r="B876" s="5" t="s">
        <v>2299</v>
      </c>
      <c r="C876" s="1" t="s">
        <v>2300</v>
      </c>
      <c r="D876" s="1" t="s">
        <v>2301</v>
      </c>
      <c r="E876" s="7">
        <v>5909</v>
      </c>
    </row>
    <row r="877" spans="1:5" x14ac:dyDescent="0.25">
      <c r="A877" s="5" t="s">
        <v>6</v>
      </c>
      <c r="B877" s="5" t="s">
        <v>2302</v>
      </c>
      <c r="C877" s="1" t="s">
        <v>2303</v>
      </c>
      <c r="D877" s="1" t="s">
        <v>2304</v>
      </c>
      <c r="E877" s="7">
        <v>201</v>
      </c>
    </row>
    <row r="878" spans="1:5" x14ac:dyDescent="0.25">
      <c r="A878" s="5" t="s">
        <v>6</v>
      </c>
      <c r="B878" s="5" t="s">
        <v>2305</v>
      </c>
      <c r="C878" s="1" t="s">
        <v>2306</v>
      </c>
      <c r="D878" s="1" t="s">
        <v>2307</v>
      </c>
      <c r="E878" s="7">
        <v>2808</v>
      </c>
    </row>
    <row r="879" spans="1:5" x14ac:dyDescent="0.25">
      <c r="A879" s="5" t="s">
        <v>6</v>
      </c>
      <c r="B879" s="5" t="s">
        <v>2308</v>
      </c>
      <c r="C879" s="1" t="s">
        <v>2309</v>
      </c>
      <c r="D879" s="1" t="s">
        <v>2310</v>
      </c>
      <c r="E879" s="7">
        <v>8236</v>
      </c>
    </row>
    <row r="880" spans="1:5" x14ac:dyDescent="0.25">
      <c r="A880" s="5" t="s">
        <v>6</v>
      </c>
      <c r="B880" s="5" t="s">
        <v>2311</v>
      </c>
      <c r="C880" s="1" t="s">
        <v>2312</v>
      </c>
      <c r="D880" s="1" t="s">
        <v>2310</v>
      </c>
      <c r="E880" s="7">
        <v>10439</v>
      </c>
    </row>
    <row r="881" spans="1:5" x14ac:dyDescent="0.25">
      <c r="A881" s="5" t="s">
        <v>6</v>
      </c>
      <c r="B881" s="5" t="s">
        <v>2313</v>
      </c>
      <c r="C881" s="1" t="s">
        <v>2314</v>
      </c>
      <c r="D881" s="1" t="s">
        <v>2310</v>
      </c>
      <c r="E881" s="7">
        <v>5577</v>
      </c>
    </row>
    <row r="882" spans="1:5" x14ac:dyDescent="0.25">
      <c r="A882" s="5" t="s">
        <v>6</v>
      </c>
      <c r="B882" s="5" t="s">
        <v>2315</v>
      </c>
      <c r="C882" s="1" t="s">
        <v>2316</v>
      </c>
      <c r="D882" s="1" t="s">
        <v>2317</v>
      </c>
      <c r="E882" s="7">
        <v>5856</v>
      </c>
    </row>
    <row r="883" spans="1:5" x14ac:dyDescent="0.25">
      <c r="A883" s="5" t="s">
        <v>6</v>
      </c>
      <c r="B883" s="5" t="s">
        <v>2318</v>
      </c>
      <c r="C883" s="1" t="s">
        <v>2319</v>
      </c>
      <c r="D883" s="1" t="s">
        <v>2310</v>
      </c>
      <c r="E883" s="7">
        <v>9044</v>
      </c>
    </row>
    <row r="884" spans="1:5" x14ac:dyDescent="0.25">
      <c r="A884" s="5" t="s">
        <v>6</v>
      </c>
      <c r="B884" s="5" t="s">
        <v>2320</v>
      </c>
      <c r="C884" s="1" t="s">
        <v>2321</v>
      </c>
      <c r="D884" s="1" t="s">
        <v>2322</v>
      </c>
      <c r="E884" s="7">
        <v>9475</v>
      </c>
    </row>
    <row r="885" spans="1:5" x14ac:dyDescent="0.25">
      <c r="A885" s="5" t="s">
        <v>6</v>
      </c>
      <c r="B885" s="5" t="s">
        <v>2323</v>
      </c>
      <c r="C885" s="1" t="s">
        <v>2324</v>
      </c>
      <c r="D885" s="1" t="s">
        <v>2325</v>
      </c>
      <c r="E885" s="7">
        <v>8154</v>
      </c>
    </row>
    <row r="886" spans="1:5" x14ac:dyDescent="0.25">
      <c r="A886" s="5" t="s">
        <v>6</v>
      </c>
      <c r="B886" s="5" t="s">
        <v>2326</v>
      </c>
      <c r="C886" s="1" t="s">
        <v>2327</v>
      </c>
      <c r="D886" s="1" t="s">
        <v>2328</v>
      </c>
      <c r="E886" s="7">
        <v>8472</v>
      </c>
    </row>
    <row r="887" spans="1:5" x14ac:dyDescent="0.25">
      <c r="A887" s="5" t="s">
        <v>6</v>
      </c>
      <c r="B887" s="5" t="s">
        <v>2329</v>
      </c>
      <c r="C887" s="1" t="s">
        <v>2330</v>
      </c>
      <c r="D887" s="1" t="s">
        <v>2331</v>
      </c>
      <c r="E887" s="7">
        <v>725</v>
      </c>
    </row>
    <row r="888" spans="1:5" x14ac:dyDescent="0.25">
      <c r="A888" s="5" t="s">
        <v>6</v>
      </c>
      <c r="B888" s="5" t="s">
        <v>2332</v>
      </c>
      <c r="C888" s="1" t="s">
        <v>2333</v>
      </c>
      <c r="D888" s="1" t="s">
        <v>2334</v>
      </c>
      <c r="E888" s="7">
        <v>9739</v>
      </c>
    </row>
    <row r="889" spans="1:5" x14ac:dyDescent="0.25">
      <c r="A889" s="5" t="s">
        <v>6</v>
      </c>
      <c r="B889" s="5" t="s">
        <v>2335</v>
      </c>
      <c r="C889" s="1" t="s">
        <v>2336</v>
      </c>
      <c r="D889" s="1" t="s">
        <v>2337</v>
      </c>
      <c r="E889" s="7">
        <v>6363</v>
      </c>
    </row>
    <row r="890" spans="1:5" x14ac:dyDescent="0.25">
      <c r="A890" s="5" t="s">
        <v>6</v>
      </c>
      <c r="B890" s="5" t="s">
        <v>2338</v>
      </c>
      <c r="C890" s="1" t="s">
        <v>2339</v>
      </c>
      <c r="D890" s="1" t="s">
        <v>2340</v>
      </c>
      <c r="E890" s="7">
        <v>19518</v>
      </c>
    </row>
    <row r="891" spans="1:5" x14ac:dyDescent="0.25">
      <c r="A891" s="5" t="s">
        <v>6</v>
      </c>
      <c r="B891" s="5" t="s">
        <v>2341</v>
      </c>
      <c r="C891" s="1" t="s">
        <v>2342</v>
      </c>
      <c r="D891" s="1" t="s">
        <v>2343</v>
      </c>
      <c r="E891" s="7">
        <v>17025</v>
      </c>
    </row>
    <row r="892" spans="1:5" x14ac:dyDescent="0.25">
      <c r="A892" s="5" t="s">
        <v>6</v>
      </c>
      <c r="B892" s="5" t="s">
        <v>2344</v>
      </c>
      <c r="C892" s="1" t="s">
        <v>2345</v>
      </c>
      <c r="D892" s="1" t="s">
        <v>2346</v>
      </c>
      <c r="E892" s="7">
        <v>27916</v>
      </c>
    </row>
    <row r="893" spans="1:5" x14ac:dyDescent="0.25">
      <c r="A893" s="5" t="s">
        <v>6</v>
      </c>
      <c r="B893" s="5" t="s">
        <v>2347</v>
      </c>
      <c r="C893" s="1" t="s">
        <v>2348</v>
      </c>
      <c r="D893" s="1" t="s">
        <v>2349</v>
      </c>
      <c r="E893" s="7">
        <v>21604</v>
      </c>
    </row>
    <row r="894" spans="1:5" x14ac:dyDescent="0.25">
      <c r="A894" s="5" t="s">
        <v>6</v>
      </c>
      <c r="B894" s="5" t="s">
        <v>2350</v>
      </c>
      <c r="C894" s="1" t="s">
        <v>2351</v>
      </c>
      <c r="D894" s="1" t="s">
        <v>2352</v>
      </c>
      <c r="E894" s="7">
        <v>13321</v>
      </c>
    </row>
    <row r="895" spans="1:5" x14ac:dyDescent="0.25">
      <c r="A895" s="5" t="s">
        <v>6</v>
      </c>
      <c r="B895" s="5" t="s">
        <v>2353</v>
      </c>
      <c r="C895" s="1" t="s">
        <v>2354</v>
      </c>
      <c r="D895" s="1" t="s">
        <v>2355</v>
      </c>
      <c r="E895" s="7">
        <v>22840</v>
      </c>
    </row>
    <row r="896" spans="1:5" x14ac:dyDescent="0.25">
      <c r="A896" s="5" t="s">
        <v>6</v>
      </c>
      <c r="B896" s="5" t="s">
        <v>2356</v>
      </c>
      <c r="C896" s="1" t="s">
        <v>2357</v>
      </c>
      <c r="D896" s="1" t="s">
        <v>2358</v>
      </c>
      <c r="E896" s="7">
        <v>161</v>
      </c>
    </row>
    <row r="897" spans="1:5" x14ac:dyDescent="0.25">
      <c r="A897" s="5" t="s">
        <v>6</v>
      </c>
      <c r="B897" s="5" t="s">
        <v>2359</v>
      </c>
      <c r="C897" s="1" t="s">
        <v>2360</v>
      </c>
      <c r="D897" s="1" t="s">
        <v>2361</v>
      </c>
      <c r="E897" s="7">
        <v>1491</v>
      </c>
    </row>
    <row r="898" spans="1:5" x14ac:dyDescent="0.25">
      <c r="A898" s="5" t="s">
        <v>6</v>
      </c>
      <c r="B898" s="5" t="s">
        <v>2362</v>
      </c>
      <c r="C898" s="1" t="s">
        <v>2363</v>
      </c>
      <c r="D898" s="1" t="s">
        <v>2364</v>
      </c>
      <c r="E898" s="7">
        <v>1126</v>
      </c>
    </row>
    <row r="899" spans="1:5" x14ac:dyDescent="0.25">
      <c r="A899" s="5" t="s">
        <v>6</v>
      </c>
      <c r="B899" s="5" t="s">
        <v>2365</v>
      </c>
      <c r="C899" s="1" t="s">
        <v>2366</v>
      </c>
      <c r="D899" s="1" t="s">
        <v>2367</v>
      </c>
      <c r="E899" s="7">
        <v>11637</v>
      </c>
    </row>
    <row r="900" spans="1:5" x14ac:dyDescent="0.25">
      <c r="A900" s="5" t="s">
        <v>6</v>
      </c>
      <c r="B900" s="5" t="s">
        <v>2368</v>
      </c>
      <c r="C900" s="1" t="s">
        <v>2369</v>
      </c>
      <c r="D900" s="1" t="s">
        <v>2370</v>
      </c>
      <c r="E900" s="7">
        <v>8098</v>
      </c>
    </row>
    <row r="901" spans="1:5" x14ac:dyDescent="0.25">
      <c r="A901" s="5" t="s">
        <v>6</v>
      </c>
      <c r="B901" s="5" t="s">
        <v>2371</v>
      </c>
      <c r="C901" s="1" t="s">
        <v>2372</v>
      </c>
      <c r="D901" s="1" t="s">
        <v>2373</v>
      </c>
      <c r="E901" s="7">
        <v>13322</v>
      </c>
    </row>
    <row r="902" spans="1:5" x14ac:dyDescent="0.25">
      <c r="A902" s="5" t="s">
        <v>6</v>
      </c>
      <c r="B902" s="5" t="s">
        <v>2374</v>
      </c>
      <c r="C902" s="1" t="s">
        <v>2375</v>
      </c>
      <c r="D902" s="1" t="s">
        <v>2376</v>
      </c>
      <c r="E902" s="7">
        <v>5126</v>
      </c>
    </row>
    <row r="903" spans="1:5" x14ac:dyDescent="0.25">
      <c r="A903" s="5" t="s">
        <v>6</v>
      </c>
      <c r="B903" s="5" t="s">
        <v>2377</v>
      </c>
      <c r="C903" s="1" t="s">
        <v>2378</v>
      </c>
      <c r="D903" s="1" t="s">
        <v>2379</v>
      </c>
      <c r="E903" s="7">
        <v>39187</v>
      </c>
    </row>
    <row r="904" spans="1:5" x14ac:dyDescent="0.25">
      <c r="A904" s="5" t="s">
        <v>6</v>
      </c>
      <c r="B904" s="5" t="s">
        <v>2380</v>
      </c>
      <c r="C904" s="1" t="s">
        <v>2381</v>
      </c>
      <c r="D904" s="1" t="s">
        <v>2382</v>
      </c>
      <c r="E904" s="7">
        <v>15384</v>
      </c>
    </row>
    <row r="905" spans="1:5" x14ac:dyDescent="0.25">
      <c r="A905" s="5" t="s">
        <v>6</v>
      </c>
      <c r="B905" s="5" t="s">
        <v>2383</v>
      </c>
      <c r="C905" s="1" t="s">
        <v>2384</v>
      </c>
      <c r="D905" s="1" t="s">
        <v>2385</v>
      </c>
      <c r="E905" s="7">
        <v>767</v>
      </c>
    </row>
    <row r="906" spans="1:5" x14ac:dyDescent="0.25">
      <c r="A906" s="5" t="s">
        <v>6</v>
      </c>
      <c r="B906" s="5" t="s">
        <v>2386</v>
      </c>
      <c r="C906" s="1" t="s">
        <v>2387</v>
      </c>
      <c r="D906" s="1" t="s">
        <v>2388</v>
      </c>
      <c r="E906" s="7">
        <v>6626</v>
      </c>
    </row>
    <row r="907" spans="1:5" x14ac:dyDescent="0.25">
      <c r="A907" s="5" t="s">
        <v>6</v>
      </c>
      <c r="B907" s="5" t="s">
        <v>2389</v>
      </c>
      <c r="C907" s="1" t="s">
        <v>2390</v>
      </c>
      <c r="D907" s="1" t="s">
        <v>2391</v>
      </c>
      <c r="E907" s="7">
        <v>10867</v>
      </c>
    </row>
    <row r="908" spans="1:5" x14ac:dyDescent="0.25">
      <c r="A908" s="5" t="s">
        <v>6</v>
      </c>
      <c r="B908" s="5" t="s">
        <v>2392</v>
      </c>
      <c r="C908" s="1" t="s">
        <v>2393</v>
      </c>
      <c r="D908" s="1" t="s">
        <v>2393</v>
      </c>
      <c r="E908" s="7">
        <v>1027</v>
      </c>
    </row>
    <row r="909" spans="1:5" x14ac:dyDescent="0.25">
      <c r="A909" s="5" t="s">
        <v>6</v>
      </c>
      <c r="B909" s="5" t="s">
        <v>2394</v>
      </c>
      <c r="C909" s="1" t="s">
        <v>2395</v>
      </c>
      <c r="D909" s="1" t="s">
        <v>2396</v>
      </c>
      <c r="E909" s="7">
        <v>19426</v>
      </c>
    </row>
    <row r="910" spans="1:5" x14ac:dyDescent="0.25">
      <c r="A910" s="5" t="s">
        <v>6</v>
      </c>
      <c r="B910" s="5" t="s">
        <v>2397</v>
      </c>
      <c r="C910" s="1" t="s">
        <v>2398</v>
      </c>
      <c r="D910" s="1" t="s">
        <v>2399</v>
      </c>
      <c r="E910" s="7">
        <v>176</v>
      </c>
    </row>
    <row r="911" spans="1:5" x14ac:dyDescent="0.25">
      <c r="A911" s="5" t="s">
        <v>6</v>
      </c>
      <c r="B911" s="5" t="s">
        <v>2400</v>
      </c>
      <c r="C911" s="1" t="s">
        <v>2401</v>
      </c>
      <c r="D911" s="1" t="s">
        <v>2399</v>
      </c>
      <c r="E911" s="7">
        <v>210</v>
      </c>
    </row>
    <row r="912" spans="1:5" x14ac:dyDescent="0.25">
      <c r="A912" s="5" t="s">
        <v>6</v>
      </c>
      <c r="B912" s="5" t="s">
        <v>2402</v>
      </c>
      <c r="C912" s="1" t="s">
        <v>2403</v>
      </c>
      <c r="D912" s="1" t="s">
        <v>2399</v>
      </c>
      <c r="E912" s="7">
        <v>210</v>
      </c>
    </row>
    <row r="913" spans="1:5" x14ac:dyDescent="0.25">
      <c r="A913" s="5" t="s">
        <v>6</v>
      </c>
      <c r="B913" s="5" t="s">
        <v>2404</v>
      </c>
      <c r="C913" s="1" t="s">
        <v>2405</v>
      </c>
      <c r="D913" s="1" t="s">
        <v>2406</v>
      </c>
      <c r="E913" s="7">
        <v>17919</v>
      </c>
    </row>
    <row r="914" spans="1:5" x14ac:dyDescent="0.25">
      <c r="A914" s="5" t="s">
        <v>6</v>
      </c>
      <c r="B914" s="5" t="s">
        <v>2407</v>
      </c>
      <c r="C914" s="1" t="s">
        <v>2408</v>
      </c>
      <c r="D914" s="1" t="s">
        <v>2409</v>
      </c>
      <c r="E914" s="7">
        <v>42452.83</v>
      </c>
    </row>
    <row r="915" spans="1:5" x14ac:dyDescent="0.25">
      <c r="A915" s="5" t="s">
        <v>6</v>
      </c>
      <c r="B915" s="5" t="s">
        <v>2410</v>
      </c>
      <c r="C915" s="1" t="s">
        <v>2411</v>
      </c>
      <c r="D915" s="1" t="s">
        <v>2412</v>
      </c>
      <c r="E915" s="7">
        <v>70</v>
      </c>
    </row>
    <row r="916" spans="1:5" x14ac:dyDescent="0.25">
      <c r="A916" s="5" t="s">
        <v>6</v>
      </c>
      <c r="B916" s="5" t="s">
        <v>2413</v>
      </c>
      <c r="C916" s="1" t="s">
        <v>2414</v>
      </c>
      <c r="D916" s="1" t="s">
        <v>2412</v>
      </c>
      <c r="E916" s="7">
        <v>82</v>
      </c>
    </row>
    <row r="917" spans="1:5" x14ac:dyDescent="0.25">
      <c r="A917" s="5" t="s">
        <v>6</v>
      </c>
      <c r="B917" s="5" t="s">
        <v>2415</v>
      </c>
      <c r="C917" s="1" t="s">
        <v>2416</v>
      </c>
      <c r="D917" s="1" t="s">
        <v>2412</v>
      </c>
      <c r="E917" s="7">
        <v>104</v>
      </c>
    </row>
    <row r="918" spans="1:5" x14ac:dyDescent="0.25">
      <c r="A918" s="5" t="s">
        <v>6</v>
      </c>
      <c r="B918" s="5" t="s">
        <v>2417</v>
      </c>
      <c r="C918" s="1" t="s">
        <v>2418</v>
      </c>
      <c r="D918" s="1" t="s">
        <v>2419</v>
      </c>
      <c r="E918" s="7">
        <v>672</v>
      </c>
    </row>
    <row r="919" spans="1:5" x14ac:dyDescent="0.25">
      <c r="A919" s="5" t="s">
        <v>6</v>
      </c>
      <c r="B919" s="5" t="s">
        <v>2420</v>
      </c>
      <c r="C919" s="1" t="s">
        <v>2421</v>
      </c>
      <c r="D919" s="1" t="s">
        <v>2422</v>
      </c>
      <c r="E919" s="7">
        <v>6431</v>
      </c>
    </row>
    <row r="920" spans="1:5" x14ac:dyDescent="0.25">
      <c r="A920" s="5" t="s">
        <v>6</v>
      </c>
      <c r="B920" s="5" t="s">
        <v>2423</v>
      </c>
      <c r="C920" s="1" t="s">
        <v>2424</v>
      </c>
      <c r="D920" s="1" t="s">
        <v>2425</v>
      </c>
      <c r="E920" s="7">
        <v>126</v>
      </c>
    </row>
    <row r="921" spans="1:5" x14ac:dyDescent="0.25">
      <c r="A921" s="5" t="s">
        <v>6</v>
      </c>
      <c r="B921" s="5" t="s">
        <v>2426</v>
      </c>
      <c r="C921" s="1" t="s">
        <v>2427</v>
      </c>
      <c r="D921" s="1" t="s">
        <v>2428</v>
      </c>
      <c r="E921" s="7">
        <v>22253</v>
      </c>
    </row>
    <row r="922" spans="1:5" x14ac:dyDescent="0.25">
      <c r="A922" s="5" t="s">
        <v>6</v>
      </c>
      <c r="B922" s="5" t="s">
        <v>2429</v>
      </c>
      <c r="C922" s="1" t="s">
        <v>2430</v>
      </c>
      <c r="D922" s="1" t="s">
        <v>2431</v>
      </c>
      <c r="E922" s="7">
        <v>25693</v>
      </c>
    </row>
    <row r="923" spans="1:5" x14ac:dyDescent="0.25">
      <c r="A923" s="5" t="s">
        <v>6</v>
      </c>
      <c r="B923" s="5" t="s">
        <v>2432</v>
      </c>
      <c r="C923" s="1" t="s">
        <v>2433</v>
      </c>
      <c r="D923" s="1" t="s">
        <v>2434</v>
      </c>
      <c r="E923" s="7">
        <v>21509.43</v>
      </c>
    </row>
    <row r="924" spans="1:5" x14ac:dyDescent="0.25">
      <c r="A924" s="5" t="s">
        <v>6</v>
      </c>
      <c r="B924" s="5" t="s">
        <v>2435</v>
      </c>
      <c r="C924" s="1" t="s">
        <v>2436</v>
      </c>
      <c r="D924" s="1" t="s">
        <v>2437</v>
      </c>
      <c r="E924" s="7">
        <v>12483</v>
      </c>
    </row>
    <row r="925" spans="1:5" x14ac:dyDescent="0.25">
      <c r="A925" s="5" t="s">
        <v>6</v>
      </c>
      <c r="B925" s="5" t="s">
        <v>2438</v>
      </c>
      <c r="C925" s="1" t="s">
        <v>2439</v>
      </c>
      <c r="D925" s="1" t="s">
        <v>2440</v>
      </c>
      <c r="E925" s="7">
        <v>202</v>
      </c>
    </row>
    <row r="926" spans="1:5" x14ac:dyDescent="0.25">
      <c r="A926" s="5" t="s">
        <v>6</v>
      </c>
      <c r="B926" s="5" t="s">
        <v>2441</v>
      </c>
      <c r="C926" s="1" t="s">
        <v>2442</v>
      </c>
      <c r="D926" s="1" t="s">
        <v>2443</v>
      </c>
      <c r="E926" s="7">
        <v>659</v>
      </c>
    </row>
    <row r="927" spans="1:5" x14ac:dyDescent="0.25">
      <c r="A927" s="5" t="s">
        <v>6</v>
      </c>
      <c r="B927" s="5" t="s">
        <v>2444</v>
      </c>
      <c r="C927" s="1" t="s">
        <v>2445</v>
      </c>
      <c r="D927" s="1" t="s">
        <v>2446</v>
      </c>
      <c r="E927" s="7">
        <v>224</v>
      </c>
    </row>
    <row r="928" spans="1:5" x14ac:dyDescent="0.25">
      <c r="A928" s="5" t="s">
        <v>6</v>
      </c>
      <c r="B928" s="5" t="s">
        <v>2447</v>
      </c>
      <c r="C928" s="1" t="s">
        <v>2448</v>
      </c>
      <c r="D928" s="1" t="s">
        <v>2449</v>
      </c>
      <c r="E928" s="7">
        <v>7785</v>
      </c>
    </row>
    <row r="929" spans="1:5" x14ac:dyDescent="0.25">
      <c r="A929" s="5" t="s">
        <v>6</v>
      </c>
      <c r="B929" s="5" t="s">
        <v>2450</v>
      </c>
      <c r="C929" s="1" t="s">
        <v>2451</v>
      </c>
      <c r="D929" s="1" t="s">
        <v>2452</v>
      </c>
      <c r="E929" s="7">
        <v>259</v>
      </c>
    </row>
    <row r="930" spans="1:5" x14ac:dyDescent="0.25">
      <c r="A930" s="5" t="s">
        <v>6</v>
      </c>
      <c r="B930" s="5" t="s">
        <v>2453</v>
      </c>
      <c r="C930" s="1" t="s">
        <v>2454</v>
      </c>
      <c r="D930" s="1" t="s">
        <v>2455</v>
      </c>
      <c r="E930" s="7">
        <v>517</v>
      </c>
    </row>
    <row r="931" spans="1:5" x14ac:dyDescent="0.25">
      <c r="A931" s="5" t="s">
        <v>6</v>
      </c>
      <c r="B931" s="5" t="s">
        <v>2456</v>
      </c>
      <c r="C931" s="1" t="s">
        <v>2457</v>
      </c>
      <c r="D931" s="1" t="s">
        <v>2458</v>
      </c>
      <c r="E931" s="7">
        <v>16084</v>
      </c>
    </row>
    <row r="932" spans="1:5" x14ac:dyDescent="0.25">
      <c r="A932" s="5" t="s">
        <v>6</v>
      </c>
      <c r="B932" s="5" t="s">
        <v>2459</v>
      </c>
      <c r="C932" s="1" t="s">
        <v>2460</v>
      </c>
      <c r="D932" s="1" t="s">
        <v>2461</v>
      </c>
      <c r="E932" s="7">
        <v>7832</v>
      </c>
    </row>
    <row r="933" spans="1:5" x14ac:dyDescent="0.25">
      <c r="A933" s="5" t="s">
        <v>6</v>
      </c>
      <c r="B933" s="5" t="s">
        <v>2462</v>
      </c>
      <c r="C933" s="1" t="s">
        <v>2463</v>
      </c>
      <c r="D933" s="1" t="s">
        <v>2464</v>
      </c>
      <c r="E933" s="7">
        <v>11002.39</v>
      </c>
    </row>
    <row r="934" spans="1:5" x14ac:dyDescent="0.25">
      <c r="A934" s="5" t="s">
        <v>6</v>
      </c>
      <c r="B934" s="5" t="s">
        <v>2465</v>
      </c>
      <c r="C934" s="1" t="s">
        <v>2466</v>
      </c>
      <c r="D934" s="1" t="s">
        <v>2467</v>
      </c>
      <c r="E934" s="7">
        <v>15184</v>
      </c>
    </row>
    <row r="935" spans="1:5" x14ac:dyDescent="0.25">
      <c r="A935" s="5" t="s">
        <v>6</v>
      </c>
      <c r="B935" s="5" t="s">
        <v>2468</v>
      </c>
      <c r="C935" s="1" t="s">
        <v>2469</v>
      </c>
      <c r="D935" s="1" t="s">
        <v>2470</v>
      </c>
      <c r="E935" s="7">
        <v>9180</v>
      </c>
    </row>
    <row r="936" spans="1:5" x14ac:dyDescent="0.25">
      <c r="A936" s="5" t="s">
        <v>6</v>
      </c>
      <c r="B936" s="5" t="s">
        <v>2471</v>
      </c>
      <c r="C936" s="1" t="s">
        <v>2472</v>
      </c>
      <c r="D936" s="1" t="s">
        <v>2473</v>
      </c>
      <c r="E936" s="7">
        <v>10417</v>
      </c>
    </row>
    <row r="937" spans="1:5" x14ac:dyDescent="0.25">
      <c r="A937" s="5" t="s">
        <v>6</v>
      </c>
      <c r="B937" s="5" t="s">
        <v>2474</v>
      </c>
      <c r="C937" s="1" t="s">
        <v>2475</v>
      </c>
      <c r="D937" s="1" t="s">
        <v>2476</v>
      </c>
      <c r="E937" s="7">
        <v>26304</v>
      </c>
    </row>
    <row r="938" spans="1:5" x14ac:dyDescent="0.25">
      <c r="A938" s="5" t="s">
        <v>6</v>
      </c>
      <c r="B938" s="5" t="s">
        <v>2477</v>
      </c>
      <c r="C938" s="1" t="s">
        <v>2478</v>
      </c>
      <c r="D938" s="1" t="s">
        <v>2479</v>
      </c>
      <c r="E938" s="7">
        <v>270</v>
      </c>
    </row>
    <row r="939" spans="1:5" x14ac:dyDescent="0.25">
      <c r="A939" s="5" t="s">
        <v>6</v>
      </c>
      <c r="B939" s="5" t="s">
        <v>2480</v>
      </c>
      <c r="C939" s="1" t="s">
        <v>2481</v>
      </c>
      <c r="D939" s="1" t="s">
        <v>2482</v>
      </c>
      <c r="E939" s="7">
        <v>1254</v>
      </c>
    </row>
    <row r="940" spans="1:5" x14ac:dyDescent="0.25">
      <c r="A940" s="5" t="s">
        <v>6</v>
      </c>
      <c r="B940" s="5" t="s">
        <v>2483</v>
      </c>
      <c r="C940" s="1" t="s">
        <v>2484</v>
      </c>
      <c r="D940" s="1" t="s">
        <v>2485</v>
      </c>
      <c r="E940" s="7">
        <v>11029</v>
      </c>
    </row>
    <row r="941" spans="1:5" x14ac:dyDescent="0.25">
      <c r="A941" s="5" t="s">
        <v>6</v>
      </c>
      <c r="B941" s="5" t="s">
        <v>2486</v>
      </c>
      <c r="C941" s="1" t="s">
        <v>2487</v>
      </c>
      <c r="D941" s="1" t="s">
        <v>2488</v>
      </c>
      <c r="E941" s="7">
        <v>1724</v>
      </c>
    </row>
    <row r="942" spans="1:5" x14ac:dyDescent="0.25">
      <c r="A942" s="5" t="s">
        <v>6</v>
      </c>
      <c r="B942" s="5" t="s">
        <v>2489</v>
      </c>
      <c r="C942" s="1" t="s">
        <v>2490</v>
      </c>
      <c r="D942" s="1" t="s">
        <v>2491</v>
      </c>
      <c r="E942" s="7">
        <v>4146</v>
      </c>
    </row>
    <row r="943" spans="1:5" x14ac:dyDescent="0.25">
      <c r="A943" s="5" t="s">
        <v>6</v>
      </c>
      <c r="B943" s="5" t="s">
        <v>2492</v>
      </c>
      <c r="C943" s="1" t="s">
        <v>2493</v>
      </c>
      <c r="D943" s="1" t="s">
        <v>2494</v>
      </c>
      <c r="E943" s="7">
        <v>12847</v>
      </c>
    </row>
    <row r="944" spans="1:5" x14ac:dyDescent="0.25">
      <c r="A944" s="5" t="s">
        <v>6</v>
      </c>
      <c r="B944" s="5" t="s">
        <v>2495</v>
      </c>
      <c r="C944" s="1" t="s">
        <v>2496</v>
      </c>
      <c r="D944" s="1" t="s">
        <v>2497</v>
      </c>
      <c r="E944" s="7">
        <v>1734</v>
      </c>
    </row>
    <row r="945" spans="1:5" x14ac:dyDescent="0.25">
      <c r="A945" s="5" t="s">
        <v>6</v>
      </c>
      <c r="B945" s="5" t="s">
        <v>2498</v>
      </c>
      <c r="C945" s="1" t="s">
        <v>2499</v>
      </c>
      <c r="D945" s="1" t="s">
        <v>2500</v>
      </c>
      <c r="E945" s="7">
        <v>2793</v>
      </c>
    </row>
    <row r="946" spans="1:5" x14ac:dyDescent="0.25">
      <c r="A946" s="5" t="s">
        <v>6</v>
      </c>
      <c r="B946" s="5" t="s">
        <v>2501</v>
      </c>
      <c r="C946" s="1" t="s">
        <v>2502</v>
      </c>
      <c r="D946" s="1" t="s">
        <v>2503</v>
      </c>
      <c r="E946" s="7">
        <v>11242</v>
      </c>
    </row>
    <row r="947" spans="1:5" x14ac:dyDescent="0.25">
      <c r="A947" s="5" t="s">
        <v>6</v>
      </c>
      <c r="B947" s="5" t="s">
        <v>2504</v>
      </c>
      <c r="C947" s="1" t="s">
        <v>2505</v>
      </c>
      <c r="D947" s="1" t="s">
        <v>2506</v>
      </c>
      <c r="E947" s="7">
        <v>9753</v>
      </c>
    </row>
    <row r="948" spans="1:5" x14ac:dyDescent="0.25">
      <c r="A948" s="5" t="s">
        <v>6</v>
      </c>
      <c r="B948" s="5" t="s">
        <v>2507</v>
      </c>
      <c r="C948" s="1" t="s">
        <v>2508</v>
      </c>
      <c r="D948" s="1" t="s">
        <v>2509</v>
      </c>
      <c r="E948" s="7">
        <v>6934</v>
      </c>
    </row>
    <row r="949" spans="1:5" x14ac:dyDescent="0.25">
      <c r="A949" s="5" t="s">
        <v>6</v>
      </c>
      <c r="B949" s="5" t="s">
        <v>2510</v>
      </c>
      <c r="C949" s="1" t="s">
        <v>2511</v>
      </c>
      <c r="D949" s="1" t="s">
        <v>2512</v>
      </c>
      <c r="E949" s="7">
        <v>1009</v>
      </c>
    </row>
    <row r="950" spans="1:5" x14ac:dyDescent="0.25">
      <c r="A950" s="5" t="s">
        <v>6</v>
      </c>
      <c r="B950" s="5" t="s">
        <v>2513</v>
      </c>
      <c r="C950" s="1" t="s">
        <v>2514</v>
      </c>
      <c r="D950" s="1" t="s">
        <v>2515</v>
      </c>
      <c r="E950" s="7">
        <v>713</v>
      </c>
    </row>
    <row r="951" spans="1:5" x14ac:dyDescent="0.25">
      <c r="A951" s="5" t="s">
        <v>6</v>
      </c>
      <c r="B951" s="5" t="s">
        <v>2516</v>
      </c>
      <c r="C951" s="1" t="s">
        <v>2517</v>
      </c>
      <c r="D951" s="1" t="s">
        <v>2517</v>
      </c>
      <c r="E951" s="7">
        <v>1590</v>
      </c>
    </row>
    <row r="952" spans="1:5" x14ac:dyDescent="0.25">
      <c r="A952" s="5" t="s">
        <v>6</v>
      </c>
      <c r="B952" s="5" t="s">
        <v>2518</v>
      </c>
      <c r="C952" s="1" t="s">
        <v>2519</v>
      </c>
      <c r="D952" s="1" t="s">
        <v>2519</v>
      </c>
      <c r="E952" s="7">
        <v>849</v>
      </c>
    </row>
    <row r="953" spans="1:5" x14ac:dyDescent="0.25">
      <c r="A953" s="5" t="s">
        <v>6</v>
      </c>
      <c r="B953" s="5" t="s">
        <v>2520</v>
      </c>
      <c r="C953" s="1" t="s">
        <v>2521</v>
      </c>
      <c r="D953" s="1" t="s">
        <v>2522</v>
      </c>
      <c r="E953" s="7">
        <v>302</v>
      </c>
    </row>
    <row r="954" spans="1:5" x14ac:dyDescent="0.25">
      <c r="A954" s="5" t="s">
        <v>6</v>
      </c>
      <c r="B954" s="5" t="s">
        <v>2523</v>
      </c>
      <c r="C954" s="1" t="s">
        <v>2524</v>
      </c>
      <c r="D954" s="1" t="s">
        <v>2525</v>
      </c>
      <c r="E954" s="7">
        <v>161</v>
      </c>
    </row>
    <row r="955" spans="1:5" x14ac:dyDescent="0.25">
      <c r="A955" s="5" t="s">
        <v>6</v>
      </c>
      <c r="B955" s="5" t="s">
        <v>2526</v>
      </c>
      <c r="C955" s="1" t="s">
        <v>2527</v>
      </c>
      <c r="D955" s="1" t="s">
        <v>2528</v>
      </c>
      <c r="E955" s="7">
        <v>494</v>
      </c>
    </row>
    <row r="956" spans="1:5" x14ac:dyDescent="0.25">
      <c r="A956" s="5" t="s">
        <v>6</v>
      </c>
      <c r="B956" s="5" t="s">
        <v>2529</v>
      </c>
      <c r="C956" s="1" t="s">
        <v>2530</v>
      </c>
      <c r="D956" s="1" t="s">
        <v>2531</v>
      </c>
      <c r="E956" s="7">
        <v>2777</v>
      </c>
    </row>
    <row r="957" spans="1:5" x14ac:dyDescent="0.25">
      <c r="A957" s="5" t="s">
        <v>6</v>
      </c>
      <c r="B957" s="5" t="s">
        <v>2532</v>
      </c>
      <c r="C957" s="1" t="s">
        <v>2533</v>
      </c>
      <c r="D957" s="1" t="s">
        <v>2534</v>
      </c>
      <c r="E957" s="7">
        <v>11256</v>
      </c>
    </row>
    <row r="958" spans="1:5" x14ac:dyDescent="0.25">
      <c r="A958" s="5" t="s">
        <v>6</v>
      </c>
      <c r="B958" s="5" t="s">
        <v>2535</v>
      </c>
      <c r="C958" s="1" t="s">
        <v>2536</v>
      </c>
      <c r="D958" s="1" t="s">
        <v>2537</v>
      </c>
      <c r="E958" s="7">
        <v>2568</v>
      </c>
    </row>
    <row r="959" spans="1:5" x14ac:dyDescent="0.25">
      <c r="A959" s="5" t="s">
        <v>6</v>
      </c>
      <c r="B959" s="5" t="s">
        <v>2538</v>
      </c>
      <c r="C959" s="1" t="s">
        <v>2539</v>
      </c>
      <c r="D959" s="1" t="s">
        <v>2539</v>
      </c>
      <c r="E959" s="7">
        <v>1291</v>
      </c>
    </row>
    <row r="960" spans="1:5" x14ac:dyDescent="0.25">
      <c r="A960" s="5" t="s">
        <v>6</v>
      </c>
      <c r="B960" s="5" t="s">
        <v>2540</v>
      </c>
      <c r="C960" s="1" t="s">
        <v>2541</v>
      </c>
      <c r="D960" s="1" t="s">
        <v>2542</v>
      </c>
      <c r="E960" s="7">
        <v>9810</v>
      </c>
    </row>
    <row r="961" spans="1:5" x14ac:dyDescent="0.25">
      <c r="A961" s="5" t="s">
        <v>6</v>
      </c>
      <c r="B961" s="5" t="s">
        <v>2543</v>
      </c>
      <c r="C961" s="1" t="s">
        <v>2544</v>
      </c>
      <c r="D961" s="1" t="s">
        <v>2545</v>
      </c>
      <c r="E961" s="7">
        <v>6127</v>
      </c>
    </row>
    <row r="962" spans="1:5" x14ac:dyDescent="0.25">
      <c r="A962" s="5" t="s">
        <v>6</v>
      </c>
      <c r="B962" s="5" t="s">
        <v>2546</v>
      </c>
      <c r="C962" s="1" t="s">
        <v>2547</v>
      </c>
      <c r="D962" s="1" t="s">
        <v>2548</v>
      </c>
      <c r="E962" s="7">
        <v>6320</v>
      </c>
    </row>
    <row r="963" spans="1:5" x14ac:dyDescent="0.25">
      <c r="A963" s="5" t="s">
        <v>6</v>
      </c>
      <c r="B963" s="5" t="s">
        <v>2549</v>
      </c>
      <c r="C963" s="1" t="s">
        <v>2550</v>
      </c>
      <c r="D963" s="1" t="s">
        <v>2551</v>
      </c>
      <c r="E963" s="7">
        <v>10598</v>
      </c>
    </row>
    <row r="964" spans="1:5" x14ac:dyDescent="0.25">
      <c r="A964" s="5" t="s">
        <v>6</v>
      </c>
      <c r="B964" s="5" t="s">
        <v>2552</v>
      </c>
      <c r="C964" s="1" t="s">
        <v>2553</v>
      </c>
      <c r="D964" s="1" t="s">
        <v>2554</v>
      </c>
      <c r="E964" s="7">
        <v>3612</v>
      </c>
    </row>
    <row r="965" spans="1:5" x14ac:dyDescent="0.25">
      <c r="A965" s="5" t="s">
        <v>6</v>
      </c>
      <c r="B965" s="5" t="s">
        <v>2555</v>
      </c>
      <c r="C965" s="1" t="s">
        <v>2556</v>
      </c>
      <c r="D965" s="1" t="s">
        <v>2557</v>
      </c>
      <c r="E965" s="7">
        <v>13492</v>
      </c>
    </row>
    <row r="966" spans="1:5" x14ac:dyDescent="0.25">
      <c r="A966" s="5" t="s">
        <v>6</v>
      </c>
      <c r="B966" s="5" t="s">
        <v>2558</v>
      </c>
      <c r="C966" s="1" t="s">
        <v>2559</v>
      </c>
      <c r="D966" s="1" t="s">
        <v>2560</v>
      </c>
      <c r="E966" s="7">
        <v>315</v>
      </c>
    </row>
    <row r="967" spans="1:5" x14ac:dyDescent="0.25">
      <c r="A967" s="5" t="s">
        <v>6</v>
      </c>
      <c r="B967" s="5" t="s">
        <v>2561</v>
      </c>
      <c r="C967" s="1" t="s">
        <v>2562</v>
      </c>
      <c r="D967" s="1" t="s">
        <v>2562</v>
      </c>
      <c r="E967" s="7">
        <v>1005</v>
      </c>
    </row>
    <row r="968" spans="1:5" x14ac:dyDescent="0.25">
      <c r="A968" s="5" t="s">
        <v>6</v>
      </c>
      <c r="B968" s="5" t="s">
        <v>2563</v>
      </c>
      <c r="C968" s="1" t="s">
        <v>2564</v>
      </c>
      <c r="D968" s="1" t="s">
        <v>2564</v>
      </c>
      <c r="E968" s="7">
        <v>956</v>
      </c>
    </row>
    <row r="969" spans="1:5" x14ac:dyDescent="0.25">
      <c r="A969" s="5" t="s">
        <v>6</v>
      </c>
      <c r="B969" s="5" t="s">
        <v>2565</v>
      </c>
      <c r="C969" s="1" t="s">
        <v>2566</v>
      </c>
      <c r="D969" s="1" t="s">
        <v>2566</v>
      </c>
      <c r="E969" s="7">
        <v>956</v>
      </c>
    </row>
    <row r="970" spans="1:5" x14ac:dyDescent="0.25">
      <c r="A970" s="5" t="s">
        <v>6</v>
      </c>
      <c r="B970" s="5" t="s">
        <v>2567</v>
      </c>
      <c r="C970" s="1" t="s">
        <v>2568</v>
      </c>
      <c r="D970" s="1" t="s">
        <v>2569</v>
      </c>
      <c r="E970" s="7">
        <v>1881</v>
      </c>
    </row>
    <row r="971" spans="1:5" x14ac:dyDescent="0.25">
      <c r="A971" s="5" t="s">
        <v>6</v>
      </c>
      <c r="B971" s="5" t="s">
        <v>2570</v>
      </c>
      <c r="C971" s="1" t="s">
        <v>2571</v>
      </c>
      <c r="D971" s="1" t="s">
        <v>2572</v>
      </c>
      <c r="E971" s="7">
        <v>356</v>
      </c>
    </row>
    <row r="972" spans="1:5" x14ac:dyDescent="0.25">
      <c r="A972" s="5" t="s">
        <v>6</v>
      </c>
      <c r="B972" s="5" t="s">
        <v>2573</v>
      </c>
      <c r="C972" s="1" t="s">
        <v>2574</v>
      </c>
      <c r="D972" s="1" t="s">
        <v>2574</v>
      </c>
      <c r="E972" s="7">
        <v>651</v>
      </c>
    </row>
    <row r="973" spans="1:5" x14ac:dyDescent="0.25">
      <c r="A973" s="5" t="s">
        <v>6</v>
      </c>
      <c r="B973" s="5" t="s">
        <v>2575</v>
      </c>
      <c r="C973" s="1" t="s">
        <v>2576</v>
      </c>
      <c r="D973" s="1" t="s">
        <v>2577</v>
      </c>
      <c r="E973" s="7">
        <v>278</v>
      </c>
    </row>
    <row r="974" spans="1:5" x14ac:dyDescent="0.25">
      <c r="A974" s="5" t="s">
        <v>6</v>
      </c>
      <c r="B974" s="5" t="s">
        <v>2578</v>
      </c>
      <c r="C974" s="1" t="s">
        <v>2579</v>
      </c>
      <c r="D974" s="1" t="s">
        <v>2577</v>
      </c>
      <c r="E974" s="7">
        <v>278</v>
      </c>
    </row>
    <row r="975" spans="1:5" x14ac:dyDescent="0.25">
      <c r="A975" s="5" t="s">
        <v>6</v>
      </c>
      <c r="B975" s="5" t="s">
        <v>2580</v>
      </c>
      <c r="C975" s="1" t="s">
        <v>2581</v>
      </c>
      <c r="D975" s="1" t="s">
        <v>2582</v>
      </c>
      <c r="E975" s="7">
        <v>878</v>
      </c>
    </row>
    <row r="976" spans="1:5" x14ac:dyDescent="0.25">
      <c r="A976" s="5" t="s">
        <v>6</v>
      </c>
      <c r="B976" s="5" t="s">
        <v>2583</v>
      </c>
      <c r="C976" s="1" t="s">
        <v>2584</v>
      </c>
      <c r="D976" s="1" t="s">
        <v>2585</v>
      </c>
      <c r="E976" s="7">
        <v>2438</v>
      </c>
    </row>
    <row r="977" spans="1:5" x14ac:dyDescent="0.25">
      <c r="A977" s="5" t="s">
        <v>6</v>
      </c>
      <c r="B977" s="5" t="s">
        <v>2586</v>
      </c>
      <c r="C977" s="1" t="s">
        <v>2587</v>
      </c>
      <c r="D977" s="1" t="s">
        <v>2588</v>
      </c>
      <c r="E977" s="7">
        <v>1881</v>
      </c>
    </row>
    <row r="978" spans="1:5" x14ac:dyDescent="0.25">
      <c r="A978" s="5" t="s">
        <v>6</v>
      </c>
      <c r="B978" s="5" t="s">
        <v>2589</v>
      </c>
      <c r="C978" s="1" t="s">
        <v>2590</v>
      </c>
      <c r="D978" s="1" t="s">
        <v>2591</v>
      </c>
      <c r="E978" s="7">
        <v>279</v>
      </c>
    </row>
    <row r="979" spans="1:5" x14ac:dyDescent="0.25">
      <c r="A979" s="5" t="s">
        <v>6</v>
      </c>
      <c r="B979" s="5" t="s">
        <v>2592</v>
      </c>
      <c r="C979" s="1" t="s">
        <v>2593</v>
      </c>
      <c r="D979" s="1" t="s">
        <v>2593</v>
      </c>
      <c r="E979" s="7">
        <v>836</v>
      </c>
    </row>
    <row r="980" spans="1:5" x14ac:dyDescent="0.25">
      <c r="A980" s="5" t="s">
        <v>6</v>
      </c>
      <c r="B980" s="5" t="s">
        <v>2594</v>
      </c>
      <c r="C980" s="1" t="s">
        <v>2595</v>
      </c>
      <c r="D980" s="1" t="s">
        <v>2595</v>
      </c>
      <c r="E980" s="7">
        <v>531</v>
      </c>
    </row>
    <row r="981" spans="1:5" x14ac:dyDescent="0.25">
      <c r="A981" s="5" t="s">
        <v>6</v>
      </c>
      <c r="B981" s="5" t="s">
        <v>2596</v>
      </c>
      <c r="C981" s="1" t="s">
        <v>2597</v>
      </c>
      <c r="D981" s="1" t="s">
        <v>2598</v>
      </c>
      <c r="E981" s="7">
        <v>166</v>
      </c>
    </row>
    <row r="982" spans="1:5" x14ac:dyDescent="0.25">
      <c r="A982" s="5" t="s">
        <v>6</v>
      </c>
      <c r="B982" s="5" t="s">
        <v>2599</v>
      </c>
      <c r="C982" s="1" t="s">
        <v>2600</v>
      </c>
      <c r="D982" s="1" t="s">
        <v>2598</v>
      </c>
      <c r="E982" s="7">
        <v>110</v>
      </c>
    </row>
    <row r="983" spans="1:5" x14ac:dyDescent="0.25">
      <c r="A983" s="5" t="s">
        <v>6</v>
      </c>
      <c r="B983" s="5" t="s">
        <v>2601</v>
      </c>
      <c r="C983" s="1" t="s">
        <v>2602</v>
      </c>
      <c r="D983" s="1" t="s">
        <v>2603</v>
      </c>
      <c r="E983" s="7">
        <v>215</v>
      </c>
    </row>
    <row r="984" spans="1:5" x14ac:dyDescent="0.25">
      <c r="A984" s="5" t="s">
        <v>6</v>
      </c>
      <c r="B984" s="5" t="s">
        <v>2604</v>
      </c>
      <c r="C984" s="1" t="s">
        <v>2605</v>
      </c>
      <c r="D984" s="1" t="s">
        <v>2606</v>
      </c>
      <c r="E984" s="7">
        <v>224</v>
      </c>
    </row>
    <row r="985" spans="1:5" x14ac:dyDescent="0.25">
      <c r="A985" s="5" t="s">
        <v>6</v>
      </c>
      <c r="B985" s="5" t="s">
        <v>2607</v>
      </c>
      <c r="C985" s="1" t="s">
        <v>2608</v>
      </c>
      <c r="D985" s="1" t="s">
        <v>2609</v>
      </c>
      <c r="E985" s="7">
        <v>66</v>
      </c>
    </row>
    <row r="986" spans="1:5" x14ac:dyDescent="0.25">
      <c r="A986" s="5" t="s">
        <v>6</v>
      </c>
      <c r="B986" s="5" t="s">
        <v>2610</v>
      </c>
      <c r="C986" s="1" t="s">
        <v>2611</v>
      </c>
      <c r="D986" s="1" t="s">
        <v>2612</v>
      </c>
      <c r="E986" s="7">
        <v>393</v>
      </c>
    </row>
    <row r="987" spans="1:5" x14ac:dyDescent="0.25">
      <c r="A987" s="5" t="s">
        <v>6</v>
      </c>
      <c r="B987" s="5" t="s">
        <v>2613</v>
      </c>
      <c r="C987" s="1" t="s">
        <v>2614</v>
      </c>
      <c r="D987" s="1" t="s">
        <v>2615</v>
      </c>
      <c r="E987" s="7">
        <v>65</v>
      </c>
    </row>
    <row r="988" spans="1:5" x14ac:dyDescent="0.25">
      <c r="A988" s="5" t="s">
        <v>6</v>
      </c>
      <c r="B988" s="5" t="s">
        <v>2616</v>
      </c>
      <c r="C988" s="1" t="s">
        <v>2617</v>
      </c>
      <c r="D988" s="1" t="s">
        <v>2577</v>
      </c>
      <c r="E988" s="7">
        <v>988</v>
      </c>
    </row>
    <row r="989" spans="1:5" x14ac:dyDescent="0.25">
      <c r="A989" s="5" t="s">
        <v>6</v>
      </c>
      <c r="B989" s="5" t="s">
        <v>2618</v>
      </c>
      <c r="C989" s="1" t="s">
        <v>2619</v>
      </c>
      <c r="D989" s="1" t="s">
        <v>2620</v>
      </c>
      <c r="E989" s="7">
        <v>415</v>
      </c>
    </row>
    <row r="990" spans="1:5" x14ac:dyDescent="0.25">
      <c r="A990" s="5" t="s">
        <v>6</v>
      </c>
      <c r="B990" s="5" t="s">
        <v>2621</v>
      </c>
      <c r="C990" s="1" t="s">
        <v>2622</v>
      </c>
      <c r="D990" s="1" t="s">
        <v>2577</v>
      </c>
      <c r="E990" s="7">
        <v>819</v>
      </c>
    </row>
    <row r="991" spans="1:5" x14ac:dyDescent="0.25">
      <c r="A991" s="5" t="s">
        <v>6</v>
      </c>
      <c r="B991" s="5" t="s">
        <v>2623</v>
      </c>
      <c r="C991" s="1" t="s">
        <v>2624</v>
      </c>
      <c r="D991" s="1" t="s">
        <v>2625</v>
      </c>
      <c r="E991" s="7">
        <v>227</v>
      </c>
    </row>
    <row r="992" spans="1:5" x14ac:dyDescent="0.25">
      <c r="A992" s="5" t="s">
        <v>6</v>
      </c>
      <c r="B992" s="5" t="s">
        <v>2626</v>
      </c>
      <c r="C992" s="1" t="s">
        <v>2627</v>
      </c>
      <c r="D992" s="1" t="s">
        <v>2627</v>
      </c>
      <c r="E992" s="7">
        <v>76</v>
      </c>
    </row>
    <row r="993" spans="1:5" x14ac:dyDescent="0.25">
      <c r="A993" s="5" t="s">
        <v>6</v>
      </c>
      <c r="B993" s="5" t="s">
        <v>2628</v>
      </c>
      <c r="C993" s="1" t="s">
        <v>2629</v>
      </c>
      <c r="D993" s="1" t="s">
        <v>2630</v>
      </c>
      <c r="E993" s="7">
        <v>81</v>
      </c>
    </row>
    <row r="994" spans="1:5" x14ac:dyDescent="0.25">
      <c r="A994" s="5" t="s">
        <v>6</v>
      </c>
      <c r="B994" s="5" t="s">
        <v>2631</v>
      </c>
      <c r="C994" s="1" t="s">
        <v>2632</v>
      </c>
      <c r="D994" s="1" t="s">
        <v>2577</v>
      </c>
      <c r="E994" s="7">
        <v>903</v>
      </c>
    </row>
    <row r="995" spans="1:5" x14ac:dyDescent="0.25">
      <c r="A995" s="5" t="s">
        <v>6</v>
      </c>
      <c r="B995" s="5" t="s">
        <v>2633</v>
      </c>
      <c r="C995" s="1" t="s">
        <v>2634</v>
      </c>
      <c r="D995" s="1" t="s">
        <v>2577</v>
      </c>
      <c r="E995" s="7">
        <v>706</v>
      </c>
    </row>
    <row r="996" spans="1:5" x14ac:dyDescent="0.25">
      <c r="A996" s="5" t="s">
        <v>6</v>
      </c>
      <c r="B996" s="5" t="s">
        <v>2635</v>
      </c>
      <c r="C996" s="1" t="s">
        <v>2636</v>
      </c>
      <c r="D996" s="1" t="s">
        <v>2637</v>
      </c>
      <c r="E996" s="7">
        <v>384</v>
      </c>
    </row>
    <row r="997" spans="1:5" x14ac:dyDescent="0.25">
      <c r="A997" s="5" t="s">
        <v>6</v>
      </c>
      <c r="B997" s="5" t="s">
        <v>2638</v>
      </c>
      <c r="C997" s="1" t="s">
        <v>2639</v>
      </c>
      <c r="D997" s="1" t="s">
        <v>2639</v>
      </c>
      <c r="E997" s="7">
        <v>309</v>
      </c>
    </row>
    <row r="998" spans="1:5" x14ac:dyDescent="0.25">
      <c r="A998" s="5" t="s">
        <v>6</v>
      </c>
      <c r="B998" s="5" t="s">
        <v>2640</v>
      </c>
      <c r="C998" s="1" t="s">
        <v>2641</v>
      </c>
      <c r="D998" s="1" t="s">
        <v>2641</v>
      </c>
      <c r="E998" s="7">
        <v>309</v>
      </c>
    </row>
    <row r="999" spans="1:5" x14ac:dyDescent="0.25">
      <c r="A999" s="5" t="s">
        <v>6</v>
      </c>
      <c r="B999" s="5" t="s">
        <v>2642</v>
      </c>
      <c r="C999" s="1" t="s">
        <v>2643</v>
      </c>
      <c r="D999" s="1" t="s">
        <v>2643</v>
      </c>
      <c r="E999" s="7">
        <v>309</v>
      </c>
    </row>
    <row r="1000" spans="1:5" x14ac:dyDescent="0.25">
      <c r="A1000" s="5" t="s">
        <v>6</v>
      </c>
      <c r="B1000" s="5" t="s">
        <v>2644</v>
      </c>
      <c r="C1000" s="1" t="s">
        <v>2645</v>
      </c>
      <c r="D1000" s="1" t="s">
        <v>2645</v>
      </c>
      <c r="E1000" s="7">
        <v>442</v>
      </c>
    </row>
    <row r="1001" spans="1:5" x14ac:dyDescent="0.25">
      <c r="A1001" s="5" t="s">
        <v>6</v>
      </c>
      <c r="B1001" s="5" t="s">
        <v>2646</v>
      </c>
      <c r="C1001" s="1" t="s">
        <v>2647</v>
      </c>
      <c r="D1001" s="1" t="s">
        <v>2647</v>
      </c>
      <c r="E1001" s="7">
        <v>577</v>
      </c>
    </row>
    <row r="1002" spans="1:5" x14ac:dyDescent="0.25">
      <c r="A1002" s="5" t="s">
        <v>6</v>
      </c>
      <c r="B1002" s="5" t="s">
        <v>2648</v>
      </c>
      <c r="C1002" s="1" t="s">
        <v>2649</v>
      </c>
      <c r="D1002" s="1" t="s">
        <v>2649</v>
      </c>
      <c r="E1002" s="7">
        <v>342</v>
      </c>
    </row>
    <row r="1003" spans="1:5" x14ac:dyDescent="0.25">
      <c r="A1003" s="5" t="s">
        <v>6</v>
      </c>
      <c r="B1003" s="5" t="s">
        <v>2650</v>
      </c>
      <c r="C1003" s="1" t="s">
        <v>2651</v>
      </c>
      <c r="D1003" s="1" t="s">
        <v>2651</v>
      </c>
      <c r="E1003" s="7">
        <v>315</v>
      </c>
    </row>
    <row r="1004" spans="1:5" x14ac:dyDescent="0.25">
      <c r="A1004" s="5" t="s">
        <v>6</v>
      </c>
      <c r="B1004" s="5" t="s">
        <v>2652</v>
      </c>
      <c r="C1004" s="1" t="s">
        <v>2653</v>
      </c>
      <c r="D1004" s="1" t="s">
        <v>2653</v>
      </c>
      <c r="E1004" s="7">
        <v>318</v>
      </c>
    </row>
    <row r="1005" spans="1:5" x14ac:dyDescent="0.25">
      <c r="A1005" s="5" t="s">
        <v>6</v>
      </c>
      <c r="B1005" s="5" t="s">
        <v>2654</v>
      </c>
      <c r="C1005" s="1" t="s">
        <v>2655</v>
      </c>
      <c r="D1005" s="1" t="s">
        <v>2577</v>
      </c>
      <c r="E1005" s="7">
        <v>278</v>
      </c>
    </row>
    <row r="1006" spans="1:5" x14ac:dyDescent="0.25">
      <c r="A1006" s="5" t="s">
        <v>6</v>
      </c>
      <c r="B1006" s="5" t="s">
        <v>2656</v>
      </c>
      <c r="C1006" s="1" t="s">
        <v>2657</v>
      </c>
      <c r="D1006" s="1" t="s">
        <v>2658</v>
      </c>
      <c r="E1006" s="7">
        <v>59</v>
      </c>
    </row>
    <row r="1007" spans="1:5" x14ac:dyDescent="0.25">
      <c r="A1007" s="5" t="s">
        <v>6</v>
      </c>
      <c r="B1007" s="5" t="s">
        <v>2659</v>
      </c>
      <c r="C1007" s="1" t="s">
        <v>2660</v>
      </c>
      <c r="D1007" s="1" t="s">
        <v>2661</v>
      </c>
      <c r="E1007" s="7">
        <v>77</v>
      </c>
    </row>
    <row r="1008" spans="1:5" x14ac:dyDescent="0.25">
      <c r="A1008" s="5" t="s">
        <v>6</v>
      </c>
      <c r="B1008" s="5" t="s">
        <v>2662</v>
      </c>
      <c r="C1008" s="1" t="s">
        <v>2663</v>
      </c>
      <c r="D1008" s="1" t="s">
        <v>2664</v>
      </c>
      <c r="E1008" s="7">
        <v>238</v>
      </c>
    </row>
    <row r="1009" spans="1:5" x14ac:dyDescent="0.25">
      <c r="A1009" s="5" t="s">
        <v>6</v>
      </c>
      <c r="B1009" s="5" t="s">
        <v>2665</v>
      </c>
      <c r="C1009" s="1" t="s">
        <v>2666</v>
      </c>
      <c r="D1009" s="1" t="s">
        <v>2667</v>
      </c>
      <c r="E1009" s="7">
        <v>255</v>
      </c>
    </row>
    <row r="1010" spans="1:5" x14ac:dyDescent="0.25">
      <c r="A1010" s="5" t="s">
        <v>6</v>
      </c>
      <c r="B1010" s="5" t="s">
        <v>2668</v>
      </c>
      <c r="C1010" s="1" t="s">
        <v>2669</v>
      </c>
      <c r="D1010" s="1" t="s">
        <v>2670</v>
      </c>
      <c r="E1010" s="7">
        <v>211</v>
      </c>
    </row>
    <row r="1011" spans="1:5" x14ac:dyDescent="0.25">
      <c r="A1011" s="5" t="s">
        <v>6</v>
      </c>
      <c r="B1011" s="5" t="s">
        <v>2671</v>
      </c>
      <c r="C1011" s="1" t="s">
        <v>2672</v>
      </c>
      <c r="D1011" s="1" t="s">
        <v>2672</v>
      </c>
      <c r="E1011" s="7">
        <v>63</v>
      </c>
    </row>
    <row r="1012" spans="1:5" x14ac:dyDescent="0.25">
      <c r="A1012" s="5" t="s">
        <v>6</v>
      </c>
      <c r="B1012" s="5" t="s">
        <v>2673</v>
      </c>
      <c r="C1012" s="1" t="s">
        <v>2674</v>
      </c>
      <c r="D1012" s="1" t="s">
        <v>2674</v>
      </c>
      <c r="E1012" s="7">
        <v>296</v>
      </c>
    </row>
    <row r="1013" spans="1:5" x14ac:dyDescent="0.25">
      <c r="A1013" s="5" t="s">
        <v>6</v>
      </c>
      <c r="B1013" s="5" t="s">
        <v>2675</v>
      </c>
      <c r="C1013" s="1" t="s">
        <v>2676</v>
      </c>
      <c r="D1013" s="1" t="s">
        <v>2677</v>
      </c>
      <c r="E1013" s="7">
        <v>326</v>
      </c>
    </row>
    <row r="1014" spans="1:5" x14ac:dyDescent="0.25">
      <c r="A1014" s="5" t="s">
        <v>6</v>
      </c>
      <c r="B1014" s="5" t="s">
        <v>2678</v>
      </c>
      <c r="C1014" s="1" t="s">
        <v>2679</v>
      </c>
      <c r="D1014" s="1" t="s">
        <v>2677</v>
      </c>
      <c r="E1014" s="7">
        <v>278</v>
      </c>
    </row>
    <row r="1015" spans="1:5" x14ac:dyDescent="0.25">
      <c r="A1015" s="5" t="s">
        <v>6</v>
      </c>
      <c r="B1015" s="5" t="s">
        <v>2680</v>
      </c>
      <c r="C1015" s="1" t="s">
        <v>2681</v>
      </c>
      <c r="D1015" s="1" t="s">
        <v>2681</v>
      </c>
      <c r="E1015" s="7">
        <v>578</v>
      </c>
    </row>
    <row r="1016" spans="1:5" x14ac:dyDescent="0.25">
      <c r="A1016" s="5" t="s">
        <v>6</v>
      </c>
      <c r="B1016" s="5" t="s">
        <v>2682</v>
      </c>
      <c r="C1016" s="1" t="s">
        <v>2683</v>
      </c>
      <c r="D1016" s="1" t="s">
        <v>2683</v>
      </c>
      <c r="E1016" s="7">
        <v>282</v>
      </c>
    </row>
    <row r="1017" spans="1:5" x14ac:dyDescent="0.25">
      <c r="A1017" s="5" t="s">
        <v>6</v>
      </c>
      <c r="B1017" s="5" t="s">
        <v>2684</v>
      </c>
      <c r="C1017" s="1" t="s">
        <v>2685</v>
      </c>
      <c r="D1017" s="1" t="s">
        <v>2685</v>
      </c>
      <c r="E1017" s="7">
        <v>214</v>
      </c>
    </row>
    <row r="1018" spans="1:5" x14ac:dyDescent="0.25">
      <c r="A1018" s="5" t="s">
        <v>6</v>
      </c>
      <c r="B1018" s="5" t="s">
        <v>2686</v>
      </c>
      <c r="C1018" s="1" t="s">
        <v>2687</v>
      </c>
      <c r="D1018" s="1" t="s">
        <v>2688</v>
      </c>
      <c r="E1018" s="7">
        <v>230</v>
      </c>
    </row>
    <row r="1019" spans="1:5" x14ac:dyDescent="0.25">
      <c r="A1019" s="5" t="s">
        <v>6</v>
      </c>
      <c r="B1019" s="5" t="s">
        <v>2689</v>
      </c>
      <c r="C1019" s="1" t="s">
        <v>2690</v>
      </c>
      <c r="D1019" s="1" t="s">
        <v>2691</v>
      </c>
      <c r="E1019" s="7">
        <v>216</v>
      </c>
    </row>
    <row r="1020" spans="1:5" x14ac:dyDescent="0.25">
      <c r="A1020" s="5" t="s">
        <v>6</v>
      </c>
      <c r="B1020" s="5" t="s">
        <v>2692</v>
      </c>
      <c r="C1020" s="1" t="s">
        <v>2693</v>
      </c>
      <c r="D1020" s="1" t="s">
        <v>2693</v>
      </c>
      <c r="E1020" s="7">
        <v>230</v>
      </c>
    </row>
    <row r="1021" spans="1:5" x14ac:dyDescent="0.25">
      <c r="A1021" s="5" t="s">
        <v>6</v>
      </c>
      <c r="B1021" s="5" t="s">
        <v>2694</v>
      </c>
      <c r="C1021" s="1" t="s">
        <v>2695</v>
      </c>
      <c r="D1021" s="1" t="s">
        <v>2696</v>
      </c>
      <c r="E1021" s="7">
        <v>52</v>
      </c>
    </row>
    <row r="1022" spans="1:5" x14ac:dyDescent="0.25">
      <c r="A1022" s="5" t="s">
        <v>6</v>
      </c>
      <c r="B1022" s="5" t="s">
        <v>2697</v>
      </c>
      <c r="C1022" s="1" t="s">
        <v>2698</v>
      </c>
      <c r="D1022" s="1" t="s">
        <v>2699</v>
      </c>
      <c r="E1022" s="7">
        <v>240</v>
      </c>
    </row>
    <row r="1023" spans="1:5" x14ac:dyDescent="0.25">
      <c r="A1023" s="5" t="s">
        <v>6</v>
      </c>
      <c r="B1023" s="5" t="s">
        <v>2700</v>
      </c>
      <c r="C1023" s="1" t="s">
        <v>2701</v>
      </c>
      <c r="D1023" s="1" t="s">
        <v>2702</v>
      </c>
      <c r="E1023" s="7">
        <v>653</v>
      </c>
    </row>
    <row r="1024" spans="1:5" x14ac:dyDescent="0.25">
      <c r="A1024" s="5" t="s">
        <v>6</v>
      </c>
      <c r="B1024" s="5" t="s">
        <v>2703</v>
      </c>
      <c r="C1024" s="1" t="s">
        <v>2704</v>
      </c>
      <c r="D1024" s="1" t="s">
        <v>2705</v>
      </c>
      <c r="E1024" s="7">
        <v>1418</v>
      </c>
    </row>
    <row r="1025" spans="1:5" x14ac:dyDescent="0.25">
      <c r="A1025" s="5" t="s">
        <v>6</v>
      </c>
      <c r="B1025" s="5" t="s">
        <v>2706</v>
      </c>
      <c r="C1025" s="1" t="s">
        <v>2707</v>
      </c>
      <c r="D1025" s="1" t="s">
        <v>2577</v>
      </c>
      <c r="E1025" s="7">
        <v>278</v>
      </c>
    </row>
    <row r="1026" spans="1:5" x14ac:dyDescent="0.25">
      <c r="A1026" s="5" t="s">
        <v>6</v>
      </c>
      <c r="B1026" s="5" t="s">
        <v>2708</v>
      </c>
      <c r="C1026" s="1" t="s">
        <v>2709</v>
      </c>
      <c r="D1026" s="1" t="s">
        <v>2710</v>
      </c>
      <c r="E1026" s="7">
        <v>284</v>
      </c>
    </row>
    <row r="1027" spans="1:5" x14ac:dyDescent="0.25">
      <c r="A1027" s="5" t="s">
        <v>6</v>
      </c>
      <c r="B1027" s="5" t="s">
        <v>2711</v>
      </c>
      <c r="C1027" s="1" t="s">
        <v>2712</v>
      </c>
      <c r="D1027" s="1" t="s">
        <v>2713</v>
      </c>
      <c r="E1027" s="7">
        <v>228</v>
      </c>
    </row>
    <row r="1028" spans="1:5" x14ac:dyDescent="0.25">
      <c r="A1028" s="5" t="s">
        <v>6</v>
      </c>
      <c r="B1028" s="5" t="s">
        <v>2714</v>
      </c>
      <c r="C1028" s="1" t="s">
        <v>2715</v>
      </c>
      <c r="D1028" s="1" t="s">
        <v>2713</v>
      </c>
      <c r="E1028" s="7">
        <v>215</v>
      </c>
    </row>
    <row r="1029" spans="1:5" x14ac:dyDescent="0.25">
      <c r="A1029" s="5" t="s">
        <v>6</v>
      </c>
      <c r="B1029" s="5" t="s">
        <v>2716</v>
      </c>
      <c r="C1029" s="1" t="s">
        <v>2717</v>
      </c>
      <c r="D1029" s="1" t="s">
        <v>2713</v>
      </c>
      <c r="E1029" s="7">
        <v>318</v>
      </c>
    </row>
    <row r="1030" spans="1:5" x14ac:dyDescent="0.25">
      <c r="A1030" s="5" t="s">
        <v>6</v>
      </c>
      <c r="B1030" s="5" t="s">
        <v>2718</v>
      </c>
      <c r="C1030" s="1" t="s">
        <v>2719</v>
      </c>
      <c r="D1030" s="1" t="s">
        <v>2720</v>
      </c>
      <c r="E1030" s="7">
        <v>603</v>
      </c>
    </row>
    <row r="1031" spans="1:5" x14ac:dyDescent="0.25">
      <c r="A1031" s="5" t="s">
        <v>6</v>
      </c>
      <c r="B1031" s="5" t="s">
        <v>2721</v>
      </c>
      <c r="C1031" s="1" t="s">
        <v>2722</v>
      </c>
      <c r="D1031" s="1" t="s">
        <v>2723</v>
      </c>
      <c r="E1031" s="7">
        <v>585</v>
      </c>
    </row>
    <row r="1032" spans="1:5" x14ac:dyDescent="0.25">
      <c r="A1032" s="5" t="s">
        <v>6</v>
      </c>
      <c r="B1032" s="5" t="s">
        <v>2724</v>
      </c>
      <c r="C1032" s="1" t="s">
        <v>2725</v>
      </c>
      <c r="D1032" s="1" t="s">
        <v>2725</v>
      </c>
      <c r="E1032" s="7">
        <v>1126</v>
      </c>
    </row>
    <row r="1033" spans="1:5" x14ac:dyDescent="0.25">
      <c r="A1033" s="5" t="s">
        <v>6</v>
      </c>
      <c r="B1033" s="5" t="s">
        <v>2726</v>
      </c>
      <c r="C1033" s="1" t="s">
        <v>2727</v>
      </c>
      <c r="D1033" s="1" t="s">
        <v>2727</v>
      </c>
      <c r="E1033" s="7">
        <v>515</v>
      </c>
    </row>
    <row r="1034" spans="1:5" x14ac:dyDescent="0.25">
      <c r="A1034" s="5" t="s">
        <v>6</v>
      </c>
      <c r="B1034" s="5" t="s">
        <v>2728</v>
      </c>
      <c r="C1034" s="1" t="s">
        <v>2729</v>
      </c>
      <c r="D1034" s="1" t="s">
        <v>2729</v>
      </c>
      <c r="E1034" s="7">
        <v>926</v>
      </c>
    </row>
    <row r="1035" spans="1:5" x14ac:dyDescent="0.25">
      <c r="A1035" s="5" t="s">
        <v>6</v>
      </c>
      <c r="B1035" s="5" t="s">
        <v>2730</v>
      </c>
      <c r="C1035" s="1" t="s">
        <v>2731</v>
      </c>
      <c r="D1035" s="1" t="s">
        <v>2731</v>
      </c>
      <c r="E1035" s="7">
        <v>800</v>
      </c>
    </row>
    <row r="1036" spans="1:5" x14ac:dyDescent="0.25">
      <c r="A1036" s="5" t="s">
        <v>6</v>
      </c>
      <c r="B1036" s="5" t="s">
        <v>2732</v>
      </c>
      <c r="C1036" s="1" t="s">
        <v>2733</v>
      </c>
      <c r="D1036" s="1" t="s">
        <v>2734</v>
      </c>
      <c r="E1036" s="7">
        <v>573</v>
      </c>
    </row>
    <row r="1037" spans="1:5" x14ac:dyDescent="0.25">
      <c r="A1037" s="5" t="s">
        <v>6</v>
      </c>
      <c r="B1037" s="5" t="s">
        <v>2735</v>
      </c>
      <c r="C1037" s="1" t="s">
        <v>2736</v>
      </c>
      <c r="D1037" s="1" t="s">
        <v>2737</v>
      </c>
      <c r="E1037" s="7">
        <v>233</v>
      </c>
    </row>
    <row r="1038" spans="1:5" x14ac:dyDescent="0.25">
      <c r="A1038" s="5" t="s">
        <v>6</v>
      </c>
      <c r="B1038" s="5" t="s">
        <v>2738</v>
      </c>
      <c r="C1038" s="1" t="s">
        <v>2739</v>
      </c>
      <c r="D1038" s="1" t="s">
        <v>2740</v>
      </c>
      <c r="E1038" s="7">
        <v>216</v>
      </c>
    </row>
    <row r="1039" spans="1:5" x14ac:dyDescent="0.25">
      <c r="A1039" s="5" t="s">
        <v>6</v>
      </c>
      <c r="B1039" s="5" t="s">
        <v>2741</v>
      </c>
      <c r="C1039" s="1" t="s">
        <v>2742</v>
      </c>
      <c r="D1039" s="1" t="s">
        <v>2743</v>
      </c>
      <c r="E1039" s="7">
        <v>345</v>
      </c>
    </row>
    <row r="1040" spans="1:5" x14ac:dyDescent="0.25">
      <c r="A1040" s="5" t="s">
        <v>6</v>
      </c>
      <c r="B1040" s="5" t="s">
        <v>2744</v>
      </c>
      <c r="C1040" s="1" t="s">
        <v>2745</v>
      </c>
      <c r="D1040" s="1" t="s">
        <v>2746</v>
      </c>
      <c r="E1040" s="7">
        <v>346</v>
      </c>
    </row>
    <row r="1041" spans="1:5" x14ac:dyDescent="0.25">
      <c r="A1041" s="5" t="s">
        <v>6</v>
      </c>
      <c r="B1041" s="5" t="s">
        <v>2747</v>
      </c>
      <c r="C1041" s="1" t="s">
        <v>2748</v>
      </c>
      <c r="D1041" s="1" t="s">
        <v>2749</v>
      </c>
      <c r="E1041" s="7">
        <v>90</v>
      </c>
    </row>
    <row r="1042" spans="1:5" x14ac:dyDescent="0.25">
      <c r="A1042" s="5" t="s">
        <v>6</v>
      </c>
      <c r="B1042" s="5" t="s">
        <v>2750</v>
      </c>
      <c r="C1042" s="1" t="s">
        <v>2751</v>
      </c>
      <c r="D1042" s="1" t="s">
        <v>2737</v>
      </c>
      <c r="E1042" s="7">
        <v>374</v>
      </c>
    </row>
    <row r="1043" spans="1:5" x14ac:dyDescent="0.25">
      <c r="A1043" s="5" t="s">
        <v>6</v>
      </c>
      <c r="B1043" s="5" t="s">
        <v>2752</v>
      </c>
      <c r="C1043" s="1" t="s">
        <v>2753</v>
      </c>
      <c r="D1043" s="1" t="s">
        <v>2737</v>
      </c>
      <c r="E1043" s="7">
        <v>278</v>
      </c>
    </row>
    <row r="1044" spans="1:5" x14ac:dyDescent="0.25">
      <c r="A1044" s="5" t="s">
        <v>6</v>
      </c>
      <c r="B1044" s="5" t="s">
        <v>2754</v>
      </c>
      <c r="C1044" s="1" t="s">
        <v>2755</v>
      </c>
      <c r="D1044" s="1" t="s">
        <v>2756</v>
      </c>
      <c r="E1044" s="7">
        <v>151</v>
      </c>
    </row>
    <row r="1045" spans="1:5" x14ac:dyDescent="0.25">
      <c r="A1045" s="5" t="s">
        <v>6</v>
      </c>
      <c r="B1045" s="5" t="s">
        <v>2757</v>
      </c>
      <c r="C1045" s="1" t="s">
        <v>2758</v>
      </c>
      <c r="D1045" s="1" t="s">
        <v>2758</v>
      </c>
      <c r="E1045" s="7">
        <v>52</v>
      </c>
    </row>
    <row r="1046" spans="1:5" x14ac:dyDescent="0.25">
      <c r="A1046" s="5" t="s">
        <v>6</v>
      </c>
      <c r="B1046" s="5" t="s">
        <v>2759</v>
      </c>
      <c r="C1046" s="1" t="s">
        <v>2760</v>
      </c>
      <c r="D1046" s="1" t="s">
        <v>2761</v>
      </c>
      <c r="E1046" s="7">
        <v>475</v>
      </c>
    </row>
    <row r="1047" spans="1:5" x14ac:dyDescent="0.25">
      <c r="A1047" s="5" t="s">
        <v>6</v>
      </c>
      <c r="B1047" s="5" t="s">
        <v>2762</v>
      </c>
      <c r="C1047" s="1" t="s">
        <v>2763</v>
      </c>
      <c r="D1047" s="1" t="s">
        <v>2763</v>
      </c>
      <c r="E1047" s="7">
        <v>729</v>
      </c>
    </row>
    <row r="1048" spans="1:5" x14ac:dyDescent="0.25">
      <c r="A1048" s="5" t="s">
        <v>6</v>
      </c>
      <c r="B1048" s="5" t="s">
        <v>2764</v>
      </c>
      <c r="C1048" s="1" t="s">
        <v>2765</v>
      </c>
      <c r="D1048" s="1" t="s">
        <v>2765</v>
      </c>
      <c r="E1048" s="7">
        <v>694</v>
      </c>
    </row>
    <row r="1049" spans="1:5" x14ac:dyDescent="0.25">
      <c r="A1049" s="5" t="s">
        <v>6</v>
      </c>
      <c r="B1049" s="5" t="s">
        <v>2766</v>
      </c>
      <c r="C1049" s="1" t="s">
        <v>2767</v>
      </c>
      <c r="D1049" s="1" t="s">
        <v>2767</v>
      </c>
      <c r="E1049" s="7">
        <v>729</v>
      </c>
    </row>
    <row r="1050" spans="1:5" x14ac:dyDescent="0.25">
      <c r="A1050" s="5" t="s">
        <v>6</v>
      </c>
      <c r="B1050" s="5" t="s">
        <v>2768</v>
      </c>
      <c r="C1050" s="1" t="s">
        <v>2769</v>
      </c>
      <c r="D1050" s="1" t="s">
        <v>2770</v>
      </c>
      <c r="E1050" s="7">
        <v>585</v>
      </c>
    </row>
    <row r="1051" spans="1:5" x14ac:dyDescent="0.25">
      <c r="A1051" s="5" t="s">
        <v>6</v>
      </c>
      <c r="B1051" s="5" t="s">
        <v>2771</v>
      </c>
      <c r="C1051" s="1" t="s">
        <v>2772</v>
      </c>
      <c r="D1051" s="1" t="s">
        <v>2773</v>
      </c>
      <c r="E1051" s="7">
        <v>625</v>
      </c>
    </row>
    <row r="1052" spans="1:5" x14ac:dyDescent="0.25">
      <c r="A1052" s="5" t="s">
        <v>6</v>
      </c>
      <c r="B1052" s="5" t="s">
        <v>2774</v>
      </c>
      <c r="C1052" s="1" t="s">
        <v>2775</v>
      </c>
      <c r="D1052" s="1" t="s">
        <v>2776</v>
      </c>
      <c r="E1052" s="7">
        <v>450</v>
      </c>
    </row>
    <row r="1053" spans="1:5" x14ac:dyDescent="0.25">
      <c r="A1053" s="5" t="s">
        <v>6</v>
      </c>
      <c r="B1053" s="5" t="s">
        <v>2777</v>
      </c>
      <c r="C1053" s="1" t="s">
        <v>2778</v>
      </c>
      <c r="D1053" s="1" t="s">
        <v>2779</v>
      </c>
      <c r="E1053" s="7">
        <v>1225</v>
      </c>
    </row>
    <row r="1054" spans="1:5" x14ac:dyDescent="0.25">
      <c r="A1054" s="5" t="s">
        <v>6</v>
      </c>
      <c r="B1054" s="5" t="s">
        <v>2780</v>
      </c>
      <c r="C1054" s="1" t="s">
        <v>2781</v>
      </c>
      <c r="D1054" s="1" t="s">
        <v>2781</v>
      </c>
      <c r="E1054" s="7">
        <v>380</v>
      </c>
    </row>
    <row r="1055" spans="1:5" x14ac:dyDescent="0.25">
      <c r="A1055" s="5" t="s">
        <v>6</v>
      </c>
      <c r="B1055" s="5" t="s">
        <v>2782</v>
      </c>
      <c r="C1055" s="1" t="s">
        <v>2783</v>
      </c>
      <c r="D1055" s="1" t="s">
        <v>2783</v>
      </c>
      <c r="E1055" s="7">
        <v>347</v>
      </c>
    </row>
    <row r="1056" spans="1:5" x14ac:dyDescent="0.25">
      <c r="A1056" s="5" t="s">
        <v>6</v>
      </c>
      <c r="B1056" s="5" t="s">
        <v>2784</v>
      </c>
      <c r="C1056" s="1" t="s">
        <v>2785</v>
      </c>
      <c r="D1056" s="1" t="s">
        <v>2786</v>
      </c>
      <c r="E1056" s="7">
        <v>477</v>
      </c>
    </row>
    <row r="1057" spans="1:5" x14ac:dyDescent="0.25">
      <c r="A1057" s="5" t="s">
        <v>6</v>
      </c>
      <c r="B1057" s="5" t="s">
        <v>2787</v>
      </c>
      <c r="C1057" s="1" t="s">
        <v>2788</v>
      </c>
      <c r="D1057" s="1" t="s">
        <v>2789</v>
      </c>
      <c r="E1057" s="7">
        <v>496</v>
      </c>
    </row>
    <row r="1058" spans="1:5" x14ac:dyDescent="0.25">
      <c r="A1058" s="5" t="s">
        <v>6</v>
      </c>
      <c r="B1058" s="5" t="s">
        <v>2790</v>
      </c>
      <c r="C1058" s="1" t="s">
        <v>2791</v>
      </c>
      <c r="D1058" s="1" t="s">
        <v>2792</v>
      </c>
      <c r="E1058" s="7">
        <v>175</v>
      </c>
    </row>
    <row r="1059" spans="1:5" x14ac:dyDescent="0.25">
      <c r="A1059" s="5" t="s">
        <v>6</v>
      </c>
      <c r="B1059" s="5" t="s">
        <v>2793</v>
      </c>
      <c r="C1059" s="1" t="s">
        <v>2794</v>
      </c>
      <c r="D1059" s="1" t="s">
        <v>2795</v>
      </c>
      <c r="E1059" s="7">
        <v>91</v>
      </c>
    </row>
    <row r="1060" spans="1:5" x14ac:dyDescent="0.25">
      <c r="A1060" s="5" t="s">
        <v>6</v>
      </c>
      <c r="B1060" s="5" t="s">
        <v>2796</v>
      </c>
      <c r="C1060" s="1" t="s">
        <v>2797</v>
      </c>
      <c r="D1060" s="1" t="s">
        <v>2797</v>
      </c>
      <c r="E1060" s="7">
        <v>544</v>
      </c>
    </row>
    <row r="1061" spans="1:5" x14ac:dyDescent="0.25">
      <c r="A1061" s="5" t="s">
        <v>6</v>
      </c>
      <c r="B1061" s="5" t="s">
        <v>2798</v>
      </c>
      <c r="C1061" s="1" t="s">
        <v>2799</v>
      </c>
      <c r="D1061" s="1" t="s">
        <v>2799</v>
      </c>
      <c r="E1061" s="7">
        <v>260</v>
      </c>
    </row>
    <row r="1062" spans="1:5" x14ac:dyDescent="0.25">
      <c r="A1062" s="5" t="s">
        <v>6</v>
      </c>
      <c r="B1062" s="5" t="s">
        <v>2800</v>
      </c>
      <c r="C1062" s="1" t="s">
        <v>2801</v>
      </c>
      <c r="D1062" s="1" t="s">
        <v>2801</v>
      </c>
      <c r="E1062" s="7">
        <v>624</v>
      </c>
    </row>
    <row r="1063" spans="1:5" x14ac:dyDescent="0.25">
      <c r="A1063" s="5" t="s">
        <v>6</v>
      </c>
      <c r="B1063" s="5" t="s">
        <v>2802</v>
      </c>
      <c r="C1063" s="1" t="s">
        <v>2803</v>
      </c>
      <c r="D1063" s="1" t="s">
        <v>2803</v>
      </c>
      <c r="E1063" s="7">
        <v>502</v>
      </c>
    </row>
    <row r="1064" spans="1:5" x14ac:dyDescent="0.25">
      <c r="A1064" s="5" t="s">
        <v>6</v>
      </c>
      <c r="B1064" s="5" t="s">
        <v>2804</v>
      </c>
      <c r="C1064" s="1" t="s">
        <v>2805</v>
      </c>
      <c r="D1064" s="1" t="s">
        <v>2805</v>
      </c>
      <c r="E1064" s="7">
        <v>544</v>
      </c>
    </row>
    <row r="1065" spans="1:5" x14ac:dyDescent="0.25">
      <c r="A1065" s="5" t="s">
        <v>6</v>
      </c>
      <c r="B1065" s="5" t="s">
        <v>2806</v>
      </c>
      <c r="C1065" s="1" t="s">
        <v>2807</v>
      </c>
      <c r="D1065" s="1" t="s">
        <v>2807</v>
      </c>
      <c r="E1065" s="7">
        <v>786</v>
      </c>
    </row>
    <row r="1066" spans="1:5" x14ac:dyDescent="0.25">
      <c r="A1066" s="5" t="s">
        <v>6</v>
      </c>
      <c r="B1066" s="5" t="s">
        <v>2808</v>
      </c>
      <c r="C1066" s="1" t="s">
        <v>2809</v>
      </c>
      <c r="D1066" s="1" t="s">
        <v>2577</v>
      </c>
      <c r="E1066" s="7">
        <v>278</v>
      </c>
    </row>
    <row r="1067" spans="1:5" x14ac:dyDescent="0.25">
      <c r="A1067" s="5" t="s">
        <v>6</v>
      </c>
      <c r="B1067" s="5" t="s">
        <v>2810</v>
      </c>
      <c r="C1067" s="1" t="s">
        <v>2811</v>
      </c>
      <c r="D1067" s="1" t="s">
        <v>2812</v>
      </c>
      <c r="E1067" s="7">
        <v>399</v>
      </c>
    </row>
    <row r="1068" spans="1:5" x14ac:dyDescent="0.25">
      <c r="A1068" s="5" t="s">
        <v>6</v>
      </c>
      <c r="B1068" s="5" t="s">
        <v>2813</v>
      </c>
      <c r="C1068" s="1" t="s">
        <v>2814</v>
      </c>
      <c r="D1068" s="1" t="s">
        <v>2815</v>
      </c>
      <c r="E1068" s="7">
        <v>342</v>
      </c>
    </row>
    <row r="1069" spans="1:5" x14ac:dyDescent="0.25">
      <c r="A1069" s="5" t="s">
        <v>6</v>
      </c>
      <c r="B1069" s="5" t="s">
        <v>2816</v>
      </c>
      <c r="C1069" s="1" t="s">
        <v>2817</v>
      </c>
      <c r="D1069" s="1" t="s">
        <v>2818</v>
      </c>
      <c r="E1069" s="7">
        <v>168</v>
      </c>
    </row>
    <row r="1070" spans="1:5" x14ac:dyDescent="0.25">
      <c r="A1070" s="5" t="s">
        <v>6</v>
      </c>
      <c r="B1070" s="5" t="s">
        <v>2819</v>
      </c>
      <c r="C1070" s="1" t="s">
        <v>2820</v>
      </c>
      <c r="D1070" s="1" t="s">
        <v>2820</v>
      </c>
      <c r="E1070" s="7">
        <v>886</v>
      </c>
    </row>
    <row r="1071" spans="1:5" x14ac:dyDescent="0.25">
      <c r="A1071" s="5" t="s">
        <v>6</v>
      </c>
      <c r="B1071" s="5" t="s">
        <v>2821</v>
      </c>
      <c r="C1071" s="1" t="s">
        <v>2822</v>
      </c>
      <c r="D1071" s="1" t="s">
        <v>2823</v>
      </c>
      <c r="E1071" s="7">
        <v>91</v>
      </c>
    </row>
    <row r="1072" spans="1:5" x14ac:dyDescent="0.25">
      <c r="A1072" s="5" t="s">
        <v>6</v>
      </c>
      <c r="B1072" s="5" t="s">
        <v>2824</v>
      </c>
      <c r="C1072" s="1" t="s">
        <v>2825</v>
      </c>
      <c r="D1072" s="1" t="s">
        <v>2825</v>
      </c>
      <c r="E1072" s="7">
        <v>299</v>
      </c>
    </row>
    <row r="1073" spans="1:5" x14ac:dyDescent="0.25">
      <c r="A1073" s="5" t="s">
        <v>6</v>
      </c>
      <c r="B1073" s="5" t="s">
        <v>2826</v>
      </c>
      <c r="C1073" s="1" t="s">
        <v>2827</v>
      </c>
      <c r="D1073" s="1" t="s">
        <v>2828</v>
      </c>
      <c r="E1073" s="7">
        <v>541</v>
      </c>
    </row>
    <row r="1074" spans="1:5" x14ac:dyDescent="0.25">
      <c r="A1074" s="5" t="s">
        <v>6</v>
      </c>
      <c r="B1074" s="5" t="s">
        <v>2829</v>
      </c>
      <c r="C1074" s="1" t="s">
        <v>2830</v>
      </c>
      <c r="D1074" s="1" t="s">
        <v>2830</v>
      </c>
      <c r="E1074" s="7">
        <v>392</v>
      </c>
    </row>
    <row r="1075" spans="1:5" x14ac:dyDescent="0.25">
      <c r="A1075" s="5" t="s">
        <v>6</v>
      </c>
      <c r="B1075" s="5" t="s">
        <v>2831</v>
      </c>
      <c r="C1075" s="1" t="s">
        <v>2832</v>
      </c>
      <c r="D1075" s="1" t="s">
        <v>2832</v>
      </c>
      <c r="E1075" s="7">
        <v>459</v>
      </c>
    </row>
    <row r="1076" spans="1:5" x14ac:dyDescent="0.25">
      <c r="A1076" s="5" t="s">
        <v>6</v>
      </c>
      <c r="B1076" s="5" t="s">
        <v>2833</v>
      </c>
      <c r="C1076" s="1" t="s">
        <v>2834</v>
      </c>
      <c r="D1076" s="1" t="s">
        <v>2832</v>
      </c>
      <c r="E1076" s="7">
        <v>423</v>
      </c>
    </row>
    <row r="1077" spans="1:5" x14ac:dyDescent="0.25">
      <c r="A1077" s="5" t="s">
        <v>6</v>
      </c>
      <c r="B1077" s="5" t="s">
        <v>2835</v>
      </c>
      <c r="C1077" s="1" t="s">
        <v>2836</v>
      </c>
      <c r="D1077" s="1" t="s">
        <v>2837</v>
      </c>
      <c r="E1077" s="7">
        <v>1027</v>
      </c>
    </row>
    <row r="1078" spans="1:5" x14ac:dyDescent="0.25">
      <c r="A1078" s="5" t="s">
        <v>6</v>
      </c>
      <c r="B1078" s="5" t="s">
        <v>2838</v>
      </c>
      <c r="C1078" s="1" t="s">
        <v>2839</v>
      </c>
      <c r="D1078" s="1" t="s">
        <v>2840</v>
      </c>
      <c r="E1078" s="7">
        <v>390</v>
      </c>
    </row>
    <row r="1079" spans="1:5" x14ac:dyDescent="0.25">
      <c r="A1079" s="5" t="s">
        <v>6</v>
      </c>
      <c r="B1079" s="5" t="s">
        <v>2841</v>
      </c>
      <c r="C1079" s="1" t="s">
        <v>2842</v>
      </c>
      <c r="D1079" s="1" t="s">
        <v>2843</v>
      </c>
      <c r="E1079" s="7">
        <v>183</v>
      </c>
    </row>
    <row r="1080" spans="1:5" x14ac:dyDescent="0.25">
      <c r="A1080" s="5" t="s">
        <v>6</v>
      </c>
      <c r="B1080" s="5" t="s">
        <v>2844</v>
      </c>
      <c r="C1080" s="1" t="s">
        <v>2845</v>
      </c>
      <c r="D1080" s="1" t="s">
        <v>2845</v>
      </c>
      <c r="E1080" s="7">
        <v>37</v>
      </c>
    </row>
    <row r="1081" spans="1:5" x14ac:dyDescent="0.25">
      <c r="A1081" s="5" t="s">
        <v>6</v>
      </c>
      <c r="B1081" s="5" t="s">
        <v>2846</v>
      </c>
      <c r="C1081" s="1" t="s">
        <v>2847</v>
      </c>
      <c r="D1081" s="1" t="s">
        <v>2847</v>
      </c>
      <c r="E1081" s="7">
        <v>480</v>
      </c>
    </row>
    <row r="1082" spans="1:5" x14ac:dyDescent="0.25">
      <c r="A1082" s="5" t="s">
        <v>6</v>
      </c>
      <c r="B1082" s="5" t="s">
        <v>2848</v>
      </c>
      <c r="C1082" s="1" t="s">
        <v>2849</v>
      </c>
      <c r="D1082" s="1" t="s">
        <v>2849</v>
      </c>
      <c r="E1082" s="7">
        <v>227</v>
      </c>
    </row>
    <row r="1083" spans="1:5" x14ac:dyDescent="0.25">
      <c r="A1083" s="5" t="s">
        <v>6</v>
      </c>
      <c r="B1083" s="5" t="s">
        <v>2850</v>
      </c>
      <c r="C1083" s="1" t="s">
        <v>2851</v>
      </c>
      <c r="D1083" s="1" t="s">
        <v>2843</v>
      </c>
      <c r="E1083" s="7">
        <v>189</v>
      </c>
    </row>
    <row r="1084" spans="1:5" x14ac:dyDescent="0.25">
      <c r="A1084" s="5" t="s">
        <v>6</v>
      </c>
      <c r="B1084" s="5" t="s">
        <v>2852</v>
      </c>
      <c r="C1084" s="1" t="s">
        <v>2853</v>
      </c>
      <c r="D1084" s="1" t="s">
        <v>2843</v>
      </c>
      <c r="E1084" s="7">
        <v>421</v>
      </c>
    </row>
    <row r="1085" spans="1:5" x14ac:dyDescent="0.25">
      <c r="A1085" s="5" t="s">
        <v>6</v>
      </c>
      <c r="B1085" s="5" t="s">
        <v>2854</v>
      </c>
      <c r="C1085" s="1" t="s">
        <v>2855</v>
      </c>
      <c r="D1085" s="1" t="s">
        <v>2856</v>
      </c>
      <c r="E1085" s="7">
        <v>318</v>
      </c>
    </row>
    <row r="1086" spans="1:5" x14ac:dyDescent="0.25">
      <c r="A1086" s="5" t="s">
        <v>6</v>
      </c>
      <c r="B1086" s="5" t="s">
        <v>2857</v>
      </c>
      <c r="C1086" s="1" t="s">
        <v>2858</v>
      </c>
      <c r="D1086" s="1" t="s">
        <v>2859</v>
      </c>
      <c r="E1086" s="7">
        <v>190</v>
      </c>
    </row>
    <row r="1087" spans="1:5" x14ac:dyDescent="0.25">
      <c r="A1087" s="5" t="s">
        <v>6</v>
      </c>
      <c r="B1087" s="5" t="s">
        <v>2860</v>
      </c>
      <c r="C1087" s="1" t="s">
        <v>2861</v>
      </c>
      <c r="D1087" s="1" t="s">
        <v>2861</v>
      </c>
      <c r="E1087" s="7">
        <v>231</v>
      </c>
    </row>
    <row r="1088" spans="1:5" x14ac:dyDescent="0.25">
      <c r="A1088" s="5" t="s">
        <v>6</v>
      </c>
      <c r="B1088" s="5" t="s">
        <v>2862</v>
      </c>
      <c r="C1088" s="1" t="s">
        <v>2863</v>
      </c>
      <c r="D1088" s="1" t="s">
        <v>2863</v>
      </c>
      <c r="E1088" s="7">
        <v>357</v>
      </c>
    </row>
    <row r="1089" spans="1:5" x14ac:dyDescent="0.25">
      <c r="A1089" s="5" t="s">
        <v>6</v>
      </c>
      <c r="B1089" s="5" t="s">
        <v>2864</v>
      </c>
      <c r="C1089" s="1" t="s">
        <v>2865</v>
      </c>
      <c r="D1089" s="1" t="s">
        <v>2865</v>
      </c>
      <c r="E1089" s="7">
        <v>222</v>
      </c>
    </row>
    <row r="1090" spans="1:5" x14ac:dyDescent="0.25">
      <c r="A1090" s="5" t="s">
        <v>6</v>
      </c>
      <c r="B1090" s="5" t="s">
        <v>2866</v>
      </c>
      <c r="C1090" s="1" t="s">
        <v>2867</v>
      </c>
      <c r="D1090" s="1" t="s">
        <v>2577</v>
      </c>
      <c r="E1090" s="7">
        <v>278</v>
      </c>
    </row>
    <row r="1091" spans="1:5" x14ac:dyDescent="0.25">
      <c r="A1091" s="5" t="s">
        <v>6</v>
      </c>
      <c r="B1091" s="5" t="s">
        <v>2868</v>
      </c>
      <c r="C1091" s="1" t="s">
        <v>2869</v>
      </c>
      <c r="D1091" s="1" t="s">
        <v>2870</v>
      </c>
      <c r="E1091" s="7">
        <v>629</v>
      </c>
    </row>
    <row r="1092" spans="1:5" x14ac:dyDescent="0.25">
      <c r="A1092" s="5" t="s">
        <v>6</v>
      </c>
      <c r="B1092" s="5" t="s">
        <v>2871</v>
      </c>
      <c r="C1092" s="1" t="s">
        <v>2872</v>
      </c>
      <c r="D1092" s="1" t="s">
        <v>2872</v>
      </c>
      <c r="E1092" s="7">
        <v>470</v>
      </c>
    </row>
    <row r="1093" spans="1:5" x14ac:dyDescent="0.25">
      <c r="A1093" s="5" t="s">
        <v>6</v>
      </c>
      <c r="B1093" s="5" t="s">
        <v>2873</v>
      </c>
      <c r="C1093" s="1" t="s">
        <v>2874</v>
      </c>
      <c r="D1093" s="1" t="s">
        <v>2875</v>
      </c>
      <c r="E1093" s="7">
        <v>148</v>
      </c>
    </row>
    <row r="1094" spans="1:5" x14ac:dyDescent="0.25">
      <c r="A1094" s="5" t="s">
        <v>6</v>
      </c>
      <c r="B1094" s="5" t="s">
        <v>2876</v>
      </c>
      <c r="C1094" s="1" t="s">
        <v>2877</v>
      </c>
      <c r="D1094" s="1" t="s">
        <v>2878</v>
      </c>
      <c r="E1094" s="7">
        <v>148</v>
      </c>
    </row>
    <row r="1095" spans="1:5" x14ac:dyDescent="0.25">
      <c r="A1095" s="5" t="s">
        <v>6</v>
      </c>
      <c r="B1095" s="5" t="s">
        <v>2879</v>
      </c>
      <c r="C1095" s="1" t="s">
        <v>2880</v>
      </c>
      <c r="D1095" s="1" t="s">
        <v>2880</v>
      </c>
      <c r="E1095" s="7">
        <v>692</v>
      </c>
    </row>
    <row r="1096" spans="1:5" x14ac:dyDescent="0.25">
      <c r="A1096" s="5" t="s">
        <v>6</v>
      </c>
      <c r="B1096" s="5" t="s">
        <v>2881</v>
      </c>
      <c r="C1096" s="1" t="s">
        <v>2882</v>
      </c>
      <c r="D1096" s="1" t="s">
        <v>2882</v>
      </c>
      <c r="E1096" s="7">
        <v>492</v>
      </c>
    </row>
    <row r="1097" spans="1:5" x14ac:dyDescent="0.25">
      <c r="A1097" s="5" t="s">
        <v>6</v>
      </c>
      <c r="B1097" s="5" t="s">
        <v>2883</v>
      </c>
      <c r="C1097" s="1" t="s">
        <v>2884</v>
      </c>
      <c r="D1097" s="1" t="s">
        <v>2884</v>
      </c>
      <c r="E1097" s="7">
        <v>792</v>
      </c>
    </row>
    <row r="1098" spans="1:5" x14ac:dyDescent="0.25">
      <c r="A1098" s="5" t="s">
        <v>6</v>
      </c>
      <c r="B1098" s="5" t="s">
        <v>2885</v>
      </c>
      <c r="C1098" s="1" t="s">
        <v>2886</v>
      </c>
      <c r="D1098" s="1" t="s">
        <v>2886</v>
      </c>
      <c r="E1098" s="7">
        <v>792</v>
      </c>
    </row>
    <row r="1099" spans="1:5" x14ac:dyDescent="0.25">
      <c r="A1099" s="5" t="s">
        <v>6</v>
      </c>
      <c r="B1099" s="5" t="s">
        <v>2887</v>
      </c>
      <c r="C1099" s="1" t="s">
        <v>2888</v>
      </c>
      <c r="D1099" s="1" t="s">
        <v>2889</v>
      </c>
      <c r="E1099" s="7">
        <v>127</v>
      </c>
    </row>
    <row r="1100" spans="1:5" x14ac:dyDescent="0.25">
      <c r="A1100" s="5" t="s">
        <v>6</v>
      </c>
      <c r="B1100" s="5" t="s">
        <v>2890</v>
      </c>
      <c r="C1100" s="1" t="s">
        <v>2891</v>
      </c>
      <c r="D1100" s="1" t="s">
        <v>2892</v>
      </c>
      <c r="E1100" s="7">
        <v>201</v>
      </c>
    </row>
    <row r="1101" spans="1:5" x14ac:dyDescent="0.25">
      <c r="A1101" s="5" t="s">
        <v>6</v>
      </c>
      <c r="B1101" s="5" t="s">
        <v>2893</v>
      </c>
      <c r="C1101" s="1" t="s">
        <v>2894</v>
      </c>
      <c r="D1101" s="1" t="s">
        <v>2895</v>
      </c>
      <c r="E1101" s="7">
        <v>473</v>
      </c>
    </row>
    <row r="1102" spans="1:5" x14ac:dyDescent="0.25">
      <c r="A1102" s="5" t="s">
        <v>6</v>
      </c>
      <c r="B1102" s="5" t="s">
        <v>2896</v>
      </c>
      <c r="C1102" s="1" t="s">
        <v>2897</v>
      </c>
      <c r="D1102" s="1" t="s">
        <v>2898</v>
      </c>
      <c r="E1102" s="7">
        <v>474</v>
      </c>
    </row>
    <row r="1103" spans="1:5" x14ac:dyDescent="0.25">
      <c r="A1103" s="5" t="s">
        <v>6</v>
      </c>
      <c r="B1103" s="5" t="s">
        <v>2899</v>
      </c>
      <c r="C1103" s="1" t="s">
        <v>2900</v>
      </c>
      <c r="D1103" s="1" t="s">
        <v>2898</v>
      </c>
      <c r="E1103" s="7">
        <v>242</v>
      </c>
    </row>
    <row r="1104" spans="1:5" x14ac:dyDescent="0.25">
      <c r="A1104" s="5" t="s">
        <v>6</v>
      </c>
      <c r="B1104" s="5" t="s">
        <v>2901</v>
      </c>
      <c r="C1104" s="1" t="s">
        <v>2902</v>
      </c>
      <c r="D1104" s="1" t="s">
        <v>2902</v>
      </c>
      <c r="E1104" s="7">
        <v>83</v>
      </c>
    </row>
    <row r="1105" spans="1:5" x14ac:dyDescent="0.25">
      <c r="A1105" s="5" t="s">
        <v>6</v>
      </c>
      <c r="B1105" s="5" t="s">
        <v>2903</v>
      </c>
      <c r="C1105" s="1" t="s">
        <v>2904</v>
      </c>
      <c r="D1105" s="1" t="s">
        <v>2905</v>
      </c>
      <c r="E1105" s="7">
        <v>384</v>
      </c>
    </row>
    <row r="1106" spans="1:5" x14ac:dyDescent="0.25">
      <c r="A1106" s="5" t="s">
        <v>6</v>
      </c>
      <c r="B1106" s="5" t="s">
        <v>2906</v>
      </c>
      <c r="C1106" s="1" t="s">
        <v>2907</v>
      </c>
      <c r="D1106" s="1" t="s">
        <v>2905</v>
      </c>
      <c r="E1106" s="7">
        <v>386</v>
      </c>
    </row>
    <row r="1107" spans="1:5" x14ac:dyDescent="0.25">
      <c r="A1107" s="5" t="s">
        <v>6</v>
      </c>
      <c r="B1107" s="5" t="s">
        <v>2908</v>
      </c>
      <c r="C1107" s="1" t="s">
        <v>2909</v>
      </c>
      <c r="D1107" s="1" t="s">
        <v>2905</v>
      </c>
      <c r="E1107" s="7">
        <v>369</v>
      </c>
    </row>
    <row r="1108" spans="1:5" x14ac:dyDescent="0.25">
      <c r="A1108" s="5" t="s">
        <v>6</v>
      </c>
      <c r="B1108" s="5" t="s">
        <v>2910</v>
      </c>
      <c r="C1108" s="1" t="s">
        <v>2911</v>
      </c>
      <c r="D1108" s="1" t="s">
        <v>2912</v>
      </c>
      <c r="E1108" s="7">
        <v>679</v>
      </c>
    </row>
    <row r="1109" spans="1:5" x14ac:dyDescent="0.25">
      <c r="A1109" s="5" t="s">
        <v>6</v>
      </c>
      <c r="B1109" s="5" t="s">
        <v>2913</v>
      </c>
      <c r="C1109" s="1" t="s">
        <v>2914</v>
      </c>
      <c r="D1109" s="1" t="s">
        <v>2915</v>
      </c>
      <c r="E1109" s="7">
        <v>423</v>
      </c>
    </row>
    <row r="1110" spans="1:5" x14ac:dyDescent="0.25">
      <c r="A1110" s="5" t="s">
        <v>6</v>
      </c>
      <c r="B1110" s="5" t="s">
        <v>2916</v>
      </c>
      <c r="C1110" s="1" t="s">
        <v>2917</v>
      </c>
      <c r="D1110" s="1" t="s">
        <v>2918</v>
      </c>
      <c r="E1110" s="7">
        <v>421</v>
      </c>
    </row>
    <row r="1111" spans="1:5" x14ac:dyDescent="0.25">
      <c r="A1111" s="5" t="s">
        <v>6</v>
      </c>
      <c r="B1111" s="5" t="s">
        <v>2919</v>
      </c>
      <c r="C1111" s="1" t="s">
        <v>2920</v>
      </c>
      <c r="D1111" s="1" t="s">
        <v>2921</v>
      </c>
      <c r="E1111" s="7">
        <v>536</v>
      </c>
    </row>
    <row r="1112" spans="1:5" x14ac:dyDescent="0.25">
      <c r="A1112" s="5" t="s">
        <v>6</v>
      </c>
      <c r="B1112" s="5" t="s">
        <v>2922</v>
      </c>
      <c r="C1112" s="1" t="s">
        <v>2923</v>
      </c>
      <c r="D1112" s="1" t="s">
        <v>2924</v>
      </c>
      <c r="E1112" s="7">
        <v>435</v>
      </c>
    </row>
    <row r="1113" spans="1:5" x14ac:dyDescent="0.25">
      <c r="A1113" s="5" t="s">
        <v>6</v>
      </c>
      <c r="B1113" s="5" t="s">
        <v>2925</v>
      </c>
      <c r="C1113" s="1" t="s">
        <v>2926</v>
      </c>
      <c r="D1113" s="1" t="s">
        <v>2927</v>
      </c>
      <c r="E1113" s="7">
        <v>438</v>
      </c>
    </row>
    <row r="1114" spans="1:5" x14ac:dyDescent="0.25">
      <c r="A1114" s="5" t="s">
        <v>6</v>
      </c>
      <c r="B1114" s="5" t="s">
        <v>2928</v>
      </c>
      <c r="C1114" s="1" t="s">
        <v>2929</v>
      </c>
      <c r="D1114" s="1" t="s">
        <v>2929</v>
      </c>
      <c r="E1114" s="7">
        <v>436</v>
      </c>
    </row>
    <row r="1115" spans="1:5" x14ac:dyDescent="0.25">
      <c r="A1115" s="5" t="s">
        <v>6</v>
      </c>
      <c r="B1115" s="5" t="s">
        <v>2930</v>
      </c>
      <c r="C1115" s="1" t="s">
        <v>2931</v>
      </c>
      <c r="D1115" s="1" t="s">
        <v>2932</v>
      </c>
      <c r="E1115" s="7">
        <v>260</v>
      </c>
    </row>
    <row r="1116" spans="1:5" x14ac:dyDescent="0.25">
      <c r="A1116" s="5" t="s">
        <v>6</v>
      </c>
      <c r="B1116" s="5" t="s">
        <v>2933</v>
      </c>
      <c r="C1116" s="1" t="s">
        <v>2934</v>
      </c>
      <c r="D1116" s="1" t="s">
        <v>2934</v>
      </c>
      <c r="E1116" s="7">
        <v>73</v>
      </c>
    </row>
    <row r="1117" spans="1:5" x14ac:dyDescent="0.25">
      <c r="A1117" s="5" t="s">
        <v>6</v>
      </c>
      <c r="B1117" s="5" t="s">
        <v>2935</v>
      </c>
      <c r="C1117" s="1" t="s">
        <v>2936</v>
      </c>
      <c r="D1117" s="1" t="s">
        <v>2937</v>
      </c>
      <c r="E1117" s="7">
        <v>259</v>
      </c>
    </row>
    <row r="1118" spans="1:5" x14ac:dyDescent="0.25">
      <c r="A1118" s="5" t="s">
        <v>6</v>
      </c>
      <c r="B1118" s="5" t="s">
        <v>2938</v>
      </c>
      <c r="C1118" s="1" t="s">
        <v>2939</v>
      </c>
      <c r="D1118" s="1" t="s">
        <v>2939</v>
      </c>
      <c r="E1118" s="7">
        <v>221</v>
      </c>
    </row>
    <row r="1119" spans="1:5" x14ac:dyDescent="0.25">
      <c r="A1119" s="5" t="s">
        <v>6</v>
      </c>
      <c r="B1119" s="5" t="s">
        <v>2940</v>
      </c>
      <c r="C1119" s="1" t="s">
        <v>2941</v>
      </c>
      <c r="D1119" s="1" t="s">
        <v>2941</v>
      </c>
      <c r="E1119" s="7">
        <v>346</v>
      </c>
    </row>
    <row r="1120" spans="1:5" x14ac:dyDescent="0.25">
      <c r="A1120" s="5" t="s">
        <v>6</v>
      </c>
      <c r="B1120" s="5" t="s">
        <v>2942</v>
      </c>
      <c r="C1120" s="1" t="s">
        <v>2943</v>
      </c>
      <c r="D1120" s="1" t="s">
        <v>2944</v>
      </c>
      <c r="E1120" s="7">
        <v>73</v>
      </c>
    </row>
    <row r="1121" spans="1:5" x14ac:dyDescent="0.25">
      <c r="A1121" s="5" t="s">
        <v>6</v>
      </c>
      <c r="B1121" s="5" t="s">
        <v>2945</v>
      </c>
      <c r="C1121" s="1" t="s">
        <v>2946</v>
      </c>
      <c r="D1121" s="1" t="s">
        <v>2947</v>
      </c>
      <c r="E1121" s="7">
        <v>1022</v>
      </c>
    </row>
    <row r="1122" spans="1:5" x14ac:dyDescent="0.25">
      <c r="A1122" s="5" t="s">
        <v>6</v>
      </c>
      <c r="B1122" s="5" t="s">
        <v>2948</v>
      </c>
      <c r="C1122" s="1" t="s">
        <v>2949</v>
      </c>
      <c r="D1122" s="1" t="s">
        <v>2950</v>
      </c>
      <c r="E1122" s="7">
        <v>201</v>
      </c>
    </row>
    <row r="1123" spans="1:5" x14ac:dyDescent="0.25">
      <c r="A1123" s="5" t="s">
        <v>6</v>
      </c>
      <c r="B1123" s="5" t="s">
        <v>2951</v>
      </c>
      <c r="C1123" s="1" t="s">
        <v>2952</v>
      </c>
      <c r="D1123" s="1" t="s">
        <v>2953</v>
      </c>
      <c r="E1123" s="7">
        <v>215</v>
      </c>
    </row>
    <row r="1124" spans="1:5" x14ac:dyDescent="0.25">
      <c r="A1124" s="5" t="s">
        <v>6</v>
      </c>
      <c r="B1124" s="5" t="s">
        <v>2954</v>
      </c>
      <c r="C1124" s="1" t="s">
        <v>2955</v>
      </c>
      <c r="D1124" s="1" t="s">
        <v>2956</v>
      </c>
      <c r="E1124" s="7">
        <v>65</v>
      </c>
    </row>
    <row r="1125" spans="1:5" x14ac:dyDescent="0.25">
      <c r="A1125" s="5" t="s">
        <v>6</v>
      </c>
      <c r="B1125" s="5" t="s">
        <v>2957</v>
      </c>
      <c r="C1125" s="1" t="s">
        <v>2958</v>
      </c>
      <c r="D1125" s="1" t="s">
        <v>2959</v>
      </c>
      <c r="E1125" s="7">
        <v>345</v>
      </c>
    </row>
    <row r="1126" spans="1:5" x14ac:dyDescent="0.25">
      <c r="A1126" s="5" t="s">
        <v>6</v>
      </c>
      <c r="B1126" s="5" t="s">
        <v>2960</v>
      </c>
      <c r="C1126" s="1" t="s">
        <v>2961</v>
      </c>
      <c r="D1126" s="1" t="s">
        <v>2962</v>
      </c>
      <c r="E1126" s="7">
        <v>685</v>
      </c>
    </row>
    <row r="1127" spans="1:5" x14ac:dyDescent="0.25">
      <c r="A1127" s="5" t="s">
        <v>6</v>
      </c>
      <c r="B1127" s="5" t="s">
        <v>2963</v>
      </c>
      <c r="C1127" s="1" t="s">
        <v>2964</v>
      </c>
      <c r="D1127" s="1" t="s">
        <v>2965</v>
      </c>
      <c r="E1127" s="7">
        <v>684</v>
      </c>
    </row>
    <row r="1128" spans="1:5" x14ac:dyDescent="0.25">
      <c r="A1128" s="5" t="s">
        <v>6</v>
      </c>
      <c r="B1128" s="5" t="s">
        <v>2966</v>
      </c>
      <c r="C1128" s="1" t="s">
        <v>2967</v>
      </c>
      <c r="D1128" s="1" t="s">
        <v>2968</v>
      </c>
      <c r="E1128" s="7">
        <v>583</v>
      </c>
    </row>
    <row r="1129" spans="1:5" x14ac:dyDescent="0.25">
      <c r="A1129" s="5" t="s">
        <v>6</v>
      </c>
      <c r="B1129" s="5" t="s">
        <v>2969</v>
      </c>
      <c r="C1129" s="1" t="s">
        <v>2593</v>
      </c>
      <c r="D1129" s="1" t="s">
        <v>2593</v>
      </c>
      <c r="E1129" s="7">
        <v>357</v>
      </c>
    </row>
    <row r="1130" spans="1:5" x14ac:dyDescent="0.25">
      <c r="A1130" s="5" t="s">
        <v>6</v>
      </c>
      <c r="B1130" s="5" t="s">
        <v>2970</v>
      </c>
      <c r="C1130" s="1" t="s">
        <v>2971</v>
      </c>
      <c r="D1130" s="1" t="s">
        <v>2971</v>
      </c>
      <c r="E1130" s="7">
        <v>458</v>
      </c>
    </row>
    <row r="1131" spans="1:5" x14ac:dyDescent="0.25">
      <c r="A1131" s="5" t="s">
        <v>6</v>
      </c>
      <c r="B1131" s="5" t="s">
        <v>2972</v>
      </c>
      <c r="C1131" s="1" t="s">
        <v>2973</v>
      </c>
      <c r="D1131" s="1" t="s">
        <v>2974</v>
      </c>
      <c r="E1131" s="7">
        <v>312</v>
      </c>
    </row>
    <row r="1132" spans="1:5" x14ac:dyDescent="0.25">
      <c r="A1132" s="5" t="s">
        <v>6</v>
      </c>
      <c r="B1132" s="5" t="s">
        <v>2975</v>
      </c>
      <c r="C1132" s="1" t="s">
        <v>2976</v>
      </c>
      <c r="D1132" s="1" t="s">
        <v>2974</v>
      </c>
      <c r="E1132" s="7">
        <v>355</v>
      </c>
    </row>
    <row r="1133" spans="1:5" x14ac:dyDescent="0.25">
      <c r="A1133" s="5" t="s">
        <v>6</v>
      </c>
      <c r="B1133" s="5" t="s">
        <v>2977</v>
      </c>
      <c r="C1133" s="1" t="s">
        <v>2978</v>
      </c>
      <c r="D1133" s="1" t="s">
        <v>2974</v>
      </c>
      <c r="E1133" s="7">
        <v>275</v>
      </c>
    </row>
    <row r="1134" spans="1:5" x14ac:dyDescent="0.25">
      <c r="A1134" s="5" t="s">
        <v>6</v>
      </c>
      <c r="B1134" s="5" t="s">
        <v>2979</v>
      </c>
      <c r="C1134" s="1" t="s">
        <v>2980</v>
      </c>
      <c r="D1134" s="1" t="s">
        <v>2980</v>
      </c>
      <c r="E1134" s="7">
        <v>315</v>
      </c>
    </row>
    <row r="1135" spans="1:5" x14ac:dyDescent="0.25">
      <c r="A1135" s="5" t="s">
        <v>6</v>
      </c>
      <c r="B1135" s="5" t="s">
        <v>2981</v>
      </c>
      <c r="C1135" s="1" t="s">
        <v>2982</v>
      </c>
      <c r="D1135" s="1" t="s">
        <v>2983</v>
      </c>
      <c r="E1135" s="7">
        <v>685</v>
      </c>
    </row>
    <row r="1136" spans="1:5" x14ac:dyDescent="0.25">
      <c r="A1136" s="5" t="s">
        <v>6</v>
      </c>
      <c r="B1136" s="5" t="s">
        <v>2984</v>
      </c>
      <c r="C1136" s="1" t="s">
        <v>2985</v>
      </c>
      <c r="D1136" s="1" t="s">
        <v>2986</v>
      </c>
      <c r="E1136" s="7">
        <v>294</v>
      </c>
    </row>
    <row r="1137" spans="1:5" x14ac:dyDescent="0.25">
      <c r="A1137" s="5" t="s">
        <v>6</v>
      </c>
      <c r="B1137" s="5" t="s">
        <v>2987</v>
      </c>
      <c r="C1137" s="1" t="s">
        <v>2988</v>
      </c>
      <c r="D1137" s="1" t="s">
        <v>2988</v>
      </c>
      <c r="E1137" s="7">
        <v>767</v>
      </c>
    </row>
    <row r="1138" spans="1:5" x14ac:dyDescent="0.25">
      <c r="A1138" s="5" t="s">
        <v>6</v>
      </c>
      <c r="B1138" s="5" t="s">
        <v>2989</v>
      </c>
      <c r="C1138" s="1" t="s">
        <v>2990</v>
      </c>
      <c r="D1138" s="1" t="s">
        <v>2990</v>
      </c>
      <c r="E1138" s="7">
        <v>806</v>
      </c>
    </row>
    <row r="1139" spans="1:5" x14ac:dyDescent="0.25">
      <c r="A1139" s="5" t="s">
        <v>6</v>
      </c>
      <c r="B1139" s="5" t="s">
        <v>2991</v>
      </c>
      <c r="C1139" s="1" t="s">
        <v>2992</v>
      </c>
      <c r="D1139" s="1" t="s">
        <v>2993</v>
      </c>
      <c r="E1139" s="7">
        <v>408</v>
      </c>
    </row>
    <row r="1140" spans="1:5" x14ac:dyDescent="0.25">
      <c r="A1140" s="5" t="s">
        <v>6</v>
      </c>
      <c r="B1140" s="5" t="s">
        <v>2994</v>
      </c>
      <c r="C1140" s="1" t="s">
        <v>2995</v>
      </c>
      <c r="D1140" s="1" t="s">
        <v>2996</v>
      </c>
      <c r="E1140" s="7">
        <v>333</v>
      </c>
    </row>
    <row r="1141" spans="1:5" x14ac:dyDescent="0.25">
      <c r="A1141" s="5" t="s">
        <v>6</v>
      </c>
      <c r="B1141" s="5" t="s">
        <v>2997</v>
      </c>
      <c r="C1141" s="1" t="s">
        <v>2998</v>
      </c>
      <c r="D1141" s="1" t="s">
        <v>2999</v>
      </c>
      <c r="E1141" s="7">
        <v>217</v>
      </c>
    </row>
    <row r="1142" spans="1:5" x14ac:dyDescent="0.25">
      <c r="A1142" s="5" t="s">
        <v>6</v>
      </c>
      <c r="B1142" s="5" t="s">
        <v>3000</v>
      </c>
      <c r="C1142" s="1" t="s">
        <v>3001</v>
      </c>
      <c r="D1142" s="1" t="s">
        <v>3002</v>
      </c>
      <c r="E1142" s="7">
        <v>897</v>
      </c>
    </row>
    <row r="1143" spans="1:5" x14ac:dyDescent="0.25">
      <c r="A1143" s="5" t="s">
        <v>6</v>
      </c>
      <c r="B1143" s="5" t="s">
        <v>3003</v>
      </c>
      <c r="C1143" s="1" t="s">
        <v>3004</v>
      </c>
      <c r="D1143" s="1" t="s">
        <v>3005</v>
      </c>
      <c r="E1143" s="7">
        <v>448</v>
      </c>
    </row>
    <row r="1144" spans="1:5" x14ac:dyDescent="0.25">
      <c r="A1144" s="5" t="s">
        <v>6</v>
      </c>
      <c r="B1144" s="5" t="s">
        <v>3006</v>
      </c>
      <c r="C1144" s="1" t="s">
        <v>3007</v>
      </c>
      <c r="D1144" s="1" t="s">
        <v>2770</v>
      </c>
      <c r="E1144" s="7">
        <v>176</v>
      </c>
    </row>
    <row r="1145" spans="1:5" x14ac:dyDescent="0.25">
      <c r="A1145" s="5" t="s">
        <v>6</v>
      </c>
      <c r="B1145" s="5" t="s">
        <v>3008</v>
      </c>
      <c r="C1145" s="1" t="s">
        <v>3009</v>
      </c>
      <c r="D1145" s="1" t="s">
        <v>3010</v>
      </c>
      <c r="E1145" s="7">
        <v>1286</v>
      </c>
    </row>
    <row r="1146" spans="1:5" x14ac:dyDescent="0.25">
      <c r="A1146" s="5" t="s">
        <v>6</v>
      </c>
      <c r="B1146" s="5" t="s">
        <v>3011</v>
      </c>
      <c r="C1146" s="1" t="s">
        <v>3012</v>
      </c>
      <c r="D1146" s="1" t="s">
        <v>3013</v>
      </c>
      <c r="E1146" s="7">
        <v>249</v>
      </c>
    </row>
    <row r="1147" spans="1:5" x14ac:dyDescent="0.25">
      <c r="A1147" s="5" t="s">
        <v>6</v>
      </c>
      <c r="B1147" s="5" t="s">
        <v>3014</v>
      </c>
      <c r="C1147" s="1" t="s">
        <v>3015</v>
      </c>
      <c r="D1147" s="1" t="s">
        <v>3016</v>
      </c>
      <c r="E1147" s="7">
        <v>1403</v>
      </c>
    </row>
    <row r="1148" spans="1:5" x14ac:dyDescent="0.25">
      <c r="A1148" s="5" t="s">
        <v>6</v>
      </c>
      <c r="B1148" s="5" t="s">
        <v>3017</v>
      </c>
      <c r="C1148" s="1" t="s">
        <v>3018</v>
      </c>
      <c r="D1148" s="1" t="s">
        <v>3019</v>
      </c>
      <c r="E1148" s="7">
        <v>195</v>
      </c>
    </row>
    <row r="1149" spans="1:5" x14ac:dyDescent="0.25">
      <c r="A1149" s="5" t="s">
        <v>6</v>
      </c>
      <c r="B1149" s="5" t="s">
        <v>3020</v>
      </c>
      <c r="C1149" s="1" t="s">
        <v>3021</v>
      </c>
      <c r="D1149" s="1" t="s">
        <v>3022</v>
      </c>
      <c r="E1149" s="7">
        <v>309</v>
      </c>
    </row>
    <row r="1150" spans="1:5" x14ac:dyDescent="0.25">
      <c r="A1150" s="5" t="s">
        <v>6</v>
      </c>
      <c r="B1150" s="5" t="s">
        <v>3023</v>
      </c>
      <c r="C1150" s="1" t="s">
        <v>3024</v>
      </c>
      <c r="D1150" s="1" t="s">
        <v>3025</v>
      </c>
      <c r="E1150" s="7">
        <v>158</v>
      </c>
    </row>
    <row r="1151" spans="1:5" x14ac:dyDescent="0.25">
      <c r="A1151" s="5" t="s">
        <v>6</v>
      </c>
      <c r="B1151" s="5" t="s">
        <v>3026</v>
      </c>
      <c r="C1151" s="1" t="s">
        <v>3027</v>
      </c>
      <c r="D1151" s="1" t="s">
        <v>3028</v>
      </c>
      <c r="E1151" s="7">
        <v>148</v>
      </c>
    </row>
    <row r="1152" spans="1:5" x14ac:dyDescent="0.25">
      <c r="A1152" s="5" t="s">
        <v>6</v>
      </c>
      <c r="B1152" s="5" t="s">
        <v>3029</v>
      </c>
      <c r="C1152" s="1" t="s">
        <v>3030</v>
      </c>
      <c r="D1152" s="1" t="s">
        <v>3031</v>
      </c>
      <c r="E1152" s="7">
        <v>148</v>
      </c>
    </row>
    <row r="1153" spans="1:5" x14ac:dyDescent="0.25">
      <c r="A1153" s="5" t="s">
        <v>6</v>
      </c>
      <c r="B1153" s="5" t="s">
        <v>3032</v>
      </c>
      <c r="C1153" s="1" t="s">
        <v>3033</v>
      </c>
      <c r="D1153" s="1" t="s">
        <v>3034</v>
      </c>
      <c r="E1153" s="7">
        <v>190</v>
      </c>
    </row>
    <row r="1154" spans="1:5" x14ac:dyDescent="0.25">
      <c r="A1154" s="5" t="s">
        <v>6</v>
      </c>
      <c r="B1154" s="5" t="s">
        <v>3035</v>
      </c>
      <c r="C1154" s="1" t="s">
        <v>3036</v>
      </c>
      <c r="D1154" s="1" t="s">
        <v>3037</v>
      </c>
      <c r="E1154" s="7">
        <v>197</v>
      </c>
    </row>
    <row r="1155" spans="1:5" x14ac:dyDescent="0.25">
      <c r="A1155" s="5" t="s">
        <v>6</v>
      </c>
      <c r="B1155" s="5" t="s">
        <v>3038</v>
      </c>
      <c r="C1155" s="1" t="s">
        <v>3039</v>
      </c>
      <c r="D1155" s="1" t="s">
        <v>3039</v>
      </c>
      <c r="E1155" s="7">
        <v>495</v>
      </c>
    </row>
    <row r="1156" spans="1:5" x14ac:dyDescent="0.25">
      <c r="A1156" s="5" t="s">
        <v>6</v>
      </c>
      <c r="B1156" s="5" t="s">
        <v>3040</v>
      </c>
      <c r="C1156" s="1" t="s">
        <v>3041</v>
      </c>
      <c r="D1156" s="1" t="s">
        <v>3042</v>
      </c>
      <c r="E1156" s="7">
        <v>465</v>
      </c>
    </row>
    <row r="1157" spans="1:5" x14ac:dyDescent="0.25">
      <c r="A1157" s="5" t="s">
        <v>6</v>
      </c>
      <c r="B1157" s="5" t="s">
        <v>3043</v>
      </c>
      <c r="C1157" s="1" t="s">
        <v>3044</v>
      </c>
      <c r="D1157" s="1" t="s">
        <v>3044</v>
      </c>
      <c r="E1157" s="7">
        <v>495</v>
      </c>
    </row>
    <row r="1158" spans="1:5" x14ac:dyDescent="0.25">
      <c r="A1158" s="5" t="s">
        <v>6</v>
      </c>
      <c r="B1158" s="5" t="s">
        <v>3045</v>
      </c>
      <c r="C1158" s="1" t="s">
        <v>3046</v>
      </c>
      <c r="D1158" s="1" t="s">
        <v>3047</v>
      </c>
      <c r="E1158" s="7">
        <v>395</v>
      </c>
    </row>
    <row r="1159" spans="1:5" x14ac:dyDescent="0.25">
      <c r="A1159" s="5" t="s">
        <v>6</v>
      </c>
      <c r="B1159" s="5" t="s">
        <v>3048</v>
      </c>
      <c r="C1159" s="1" t="s">
        <v>3049</v>
      </c>
      <c r="D1159" s="1" t="s">
        <v>3050</v>
      </c>
      <c r="E1159" s="7">
        <v>713</v>
      </c>
    </row>
    <row r="1160" spans="1:5" x14ac:dyDescent="0.25">
      <c r="A1160" s="5" t="s">
        <v>6</v>
      </c>
      <c r="B1160" s="5" t="s">
        <v>3051</v>
      </c>
      <c r="C1160" s="1" t="s">
        <v>3052</v>
      </c>
      <c r="D1160" s="1" t="s">
        <v>3053</v>
      </c>
      <c r="E1160" s="7">
        <v>340</v>
      </c>
    </row>
    <row r="1161" spans="1:5" x14ac:dyDescent="0.25">
      <c r="A1161" s="5" t="s">
        <v>6</v>
      </c>
      <c r="B1161" s="5" t="s">
        <v>3054</v>
      </c>
      <c r="C1161" s="1" t="s">
        <v>3055</v>
      </c>
      <c r="D1161" s="1" t="s">
        <v>3056</v>
      </c>
      <c r="E1161" s="7">
        <v>1251</v>
      </c>
    </row>
    <row r="1162" spans="1:5" x14ac:dyDescent="0.25">
      <c r="A1162" s="5" t="s">
        <v>6</v>
      </c>
      <c r="B1162" s="5" t="s">
        <v>3057</v>
      </c>
      <c r="C1162" s="1" t="s">
        <v>3058</v>
      </c>
      <c r="D1162" s="1" t="s">
        <v>3058</v>
      </c>
      <c r="E1162" s="7">
        <v>154</v>
      </c>
    </row>
    <row r="1163" spans="1:5" x14ac:dyDescent="0.25">
      <c r="A1163" s="5" t="s">
        <v>6</v>
      </c>
      <c r="B1163" s="5" t="s">
        <v>3059</v>
      </c>
      <c r="C1163" s="1" t="s">
        <v>3060</v>
      </c>
      <c r="D1163" s="1" t="s">
        <v>3061</v>
      </c>
      <c r="E1163" s="7">
        <v>625</v>
      </c>
    </row>
    <row r="1164" spans="1:5" x14ac:dyDescent="0.25">
      <c r="A1164" s="5" t="s">
        <v>6</v>
      </c>
      <c r="B1164" s="5" t="s">
        <v>3062</v>
      </c>
      <c r="C1164" s="1" t="s">
        <v>3063</v>
      </c>
      <c r="D1164" s="1" t="s">
        <v>3064</v>
      </c>
      <c r="E1164" s="7">
        <v>185</v>
      </c>
    </row>
    <row r="1165" spans="1:5" x14ac:dyDescent="0.25">
      <c r="A1165" s="5" t="s">
        <v>6</v>
      </c>
      <c r="B1165" s="5" t="s">
        <v>3065</v>
      </c>
      <c r="C1165" s="1" t="s">
        <v>3066</v>
      </c>
      <c r="D1165" s="1" t="s">
        <v>3067</v>
      </c>
      <c r="E1165" s="7">
        <v>414</v>
      </c>
    </row>
    <row r="1166" spans="1:5" x14ac:dyDescent="0.25">
      <c r="A1166" s="5" t="s">
        <v>6</v>
      </c>
      <c r="B1166" s="5" t="s">
        <v>3068</v>
      </c>
      <c r="C1166" s="1" t="s">
        <v>3069</v>
      </c>
      <c r="D1166" s="1" t="s">
        <v>3070</v>
      </c>
      <c r="E1166" s="7">
        <v>414</v>
      </c>
    </row>
    <row r="1167" spans="1:5" x14ac:dyDescent="0.25">
      <c r="A1167" s="5" t="s">
        <v>6</v>
      </c>
      <c r="B1167" s="5" t="s">
        <v>3071</v>
      </c>
      <c r="C1167" s="1" t="s">
        <v>3072</v>
      </c>
      <c r="D1167" s="1" t="s">
        <v>3073</v>
      </c>
      <c r="E1167" s="7">
        <v>252</v>
      </c>
    </row>
    <row r="1168" spans="1:5" x14ac:dyDescent="0.25">
      <c r="A1168" s="5" t="s">
        <v>6</v>
      </c>
      <c r="B1168" s="5" t="s">
        <v>3074</v>
      </c>
      <c r="C1168" s="1" t="s">
        <v>3075</v>
      </c>
      <c r="D1168" s="1" t="s">
        <v>3075</v>
      </c>
      <c r="E1168" s="7">
        <v>381</v>
      </c>
    </row>
    <row r="1169" spans="1:5" x14ac:dyDescent="0.25">
      <c r="A1169" s="5" t="s">
        <v>6</v>
      </c>
      <c r="B1169" s="5" t="s">
        <v>3076</v>
      </c>
      <c r="C1169" s="1" t="s">
        <v>3077</v>
      </c>
      <c r="D1169" s="1" t="s">
        <v>2577</v>
      </c>
      <c r="E1169" s="7">
        <v>278</v>
      </c>
    </row>
    <row r="1170" spans="1:5" x14ac:dyDescent="0.25">
      <c r="A1170" s="5" t="s">
        <v>6</v>
      </c>
      <c r="B1170" s="5" t="s">
        <v>3078</v>
      </c>
      <c r="C1170" s="1" t="s">
        <v>3079</v>
      </c>
      <c r="D1170" s="1" t="s">
        <v>3080</v>
      </c>
      <c r="E1170" s="7">
        <v>203</v>
      </c>
    </row>
    <row r="1171" spans="1:5" x14ac:dyDescent="0.25">
      <c r="A1171" s="5" t="s">
        <v>6</v>
      </c>
      <c r="B1171" s="5" t="s">
        <v>3081</v>
      </c>
      <c r="C1171" s="1" t="s">
        <v>3082</v>
      </c>
      <c r="D1171" s="1" t="s">
        <v>3083</v>
      </c>
      <c r="E1171" s="7">
        <v>252</v>
      </c>
    </row>
    <row r="1172" spans="1:5" x14ac:dyDescent="0.25">
      <c r="A1172" s="5" t="s">
        <v>6</v>
      </c>
      <c r="B1172" s="5" t="s">
        <v>3084</v>
      </c>
      <c r="C1172" s="1" t="s">
        <v>3085</v>
      </c>
      <c r="D1172" s="1" t="s">
        <v>3085</v>
      </c>
      <c r="E1172" s="7">
        <v>406</v>
      </c>
    </row>
    <row r="1173" spans="1:5" x14ac:dyDescent="0.25">
      <c r="A1173" s="5" t="s">
        <v>6</v>
      </c>
      <c r="B1173" s="5" t="s">
        <v>3086</v>
      </c>
      <c r="C1173" s="1" t="s">
        <v>3087</v>
      </c>
      <c r="D1173" s="1" t="s">
        <v>3088</v>
      </c>
      <c r="E1173" s="7">
        <v>129</v>
      </c>
    </row>
    <row r="1174" spans="1:5" x14ac:dyDescent="0.25">
      <c r="A1174" s="5" t="s">
        <v>6</v>
      </c>
      <c r="B1174" s="5" t="s">
        <v>3089</v>
      </c>
      <c r="C1174" s="1" t="s">
        <v>3090</v>
      </c>
      <c r="D1174" s="1" t="s">
        <v>3091</v>
      </c>
      <c r="E1174" s="7">
        <v>145</v>
      </c>
    </row>
    <row r="1175" spans="1:5" x14ac:dyDescent="0.25">
      <c r="A1175" s="5" t="s">
        <v>6</v>
      </c>
      <c r="B1175" s="5" t="s">
        <v>3092</v>
      </c>
      <c r="C1175" s="1" t="s">
        <v>3093</v>
      </c>
      <c r="D1175" s="1" t="s">
        <v>3094</v>
      </c>
      <c r="E1175" s="7">
        <v>444</v>
      </c>
    </row>
    <row r="1176" spans="1:5" x14ac:dyDescent="0.25">
      <c r="A1176" s="5" t="s">
        <v>6</v>
      </c>
      <c r="B1176" s="5" t="s">
        <v>3095</v>
      </c>
      <c r="C1176" s="1" t="s">
        <v>3096</v>
      </c>
      <c r="D1176" s="1" t="s">
        <v>3096</v>
      </c>
      <c r="E1176" s="7">
        <v>294</v>
      </c>
    </row>
    <row r="1177" spans="1:5" x14ac:dyDescent="0.25">
      <c r="A1177" s="5" t="s">
        <v>6</v>
      </c>
      <c r="B1177" s="5" t="s">
        <v>3097</v>
      </c>
      <c r="C1177" s="1" t="s">
        <v>3098</v>
      </c>
      <c r="D1177" s="1" t="s">
        <v>3099</v>
      </c>
      <c r="E1177" s="7">
        <v>386</v>
      </c>
    </row>
    <row r="1178" spans="1:5" x14ac:dyDescent="0.25">
      <c r="A1178" s="5" t="s">
        <v>6</v>
      </c>
      <c r="B1178" s="5" t="s">
        <v>3100</v>
      </c>
      <c r="C1178" s="1" t="s">
        <v>3101</v>
      </c>
      <c r="D1178" s="1" t="s">
        <v>3102</v>
      </c>
      <c r="E1178" s="7">
        <v>404</v>
      </c>
    </row>
    <row r="1179" spans="1:5" x14ac:dyDescent="0.25">
      <c r="A1179" s="5" t="s">
        <v>6</v>
      </c>
      <c r="B1179" s="5" t="s">
        <v>3103</v>
      </c>
      <c r="C1179" s="1" t="s">
        <v>3104</v>
      </c>
      <c r="D1179" s="1" t="s">
        <v>3105</v>
      </c>
      <c r="E1179" s="7">
        <v>468</v>
      </c>
    </row>
    <row r="1180" spans="1:5" x14ac:dyDescent="0.25">
      <c r="A1180" s="5" t="s">
        <v>6</v>
      </c>
      <c r="B1180" s="5" t="s">
        <v>3106</v>
      </c>
      <c r="C1180" s="1" t="s">
        <v>3107</v>
      </c>
      <c r="D1180" s="1" t="s">
        <v>3108</v>
      </c>
      <c r="E1180" s="7">
        <v>318</v>
      </c>
    </row>
    <row r="1181" spans="1:5" x14ac:dyDescent="0.25">
      <c r="A1181" s="5" t="s">
        <v>6</v>
      </c>
      <c r="B1181" s="5" t="s">
        <v>3109</v>
      </c>
      <c r="C1181" s="1" t="s">
        <v>3110</v>
      </c>
      <c r="D1181" s="1" t="s">
        <v>3111</v>
      </c>
      <c r="E1181" s="7">
        <v>233</v>
      </c>
    </row>
    <row r="1182" spans="1:5" x14ac:dyDescent="0.25">
      <c r="A1182" s="5" t="s">
        <v>6</v>
      </c>
      <c r="B1182" s="5" t="s">
        <v>3112</v>
      </c>
      <c r="C1182" s="1" t="s">
        <v>3113</v>
      </c>
      <c r="D1182" s="1" t="s">
        <v>3114</v>
      </c>
      <c r="E1182" s="7">
        <v>1113</v>
      </c>
    </row>
    <row r="1183" spans="1:5" x14ac:dyDescent="0.25">
      <c r="A1183" s="5" t="s">
        <v>6</v>
      </c>
      <c r="B1183" s="5" t="s">
        <v>3115</v>
      </c>
      <c r="C1183" s="1" t="s">
        <v>3116</v>
      </c>
      <c r="D1183" s="1" t="s">
        <v>3114</v>
      </c>
      <c r="E1183" s="7">
        <v>1113</v>
      </c>
    </row>
    <row r="1184" spans="1:5" x14ac:dyDescent="0.25">
      <c r="A1184" s="5" t="s">
        <v>6</v>
      </c>
      <c r="B1184" s="5" t="s">
        <v>3117</v>
      </c>
      <c r="C1184" s="1" t="s">
        <v>3118</v>
      </c>
      <c r="D1184" s="1" t="s">
        <v>3119</v>
      </c>
      <c r="E1184" s="7">
        <v>1132</v>
      </c>
    </row>
    <row r="1185" spans="1:5" x14ac:dyDescent="0.25">
      <c r="A1185" s="5" t="s">
        <v>6</v>
      </c>
      <c r="B1185" s="5" t="s">
        <v>3120</v>
      </c>
      <c r="C1185" s="1" t="s">
        <v>3121</v>
      </c>
      <c r="D1185" s="1" t="s">
        <v>3114</v>
      </c>
      <c r="E1185" s="7">
        <v>1048</v>
      </c>
    </row>
    <row r="1186" spans="1:5" x14ac:dyDescent="0.25">
      <c r="A1186" s="5" t="s">
        <v>6</v>
      </c>
      <c r="B1186" s="5" t="s">
        <v>3122</v>
      </c>
      <c r="C1186" s="1" t="s">
        <v>3123</v>
      </c>
      <c r="D1186" s="1" t="s">
        <v>3124</v>
      </c>
      <c r="E1186" s="7">
        <v>1204</v>
      </c>
    </row>
    <row r="1187" spans="1:5" x14ac:dyDescent="0.25">
      <c r="A1187" s="5" t="s">
        <v>6</v>
      </c>
      <c r="B1187" s="5" t="s">
        <v>3125</v>
      </c>
      <c r="C1187" s="1" t="s">
        <v>3126</v>
      </c>
      <c r="D1187" s="1" t="s">
        <v>3114</v>
      </c>
      <c r="E1187" s="7">
        <v>1048</v>
      </c>
    </row>
    <row r="1188" spans="1:5" x14ac:dyDescent="0.25">
      <c r="A1188" s="5" t="s">
        <v>6</v>
      </c>
      <c r="B1188" s="5" t="s">
        <v>3127</v>
      </c>
      <c r="C1188" s="1" t="s">
        <v>3128</v>
      </c>
      <c r="D1188" s="1" t="s">
        <v>3129</v>
      </c>
      <c r="E1188" s="7">
        <v>309</v>
      </c>
    </row>
    <row r="1189" spans="1:5" x14ac:dyDescent="0.25">
      <c r="A1189" s="5" t="s">
        <v>6</v>
      </c>
      <c r="B1189" s="5" t="s">
        <v>3130</v>
      </c>
      <c r="C1189" s="1" t="s">
        <v>3131</v>
      </c>
      <c r="D1189" s="1" t="s">
        <v>3114</v>
      </c>
      <c r="E1189" s="7">
        <v>719</v>
      </c>
    </row>
    <row r="1190" spans="1:5" x14ac:dyDescent="0.25">
      <c r="A1190" s="5" t="s">
        <v>6</v>
      </c>
      <c r="B1190" s="5" t="s">
        <v>3132</v>
      </c>
      <c r="C1190" s="1" t="s">
        <v>3133</v>
      </c>
      <c r="D1190" s="1" t="s">
        <v>3114</v>
      </c>
      <c r="E1190" s="7">
        <v>1048</v>
      </c>
    </row>
    <row r="1191" spans="1:5" x14ac:dyDescent="0.25">
      <c r="A1191" s="5" t="s">
        <v>6</v>
      </c>
      <c r="B1191" s="5" t="s">
        <v>3134</v>
      </c>
      <c r="C1191" s="1" t="s">
        <v>3135</v>
      </c>
      <c r="D1191" s="1" t="s">
        <v>3114</v>
      </c>
      <c r="E1191" s="7">
        <v>1113</v>
      </c>
    </row>
    <row r="1192" spans="1:5" x14ac:dyDescent="0.25">
      <c r="A1192" s="5" t="s">
        <v>6</v>
      </c>
      <c r="B1192" s="5" t="s">
        <v>3136</v>
      </c>
      <c r="C1192" s="1" t="s">
        <v>3137</v>
      </c>
      <c r="D1192" s="1" t="s">
        <v>3114</v>
      </c>
      <c r="E1192" s="7">
        <v>1048</v>
      </c>
    </row>
    <row r="1193" spans="1:5" x14ac:dyDescent="0.25">
      <c r="A1193" s="5" t="s">
        <v>6</v>
      </c>
      <c r="B1193" s="5" t="s">
        <v>3138</v>
      </c>
      <c r="C1193" s="1" t="s">
        <v>3139</v>
      </c>
      <c r="D1193" s="1" t="s">
        <v>3114</v>
      </c>
      <c r="E1193" s="7">
        <v>1048</v>
      </c>
    </row>
    <row r="1194" spans="1:5" x14ac:dyDescent="0.25">
      <c r="A1194" s="5" t="s">
        <v>6</v>
      </c>
      <c r="B1194" s="5" t="s">
        <v>3140</v>
      </c>
      <c r="C1194" s="1" t="s">
        <v>3141</v>
      </c>
      <c r="D1194" s="1" t="s">
        <v>3114</v>
      </c>
      <c r="E1194" s="7">
        <v>1113</v>
      </c>
    </row>
    <row r="1195" spans="1:5" x14ac:dyDescent="0.25">
      <c r="A1195" s="5" t="s">
        <v>6</v>
      </c>
      <c r="B1195" s="5" t="s">
        <v>3142</v>
      </c>
      <c r="C1195" s="1" t="s">
        <v>3143</v>
      </c>
      <c r="D1195" s="1" t="s">
        <v>3114</v>
      </c>
      <c r="E1195" s="7">
        <v>1113</v>
      </c>
    </row>
    <row r="1196" spans="1:5" x14ac:dyDescent="0.25">
      <c r="A1196" s="5" t="s">
        <v>6</v>
      </c>
      <c r="B1196" s="5" t="s">
        <v>3144</v>
      </c>
      <c r="C1196" s="1" t="s">
        <v>3145</v>
      </c>
      <c r="D1196" s="1" t="s">
        <v>3114</v>
      </c>
      <c r="E1196" s="7">
        <v>1048</v>
      </c>
    </row>
    <row r="1197" spans="1:5" x14ac:dyDescent="0.25">
      <c r="A1197" s="5" t="s">
        <v>6</v>
      </c>
      <c r="B1197" s="5" t="s">
        <v>3146</v>
      </c>
      <c r="C1197" s="1" t="s">
        <v>3147</v>
      </c>
      <c r="D1197" s="1" t="s">
        <v>3148</v>
      </c>
      <c r="E1197" s="7">
        <v>1118</v>
      </c>
    </row>
    <row r="1198" spans="1:5" x14ac:dyDescent="0.25">
      <c r="A1198" s="5" t="s">
        <v>6</v>
      </c>
      <c r="B1198" s="5" t="s">
        <v>3149</v>
      </c>
      <c r="C1198" s="1" t="s">
        <v>3150</v>
      </c>
      <c r="D1198" s="1" t="s">
        <v>3151</v>
      </c>
      <c r="E1198" s="7">
        <v>536</v>
      </c>
    </row>
    <row r="1199" spans="1:5" x14ac:dyDescent="0.25">
      <c r="A1199" s="5" t="s">
        <v>6</v>
      </c>
      <c r="B1199" s="5" t="s">
        <v>3152</v>
      </c>
      <c r="C1199" s="1" t="s">
        <v>3153</v>
      </c>
      <c r="D1199" s="1" t="s">
        <v>3114</v>
      </c>
      <c r="E1199" s="7">
        <v>1113</v>
      </c>
    </row>
    <row r="1200" spans="1:5" x14ac:dyDescent="0.25">
      <c r="A1200" s="5" t="s">
        <v>6</v>
      </c>
      <c r="B1200" s="5" t="s">
        <v>3154</v>
      </c>
      <c r="C1200" s="1" t="s">
        <v>3155</v>
      </c>
      <c r="D1200" s="1" t="s">
        <v>3114</v>
      </c>
      <c r="E1200" s="7">
        <v>1113</v>
      </c>
    </row>
    <row r="1201" spans="1:5" x14ac:dyDescent="0.25">
      <c r="A1201" s="5" t="s">
        <v>6</v>
      </c>
      <c r="B1201" s="5" t="s">
        <v>3156</v>
      </c>
      <c r="C1201" s="1" t="s">
        <v>3157</v>
      </c>
      <c r="D1201" s="1" t="s">
        <v>3158</v>
      </c>
      <c r="E1201" s="7">
        <v>247</v>
      </c>
    </row>
    <row r="1202" spans="1:5" x14ac:dyDescent="0.25">
      <c r="A1202" s="5" t="s">
        <v>6</v>
      </c>
      <c r="B1202" s="5" t="s">
        <v>3159</v>
      </c>
      <c r="C1202" s="1" t="s">
        <v>3160</v>
      </c>
      <c r="D1202" s="1" t="s">
        <v>3161</v>
      </c>
      <c r="E1202" s="7">
        <v>382</v>
      </c>
    </row>
    <row r="1203" spans="1:5" x14ac:dyDescent="0.25">
      <c r="A1203" s="5" t="s">
        <v>6</v>
      </c>
      <c r="B1203" s="5" t="s">
        <v>3162</v>
      </c>
      <c r="C1203" s="1" t="s">
        <v>3163</v>
      </c>
      <c r="D1203" s="1" t="s">
        <v>3164</v>
      </c>
      <c r="E1203" s="7">
        <v>1161</v>
      </c>
    </row>
    <row r="1204" spans="1:5" x14ac:dyDescent="0.25">
      <c r="A1204" s="5" t="s">
        <v>6</v>
      </c>
      <c r="B1204" s="5" t="s">
        <v>3165</v>
      </c>
      <c r="C1204" s="1" t="s">
        <v>3166</v>
      </c>
      <c r="D1204" s="1" t="s">
        <v>3158</v>
      </c>
      <c r="E1204" s="7">
        <v>285</v>
      </c>
    </row>
    <row r="1205" spans="1:5" x14ac:dyDescent="0.25">
      <c r="A1205" s="5" t="s">
        <v>6</v>
      </c>
      <c r="B1205" s="5" t="s">
        <v>3167</v>
      </c>
      <c r="C1205" s="1" t="s">
        <v>3168</v>
      </c>
      <c r="D1205" s="1" t="s">
        <v>3169</v>
      </c>
      <c r="E1205" s="7">
        <v>211</v>
      </c>
    </row>
    <row r="1206" spans="1:5" x14ac:dyDescent="0.25">
      <c r="A1206" s="5" t="s">
        <v>6</v>
      </c>
      <c r="B1206" s="5" t="s">
        <v>3170</v>
      </c>
      <c r="C1206" s="1" t="s">
        <v>3171</v>
      </c>
      <c r="D1206" s="1" t="s">
        <v>3114</v>
      </c>
      <c r="E1206" s="7">
        <v>1113</v>
      </c>
    </row>
    <row r="1207" spans="1:5" x14ac:dyDescent="0.25">
      <c r="A1207" s="5" t="s">
        <v>6</v>
      </c>
      <c r="B1207" s="5" t="s">
        <v>3172</v>
      </c>
      <c r="C1207" s="1" t="s">
        <v>3173</v>
      </c>
      <c r="D1207" s="1" t="s">
        <v>3158</v>
      </c>
      <c r="E1207" s="7">
        <v>228</v>
      </c>
    </row>
    <row r="1208" spans="1:5" x14ac:dyDescent="0.25">
      <c r="A1208" s="5" t="s">
        <v>6</v>
      </c>
      <c r="B1208" s="5" t="s">
        <v>3174</v>
      </c>
      <c r="C1208" s="1" t="s">
        <v>3175</v>
      </c>
      <c r="D1208" s="1" t="s">
        <v>3176</v>
      </c>
      <c r="E1208" s="7">
        <v>966</v>
      </c>
    </row>
    <row r="1209" spans="1:5" x14ac:dyDescent="0.25">
      <c r="A1209" s="5" t="s">
        <v>6</v>
      </c>
      <c r="B1209" s="5" t="s">
        <v>3177</v>
      </c>
      <c r="C1209" s="1" t="s">
        <v>3178</v>
      </c>
      <c r="D1209" s="1" t="s">
        <v>3179</v>
      </c>
      <c r="E1209" s="7">
        <v>214</v>
      </c>
    </row>
    <row r="1210" spans="1:5" x14ac:dyDescent="0.25">
      <c r="A1210" s="5" t="s">
        <v>6</v>
      </c>
      <c r="B1210" s="5" t="s">
        <v>3180</v>
      </c>
      <c r="C1210" s="1" t="s">
        <v>3181</v>
      </c>
      <c r="D1210" s="1" t="s">
        <v>3182</v>
      </c>
      <c r="E1210" s="7">
        <v>608</v>
      </c>
    </row>
    <row r="1211" spans="1:5" x14ac:dyDescent="0.25">
      <c r="A1211" s="5" t="s">
        <v>6</v>
      </c>
      <c r="B1211" s="5" t="s">
        <v>3183</v>
      </c>
      <c r="C1211" s="1" t="s">
        <v>3184</v>
      </c>
      <c r="D1211" s="1" t="s">
        <v>3185</v>
      </c>
      <c r="E1211" s="7">
        <v>392</v>
      </c>
    </row>
    <row r="1212" spans="1:5" x14ac:dyDescent="0.25">
      <c r="A1212" s="5" t="s">
        <v>6</v>
      </c>
      <c r="B1212" s="5" t="s">
        <v>3186</v>
      </c>
      <c r="C1212" s="1" t="s">
        <v>3187</v>
      </c>
      <c r="D1212" s="1" t="s">
        <v>3188</v>
      </c>
      <c r="E1212" s="7">
        <v>360</v>
      </c>
    </row>
    <row r="1213" spans="1:5" x14ac:dyDescent="0.25">
      <c r="A1213" s="5" t="s">
        <v>6</v>
      </c>
      <c r="B1213" s="5" t="s">
        <v>3189</v>
      </c>
      <c r="C1213" s="1" t="s">
        <v>3190</v>
      </c>
      <c r="D1213" s="1" t="s">
        <v>3188</v>
      </c>
      <c r="E1213" s="7">
        <v>235</v>
      </c>
    </row>
    <row r="1214" spans="1:5" x14ac:dyDescent="0.25">
      <c r="A1214" s="5" t="s">
        <v>6</v>
      </c>
      <c r="B1214" s="5" t="s">
        <v>3191</v>
      </c>
      <c r="C1214" s="1" t="s">
        <v>3192</v>
      </c>
      <c r="D1214" s="1" t="s">
        <v>3188</v>
      </c>
      <c r="E1214" s="7">
        <v>207</v>
      </c>
    </row>
    <row r="1215" spans="1:5" x14ac:dyDescent="0.25">
      <c r="A1215" s="5" t="s">
        <v>6</v>
      </c>
      <c r="B1215" s="5" t="s">
        <v>3193</v>
      </c>
      <c r="C1215" s="1" t="s">
        <v>3194</v>
      </c>
      <c r="D1215" s="1" t="s">
        <v>3194</v>
      </c>
      <c r="E1215" s="7">
        <v>1074</v>
      </c>
    </row>
    <row r="1216" spans="1:5" x14ac:dyDescent="0.25">
      <c r="A1216" s="5" t="s">
        <v>6</v>
      </c>
      <c r="B1216" s="5" t="s">
        <v>3195</v>
      </c>
      <c r="C1216" s="1" t="s">
        <v>3196</v>
      </c>
      <c r="D1216" s="1" t="s">
        <v>3197</v>
      </c>
      <c r="E1216" s="7">
        <v>222</v>
      </c>
    </row>
    <row r="1217" spans="1:5" x14ac:dyDescent="0.25">
      <c r="A1217" s="5" t="s">
        <v>6</v>
      </c>
      <c r="B1217" s="5" t="s">
        <v>3198</v>
      </c>
      <c r="C1217" s="1" t="s">
        <v>3199</v>
      </c>
      <c r="D1217" s="1" t="s">
        <v>3199</v>
      </c>
      <c r="E1217" s="7">
        <v>258</v>
      </c>
    </row>
    <row r="1218" spans="1:5" x14ac:dyDescent="0.25">
      <c r="A1218" s="5" t="s">
        <v>6</v>
      </c>
      <c r="B1218" s="5" t="s">
        <v>3200</v>
      </c>
      <c r="C1218" s="1" t="s">
        <v>3201</v>
      </c>
      <c r="D1218" s="1" t="s">
        <v>3202</v>
      </c>
      <c r="E1218" s="7">
        <v>497</v>
      </c>
    </row>
    <row r="1219" spans="1:5" x14ac:dyDescent="0.25">
      <c r="A1219" s="5" t="s">
        <v>6</v>
      </c>
      <c r="B1219" s="5" t="s">
        <v>3203</v>
      </c>
      <c r="C1219" s="1" t="s">
        <v>3204</v>
      </c>
      <c r="D1219" s="1" t="s">
        <v>3205</v>
      </c>
      <c r="E1219" s="7">
        <v>524</v>
      </c>
    </row>
    <row r="1220" spans="1:5" x14ac:dyDescent="0.25">
      <c r="A1220" s="5" t="s">
        <v>6</v>
      </c>
      <c r="B1220" s="5" t="s">
        <v>3206</v>
      </c>
      <c r="C1220" s="1" t="s">
        <v>3207</v>
      </c>
      <c r="D1220" s="1" t="s">
        <v>3208</v>
      </c>
      <c r="E1220" s="7">
        <v>222</v>
      </c>
    </row>
    <row r="1221" spans="1:5" x14ac:dyDescent="0.25">
      <c r="A1221" s="5" t="s">
        <v>6</v>
      </c>
      <c r="B1221" s="5" t="s">
        <v>3209</v>
      </c>
      <c r="C1221" s="1" t="s">
        <v>3210</v>
      </c>
      <c r="D1221" s="1" t="s">
        <v>3211</v>
      </c>
      <c r="E1221" s="7">
        <v>341</v>
      </c>
    </row>
    <row r="1222" spans="1:5" x14ac:dyDescent="0.25">
      <c r="A1222" s="5" t="s">
        <v>6</v>
      </c>
      <c r="B1222" s="5" t="s">
        <v>3212</v>
      </c>
      <c r="C1222" s="1" t="s">
        <v>3213</v>
      </c>
      <c r="D1222" s="1" t="s">
        <v>3214</v>
      </c>
      <c r="E1222" s="7">
        <v>1823</v>
      </c>
    </row>
    <row r="1223" spans="1:5" x14ac:dyDescent="0.25">
      <c r="A1223" s="5" t="s">
        <v>6</v>
      </c>
      <c r="B1223" s="5" t="s">
        <v>3215</v>
      </c>
      <c r="C1223" s="1" t="s">
        <v>3216</v>
      </c>
      <c r="D1223" s="1" t="s">
        <v>3217</v>
      </c>
      <c r="E1223" s="7">
        <v>185</v>
      </c>
    </row>
    <row r="1224" spans="1:5" x14ac:dyDescent="0.25">
      <c r="A1224" s="5" t="s">
        <v>6</v>
      </c>
      <c r="B1224" s="5" t="s">
        <v>3218</v>
      </c>
      <c r="C1224" s="1" t="s">
        <v>3219</v>
      </c>
      <c r="D1224" s="1" t="s">
        <v>3220</v>
      </c>
      <c r="E1224" s="7">
        <v>185</v>
      </c>
    </row>
    <row r="1225" spans="1:5" x14ac:dyDescent="0.25">
      <c r="A1225" s="5" t="s">
        <v>6</v>
      </c>
      <c r="B1225" s="5" t="s">
        <v>3221</v>
      </c>
      <c r="C1225" s="1" t="s">
        <v>3222</v>
      </c>
      <c r="D1225" s="1" t="s">
        <v>3223</v>
      </c>
      <c r="E1225" s="7">
        <v>229</v>
      </c>
    </row>
    <row r="1226" spans="1:5" x14ac:dyDescent="0.25">
      <c r="A1226" s="5" t="s">
        <v>6</v>
      </c>
      <c r="B1226" s="5" t="s">
        <v>3224</v>
      </c>
      <c r="C1226" s="1" t="s">
        <v>3225</v>
      </c>
      <c r="D1226" s="1" t="s">
        <v>3226</v>
      </c>
      <c r="E1226" s="7">
        <v>233</v>
      </c>
    </row>
    <row r="1227" spans="1:5" x14ac:dyDescent="0.25">
      <c r="A1227" s="5" t="s">
        <v>6</v>
      </c>
      <c r="B1227" s="5" t="s">
        <v>3227</v>
      </c>
      <c r="C1227" s="1" t="s">
        <v>3228</v>
      </c>
      <c r="D1227" s="1" t="s">
        <v>3228</v>
      </c>
      <c r="E1227" s="7">
        <v>437</v>
      </c>
    </row>
    <row r="1228" spans="1:5" x14ac:dyDescent="0.25">
      <c r="A1228" s="5" t="s">
        <v>6</v>
      </c>
      <c r="B1228" s="5" t="s">
        <v>3229</v>
      </c>
      <c r="C1228" s="1" t="s">
        <v>3230</v>
      </c>
      <c r="D1228" s="1" t="s">
        <v>3231</v>
      </c>
      <c r="E1228" s="7">
        <v>260</v>
      </c>
    </row>
    <row r="1229" spans="1:5" x14ac:dyDescent="0.25">
      <c r="A1229" s="5" t="s">
        <v>6</v>
      </c>
      <c r="B1229" s="5" t="s">
        <v>3232</v>
      </c>
      <c r="C1229" s="1" t="s">
        <v>3233</v>
      </c>
      <c r="D1229" s="1" t="s">
        <v>3234</v>
      </c>
      <c r="E1229" s="7">
        <v>966</v>
      </c>
    </row>
    <row r="1230" spans="1:5" x14ac:dyDescent="0.25">
      <c r="A1230" s="5" t="s">
        <v>6</v>
      </c>
      <c r="B1230" s="5" t="s">
        <v>3235</v>
      </c>
      <c r="C1230" s="1" t="s">
        <v>3236</v>
      </c>
      <c r="D1230" s="1" t="s">
        <v>3237</v>
      </c>
      <c r="E1230" s="7">
        <v>486</v>
      </c>
    </row>
    <row r="1231" spans="1:5" x14ac:dyDescent="0.25">
      <c r="A1231" s="5" t="s">
        <v>6</v>
      </c>
      <c r="B1231" s="5" t="s">
        <v>3238</v>
      </c>
      <c r="C1231" s="1" t="s">
        <v>3239</v>
      </c>
      <c r="D1231" s="1" t="s">
        <v>3158</v>
      </c>
      <c r="E1231" s="7">
        <v>338</v>
      </c>
    </row>
    <row r="1232" spans="1:5" x14ac:dyDescent="0.25">
      <c r="A1232" s="5" t="s">
        <v>6</v>
      </c>
      <c r="B1232" s="5" t="s">
        <v>3240</v>
      </c>
      <c r="C1232" s="1" t="s">
        <v>3241</v>
      </c>
      <c r="D1232" s="1" t="s">
        <v>3242</v>
      </c>
      <c r="E1232" s="7">
        <v>387</v>
      </c>
    </row>
    <row r="1233" spans="1:5" x14ac:dyDescent="0.25">
      <c r="A1233" s="5" t="s">
        <v>6</v>
      </c>
      <c r="B1233" s="5" t="s">
        <v>3243</v>
      </c>
      <c r="C1233" s="1" t="s">
        <v>3244</v>
      </c>
      <c r="D1233" s="1" t="s">
        <v>3245</v>
      </c>
      <c r="E1233" s="7">
        <v>465</v>
      </c>
    </row>
    <row r="1234" spans="1:5" x14ac:dyDescent="0.25">
      <c r="A1234" s="5" t="s">
        <v>6</v>
      </c>
      <c r="B1234" s="5" t="s">
        <v>3246</v>
      </c>
      <c r="C1234" s="1" t="s">
        <v>3247</v>
      </c>
      <c r="D1234" s="1" t="s">
        <v>3248</v>
      </c>
      <c r="E1234" s="7">
        <v>201</v>
      </c>
    </row>
    <row r="1235" spans="1:5" x14ac:dyDescent="0.25">
      <c r="A1235" s="5" t="s">
        <v>6</v>
      </c>
      <c r="B1235" s="5" t="s">
        <v>3249</v>
      </c>
      <c r="C1235" s="1" t="s">
        <v>3250</v>
      </c>
      <c r="D1235" s="1" t="s">
        <v>3251</v>
      </c>
      <c r="E1235" s="7">
        <v>230</v>
      </c>
    </row>
    <row r="1236" spans="1:5" x14ac:dyDescent="0.25">
      <c r="A1236" s="5" t="s">
        <v>6</v>
      </c>
      <c r="B1236" s="5" t="s">
        <v>3252</v>
      </c>
      <c r="C1236" s="1" t="s">
        <v>3253</v>
      </c>
      <c r="D1236" s="1" t="s">
        <v>3254</v>
      </c>
      <c r="E1236" s="7">
        <v>46</v>
      </c>
    </row>
    <row r="1237" spans="1:5" x14ac:dyDescent="0.25">
      <c r="A1237" s="5" t="s">
        <v>6</v>
      </c>
      <c r="B1237" s="5" t="s">
        <v>3255</v>
      </c>
      <c r="C1237" s="1" t="s">
        <v>3256</v>
      </c>
      <c r="D1237" s="1" t="s">
        <v>3257</v>
      </c>
      <c r="E1237" s="7">
        <v>33</v>
      </c>
    </row>
    <row r="1238" spans="1:5" x14ac:dyDescent="0.25">
      <c r="A1238" s="5" t="s">
        <v>6</v>
      </c>
      <c r="B1238" s="5" t="s">
        <v>3258</v>
      </c>
      <c r="C1238" s="1" t="s">
        <v>3259</v>
      </c>
      <c r="D1238" s="1" t="s">
        <v>3260</v>
      </c>
      <c r="E1238" s="7">
        <v>78</v>
      </c>
    </row>
    <row r="1239" spans="1:5" x14ac:dyDescent="0.25">
      <c r="A1239" s="5" t="s">
        <v>6</v>
      </c>
      <c r="B1239" s="5" t="s">
        <v>3261</v>
      </c>
      <c r="C1239" s="1" t="s">
        <v>3262</v>
      </c>
      <c r="D1239" s="1" t="s">
        <v>3263</v>
      </c>
      <c r="E1239" s="7">
        <v>203</v>
      </c>
    </row>
    <row r="1240" spans="1:5" x14ac:dyDescent="0.25">
      <c r="A1240" s="5" t="s">
        <v>6</v>
      </c>
      <c r="B1240" s="5" t="s">
        <v>3264</v>
      </c>
      <c r="C1240" s="1" t="s">
        <v>3265</v>
      </c>
      <c r="D1240" s="1" t="s">
        <v>3265</v>
      </c>
      <c r="E1240" s="7">
        <v>71</v>
      </c>
    </row>
    <row r="1241" spans="1:5" x14ac:dyDescent="0.25">
      <c r="A1241" s="5" t="s">
        <v>6</v>
      </c>
      <c r="B1241" s="5" t="s">
        <v>3266</v>
      </c>
      <c r="C1241" s="1" t="s">
        <v>3267</v>
      </c>
      <c r="D1241" s="1" t="s">
        <v>3267</v>
      </c>
      <c r="E1241" s="7">
        <v>63</v>
      </c>
    </row>
    <row r="1242" spans="1:5" x14ac:dyDescent="0.25">
      <c r="A1242" s="5" t="s">
        <v>6</v>
      </c>
      <c r="B1242" s="5" t="s">
        <v>3268</v>
      </c>
      <c r="C1242" s="1" t="s">
        <v>3269</v>
      </c>
      <c r="D1242" s="1" t="s">
        <v>3269</v>
      </c>
      <c r="E1242" s="7">
        <v>53</v>
      </c>
    </row>
    <row r="1243" spans="1:5" x14ac:dyDescent="0.25">
      <c r="A1243" s="5" t="s">
        <v>6</v>
      </c>
      <c r="B1243" s="5" t="s">
        <v>3270</v>
      </c>
      <c r="C1243" s="1" t="s">
        <v>3271</v>
      </c>
      <c r="D1243" s="1" t="s">
        <v>3271</v>
      </c>
      <c r="E1243" s="7">
        <v>95</v>
      </c>
    </row>
    <row r="1244" spans="1:5" x14ac:dyDescent="0.25">
      <c r="A1244" s="5" t="s">
        <v>6</v>
      </c>
      <c r="B1244" s="5" t="s">
        <v>3272</v>
      </c>
      <c r="C1244" s="1" t="s">
        <v>3273</v>
      </c>
      <c r="D1244" s="1" t="s">
        <v>3274</v>
      </c>
      <c r="E1244" s="7">
        <v>1799</v>
      </c>
    </row>
    <row r="1245" spans="1:5" x14ac:dyDescent="0.25">
      <c r="A1245" s="5" t="s">
        <v>6</v>
      </c>
      <c r="B1245" s="5" t="s">
        <v>3275</v>
      </c>
      <c r="C1245" s="1" t="s">
        <v>3276</v>
      </c>
      <c r="D1245" s="1" t="s">
        <v>3277</v>
      </c>
      <c r="E1245" s="7">
        <v>1320</v>
      </c>
    </row>
    <row r="1246" spans="1:5" x14ac:dyDescent="0.25">
      <c r="A1246" s="5" t="s">
        <v>6</v>
      </c>
      <c r="B1246" s="5" t="s">
        <v>3278</v>
      </c>
      <c r="C1246" s="1" t="s">
        <v>3279</v>
      </c>
      <c r="D1246" s="1" t="s">
        <v>3280</v>
      </c>
      <c r="E1246" s="7">
        <v>2073</v>
      </c>
    </row>
    <row r="1247" spans="1:5" x14ac:dyDescent="0.25">
      <c r="A1247" s="5" t="s">
        <v>6</v>
      </c>
      <c r="B1247" s="5" t="s">
        <v>3281</v>
      </c>
      <c r="C1247" s="1" t="s">
        <v>3282</v>
      </c>
      <c r="D1247" s="1" t="s">
        <v>3283</v>
      </c>
      <c r="E1247" s="7">
        <v>810</v>
      </c>
    </row>
    <row r="1248" spans="1:5" x14ac:dyDescent="0.25">
      <c r="A1248" s="5" t="s">
        <v>6</v>
      </c>
      <c r="B1248" s="5" t="s">
        <v>3284</v>
      </c>
      <c r="C1248" s="1" t="s">
        <v>3285</v>
      </c>
      <c r="D1248" s="1" t="s">
        <v>3286</v>
      </c>
      <c r="E1248" s="7">
        <v>582</v>
      </c>
    </row>
    <row r="1249" spans="1:5" x14ac:dyDescent="0.25">
      <c r="A1249" s="5" t="s">
        <v>6</v>
      </c>
      <c r="B1249" s="5" t="s">
        <v>3287</v>
      </c>
      <c r="C1249" s="1" t="s">
        <v>3288</v>
      </c>
      <c r="D1249" s="1" t="s">
        <v>3289</v>
      </c>
      <c r="E1249" s="7">
        <v>414</v>
      </c>
    </row>
    <row r="1250" spans="1:5" x14ac:dyDescent="0.25">
      <c r="A1250" s="5" t="s">
        <v>6</v>
      </c>
      <c r="B1250" s="5" t="s">
        <v>3290</v>
      </c>
      <c r="C1250" s="1" t="s">
        <v>3291</v>
      </c>
      <c r="D1250" s="1" t="s">
        <v>3292</v>
      </c>
      <c r="E1250" s="7">
        <v>529</v>
      </c>
    </row>
    <row r="1251" spans="1:5" x14ac:dyDescent="0.25">
      <c r="A1251" s="5" t="s">
        <v>6</v>
      </c>
      <c r="B1251" s="5" t="s">
        <v>3293</v>
      </c>
      <c r="C1251" s="1" t="s">
        <v>3294</v>
      </c>
      <c r="D1251" s="1" t="s">
        <v>3294</v>
      </c>
      <c r="E1251" s="7">
        <v>306</v>
      </c>
    </row>
    <row r="1252" spans="1:5" x14ac:dyDescent="0.25">
      <c r="A1252" s="5" t="s">
        <v>6</v>
      </c>
      <c r="B1252" s="5" t="s">
        <v>3295</v>
      </c>
      <c r="C1252" s="1" t="s">
        <v>3296</v>
      </c>
      <c r="D1252" s="1" t="s">
        <v>3297</v>
      </c>
      <c r="E1252" s="7">
        <v>222</v>
      </c>
    </row>
    <row r="1253" spans="1:5" x14ac:dyDescent="0.25">
      <c r="A1253" s="5" t="s">
        <v>6</v>
      </c>
      <c r="B1253" s="5" t="s">
        <v>3298</v>
      </c>
      <c r="C1253" s="1" t="s">
        <v>3299</v>
      </c>
      <c r="D1253" s="1" t="s">
        <v>3300</v>
      </c>
      <c r="E1253" s="7">
        <v>1320</v>
      </c>
    </row>
    <row r="1254" spans="1:5" x14ac:dyDescent="0.25">
      <c r="A1254" s="5" t="s">
        <v>6</v>
      </c>
      <c r="B1254" s="5" t="s">
        <v>3301</v>
      </c>
      <c r="C1254" s="1" t="s">
        <v>3302</v>
      </c>
      <c r="D1254" s="1" t="s">
        <v>3303</v>
      </c>
      <c r="E1254" s="7">
        <v>216</v>
      </c>
    </row>
    <row r="1255" spans="1:5" x14ac:dyDescent="0.25">
      <c r="A1255" s="5" t="s">
        <v>6</v>
      </c>
      <c r="B1255" s="5" t="s">
        <v>3304</v>
      </c>
      <c r="C1255" s="1" t="s">
        <v>3305</v>
      </c>
      <c r="D1255" s="1" t="s">
        <v>3306</v>
      </c>
      <c r="E1255" s="7">
        <v>610</v>
      </c>
    </row>
    <row r="1256" spans="1:5" x14ac:dyDescent="0.25">
      <c r="A1256" s="5" t="s">
        <v>6</v>
      </c>
      <c r="B1256" s="5" t="s">
        <v>3307</v>
      </c>
      <c r="C1256" s="1" t="s">
        <v>3308</v>
      </c>
      <c r="D1256" s="1" t="s">
        <v>3309</v>
      </c>
      <c r="E1256" s="7">
        <v>748</v>
      </c>
    </row>
    <row r="1257" spans="1:5" x14ac:dyDescent="0.25">
      <c r="A1257" s="5" t="s">
        <v>6</v>
      </c>
      <c r="B1257" s="5" t="s">
        <v>3310</v>
      </c>
      <c r="C1257" s="1" t="s">
        <v>3311</v>
      </c>
      <c r="D1257" s="1" t="s">
        <v>3312</v>
      </c>
      <c r="E1257" s="7">
        <v>268</v>
      </c>
    </row>
    <row r="1258" spans="1:5" x14ac:dyDescent="0.25">
      <c r="A1258" s="5" t="s">
        <v>6</v>
      </c>
      <c r="B1258" s="5" t="s">
        <v>3313</v>
      </c>
      <c r="C1258" s="1" t="s">
        <v>3314</v>
      </c>
      <c r="D1258" s="1" t="s">
        <v>3315</v>
      </c>
      <c r="E1258" s="7">
        <v>492</v>
      </c>
    </row>
    <row r="1259" spans="1:5" x14ac:dyDescent="0.25">
      <c r="A1259" s="5" t="s">
        <v>6</v>
      </c>
      <c r="B1259" s="5" t="s">
        <v>3316</v>
      </c>
      <c r="C1259" s="1" t="s">
        <v>3317</v>
      </c>
      <c r="D1259" s="1" t="s">
        <v>3318</v>
      </c>
      <c r="E1259" s="7">
        <v>2290</v>
      </c>
    </row>
    <row r="1260" spans="1:5" x14ac:dyDescent="0.25">
      <c r="A1260" s="5" t="s">
        <v>6</v>
      </c>
      <c r="B1260" s="5" t="s">
        <v>3319</v>
      </c>
      <c r="C1260" s="1" t="s">
        <v>3320</v>
      </c>
      <c r="D1260" s="1" t="s">
        <v>3321</v>
      </c>
      <c r="E1260" s="7">
        <v>3558</v>
      </c>
    </row>
    <row r="1261" spans="1:5" x14ac:dyDescent="0.25">
      <c r="A1261" s="5" t="s">
        <v>6</v>
      </c>
      <c r="B1261" s="5" t="s">
        <v>3322</v>
      </c>
      <c r="C1261" s="1" t="s">
        <v>3323</v>
      </c>
      <c r="D1261" s="1" t="s">
        <v>3323</v>
      </c>
      <c r="E1261" s="7">
        <v>245</v>
      </c>
    </row>
    <row r="1262" spans="1:5" x14ac:dyDescent="0.25">
      <c r="A1262" s="5" t="s">
        <v>6</v>
      </c>
      <c r="B1262" s="5" t="s">
        <v>3324</v>
      </c>
      <c r="C1262" s="1" t="s">
        <v>3325</v>
      </c>
      <c r="D1262" s="1" t="s">
        <v>3326</v>
      </c>
      <c r="E1262" s="7">
        <v>625</v>
      </c>
    </row>
    <row r="1263" spans="1:5" x14ac:dyDescent="0.25">
      <c r="A1263" s="5" t="s">
        <v>6</v>
      </c>
      <c r="B1263" s="5" t="s">
        <v>3327</v>
      </c>
      <c r="C1263" s="1" t="s">
        <v>3328</v>
      </c>
      <c r="D1263" s="1" t="s">
        <v>3329</v>
      </c>
      <c r="E1263" s="7">
        <v>302</v>
      </c>
    </row>
    <row r="1264" spans="1:5" x14ac:dyDescent="0.25">
      <c r="A1264" s="5" t="s">
        <v>6</v>
      </c>
      <c r="B1264" s="5" t="s">
        <v>3330</v>
      </c>
      <c r="C1264" s="1" t="s">
        <v>3331</v>
      </c>
      <c r="D1264" s="1" t="s">
        <v>3332</v>
      </c>
      <c r="E1264" s="7">
        <v>218</v>
      </c>
    </row>
    <row r="1265" spans="1:5" x14ac:dyDescent="0.25">
      <c r="A1265" s="5" t="s">
        <v>6</v>
      </c>
      <c r="B1265" s="5" t="s">
        <v>3333</v>
      </c>
      <c r="C1265" s="1" t="s">
        <v>3334</v>
      </c>
      <c r="D1265" s="1" t="s">
        <v>3335</v>
      </c>
      <c r="E1265" s="7">
        <v>563</v>
      </c>
    </row>
    <row r="1266" spans="1:5" x14ac:dyDescent="0.25">
      <c r="A1266" s="5" t="s">
        <v>6</v>
      </c>
      <c r="B1266" s="5" t="s">
        <v>3336</v>
      </c>
      <c r="C1266" s="1" t="s">
        <v>3337</v>
      </c>
      <c r="D1266" s="1" t="s">
        <v>3338</v>
      </c>
      <c r="E1266" s="7">
        <v>283</v>
      </c>
    </row>
    <row r="1267" spans="1:5" x14ac:dyDescent="0.25">
      <c r="A1267" s="5" t="s">
        <v>6</v>
      </c>
      <c r="B1267" s="5" t="s">
        <v>3339</v>
      </c>
      <c r="C1267" s="1" t="s">
        <v>3340</v>
      </c>
      <c r="D1267" s="1" t="s">
        <v>3341</v>
      </c>
      <c r="E1267" s="7">
        <v>1872</v>
      </c>
    </row>
    <row r="1268" spans="1:5" x14ac:dyDescent="0.25">
      <c r="A1268" s="5" t="s">
        <v>6</v>
      </c>
      <c r="B1268" s="5" t="s">
        <v>3342</v>
      </c>
      <c r="C1268" s="1" t="s">
        <v>3343</v>
      </c>
      <c r="D1268" s="1" t="s">
        <v>3344</v>
      </c>
      <c r="E1268" s="7">
        <v>5143</v>
      </c>
    </row>
    <row r="1269" spans="1:5" x14ac:dyDescent="0.25">
      <c r="A1269" s="5" t="s">
        <v>6</v>
      </c>
      <c r="B1269" s="5" t="s">
        <v>3345</v>
      </c>
      <c r="C1269" s="1" t="s">
        <v>3346</v>
      </c>
      <c r="D1269" s="1" t="s">
        <v>3347</v>
      </c>
      <c r="E1269" s="7">
        <v>868</v>
      </c>
    </row>
    <row r="1270" spans="1:5" x14ac:dyDescent="0.25">
      <c r="A1270" s="5" t="s">
        <v>6</v>
      </c>
      <c r="B1270" s="5" t="s">
        <v>3348</v>
      </c>
      <c r="C1270" s="1" t="s">
        <v>3349</v>
      </c>
      <c r="D1270" s="1" t="s">
        <v>3251</v>
      </c>
      <c r="E1270" s="7">
        <v>211</v>
      </c>
    </row>
    <row r="1271" spans="1:5" x14ac:dyDescent="0.25">
      <c r="A1271" s="5" t="s">
        <v>6</v>
      </c>
      <c r="B1271" s="5" t="s">
        <v>3350</v>
      </c>
      <c r="C1271" s="1" t="s">
        <v>3351</v>
      </c>
      <c r="D1271" s="1" t="s">
        <v>3352</v>
      </c>
      <c r="E1271" s="7">
        <v>639</v>
      </c>
    </row>
    <row r="1272" spans="1:5" x14ac:dyDescent="0.25">
      <c r="A1272" s="5" t="s">
        <v>6</v>
      </c>
      <c r="B1272" s="5" t="s">
        <v>3353</v>
      </c>
      <c r="C1272" s="1" t="s">
        <v>3354</v>
      </c>
      <c r="D1272" s="1" t="s">
        <v>3354</v>
      </c>
      <c r="E1272" s="7">
        <v>642</v>
      </c>
    </row>
    <row r="1273" spans="1:5" x14ac:dyDescent="0.25">
      <c r="A1273" s="5" t="s">
        <v>6</v>
      </c>
      <c r="B1273" s="5" t="s">
        <v>3355</v>
      </c>
      <c r="C1273" s="1" t="s">
        <v>3356</v>
      </c>
      <c r="D1273" s="1" t="s">
        <v>3357</v>
      </c>
      <c r="E1273" s="7">
        <v>609</v>
      </c>
    </row>
    <row r="1274" spans="1:5" x14ac:dyDescent="0.25">
      <c r="A1274" s="5" t="s">
        <v>6</v>
      </c>
      <c r="B1274" s="5" t="s">
        <v>3358</v>
      </c>
      <c r="C1274" s="1" t="s">
        <v>3359</v>
      </c>
      <c r="D1274" s="1" t="s">
        <v>3360</v>
      </c>
      <c r="E1274" s="7">
        <v>244</v>
      </c>
    </row>
    <row r="1275" spans="1:5" x14ac:dyDescent="0.25">
      <c r="A1275" s="5" t="s">
        <v>6</v>
      </c>
      <c r="B1275" s="5" t="s">
        <v>3361</v>
      </c>
      <c r="C1275" s="1" t="s">
        <v>3362</v>
      </c>
      <c r="D1275" s="1" t="s">
        <v>3363</v>
      </c>
      <c r="E1275" s="7">
        <v>1301</v>
      </c>
    </row>
    <row r="1276" spans="1:5" x14ac:dyDescent="0.25">
      <c r="A1276" s="5" t="s">
        <v>6</v>
      </c>
      <c r="B1276" s="5" t="s">
        <v>3364</v>
      </c>
      <c r="C1276" s="1" t="s">
        <v>3365</v>
      </c>
      <c r="D1276" s="1" t="s">
        <v>3365</v>
      </c>
      <c r="E1276" s="7">
        <v>865</v>
      </c>
    </row>
    <row r="1277" spans="1:5" x14ac:dyDescent="0.25">
      <c r="A1277" s="5" t="s">
        <v>6</v>
      </c>
      <c r="B1277" s="5" t="s">
        <v>3366</v>
      </c>
      <c r="C1277" s="1" t="s">
        <v>3367</v>
      </c>
      <c r="D1277" s="1" t="s">
        <v>3368</v>
      </c>
      <c r="E1277" s="7">
        <v>244</v>
      </c>
    </row>
    <row r="1278" spans="1:5" x14ac:dyDescent="0.25">
      <c r="A1278" s="5" t="s">
        <v>6</v>
      </c>
      <c r="B1278" s="5" t="s">
        <v>3369</v>
      </c>
      <c r="C1278" s="1" t="s">
        <v>3370</v>
      </c>
      <c r="D1278" s="1" t="s">
        <v>3371</v>
      </c>
      <c r="E1278" s="7">
        <v>244</v>
      </c>
    </row>
    <row r="1279" spans="1:5" x14ac:dyDescent="0.25">
      <c r="A1279" s="5" t="s">
        <v>6</v>
      </c>
      <c r="B1279" s="5" t="s">
        <v>3372</v>
      </c>
      <c r="C1279" s="1" t="s">
        <v>3373</v>
      </c>
      <c r="D1279" s="1" t="s">
        <v>3374</v>
      </c>
      <c r="E1279" s="7">
        <v>0.01</v>
      </c>
    </row>
    <row r="1280" spans="1:5" x14ac:dyDescent="0.25">
      <c r="A1280" s="5" t="s">
        <v>6</v>
      </c>
      <c r="B1280" s="5" t="s">
        <v>3375</v>
      </c>
      <c r="C1280" s="1" t="s">
        <v>3376</v>
      </c>
      <c r="D1280" s="1" t="s">
        <v>3377</v>
      </c>
      <c r="E1280" s="7">
        <v>0.01</v>
      </c>
    </row>
    <row r="1281" spans="1:5" x14ac:dyDescent="0.25">
      <c r="A1281" s="5" t="s">
        <v>6</v>
      </c>
      <c r="B1281" s="5" t="s">
        <v>3378</v>
      </c>
      <c r="C1281" s="1" t="s">
        <v>3379</v>
      </c>
      <c r="D1281" s="1" t="s">
        <v>3380</v>
      </c>
      <c r="E1281" s="7">
        <v>0.01</v>
      </c>
    </row>
    <row r="1282" spans="1:5" x14ac:dyDescent="0.25">
      <c r="A1282" s="5" t="s">
        <v>6</v>
      </c>
      <c r="B1282" s="5" t="s">
        <v>3381</v>
      </c>
      <c r="C1282" s="1" t="s">
        <v>3382</v>
      </c>
      <c r="D1282" s="1" t="s">
        <v>3383</v>
      </c>
      <c r="E1282" s="7">
        <v>0.01</v>
      </c>
    </row>
    <row r="1283" spans="1:5" x14ac:dyDescent="0.25">
      <c r="A1283" s="5" t="s">
        <v>6</v>
      </c>
      <c r="B1283" s="5" t="s">
        <v>3384</v>
      </c>
      <c r="C1283" s="1" t="s">
        <v>3385</v>
      </c>
      <c r="D1283" s="1" t="s">
        <v>3386</v>
      </c>
      <c r="E1283" s="7">
        <v>1432</v>
      </c>
    </row>
    <row r="1284" spans="1:5" x14ac:dyDescent="0.25">
      <c r="A1284" s="5" t="s">
        <v>6</v>
      </c>
      <c r="B1284" s="5" t="s">
        <v>3387</v>
      </c>
      <c r="C1284" s="1" t="s">
        <v>3388</v>
      </c>
      <c r="D1284" s="1" t="s">
        <v>3389</v>
      </c>
      <c r="E1284" s="7">
        <v>1301</v>
      </c>
    </row>
    <row r="1285" spans="1:5" x14ac:dyDescent="0.25">
      <c r="A1285" s="5" t="s">
        <v>6</v>
      </c>
      <c r="B1285" s="5" t="s">
        <v>3390</v>
      </c>
      <c r="C1285" s="1" t="s">
        <v>3391</v>
      </c>
      <c r="D1285" s="1" t="s">
        <v>3392</v>
      </c>
      <c r="E1285" s="7">
        <v>765</v>
      </c>
    </row>
    <row r="1286" spans="1:5" x14ac:dyDescent="0.25">
      <c r="A1286" s="5" t="s">
        <v>6</v>
      </c>
      <c r="B1286" s="5" t="s">
        <v>3393</v>
      </c>
      <c r="C1286" s="1" t="s">
        <v>3394</v>
      </c>
      <c r="D1286" s="1" t="s">
        <v>3395</v>
      </c>
      <c r="E1286" s="7">
        <v>336</v>
      </c>
    </row>
    <row r="1287" spans="1:5" x14ac:dyDescent="0.25">
      <c r="A1287" s="5" t="s">
        <v>6</v>
      </c>
      <c r="B1287" s="5" t="s">
        <v>3396</v>
      </c>
      <c r="C1287" s="1" t="s">
        <v>3397</v>
      </c>
      <c r="D1287" s="1" t="s">
        <v>3397</v>
      </c>
      <c r="E1287" s="7">
        <v>563</v>
      </c>
    </row>
    <row r="1288" spans="1:5" x14ac:dyDescent="0.25">
      <c r="A1288" s="5" t="s">
        <v>6</v>
      </c>
      <c r="B1288" s="5" t="s">
        <v>3399</v>
      </c>
      <c r="C1288" s="1" t="s">
        <v>3400</v>
      </c>
      <c r="D1288" s="1" t="s">
        <v>3401</v>
      </c>
      <c r="E1288" s="7">
        <v>2482</v>
      </c>
    </row>
    <row r="1289" spans="1:5" x14ac:dyDescent="0.25">
      <c r="A1289" s="5" t="s">
        <v>6</v>
      </c>
      <c r="B1289" s="5" t="s">
        <v>3402</v>
      </c>
      <c r="C1289" s="1" t="s">
        <v>3403</v>
      </c>
      <c r="D1289" s="1" t="s">
        <v>3404</v>
      </c>
      <c r="E1289" s="7">
        <v>4063</v>
      </c>
    </row>
    <row r="1290" spans="1:5" x14ac:dyDescent="0.25">
      <c r="A1290" s="5" t="s">
        <v>6</v>
      </c>
      <c r="B1290" s="5" t="s">
        <v>3405</v>
      </c>
      <c r="C1290" s="1" t="s">
        <v>3406</v>
      </c>
      <c r="D1290" s="1" t="s">
        <v>3398</v>
      </c>
      <c r="E1290" s="7">
        <v>1401</v>
      </c>
    </row>
    <row r="1291" spans="1:5" x14ac:dyDescent="0.25">
      <c r="A1291" s="5" t="s">
        <v>6</v>
      </c>
      <c r="B1291" s="5" t="s">
        <v>3407</v>
      </c>
      <c r="C1291" s="1" t="s">
        <v>3408</v>
      </c>
      <c r="D1291" s="1" t="s">
        <v>3409</v>
      </c>
      <c r="E1291" s="7">
        <v>4011</v>
      </c>
    </row>
    <row r="1292" spans="1:5" x14ac:dyDescent="0.25">
      <c r="A1292" s="5" t="s">
        <v>6</v>
      </c>
      <c r="B1292" s="5" t="s">
        <v>3410</v>
      </c>
      <c r="C1292" s="1" t="s">
        <v>3411</v>
      </c>
      <c r="D1292" s="1" t="s">
        <v>3412</v>
      </c>
      <c r="E1292" s="7">
        <v>461</v>
      </c>
    </row>
    <row r="1293" spans="1:5" x14ac:dyDescent="0.25">
      <c r="A1293" s="5" t="s">
        <v>6</v>
      </c>
      <c r="B1293" s="5" t="s">
        <v>3413</v>
      </c>
      <c r="C1293" s="1" t="s">
        <v>3414</v>
      </c>
      <c r="D1293" s="1" t="s">
        <v>3415</v>
      </c>
      <c r="E1293" s="7">
        <v>4107</v>
      </c>
    </row>
    <row r="1294" spans="1:5" x14ac:dyDescent="0.25">
      <c r="A1294" s="5" t="s">
        <v>6</v>
      </c>
      <c r="B1294" s="5" t="s">
        <v>3416</v>
      </c>
      <c r="C1294" s="1" t="s">
        <v>3417</v>
      </c>
      <c r="D1294" s="1" t="s">
        <v>3418</v>
      </c>
      <c r="E1294" s="7">
        <v>1639</v>
      </c>
    </row>
    <row r="1295" spans="1:5" x14ac:dyDescent="0.25">
      <c r="A1295" s="5" t="s">
        <v>6</v>
      </c>
      <c r="B1295" s="5" t="s">
        <v>3419</v>
      </c>
      <c r="C1295" s="1" t="s">
        <v>3420</v>
      </c>
      <c r="D1295" s="1" t="s">
        <v>3421</v>
      </c>
      <c r="E1295" s="7">
        <v>1274</v>
      </c>
    </row>
    <row r="1296" spans="1:5" x14ac:dyDescent="0.25">
      <c r="A1296" s="5" t="s">
        <v>6</v>
      </c>
      <c r="B1296" s="5" t="s">
        <v>3422</v>
      </c>
      <c r="C1296" s="1" t="s">
        <v>3423</v>
      </c>
      <c r="D1296" s="1" t="s">
        <v>3424</v>
      </c>
      <c r="E1296" s="7">
        <v>1515</v>
      </c>
    </row>
    <row r="1297" spans="1:5" x14ac:dyDescent="0.25">
      <c r="A1297" s="5" t="s">
        <v>6</v>
      </c>
      <c r="B1297" s="5" t="s">
        <v>3425</v>
      </c>
      <c r="C1297" s="1" t="s">
        <v>3426</v>
      </c>
      <c r="D1297" s="1" t="s">
        <v>3427</v>
      </c>
      <c r="E1297" s="7">
        <v>3572</v>
      </c>
    </row>
    <row r="1298" spans="1:5" x14ac:dyDescent="0.25">
      <c r="A1298" s="5" t="s">
        <v>6</v>
      </c>
      <c r="B1298" s="5" t="s">
        <v>3428</v>
      </c>
      <c r="C1298" s="1" t="s">
        <v>3429</v>
      </c>
      <c r="D1298" s="1" t="s">
        <v>3430</v>
      </c>
      <c r="E1298" s="7">
        <v>8051</v>
      </c>
    </row>
    <row r="1299" spans="1:5" x14ac:dyDescent="0.25">
      <c r="A1299" s="5" t="s">
        <v>6</v>
      </c>
      <c r="B1299" s="5" t="s">
        <v>3431</v>
      </c>
      <c r="C1299" s="1" t="s">
        <v>3432</v>
      </c>
      <c r="D1299" s="1" t="s">
        <v>3433</v>
      </c>
      <c r="E1299" s="7">
        <v>3676</v>
      </c>
    </row>
    <row r="1300" spans="1:5" x14ac:dyDescent="0.25">
      <c r="A1300" s="5" t="s">
        <v>6</v>
      </c>
      <c r="B1300" s="5" t="s">
        <v>3434</v>
      </c>
      <c r="C1300" s="1" t="s">
        <v>77</v>
      </c>
      <c r="D1300" s="1" t="s">
        <v>78</v>
      </c>
      <c r="E1300" s="7">
        <v>2429</v>
      </c>
    </row>
    <row r="1301" spans="1:5" x14ac:dyDescent="0.25">
      <c r="A1301" s="5" t="s">
        <v>6</v>
      </c>
      <c r="B1301" s="5" t="s">
        <v>3435</v>
      </c>
      <c r="C1301" s="1" t="s">
        <v>3436</v>
      </c>
      <c r="D1301" s="1" t="s">
        <v>3437</v>
      </c>
      <c r="E1301" s="7">
        <v>2723</v>
      </c>
    </row>
    <row r="1302" spans="1:5" x14ac:dyDescent="0.25">
      <c r="A1302" s="5" t="s">
        <v>6</v>
      </c>
      <c r="B1302" s="5" t="s">
        <v>3438</v>
      </c>
      <c r="C1302" s="1" t="s">
        <v>3439</v>
      </c>
      <c r="D1302" s="1" t="s">
        <v>3440</v>
      </c>
      <c r="E1302" s="7">
        <v>2293</v>
      </c>
    </row>
    <row r="1303" spans="1:5" x14ac:dyDescent="0.25">
      <c r="A1303" s="5" t="s">
        <v>6</v>
      </c>
      <c r="B1303" s="5" t="s">
        <v>3441</v>
      </c>
      <c r="C1303" s="1" t="s">
        <v>3442</v>
      </c>
      <c r="D1303" s="1" t="s">
        <v>3443</v>
      </c>
      <c r="E1303" s="7">
        <v>12339</v>
      </c>
    </row>
    <row r="1304" spans="1:5" x14ac:dyDescent="0.25">
      <c r="A1304" s="5" t="s">
        <v>6</v>
      </c>
      <c r="B1304" s="5" t="s">
        <v>3444</v>
      </c>
      <c r="C1304" s="1" t="s">
        <v>3445</v>
      </c>
      <c r="D1304" s="1" t="s">
        <v>3446</v>
      </c>
      <c r="E1304" s="7">
        <v>724</v>
      </c>
    </row>
    <row r="1305" spans="1:5" x14ac:dyDescent="0.25">
      <c r="A1305" s="5" t="s">
        <v>6</v>
      </c>
      <c r="B1305" s="5" t="s">
        <v>3447</v>
      </c>
      <c r="C1305" s="1" t="s">
        <v>3448</v>
      </c>
      <c r="D1305" s="1" t="s">
        <v>3449</v>
      </c>
      <c r="E1305" s="7">
        <v>6753</v>
      </c>
    </row>
    <row r="1306" spans="1:5" x14ac:dyDescent="0.25">
      <c r="A1306" s="5" t="s">
        <v>6</v>
      </c>
      <c r="B1306" s="5" t="s">
        <v>3450</v>
      </c>
      <c r="C1306" s="1" t="s">
        <v>3451</v>
      </c>
      <c r="D1306" s="1" t="s">
        <v>3452</v>
      </c>
      <c r="E1306" s="7">
        <v>2293</v>
      </c>
    </row>
    <row r="1307" spans="1:5" x14ac:dyDescent="0.25">
      <c r="A1307" s="5" t="s">
        <v>6</v>
      </c>
      <c r="B1307" s="5" t="s">
        <v>3453</v>
      </c>
      <c r="C1307" s="1" t="s">
        <v>3454</v>
      </c>
      <c r="D1307" s="1" t="s">
        <v>3455</v>
      </c>
      <c r="E1307" s="7">
        <v>5261</v>
      </c>
    </row>
    <row r="1308" spans="1:5" x14ac:dyDescent="0.25">
      <c r="A1308" s="5" t="s">
        <v>6</v>
      </c>
      <c r="B1308" s="5" t="s">
        <v>3456</v>
      </c>
      <c r="C1308" s="1" t="s">
        <v>3457</v>
      </c>
      <c r="D1308" s="1" t="s">
        <v>3458</v>
      </c>
      <c r="E1308" s="7">
        <v>5687</v>
      </c>
    </row>
    <row r="1309" spans="1:5" x14ac:dyDescent="0.25">
      <c r="A1309" s="5" t="s">
        <v>6</v>
      </c>
      <c r="B1309" s="5" t="s">
        <v>3459</v>
      </c>
      <c r="C1309" s="1" t="s">
        <v>3460</v>
      </c>
      <c r="D1309" s="1" t="s">
        <v>3461</v>
      </c>
      <c r="E1309" s="7">
        <v>26898</v>
      </c>
    </row>
    <row r="1310" spans="1:5" x14ac:dyDescent="0.25">
      <c r="A1310" s="5" t="s">
        <v>6</v>
      </c>
      <c r="B1310" s="5" t="s">
        <v>3462</v>
      </c>
      <c r="C1310" s="1" t="s">
        <v>3463</v>
      </c>
      <c r="D1310" s="1" t="s">
        <v>3464</v>
      </c>
      <c r="E1310" s="7">
        <v>102103</v>
      </c>
    </row>
    <row r="1311" spans="1:5" x14ac:dyDescent="0.25">
      <c r="A1311" s="5" t="s">
        <v>6</v>
      </c>
      <c r="B1311" s="5" t="s">
        <v>3465</v>
      </c>
      <c r="C1311" s="1" t="s">
        <v>3466</v>
      </c>
      <c r="D1311" s="1" t="s">
        <v>3467</v>
      </c>
      <c r="E1311" s="7">
        <v>25501</v>
      </c>
    </row>
    <row r="1312" spans="1:5" x14ac:dyDescent="0.25">
      <c r="A1312" s="5" t="s">
        <v>6</v>
      </c>
      <c r="B1312" s="5" t="s">
        <v>3468</v>
      </c>
      <c r="C1312" s="1" t="s">
        <v>3469</v>
      </c>
      <c r="D1312" s="1" t="s">
        <v>3470</v>
      </c>
      <c r="E1312" s="7">
        <v>27036</v>
      </c>
    </row>
    <row r="1313" spans="1:5" x14ac:dyDescent="0.25">
      <c r="A1313" s="5" t="s">
        <v>6</v>
      </c>
      <c r="B1313" s="5" t="s">
        <v>3471</v>
      </c>
      <c r="C1313" s="1" t="s">
        <v>3472</v>
      </c>
      <c r="D1313" s="1" t="s">
        <v>3473</v>
      </c>
      <c r="E1313" s="7">
        <v>35229</v>
      </c>
    </row>
    <row r="1314" spans="1:5" x14ac:dyDescent="0.25">
      <c r="A1314" s="5" t="s">
        <v>6</v>
      </c>
      <c r="B1314" s="5" t="s">
        <v>3474</v>
      </c>
      <c r="C1314" s="1" t="s">
        <v>3475</v>
      </c>
      <c r="D1314" s="1" t="s">
        <v>3476</v>
      </c>
      <c r="E1314" s="7">
        <v>38859</v>
      </c>
    </row>
    <row r="1315" spans="1:5" x14ac:dyDescent="0.25">
      <c r="A1315" s="5" t="s">
        <v>6</v>
      </c>
      <c r="B1315" s="5" t="s">
        <v>3477</v>
      </c>
      <c r="C1315" s="1" t="s">
        <v>3478</v>
      </c>
      <c r="D1315" s="1" t="s">
        <v>3479</v>
      </c>
      <c r="E1315" s="7">
        <v>25501</v>
      </c>
    </row>
    <row r="1316" spans="1:5" x14ac:dyDescent="0.25">
      <c r="A1316" s="5" t="s">
        <v>6</v>
      </c>
      <c r="B1316" s="5" t="s">
        <v>3480</v>
      </c>
      <c r="C1316" s="1" t="s">
        <v>3481</v>
      </c>
      <c r="D1316" s="1" t="s">
        <v>3482</v>
      </c>
      <c r="E1316" s="7">
        <v>31071</v>
      </c>
    </row>
    <row r="1317" spans="1:5" x14ac:dyDescent="0.25">
      <c r="A1317" s="5" t="s">
        <v>6</v>
      </c>
      <c r="B1317" s="5" t="s">
        <v>3483</v>
      </c>
      <c r="C1317" s="1" t="s">
        <v>3484</v>
      </c>
      <c r="D1317" s="1" t="s">
        <v>3485</v>
      </c>
      <c r="E1317" s="7">
        <v>41809</v>
      </c>
    </row>
    <row r="1318" spans="1:5" x14ac:dyDescent="0.25">
      <c r="A1318" s="5" t="s">
        <v>6</v>
      </c>
      <c r="B1318" s="5" t="s">
        <v>3486</v>
      </c>
      <c r="C1318" s="1" t="s">
        <v>3487</v>
      </c>
      <c r="D1318" s="1" t="s">
        <v>3488</v>
      </c>
      <c r="E1318" s="7">
        <v>56350</v>
      </c>
    </row>
    <row r="1319" spans="1:5" x14ac:dyDescent="0.25">
      <c r="A1319" s="5" t="s">
        <v>6</v>
      </c>
      <c r="B1319" s="5" t="s">
        <v>3489</v>
      </c>
      <c r="C1319" s="1" t="s">
        <v>3490</v>
      </c>
      <c r="D1319" s="1" t="s">
        <v>3491</v>
      </c>
      <c r="E1319" s="7">
        <v>25501</v>
      </c>
    </row>
    <row r="1320" spans="1:5" x14ac:dyDescent="0.25">
      <c r="A1320" s="5" t="s">
        <v>6</v>
      </c>
      <c r="B1320" s="5" t="s">
        <v>3492</v>
      </c>
      <c r="C1320" s="1" t="s">
        <v>3493</v>
      </c>
      <c r="D1320" s="1" t="s">
        <v>3494</v>
      </c>
      <c r="E1320" s="7">
        <v>38661</v>
      </c>
    </row>
    <row r="1321" spans="1:5" x14ac:dyDescent="0.25">
      <c r="A1321" s="5" t="s">
        <v>6</v>
      </c>
      <c r="B1321" s="5" t="s">
        <v>3495</v>
      </c>
      <c r="C1321" s="1" t="s">
        <v>3496</v>
      </c>
      <c r="D1321" s="1" t="s">
        <v>3497</v>
      </c>
      <c r="E1321" s="7">
        <v>46062</v>
      </c>
    </row>
    <row r="1322" spans="1:5" x14ac:dyDescent="0.25">
      <c r="A1322" s="5" t="s">
        <v>6</v>
      </c>
      <c r="B1322" s="5" t="s">
        <v>3498</v>
      </c>
      <c r="C1322" s="1" t="s">
        <v>3499</v>
      </c>
      <c r="D1322" s="1" t="s">
        <v>3500</v>
      </c>
      <c r="E1322" s="7">
        <v>96753</v>
      </c>
    </row>
    <row r="1323" spans="1:5" x14ac:dyDescent="0.25">
      <c r="A1323" s="5" t="s">
        <v>6</v>
      </c>
      <c r="B1323" s="5" t="s">
        <v>3501</v>
      </c>
      <c r="C1323" s="1" t="s">
        <v>3502</v>
      </c>
      <c r="D1323" s="1" t="s">
        <v>3503</v>
      </c>
      <c r="E1323" s="7">
        <v>31282</v>
      </c>
    </row>
    <row r="1324" spans="1:5" x14ac:dyDescent="0.25">
      <c r="A1324" s="5" t="s">
        <v>6</v>
      </c>
      <c r="B1324" s="5" t="s">
        <v>3504</v>
      </c>
      <c r="C1324" s="1" t="s">
        <v>3505</v>
      </c>
      <c r="D1324" s="1" t="s">
        <v>3506</v>
      </c>
      <c r="E1324" s="7">
        <v>42023</v>
      </c>
    </row>
    <row r="1325" spans="1:5" x14ac:dyDescent="0.25">
      <c r="A1325" s="5" t="s">
        <v>6</v>
      </c>
      <c r="B1325" s="5" t="s">
        <v>3507</v>
      </c>
      <c r="C1325" s="1" t="s">
        <v>3508</v>
      </c>
      <c r="D1325" s="1" t="s">
        <v>3509</v>
      </c>
      <c r="E1325" s="7">
        <v>50013</v>
      </c>
    </row>
    <row r="1326" spans="1:5" x14ac:dyDescent="0.25">
      <c r="A1326" s="5" t="s">
        <v>6</v>
      </c>
      <c r="B1326" s="5" t="s">
        <v>3510</v>
      </c>
      <c r="C1326" s="1" t="s">
        <v>3511</v>
      </c>
      <c r="D1326" s="1" t="s">
        <v>3512</v>
      </c>
      <c r="E1326" s="7">
        <v>42023</v>
      </c>
    </row>
    <row r="1327" spans="1:5" x14ac:dyDescent="0.25">
      <c r="A1327" s="5" t="s">
        <v>6</v>
      </c>
      <c r="B1327" s="5" t="s">
        <v>3513</v>
      </c>
      <c r="C1327" s="1" t="s">
        <v>3514</v>
      </c>
      <c r="D1327" s="1" t="s">
        <v>3515</v>
      </c>
      <c r="E1327" s="7">
        <v>1673</v>
      </c>
    </row>
    <row r="1328" spans="1:5" x14ac:dyDescent="0.25">
      <c r="A1328" s="5" t="s">
        <v>6</v>
      </c>
      <c r="B1328" s="5" t="s">
        <v>3516</v>
      </c>
      <c r="C1328" s="1" t="s">
        <v>3517</v>
      </c>
      <c r="D1328" s="1" t="s">
        <v>3518</v>
      </c>
      <c r="E1328" s="7">
        <v>148888</v>
      </c>
    </row>
    <row r="1329" spans="1:5" x14ac:dyDescent="0.25">
      <c r="A1329" s="5" t="s">
        <v>6</v>
      </c>
      <c r="B1329" s="5" t="s">
        <v>3519</v>
      </c>
      <c r="C1329" s="1" t="s">
        <v>3520</v>
      </c>
      <c r="D1329" s="1" t="s">
        <v>3521</v>
      </c>
      <c r="E1329" s="7">
        <v>30226</v>
      </c>
    </row>
    <row r="1330" spans="1:5" x14ac:dyDescent="0.25">
      <c r="A1330" s="5" t="s">
        <v>6</v>
      </c>
      <c r="B1330" s="5" t="s">
        <v>3522</v>
      </c>
      <c r="C1330" s="1" t="s">
        <v>3523</v>
      </c>
      <c r="D1330" s="1" t="s">
        <v>3524</v>
      </c>
      <c r="E1330" s="7">
        <v>50319</v>
      </c>
    </row>
    <row r="1331" spans="1:5" x14ac:dyDescent="0.25">
      <c r="A1331" s="5" t="s">
        <v>6</v>
      </c>
      <c r="B1331" s="5" t="s">
        <v>3525</v>
      </c>
      <c r="C1331" s="1" t="s">
        <v>3526</v>
      </c>
      <c r="D1331" s="1" t="s">
        <v>3527</v>
      </c>
      <c r="E1331" s="7">
        <v>18715</v>
      </c>
    </row>
    <row r="1332" spans="1:5" x14ac:dyDescent="0.25">
      <c r="A1332" s="5" t="s">
        <v>6</v>
      </c>
      <c r="B1332" s="5" t="s">
        <v>3528</v>
      </c>
      <c r="C1332" s="1" t="s">
        <v>3529</v>
      </c>
      <c r="D1332" s="1" t="s">
        <v>3530</v>
      </c>
      <c r="E1332" s="7">
        <v>20514</v>
      </c>
    </row>
    <row r="1333" spans="1:5" x14ac:dyDescent="0.25">
      <c r="A1333" s="5" t="s">
        <v>6</v>
      </c>
      <c r="B1333" s="5" t="s">
        <v>3531</v>
      </c>
      <c r="C1333" s="1" t="s">
        <v>3532</v>
      </c>
      <c r="D1333" s="1" t="s">
        <v>3533</v>
      </c>
      <c r="E1333" s="7">
        <v>39249</v>
      </c>
    </row>
    <row r="1334" spans="1:5" x14ac:dyDescent="0.25">
      <c r="A1334" s="5" t="s">
        <v>6</v>
      </c>
      <c r="B1334" s="5" t="s">
        <v>3534</v>
      </c>
      <c r="C1334" s="1" t="s">
        <v>3535</v>
      </c>
      <c r="D1334" s="1" t="s">
        <v>3536</v>
      </c>
      <c r="E1334" s="7">
        <v>20588</v>
      </c>
    </row>
    <row r="1335" spans="1:5" x14ac:dyDescent="0.25">
      <c r="A1335" s="5" t="s">
        <v>6</v>
      </c>
      <c r="B1335" s="5" t="s">
        <v>3537</v>
      </c>
      <c r="C1335" s="1" t="s">
        <v>3538</v>
      </c>
      <c r="D1335" s="1" t="s">
        <v>3539</v>
      </c>
      <c r="E1335" s="7">
        <v>10161</v>
      </c>
    </row>
    <row r="1336" spans="1:5" x14ac:dyDescent="0.25">
      <c r="A1336" s="5" t="s">
        <v>6</v>
      </c>
      <c r="B1336" s="5" t="s">
        <v>3540</v>
      </c>
      <c r="C1336" s="1" t="s">
        <v>3541</v>
      </c>
      <c r="D1336" s="1" t="s">
        <v>3542</v>
      </c>
      <c r="E1336" s="7">
        <v>6007</v>
      </c>
    </row>
    <row r="1337" spans="1:5" x14ac:dyDescent="0.25">
      <c r="A1337" s="5" t="s">
        <v>6</v>
      </c>
      <c r="B1337" s="5" t="s">
        <v>3543</v>
      </c>
      <c r="C1337" s="1" t="s">
        <v>3544</v>
      </c>
      <c r="D1337" s="1" t="s">
        <v>3545</v>
      </c>
      <c r="E1337" s="7">
        <v>6422</v>
      </c>
    </row>
    <row r="1338" spans="1:5" x14ac:dyDescent="0.25">
      <c r="A1338" s="5" t="s">
        <v>6</v>
      </c>
      <c r="B1338" s="5" t="s">
        <v>3546</v>
      </c>
      <c r="C1338" s="1" t="s">
        <v>3547</v>
      </c>
      <c r="D1338" s="1" t="s">
        <v>3548</v>
      </c>
      <c r="E1338" s="7">
        <v>15952</v>
      </c>
    </row>
    <row r="1339" spans="1:5" x14ac:dyDescent="0.25">
      <c r="A1339" s="5" t="s">
        <v>6</v>
      </c>
      <c r="B1339" s="5" t="s">
        <v>3549</v>
      </c>
      <c r="C1339" s="1" t="s">
        <v>3550</v>
      </c>
      <c r="D1339" s="1" t="s">
        <v>3551</v>
      </c>
      <c r="E1339" s="7">
        <v>5076</v>
      </c>
    </row>
    <row r="1340" spans="1:5" x14ac:dyDescent="0.25">
      <c r="A1340" s="5" t="s">
        <v>6</v>
      </c>
      <c r="B1340" s="5" t="s">
        <v>3552</v>
      </c>
      <c r="C1340" s="1" t="s">
        <v>221</v>
      </c>
      <c r="D1340" s="1" t="s">
        <v>222</v>
      </c>
      <c r="E1340" s="7">
        <v>1632</v>
      </c>
    </row>
    <row r="1341" spans="1:5" x14ac:dyDescent="0.25">
      <c r="A1341" s="5" t="s">
        <v>6</v>
      </c>
      <c r="B1341" s="5" t="s">
        <v>3553</v>
      </c>
      <c r="C1341" s="1" t="s">
        <v>224</v>
      </c>
      <c r="D1341" s="1" t="s">
        <v>3554</v>
      </c>
      <c r="E1341" s="7">
        <v>526</v>
      </c>
    </row>
    <row r="1342" spans="1:5" x14ac:dyDescent="0.25">
      <c r="A1342" s="5" t="s">
        <v>6</v>
      </c>
      <c r="B1342" s="5" t="s">
        <v>3555</v>
      </c>
      <c r="C1342" s="1" t="s">
        <v>3556</v>
      </c>
      <c r="D1342" s="1" t="s">
        <v>3557</v>
      </c>
      <c r="E1342" s="7">
        <v>5144</v>
      </c>
    </row>
    <row r="1343" spans="1:5" x14ac:dyDescent="0.25">
      <c r="A1343" s="5" t="s">
        <v>6</v>
      </c>
      <c r="B1343" s="5" t="s">
        <v>3558</v>
      </c>
      <c r="C1343" s="1" t="s">
        <v>3559</v>
      </c>
      <c r="D1343" s="1" t="s">
        <v>3560</v>
      </c>
      <c r="E1343" s="7">
        <v>4795</v>
      </c>
    </row>
    <row r="1344" spans="1:5" x14ac:dyDescent="0.25">
      <c r="A1344" s="5" t="s">
        <v>6</v>
      </c>
      <c r="B1344" s="5" t="s">
        <v>3561</v>
      </c>
      <c r="C1344" s="1" t="s">
        <v>3562</v>
      </c>
      <c r="D1344" s="1" t="s">
        <v>3563</v>
      </c>
      <c r="E1344" s="7">
        <v>7709</v>
      </c>
    </row>
    <row r="1345" spans="1:5" x14ac:dyDescent="0.25">
      <c r="A1345" s="5" t="s">
        <v>6</v>
      </c>
      <c r="B1345" s="5" t="s">
        <v>3564</v>
      </c>
      <c r="C1345" s="1" t="s">
        <v>3565</v>
      </c>
      <c r="D1345" s="1" t="s">
        <v>3566</v>
      </c>
      <c r="E1345" s="7">
        <v>21044</v>
      </c>
    </row>
    <row r="1346" spans="1:5" x14ac:dyDescent="0.25">
      <c r="A1346" s="5" t="s">
        <v>6</v>
      </c>
      <c r="B1346" s="5" t="s">
        <v>3567</v>
      </c>
      <c r="C1346" s="1" t="s">
        <v>3568</v>
      </c>
      <c r="D1346" s="1" t="s">
        <v>3569</v>
      </c>
      <c r="E1346" s="7">
        <v>16401</v>
      </c>
    </row>
    <row r="1347" spans="1:5" x14ac:dyDescent="0.25">
      <c r="A1347" s="5" t="s">
        <v>6</v>
      </c>
      <c r="B1347" s="5" t="s">
        <v>3570</v>
      </c>
      <c r="C1347" s="1" t="s">
        <v>3571</v>
      </c>
      <c r="D1347" s="1" t="s">
        <v>3572</v>
      </c>
      <c r="E1347" s="7">
        <v>4795</v>
      </c>
    </row>
    <row r="1348" spans="1:5" x14ac:dyDescent="0.25">
      <c r="A1348" s="5" t="s">
        <v>6</v>
      </c>
      <c r="B1348" s="5" t="s">
        <v>3573</v>
      </c>
      <c r="C1348" s="1" t="s">
        <v>3574</v>
      </c>
      <c r="D1348" s="1" t="s">
        <v>3575</v>
      </c>
      <c r="E1348" s="7">
        <v>37840</v>
      </c>
    </row>
    <row r="1349" spans="1:5" x14ac:dyDescent="0.25">
      <c r="A1349" s="5" t="s">
        <v>6</v>
      </c>
      <c r="B1349" s="5" t="s">
        <v>3576</v>
      </c>
      <c r="C1349" s="1" t="s">
        <v>3577</v>
      </c>
      <c r="D1349" s="1" t="s">
        <v>3578</v>
      </c>
      <c r="E1349" s="7">
        <v>10435</v>
      </c>
    </row>
    <row r="1350" spans="1:5" x14ac:dyDescent="0.25">
      <c r="A1350" s="5" t="s">
        <v>6</v>
      </c>
      <c r="B1350" s="5" t="s">
        <v>3579</v>
      </c>
      <c r="C1350" s="1" t="s">
        <v>3580</v>
      </c>
      <c r="D1350" s="1" t="s">
        <v>3581</v>
      </c>
      <c r="E1350" s="7">
        <v>29971</v>
      </c>
    </row>
    <row r="1351" spans="1:5" x14ac:dyDescent="0.25">
      <c r="A1351" s="5" t="s">
        <v>6</v>
      </c>
      <c r="B1351" s="5" t="s">
        <v>3582</v>
      </c>
      <c r="C1351" s="1" t="s">
        <v>3583</v>
      </c>
      <c r="D1351" s="1" t="s">
        <v>3584</v>
      </c>
      <c r="E1351" s="7">
        <v>4642</v>
      </c>
    </row>
    <row r="1352" spans="1:5" x14ac:dyDescent="0.25">
      <c r="A1352" s="5" t="s">
        <v>6</v>
      </c>
      <c r="B1352" s="5" t="s">
        <v>3585</v>
      </c>
      <c r="C1352" s="1" t="s">
        <v>3586</v>
      </c>
      <c r="D1352" s="1" t="s">
        <v>3587</v>
      </c>
      <c r="E1352" s="7">
        <v>44735</v>
      </c>
    </row>
    <row r="1353" spans="1:5" x14ac:dyDescent="0.25">
      <c r="A1353" s="5" t="s">
        <v>6</v>
      </c>
      <c r="B1353" s="5" t="s">
        <v>3588</v>
      </c>
      <c r="C1353" s="1" t="s">
        <v>3589</v>
      </c>
      <c r="D1353" s="1" t="s">
        <v>3590</v>
      </c>
      <c r="E1353" s="7">
        <v>39344</v>
      </c>
    </row>
    <row r="1354" spans="1:5" x14ac:dyDescent="0.25">
      <c r="A1354" s="5" t="s">
        <v>6</v>
      </c>
      <c r="B1354" s="5" t="s">
        <v>3591</v>
      </c>
      <c r="C1354" s="1" t="s">
        <v>3592</v>
      </c>
      <c r="D1354" s="1" t="s">
        <v>3593</v>
      </c>
      <c r="E1354" s="7">
        <v>38099</v>
      </c>
    </row>
    <row r="1355" spans="1:5" x14ac:dyDescent="0.25">
      <c r="A1355" s="5" t="s">
        <v>6</v>
      </c>
      <c r="B1355" s="5" t="s">
        <v>3594</v>
      </c>
      <c r="C1355" s="1" t="s">
        <v>3595</v>
      </c>
      <c r="D1355" s="1" t="s">
        <v>3596</v>
      </c>
      <c r="E1355" s="7">
        <v>39344</v>
      </c>
    </row>
    <row r="1356" spans="1:5" x14ac:dyDescent="0.25">
      <c r="A1356" s="5" t="s">
        <v>6</v>
      </c>
      <c r="B1356" s="5" t="s">
        <v>3597</v>
      </c>
      <c r="C1356" s="1" t="s">
        <v>3598</v>
      </c>
      <c r="D1356" s="1" t="s">
        <v>3599</v>
      </c>
      <c r="E1356" s="7">
        <v>39344</v>
      </c>
    </row>
    <row r="1357" spans="1:5" x14ac:dyDescent="0.25">
      <c r="A1357" s="5" t="s">
        <v>6</v>
      </c>
      <c r="B1357" s="5" t="s">
        <v>3600</v>
      </c>
      <c r="C1357" s="1" t="s">
        <v>3601</v>
      </c>
      <c r="D1357" s="1" t="s">
        <v>3602</v>
      </c>
      <c r="E1357" s="7">
        <v>35999</v>
      </c>
    </row>
    <row r="1358" spans="1:5" x14ac:dyDescent="0.25">
      <c r="A1358" s="5" t="s">
        <v>6</v>
      </c>
      <c r="B1358" s="5" t="s">
        <v>3603</v>
      </c>
      <c r="C1358" s="1" t="s">
        <v>3604</v>
      </c>
      <c r="D1358" s="1" t="s">
        <v>3605</v>
      </c>
      <c r="E1358" s="7">
        <v>47719</v>
      </c>
    </row>
    <row r="1359" spans="1:5" x14ac:dyDescent="0.25">
      <c r="A1359" s="5" t="s">
        <v>6</v>
      </c>
      <c r="B1359" s="5" t="s">
        <v>3606</v>
      </c>
      <c r="C1359" s="1" t="s">
        <v>3607</v>
      </c>
      <c r="D1359" s="1" t="s">
        <v>3608</v>
      </c>
      <c r="E1359" s="7">
        <v>35719</v>
      </c>
    </row>
    <row r="1360" spans="1:5" x14ac:dyDescent="0.25">
      <c r="A1360" s="5" t="s">
        <v>6</v>
      </c>
      <c r="B1360" s="5" t="s">
        <v>3609</v>
      </c>
      <c r="C1360" s="1" t="s">
        <v>3610</v>
      </c>
      <c r="D1360" s="1" t="s">
        <v>3611</v>
      </c>
      <c r="E1360" s="7">
        <v>5819</v>
      </c>
    </row>
    <row r="1361" spans="1:5" x14ac:dyDescent="0.25">
      <c r="A1361" s="5" t="s">
        <v>6</v>
      </c>
      <c r="B1361" s="5" t="s">
        <v>3612</v>
      </c>
      <c r="C1361" s="1" t="s">
        <v>3613</v>
      </c>
      <c r="D1361" s="1" t="s">
        <v>3614</v>
      </c>
      <c r="E1361" s="7">
        <v>4843</v>
      </c>
    </row>
    <row r="1362" spans="1:5" x14ac:dyDescent="0.25">
      <c r="A1362" s="5" t="s">
        <v>6</v>
      </c>
      <c r="B1362" s="5" t="s">
        <v>3615</v>
      </c>
      <c r="C1362" s="1" t="s">
        <v>3616</v>
      </c>
      <c r="D1362" s="1" t="s">
        <v>3617</v>
      </c>
      <c r="E1362" s="7">
        <v>29330</v>
      </c>
    </row>
    <row r="1363" spans="1:5" x14ac:dyDescent="0.25">
      <c r="A1363" s="5" t="s">
        <v>6</v>
      </c>
      <c r="B1363" s="5" t="s">
        <v>3618</v>
      </c>
      <c r="C1363" s="1" t="s">
        <v>3619</v>
      </c>
      <c r="D1363" s="1" t="s">
        <v>3620</v>
      </c>
      <c r="E1363" s="7">
        <v>4092</v>
      </c>
    </row>
    <row r="1364" spans="1:5" x14ac:dyDescent="0.25">
      <c r="A1364" s="5" t="s">
        <v>6</v>
      </c>
      <c r="B1364" s="5" t="s">
        <v>3621</v>
      </c>
      <c r="C1364" s="1" t="s">
        <v>3622</v>
      </c>
      <c r="D1364" s="1" t="s">
        <v>3623</v>
      </c>
      <c r="E1364" s="7">
        <v>42725</v>
      </c>
    </row>
    <row r="1365" spans="1:5" x14ac:dyDescent="0.25">
      <c r="A1365" s="5" t="s">
        <v>6</v>
      </c>
      <c r="B1365" s="5" t="s">
        <v>3624</v>
      </c>
      <c r="C1365" s="1" t="s">
        <v>3625</v>
      </c>
      <c r="D1365" s="1" t="s">
        <v>3626</v>
      </c>
      <c r="E1365" s="7">
        <v>37581</v>
      </c>
    </row>
    <row r="1366" spans="1:5" x14ac:dyDescent="0.25">
      <c r="A1366" s="5" t="s">
        <v>6</v>
      </c>
      <c r="B1366" s="5" t="s">
        <v>3627</v>
      </c>
      <c r="C1366" s="1" t="s">
        <v>3628</v>
      </c>
      <c r="D1366" s="1" t="s">
        <v>3623</v>
      </c>
      <c r="E1366" s="7">
        <v>54701</v>
      </c>
    </row>
    <row r="1367" spans="1:5" x14ac:dyDescent="0.25">
      <c r="A1367" s="5" t="s">
        <v>6</v>
      </c>
      <c r="B1367" s="5" t="s">
        <v>3629</v>
      </c>
      <c r="C1367" s="1" t="s">
        <v>3630</v>
      </c>
      <c r="D1367" s="1" t="s">
        <v>3631</v>
      </c>
      <c r="E1367" s="7">
        <v>38656</v>
      </c>
    </row>
    <row r="1368" spans="1:5" x14ac:dyDescent="0.25">
      <c r="A1368" s="5" t="s">
        <v>6</v>
      </c>
      <c r="B1368" s="5" t="s">
        <v>3632</v>
      </c>
      <c r="C1368" s="1" t="s">
        <v>3633</v>
      </c>
      <c r="D1368" s="1" t="s">
        <v>3634</v>
      </c>
      <c r="E1368" s="7">
        <v>9975</v>
      </c>
    </row>
    <row r="1369" spans="1:5" x14ac:dyDescent="0.25">
      <c r="A1369" s="5" t="s">
        <v>6</v>
      </c>
      <c r="B1369" s="5" t="s">
        <v>3635</v>
      </c>
      <c r="C1369" s="1" t="s">
        <v>3636</v>
      </c>
      <c r="D1369" s="1" t="s">
        <v>3637</v>
      </c>
      <c r="E1369" s="7">
        <v>28484</v>
      </c>
    </row>
    <row r="1370" spans="1:5" x14ac:dyDescent="0.25">
      <c r="A1370" s="5" t="s">
        <v>6</v>
      </c>
      <c r="B1370" s="5" t="s">
        <v>3638</v>
      </c>
      <c r="C1370" s="1" t="s">
        <v>3639</v>
      </c>
      <c r="D1370" s="1" t="s">
        <v>3640</v>
      </c>
      <c r="E1370" s="7">
        <v>6177</v>
      </c>
    </row>
    <row r="1371" spans="1:5" x14ac:dyDescent="0.25">
      <c r="A1371" s="5" t="s">
        <v>6</v>
      </c>
      <c r="B1371" s="5" t="s">
        <v>3641</v>
      </c>
      <c r="C1371" s="1" t="s">
        <v>3642</v>
      </c>
      <c r="D1371" s="1" t="s">
        <v>3643</v>
      </c>
      <c r="E1371" s="7">
        <v>7713</v>
      </c>
    </row>
    <row r="1372" spans="1:5" x14ac:dyDescent="0.25">
      <c r="A1372" s="5" t="s">
        <v>6</v>
      </c>
      <c r="B1372" s="5" t="s">
        <v>3644</v>
      </c>
      <c r="C1372" s="1" t="s">
        <v>3645</v>
      </c>
      <c r="D1372" s="1" t="s">
        <v>3646</v>
      </c>
      <c r="E1372" s="7">
        <v>25785</v>
      </c>
    </row>
    <row r="1373" spans="1:5" x14ac:dyDescent="0.25">
      <c r="A1373" s="5" t="s">
        <v>6</v>
      </c>
      <c r="B1373" s="5" t="s">
        <v>3647</v>
      </c>
      <c r="C1373" s="1" t="s">
        <v>3648</v>
      </c>
      <c r="D1373" s="1" t="s">
        <v>3649</v>
      </c>
      <c r="E1373" s="7">
        <v>21162</v>
      </c>
    </row>
    <row r="1374" spans="1:5" x14ac:dyDescent="0.25">
      <c r="A1374" s="5" t="s">
        <v>6</v>
      </c>
      <c r="B1374" s="5" t="s">
        <v>3650</v>
      </c>
      <c r="C1374" s="1" t="s">
        <v>3651</v>
      </c>
      <c r="D1374" s="1" t="s">
        <v>3652</v>
      </c>
      <c r="E1374" s="7">
        <v>13379</v>
      </c>
    </row>
    <row r="1375" spans="1:5" x14ac:dyDescent="0.25">
      <c r="A1375" s="5" t="s">
        <v>6</v>
      </c>
      <c r="B1375" s="5" t="s">
        <v>3653</v>
      </c>
      <c r="C1375" s="1" t="s">
        <v>3654</v>
      </c>
      <c r="D1375" s="1" t="s">
        <v>3655</v>
      </c>
      <c r="E1375" s="7">
        <v>35702</v>
      </c>
    </row>
    <row r="1376" spans="1:5" x14ac:dyDescent="0.25">
      <c r="A1376" s="5" t="s">
        <v>6</v>
      </c>
      <c r="B1376" s="5" t="s">
        <v>3656</v>
      </c>
      <c r="C1376" s="1" t="s">
        <v>3657</v>
      </c>
      <c r="D1376" s="1" t="s">
        <v>3658</v>
      </c>
      <c r="E1376" s="7">
        <v>36330</v>
      </c>
    </row>
    <row r="1377" spans="1:5" x14ac:dyDescent="0.25">
      <c r="A1377" s="5" t="s">
        <v>6</v>
      </c>
      <c r="B1377" s="5" t="s">
        <v>3659</v>
      </c>
      <c r="C1377" s="1" t="s">
        <v>3660</v>
      </c>
      <c r="D1377" s="1" t="s">
        <v>3661</v>
      </c>
      <c r="E1377" s="7">
        <v>32754</v>
      </c>
    </row>
    <row r="1378" spans="1:5" x14ac:dyDescent="0.25">
      <c r="A1378" s="5" t="s">
        <v>6</v>
      </c>
      <c r="B1378" s="5" t="s">
        <v>3662</v>
      </c>
      <c r="C1378" s="1" t="s">
        <v>3663</v>
      </c>
      <c r="D1378" s="1" t="s">
        <v>3664</v>
      </c>
      <c r="E1378" s="7">
        <v>9118</v>
      </c>
    </row>
    <row r="1379" spans="1:5" x14ac:dyDescent="0.25">
      <c r="A1379" s="5" t="s">
        <v>6</v>
      </c>
      <c r="B1379" s="5" t="s">
        <v>3665</v>
      </c>
      <c r="C1379" s="1" t="s">
        <v>3666</v>
      </c>
      <c r="D1379" s="1" t="s">
        <v>3667</v>
      </c>
      <c r="E1379" s="7">
        <v>31326</v>
      </c>
    </row>
    <row r="1380" spans="1:5" x14ac:dyDescent="0.25">
      <c r="A1380" s="5" t="s">
        <v>6</v>
      </c>
      <c r="B1380" s="5" t="s">
        <v>3668</v>
      </c>
      <c r="C1380" s="1" t="s">
        <v>3669</v>
      </c>
      <c r="D1380" s="1" t="s">
        <v>3670</v>
      </c>
      <c r="E1380" s="7">
        <v>89588</v>
      </c>
    </row>
    <row r="1381" spans="1:5" x14ac:dyDescent="0.25">
      <c r="A1381" s="5" t="s">
        <v>6</v>
      </c>
      <c r="B1381" s="5" t="s">
        <v>3671</v>
      </c>
      <c r="C1381" s="1" t="s">
        <v>3672</v>
      </c>
      <c r="D1381" s="1" t="s">
        <v>3673</v>
      </c>
      <c r="E1381" s="7">
        <v>57444</v>
      </c>
    </row>
    <row r="1382" spans="1:5" x14ac:dyDescent="0.25">
      <c r="A1382" s="5" t="s">
        <v>6</v>
      </c>
      <c r="B1382" s="5" t="s">
        <v>3674</v>
      </c>
      <c r="C1382" s="1" t="s">
        <v>3675</v>
      </c>
      <c r="D1382" s="1" t="s">
        <v>3676</v>
      </c>
      <c r="E1382" s="7">
        <v>24136</v>
      </c>
    </row>
    <row r="1383" spans="1:5" x14ac:dyDescent="0.25">
      <c r="A1383" s="5" t="s">
        <v>6</v>
      </c>
      <c r="B1383" s="5" t="s">
        <v>3677</v>
      </c>
      <c r="C1383" s="1" t="s">
        <v>3678</v>
      </c>
      <c r="D1383" s="1" t="s">
        <v>3679</v>
      </c>
      <c r="E1383" s="7">
        <v>945</v>
      </c>
    </row>
    <row r="1384" spans="1:5" x14ac:dyDescent="0.25">
      <c r="A1384" s="5" t="s">
        <v>6</v>
      </c>
      <c r="B1384" s="5" t="s">
        <v>3680</v>
      </c>
      <c r="C1384" s="1" t="s">
        <v>3681</v>
      </c>
      <c r="D1384" s="1" t="s">
        <v>3682</v>
      </c>
      <c r="E1384" s="7">
        <v>598</v>
      </c>
    </row>
    <row r="1385" spans="1:5" x14ac:dyDescent="0.25">
      <c r="A1385" s="5" t="s">
        <v>6</v>
      </c>
      <c r="B1385" s="5" t="s">
        <v>3683</v>
      </c>
      <c r="C1385" s="1" t="s">
        <v>77</v>
      </c>
      <c r="D1385" s="1" t="s">
        <v>78</v>
      </c>
      <c r="E1385" s="7">
        <v>2328</v>
      </c>
    </row>
    <row r="1386" spans="1:5" x14ac:dyDescent="0.25">
      <c r="A1386" s="5" t="s">
        <v>6</v>
      </c>
      <c r="B1386" s="5" t="s">
        <v>3684</v>
      </c>
      <c r="C1386" s="1" t="s">
        <v>3685</v>
      </c>
      <c r="D1386" s="1" t="s">
        <v>3685</v>
      </c>
      <c r="E1386" s="7">
        <v>40050</v>
      </c>
    </row>
    <row r="1387" spans="1:5" x14ac:dyDescent="0.25">
      <c r="A1387" s="5" t="s">
        <v>6</v>
      </c>
      <c r="B1387" s="5" t="s">
        <v>3686</v>
      </c>
      <c r="C1387" s="1" t="s">
        <v>3687</v>
      </c>
      <c r="D1387" s="1" t="s">
        <v>3688</v>
      </c>
      <c r="E1387" s="7">
        <v>18068</v>
      </c>
    </row>
    <row r="1388" spans="1:5" x14ac:dyDescent="0.25">
      <c r="A1388" s="5" t="s">
        <v>6</v>
      </c>
      <c r="B1388" s="5" t="s">
        <v>3689</v>
      </c>
      <c r="C1388" s="1" t="s">
        <v>3690</v>
      </c>
      <c r="D1388" s="1" t="s">
        <v>3691</v>
      </c>
      <c r="E1388" s="7">
        <v>47199</v>
      </c>
    </row>
    <row r="1389" spans="1:5" x14ac:dyDescent="0.25">
      <c r="A1389" s="5" t="s">
        <v>6</v>
      </c>
      <c r="B1389" s="5" t="s">
        <v>3692</v>
      </c>
      <c r="C1389" s="1" t="s">
        <v>3693</v>
      </c>
      <c r="D1389" s="1" t="s">
        <v>3694</v>
      </c>
      <c r="E1389" s="7">
        <v>35749</v>
      </c>
    </row>
    <row r="1390" spans="1:5" x14ac:dyDescent="0.25">
      <c r="A1390" s="5" t="s">
        <v>6</v>
      </c>
      <c r="B1390" s="5" t="s">
        <v>3695</v>
      </c>
      <c r="C1390" s="1" t="s">
        <v>3696</v>
      </c>
      <c r="D1390" s="1" t="s">
        <v>3697</v>
      </c>
      <c r="E1390" s="7">
        <v>33592</v>
      </c>
    </row>
    <row r="1391" spans="1:5" x14ac:dyDescent="0.25">
      <c r="A1391" s="5" t="s">
        <v>6</v>
      </c>
      <c r="B1391" s="5" t="s">
        <v>3698</v>
      </c>
      <c r="C1391" s="1" t="s">
        <v>3699</v>
      </c>
      <c r="D1391" s="1" t="s">
        <v>3700</v>
      </c>
      <c r="E1391" s="7">
        <v>47791</v>
      </c>
    </row>
    <row r="1392" spans="1:5" x14ac:dyDescent="0.25">
      <c r="A1392" s="5" t="s">
        <v>6</v>
      </c>
      <c r="B1392" s="5" t="s">
        <v>3701</v>
      </c>
      <c r="C1392" s="1" t="s">
        <v>3702</v>
      </c>
      <c r="D1392" s="1" t="s">
        <v>3703</v>
      </c>
      <c r="E1392" s="7">
        <v>42307</v>
      </c>
    </row>
    <row r="1393" spans="1:5" x14ac:dyDescent="0.25">
      <c r="A1393" s="5" t="s">
        <v>6</v>
      </c>
      <c r="B1393" s="5" t="s">
        <v>3704</v>
      </c>
      <c r="C1393" s="1" t="s">
        <v>3705</v>
      </c>
      <c r="D1393" s="1" t="s">
        <v>3706</v>
      </c>
      <c r="E1393" s="7">
        <v>44920</v>
      </c>
    </row>
    <row r="1394" spans="1:5" x14ac:dyDescent="0.25">
      <c r="A1394" s="5" t="s">
        <v>6</v>
      </c>
      <c r="B1394" s="5" t="s">
        <v>3707</v>
      </c>
      <c r="C1394" s="1" t="s">
        <v>3708</v>
      </c>
      <c r="D1394" s="1" t="s">
        <v>3709</v>
      </c>
      <c r="E1394" s="7">
        <v>44769</v>
      </c>
    </row>
    <row r="1395" spans="1:5" x14ac:dyDescent="0.25">
      <c r="A1395" s="5" t="s">
        <v>6</v>
      </c>
      <c r="B1395" s="5" t="s">
        <v>3710</v>
      </c>
      <c r="C1395" s="1" t="s">
        <v>3711</v>
      </c>
      <c r="D1395" s="1" t="s">
        <v>3712</v>
      </c>
      <c r="E1395" s="7">
        <v>49532</v>
      </c>
    </row>
    <row r="1396" spans="1:5" x14ac:dyDescent="0.25">
      <c r="A1396" s="5" t="s">
        <v>6</v>
      </c>
      <c r="B1396" s="5" t="s">
        <v>3713</v>
      </c>
      <c r="C1396" s="1" t="s">
        <v>3714</v>
      </c>
      <c r="D1396" s="1" t="s">
        <v>3715</v>
      </c>
      <c r="E1396" s="7">
        <v>16452</v>
      </c>
    </row>
    <row r="1397" spans="1:5" x14ac:dyDescent="0.25">
      <c r="A1397" s="5" t="s">
        <v>6</v>
      </c>
      <c r="B1397" s="5" t="s">
        <v>3716</v>
      </c>
      <c r="C1397" s="1" t="s">
        <v>3717</v>
      </c>
      <c r="D1397" s="1" t="s">
        <v>3718</v>
      </c>
      <c r="E1397" s="7">
        <v>25541</v>
      </c>
    </row>
    <row r="1398" spans="1:5" x14ac:dyDescent="0.25">
      <c r="A1398" s="5" t="s">
        <v>6</v>
      </c>
      <c r="B1398" s="5" t="s">
        <v>3719</v>
      </c>
      <c r="C1398" s="1" t="s">
        <v>3720</v>
      </c>
      <c r="D1398" s="1" t="s">
        <v>3721</v>
      </c>
      <c r="E1398" s="7">
        <v>1961</v>
      </c>
    </row>
    <row r="1399" spans="1:5" x14ac:dyDescent="0.25">
      <c r="A1399" s="5" t="s">
        <v>6</v>
      </c>
      <c r="B1399" s="5" t="s">
        <v>3722</v>
      </c>
      <c r="C1399" s="1" t="s">
        <v>3723</v>
      </c>
      <c r="D1399" s="1" t="s">
        <v>3724</v>
      </c>
      <c r="E1399" s="7">
        <v>2766</v>
      </c>
    </row>
    <row r="1400" spans="1:5" x14ac:dyDescent="0.25">
      <c r="A1400" s="5" t="s">
        <v>6</v>
      </c>
      <c r="B1400" s="5" t="s">
        <v>3725</v>
      </c>
      <c r="C1400" s="1" t="s">
        <v>3726</v>
      </c>
      <c r="D1400" s="1" t="s">
        <v>3727</v>
      </c>
      <c r="E1400" s="7">
        <v>4066</v>
      </c>
    </row>
    <row r="1401" spans="1:5" x14ac:dyDescent="0.25">
      <c r="A1401" s="5" t="s">
        <v>6</v>
      </c>
      <c r="B1401" s="5" t="s">
        <v>3728</v>
      </c>
      <c r="C1401" s="1" t="s">
        <v>3729</v>
      </c>
      <c r="D1401" s="1" t="s">
        <v>3730</v>
      </c>
      <c r="E1401" s="7">
        <v>237</v>
      </c>
    </row>
    <row r="1402" spans="1:5" x14ac:dyDescent="0.25">
      <c r="A1402" s="5" t="s">
        <v>6</v>
      </c>
      <c r="B1402" s="5" t="s">
        <v>3731</v>
      </c>
      <c r="C1402" s="1" t="s">
        <v>3732</v>
      </c>
      <c r="D1402" s="1" t="s">
        <v>3733</v>
      </c>
      <c r="E1402" s="7">
        <v>29854.31</v>
      </c>
    </row>
    <row r="1403" spans="1:5" x14ac:dyDescent="0.25">
      <c r="A1403" s="5" t="s">
        <v>6</v>
      </c>
      <c r="B1403" s="5" t="s">
        <v>3734</v>
      </c>
      <c r="C1403" s="1" t="s">
        <v>3735</v>
      </c>
      <c r="D1403" s="1" t="s">
        <v>3736</v>
      </c>
      <c r="E1403" s="7">
        <v>16552</v>
      </c>
    </row>
    <row r="1404" spans="1:5" x14ac:dyDescent="0.25">
      <c r="A1404" s="5" t="s">
        <v>6</v>
      </c>
      <c r="B1404" s="5" t="s">
        <v>3737</v>
      </c>
      <c r="C1404" s="1" t="s">
        <v>3738</v>
      </c>
      <c r="D1404" s="1" t="s">
        <v>3739</v>
      </c>
      <c r="E1404" s="7">
        <v>16020</v>
      </c>
    </row>
    <row r="1405" spans="1:5" x14ac:dyDescent="0.25">
      <c r="A1405" s="5" t="s">
        <v>6</v>
      </c>
      <c r="B1405" s="5" t="s">
        <v>3740</v>
      </c>
      <c r="C1405" s="1" t="s">
        <v>3741</v>
      </c>
      <c r="D1405" s="1" t="s">
        <v>3742</v>
      </c>
      <c r="E1405" s="7">
        <v>69358</v>
      </c>
    </row>
    <row r="1406" spans="1:5" x14ac:dyDescent="0.25">
      <c r="A1406" s="5" t="s">
        <v>6</v>
      </c>
      <c r="B1406" s="5" t="s">
        <v>3743</v>
      </c>
      <c r="C1406" s="1" t="s">
        <v>3744</v>
      </c>
      <c r="D1406" s="1" t="s">
        <v>3745</v>
      </c>
      <c r="E1406" s="7">
        <v>73289</v>
      </c>
    </row>
    <row r="1407" spans="1:5" x14ac:dyDescent="0.25">
      <c r="A1407" s="5" t="s">
        <v>6</v>
      </c>
      <c r="B1407" s="5" t="s">
        <v>3746</v>
      </c>
      <c r="C1407" s="1" t="s">
        <v>3747</v>
      </c>
      <c r="D1407" s="1" t="s">
        <v>3748</v>
      </c>
      <c r="E1407" s="7">
        <v>13500</v>
      </c>
    </row>
    <row r="1408" spans="1:5" x14ac:dyDescent="0.25">
      <c r="A1408" s="5" t="s">
        <v>6</v>
      </c>
      <c r="B1408" s="5" t="s">
        <v>3749</v>
      </c>
      <c r="C1408" s="1" t="s">
        <v>3750</v>
      </c>
      <c r="D1408" s="1" t="s">
        <v>3751</v>
      </c>
      <c r="E1408" s="7">
        <v>2057</v>
      </c>
    </row>
    <row r="1409" spans="1:5" x14ac:dyDescent="0.25">
      <c r="A1409" s="5" t="s">
        <v>6</v>
      </c>
      <c r="B1409" s="5" t="s">
        <v>3752</v>
      </c>
      <c r="C1409" s="1" t="s">
        <v>3753</v>
      </c>
      <c r="D1409" s="1" t="s">
        <v>3754</v>
      </c>
      <c r="E1409" s="7">
        <v>20181</v>
      </c>
    </row>
    <row r="1410" spans="1:5" x14ac:dyDescent="0.25">
      <c r="A1410" s="5" t="s">
        <v>6</v>
      </c>
      <c r="B1410" s="5" t="s">
        <v>3755</v>
      </c>
      <c r="C1410" s="1" t="s">
        <v>3756</v>
      </c>
      <c r="D1410" s="1" t="s">
        <v>3756</v>
      </c>
      <c r="E1410" s="7">
        <v>9556</v>
      </c>
    </row>
    <row r="1411" spans="1:5" x14ac:dyDescent="0.25">
      <c r="A1411" s="5" t="s">
        <v>6</v>
      </c>
      <c r="B1411" s="5" t="s">
        <v>3757</v>
      </c>
      <c r="C1411" s="1" t="s">
        <v>3758</v>
      </c>
      <c r="D1411" s="1" t="s">
        <v>3759</v>
      </c>
      <c r="E1411" s="7">
        <v>71998</v>
      </c>
    </row>
    <row r="1412" spans="1:5" x14ac:dyDescent="0.25">
      <c r="A1412" s="5" t="s">
        <v>6</v>
      </c>
      <c r="B1412" s="5" t="s">
        <v>3760</v>
      </c>
      <c r="C1412" s="1" t="s">
        <v>3761</v>
      </c>
      <c r="D1412" s="1" t="s">
        <v>3762</v>
      </c>
      <c r="E1412" s="7">
        <v>21540</v>
      </c>
    </row>
    <row r="1413" spans="1:5" x14ac:dyDescent="0.25">
      <c r="A1413" s="5" t="s">
        <v>6</v>
      </c>
      <c r="B1413" s="5" t="s">
        <v>3763</v>
      </c>
      <c r="C1413" s="1" t="s">
        <v>3764</v>
      </c>
      <c r="D1413" s="1" t="s">
        <v>3765</v>
      </c>
      <c r="E1413" s="7">
        <v>19424</v>
      </c>
    </row>
    <row r="1414" spans="1:5" x14ac:dyDescent="0.25">
      <c r="A1414" s="5" t="s">
        <v>6</v>
      </c>
      <c r="B1414" s="5" t="s">
        <v>3766</v>
      </c>
      <c r="C1414" s="1" t="s">
        <v>3767</v>
      </c>
      <c r="D1414" s="1" t="s">
        <v>3768</v>
      </c>
      <c r="E1414" s="7">
        <v>2057</v>
      </c>
    </row>
    <row r="1415" spans="1:5" x14ac:dyDescent="0.25">
      <c r="A1415" s="5" t="s">
        <v>6</v>
      </c>
      <c r="B1415" s="5" t="s">
        <v>3769</v>
      </c>
      <c r="C1415" s="1" t="s">
        <v>3770</v>
      </c>
      <c r="D1415" s="1" t="s">
        <v>3771</v>
      </c>
      <c r="E1415" s="7">
        <v>54438</v>
      </c>
    </row>
    <row r="1416" spans="1:5" x14ac:dyDescent="0.25">
      <c r="A1416" s="5" t="s">
        <v>6</v>
      </c>
      <c r="B1416" s="5" t="s">
        <v>3772</v>
      </c>
      <c r="C1416" s="1" t="s">
        <v>3773</v>
      </c>
      <c r="D1416" s="1" t="s">
        <v>3774</v>
      </c>
      <c r="E1416" s="7">
        <v>27822</v>
      </c>
    </row>
    <row r="1417" spans="1:5" x14ac:dyDescent="0.25">
      <c r="A1417" s="5" t="s">
        <v>6</v>
      </c>
      <c r="B1417" s="5" t="s">
        <v>3775</v>
      </c>
      <c r="C1417" s="1" t="s">
        <v>3776</v>
      </c>
      <c r="D1417" s="1" t="s">
        <v>3777</v>
      </c>
      <c r="E1417" s="7">
        <v>15744</v>
      </c>
    </row>
    <row r="1418" spans="1:5" x14ac:dyDescent="0.25">
      <c r="A1418" s="5" t="s">
        <v>6</v>
      </c>
      <c r="B1418" s="5" t="s">
        <v>3778</v>
      </c>
      <c r="C1418" s="1" t="s">
        <v>3779</v>
      </c>
      <c r="D1418" s="1" t="s">
        <v>3780</v>
      </c>
      <c r="E1418" s="7">
        <v>13719</v>
      </c>
    </row>
    <row r="1419" spans="1:5" x14ac:dyDescent="0.25">
      <c r="A1419" s="5" t="s">
        <v>6</v>
      </c>
      <c r="B1419" s="5" t="s">
        <v>3781</v>
      </c>
      <c r="C1419" s="1" t="s">
        <v>3782</v>
      </c>
      <c r="D1419" s="1" t="s">
        <v>3783</v>
      </c>
      <c r="E1419" s="7">
        <v>12474</v>
      </c>
    </row>
    <row r="1420" spans="1:5" x14ac:dyDescent="0.25">
      <c r="A1420" s="5" t="s">
        <v>6</v>
      </c>
      <c r="B1420" s="5" t="s">
        <v>3784</v>
      </c>
      <c r="C1420" s="1" t="s">
        <v>3785</v>
      </c>
      <c r="D1420" s="1" t="s">
        <v>3786</v>
      </c>
      <c r="E1420" s="7">
        <v>4005</v>
      </c>
    </row>
    <row r="1421" spans="1:5" x14ac:dyDescent="0.25">
      <c r="A1421" s="5" t="s">
        <v>6</v>
      </c>
      <c r="B1421" s="5" t="s">
        <v>3787</v>
      </c>
      <c r="C1421" s="1" t="s">
        <v>3788</v>
      </c>
      <c r="D1421" s="1" t="s">
        <v>3789</v>
      </c>
      <c r="E1421" s="7">
        <v>2062</v>
      </c>
    </row>
    <row r="1422" spans="1:5" x14ac:dyDescent="0.25">
      <c r="A1422" s="5" t="s">
        <v>6</v>
      </c>
      <c r="B1422" s="5" t="s">
        <v>3790</v>
      </c>
      <c r="C1422" s="1" t="s">
        <v>3791</v>
      </c>
      <c r="D1422" s="1" t="s">
        <v>3792</v>
      </c>
      <c r="E1422" s="7">
        <v>2229</v>
      </c>
    </row>
    <row r="1423" spans="1:5" x14ac:dyDescent="0.25">
      <c r="A1423" s="5" t="s">
        <v>6</v>
      </c>
      <c r="B1423" s="5" t="s">
        <v>3793</v>
      </c>
      <c r="C1423" s="1" t="s">
        <v>3794</v>
      </c>
      <c r="D1423" s="1" t="s">
        <v>3795</v>
      </c>
      <c r="E1423" s="7">
        <v>9616</v>
      </c>
    </row>
    <row r="1424" spans="1:5" x14ac:dyDescent="0.25">
      <c r="A1424" s="5" t="s">
        <v>6</v>
      </c>
      <c r="B1424" s="5" t="s">
        <v>3796</v>
      </c>
      <c r="C1424" s="1" t="s">
        <v>3797</v>
      </c>
      <c r="D1424" s="1" t="s">
        <v>3798</v>
      </c>
      <c r="E1424" s="7">
        <v>8951</v>
      </c>
    </row>
    <row r="1425" spans="1:5" x14ac:dyDescent="0.25">
      <c r="A1425" s="5" t="s">
        <v>6</v>
      </c>
      <c r="B1425" s="5" t="s">
        <v>3799</v>
      </c>
      <c r="C1425" s="1" t="s">
        <v>3800</v>
      </c>
      <c r="D1425" s="1" t="s">
        <v>3801</v>
      </c>
      <c r="E1425" s="7">
        <v>11454</v>
      </c>
    </row>
    <row r="1426" spans="1:5" x14ac:dyDescent="0.25">
      <c r="A1426" s="5" t="s">
        <v>6</v>
      </c>
      <c r="B1426" s="5" t="s">
        <v>3802</v>
      </c>
      <c r="C1426" s="1" t="s">
        <v>3803</v>
      </c>
      <c r="D1426" s="1" t="s">
        <v>3804</v>
      </c>
      <c r="E1426" s="7">
        <v>12109</v>
      </c>
    </row>
    <row r="1427" spans="1:5" x14ac:dyDescent="0.25">
      <c r="A1427" s="5" t="s">
        <v>6</v>
      </c>
      <c r="B1427" s="5" t="s">
        <v>3805</v>
      </c>
      <c r="C1427" s="1" t="s">
        <v>3806</v>
      </c>
      <c r="D1427" s="1" t="s">
        <v>3807</v>
      </c>
      <c r="E1427" s="7">
        <v>12582</v>
      </c>
    </row>
    <row r="1428" spans="1:5" x14ac:dyDescent="0.25">
      <c r="A1428" s="5" t="s">
        <v>6</v>
      </c>
      <c r="B1428" s="5" t="s">
        <v>3808</v>
      </c>
      <c r="C1428" s="1" t="s">
        <v>3809</v>
      </c>
      <c r="D1428" s="1" t="s">
        <v>3810</v>
      </c>
      <c r="E1428" s="7">
        <v>9303</v>
      </c>
    </row>
    <row r="1429" spans="1:5" x14ac:dyDescent="0.25">
      <c r="A1429" s="5" t="s">
        <v>6</v>
      </c>
      <c r="B1429" s="5" t="s">
        <v>3811</v>
      </c>
      <c r="C1429" s="1" t="s">
        <v>3812</v>
      </c>
      <c r="D1429" s="1" t="s">
        <v>3813</v>
      </c>
      <c r="E1429" s="7">
        <v>4639</v>
      </c>
    </row>
    <row r="1430" spans="1:5" x14ac:dyDescent="0.25">
      <c r="A1430" s="5" t="s">
        <v>6</v>
      </c>
      <c r="B1430" s="5" t="s">
        <v>3814</v>
      </c>
      <c r="C1430" s="1" t="s">
        <v>3815</v>
      </c>
      <c r="D1430" s="1" t="s">
        <v>3816</v>
      </c>
      <c r="E1430" s="7">
        <v>4256</v>
      </c>
    </row>
    <row r="1431" spans="1:5" x14ac:dyDescent="0.25">
      <c r="A1431" s="5" t="s">
        <v>6</v>
      </c>
      <c r="B1431" s="5" t="s">
        <v>3817</v>
      </c>
      <c r="C1431" s="1" t="s">
        <v>3818</v>
      </c>
      <c r="D1431" s="1" t="s">
        <v>3819</v>
      </c>
      <c r="E1431" s="7">
        <v>8312</v>
      </c>
    </row>
    <row r="1432" spans="1:5" x14ac:dyDescent="0.25">
      <c r="A1432" s="5" t="s">
        <v>6</v>
      </c>
      <c r="B1432" s="5" t="s">
        <v>3820</v>
      </c>
      <c r="C1432" s="1" t="s">
        <v>3821</v>
      </c>
      <c r="D1432" s="1" t="s">
        <v>3822</v>
      </c>
      <c r="E1432" s="7">
        <v>8293</v>
      </c>
    </row>
    <row r="1433" spans="1:5" x14ac:dyDescent="0.25">
      <c r="A1433" s="5" t="s">
        <v>6</v>
      </c>
      <c r="B1433" s="5" t="s">
        <v>3823</v>
      </c>
      <c r="C1433" s="1" t="s">
        <v>3824</v>
      </c>
      <c r="D1433" s="1" t="s">
        <v>3825</v>
      </c>
      <c r="E1433" s="7">
        <v>1946</v>
      </c>
    </row>
    <row r="1434" spans="1:5" x14ac:dyDescent="0.25">
      <c r="A1434" s="5" t="s">
        <v>6</v>
      </c>
      <c r="B1434" s="5" t="s">
        <v>3826</v>
      </c>
      <c r="C1434" s="1" t="s">
        <v>3827</v>
      </c>
      <c r="D1434" s="1" t="s">
        <v>3828</v>
      </c>
      <c r="E1434" s="7">
        <v>4760</v>
      </c>
    </row>
    <row r="1435" spans="1:5" x14ac:dyDescent="0.25">
      <c r="A1435" s="5" t="s">
        <v>6</v>
      </c>
      <c r="B1435" s="5" t="s">
        <v>3829</v>
      </c>
      <c r="C1435" s="1" t="s">
        <v>3830</v>
      </c>
      <c r="D1435" s="1" t="s">
        <v>3831</v>
      </c>
      <c r="E1435" s="7">
        <v>1817</v>
      </c>
    </row>
    <row r="1436" spans="1:5" x14ac:dyDescent="0.25">
      <c r="A1436" s="5" t="s">
        <v>6</v>
      </c>
      <c r="B1436" s="5" t="s">
        <v>3832</v>
      </c>
      <c r="C1436" s="1" t="s">
        <v>3833</v>
      </c>
      <c r="D1436" s="1" t="s">
        <v>3834</v>
      </c>
      <c r="E1436" s="7">
        <v>2499</v>
      </c>
    </row>
    <row r="1437" spans="1:5" x14ac:dyDescent="0.25">
      <c r="A1437" s="5" t="s">
        <v>6</v>
      </c>
      <c r="B1437" s="5" t="s">
        <v>3835</v>
      </c>
      <c r="C1437" s="1" t="s">
        <v>3836</v>
      </c>
      <c r="D1437" s="1" t="s">
        <v>3837</v>
      </c>
      <c r="E1437" s="7">
        <v>3767</v>
      </c>
    </row>
    <row r="1438" spans="1:5" x14ac:dyDescent="0.25">
      <c r="A1438" s="5" t="s">
        <v>6</v>
      </c>
      <c r="B1438" s="5" t="s">
        <v>3838</v>
      </c>
      <c r="C1438" s="1" t="s">
        <v>3839</v>
      </c>
      <c r="D1438" s="1" t="s">
        <v>3837</v>
      </c>
      <c r="E1438" s="7">
        <v>4183</v>
      </c>
    </row>
    <row r="1439" spans="1:5" x14ac:dyDescent="0.25">
      <c r="A1439" s="5" t="s">
        <v>6</v>
      </c>
      <c r="B1439" s="5" t="s">
        <v>3840</v>
      </c>
      <c r="C1439" s="1" t="s">
        <v>3841</v>
      </c>
      <c r="D1439" s="1" t="s">
        <v>3842</v>
      </c>
      <c r="E1439" s="7">
        <v>34912</v>
      </c>
    </row>
    <row r="1440" spans="1:5" x14ac:dyDescent="0.25">
      <c r="A1440" s="5" t="s">
        <v>6</v>
      </c>
      <c r="B1440" s="5" t="s">
        <v>3843</v>
      </c>
      <c r="C1440" s="1" t="s">
        <v>3844</v>
      </c>
      <c r="D1440" s="1" t="s">
        <v>3842</v>
      </c>
      <c r="E1440" s="7">
        <v>33391</v>
      </c>
    </row>
    <row r="1441" spans="1:5" x14ac:dyDescent="0.25">
      <c r="A1441" s="5" t="s">
        <v>6</v>
      </c>
      <c r="B1441" s="5" t="s">
        <v>3845</v>
      </c>
      <c r="C1441" s="1" t="s">
        <v>3846</v>
      </c>
      <c r="D1441" s="1" t="s">
        <v>3847</v>
      </c>
      <c r="E1441" s="7">
        <v>57444</v>
      </c>
    </row>
    <row r="1442" spans="1:5" x14ac:dyDescent="0.25">
      <c r="A1442" s="5" t="s">
        <v>6</v>
      </c>
      <c r="B1442" s="5" t="s">
        <v>3848</v>
      </c>
      <c r="C1442" s="1" t="s">
        <v>3849</v>
      </c>
      <c r="D1442" s="1" t="s">
        <v>3673</v>
      </c>
      <c r="E1442" s="7">
        <v>57444</v>
      </c>
    </row>
    <row r="1443" spans="1:5" x14ac:dyDescent="0.25">
      <c r="A1443" s="5" t="s">
        <v>6</v>
      </c>
      <c r="B1443" s="5" t="s">
        <v>3850</v>
      </c>
      <c r="C1443" s="1" t="s">
        <v>3851</v>
      </c>
      <c r="D1443" s="1" t="s">
        <v>3852</v>
      </c>
      <c r="E1443" s="7">
        <v>7466</v>
      </c>
    </row>
    <row r="1444" spans="1:5" x14ac:dyDescent="0.25">
      <c r="A1444" s="5" t="s">
        <v>6</v>
      </c>
      <c r="B1444" s="5" t="s">
        <v>3853</v>
      </c>
      <c r="C1444" s="1" t="s">
        <v>3854</v>
      </c>
      <c r="D1444" s="1" t="s">
        <v>3852</v>
      </c>
      <c r="E1444" s="7">
        <v>7446</v>
      </c>
    </row>
    <row r="1445" spans="1:5" x14ac:dyDescent="0.25">
      <c r="A1445" s="5" t="s">
        <v>6</v>
      </c>
      <c r="B1445" s="5" t="s">
        <v>3855</v>
      </c>
      <c r="C1445" s="1" t="s">
        <v>3856</v>
      </c>
      <c r="D1445" s="1" t="s">
        <v>3857</v>
      </c>
      <c r="E1445" s="7">
        <v>20456</v>
      </c>
    </row>
    <row r="1446" spans="1:5" x14ac:dyDescent="0.25">
      <c r="A1446" s="5" t="s">
        <v>6</v>
      </c>
      <c r="B1446" s="5" t="s">
        <v>3858</v>
      </c>
      <c r="C1446" s="1" t="s">
        <v>3859</v>
      </c>
      <c r="D1446" s="1" t="s">
        <v>3860</v>
      </c>
      <c r="E1446" s="7">
        <v>6112</v>
      </c>
    </row>
    <row r="1447" spans="1:5" x14ac:dyDescent="0.25">
      <c r="A1447" s="5" t="s">
        <v>6</v>
      </c>
      <c r="B1447" s="5" t="s">
        <v>3861</v>
      </c>
      <c r="C1447" s="1" t="s">
        <v>3862</v>
      </c>
      <c r="D1447" s="1" t="s">
        <v>3863</v>
      </c>
      <c r="E1447" s="7">
        <v>3945</v>
      </c>
    </row>
    <row r="1448" spans="1:5" x14ac:dyDescent="0.25">
      <c r="A1448" s="5" t="s">
        <v>6</v>
      </c>
      <c r="B1448" s="5" t="s">
        <v>3864</v>
      </c>
      <c r="C1448" s="1" t="s">
        <v>3865</v>
      </c>
      <c r="D1448" s="1" t="s">
        <v>3866</v>
      </c>
      <c r="E1448" s="7">
        <v>5170</v>
      </c>
    </row>
    <row r="1449" spans="1:5" x14ac:dyDescent="0.25">
      <c r="A1449" s="5" t="s">
        <v>6</v>
      </c>
      <c r="B1449" s="5" t="s">
        <v>3867</v>
      </c>
      <c r="C1449" s="1" t="s">
        <v>3868</v>
      </c>
      <c r="D1449" s="1" t="s">
        <v>3869</v>
      </c>
      <c r="E1449" s="7">
        <v>3297</v>
      </c>
    </row>
    <row r="1450" spans="1:5" x14ac:dyDescent="0.25">
      <c r="A1450" s="5" t="s">
        <v>6</v>
      </c>
      <c r="B1450" s="5" t="s">
        <v>3870</v>
      </c>
      <c r="C1450" s="1" t="s">
        <v>3871</v>
      </c>
      <c r="D1450" s="1" t="s">
        <v>3872</v>
      </c>
      <c r="E1450" s="7">
        <v>5728</v>
      </c>
    </row>
    <row r="1451" spans="1:5" x14ac:dyDescent="0.25">
      <c r="A1451" s="5" t="s">
        <v>6</v>
      </c>
      <c r="B1451" s="5" t="s">
        <v>3873</v>
      </c>
      <c r="C1451" s="1" t="s">
        <v>3874</v>
      </c>
      <c r="D1451" s="1" t="s">
        <v>3875</v>
      </c>
      <c r="E1451" s="7">
        <v>52071</v>
      </c>
    </row>
    <row r="1452" spans="1:5" x14ac:dyDescent="0.25">
      <c r="A1452" s="5" t="s">
        <v>6</v>
      </c>
      <c r="B1452" s="5" t="s">
        <v>3876</v>
      </c>
      <c r="C1452" s="1" t="s">
        <v>3877</v>
      </c>
      <c r="D1452" s="1" t="s">
        <v>3878</v>
      </c>
      <c r="E1452" s="7">
        <v>17062</v>
      </c>
    </row>
    <row r="1453" spans="1:5" x14ac:dyDescent="0.25">
      <c r="A1453" s="5" t="s">
        <v>6</v>
      </c>
      <c r="B1453" s="5" t="s">
        <v>3879</v>
      </c>
      <c r="C1453" s="1" t="s">
        <v>3880</v>
      </c>
      <c r="D1453" s="1" t="s">
        <v>3881</v>
      </c>
      <c r="E1453" s="7">
        <v>10719</v>
      </c>
    </row>
    <row r="1454" spans="1:5" x14ac:dyDescent="0.25">
      <c r="A1454" s="5" t="s">
        <v>6</v>
      </c>
      <c r="B1454" s="5" t="s">
        <v>3882</v>
      </c>
      <c r="C1454" s="1" t="s">
        <v>3883</v>
      </c>
      <c r="D1454" s="1" t="s">
        <v>3881</v>
      </c>
      <c r="E1454" s="7">
        <v>7078</v>
      </c>
    </row>
    <row r="1455" spans="1:5" x14ac:dyDescent="0.25">
      <c r="A1455" s="5" t="s">
        <v>6</v>
      </c>
      <c r="B1455" s="5" t="s">
        <v>3884</v>
      </c>
      <c r="C1455" s="1" t="s">
        <v>3885</v>
      </c>
      <c r="D1455" s="1" t="s">
        <v>3881</v>
      </c>
      <c r="E1455" s="7">
        <v>9388</v>
      </c>
    </row>
    <row r="1456" spans="1:5" x14ac:dyDescent="0.25">
      <c r="A1456" s="5" t="s">
        <v>6</v>
      </c>
      <c r="B1456" s="5" t="s">
        <v>3886</v>
      </c>
      <c r="C1456" s="1" t="s">
        <v>3887</v>
      </c>
      <c r="D1456" s="1" t="s">
        <v>3888</v>
      </c>
      <c r="E1456" s="7">
        <v>10897</v>
      </c>
    </row>
    <row r="1457" spans="1:5" x14ac:dyDescent="0.25">
      <c r="A1457" s="5" t="s">
        <v>6</v>
      </c>
      <c r="B1457" s="5" t="s">
        <v>3889</v>
      </c>
      <c r="C1457" s="1" t="s">
        <v>3890</v>
      </c>
      <c r="D1457" s="1" t="s">
        <v>3891</v>
      </c>
      <c r="E1457" s="7">
        <v>42077</v>
      </c>
    </row>
    <row r="1458" spans="1:5" x14ac:dyDescent="0.25">
      <c r="A1458" s="5" t="s">
        <v>6</v>
      </c>
      <c r="B1458" s="5" t="s">
        <v>3892</v>
      </c>
      <c r="C1458" s="1" t="s">
        <v>3893</v>
      </c>
      <c r="D1458" s="1" t="s">
        <v>3894</v>
      </c>
      <c r="E1458" s="7">
        <v>20163</v>
      </c>
    </row>
    <row r="1459" spans="1:5" x14ac:dyDescent="0.25">
      <c r="A1459" s="5" t="s">
        <v>6</v>
      </c>
      <c r="B1459" s="5" t="s">
        <v>3895</v>
      </c>
      <c r="C1459" s="1" t="s">
        <v>3896</v>
      </c>
      <c r="D1459" s="1" t="s">
        <v>3897</v>
      </c>
      <c r="E1459" s="7">
        <v>61434</v>
      </c>
    </row>
    <row r="1460" spans="1:5" x14ac:dyDescent="0.25">
      <c r="A1460" s="5" t="s">
        <v>6</v>
      </c>
      <c r="B1460" s="5" t="s">
        <v>3898</v>
      </c>
      <c r="C1460" s="1" t="s">
        <v>3899</v>
      </c>
      <c r="D1460" s="1" t="s">
        <v>3900</v>
      </c>
      <c r="E1460" s="7">
        <v>38348</v>
      </c>
    </row>
    <row r="1461" spans="1:5" x14ac:dyDescent="0.25">
      <c r="A1461" s="5" t="s">
        <v>6</v>
      </c>
      <c r="B1461" s="5" t="s">
        <v>3901</v>
      </c>
      <c r="C1461" s="1" t="s">
        <v>3902</v>
      </c>
      <c r="D1461" s="1" t="s">
        <v>3903</v>
      </c>
      <c r="E1461" s="7">
        <v>39436</v>
      </c>
    </row>
    <row r="1462" spans="1:5" x14ac:dyDescent="0.25">
      <c r="A1462" s="5" t="s">
        <v>6</v>
      </c>
      <c r="B1462" s="5" t="s">
        <v>3904</v>
      </c>
      <c r="C1462" s="1" t="s">
        <v>3905</v>
      </c>
      <c r="D1462" s="1" t="s">
        <v>3906</v>
      </c>
      <c r="E1462" s="7">
        <v>45784</v>
      </c>
    </row>
    <row r="1463" spans="1:5" x14ac:dyDescent="0.25">
      <c r="A1463" s="5" t="s">
        <v>6</v>
      </c>
      <c r="B1463" s="5" t="s">
        <v>3907</v>
      </c>
      <c r="C1463" s="1" t="s">
        <v>3908</v>
      </c>
      <c r="D1463" s="1" t="s">
        <v>3909</v>
      </c>
      <c r="E1463" s="7">
        <v>5387</v>
      </c>
    </row>
    <row r="1464" spans="1:5" x14ac:dyDescent="0.25">
      <c r="A1464" s="5" t="s">
        <v>6</v>
      </c>
      <c r="B1464" s="5" t="s">
        <v>3910</v>
      </c>
      <c r="C1464" s="1" t="s">
        <v>3911</v>
      </c>
      <c r="D1464" s="1" t="s">
        <v>3912</v>
      </c>
      <c r="E1464" s="7">
        <v>2387</v>
      </c>
    </row>
    <row r="1465" spans="1:5" x14ac:dyDescent="0.25">
      <c r="A1465" s="5" t="s">
        <v>6</v>
      </c>
      <c r="B1465" s="5" t="s">
        <v>3913</v>
      </c>
      <c r="C1465" s="1" t="s">
        <v>3914</v>
      </c>
      <c r="D1465" s="1" t="s">
        <v>3915</v>
      </c>
      <c r="E1465" s="7">
        <v>4078</v>
      </c>
    </row>
    <row r="1466" spans="1:5" x14ac:dyDescent="0.25">
      <c r="A1466" s="5" t="s">
        <v>6</v>
      </c>
      <c r="B1466" s="5" t="s">
        <v>3916</v>
      </c>
      <c r="C1466" s="1" t="s">
        <v>3917</v>
      </c>
      <c r="D1466" s="1" t="s">
        <v>3918</v>
      </c>
      <c r="E1466" s="7">
        <v>573</v>
      </c>
    </row>
    <row r="1467" spans="1:5" x14ac:dyDescent="0.25">
      <c r="A1467" s="5" t="s">
        <v>6</v>
      </c>
      <c r="B1467" s="5" t="s">
        <v>3919</v>
      </c>
      <c r="C1467" s="1" t="s">
        <v>3920</v>
      </c>
      <c r="D1467" s="1" t="s">
        <v>3918</v>
      </c>
      <c r="E1467" s="7">
        <v>5019</v>
      </c>
    </row>
    <row r="1468" spans="1:5" x14ac:dyDescent="0.25">
      <c r="A1468" s="5" t="s">
        <v>6</v>
      </c>
      <c r="B1468" s="5" t="s">
        <v>3921</v>
      </c>
      <c r="C1468" s="1" t="s">
        <v>3922</v>
      </c>
      <c r="D1468" s="1" t="s">
        <v>3918</v>
      </c>
      <c r="E1468" s="7">
        <v>4594</v>
      </c>
    </row>
    <row r="1469" spans="1:5" x14ac:dyDescent="0.25">
      <c r="A1469" s="5" t="s">
        <v>6</v>
      </c>
      <c r="B1469" s="5" t="s">
        <v>3923</v>
      </c>
      <c r="C1469" s="1" t="s">
        <v>3924</v>
      </c>
      <c r="D1469" s="1" t="s">
        <v>3918</v>
      </c>
      <c r="E1469" s="7">
        <v>6214</v>
      </c>
    </row>
    <row r="1470" spans="1:5" x14ac:dyDescent="0.25">
      <c r="A1470" s="5" t="s">
        <v>6</v>
      </c>
      <c r="B1470" s="5" t="s">
        <v>3925</v>
      </c>
      <c r="C1470" s="1" t="s">
        <v>3926</v>
      </c>
      <c r="D1470" s="1" t="s">
        <v>3918</v>
      </c>
      <c r="E1470" s="7">
        <v>692</v>
      </c>
    </row>
    <row r="1471" spans="1:5" x14ac:dyDescent="0.25">
      <c r="A1471" s="5" t="s">
        <v>6</v>
      </c>
      <c r="B1471" s="5" t="s">
        <v>3927</v>
      </c>
      <c r="C1471" s="1" t="s">
        <v>3928</v>
      </c>
      <c r="D1471" s="1" t="s">
        <v>3918</v>
      </c>
      <c r="E1471" s="7">
        <v>669</v>
      </c>
    </row>
    <row r="1472" spans="1:5" x14ac:dyDescent="0.25">
      <c r="A1472" s="5" t="s">
        <v>6</v>
      </c>
      <c r="B1472" s="5" t="s">
        <v>3929</v>
      </c>
      <c r="C1472" s="1" t="s">
        <v>3930</v>
      </c>
      <c r="D1472" s="1" t="s">
        <v>3918</v>
      </c>
      <c r="E1472" s="7">
        <v>527</v>
      </c>
    </row>
    <row r="1473" spans="1:5" x14ac:dyDescent="0.25">
      <c r="A1473" s="5" t="s">
        <v>6</v>
      </c>
      <c r="B1473" s="5" t="s">
        <v>3931</v>
      </c>
      <c r="C1473" s="1" t="s">
        <v>3932</v>
      </c>
      <c r="D1473" s="1" t="s">
        <v>3918</v>
      </c>
      <c r="E1473" s="7">
        <v>494</v>
      </c>
    </row>
    <row r="1474" spans="1:5" x14ac:dyDescent="0.25">
      <c r="A1474" s="5" t="s">
        <v>6</v>
      </c>
      <c r="B1474" s="5" t="s">
        <v>3933</v>
      </c>
      <c r="C1474" s="1" t="s">
        <v>3934</v>
      </c>
      <c r="D1474" s="1" t="s">
        <v>3935</v>
      </c>
      <c r="E1474" s="7">
        <v>3780</v>
      </c>
    </row>
    <row r="1475" spans="1:5" x14ac:dyDescent="0.25">
      <c r="A1475" s="5" t="s">
        <v>6</v>
      </c>
      <c r="B1475" s="5" t="s">
        <v>3936</v>
      </c>
      <c r="C1475" s="1" t="s">
        <v>3937</v>
      </c>
      <c r="D1475" s="1" t="s">
        <v>3937</v>
      </c>
      <c r="E1475" s="7">
        <v>4251</v>
      </c>
    </row>
    <row r="1476" spans="1:5" x14ac:dyDescent="0.25">
      <c r="A1476" s="5" t="s">
        <v>6</v>
      </c>
      <c r="B1476" s="5" t="s">
        <v>3938</v>
      </c>
      <c r="C1476" s="1" t="s">
        <v>245</v>
      </c>
      <c r="D1476" s="1" t="s">
        <v>246</v>
      </c>
      <c r="E1476" s="7">
        <v>557</v>
      </c>
    </row>
    <row r="1477" spans="1:5" x14ac:dyDescent="0.25">
      <c r="A1477" s="5" t="s">
        <v>6</v>
      </c>
      <c r="B1477" s="5" t="s">
        <v>3939</v>
      </c>
      <c r="C1477" s="1" t="s">
        <v>248</v>
      </c>
      <c r="D1477" s="1" t="s">
        <v>249</v>
      </c>
      <c r="E1477" s="7">
        <v>448</v>
      </c>
    </row>
    <row r="1478" spans="1:5" x14ac:dyDescent="0.25">
      <c r="A1478" s="5" t="s">
        <v>6</v>
      </c>
      <c r="B1478" s="5" t="s">
        <v>3940</v>
      </c>
      <c r="C1478" s="1" t="s">
        <v>3941</v>
      </c>
      <c r="D1478" s="1" t="s">
        <v>3942</v>
      </c>
      <c r="E1478" s="7">
        <v>55287</v>
      </c>
    </row>
    <row r="1479" spans="1:5" x14ac:dyDescent="0.25">
      <c r="A1479" s="5" t="s">
        <v>6</v>
      </c>
      <c r="B1479" s="5" t="s">
        <v>3943</v>
      </c>
      <c r="C1479" s="1" t="s">
        <v>3944</v>
      </c>
      <c r="D1479" s="1" t="s">
        <v>3945</v>
      </c>
      <c r="E1479" s="7">
        <v>55287</v>
      </c>
    </row>
    <row r="1480" spans="1:5" x14ac:dyDescent="0.25">
      <c r="A1480" s="5" t="s">
        <v>6</v>
      </c>
      <c r="B1480" s="5" t="s">
        <v>3946</v>
      </c>
      <c r="C1480" s="1" t="s">
        <v>3947</v>
      </c>
      <c r="D1480" s="1" t="s">
        <v>3948</v>
      </c>
      <c r="E1480" s="7">
        <v>108573</v>
      </c>
    </row>
    <row r="1481" spans="1:5" x14ac:dyDescent="0.25">
      <c r="A1481" s="5" t="s">
        <v>6</v>
      </c>
      <c r="B1481" s="5" t="s">
        <v>3949</v>
      </c>
      <c r="C1481" s="1" t="s">
        <v>3950</v>
      </c>
      <c r="D1481" s="1" t="s">
        <v>3951</v>
      </c>
      <c r="E1481" s="7">
        <v>69797</v>
      </c>
    </row>
    <row r="1482" spans="1:5" x14ac:dyDescent="0.25">
      <c r="A1482" s="5" t="s">
        <v>6</v>
      </c>
      <c r="B1482" s="5" t="s">
        <v>3952</v>
      </c>
      <c r="C1482" s="1" t="s">
        <v>3953</v>
      </c>
      <c r="D1482" s="1" t="s">
        <v>3954</v>
      </c>
      <c r="E1482" s="7">
        <v>113703</v>
      </c>
    </row>
    <row r="1483" spans="1:5" x14ac:dyDescent="0.25">
      <c r="A1483" s="5" t="s">
        <v>6</v>
      </c>
      <c r="B1483" s="5" t="s">
        <v>3955</v>
      </c>
      <c r="C1483" s="1" t="s">
        <v>3956</v>
      </c>
      <c r="D1483" s="1" t="s">
        <v>3957</v>
      </c>
      <c r="E1483" s="7">
        <v>42851</v>
      </c>
    </row>
    <row r="1484" spans="1:5" x14ac:dyDescent="0.25">
      <c r="A1484" s="5" t="s">
        <v>6</v>
      </c>
      <c r="B1484" s="5" t="s">
        <v>3958</v>
      </c>
      <c r="C1484" s="1" t="s">
        <v>3959</v>
      </c>
      <c r="D1484" s="1" t="s">
        <v>3960</v>
      </c>
      <c r="E1484" s="7">
        <v>45120</v>
      </c>
    </row>
    <row r="1485" spans="1:5" x14ac:dyDescent="0.25">
      <c r="A1485" s="5" t="s">
        <v>6</v>
      </c>
      <c r="B1485" s="5" t="s">
        <v>3961</v>
      </c>
      <c r="C1485" s="1" t="s">
        <v>3962</v>
      </c>
      <c r="D1485" s="1" t="s">
        <v>3963</v>
      </c>
      <c r="E1485" s="7">
        <v>37210</v>
      </c>
    </row>
    <row r="1486" spans="1:5" x14ac:dyDescent="0.25">
      <c r="A1486" s="5" t="s">
        <v>6</v>
      </c>
      <c r="B1486" s="5" t="s">
        <v>3964</v>
      </c>
      <c r="C1486" s="1" t="s">
        <v>3965</v>
      </c>
      <c r="D1486" s="1" t="s">
        <v>3966</v>
      </c>
      <c r="E1486" s="7">
        <v>74426</v>
      </c>
    </row>
    <row r="1487" spans="1:5" x14ac:dyDescent="0.25">
      <c r="A1487" s="5" t="s">
        <v>6</v>
      </c>
      <c r="B1487" s="5" t="s">
        <v>3967</v>
      </c>
      <c r="C1487" s="1" t="s">
        <v>3968</v>
      </c>
      <c r="D1487" s="1" t="s">
        <v>3966</v>
      </c>
      <c r="E1487" s="7">
        <v>74426</v>
      </c>
    </row>
    <row r="1488" spans="1:5" x14ac:dyDescent="0.25">
      <c r="A1488" s="5" t="s">
        <v>6</v>
      </c>
      <c r="B1488" s="5" t="s">
        <v>3969</v>
      </c>
      <c r="C1488" s="1" t="s">
        <v>3970</v>
      </c>
      <c r="D1488" s="1" t="s">
        <v>3971</v>
      </c>
      <c r="E1488" s="7">
        <v>119731</v>
      </c>
    </row>
    <row r="1489" spans="1:5" x14ac:dyDescent="0.25">
      <c r="A1489" s="5" t="s">
        <v>6</v>
      </c>
      <c r="B1489" s="5" t="s">
        <v>3972</v>
      </c>
      <c r="C1489" s="1" t="s">
        <v>3973</v>
      </c>
      <c r="D1489" s="1" t="s">
        <v>3971</v>
      </c>
      <c r="E1489" s="7">
        <v>74426</v>
      </c>
    </row>
    <row r="1490" spans="1:5" x14ac:dyDescent="0.25">
      <c r="A1490" s="5" t="s">
        <v>6</v>
      </c>
      <c r="B1490" s="5" t="s">
        <v>3974</v>
      </c>
      <c r="C1490" s="1" t="s">
        <v>3968</v>
      </c>
      <c r="D1490" s="1" t="s">
        <v>3975</v>
      </c>
      <c r="E1490" s="7">
        <v>119731</v>
      </c>
    </row>
    <row r="1491" spans="1:5" x14ac:dyDescent="0.25">
      <c r="A1491" s="5" t="s">
        <v>6</v>
      </c>
      <c r="B1491" s="5" t="s">
        <v>3976</v>
      </c>
      <c r="C1491" s="1" t="s">
        <v>3977</v>
      </c>
      <c r="D1491" s="1" t="s">
        <v>3978</v>
      </c>
      <c r="E1491" s="7">
        <v>1901</v>
      </c>
    </row>
    <row r="1492" spans="1:5" x14ac:dyDescent="0.25">
      <c r="A1492" s="5" t="s">
        <v>6</v>
      </c>
      <c r="B1492" s="5" t="s">
        <v>3979</v>
      </c>
      <c r="C1492" s="1" t="s">
        <v>3980</v>
      </c>
      <c r="D1492" s="1" t="s">
        <v>3981</v>
      </c>
      <c r="E1492" s="7">
        <v>7439</v>
      </c>
    </row>
    <row r="1493" spans="1:5" x14ac:dyDescent="0.25">
      <c r="A1493" s="5" t="s">
        <v>6</v>
      </c>
      <c r="B1493" s="5" t="s">
        <v>3982</v>
      </c>
      <c r="C1493" s="1" t="s">
        <v>3983</v>
      </c>
      <c r="D1493" s="1" t="s">
        <v>3984</v>
      </c>
      <c r="E1493" s="7">
        <v>2358</v>
      </c>
    </row>
    <row r="1494" spans="1:5" x14ac:dyDescent="0.25">
      <c r="A1494" s="5" t="s">
        <v>6</v>
      </c>
      <c r="B1494" s="5" t="s">
        <v>3985</v>
      </c>
      <c r="C1494" s="1" t="s">
        <v>3986</v>
      </c>
      <c r="D1494" s="1" t="s">
        <v>3986</v>
      </c>
      <c r="E1494" s="7">
        <v>2358</v>
      </c>
    </row>
    <row r="1495" spans="1:5" x14ac:dyDescent="0.25">
      <c r="A1495" s="5" t="s">
        <v>6</v>
      </c>
      <c r="B1495" s="5" t="s">
        <v>3987</v>
      </c>
      <c r="C1495" s="1" t="s">
        <v>3988</v>
      </c>
      <c r="D1495" s="1" t="s">
        <v>3989</v>
      </c>
      <c r="E1495" s="7">
        <v>1512</v>
      </c>
    </row>
    <row r="1496" spans="1:5" x14ac:dyDescent="0.25">
      <c r="A1496" s="5" t="s">
        <v>6</v>
      </c>
      <c r="B1496" s="5" t="s">
        <v>3990</v>
      </c>
      <c r="C1496" s="1" t="s">
        <v>3991</v>
      </c>
      <c r="D1496" s="1" t="s">
        <v>3992</v>
      </c>
      <c r="E1496" s="7">
        <v>1605</v>
      </c>
    </row>
    <row r="1497" spans="1:5" x14ac:dyDescent="0.25">
      <c r="A1497" s="5" t="s">
        <v>6</v>
      </c>
      <c r="B1497" s="5" t="s">
        <v>3993</v>
      </c>
      <c r="C1497" s="1" t="s">
        <v>3994</v>
      </c>
      <c r="D1497" s="1" t="s">
        <v>3995</v>
      </c>
      <c r="E1497" s="7">
        <v>1333</v>
      </c>
    </row>
    <row r="1498" spans="1:5" x14ac:dyDescent="0.25">
      <c r="A1498" s="5" t="s">
        <v>6</v>
      </c>
      <c r="B1498" s="5" t="s">
        <v>3996</v>
      </c>
      <c r="C1498" s="1" t="s">
        <v>3997</v>
      </c>
      <c r="D1498" s="1" t="s">
        <v>3998</v>
      </c>
      <c r="E1498" s="7">
        <v>1820</v>
      </c>
    </row>
    <row r="1499" spans="1:5" x14ac:dyDescent="0.25">
      <c r="A1499" s="5" t="s">
        <v>6</v>
      </c>
      <c r="B1499" s="5" t="s">
        <v>3999</v>
      </c>
      <c r="C1499" s="1" t="s">
        <v>4000</v>
      </c>
      <c r="D1499" s="1" t="s">
        <v>4001</v>
      </c>
      <c r="E1499" s="7">
        <v>411</v>
      </c>
    </row>
    <row r="1500" spans="1:5" x14ac:dyDescent="0.25">
      <c r="A1500" s="5" t="s">
        <v>6</v>
      </c>
      <c r="B1500" s="5" t="s">
        <v>4002</v>
      </c>
      <c r="C1500" s="1" t="s">
        <v>4003</v>
      </c>
      <c r="D1500" s="1" t="s">
        <v>4004</v>
      </c>
      <c r="E1500" s="7">
        <v>928</v>
      </c>
    </row>
    <row r="1501" spans="1:5" x14ac:dyDescent="0.25">
      <c r="A1501" s="5" t="s">
        <v>6</v>
      </c>
      <c r="B1501" s="5" t="s">
        <v>4005</v>
      </c>
      <c r="C1501" s="1" t="s">
        <v>4006</v>
      </c>
      <c r="D1501" s="1" t="s">
        <v>4007</v>
      </c>
      <c r="E1501" s="7">
        <v>1157</v>
      </c>
    </row>
    <row r="1502" spans="1:5" x14ac:dyDescent="0.25">
      <c r="A1502" s="5" t="s">
        <v>6</v>
      </c>
      <c r="B1502" s="5" t="s">
        <v>4008</v>
      </c>
      <c r="C1502" s="1" t="s">
        <v>4009</v>
      </c>
      <c r="D1502" s="1" t="s">
        <v>4010</v>
      </c>
      <c r="E1502" s="7">
        <v>2345</v>
      </c>
    </row>
    <row r="1503" spans="1:5" x14ac:dyDescent="0.25">
      <c r="A1503" s="5" t="s">
        <v>6</v>
      </c>
      <c r="B1503" s="5" t="s">
        <v>4011</v>
      </c>
      <c r="C1503" s="1" t="s">
        <v>4012</v>
      </c>
      <c r="D1503" s="1" t="s">
        <v>4013</v>
      </c>
      <c r="E1503" s="7">
        <v>711</v>
      </c>
    </row>
    <row r="1504" spans="1:5" x14ac:dyDescent="0.25">
      <c r="A1504" s="5" t="s">
        <v>6</v>
      </c>
      <c r="B1504" s="5" t="s">
        <v>4014</v>
      </c>
      <c r="C1504" s="1" t="s">
        <v>4015</v>
      </c>
      <c r="D1504" s="1" t="s">
        <v>4016</v>
      </c>
      <c r="E1504" s="7">
        <v>1389</v>
      </c>
    </row>
    <row r="1505" spans="1:5" x14ac:dyDescent="0.25">
      <c r="A1505" s="5" t="s">
        <v>6</v>
      </c>
      <c r="B1505" s="5" t="s">
        <v>4017</v>
      </c>
      <c r="C1505" s="1" t="s">
        <v>4018</v>
      </c>
      <c r="D1505" s="1" t="s">
        <v>4019</v>
      </c>
      <c r="E1505" s="7">
        <v>904</v>
      </c>
    </row>
    <row r="1506" spans="1:5" x14ac:dyDescent="0.25">
      <c r="A1506" s="5" t="s">
        <v>6</v>
      </c>
      <c r="B1506" s="5" t="s">
        <v>4020</v>
      </c>
      <c r="C1506" s="1" t="s">
        <v>4021</v>
      </c>
      <c r="D1506" s="1" t="s">
        <v>4022</v>
      </c>
      <c r="E1506" s="7">
        <v>1101</v>
      </c>
    </row>
    <row r="1507" spans="1:5" x14ac:dyDescent="0.25">
      <c r="A1507" s="5" t="s">
        <v>6</v>
      </c>
      <c r="B1507" s="5" t="s">
        <v>4023</v>
      </c>
      <c r="C1507" s="1" t="s">
        <v>4024</v>
      </c>
      <c r="D1507" s="1" t="s">
        <v>4025</v>
      </c>
      <c r="E1507" s="7">
        <v>3680</v>
      </c>
    </row>
    <row r="1508" spans="1:5" x14ac:dyDescent="0.25">
      <c r="A1508" s="5" t="s">
        <v>6</v>
      </c>
      <c r="B1508" s="5" t="s">
        <v>4026</v>
      </c>
      <c r="C1508" s="1" t="s">
        <v>4027</v>
      </c>
      <c r="D1508" s="1" t="s">
        <v>4028</v>
      </c>
      <c r="E1508" s="7">
        <v>4341</v>
      </c>
    </row>
    <row r="1509" spans="1:5" x14ac:dyDescent="0.25">
      <c r="A1509" s="5" t="s">
        <v>6</v>
      </c>
      <c r="B1509" s="5" t="s">
        <v>4029</v>
      </c>
      <c r="C1509" s="1" t="s">
        <v>4030</v>
      </c>
      <c r="D1509" s="1" t="s">
        <v>4028</v>
      </c>
      <c r="E1509" s="7">
        <v>3726</v>
      </c>
    </row>
    <row r="1510" spans="1:5" x14ac:dyDescent="0.25">
      <c r="A1510" s="5" t="s">
        <v>6</v>
      </c>
      <c r="B1510" s="5" t="s">
        <v>4031</v>
      </c>
      <c r="C1510" s="1" t="s">
        <v>4032</v>
      </c>
      <c r="D1510" s="1" t="s">
        <v>4033</v>
      </c>
      <c r="E1510" s="7">
        <v>1031</v>
      </c>
    </row>
    <row r="1511" spans="1:5" x14ac:dyDescent="0.25">
      <c r="A1511" s="5" t="s">
        <v>6</v>
      </c>
      <c r="B1511" s="5" t="s">
        <v>4034</v>
      </c>
      <c r="C1511" s="1" t="s">
        <v>4035</v>
      </c>
      <c r="D1511" s="1" t="s">
        <v>4035</v>
      </c>
      <c r="E1511" s="7">
        <v>870</v>
      </c>
    </row>
    <row r="1512" spans="1:5" x14ac:dyDescent="0.25">
      <c r="A1512" s="5" t="s">
        <v>6</v>
      </c>
      <c r="B1512" s="5" t="s">
        <v>4036</v>
      </c>
      <c r="C1512" s="1" t="s">
        <v>4037</v>
      </c>
      <c r="D1512" s="1" t="s">
        <v>4038</v>
      </c>
      <c r="E1512" s="7">
        <v>1297</v>
      </c>
    </row>
    <row r="1513" spans="1:5" x14ac:dyDescent="0.25">
      <c r="A1513" s="5" t="s">
        <v>6</v>
      </c>
      <c r="B1513" s="5" t="s">
        <v>4039</v>
      </c>
      <c r="C1513" s="1" t="s">
        <v>4040</v>
      </c>
      <c r="D1513" s="1" t="s">
        <v>4041</v>
      </c>
      <c r="E1513" s="7">
        <v>878</v>
      </c>
    </row>
    <row r="1514" spans="1:5" x14ac:dyDescent="0.25">
      <c r="A1514" s="5" t="s">
        <v>6</v>
      </c>
      <c r="B1514" s="5" t="s">
        <v>4042</v>
      </c>
      <c r="C1514" s="1" t="s">
        <v>4043</v>
      </c>
      <c r="D1514" s="1" t="s">
        <v>4044</v>
      </c>
      <c r="E1514" s="7">
        <v>897</v>
      </c>
    </row>
    <row r="1515" spans="1:5" x14ac:dyDescent="0.25">
      <c r="A1515" s="5" t="s">
        <v>6</v>
      </c>
      <c r="B1515" s="5" t="s">
        <v>4045</v>
      </c>
      <c r="C1515" s="1" t="s">
        <v>4046</v>
      </c>
      <c r="D1515" s="1" t="s">
        <v>4047</v>
      </c>
      <c r="E1515" s="7">
        <v>1796</v>
      </c>
    </row>
    <row r="1516" spans="1:5" x14ac:dyDescent="0.25">
      <c r="A1516" s="5" t="s">
        <v>6</v>
      </c>
      <c r="B1516" s="5" t="s">
        <v>4048</v>
      </c>
      <c r="C1516" s="1" t="s">
        <v>4049</v>
      </c>
      <c r="D1516" s="1" t="s">
        <v>4049</v>
      </c>
      <c r="E1516" s="7">
        <v>1145</v>
      </c>
    </row>
    <row r="1517" spans="1:5" x14ac:dyDescent="0.25">
      <c r="A1517" s="5" t="s">
        <v>6</v>
      </c>
      <c r="B1517" s="5" t="s">
        <v>4050</v>
      </c>
      <c r="C1517" s="1" t="s">
        <v>4051</v>
      </c>
      <c r="D1517" s="1" t="s">
        <v>4051</v>
      </c>
      <c r="E1517" s="7">
        <v>1515</v>
      </c>
    </row>
    <row r="1518" spans="1:5" x14ac:dyDescent="0.25">
      <c r="A1518" s="5" t="s">
        <v>6</v>
      </c>
      <c r="B1518" s="5" t="s">
        <v>4052</v>
      </c>
      <c r="C1518" s="1" t="s">
        <v>4053</v>
      </c>
      <c r="D1518" s="1" t="s">
        <v>4053</v>
      </c>
      <c r="E1518" s="7">
        <v>1164</v>
      </c>
    </row>
    <row r="1519" spans="1:5" x14ac:dyDescent="0.25">
      <c r="A1519" s="5" t="s">
        <v>6</v>
      </c>
      <c r="B1519" s="5" t="s">
        <v>4054</v>
      </c>
      <c r="C1519" s="1" t="s">
        <v>4055</v>
      </c>
      <c r="D1519" s="1" t="s">
        <v>4056</v>
      </c>
      <c r="E1519" s="7">
        <v>1104</v>
      </c>
    </row>
    <row r="1520" spans="1:5" x14ac:dyDescent="0.25">
      <c r="A1520" s="5" t="s">
        <v>6</v>
      </c>
      <c r="B1520" s="5" t="s">
        <v>4057</v>
      </c>
      <c r="C1520" s="1" t="s">
        <v>4058</v>
      </c>
      <c r="D1520" s="1" t="s">
        <v>4059</v>
      </c>
      <c r="E1520" s="7">
        <v>1068</v>
      </c>
    </row>
    <row r="1521" spans="1:5" x14ac:dyDescent="0.25">
      <c r="A1521" s="5" t="s">
        <v>6</v>
      </c>
      <c r="B1521" s="5" t="s">
        <v>4060</v>
      </c>
      <c r="C1521" s="1" t="s">
        <v>4061</v>
      </c>
      <c r="D1521" s="1" t="s">
        <v>4062</v>
      </c>
      <c r="E1521" s="7">
        <v>977</v>
      </c>
    </row>
    <row r="1522" spans="1:5" x14ac:dyDescent="0.25">
      <c r="A1522" s="5" t="s">
        <v>6</v>
      </c>
      <c r="B1522" s="5" t="s">
        <v>4063</v>
      </c>
      <c r="C1522" s="1" t="s">
        <v>4064</v>
      </c>
      <c r="D1522" s="1" t="s">
        <v>4065</v>
      </c>
      <c r="E1522" s="7">
        <v>806</v>
      </c>
    </row>
    <row r="1523" spans="1:5" x14ac:dyDescent="0.25">
      <c r="A1523" s="5" t="s">
        <v>6</v>
      </c>
      <c r="B1523" s="5" t="s">
        <v>4066</v>
      </c>
      <c r="C1523" s="1" t="s">
        <v>4067</v>
      </c>
      <c r="D1523" s="1" t="s">
        <v>4068</v>
      </c>
      <c r="E1523" s="7">
        <v>759</v>
      </c>
    </row>
    <row r="1524" spans="1:5" x14ac:dyDescent="0.25">
      <c r="A1524" s="5" t="s">
        <v>6</v>
      </c>
      <c r="B1524" s="5" t="s">
        <v>4069</v>
      </c>
      <c r="C1524" s="1" t="s">
        <v>4070</v>
      </c>
      <c r="D1524" s="1" t="s">
        <v>4071</v>
      </c>
      <c r="E1524" s="7">
        <v>1294</v>
      </c>
    </row>
    <row r="1525" spans="1:5" x14ac:dyDescent="0.25">
      <c r="A1525" s="5" t="s">
        <v>6</v>
      </c>
      <c r="B1525" s="5" t="s">
        <v>4072</v>
      </c>
      <c r="C1525" s="1" t="s">
        <v>4073</v>
      </c>
      <c r="D1525" s="1" t="s">
        <v>4074</v>
      </c>
      <c r="E1525" s="7">
        <v>1294</v>
      </c>
    </row>
    <row r="1526" spans="1:5" x14ac:dyDescent="0.25">
      <c r="A1526" s="5" t="s">
        <v>6</v>
      </c>
      <c r="B1526" s="5" t="s">
        <v>4075</v>
      </c>
      <c r="C1526" s="1" t="s">
        <v>4076</v>
      </c>
      <c r="D1526" s="1" t="s">
        <v>4077</v>
      </c>
      <c r="E1526" s="7">
        <v>1977</v>
      </c>
    </row>
    <row r="1527" spans="1:5" x14ac:dyDescent="0.25">
      <c r="A1527" s="5" t="s">
        <v>6</v>
      </c>
      <c r="B1527" s="5" t="s">
        <v>4078</v>
      </c>
      <c r="C1527" s="1" t="s">
        <v>4079</v>
      </c>
      <c r="D1527" s="1" t="s">
        <v>4080</v>
      </c>
      <c r="E1527" s="7">
        <v>761</v>
      </c>
    </row>
    <row r="1528" spans="1:5" x14ac:dyDescent="0.25">
      <c r="A1528" s="5" t="s">
        <v>6</v>
      </c>
      <c r="B1528" s="5" t="s">
        <v>4081</v>
      </c>
      <c r="C1528" s="1" t="s">
        <v>4082</v>
      </c>
      <c r="D1528" s="1" t="s">
        <v>4083</v>
      </c>
      <c r="E1528" s="7">
        <v>1145</v>
      </c>
    </row>
    <row r="1529" spans="1:5" x14ac:dyDescent="0.25">
      <c r="A1529" s="5" t="s">
        <v>6</v>
      </c>
      <c r="B1529" s="5" t="s">
        <v>4084</v>
      </c>
      <c r="C1529" s="1" t="s">
        <v>4085</v>
      </c>
      <c r="D1529" s="1" t="s">
        <v>4086</v>
      </c>
      <c r="E1529" s="7">
        <v>1010</v>
      </c>
    </row>
    <row r="1530" spans="1:5" x14ac:dyDescent="0.25">
      <c r="A1530" s="5" t="s">
        <v>6</v>
      </c>
      <c r="B1530" s="5" t="s">
        <v>4087</v>
      </c>
      <c r="C1530" s="1" t="s">
        <v>4088</v>
      </c>
      <c r="D1530" s="1" t="s">
        <v>4089</v>
      </c>
      <c r="E1530" s="7">
        <v>850</v>
      </c>
    </row>
    <row r="1531" spans="1:5" x14ac:dyDescent="0.25">
      <c r="A1531" s="5" t="s">
        <v>6</v>
      </c>
      <c r="B1531" s="5" t="s">
        <v>4090</v>
      </c>
      <c r="C1531" s="1" t="s">
        <v>4091</v>
      </c>
      <c r="D1531" s="1" t="s">
        <v>4092</v>
      </c>
      <c r="E1531" s="7">
        <v>851</v>
      </c>
    </row>
    <row r="1532" spans="1:5" x14ac:dyDescent="0.25">
      <c r="A1532" s="5" t="s">
        <v>6</v>
      </c>
      <c r="B1532" s="5" t="s">
        <v>4093</v>
      </c>
      <c r="C1532" s="1" t="s">
        <v>4094</v>
      </c>
      <c r="D1532" s="1" t="s">
        <v>4095</v>
      </c>
      <c r="E1532" s="7">
        <v>1932</v>
      </c>
    </row>
    <row r="1533" spans="1:5" x14ac:dyDescent="0.25">
      <c r="A1533" s="5" t="s">
        <v>6</v>
      </c>
      <c r="B1533" s="5" t="s">
        <v>4096</v>
      </c>
      <c r="C1533" s="1" t="s">
        <v>4097</v>
      </c>
      <c r="D1533" s="1" t="s">
        <v>4098</v>
      </c>
      <c r="E1533" s="7">
        <v>2196</v>
      </c>
    </row>
    <row r="1534" spans="1:5" x14ac:dyDescent="0.25">
      <c r="A1534" s="5" t="s">
        <v>6</v>
      </c>
      <c r="B1534" s="5" t="s">
        <v>4099</v>
      </c>
      <c r="C1534" s="1" t="s">
        <v>4100</v>
      </c>
      <c r="D1534" s="1" t="s">
        <v>4101</v>
      </c>
      <c r="E1534" s="7">
        <v>1223</v>
      </c>
    </row>
    <row r="1535" spans="1:5" x14ac:dyDescent="0.25">
      <c r="A1535" s="5" t="s">
        <v>6</v>
      </c>
      <c r="B1535" s="5" t="s">
        <v>4102</v>
      </c>
      <c r="C1535" s="1" t="s">
        <v>4103</v>
      </c>
      <c r="D1535" s="1" t="s">
        <v>4104</v>
      </c>
      <c r="E1535" s="7">
        <v>1509</v>
      </c>
    </row>
    <row r="1536" spans="1:5" x14ac:dyDescent="0.25">
      <c r="A1536" s="5" t="s">
        <v>6</v>
      </c>
      <c r="B1536" s="5" t="s">
        <v>4105</v>
      </c>
      <c r="C1536" s="1" t="s">
        <v>4106</v>
      </c>
      <c r="D1536" s="1" t="s">
        <v>4107</v>
      </c>
      <c r="E1536" s="7">
        <v>1855</v>
      </c>
    </row>
    <row r="1537" spans="1:5" x14ac:dyDescent="0.25">
      <c r="A1537" s="5" t="s">
        <v>6</v>
      </c>
      <c r="B1537" s="5" t="s">
        <v>4108</v>
      </c>
      <c r="C1537" s="1" t="s">
        <v>4109</v>
      </c>
      <c r="D1537" s="1" t="s">
        <v>4110</v>
      </c>
      <c r="E1537" s="7">
        <v>1768</v>
      </c>
    </row>
    <row r="1538" spans="1:5" x14ac:dyDescent="0.25">
      <c r="A1538" s="5" t="s">
        <v>6</v>
      </c>
      <c r="B1538" s="5" t="s">
        <v>4111</v>
      </c>
      <c r="C1538" s="1" t="s">
        <v>4112</v>
      </c>
      <c r="D1538" s="1" t="s">
        <v>4113</v>
      </c>
      <c r="E1538" s="7">
        <v>2259</v>
      </c>
    </row>
    <row r="1539" spans="1:5" x14ac:dyDescent="0.25">
      <c r="A1539" s="5" t="s">
        <v>6</v>
      </c>
      <c r="B1539" s="5" t="s">
        <v>4114</v>
      </c>
      <c r="C1539" s="1" t="s">
        <v>4115</v>
      </c>
      <c r="D1539" s="1" t="s">
        <v>4115</v>
      </c>
      <c r="E1539" s="7">
        <v>995</v>
      </c>
    </row>
    <row r="1540" spans="1:5" x14ac:dyDescent="0.25">
      <c r="A1540" s="5" t="s">
        <v>6</v>
      </c>
      <c r="B1540" s="5" t="s">
        <v>4116</v>
      </c>
      <c r="C1540" s="1" t="s">
        <v>4117</v>
      </c>
      <c r="D1540" s="1" t="s">
        <v>4117</v>
      </c>
      <c r="E1540" s="7">
        <v>692</v>
      </c>
    </row>
    <row r="1541" spans="1:5" x14ac:dyDescent="0.25">
      <c r="A1541" s="5" t="s">
        <v>6</v>
      </c>
      <c r="B1541" s="5" t="s">
        <v>4118</v>
      </c>
      <c r="C1541" s="1" t="s">
        <v>4119</v>
      </c>
      <c r="D1541" s="1" t="s">
        <v>4120</v>
      </c>
      <c r="E1541" s="7">
        <v>691</v>
      </c>
    </row>
    <row r="1542" spans="1:5" x14ac:dyDescent="0.25">
      <c r="A1542" s="5" t="s">
        <v>6</v>
      </c>
      <c r="B1542" s="5" t="s">
        <v>4121</v>
      </c>
      <c r="C1542" s="1" t="s">
        <v>4122</v>
      </c>
      <c r="D1542" s="1" t="s">
        <v>4123</v>
      </c>
      <c r="E1542" s="7">
        <v>1148</v>
      </c>
    </row>
    <row r="1543" spans="1:5" x14ac:dyDescent="0.25">
      <c r="A1543" s="5" t="s">
        <v>6</v>
      </c>
      <c r="B1543" s="5" t="s">
        <v>4124</v>
      </c>
      <c r="C1543" s="1" t="s">
        <v>4125</v>
      </c>
      <c r="D1543" s="1" t="s">
        <v>4126</v>
      </c>
      <c r="E1543" s="7">
        <v>4050</v>
      </c>
    </row>
    <row r="1544" spans="1:5" x14ac:dyDescent="0.25">
      <c r="A1544" s="5" t="s">
        <v>6</v>
      </c>
      <c r="B1544" s="5" t="s">
        <v>4127</v>
      </c>
      <c r="C1544" s="1" t="s">
        <v>4128</v>
      </c>
      <c r="D1544" s="1" t="s">
        <v>4129</v>
      </c>
      <c r="E1544" s="7">
        <v>3124</v>
      </c>
    </row>
    <row r="1545" spans="1:5" x14ac:dyDescent="0.25">
      <c r="A1545" s="5" t="s">
        <v>6</v>
      </c>
      <c r="B1545" s="5" t="s">
        <v>4130</v>
      </c>
      <c r="C1545" s="1" t="s">
        <v>4131</v>
      </c>
      <c r="D1545" s="1" t="s">
        <v>4132</v>
      </c>
      <c r="E1545" s="7">
        <v>3379</v>
      </c>
    </row>
    <row r="1546" spans="1:5" x14ac:dyDescent="0.25">
      <c r="A1546" s="5" t="s">
        <v>6</v>
      </c>
      <c r="B1546" s="5" t="s">
        <v>4133</v>
      </c>
      <c r="C1546" s="1" t="s">
        <v>4134</v>
      </c>
      <c r="D1546" s="1" t="s">
        <v>4135</v>
      </c>
      <c r="E1546" s="7">
        <v>3758</v>
      </c>
    </row>
    <row r="1547" spans="1:5" x14ac:dyDescent="0.25">
      <c r="A1547" s="5" t="s">
        <v>6</v>
      </c>
      <c r="B1547" s="5" t="s">
        <v>4136</v>
      </c>
      <c r="C1547" s="1" t="s">
        <v>4137</v>
      </c>
      <c r="D1547" s="1" t="s">
        <v>4138</v>
      </c>
      <c r="E1547" s="7">
        <v>7673</v>
      </c>
    </row>
    <row r="1548" spans="1:5" x14ac:dyDescent="0.25">
      <c r="A1548" s="5" t="s">
        <v>6</v>
      </c>
      <c r="B1548" s="5" t="s">
        <v>4139</v>
      </c>
      <c r="C1548" s="1" t="s">
        <v>4140</v>
      </c>
      <c r="D1548" s="1" t="s">
        <v>4141</v>
      </c>
      <c r="E1548" s="7">
        <v>7340</v>
      </c>
    </row>
    <row r="1549" spans="1:5" x14ac:dyDescent="0.25">
      <c r="A1549" s="5" t="s">
        <v>6</v>
      </c>
      <c r="B1549" s="5" t="s">
        <v>4142</v>
      </c>
      <c r="C1549" s="1" t="s">
        <v>4143</v>
      </c>
      <c r="D1549" s="1" t="s">
        <v>4143</v>
      </c>
      <c r="E1549" s="7">
        <v>7041</v>
      </c>
    </row>
    <row r="1550" spans="1:5" x14ac:dyDescent="0.25">
      <c r="A1550" s="5" t="s">
        <v>6</v>
      </c>
      <c r="B1550" s="5" t="s">
        <v>4144</v>
      </c>
      <c r="C1550" s="1" t="s">
        <v>4145</v>
      </c>
      <c r="D1550" s="1" t="s">
        <v>4146</v>
      </c>
      <c r="E1550" s="7">
        <v>6569</v>
      </c>
    </row>
    <row r="1551" spans="1:5" x14ac:dyDescent="0.25">
      <c r="A1551" s="5" t="s">
        <v>6</v>
      </c>
      <c r="B1551" s="5" t="s">
        <v>4147</v>
      </c>
      <c r="C1551" s="1" t="s">
        <v>4148</v>
      </c>
      <c r="D1551" s="1" t="s">
        <v>4149</v>
      </c>
      <c r="E1551" s="7">
        <v>5116</v>
      </c>
    </row>
    <row r="1552" spans="1:5" x14ac:dyDescent="0.25">
      <c r="A1552" s="5" t="s">
        <v>6</v>
      </c>
      <c r="B1552" s="5" t="s">
        <v>4150</v>
      </c>
      <c r="C1552" s="1" t="s">
        <v>4151</v>
      </c>
      <c r="D1552" s="1" t="s">
        <v>4152</v>
      </c>
      <c r="E1552" s="7">
        <v>5116</v>
      </c>
    </row>
    <row r="1553" spans="1:5" x14ac:dyDescent="0.25">
      <c r="A1553" s="5" t="s">
        <v>6</v>
      </c>
      <c r="B1553" s="5" t="s">
        <v>4153</v>
      </c>
      <c r="C1553" s="1" t="s">
        <v>4154</v>
      </c>
      <c r="D1553" s="1" t="s">
        <v>4155</v>
      </c>
      <c r="E1553" s="7">
        <v>926</v>
      </c>
    </row>
    <row r="1554" spans="1:5" x14ac:dyDescent="0.25">
      <c r="A1554" s="5" t="s">
        <v>6</v>
      </c>
      <c r="B1554" s="5" t="s">
        <v>4156</v>
      </c>
      <c r="C1554" s="1" t="s">
        <v>4157</v>
      </c>
      <c r="D1554" s="1" t="s">
        <v>4158</v>
      </c>
      <c r="E1554" s="7">
        <v>723</v>
      </c>
    </row>
    <row r="1555" spans="1:5" x14ac:dyDescent="0.25">
      <c r="A1555" s="5" t="s">
        <v>6</v>
      </c>
      <c r="B1555" s="5" t="s">
        <v>4159</v>
      </c>
      <c r="C1555" s="1" t="s">
        <v>4160</v>
      </c>
      <c r="D1555" s="1" t="s">
        <v>4161</v>
      </c>
      <c r="E1555" s="7">
        <v>759</v>
      </c>
    </row>
    <row r="1556" spans="1:5" x14ac:dyDescent="0.25">
      <c r="A1556" s="5" t="s">
        <v>6</v>
      </c>
      <c r="B1556" s="5" t="s">
        <v>4162</v>
      </c>
      <c r="C1556" s="1" t="s">
        <v>4163</v>
      </c>
      <c r="D1556" s="1" t="s">
        <v>4164</v>
      </c>
      <c r="E1556" s="7">
        <v>1350</v>
      </c>
    </row>
    <row r="1557" spans="1:5" x14ac:dyDescent="0.25">
      <c r="A1557" s="5" t="s">
        <v>6</v>
      </c>
      <c r="B1557" s="5" t="s">
        <v>4165</v>
      </c>
      <c r="C1557" s="1" t="s">
        <v>4166</v>
      </c>
      <c r="D1557" s="1" t="s">
        <v>4167</v>
      </c>
      <c r="E1557" s="7">
        <v>2199</v>
      </c>
    </row>
    <row r="1558" spans="1:5" x14ac:dyDescent="0.25">
      <c r="A1558" s="5" t="s">
        <v>6</v>
      </c>
      <c r="B1558" s="5" t="s">
        <v>4168</v>
      </c>
      <c r="C1558" s="1" t="s">
        <v>4169</v>
      </c>
      <c r="D1558" s="1" t="s">
        <v>4170</v>
      </c>
      <c r="E1558" s="7">
        <v>783</v>
      </c>
    </row>
    <row r="1559" spans="1:5" x14ac:dyDescent="0.25">
      <c r="A1559" s="5" t="s">
        <v>6</v>
      </c>
      <c r="B1559" s="5" t="s">
        <v>4171</v>
      </c>
      <c r="C1559" s="1" t="s">
        <v>4172</v>
      </c>
      <c r="D1559" s="1" t="s">
        <v>4173</v>
      </c>
      <c r="E1559" s="7">
        <v>872</v>
      </c>
    </row>
    <row r="1560" spans="1:5" x14ac:dyDescent="0.25">
      <c r="A1560" s="5" t="s">
        <v>6</v>
      </c>
      <c r="B1560" s="5" t="s">
        <v>4174</v>
      </c>
      <c r="C1560" s="1" t="s">
        <v>4175</v>
      </c>
      <c r="D1560" s="1" t="s">
        <v>4175</v>
      </c>
      <c r="E1560" s="7">
        <v>676</v>
      </c>
    </row>
    <row r="1561" spans="1:5" x14ac:dyDescent="0.25">
      <c r="A1561" s="5" t="s">
        <v>6</v>
      </c>
      <c r="B1561" s="5" t="s">
        <v>4176</v>
      </c>
      <c r="C1561" s="1" t="s">
        <v>4177</v>
      </c>
      <c r="D1561" s="1" t="s">
        <v>4178</v>
      </c>
      <c r="E1561" s="7">
        <v>1101</v>
      </c>
    </row>
    <row r="1562" spans="1:5" x14ac:dyDescent="0.25">
      <c r="A1562" s="5" t="s">
        <v>6</v>
      </c>
      <c r="B1562" s="5" t="s">
        <v>4179</v>
      </c>
      <c r="C1562" s="1" t="s">
        <v>4180</v>
      </c>
      <c r="D1562" s="1" t="s">
        <v>4181</v>
      </c>
      <c r="E1562" s="7">
        <v>1018</v>
      </c>
    </row>
    <row r="1563" spans="1:5" x14ac:dyDescent="0.25">
      <c r="A1563" s="5" t="s">
        <v>6</v>
      </c>
      <c r="B1563" s="5" t="s">
        <v>4182</v>
      </c>
      <c r="C1563" s="1" t="s">
        <v>4183</v>
      </c>
      <c r="D1563" s="1" t="s">
        <v>4184</v>
      </c>
      <c r="E1563" s="7">
        <v>712</v>
      </c>
    </row>
    <row r="1564" spans="1:5" x14ac:dyDescent="0.25">
      <c r="A1564" s="5" t="s">
        <v>6</v>
      </c>
      <c r="B1564" s="5" t="s">
        <v>4185</v>
      </c>
      <c r="C1564" s="1" t="s">
        <v>4186</v>
      </c>
      <c r="D1564" s="1" t="s">
        <v>4187</v>
      </c>
      <c r="E1564" s="7">
        <v>935</v>
      </c>
    </row>
    <row r="1565" spans="1:5" x14ac:dyDescent="0.25">
      <c r="A1565" s="5" t="s">
        <v>6</v>
      </c>
      <c r="B1565" s="5" t="s">
        <v>4188</v>
      </c>
      <c r="C1565" s="1" t="s">
        <v>4189</v>
      </c>
      <c r="D1565" s="1" t="s">
        <v>4190</v>
      </c>
      <c r="E1565" s="7">
        <v>1101</v>
      </c>
    </row>
    <row r="1566" spans="1:5" x14ac:dyDescent="0.25">
      <c r="A1566" s="5" t="s">
        <v>6</v>
      </c>
      <c r="B1566" s="5" t="s">
        <v>4191</v>
      </c>
      <c r="C1566" s="1" t="s">
        <v>4192</v>
      </c>
      <c r="D1566" s="1" t="s">
        <v>4193</v>
      </c>
      <c r="E1566" s="7">
        <v>3708</v>
      </c>
    </row>
    <row r="1567" spans="1:5" x14ac:dyDescent="0.25">
      <c r="A1567" s="5" t="s">
        <v>6</v>
      </c>
      <c r="B1567" s="5" t="s">
        <v>4194</v>
      </c>
      <c r="C1567" s="1" t="s">
        <v>4195</v>
      </c>
      <c r="D1567" s="1" t="s">
        <v>4196</v>
      </c>
      <c r="E1567" s="7">
        <v>526</v>
      </c>
    </row>
    <row r="1568" spans="1:5" x14ac:dyDescent="0.25">
      <c r="A1568" s="5" t="s">
        <v>6</v>
      </c>
      <c r="B1568" s="5" t="s">
        <v>4197</v>
      </c>
      <c r="C1568" s="1" t="s">
        <v>4198</v>
      </c>
      <c r="D1568" s="1" t="s">
        <v>4199</v>
      </c>
      <c r="E1568" s="7">
        <v>1090</v>
      </c>
    </row>
    <row r="1569" spans="1:5" x14ac:dyDescent="0.25">
      <c r="A1569" s="5" t="s">
        <v>6</v>
      </c>
      <c r="B1569" s="5" t="s">
        <v>4200</v>
      </c>
      <c r="C1569" s="1" t="s">
        <v>4201</v>
      </c>
      <c r="D1569" s="1" t="s">
        <v>4202</v>
      </c>
      <c r="E1569" s="7">
        <v>881</v>
      </c>
    </row>
    <row r="1570" spans="1:5" x14ac:dyDescent="0.25">
      <c r="A1570" s="5" t="s">
        <v>6</v>
      </c>
      <c r="B1570" s="5" t="s">
        <v>4203</v>
      </c>
      <c r="C1570" s="1" t="s">
        <v>4204</v>
      </c>
      <c r="D1570" s="1" t="s">
        <v>4205</v>
      </c>
      <c r="E1570" s="7">
        <v>882</v>
      </c>
    </row>
    <row r="1571" spans="1:5" x14ac:dyDescent="0.25">
      <c r="A1571" s="5" t="s">
        <v>6</v>
      </c>
      <c r="B1571" s="5" t="s">
        <v>4206</v>
      </c>
      <c r="C1571" s="1" t="s">
        <v>4207</v>
      </c>
      <c r="D1571" s="1" t="s">
        <v>4208</v>
      </c>
      <c r="E1571" s="7">
        <v>1455</v>
      </c>
    </row>
    <row r="1572" spans="1:5" x14ac:dyDescent="0.25">
      <c r="A1572" s="5" t="s">
        <v>6</v>
      </c>
      <c r="B1572" s="5" t="s">
        <v>4209</v>
      </c>
      <c r="C1572" s="1" t="s">
        <v>4210</v>
      </c>
      <c r="D1572" s="1" t="s">
        <v>4211</v>
      </c>
      <c r="E1572" s="7">
        <v>1714</v>
      </c>
    </row>
    <row r="1573" spans="1:5" x14ac:dyDescent="0.25">
      <c r="A1573" s="5" t="s">
        <v>6</v>
      </c>
      <c r="B1573" s="5" t="s">
        <v>4212</v>
      </c>
      <c r="C1573" s="1" t="s">
        <v>4213</v>
      </c>
      <c r="D1573" s="1" t="s">
        <v>4214</v>
      </c>
      <c r="E1573" s="7">
        <v>2060</v>
      </c>
    </row>
    <row r="1574" spans="1:5" x14ac:dyDescent="0.25">
      <c r="A1574" s="5" t="s">
        <v>6</v>
      </c>
      <c r="B1574" s="5" t="s">
        <v>4215</v>
      </c>
      <c r="C1574" s="1" t="s">
        <v>4216</v>
      </c>
      <c r="D1574" s="1" t="s">
        <v>4217</v>
      </c>
      <c r="E1574" s="7">
        <v>1333</v>
      </c>
    </row>
    <row r="1575" spans="1:5" x14ac:dyDescent="0.25">
      <c r="A1575" s="5" t="s">
        <v>6</v>
      </c>
      <c r="B1575" s="5" t="s">
        <v>4218</v>
      </c>
      <c r="C1575" s="1" t="s">
        <v>4219</v>
      </c>
      <c r="D1575" s="1" t="s">
        <v>4220</v>
      </c>
      <c r="E1575" s="7">
        <v>1560</v>
      </c>
    </row>
    <row r="1576" spans="1:5" x14ac:dyDescent="0.25">
      <c r="A1576" s="5" t="s">
        <v>6</v>
      </c>
      <c r="B1576" s="5" t="s">
        <v>4221</v>
      </c>
      <c r="C1576" s="1" t="s">
        <v>4222</v>
      </c>
      <c r="D1576" s="1" t="s">
        <v>4223</v>
      </c>
      <c r="E1576" s="7">
        <v>1675</v>
      </c>
    </row>
    <row r="1577" spans="1:5" x14ac:dyDescent="0.25">
      <c r="A1577" s="5" t="s">
        <v>6</v>
      </c>
      <c r="B1577" s="5" t="s">
        <v>4224</v>
      </c>
      <c r="C1577" s="1" t="s">
        <v>4225</v>
      </c>
      <c r="D1577" s="1" t="s">
        <v>4226</v>
      </c>
      <c r="E1577" s="7">
        <v>1785</v>
      </c>
    </row>
    <row r="1578" spans="1:5" x14ac:dyDescent="0.25">
      <c r="A1578" s="5" t="s">
        <v>6</v>
      </c>
      <c r="B1578" s="5" t="s">
        <v>4227</v>
      </c>
      <c r="C1578" s="1" t="s">
        <v>4228</v>
      </c>
      <c r="D1578" s="1" t="s">
        <v>4229</v>
      </c>
      <c r="E1578" s="7">
        <v>3008</v>
      </c>
    </row>
    <row r="1579" spans="1:5" x14ac:dyDescent="0.25">
      <c r="A1579" s="5" t="s">
        <v>6</v>
      </c>
      <c r="B1579" s="5" t="s">
        <v>4230</v>
      </c>
      <c r="C1579" s="1" t="s">
        <v>4231</v>
      </c>
      <c r="D1579" s="1" t="s">
        <v>4232</v>
      </c>
      <c r="E1579" s="7">
        <v>1403</v>
      </c>
    </row>
    <row r="1580" spans="1:5" x14ac:dyDescent="0.25">
      <c r="A1580" s="5" t="s">
        <v>6</v>
      </c>
      <c r="B1580" s="5" t="s">
        <v>4233</v>
      </c>
      <c r="C1580" s="1" t="s">
        <v>4234</v>
      </c>
      <c r="D1580" s="1" t="s">
        <v>4234</v>
      </c>
      <c r="E1580" s="7">
        <v>761</v>
      </c>
    </row>
    <row r="1581" spans="1:5" x14ac:dyDescent="0.25">
      <c r="A1581" s="5" t="s">
        <v>6</v>
      </c>
      <c r="B1581" s="5" t="s">
        <v>4235</v>
      </c>
      <c r="C1581" s="1" t="s">
        <v>4236</v>
      </c>
      <c r="D1581" s="1" t="s">
        <v>4237</v>
      </c>
      <c r="E1581" s="7">
        <v>862</v>
      </c>
    </row>
    <row r="1582" spans="1:5" x14ac:dyDescent="0.25">
      <c r="A1582" s="5" t="s">
        <v>6</v>
      </c>
      <c r="B1582" s="5" t="s">
        <v>4238</v>
      </c>
      <c r="C1582" s="1" t="s">
        <v>4239</v>
      </c>
      <c r="D1582" s="1" t="s">
        <v>4240</v>
      </c>
      <c r="E1582" s="7">
        <v>841</v>
      </c>
    </row>
    <row r="1583" spans="1:5" x14ac:dyDescent="0.25">
      <c r="A1583" s="5" t="s">
        <v>6</v>
      </c>
      <c r="B1583" s="5" t="s">
        <v>4241</v>
      </c>
      <c r="C1583" s="1" t="s">
        <v>4242</v>
      </c>
      <c r="D1583" s="1" t="s">
        <v>4243</v>
      </c>
      <c r="E1583" s="7">
        <v>1475</v>
      </c>
    </row>
    <row r="1584" spans="1:5" x14ac:dyDescent="0.25">
      <c r="A1584" s="5" t="s">
        <v>6</v>
      </c>
      <c r="B1584" s="5" t="s">
        <v>4244</v>
      </c>
      <c r="C1584" s="1" t="s">
        <v>4245</v>
      </c>
      <c r="D1584" s="1" t="s">
        <v>4246</v>
      </c>
      <c r="E1584" s="7">
        <v>1901</v>
      </c>
    </row>
    <row r="1585" spans="1:5" x14ac:dyDescent="0.25">
      <c r="A1585" s="5" t="s">
        <v>6</v>
      </c>
      <c r="B1585" s="5" t="s">
        <v>4247</v>
      </c>
      <c r="C1585" s="1" t="s">
        <v>4248</v>
      </c>
      <c r="D1585" s="1" t="s">
        <v>4249</v>
      </c>
      <c r="E1585" s="7">
        <v>1068</v>
      </c>
    </row>
    <row r="1586" spans="1:5" x14ac:dyDescent="0.25">
      <c r="A1586" s="5" t="s">
        <v>6</v>
      </c>
      <c r="B1586" s="5" t="s">
        <v>4250</v>
      </c>
      <c r="C1586" s="1" t="s">
        <v>4251</v>
      </c>
      <c r="D1586" s="1" t="s">
        <v>4252</v>
      </c>
      <c r="E1586" s="7">
        <v>771</v>
      </c>
    </row>
    <row r="1587" spans="1:5" x14ac:dyDescent="0.25">
      <c r="A1587" s="5" t="s">
        <v>6</v>
      </c>
      <c r="B1587" s="5" t="s">
        <v>4253</v>
      </c>
      <c r="C1587" s="1" t="s">
        <v>4254</v>
      </c>
      <c r="D1587" s="1" t="s">
        <v>4255</v>
      </c>
      <c r="E1587" s="7">
        <v>761</v>
      </c>
    </row>
    <row r="1588" spans="1:5" x14ac:dyDescent="0.25">
      <c r="A1588" s="5" t="s">
        <v>6</v>
      </c>
      <c r="B1588" s="5" t="s">
        <v>4256</v>
      </c>
      <c r="C1588" s="1" t="s">
        <v>4257</v>
      </c>
      <c r="D1588" s="1" t="s">
        <v>4258</v>
      </c>
      <c r="E1588" s="7">
        <v>1205</v>
      </c>
    </row>
    <row r="1589" spans="1:5" x14ac:dyDescent="0.25">
      <c r="A1589" s="5" t="s">
        <v>6</v>
      </c>
      <c r="B1589" s="5" t="s">
        <v>4259</v>
      </c>
      <c r="C1589" s="1" t="s">
        <v>4260</v>
      </c>
      <c r="D1589" s="1" t="s">
        <v>4261</v>
      </c>
      <c r="E1589" s="7">
        <v>724</v>
      </c>
    </row>
    <row r="1590" spans="1:5" x14ac:dyDescent="0.25">
      <c r="A1590" s="5" t="s">
        <v>6</v>
      </c>
      <c r="B1590" s="5" t="s">
        <v>4262</v>
      </c>
      <c r="C1590" s="1" t="s">
        <v>4263</v>
      </c>
      <c r="D1590" s="1" t="s">
        <v>4264</v>
      </c>
      <c r="E1590" s="7">
        <v>1124</v>
      </c>
    </row>
    <row r="1591" spans="1:5" x14ac:dyDescent="0.25">
      <c r="A1591" s="5" t="s">
        <v>6</v>
      </c>
      <c r="B1591" s="5" t="s">
        <v>4265</v>
      </c>
      <c r="C1591" s="1" t="s">
        <v>4266</v>
      </c>
      <c r="D1591" s="1" t="s">
        <v>4267</v>
      </c>
      <c r="E1591" s="7">
        <v>579</v>
      </c>
    </row>
    <row r="1592" spans="1:5" x14ac:dyDescent="0.25">
      <c r="A1592" s="5" t="s">
        <v>6</v>
      </c>
      <c r="B1592" s="5" t="s">
        <v>4268</v>
      </c>
      <c r="C1592" s="1" t="s">
        <v>4269</v>
      </c>
      <c r="D1592" s="1" t="s">
        <v>4270</v>
      </c>
      <c r="E1592" s="7">
        <v>896</v>
      </c>
    </row>
    <row r="1593" spans="1:5" x14ac:dyDescent="0.25">
      <c r="A1593" s="5" t="s">
        <v>6</v>
      </c>
      <c r="B1593" s="5" t="s">
        <v>4271</v>
      </c>
      <c r="C1593" s="1" t="s">
        <v>4272</v>
      </c>
      <c r="D1593" s="1" t="s">
        <v>4273</v>
      </c>
      <c r="E1593" s="7">
        <v>1328</v>
      </c>
    </row>
    <row r="1594" spans="1:5" x14ac:dyDescent="0.25">
      <c r="A1594" s="5" t="s">
        <v>6</v>
      </c>
      <c r="B1594" s="5" t="s">
        <v>4274</v>
      </c>
      <c r="C1594" s="1" t="s">
        <v>4275</v>
      </c>
      <c r="D1594" s="1" t="s">
        <v>4275</v>
      </c>
      <c r="E1594" s="7">
        <v>1017</v>
      </c>
    </row>
    <row r="1595" spans="1:5" x14ac:dyDescent="0.25">
      <c r="A1595" s="5" t="s">
        <v>6</v>
      </c>
      <c r="B1595" s="5" t="s">
        <v>4276</v>
      </c>
      <c r="C1595" s="1" t="s">
        <v>4277</v>
      </c>
      <c r="D1595" s="1" t="s">
        <v>4277</v>
      </c>
      <c r="E1595" s="7">
        <v>1718</v>
      </c>
    </row>
    <row r="1596" spans="1:5" x14ac:dyDescent="0.25">
      <c r="A1596" s="5" t="s">
        <v>6</v>
      </c>
      <c r="B1596" s="5" t="s">
        <v>4278</v>
      </c>
      <c r="C1596" s="1" t="s">
        <v>4279</v>
      </c>
      <c r="D1596" s="1" t="s">
        <v>4280</v>
      </c>
      <c r="E1596" s="7">
        <v>1718</v>
      </c>
    </row>
    <row r="1597" spans="1:5" x14ac:dyDescent="0.25">
      <c r="A1597" s="5" t="s">
        <v>6</v>
      </c>
      <c r="B1597" s="5" t="s">
        <v>4281</v>
      </c>
      <c r="C1597" s="1" t="s">
        <v>4282</v>
      </c>
      <c r="D1597" s="1" t="s">
        <v>4282</v>
      </c>
      <c r="E1597" s="7">
        <v>2021</v>
      </c>
    </row>
    <row r="1598" spans="1:5" x14ac:dyDescent="0.25">
      <c r="A1598" s="5" t="s">
        <v>6</v>
      </c>
      <c r="B1598" s="5" t="s">
        <v>4283</v>
      </c>
      <c r="C1598" s="1" t="s">
        <v>4284</v>
      </c>
      <c r="D1598" s="1" t="s">
        <v>4285</v>
      </c>
      <c r="E1598" s="7">
        <v>4990</v>
      </c>
    </row>
    <row r="1599" spans="1:5" x14ac:dyDescent="0.25">
      <c r="A1599" s="5" t="s">
        <v>6</v>
      </c>
      <c r="B1599" s="5" t="s">
        <v>4286</v>
      </c>
      <c r="C1599" s="1" t="s">
        <v>4287</v>
      </c>
      <c r="D1599" s="1" t="s">
        <v>4288</v>
      </c>
      <c r="E1599" s="7">
        <v>1516</v>
      </c>
    </row>
    <row r="1600" spans="1:5" x14ac:dyDescent="0.25">
      <c r="A1600" s="5" t="s">
        <v>6</v>
      </c>
      <c r="B1600" s="5" t="s">
        <v>4289</v>
      </c>
      <c r="C1600" s="1" t="s">
        <v>4290</v>
      </c>
      <c r="D1600" s="1" t="s">
        <v>4291</v>
      </c>
      <c r="E1600" s="7">
        <v>1491</v>
      </c>
    </row>
    <row r="1601" spans="1:5" x14ac:dyDescent="0.25">
      <c r="A1601" s="5" t="s">
        <v>6</v>
      </c>
      <c r="B1601" s="5" t="s">
        <v>4292</v>
      </c>
      <c r="C1601" s="1" t="s">
        <v>4293</v>
      </c>
      <c r="D1601" s="1" t="s">
        <v>4294</v>
      </c>
      <c r="E1601" s="7">
        <v>1682</v>
      </c>
    </row>
    <row r="1602" spans="1:5" x14ac:dyDescent="0.25">
      <c r="A1602" s="5" t="s">
        <v>6</v>
      </c>
      <c r="B1602" s="5" t="s">
        <v>4295</v>
      </c>
      <c r="C1602" s="1" t="s">
        <v>4296</v>
      </c>
      <c r="D1602" s="1" t="s">
        <v>4297</v>
      </c>
      <c r="E1602" s="7">
        <v>1445</v>
      </c>
    </row>
    <row r="1603" spans="1:5" x14ac:dyDescent="0.25">
      <c r="A1603" s="5" t="s">
        <v>6</v>
      </c>
      <c r="B1603" s="5" t="s">
        <v>4298</v>
      </c>
      <c r="C1603" s="1" t="s">
        <v>4299</v>
      </c>
      <c r="D1603" s="1" t="s">
        <v>4300</v>
      </c>
      <c r="E1603" s="7">
        <v>1445</v>
      </c>
    </row>
    <row r="1604" spans="1:5" x14ac:dyDescent="0.25">
      <c r="A1604" s="5" t="s">
        <v>6</v>
      </c>
      <c r="B1604" s="5" t="s">
        <v>4301</v>
      </c>
      <c r="C1604" s="1" t="s">
        <v>4302</v>
      </c>
      <c r="D1604" s="1" t="s">
        <v>4303</v>
      </c>
      <c r="E1604" s="7">
        <v>4093</v>
      </c>
    </row>
    <row r="1605" spans="1:5" x14ac:dyDescent="0.25">
      <c r="A1605" s="5" t="s">
        <v>6</v>
      </c>
      <c r="B1605" s="5" t="s">
        <v>4304</v>
      </c>
      <c r="C1605" s="1" t="s">
        <v>4305</v>
      </c>
      <c r="D1605" s="1" t="s">
        <v>4306</v>
      </c>
      <c r="E1605" s="7">
        <v>1552</v>
      </c>
    </row>
    <row r="1606" spans="1:5" x14ac:dyDescent="0.25">
      <c r="A1606" s="5" t="s">
        <v>6</v>
      </c>
      <c r="B1606" s="5" t="s">
        <v>4307</v>
      </c>
      <c r="C1606" s="1" t="s">
        <v>4308</v>
      </c>
      <c r="D1606" s="1" t="s">
        <v>4309</v>
      </c>
      <c r="E1606" s="7">
        <v>1648</v>
      </c>
    </row>
    <row r="1607" spans="1:5" x14ac:dyDescent="0.25">
      <c r="A1607" s="5" t="s">
        <v>6</v>
      </c>
      <c r="B1607" s="5" t="s">
        <v>4310</v>
      </c>
      <c r="C1607" s="1" t="s">
        <v>4311</v>
      </c>
      <c r="D1607" s="1" t="s">
        <v>4312</v>
      </c>
      <c r="E1607" s="7">
        <v>2307</v>
      </c>
    </row>
    <row r="1608" spans="1:5" x14ac:dyDescent="0.25">
      <c r="A1608" s="5" t="s">
        <v>6</v>
      </c>
      <c r="B1608" s="5" t="s">
        <v>4313</v>
      </c>
      <c r="C1608" s="1" t="s">
        <v>4314</v>
      </c>
      <c r="D1608" s="1" t="s">
        <v>4315</v>
      </c>
      <c r="E1608" s="7">
        <v>1155</v>
      </c>
    </row>
    <row r="1609" spans="1:5" x14ac:dyDescent="0.25">
      <c r="A1609" s="5" t="s">
        <v>6</v>
      </c>
      <c r="B1609" s="5" t="s">
        <v>4316</v>
      </c>
      <c r="C1609" s="1" t="s">
        <v>4317</v>
      </c>
      <c r="D1609" s="1" t="s">
        <v>4318</v>
      </c>
      <c r="E1609" s="7">
        <v>1335</v>
      </c>
    </row>
    <row r="1610" spans="1:5" x14ac:dyDescent="0.25">
      <c r="A1610" s="5" t="s">
        <v>6</v>
      </c>
      <c r="B1610" s="5" t="s">
        <v>4319</v>
      </c>
      <c r="C1610" s="1" t="s">
        <v>4320</v>
      </c>
      <c r="D1610" s="1" t="s">
        <v>4321</v>
      </c>
      <c r="E1610" s="7">
        <v>11850</v>
      </c>
    </row>
    <row r="1611" spans="1:5" x14ac:dyDescent="0.25">
      <c r="A1611" s="5" t="s">
        <v>6</v>
      </c>
      <c r="B1611" s="5" t="s">
        <v>4322</v>
      </c>
      <c r="C1611" s="1" t="s">
        <v>4323</v>
      </c>
      <c r="D1611" s="1" t="s">
        <v>4324</v>
      </c>
      <c r="E1611" s="7">
        <v>2390</v>
      </c>
    </row>
    <row r="1612" spans="1:5" x14ac:dyDescent="0.25">
      <c r="A1612" s="5" t="s">
        <v>6</v>
      </c>
      <c r="B1612" s="5" t="s">
        <v>4325</v>
      </c>
      <c r="C1612" s="1" t="s">
        <v>4326</v>
      </c>
      <c r="D1612" s="1" t="s">
        <v>4327</v>
      </c>
      <c r="E1612" s="7">
        <v>2714</v>
      </c>
    </row>
    <row r="1613" spans="1:5" x14ac:dyDescent="0.25">
      <c r="A1613" s="5" t="s">
        <v>6</v>
      </c>
      <c r="B1613" s="5" t="s">
        <v>4328</v>
      </c>
      <c r="C1613" s="1" t="s">
        <v>4329</v>
      </c>
      <c r="D1613" s="1" t="s">
        <v>4330</v>
      </c>
      <c r="E1613" s="7">
        <v>2521</v>
      </c>
    </row>
    <row r="1614" spans="1:5" x14ac:dyDescent="0.25">
      <c r="A1614" s="5" t="s">
        <v>6</v>
      </c>
      <c r="B1614" s="5" t="s">
        <v>4331</v>
      </c>
      <c r="C1614" s="1" t="s">
        <v>4332</v>
      </c>
      <c r="D1614" s="1" t="s">
        <v>4333</v>
      </c>
      <c r="E1614" s="7">
        <v>2399</v>
      </c>
    </row>
    <row r="1615" spans="1:5" x14ac:dyDescent="0.25">
      <c r="A1615" s="5" t="s">
        <v>6</v>
      </c>
      <c r="B1615" s="5" t="s">
        <v>4334</v>
      </c>
      <c r="C1615" s="1" t="s">
        <v>4335</v>
      </c>
      <c r="D1615" s="1" t="s">
        <v>4336</v>
      </c>
      <c r="E1615" s="7">
        <v>2619</v>
      </c>
    </row>
    <row r="1616" spans="1:5" x14ac:dyDescent="0.25">
      <c r="A1616" s="5" t="s">
        <v>6</v>
      </c>
      <c r="B1616" s="5" t="s">
        <v>4337</v>
      </c>
      <c r="C1616" s="1" t="s">
        <v>4338</v>
      </c>
      <c r="D1616" s="1" t="s">
        <v>4339</v>
      </c>
      <c r="E1616" s="7">
        <v>1585</v>
      </c>
    </row>
    <row r="1617" spans="1:5" x14ac:dyDescent="0.25">
      <c r="A1617" s="5" t="s">
        <v>6</v>
      </c>
      <c r="B1617" s="5" t="s">
        <v>4340</v>
      </c>
      <c r="C1617" s="1" t="s">
        <v>4341</v>
      </c>
      <c r="D1617" s="1" t="s">
        <v>4342</v>
      </c>
      <c r="E1617" s="7">
        <v>1617</v>
      </c>
    </row>
    <row r="1618" spans="1:5" x14ac:dyDescent="0.25">
      <c r="A1618" s="5" t="s">
        <v>6</v>
      </c>
      <c r="B1618" s="5" t="s">
        <v>4343</v>
      </c>
      <c r="C1618" s="1" t="s">
        <v>4344</v>
      </c>
      <c r="D1618" s="1" t="s">
        <v>4345</v>
      </c>
      <c r="E1618" s="7">
        <v>2517</v>
      </c>
    </row>
    <row r="1619" spans="1:5" x14ac:dyDescent="0.25">
      <c r="A1619" s="5" t="s">
        <v>6</v>
      </c>
      <c r="B1619" s="5" t="s">
        <v>4346</v>
      </c>
      <c r="C1619" s="1" t="s">
        <v>4347</v>
      </c>
      <c r="D1619" s="1" t="s">
        <v>4348</v>
      </c>
      <c r="E1619" s="7">
        <v>2185</v>
      </c>
    </row>
    <row r="1620" spans="1:5" x14ac:dyDescent="0.25">
      <c r="A1620" s="5" t="s">
        <v>6</v>
      </c>
      <c r="B1620" s="5" t="s">
        <v>4349</v>
      </c>
      <c r="C1620" s="1" t="s">
        <v>3830</v>
      </c>
      <c r="D1620" s="1" t="s">
        <v>3831</v>
      </c>
      <c r="E1620" s="7">
        <v>2200</v>
      </c>
    </row>
    <row r="1621" spans="1:5" x14ac:dyDescent="0.25">
      <c r="A1621" s="5" t="s">
        <v>6</v>
      </c>
      <c r="B1621" s="5" t="s">
        <v>4350</v>
      </c>
      <c r="C1621" s="1" t="s">
        <v>3833</v>
      </c>
      <c r="D1621" s="1" t="s">
        <v>3834</v>
      </c>
      <c r="E1621" s="7">
        <v>2576</v>
      </c>
    </row>
    <row r="1622" spans="1:5" x14ac:dyDescent="0.25">
      <c r="A1622" s="5" t="s">
        <v>6</v>
      </c>
      <c r="B1622" s="5" t="s">
        <v>4351</v>
      </c>
      <c r="C1622" s="1" t="s">
        <v>4352</v>
      </c>
      <c r="D1622" s="1" t="s">
        <v>4353</v>
      </c>
      <c r="E1622" s="7">
        <v>1921</v>
      </c>
    </row>
    <row r="1623" spans="1:5" x14ac:dyDescent="0.25">
      <c r="A1623" s="5" t="s">
        <v>6</v>
      </c>
      <c r="B1623" s="5" t="s">
        <v>4354</v>
      </c>
      <c r="C1623" s="1" t="s">
        <v>4355</v>
      </c>
      <c r="D1623" s="1" t="s">
        <v>4356</v>
      </c>
      <c r="E1623" s="7">
        <v>762</v>
      </c>
    </row>
    <row r="1624" spans="1:5" x14ac:dyDescent="0.25">
      <c r="A1624" s="5" t="s">
        <v>6</v>
      </c>
      <c r="B1624" s="5" t="s">
        <v>4357</v>
      </c>
      <c r="C1624" s="1" t="s">
        <v>4358</v>
      </c>
      <c r="D1624" s="1" t="s">
        <v>4359</v>
      </c>
      <c r="E1624" s="7">
        <v>1032</v>
      </c>
    </row>
    <row r="1625" spans="1:5" x14ac:dyDescent="0.25">
      <c r="A1625" s="5" t="s">
        <v>6</v>
      </c>
      <c r="B1625" s="5" t="s">
        <v>4360</v>
      </c>
      <c r="C1625" s="1" t="s">
        <v>4361</v>
      </c>
      <c r="D1625" s="1" t="s">
        <v>4362</v>
      </c>
      <c r="E1625" s="7">
        <v>2607</v>
      </c>
    </row>
    <row r="1626" spans="1:5" x14ac:dyDescent="0.25">
      <c r="A1626" s="5" t="s">
        <v>6</v>
      </c>
      <c r="B1626" s="5" t="s">
        <v>4363</v>
      </c>
      <c r="C1626" s="1" t="s">
        <v>4364</v>
      </c>
      <c r="D1626" s="1" t="s">
        <v>4365</v>
      </c>
      <c r="E1626" s="7">
        <v>620</v>
      </c>
    </row>
    <row r="1627" spans="1:5" x14ac:dyDescent="0.25">
      <c r="A1627" s="5" t="s">
        <v>6</v>
      </c>
      <c r="B1627" s="5" t="s">
        <v>4366</v>
      </c>
      <c r="C1627" s="1" t="s">
        <v>4367</v>
      </c>
      <c r="D1627" s="1" t="s">
        <v>4368</v>
      </c>
      <c r="E1627" s="7">
        <v>3199</v>
      </c>
    </row>
    <row r="1628" spans="1:5" x14ac:dyDescent="0.25">
      <c r="A1628" s="5" t="s">
        <v>6</v>
      </c>
      <c r="B1628" s="5" t="s">
        <v>4369</v>
      </c>
      <c r="C1628" s="1" t="s">
        <v>4370</v>
      </c>
      <c r="D1628" s="1" t="s">
        <v>4371</v>
      </c>
      <c r="E1628" s="7">
        <v>1570</v>
      </c>
    </row>
    <row r="1629" spans="1:5" x14ac:dyDescent="0.25">
      <c r="A1629" s="5" t="s">
        <v>6</v>
      </c>
      <c r="B1629" s="5" t="s">
        <v>4372</v>
      </c>
      <c r="C1629" s="1" t="s">
        <v>4373</v>
      </c>
      <c r="D1629" s="1" t="s">
        <v>4374</v>
      </c>
      <c r="E1629" s="7">
        <v>1692</v>
      </c>
    </row>
    <row r="1630" spans="1:5" x14ac:dyDescent="0.25">
      <c r="A1630" s="5" t="s">
        <v>6</v>
      </c>
      <c r="B1630" s="5" t="s">
        <v>4375</v>
      </c>
      <c r="C1630" s="1" t="s">
        <v>4376</v>
      </c>
      <c r="D1630" s="1" t="s">
        <v>4377</v>
      </c>
      <c r="E1630" s="7">
        <v>1009</v>
      </c>
    </row>
    <row r="1631" spans="1:5" x14ac:dyDescent="0.25">
      <c r="A1631" s="5" t="s">
        <v>6</v>
      </c>
      <c r="B1631" s="5" t="s">
        <v>4378</v>
      </c>
      <c r="C1631" s="1" t="s">
        <v>4379</v>
      </c>
      <c r="D1631" s="1" t="s">
        <v>4380</v>
      </c>
      <c r="E1631" s="7">
        <v>2745</v>
      </c>
    </row>
    <row r="1632" spans="1:5" x14ac:dyDescent="0.25">
      <c r="A1632" s="5" t="s">
        <v>6</v>
      </c>
      <c r="B1632" s="5" t="s">
        <v>4381</v>
      </c>
      <c r="C1632" s="1" t="s">
        <v>4382</v>
      </c>
      <c r="D1632" s="1" t="s">
        <v>4383</v>
      </c>
      <c r="E1632" s="7">
        <v>461</v>
      </c>
    </row>
    <row r="1633" spans="1:5" x14ac:dyDescent="0.25">
      <c r="A1633" s="5" t="s">
        <v>6</v>
      </c>
      <c r="B1633" s="5" t="s">
        <v>4384</v>
      </c>
      <c r="C1633" s="1" t="s">
        <v>4385</v>
      </c>
      <c r="D1633" s="1" t="s">
        <v>4386</v>
      </c>
      <c r="E1633" s="7">
        <v>897</v>
      </c>
    </row>
    <row r="1634" spans="1:5" x14ac:dyDescent="0.25">
      <c r="A1634" s="5" t="s">
        <v>6</v>
      </c>
      <c r="B1634" s="5" t="s">
        <v>4387</v>
      </c>
      <c r="C1634" s="1" t="s">
        <v>4388</v>
      </c>
      <c r="D1634" s="1" t="s">
        <v>4389</v>
      </c>
      <c r="E1634" s="7">
        <v>428</v>
      </c>
    </row>
    <row r="1635" spans="1:5" x14ac:dyDescent="0.25">
      <c r="A1635" s="5" t="s">
        <v>6</v>
      </c>
      <c r="B1635" s="5" t="s">
        <v>4390</v>
      </c>
      <c r="C1635" s="1" t="s">
        <v>4391</v>
      </c>
      <c r="D1635" s="1" t="s">
        <v>4392</v>
      </c>
      <c r="E1635" s="7">
        <v>386</v>
      </c>
    </row>
    <row r="1636" spans="1:5" x14ac:dyDescent="0.25">
      <c r="A1636" s="5" t="s">
        <v>6</v>
      </c>
      <c r="B1636" s="5" t="s">
        <v>4393</v>
      </c>
      <c r="C1636" s="1" t="s">
        <v>4394</v>
      </c>
      <c r="D1636" s="1" t="s">
        <v>4395</v>
      </c>
      <c r="E1636" s="7">
        <v>514</v>
      </c>
    </row>
    <row r="1637" spans="1:5" x14ac:dyDescent="0.25">
      <c r="A1637" s="5" t="s">
        <v>6</v>
      </c>
      <c r="B1637" s="5" t="s">
        <v>4396</v>
      </c>
      <c r="C1637" s="1" t="s">
        <v>4397</v>
      </c>
      <c r="D1637" s="1" t="s">
        <v>4398</v>
      </c>
      <c r="E1637" s="7">
        <v>1053</v>
      </c>
    </row>
    <row r="1638" spans="1:5" x14ac:dyDescent="0.25">
      <c r="A1638" s="5" t="s">
        <v>6</v>
      </c>
      <c r="B1638" s="5" t="s">
        <v>4399</v>
      </c>
      <c r="C1638" s="1" t="s">
        <v>4400</v>
      </c>
      <c r="D1638" s="1" t="s">
        <v>4401</v>
      </c>
      <c r="E1638" s="7">
        <v>692</v>
      </c>
    </row>
    <row r="1639" spans="1:5" x14ac:dyDescent="0.25">
      <c r="A1639" s="5" t="s">
        <v>6</v>
      </c>
      <c r="B1639" s="5" t="s">
        <v>4402</v>
      </c>
      <c r="C1639" s="1" t="s">
        <v>4403</v>
      </c>
      <c r="D1639" s="1" t="s">
        <v>4404</v>
      </c>
      <c r="E1639" s="7">
        <v>338</v>
      </c>
    </row>
    <row r="1640" spans="1:5" x14ac:dyDescent="0.25">
      <c r="A1640" s="5" t="s">
        <v>6</v>
      </c>
      <c r="B1640" s="5" t="s">
        <v>4405</v>
      </c>
      <c r="C1640" s="1" t="s">
        <v>4406</v>
      </c>
      <c r="D1640" s="1" t="s">
        <v>4407</v>
      </c>
      <c r="E1640" s="7">
        <v>78</v>
      </c>
    </row>
    <row r="1641" spans="1:5" x14ac:dyDescent="0.25">
      <c r="A1641" s="5" t="s">
        <v>6</v>
      </c>
      <c r="B1641" s="5" t="s">
        <v>4408</v>
      </c>
      <c r="C1641" s="1" t="s">
        <v>4409</v>
      </c>
      <c r="D1641" s="1" t="s">
        <v>4410</v>
      </c>
      <c r="E1641" s="7">
        <v>270</v>
      </c>
    </row>
    <row r="1642" spans="1:5" x14ac:dyDescent="0.25">
      <c r="A1642" s="5" t="s">
        <v>6</v>
      </c>
      <c r="B1642" s="5" t="s">
        <v>4411</v>
      </c>
      <c r="C1642" s="1" t="s">
        <v>4412</v>
      </c>
      <c r="D1642" s="1" t="s">
        <v>4413</v>
      </c>
      <c r="E1642" s="7">
        <v>230</v>
      </c>
    </row>
    <row r="1643" spans="1:5" x14ac:dyDescent="0.25">
      <c r="A1643" s="5" t="s">
        <v>6</v>
      </c>
      <c r="B1643" s="5" t="s">
        <v>4414</v>
      </c>
      <c r="C1643" s="1" t="s">
        <v>4415</v>
      </c>
      <c r="D1643" s="1" t="s">
        <v>4416</v>
      </c>
      <c r="E1643" s="7">
        <v>1252</v>
      </c>
    </row>
    <row r="1644" spans="1:5" x14ac:dyDescent="0.25">
      <c r="A1644" s="5" t="s">
        <v>6</v>
      </c>
      <c r="B1644" s="5" t="s">
        <v>4417</v>
      </c>
      <c r="C1644" s="1" t="s">
        <v>4418</v>
      </c>
      <c r="D1644" s="1" t="s">
        <v>4113</v>
      </c>
      <c r="E1644" s="7">
        <v>1929</v>
      </c>
    </row>
    <row r="1645" spans="1:5" x14ac:dyDescent="0.25">
      <c r="A1645" s="5" t="s">
        <v>6</v>
      </c>
      <c r="B1645" s="5" t="s">
        <v>4419</v>
      </c>
      <c r="C1645" s="1" t="s">
        <v>4420</v>
      </c>
      <c r="D1645" s="1" t="s">
        <v>4421</v>
      </c>
      <c r="E1645" s="7">
        <v>2886</v>
      </c>
    </row>
    <row r="1646" spans="1:5" x14ac:dyDescent="0.25">
      <c r="A1646" s="5" t="s">
        <v>6</v>
      </c>
      <c r="B1646" s="5" t="s">
        <v>4422</v>
      </c>
      <c r="C1646" s="1" t="s">
        <v>4423</v>
      </c>
      <c r="D1646" s="1" t="s">
        <v>4424</v>
      </c>
      <c r="E1646" s="7">
        <v>724</v>
      </c>
    </row>
    <row r="1647" spans="1:5" x14ac:dyDescent="0.25">
      <c r="A1647" s="5" t="s">
        <v>6</v>
      </c>
      <c r="B1647" s="5" t="s">
        <v>4425</v>
      </c>
      <c r="C1647" s="1" t="s">
        <v>4426</v>
      </c>
      <c r="D1647" s="1" t="s">
        <v>4427</v>
      </c>
      <c r="E1647" s="7">
        <v>1972</v>
      </c>
    </row>
    <row r="1648" spans="1:5" x14ac:dyDescent="0.25">
      <c r="A1648" s="5" t="s">
        <v>6</v>
      </c>
      <c r="B1648" s="5" t="s">
        <v>4428</v>
      </c>
      <c r="C1648" s="1" t="s">
        <v>4429</v>
      </c>
      <c r="D1648" s="1" t="s">
        <v>4430</v>
      </c>
      <c r="E1648" s="7">
        <v>949</v>
      </c>
    </row>
    <row r="1649" spans="1:5" x14ac:dyDescent="0.25">
      <c r="A1649" s="5" t="s">
        <v>6</v>
      </c>
      <c r="B1649" s="5" t="s">
        <v>4431</v>
      </c>
      <c r="C1649" s="1" t="s">
        <v>4432</v>
      </c>
      <c r="D1649" s="1" t="s">
        <v>4433</v>
      </c>
      <c r="E1649" s="7">
        <v>1434</v>
      </c>
    </row>
    <row r="1650" spans="1:5" x14ac:dyDescent="0.25">
      <c r="A1650" s="5" t="s">
        <v>6</v>
      </c>
      <c r="B1650" s="5" t="s">
        <v>4434</v>
      </c>
      <c r="C1650" s="1" t="s">
        <v>4435</v>
      </c>
      <c r="D1650" s="1" t="s">
        <v>4436</v>
      </c>
      <c r="E1650" s="7">
        <v>17072</v>
      </c>
    </row>
    <row r="1651" spans="1:5" x14ac:dyDescent="0.25">
      <c r="A1651" s="5" t="s">
        <v>6</v>
      </c>
      <c r="B1651" s="5" t="s">
        <v>4437</v>
      </c>
      <c r="C1651" s="1" t="s">
        <v>3514</v>
      </c>
      <c r="D1651" s="1" t="s">
        <v>4438</v>
      </c>
      <c r="E1651" s="7">
        <v>2054</v>
      </c>
    </row>
    <row r="1652" spans="1:5" x14ac:dyDescent="0.25">
      <c r="A1652" s="5" t="s">
        <v>6</v>
      </c>
      <c r="B1652" s="5" t="s">
        <v>4439</v>
      </c>
      <c r="C1652" s="1" t="s">
        <v>4440</v>
      </c>
      <c r="D1652" s="1" t="s">
        <v>4441</v>
      </c>
      <c r="E1652" s="7">
        <v>4370</v>
      </c>
    </row>
    <row r="1653" spans="1:5" x14ac:dyDescent="0.25">
      <c r="A1653" s="5" t="s">
        <v>6</v>
      </c>
      <c r="B1653" s="5" t="s">
        <v>4442</v>
      </c>
      <c r="C1653" s="1" t="s">
        <v>4443</v>
      </c>
      <c r="D1653" s="1" t="s">
        <v>4444</v>
      </c>
      <c r="E1653" s="7">
        <v>4534</v>
      </c>
    </row>
    <row r="1654" spans="1:5" x14ac:dyDescent="0.25">
      <c r="A1654" s="5" t="s">
        <v>6</v>
      </c>
      <c r="B1654" s="5" t="s">
        <v>4445</v>
      </c>
      <c r="C1654" s="1" t="s">
        <v>4446</v>
      </c>
      <c r="D1654" s="1" t="s">
        <v>4447</v>
      </c>
      <c r="E1654" s="7">
        <v>11820</v>
      </c>
    </row>
    <row r="1655" spans="1:5" x14ac:dyDescent="0.25">
      <c r="A1655" s="5" t="s">
        <v>6</v>
      </c>
      <c r="B1655" s="5" t="s">
        <v>4448</v>
      </c>
      <c r="C1655" s="1" t="s">
        <v>4449</v>
      </c>
      <c r="D1655" s="1" t="s">
        <v>4450</v>
      </c>
      <c r="E1655" s="7">
        <v>12883</v>
      </c>
    </row>
    <row r="1656" spans="1:5" x14ac:dyDescent="0.25">
      <c r="A1656" s="5" t="s">
        <v>6</v>
      </c>
      <c r="B1656" s="5" t="s">
        <v>4451</v>
      </c>
      <c r="C1656" s="1" t="s">
        <v>4452</v>
      </c>
      <c r="D1656" s="1" t="s">
        <v>4453</v>
      </c>
      <c r="E1656" s="7">
        <v>17032</v>
      </c>
    </row>
    <row r="1657" spans="1:5" x14ac:dyDescent="0.25">
      <c r="A1657" s="5" t="s">
        <v>6</v>
      </c>
      <c r="B1657" s="5" t="s">
        <v>4454</v>
      </c>
      <c r="C1657" s="1" t="s">
        <v>4455</v>
      </c>
      <c r="D1657" s="1" t="s">
        <v>4456</v>
      </c>
      <c r="E1657" s="7">
        <v>8929</v>
      </c>
    </row>
    <row r="1658" spans="1:5" x14ac:dyDescent="0.25">
      <c r="A1658" s="5" t="s">
        <v>6</v>
      </c>
      <c r="B1658" s="5" t="s">
        <v>4457</v>
      </c>
      <c r="C1658" s="1" t="s">
        <v>4458</v>
      </c>
      <c r="D1658" s="1" t="s">
        <v>4459</v>
      </c>
      <c r="E1658" s="7">
        <v>9779</v>
      </c>
    </row>
    <row r="1659" spans="1:5" x14ac:dyDescent="0.25">
      <c r="A1659" s="5" t="s">
        <v>6</v>
      </c>
      <c r="B1659" s="5" t="s">
        <v>4460</v>
      </c>
      <c r="C1659" s="1" t="s">
        <v>4461</v>
      </c>
      <c r="D1659" s="1" t="s">
        <v>4462</v>
      </c>
      <c r="E1659" s="7">
        <v>5518</v>
      </c>
    </row>
    <row r="1660" spans="1:5" x14ac:dyDescent="0.25">
      <c r="A1660" s="5" t="s">
        <v>6</v>
      </c>
      <c r="B1660" s="5" t="s">
        <v>4463</v>
      </c>
      <c r="C1660" s="1" t="s">
        <v>4464</v>
      </c>
      <c r="D1660" s="1" t="s">
        <v>4465</v>
      </c>
      <c r="E1660" s="7">
        <v>2341</v>
      </c>
    </row>
    <row r="1661" spans="1:5" x14ac:dyDescent="0.25">
      <c r="A1661" s="5" t="s">
        <v>6</v>
      </c>
      <c r="B1661" s="5" t="s">
        <v>4466</v>
      </c>
      <c r="C1661" s="1" t="s">
        <v>4467</v>
      </c>
      <c r="D1661" s="1" t="s">
        <v>4468</v>
      </c>
      <c r="E1661" s="7">
        <v>27064</v>
      </c>
    </row>
    <row r="1662" spans="1:5" x14ac:dyDescent="0.25">
      <c r="A1662" s="5" t="s">
        <v>6</v>
      </c>
      <c r="B1662" s="5" t="s">
        <v>4469</v>
      </c>
      <c r="C1662" s="1" t="s">
        <v>4470</v>
      </c>
      <c r="D1662" s="1" t="s">
        <v>4471</v>
      </c>
      <c r="E1662" s="7">
        <v>16327</v>
      </c>
    </row>
    <row r="1663" spans="1:5" x14ac:dyDescent="0.25">
      <c r="A1663" s="5" t="s">
        <v>6</v>
      </c>
      <c r="B1663" s="5" t="s">
        <v>4472</v>
      </c>
      <c r="C1663" s="1" t="s">
        <v>4112</v>
      </c>
      <c r="D1663" s="1" t="s">
        <v>4113</v>
      </c>
      <c r="E1663" s="7">
        <v>2125</v>
      </c>
    </row>
    <row r="1664" spans="1:5" x14ac:dyDescent="0.25">
      <c r="A1664" s="5" t="s">
        <v>6</v>
      </c>
      <c r="B1664" s="5" t="s">
        <v>4473</v>
      </c>
      <c r="C1664" s="1" t="s">
        <v>4474</v>
      </c>
      <c r="D1664" s="1" t="s">
        <v>4475</v>
      </c>
      <c r="E1664" s="7">
        <v>5470</v>
      </c>
    </row>
    <row r="1665" spans="1:5" x14ac:dyDescent="0.25">
      <c r="A1665" s="5" t="s">
        <v>6</v>
      </c>
      <c r="B1665" s="5" t="s">
        <v>4476</v>
      </c>
      <c r="C1665" s="1" t="s">
        <v>4477</v>
      </c>
      <c r="D1665" s="1" t="s">
        <v>4478</v>
      </c>
      <c r="E1665" s="7">
        <v>23992</v>
      </c>
    </row>
    <row r="1666" spans="1:5" x14ac:dyDescent="0.25">
      <c r="A1666" s="5" t="s">
        <v>6</v>
      </c>
      <c r="B1666" s="5" t="s">
        <v>4479</v>
      </c>
      <c r="C1666" s="1" t="s">
        <v>4228</v>
      </c>
      <c r="D1666" s="1" t="s">
        <v>4229</v>
      </c>
      <c r="E1666" s="7">
        <v>2192</v>
      </c>
    </row>
    <row r="1667" spans="1:5" x14ac:dyDescent="0.25">
      <c r="A1667" s="5" t="s">
        <v>6</v>
      </c>
      <c r="B1667" s="5" t="s">
        <v>4480</v>
      </c>
      <c r="C1667" s="1" t="s">
        <v>4481</v>
      </c>
      <c r="D1667" s="1" t="s">
        <v>4482</v>
      </c>
      <c r="E1667" s="7">
        <v>5728</v>
      </c>
    </row>
    <row r="1668" spans="1:5" x14ac:dyDescent="0.25">
      <c r="A1668" s="5" t="s">
        <v>6</v>
      </c>
      <c r="B1668" s="5" t="s">
        <v>4483</v>
      </c>
      <c r="C1668" s="1" t="s">
        <v>4484</v>
      </c>
      <c r="D1668" s="1" t="s">
        <v>4485</v>
      </c>
      <c r="E1668" s="7">
        <v>6148</v>
      </c>
    </row>
    <row r="1669" spans="1:5" x14ac:dyDescent="0.25">
      <c r="A1669" s="5" t="s">
        <v>6</v>
      </c>
      <c r="B1669" s="5" t="s">
        <v>4486</v>
      </c>
      <c r="C1669" s="1" t="s">
        <v>4272</v>
      </c>
      <c r="D1669" s="1" t="s">
        <v>4273</v>
      </c>
      <c r="E1669" s="7">
        <v>1128</v>
      </c>
    </row>
    <row r="1670" spans="1:5" x14ac:dyDescent="0.25">
      <c r="A1670" s="5" t="s">
        <v>6</v>
      </c>
      <c r="B1670" s="5" t="s">
        <v>4487</v>
      </c>
      <c r="C1670" s="1" t="s">
        <v>3865</v>
      </c>
      <c r="D1670" s="1" t="s">
        <v>3866</v>
      </c>
      <c r="E1670" s="7">
        <v>5699</v>
      </c>
    </row>
    <row r="1671" spans="1:5" x14ac:dyDescent="0.25">
      <c r="A1671" s="5" t="s">
        <v>6</v>
      </c>
      <c r="B1671" s="5" t="s">
        <v>4488</v>
      </c>
      <c r="C1671" s="1" t="s">
        <v>3868</v>
      </c>
      <c r="D1671" s="1" t="s">
        <v>3869</v>
      </c>
      <c r="E1671" s="7">
        <v>3154</v>
      </c>
    </row>
    <row r="1672" spans="1:5" x14ac:dyDescent="0.25">
      <c r="A1672" s="5" t="s">
        <v>6</v>
      </c>
      <c r="B1672" s="5" t="s">
        <v>4489</v>
      </c>
      <c r="C1672" s="1" t="s">
        <v>3871</v>
      </c>
      <c r="D1672" s="1" t="s">
        <v>3872</v>
      </c>
      <c r="E1672" s="7">
        <v>5306</v>
      </c>
    </row>
    <row r="1673" spans="1:5" x14ac:dyDescent="0.25">
      <c r="A1673" s="5" t="s">
        <v>6</v>
      </c>
      <c r="B1673" s="5" t="s">
        <v>4490</v>
      </c>
      <c r="C1673" s="1" t="s">
        <v>4491</v>
      </c>
      <c r="D1673" s="1" t="s">
        <v>4492</v>
      </c>
      <c r="E1673" s="7">
        <v>21516</v>
      </c>
    </row>
    <row r="1674" spans="1:5" x14ac:dyDescent="0.25">
      <c r="A1674" s="5" t="s">
        <v>6</v>
      </c>
      <c r="B1674" s="5" t="s">
        <v>4493</v>
      </c>
      <c r="C1674" s="1" t="s">
        <v>4494</v>
      </c>
      <c r="D1674" s="1" t="s">
        <v>4495</v>
      </c>
      <c r="E1674" s="7">
        <v>3649</v>
      </c>
    </row>
    <row r="1675" spans="1:5" x14ac:dyDescent="0.25">
      <c r="A1675" s="5" t="s">
        <v>6</v>
      </c>
      <c r="B1675" s="5" t="s">
        <v>4496</v>
      </c>
      <c r="C1675" s="1" t="s">
        <v>4497</v>
      </c>
      <c r="D1675" s="1" t="s">
        <v>4498</v>
      </c>
      <c r="E1675" s="7">
        <v>1305</v>
      </c>
    </row>
    <row r="1676" spans="1:5" x14ac:dyDescent="0.25">
      <c r="A1676" s="5" t="s">
        <v>6</v>
      </c>
      <c r="B1676" s="5" t="s">
        <v>4499</v>
      </c>
      <c r="C1676" s="1" t="s">
        <v>4500</v>
      </c>
      <c r="D1676" s="1" t="s">
        <v>4501</v>
      </c>
      <c r="E1676" s="7">
        <v>631</v>
      </c>
    </row>
    <row r="1677" spans="1:5" x14ac:dyDescent="0.25">
      <c r="A1677" s="5" t="s">
        <v>6</v>
      </c>
      <c r="B1677" s="5" t="s">
        <v>4502</v>
      </c>
      <c r="C1677" s="1" t="s">
        <v>4503</v>
      </c>
      <c r="D1677" s="1" t="s">
        <v>4504</v>
      </c>
      <c r="E1677" s="7">
        <v>4357</v>
      </c>
    </row>
    <row r="1678" spans="1:5" x14ac:dyDescent="0.25">
      <c r="A1678" s="5" t="s">
        <v>6</v>
      </c>
      <c r="B1678" s="5" t="s">
        <v>4505</v>
      </c>
      <c r="C1678" s="1" t="s">
        <v>4506</v>
      </c>
      <c r="D1678" s="1" t="s">
        <v>4507</v>
      </c>
      <c r="E1678" s="7">
        <v>6989</v>
      </c>
    </row>
    <row r="1679" spans="1:5" x14ac:dyDescent="0.25">
      <c r="A1679" s="5" t="s">
        <v>6</v>
      </c>
      <c r="B1679" s="5" t="s">
        <v>4508</v>
      </c>
      <c r="C1679" s="1" t="s">
        <v>4320</v>
      </c>
      <c r="D1679" s="1" t="s">
        <v>4321</v>
      </c>
      <c r="E1679" s="7">
        <v>11850</v>
      </c>
    </row>
    <row r="1680" spans="1:5" x14ac:dyDescent="0.25">
      <c r="A1680" s="5" t="s">
        <v>6</v>
      </c>
      <c r="B1680" s="5" t="s">
        <v>4509</v>
      </c>
      <c r="C1680" s="1" t="s">
        <v>4332</v>
      </c>
      <c r="D1680" s="1" t="s">
        <v>4333</v>
      </c>
      <c r="E1680" s="7">
        <v>2534</v>
      </c>
    </row>
    <row r="1681" spans="1:5" x14ac:dyDescent="0.25">
      <c r="A1681" s="5" t="s">
        <v>6</v>
      </c>
      <c r="B1681" s="5" t="s">
        <v>4510</v>
      </c>
      <c r="C1681" s="1" t="s">
        <v>4511</v>
      </c>
      <c r="D1681" s="1" t="s">
        <v>4512</v>
      </c>
      <c r="E1681" s="7">
        <v>32502</v>
      </c>
    </row>
    <row r="1682" spans="1:5" x14ac:dyDescent="0.25">
      <c r="A1682" s="5" t="s">
        <v>6</v>
      </c>
      <c r="B1682" s="5" t="s">
        <v>4513</v>
      </c>
      <c r="C1682" s="1" t="s">
        <v>4514</v>
      </c>
      <c r="D1682" s="1" t="s">
        <v>4515</v>
      </c>
      <c r="E1682" s="7">
        <v>32502</v>
      </c>
    </row>
    <row r="1683" spans="1:5" x14ac:dyDescent="0.25">
      <c r="A1683" s="5" t="s">
        <v>6</v>
      </c>
      <c r="B1683" s="5" t="s">
        <v>4516</v>
      </c>
      <c r="C1683" s="1" t="s">
        <v>4517</v>
      </c>
      <c r="D1683" s="1" t="s">
        <v>4518</v>
      </c>
      <c r="E1683" s="7">
        <v>1526</v>
      </c>
    </row>
    <row r="1684" spans="1:5" x14ac:dyDescent="0.25">
      <c r="A1684" s="5" t="s">
        <v>6</v>
      </c>
      <c r="B1684" s="5" t="s">
        <v>4519</v>
      </c>
      <c r="C1684" s="1" t="s">
        <v>3797</v>
      </c>
      <c r="D1684" s="1" t="s">
        <v>3798</v>
      </c>
      <c r="E1684" s="7">
        <v>8951</v>
      </c>
    </row>
    <row r="1685" spans="1:5" x14ac:dyDescent="0.25">
      <c r="A1685" s="5" t="s">
        <v>6</v>
      </c>
      <c r="B1685" s="5" t="s">
        <v>4520</v>
      </c>
      <c r="C1685" s="1" t="s">
        <v>3800</v>
      </c>
      <c r="D1685" s="1" t="s">
        <v>3801</v>
      </c>
      <c r="E1685" s="7">
        <v>11275</v>
      </c>
    </row>
    <row r="1686" spans="1:5" x14ac:dyDescent="0.25">
      <c r="A1686" s="5" t="s">
        <v>6</v>
      </c>
      <c r="B1686" s="5" t="s">
        <v>4521</v>
      </c>
      <c r="C1686" s="1" t="s">
        <v>4522</v>
      </c>
      <c r="D1686" s="1" t="s">
        <v>4523</v>
      </c>
      <c r="E1686" s="7">
        <v>8872</v>
      </c>
    </row>
    <row r="1687" spans="1:5" x14ac:dyDescent="0.25">
      <c r="A1687" s="5" t="s">
        <v>6</v>
      </c>
      <c r="B1687" s="5" t="s">
        <v>4524</v>
      </c>
      <c r="C1687" s="1" t="s">
        <v>4525</v>
      </c>
      <c r="D1687" s="1" t="s">
        <v>4526</v>
      </c>
      <c r="E1687" s="7">
        <v>31080</v>
      </c>
    </row>
    <row r="1688" spans="1:5" x14ac:dyDescent="0.25">
      <c r="A1688" s="5" t="s">
        <v>6</v>
      </c>
      <c r="B1688" s="5" t="s">
        <v>4527</v>
      </c>
      <c r="C1688" s="1" t="s">
        <v>3803</v>
      </c>
      <c r="D1688" s="1" t="s">
        <v>3804</v>
      </c>
      <c r="E1688" s="7">
        <v>10106</v>
      </c>
    </row>
    <row r="1689" spans="1:5" x14ac:dyDescent="0.25">
      <c r="A1689" s="5" t="s">
        <v>6</v>
      </c>
      <c r="B1689" s="5" t="s">
        <v>4528</v>
      </c>
      <c r="C1689" s="1" t="s">
        <v>3806</v>
      </c>
      <c r="D1689" s="1" t="s">
        <v>3807</v>
      </c>
      <c r="E1689" s="7">
        <v>12582</v>
      </c>
    </row>
    <row r="1690" spans="1:5" x14ac:dyDescent="0.25">
      <c r="A1690" s="5" t="s">
        <v>6</v>
      </c>
      <c r="B1690" s="5" t="s">
        <v>4529</v>
      </c>
      <c r="C1690" s="1" t="s">
        <v>4530</v>
      </c>
      <c r="D1690" s="1" t="s">
        <v>4531</v>
      </c>
      <c r="E1690" s="7">
        <v>6715</v>
      </c>
    </row>
    <row r="1691" spans="1:5" x14ac:dyDescent="0.25">
      <c r="A1691" s="5" t="s">
        <v>6</v>
      </c>
      <c r="B1691" s="5" t="s">
        <v>4532</v>
      </c>
      <c r="C1691" s="1" t="s">
        <v>3809</v>
      </c>
      <c r="D1691" s="1" t="s">
        <v>3810</v>
      </c>
      <c r="E1691" s="7">
        <v>9303</v>
      </c>
    </row>
    <row r="1692" spans="1:5" x14ac:dyDescent="0.25">
      <c r="A1692" s="5" t="s">
        <v>6</v>
      </c>
      <c r="B1692" s="5" t="s">
        <v>4533</v>
      </c>
      <c r="C1692" s="1" t="s">
        <v>4534</v>
      </c>
      <c r="D1692" s="1" t="s">
        <v>4535</v>
      </c>
      <c r="E1692" s="7">
        <v>8827</v>
      </c>
    </row>
    <row r="1693" spans="1:5" x14ac:dyDescent="0.25">
      <c r="A1693" s="5" t="s">
        <v>6</v>
      </c>
      <c r="B1693" s="5" t="s">
        <v>4536</v>
      </c>
      <c r="C1693" s="1" t="s">
        <v>4537</v>
      </c>
      <c r="D1693" s="1" t="s">
        <v>4538</v>
      </c>
      <c r="E1693" s="7">
        <v>26893</v>
      </c>
    </row>
    <row r="1694" spans="1:5" x14ac:dyDescent="0.25">
      <c r="A1694" s="5" t="s">
        <v>6</v>
      </c>
      <c r="B1694" s="5" t="s">
        <v>4539</v>
      </c>
      <c r="C1694" s="1" t="s">
        <v>4540</v>
      </c>
      <c r="D1694" s="1" t="s">
        <v>4541</v>
      </c>
      <c r="E1694" s="7">
        <v>9832</v>
      </c>
    </row>
    <row r="1695" spans="1:5" x14ac:dyDescent="0.25">
      <c r="A1695" s="5" t="s">
        <v>6</v>
      </c>
      <c r="B1695" s="5" t="s">
        <v>4542</v>
      </c>
      <c r="C1695" s="1" t="s">
        <v>3720</v>
      </c>
      <c r="D1695" s="1" t="s">
        <v>3721</v>
      </c>
      <c r="E1695" s="7">
        <v>1592</v>
      </c>
    </row>
    <row r="1696" spans="1:5" x14ac:dyDescent="0.25">
      <c r="A1696" s="5" t="s">
        <v>6</v>
      </c>
      <c r="B1696" s="5" t="s">
        <v>4543</v>
      </c>
      <c r="C1696" s="1" t="s">
        <v>3812</v>
      </c>
      <c r="D1696" s="1" t="s">
        <v>3813</v>
      </c>
      <c r="E1696" s="7">
        <v>4639</v>
      </c>
    </row>
    <row r="1697" spans="1:5" x14ac:dyDescent="0.25">
      <c r="A1697" s="5" t="s">
        <v>6</v>
      </c>
      <c r="B1697" s="5" t="s">
        <v>4544</v>
      </c>
      <c r="C1697" s="1" t="s">
        <v>3815</v>
      </c>
      <c r="D1697" s="1" t="s">
        <v>3816</v>
      </c>
      <c r="E1697" s="7">
        <v>3916</v>
      </c>
    </row>
    <row r="1698" spans="1:5" x14ac:dyDescent="0.25">
      <c r="A1698" s="5" t="s">
        <v>6</v>
      </c>
      <c r="B1698" s="5" t="s">
        <v>4545</v>
      </c>
      <c r="C1698" s="1" t="s">
        <v>3818</v>
      </c>
      <c r="D1698" s="1" t="s">
        <v>3819</v>
      </c>
      <c r="E1698" s="7">
        <v>6746</v>
      </c>
    </row>
    <row r="1699" spans="1:5" x14ac:dyDescent="0.25">
      <c r="A1699" s="5" t="s">
        <v>6</v>
      </c>
      <c r="B1699" s="5" t="s">
        <v>4546</v>
      </c>
      <c r="C1699" s="1" t="s">
        <v>3821</v>
      </c>
      <c r="D1699" s="1" t="s">
        <v>3822</v>
      </c>
      <c r="E1699" s="7">
        <v>7628</v>
      </c>
    </row>
    <row r="1700" spans="1:5" x14ac:dyDescent="0.25">
      <c r="A1700" s="5" t="s">
        <v>6</v>
      </c>
      <c r="B1700" s="5" t="s">
        <v>4547</v>
      </c>
      <c r="C1700" s="1" t="s">
        <v>4548</v>
      </c>
      <c r="D1700" s="1" t="s">
        <v>4549</v>
      </c>
      <c r="E1700" s="7">
        <v>8548</v>
      </c>
    </row>
    <row r="1701" spans="1:5" x14ac:dyDescent="0.25">
      <c r="A1701" s="5" t="s">
        <v>6</v>
      </c>
      <c r="B1701" s="5" t="s">
        <v>4550</v>
      </c>
      <c r="C1701" s="1" t="s">
        <v>4551</v>
      </c>
      <c r="D1701" s="1" t="s">
        <v>4552</v>
      </c>
      <c r="E1701" s="7">
        <v>10347</v>
      </c>
    </row>
    <row r="1702" spans="1:5" x14ac:dyDescent="0.25">
      <c r="A1702" s="5" t="s">
        <v>6</v>
      </c>
      <c r="B1702" s="5" t="s">
        <v>4553</v>
      </c>
      <c r="C1702" s="1" t="s">
        <v>4554</v>
      </c>
      <c r="D1702" s="1" t="s">
        <v>4555</v>
      </c>
      <c r="E1702" s="7">
        <v>37491</v>
      </c>
    </row>
    <row r="1703" spans="1:5" x14ac:dyDescent="0.25">
      <c r="A1703" s="5" t="s">
        <v>6</v>
      </c>
      <c r="B1703" s="5" t="s">
        <v>4556</v>
      </c>
      <c r="C1703" s="1" t="s">
        <v>4557</v>
      </c>
      <c r="D1703" s="1" t="s">
        <v>4558</v>
      </c>
      <c r="E1703" s="7">
        <v>3474</v>
      </c>
    </row>
    <row r="1704" spans="1:5" x14ac:dyDescent="0.25">
      <c r="A1704" s="5" t="s">
        <v>6</v>
      </c>
      <c r="B1704" s="5" t="s">
        <v>4559</v>
      </c>
      <c r="C1704" s="1" t="s">
        <v>4560</v>
      </c>
      <c r="D1704" s="1" t="s">
        <v>4561</v>
      </c>
      <c r="E1704" s="7">
        <v>8337</v>
      </c>
    </row>
    <row r="1705" spans="1:5" x14ac:dyDescent="0.25">
      <c r="A1705" s="5" t="s">
        <v>6</v>
      </c>
      <c r="B1705" s="5" t="s">
        <v>4562</v>
      </c>
      <c r="C1705" s="1" t="s">
        <v>4563</v>
      </c>
      <c r="D1705" s="1" t="s">
        <v>4564</v>
      </c>
      <c r="E1705" s="7">
        <v>8862</v>
      </c>
    </row>
    <row r="1706" spans="1:5" x14ac:dyDescent="0.25">
      <c r="A1706" s="5" t="s">
        <v>6</v>
      </c>
      <c r="B1706" s="5" t="s">
        <v>4565</v>
      </c>
      <c r="C1706" s="1" t="s">
        <v>4566</v>
      </c>
      <c r="D1706" s="1" t="s">
        <v>4567</v>
      </c>
      <c r="E1706" s="7">
        <v>10054</v>
      </c>
    </row>
    <row r="1707" spans="1:5" x14ac:dyDescent="0.25">
      <c r="A1707" s="5" t="s">
        <v>6</v>
      </c>
      <c r="B1707" s="5" t="s">
        <v>4568</v>
      </c>
      <c r="C1707" s="1" t="s">
        <v>4569</v>
      </c>
      <c r="D1707" s="1" t="s">
        <v>4570</v>
      </c>
      <c r="E1707" s="7">
        <v>6987</v>
      </c>
    </row>
    <row r="1708" spans="1:5" x14ac:dyDescent="0.25">
      <c r="A1708" s="5" t="s">
        <v>6</v>
      </c>
      <c r="B1708" s="5" t="s">
        <v>4571</v>
      </c>
      <c r="C1708" s="1" t="s">
        <v>4572</v>
      </c>
      <c r="D1708" s="1" t="s">
        <v>4573</v>
      </c>
      <c r="E1708" s="7">
        <v>7476</v>
      </c>
    </row>
    <row r="1709" spans="1:5" x14ac:dyDescent="0.25">
      <c r="A1709" s="5" t="s">
        <v>6</v>
      </c>
      <c r="B1709" s="5" t="s">
        <v>4574</v>
      </c>
      <c r="C1709" s="1" t="s">
        <v>3824</v>
      </c>
      <c r="D1709" s="1" t="s">
        <v>3825</v>
      </c>
      <c r="E1709" s="7">
        <v>1860</v>
      </c>
    </row>
    <row r="1710" spans="1:5" x14ac:dyDescent="0.25">
      <c r="A1710" s="5" t="s">
        <v>6</v>
      </c>
      <c r="B1710" s="5" t="s">
        <v>4575</v>
      </c>
      <c r="C1710" s="1" t="s">
        <v>4576</v>
      </c>
      <c r="D1710" s="1" t="s">
        <v>4577</v>
      </c>
      <c r="E1710" s="7">
        <v>2480</v>
      </c>
    </row>
    <row r="1711" spans="1:5" x14ac:dyDescent="0.25">
      <c r="A1711" s="5" t="s">
        <v>6</v>
      </c>
      <c r="B1711" s="5" t="s">
        <v>4578</v>
      </c>
      <c r="C1711" s="1" t="s">
        <v>4579</v>
      </c>
      <c r="D1711" s="1" t="s">
        <v>4580</v>
      </c>
      <c r="E1711" s="7">
        <v>27009</v>
      </c>
    </row>
    <row r="1712" spans="1:5" x14ac:dyDescent="0.25">
      <c r="A1712" s="5" t="s">
        <v>6</v>
      </c>
      <c r="B1712" s="5" t="s">
        <v>4581</v>
      </c>
      <c r="C1712" s="1" t="s">
        <v>4582</v>
      </c>
      <c r="D1712" s="1" t="s">
        <v>4583</v>
      </c>
      <c r="E1712" s="7">
        <v>3350</v>
      </c>
    </row>
    <row r="1713" spans="1:5" x14ac:dyDescent="0.25">
      <c r="A1713" s="5" t="s">
        <v>6</v>
      </c>
      <c r="B1713" s="5" t="s">
        <v>4584</v>
      </c>
      <c r="C1713" s="1" t="s">
        <v>4347</v>
      </c>
      <c r="D1713" s="1" t="s">
        <v>4348</v>
      </c>
      <c r="E1713" s="7">
        <v>2173</v>
      </c>
    </row>
    <row r="1714" spans="1:5" x14ac:dyDescent="0.25">
      <c r="A1714" s="5" t="s">
        <v>6</v>
      </c>
      <c r="B1714" s="5" t="s">
        <v>4585</v>
      </c>
      <c r="C1714" s="1" t="s">
        <v>4586</v>
      </c>
      <c r="D1714" s="1" t="s">
        <v>4587</v>
      </c>
      <c r="E1714" s="7">
        <v>1980</v>
      </c>
    </row>
    <row r="1715" spans="1:5" x14ac:dyDescent="0.25">
      <c r="A1715" s="5" t="s">
        <v>6</v>
      </c>
      <c r="B1715" s="5" t="s">
        <v>4588</v>
      </c>
      <c r="C1715" s="1" t="s">
        <v>3911</v>
      </c>
      <c r="D1715" s="1" t="s">
        <v>3912</v>
      </c>
      <c r="E1715" s="7">
        <v>2197</v>
      </c>
    </row>
    <row r="1716" spans="1:5" x14ac:dyDescent="0.25">
      <c r="A1716" s="5" t="s">
        <v>6</v>
      </c>
      <c r="B1716" s="5" t="s">
        <v>4589</v>
      </c>
      <c r="C1716" s="1" t="s">
        <v>3833</v>
      </c>
      <c r="D1716" s="1" t="s">
        <v>3834</v>
      </c>
      <c r="E1716" s="7">
        <v>2390</v>
      </c>
    </row>
    <row r="1717" spans="1:5" x14ac:dyDescent="0.25">
      <c r="A1717" s="5" t="s">
        <v>6</v>
      </c>
      <c r="B1717" s="5" t="s">
        <v>4590</v>
      </c>
      <c r="C1717" s="1" t="s">
        <v>4352</v>
      </c>
      <c r="D1717" s="1" t="s">
        <v>4353</v>
      </c>
      <c r="E1717" s="7">
        <v>1921</v>
      </c>
    </row>
    <row r="1718" spans="1:5" x14ac:dyDescent="0.25">
      <c r="A1718" s="5" t="s">
        <v>6</v>
      </c>
      <c r="B1718" s="5" t="s">
        <v>4591</v>
      </c>
      <c r="C1718" s="1" t="s">
        <v>4367</v>
      </c>
      <c r="D1718" s="1" t="s">
        <v>4368</v>
      </c>
      <c r="E1718" s="7">
        <v>3699</v>
      </c>
    </row>
    <row r="1719" spans="1:5" x14ac:dyDescent="0.25">
      <c r="A1719" s="5" t="s">
        <v>6</v>
      </c>
      <c r="B1719" s="5" t="s">
        <v>4592</v>
      </c>
      <c r="C1719" s="1" t="s">
        <v>4593</v>
      </c>
      <c r="D1719" s="1" t="s">
        <v>4594</v>
      </c>
      <c r="E1719" s="7">
        <v>16448</v>
      </c>
    </row>
    <row r="1720" spans="1:5" x14ac:dyDescent="0.25">
      <c r="A1720" s="5" t="s">
        <v>6</v>
      </c>
      <c r="B1720" s="5" t="s">
        <v>4595</v>
      </c>
      <c r="C1720" s="1" t="s">
        <v>4596</v>
      </c>
      <c r="D1720" s="1" t="s">
        <v>4597</v>
      </c>
      <c r="E1720" s="7">
        <v>28803</v>
      </c>
    </row>
    <row r="1721" spans="1:5" x14ac:dyDescent="0.25">
      <c r="A1721" s="5" t="s">
        <v>6</v>
      </c>
      <c r="B1721" s="5" t="s">
        <v>4598</v>
      </c>
      <c r="C1721" s="1" t="s">
        <v>4599</v>
      </c>
      <c r="D1721" s="1" t="s">
        <v>4600</v>
      </c>
      <c r="E1721" s="7">
        <v>35706</v>
      </c>
    </row>
    <row r="1722" spans="1:5" x14ac:dyDescent="0.25">
      <c r="A1722" s="5" t="s">
        <v>6</v>
      </c>
      <c r="B1722" s="5" t="s">
        <v>4601</v>
      </c>
      <c r="C1722" s="1" t="s">
        <v>4602</v>
      </c>
      <c r="D1722" s="1" t="s">
        <v>4603</v>
      </c>
      <c r="E1722" s="7">
        <v>32048</v>
      </c>
    </row>
    <row r="1723" spans="1:5" x14ac:dyDescent="0.25">
      <c r="A1723" s="5" t="s">
        <v>6</v>
      </c>
      <c r="B1723" s="5" t="s">
        <v>4604</v>
      </c>
      <c r="C1723" s="1" t="s">
        <v>4605</v>
      </c>
      <c r="D1723" s="1" t="s">
        <v>4606</v>
      </c>
      <c r="E1723" s="7">
        <v>19178</v>
      </c>
    </row>
    <row r="1724" spans="1:5" x14ac:dyDescent="0.25">
      <c r="A1724" s="5" t="s">
        <v>6</v>
      </c>
      <c r="B1724" s="5" t="s">
        <v>4607</v>
      </c>
      <c r="C1724" s="1" t="s">
        <v>4608</v>
      </c>
      <c r="D1724" s="1" t="s">
        <v>4609</v>
      </c>
      <c r="E1724" s="7">
        <v>34359</v>
      </c>
    </row>
    <row r="1725" spans="1:5" x14ac:dyDescent="0.25">
      <c r="A1725" s="5" t="s">
        <v>6</v>
      </c>
      <c r="B1725" s="5" t="s">
        <v>4610</v>
      </c>
      <c r="C1725" s="1" t="s">
        <v>4611</v>
      </c>
      <c r="D1725" s="1" t="s">
        <v>4612</v>
      </c>
      <c r="E1725" s="7">
        <v>13191</v>
      </c>
    </row>
    <row r="1726" spans="1:5" x14ac:dyDescent="0.25">
      <c r="A1726" s="5" t="s">
        <v>6</v>
      </c>
      <c r="B1726" s="5" t="s">
        <v>4613</v>
      </c>
      <c r="C1726" s="1" t="s">
        <v>4614</v>
      </c>
      <c r="D1726" s="1" t="s">
        <v>4615</v>
      </c>
      <c r="E1726" s="7">
        <v>31091</v>
      </c>
    </row>
    <row r="1727" spans="1:5" x14ac:dyDescent="0.25">
      <c r="A1727" s="5" t="s">
        <v>6</v>
      </c>
      <c r="B1727" s="5" t="s">
        <v>4616</v>
      </c>
      <c r="C1727" s="1" t="s">
        <v>3841</v>
      </c>
      <c r="D1727" s="1" t="s">
        <v>3842</v>
      </c>
      <c r="E1727" s="7">
        <v>33391</v>
      </c>
    </row>
    <row r="1728" spans="1:5" x14ac:dyDescent="0.25">
      <c r="A1728" s="5" t="s">
        <v>6</v>
      </c>
      <c r="B1728" s="5" t="s">
        <v>4617</v>
      </c>
      <c r="C1728" s="1" t="s">
        <v>3844</v>
      </c>
      <c r="D1728" s="1" t="s">
        <v>3842</v>
      </c>
      <c r="E1728" s="7">
        <v>28913</v>
      </c>
    </row>
    <row r="1729" spans="1:5" x14ac:dyDescent="0.25">
      <c r="A1729" s="5" t="s">
        <v>6</v>
      </c>
      <c r="B1729" s="5" t="s">
        <v>4618</v>
      </c>
      <c r="C1729" s="1" t="s">
        <v>4619</v>
      </c>
      <c r="D1729" s="1" t="s">
        <v>3842</v>
      </c>
      <c r="E1729" s="7">
        <v>27732</v>
      </c>
    </row>
    <row r="1730" spans="1:5" x14ac:dyDescent="0.25">
      <c r="A1730" s="5" t="s">
        <v>6</v>
      </c>
      <c r="B1730" s="5" t="s">
        <v>4620</v>
      </c>
      <c r="C1730" s="1" t="s">
        <v>4621</v>
      </c>
      <c r="D1730" s="1" t="s">
        <v>3842</v>
      </c>
      <c r="E1730" s="7">
        <v>30230</v>
      </c>
    </row>
    <row r="1731" spans="1:5" x14ac:dyDescent="0.25">
      <c r="A1731" s="5" t="s">
        <v>6</v>
      </c>
      <c r="B1731" s="5" t="s">
        <v>4622</v>
      </c>
      <c r="C1731" s="1" t="s">
        <v>4576</v>
      </c>
      <c r="D1731" s="1" t="s">
        <v>4577</v>
      </c>
      <c r="E1731" s="7">
        <v>2643</v>
      </c>
    </row>
    <row r="1732" spans="1:5" x14ac:dyDescent="0.25">
      <c r="A1732" s="5" t="s">
        <v>6</v>
      </c>
      <c r="B1732" s="5" t="s">
        <v>4623</v>
      </c>
      <c r="C1732" s="1" t="s">
        <v>3859</v>
      </c>
      <c r="D1732" s="1" t="s">
        <v>3860</v>
      </c>
      <c r="E1732" s="7">
        <v>6930</v>
      </c>
    </row>
    <row r="1733" spans="1:5" x14ac:dyDescent="0.25">
      <c r="A1733" s="5" t="s">
        <v>6</v>
      </c>
      <c r="B1733" s="5" t="s">
        <v>4624</v>
      </c>
      <c r="C1733" s="1" t="s">
        <v>4625</v>
      </c>
      <c r="D1733" s="1" t="s">
        <v>3860</v>
      </c>
      <c r="E1733" s="7">
        <v>5458</v>
      </c>
    </row>
    <row r="1734" spans="1:5" x14ac:dyDescent="0.25">
      <c r="A1734" s="5" t="s">
        <v>6</v>
      </c>
      <c r="B1734" s="5" t="s">
        <v>4626</v>
      </c>
      <c r="C1734" s="1" t="s">
        <v>4627</v>
      </c>
      <c r="D1734" s="1" t="s">
        <v>4628</v>
      </c>
      <c r="E1734" s="7">
        <v>9097</v>
      </c>
    </row>
    <row r="1735" spans="1:5" x14ac:dyDescent="0.25">
      <c r="A1735" s="5" t="s">
        <v>6</v>
      </c>
      <c r="B1735" s="5" t="s">
        <v>4629</v>
      </c>
      <c r="C1735" s="1" t="s">
        <v>4630</v>
      </c>
      <c r="D1735" s="1" t="s">
        <v>4631</v>
      </c>
      <c r="E1735" s="7">
        <v>4602</v>
      </c>
    </row>
    <row r="1736" spans="1:5" x14ac:dyDescent="0.25">
      <c r="A1736" s="5" t="s">
        <v>6</v>
      </c>
      <c r="B1736" s="5" t="s">
        <v>4632</v>
      </c>
      <c r="C1736" s="1" t="s">
        <v>4633</v>
      </c>
      <c r="D1736" s="1" t="s">
        <v>4634</v>
      </c>
      <c r="E1736" s="7">
        <v>6452</v>
      </c>
    </row>
    <row r="1737" spans="1:5" x14ac:dyDescent="0.25">
      <c r="A1737" s="5" t="s">
        <v>6</v>
      </c>
      <c r="B1737" s="5" t="s">
        <v>4635</v>
      </c>
      <c r="C1737" s="1" t="s">
        <v>4636</v>
      </c>
      <c r="D1737" s="1" t="s">
        <v>4637</v>
      </c>
      <c r="E1737" s="7">
        <v>3789</v>
      </c>
    </row>
    <row r="1738" spans="1:5" x14ac:dyDescent="0.25">
      <c r="A1738" s="5" t="s">
        <v>6</v>
      </c>
      <c r="B1738" s="5" t="s">
        <v>4638</v>
      </c>
      <c r="C1738" s="1" t="s">
        <v>4639</v>
      </c>
      <c r="D1738" s="1" t="s">
        <v>4637</v>
      </c>
      <c r="E1738" s="7">
        <v>7879</v>
      </c>
    </row>
    <row r="1739" spans="1:5" x14ac:dyDescent="0.25">
      <c r="A1739" s="5" t="s">
        <v>6</v>
      </c>
      <c r="B1739" s="5" t="s">
        <v>4640</v>
      </c>
      <c r="C1739" s="1" t="s">
        <v>4641</v>
      </c>
      <c r="D1739" s="1" t="s">
        <v>4642</v>
      </c>
      <c r="E1739" s="7">
        <v>8293</v>
      </c>
    </row>
    <row r="1740" spans="1:5" x14ac:dyDescent="0.25">
      <c r="A1740" s="5" t="s">
        <v>6</v>
      </c>
      <c r="B1740" s="5" t="s">
        <v>4643</v>
      </c>
      <c r="C1740" s="1" t="s">
        <v>4644</v>
      </c>
      <c r="D1740" s="1" t="s">
        <v>4645</v>
      </c>
      <c r="E1740" s="7">
        <v>4299</v>
      </c>
    </row>
    <row r="1741" spans="1:5" x14ac:dyDescent="0.25">
      <c r="A1741" s="5" t="s">
        <v>6</v>
      </c>
      <c r="B1741" s="5" t="s">
        <v>4646</v>
      </c>
      <c r="C1741" s="1" t="s">
        <v>4647</v>
      </c>
      <c r="D1741" s="1" t="s">
        <v>4648</v>
      </c>
      <c r="E1741" s="7">
        <v>5458</v>
      </c>
    </row>
    <row r="1742" spans="1:5" x14ac:dyDescent="0.25">
      <c r="A1742" s="5" t="s">
        <v>6</v>
      </c>
      <c r="B1742" s="5" t="s">
        <v>4649</v>
      </c>
      <c r="C1742" s="1" t="s">
        <v>4650</v>
      </c>
      <c r="D1742" s="1" t="s">
        <v>4651</v>
      </c>
      <c r="E1742" s="7">
        <v>5712</v>
      </c>
    </row>
    <row r="1743" spans="1:5" x14ac:dyDescent="0.25">
      <c r="A1743" s="5" t="s">
        <v>6</v>
      </c>
      <c r="B1743" s="5" t="s">
        <v>4652</v>
      </c>
      <c r="C1743" s="1" t="s">
        <v>4653</v>
      </c>
      <c r="D1743" s="1" t="s">
        <v>4654</v>
      </c>
      <c r="E1743" s="7">
        <v>4319</v>
      </c>
    </row>
    <row r="1744" spans="1:5" x14ac:dyDescent="0.25">
      <c r="A1744" s="5" t="s">
        <v>6</v>
      </c>
      <c r="B1744" s="5" t="s">
        <v>4655</v>
      </c>
      <c r="C1744" s="1" t="s">
        <v>4656</v>
      </c>
      <c r="D1744" s="1" t="s">
        <v>4657</v>
      </c>
      <c r="E1744" s="7">
        <v>761</v>
      </c>
    </row>
    <row r="1745" spans="1:5" x14ac:dyDescent="0.25">
      <c r="A1745" s="5" t="s">
        <v>6</v>
      </c>
      <c r="B1745" s="5" t="s">
        <v>4658</v>
      </c>
      <c r="C1745" s="1" t="s">
        <v>4659</v>
      </c>
      <c r="D1745" s="1" t="s">
        <v>4660</v>
      </c>
      <c r="E1745" s="7">
        <v>6180</v>
      </c>
    </row>
    <row r="1746" spans="1:5" x14ac:dyDescent="0.25">
      <c r="A1746" s="5" t="s">
        <v>6</v>
      </c>
      <c r="B1746" s="5" t="s">
        <v>4661</v>
      </c>
      <c r="C1746" s="1" t="s">
        <v>4662</v>
      </c>
      <c r="D1746" s="1" t="s">
        <v>4663</v>
      </c>
      <c r="E1746" s="7">
        <v>44520</v>
      </c>
    </row>
    <row r="1747" spans="1:5" x14ac:dyDescent="0.25">
      <c r="A1747" s="5" t="s">
        <v>6</v>
      </c>
      <c r="B1747" s="5" t="s">
        <v>4664</v>
      </c>
      <c r="C1747" s="1" t="s">
        <v>4665</v>
      </c>
      <c r="D1747" s="1" t="s">
        <v>4666</v>
      </c>
      <c r="E1747" s="7">
        <v>90243</v>
      </c>
    </row>
    <row r="1748" spans="1:5" x14ac:dyDescent="0.25">
      <c r="A1748" s="5" t="s">
        <v>6</v>
      </c>
      <c r="B1748" s="5" t="s">
        <v>4667</v>
      </c>
      <c r="C1748" s="1" t="s">
        <v>4668</v>
      </c>
      <c r="D1748" s="1" t="s">
        <v>4669</v>
      </c>
      <c r="E1748" s="7">
        <v>44520</v>
      </c>
    </row>
    <row r="1749" spans="1:5" x14ac:dyDescent="0.25">
      <c r="A1749" s="5" t="s">
        <v>6</v>
      </c>
      <c r="B1749" s="5" t="s">
        <v>4670</v>
      </c>
      <c r="C1749" s="1" t="s">
        <v>4671</v>
      </c>
      <c r="D1749" s="1" t="s">
        <v>4672</v>
      </c>
      <c r="E1749" s="7">
        <v>90243</v>
      </c>
    </row>
    <row r="1750" spans="1:5" x14ac:dyDescent="0.25">
      <c r="A1750" s="5" t="s">
        <v>6</v>
      </c>
      <c r="B1750" s="5" t="s">
        <v>4673</v>
      </c>
      <c r="C1750" s="1" t="s">
        <v>4674</v>
      </c>
      <c r="D1750" s="1" t="s">
        <v>4675</v>
      </c>
      <c r="E1750" s="7">
        <v>127719</v>
      </c>
    </row>
    <row r="1751" spans="1:5" x14ac:dyDescent="0.25">
      <c r="A1751" s="5" t="s">
        <v>6</v>
      </c>
      <c r="B1751" s="5" t="s">
        <v>4676</v>
      </c>
      <c r="C1751" s="1" t="s">
        <v>4677</v>
      </c>
      <c r="D1751" s="1" t="s">
        <v>4678</v>
      </c>
      <c r="E1751" s="7">
        <v>5911</v>
      </c>
    </row>
    <row r="1752" spans="1:5" x14ac:dyDescent="0.25">
      <c r="A1752" s="5" t="s">
        <v>6</v>
      </c>
      <c r="B1752" s="5" t="s">
        <v>4679</v>
      </c>
      <c r="C1752" s="1" t="s">
        <v>4680</v>
      </c>
      <c r="D1752" s="1" t="s">
        <v>4681</v>
      </c>
      <c r="E1752" s="7">
        <v>6967</v>
      </c>
    </row>
    <row r="1753" spans="1:5" x14ac:dyDescent="0.25">
      <c r="A1753" s="5" t="s">
        <v>6</v>
      </c>
      <c r="B1753" s="5" t="s">
        <v>4682</v>
      </c>
      <c r="C1753" s="1" t="s">
        <v>4683</v>
      </c>
      <c r="D1753" s="1" t="s">
        <v>4684</v>
      </c>
      <c r="E1753" s="7">
        <v>6967</v>
      </c>
    </row>
    <row r="1754" spans="1:5" x14ac:dyDescent="0.25">
      <c r="A1754" s="5" t="s">
        <v>6</v>
      </c>
      <c r="B1754" s="5" t="s">
        <v>4685</v>
      </c>
      <c r="C1754" s="1" t="s">
        <v>3862</v>
      </c>
      <c r="D1754" s="1" t="s">
        <v>3863</v>
      </c>
      <c r="E1754" s="7">
        <v>3945</v>
      </c>
    </row>
    <row r="1755" spans="1:5" x14ac:dyDescent="0.25">
      <c r="A1755" s="5" t="s">
        <v>6</v>
      </c>
      <c r="B1755" s="5" t="s">
        <v>4686</v>
      </c>
      <c r="C1755" s="1" t="s">
        <v>4687</v>
      </c>
      <c r="D1755" s="1" t="s">
        <v>4688</v>
      </c>
      <c r="E1755" s="7">
        <v>1312</v>
      </c>
    </row>
    <row r="1756" spans="1:5" x14ac:dyDescent="0.25">
      <c r="A1756" s="5" t="s">
        <v>6</v>
      </c>
      <c r="B1756" s="5" t="s">
        <v>4689</v>
      </c>
      <c r="C1756" s="1" t="s">
        <v>4690</v>
      </c>
      <c r="D1756" s="1" t="s">
        <v>4691</v>
      </c>
      <c r="E1756" s="7">
        <v>30305</v>
      </c>
    </row>
    <row r="1757" spans="1:5" x14ac:dyDescent="0.25">
      <c r="A1757" s="5" t="s">
        <v>6</v>
      </c>
      <c r="B1757" s="5" t="s">
        <v>4692</v>
      </c>
      <c r="C1757" s="1" t="s">
        <v>4693</v>
      </c>
      <c r="D1757" s="1" t="s">
        <v>4694</v>
      </c>
      <c r="E1757" s="7">
        <v>30236</v>
      </c>
    </row>
    <row r="1758" spans="1:5" x14ac:dyDescent="0.25">
      <c r="A1758" s="5" t="s">
        <v>6</v>
      </c>
      <c r="B1758" s="5" t="s">
        <v>4695</v>
      </c>
      <c r="C1758" s="1" t="s">
        <v>3874</v>
      </c>
      <c r="D1758" s="1" t="s">
        <v>3875</v>
      </c>
      <c r="E1758" s="7">
        <v>48166</v>
      </c>
    </row>
    <row r="1759" spans="1:5" x14ac:dyDescent="0.25">
      <c r="A1759" s="5" t="s">
        <v>6</v>
      </c>
      <c r="B1759" s="5" t="s">
        <v>4696</v>
      </c>
      <c r="C1759" s="1" t="s">
        <v>4697</v>
      </c>
      <c r="D1759" s="1" t="s">
        <v>4698</v>
      </c>
      <c r="E1759" s="7">
        <v>25556</v>
      </c>
    </row>
    <row r="1760" spans="1:5" x14ac:dyDescent="0.25">
      <c r="A1760" s="5" t="s">
        <v>6</v>
      </c>
      <c r="B1760" s="5" t="s">
        <v>4699</v>
      </c>
      <c r="C1760" s="1" t="s">
        <v>4700</v>
      </c>
      <c r="D1760" s="1" t="s">
        <v>4701</v>
      </c>
      <c r="E1760" s="7">
        <v>32169</v>
      </c>
    </row>
    <row r="1761" spans="1:5" x14ac:dyDescent="0.25">
      <c r="A1761" s="5" t="s">
        <v>6</v>
      </c>
      <c r="B1761" s="5" t="s">
        <v>4702</v>
      </c>
      <c r="C1761" s="1" t="s">
        <v>3877</v>
      </c>
      <c r="D1761" s="1" t="s">
        <v>4703</v>
      </c>
      <c r="E1761" s="7">
        <v>15654</v>
      </c>
    </row>
    <row r="1762" spans="1:5" x14ac:dyDescent="0.25">
      <c r="A1762" s="5" t="s">
        <v>6</v>
      </c>
      <c r="B1762" s="5" t="s">
        <v>4704</v>
      </c>
      <c r="C1762" s="1" t="s">
        <v>3880</v>
      </c>
      <c r="D1762" s="1" t="s">
        <v>3881</v>
      </c>
      <c r="E1762" s="7">
        <v>11534</v>
      </c>
    </row>
    <row r="1763" spans="1:5" x14ac:dyDescent="0.25">
      <c r="A1763" s="5" t="s">
        <v>6</v>
      </c>
      <c r="B1763" s="5" t="s">
        <v>4705</v>
      </c>
      <c r="C1763" s="1" t="s">
        <v>3883</v>
      </c>
      <c r="D1763" s="1" t="s">
        <v>3881</v>
      </c>
      <c r="E1763" s="7">
        <v>7421</v>
      </c>
    </row>
    <row r="1764" spans="1:5" x14ac:dyDescent="0.25">
      <c r="A1764" s="5" t="s">
        <v>6</v>
      </c>
      <c r="B1764" s="5" t="s">
        <v>4706</v>
      </c>
      <c r="C1764" s="1" t="s">
        <v>3885</v>
      </c>
      <c r="D1764" s="1" t="s">
        <v>3881</v>
      </c>
      <c r="E1764" s="7">
        <v>9415</v>
      </c>
    </row>
    <row r="1765" spans="1:5" x14ac:dyDescent="0.25">
      <c r="A1765" s="5" t="s">
        <v>6</v>
      </c>
      <c r="B1765" s="5" t="s">
        <v>4707</v>
      </c>
      <c r="C1765" s="1" t="s">
        <v>3887</v>
      </c>
      <c r="D1765" s="1" t="s">
        <v>3888</v>
      </c>
      <c r="E1765" s="7">
        <v>11818</v>
      </c>
    </row>
    <row r="1766" spans="1:5" x14ac:dyDescent="0.25">
      <c r="A1766" s="5" t="s">
        <v>6</v>
      </c>
      <c r="B1766" s="5" t="s">
        <v>4708</v>
      </c>
      <c r="C1766" s="1" t="s">
        <v>4709</v>
      </c>
      <c r="D1766" s="1" t="s">
        <v>4710</v>
      </c>
      <c r="E1766" s="7">
        <v>18744</v>
      </c>
    </row>
    <row r="1767" spans="1:5" x14ac:dyDescent="0.25">
      <c r="A1767" s="5" t="s">
        <v>6</v>
      </c>
      <c r="B1767" s="5" t="s">
        <v>4711</v>
      </c>
      <c r="C1767" s="1" t="s">
        <v>4712</v>
      </c>
      <c r="D1767" s="1" t="s">
        <v>4713</v>
      </c>
      <c r="E1767" s="7">
        <v>22762</v>
      </c>
    </row>
    <row r="1768" spans="1:5" x14ac:dyDescent="0.25">
      <c r="A1768" s="5" t="s">
        <v>6</v>
      </c>
      <c r="B1768" s="5" t="s">
        <v>4714</v>
      </c>
      <c r="C1768" s="1" t="s">
        <v>3890</v>
      </c>
      <c r="D1768" s="1" t="s">
        <v>3891</v>
      </c>
      <c r="E1768" s="7">
        <v>39932</v>
      </c>
    </row>
    <row r="1769" spans="1:5" x14ac:dyDescent="0.25">
      <c r="A1769" s="5" t="s">
        <v>6</v>
      </c>
      <c r="B1769" s="5" t="s">
        <v>4715</v>
      </c>
      <c r="C1769" s="1" t="s">
        <v>3893</v>
      </c>
      <c r="D1769" s="1" t="s">
        <v>3894</v>
      </c>
      <c r="E1769" s="7">
        <v>20163</v>
      </c>
    </row>
    <row r="1770" spans="1:5" x14ac:dyDescent="0.25">
      <c r="A1770" s="5" t="s">
        <v>6</v>
      </c>
      <c r="B1770" s="5" t="s">
        <v>4716</v>
      </c>
      <c r="C1770" s="1" t="s">
        <v>3896</v>
      </c>
      <c r="D1770" s="1" t="s">
        <v>3897</v>
      </c>
      <c r="E1770" s="7">
        <v>52113</v>
      </c>
    </row>
    <row r="1771" spans="1:5" x14ac:dyDescent="0.25">
      <c r="A1771" s="5" t="s">
        <v>6</v>
      </c>
      <c r="B1771" s="5" t="s">
        <v>4717</v>
      </c>
      <c r="C1771" s="1" t="s">
        <v>4718</v>
      </c>
      <c r="D1771" s="1" t="s">
        <v>3894</v>
      </c>
      <c r="E1771" s="7">
        <v>17694</v>
      </c>
    </row>
    <row r="1772" spans="1:5" x14ac:dyDescent="0.25">
      <c r="A1772" s="5" t="s">
        <v>6</v>
      </c>
      <c r="B1772" s="5" t="s">
        <v>4719</v>
      </c>
      <c r="C1772" s="1" t="s">
        <v>4720</v>
      </c>
      <c r="D1772" s="1" t="s">
        <v>4721</v>
      </c>
      <c r="E1772" s="7">
        <v>39379</v>
      </c>
    </row>
    <row r="1773" spans="1:5" x14ac:dyDescent="0.25">
      <c r="A1773" s="5" t="s">
        <v>6</v>
      </c>
      <c r="B1773" s="5" t="s">
        <v>4722</v>
      </c>
      <c r="C1773" s="1" t="s">
        <v>3899</v>
      </c>
      <c r="D1773" s="1" t="s">
        <v>3900</v>
      </c>
      <c r="E1773" s="7">
        <v>38348</v>
      </c>
    </row>
    <row r="1774" spans="1:5" x14ac:dyDescent="0.25">
      <c r="A1774" s="5" t="s">
        <v>6</v>
      </c>
      <c r="B1774" s="5" t="s">
        <v>4723</v>
      </c>
      <c r="C1774" s="1" t="s">
        <v>4724</v>
      </c>
      <c r="D1774" s="1" t="s">
        <v>4725</v>
      </c>
      <c r="E1774" s="7">
        <v>42450</v>
      </c>
    </row>
    <row r="1775" spans="1:5" x14ac:dyDescent="0.25">
      <c r="A1775" s="5" t="s">
        <v>6</v>
      </c>
      <c r="B1775" s="5" t="s">
        <v>4726</v>
      </c>
      <c r="C1775" s="1" t="s">
        <v>4727</v>
      </c>
      <c r="D1775" s="1" t="s">
        <v>4728</v>
      </c>
      <c r="E1775" s="7">
        <v>38348</v>
      </c>
    </row>
    <row r="1776" spans="1:5" x14ac:dyDescent="0.25">
      <c r="A1776" s="5" t="s">
        <v>6</v>
      </c>
      <c r="B1776" s="5" t="s">
        <v>4729</v>
      </c>
      <c r="C1776" s="1" t="s">
        <v>3902</v>
      </c>
      <c r="D1776" s="1" t="s">
        <v>3903</v>
      </c>
      <c r="E1776" s="7">
        <v>42827</v>
      </c>
    </row>
    <row r="1777" spans="1:5" x14ac:dyDescent="0.25">
      <c r="A1777" s="5" t="s">
        <v>6</v>
      </c>
      <c r="B1777" s="5" t="s">
        <v>4730</v>
      </c>
      <c r="C1777" s="1" t="s">
        <v>3905</v>
      </c>
      <c r="D1777" s="1" t="s">
        <v>3906</v>
      </c>
      <c r="E1777" s="7">
        <v>42827</v>
      </c>
    </row>
    <row r="1778" spans="1:5" x14ac:dyDescent="0.25">
      <c r="A1778" s="5" t="s">
        <v>6</v>
      </c>
      <c r="B1778" s="5" t="s">
        <v>4731</v>
      </c>
      <c r="C1778" s="1" t="s">
        <v>4732</v>
      </c>
      <c r="D1778" s="1" t="s">
        <v>4733</v>
      </c>
      <c r="E1778" s="7">
        <v>25836</v>
      </c>
    </row>
    <row r="1779" spans="1:5" x14ac:dyDescent="0.25">
      <c r="A1779" s="5" t="s">
        <v>6</v>
      </c>
      <c r="B1779" s="5" t="s">
        <v>4734</v>
      </c>
      <c r="C1779" s="1" t="s">
        <v>4735</v>
      </c>
      <c r="D1779" s="1" t="s">
        <v>4736</v>
      </c>
      <c r="E1779" s="7">
        <v>17032</v>
      </c>
    </row>
    <row r="1780" spans="1:5" x14ac:dyDescent="0.25">
      <c r="A1780" s="5" t="s">
        <v>6</v>
      </c>
      <c r="B1780" s="5" t="s">
        <v>4737</v>
      </c>
      <c r="C1780" s="1" t="s">
        <v>4738</v>
      </c>
      <c r="D1780" s="1" t="s">
        <v>4739</v>
      </c>
      <c r="E1780" s="7">
        <v>10838</v>
      </c>
    </row>
    <row r="1781" spans="1:5" x14ac:dyDescent="0.25">
      <c r="A1781" s="5" t="s">
        <v>6</v>
      </c>
      <c r="B1781" s="5" t="s">
        <v>4740</v>
      </c>
      <c r="C1781" s="1" t="s">
        <v>4741</v>
      </c>
      <c r="D1781" s="1" t="s">
        <v>4742</v>
      </c>
      <c r="E1781" s="7">
        <v>11672</v>
      </c>
    </row>
    <row r="1782" spans="1:5" x14ac:dyDescent="0.25">
      <c r="A1782" s="5" t="s">
        <v>6</v>
      </c>
      <c r="B1782" s="5" t="s">
        <v>4743</v>
      </c>
      <c r="C1782" s="1" t="s">
        <v>4744</v>
      </c>
      <c r="D1782" s="1" t="s">
        <v>4745</v>
      </c>
      <c r="E1782" s="7">
        <v>9720</v>
      </c>
    </row>
    <row r="1783" spans="1:5" x14ac:dyDescent="0.25">
      <c r="A1783" s="5" t="s">
        <v>6</v>
      </c>
      <c r="B1783" s="5" t="s">
        <v>4746</v>
      </c>
      <c r="C1783" s="1" t="s">
        <v>4747</v>
      </c>
      <c r="D1783" s="1" t="s">
        <v>4748</v>
      </c>
      <c r="E1783" s="7">
        <v>2415</v>
      </c>
    </row>
    <row r="1784" spans="1:5" x14ac:dyDescent="0.25">
      <c r="A1784" s="5" t="s">
        <v>6</v>
      </c>
      <c r="B1784" s="5" t="s">
        <v>4749</v>
      </c>
      <c r="C1784" s="1" t="s">
        <v>4750</v>
      </c>
      <c r="D1784" s="1" t="s">
        <v>4751</v>
      </c>
      <c r="E1784" s="7">
        <v>359</v>
      </c>
    </row>
    <row r="1785" spans="1:5" x14ac:dyDescent="0.25">
      <c r="A1785" s="5" t="s">
        <v>6</v>
      </c>
      <c r="B1785" s="5" t="s">
        <v>4752</v>
      </c>
      <c r="C1785" s="1" t="s">
        <v>4753</v>
      </c>
      <c r="D1785" s="1" t="s">
        <v>4754</v>
      </c>
      <c r="E1785" s="7">
        <v>2305</v>
      </c>
    </row>
    <row r="1786" spans="1:5" x14ac:dyDescent="0.25">
      <c r="A1786" s="5" t="s">
        <v>6</v>
      </c>
      <c r="B1786" s="5" t="s">
        <v>4755</v>
      </c>
      <c r="C1786" s="1" t="s">
        <v>4756</v>
      </c>
      <c r="D1786" s="1" t="s">
        <v>4757</v>
      </c>
      <c r="E1786" s="7">
        <v>17951</v>
      </c>
    </row>
    <row r="1787" spans="1:5" x14ac:dyDescent="0.25">
      <c r="A1787" s="5" t="s">
        <v>6</v>
      </c>
      <c r="B1787" s="5" t="s">
        <v>4758</v>
      </c>
      <c r="C1787" s="1" t="s">
        <v>4385</v>
      </c>
      <c r="D1787" s="1" t="s">
        <v>4386</v>
      </c>
      <c r="E1787" s="7">
        <v>823</v>
      </c>
    </row>
    <row r="1788" spans="1:5" x14ac:dyDescent="0.25">
      <c r="A1788" s="5" t="s">
        <v>6</v>
      </c>
      <c r="B1788" s="5" t="s">
        <v>4759</v>
      </c>
      <c r="C1788" s="1" t="s">
        <v>4760</v>
      </c>
      <c r="D1788" s="1" t="s">
        <v>4761</v>
      </c>
      <c r="E1788" s="7">
        <v>6633</v>
      </c>
    </row>
    <row r="1789" spans="1:5" x14ac:dyDescent="0.25">
      <c r="A1789" s="5" t="s">
        <v>6</v>
      </c>
      <c r="B1789" s="5" t="s">
        <v>4762</v>
      </c>
      <c r="C1789" s="1" t="s">
        <v>4763</v>
      </c>
      <c r="D1789" s="1" t="s">
        <v>4764</v>
      </c>
      <c r="E1789" s="7">
        <v>6713</v>
      </c>
    </row>
    <row r="1790" spans="1:5" x14ac:dyDescent="0.25">
      <c r="A1790" s="5" t="s">
        <v>6</v>
      </c>
      <c r="B1790" s="5" t="s">
        <v>4765</v>
      </c>
      <c r="C1790" s="1" t="s">
        <v>4766</v>
      </c>
      <c r="D1790" s="1" t="s">
        <v>4767</v>
      </c>
      <c r="E1790" s="7">
        <v>5294</v>
      </c>
    </row>
    <row r="1791" spans="1:5" x14ac:dyDescent="0.25">
      <c r="A1791" s="5" t="s">
        <v>6</v>
      </c>
      <c r="B1791" s="5" t="s">
        <v>4768</v>
      </c>
      <c r="C1791" s="1" t="s">
        <v>4769</v>
      </c>
      <c r="D1791" s="1" t="s">
        <v>4770</v>
      </c>
      <c r="E1791" s="7">
        <v>4997</v>
      </c>
    </row>
    <row r="1792" spans="1:5" x14ac:dyDescent="0.25">
      <c r="A1792" s="5" t="s">
        <v>6</v>
      </c>
      <c r="B1792" s="5" t="s">
        <v>4771</v>
      </c>
      <c r="C1792" s="1" t="s">
        <v>4772</v>
      </c>
      <c r="D1792" s="1" t="s">
        <v>4773</v>
      </c>
      <c r="E1792" s="7">
        <v>6063</v>
      </c>
    </row>
    <row r="1793" spans="1:5" x14ac:dyDescent="0.25">
      <c r="A1793" s="5" t="s">
        <v>6</v>
      </c>
      <c r="B1793" s="5" t="s">
        <v>4774</v>
      </c>
      <c r="C1793" s="1" t="s">
        <v>4775</v>
      </c>
      <c r="D1793" s="1" t="s">
        <v>4776</v>
      </c>
      <c r="E1793" s="7">
        <v>4919</v>
      </c>
    </row>
    <row r="1794" spans="1:5" x14ac:dyDescent="0.25">
      <c r="A1794" s="5" t="s">
        <v>6</v>
      </c>
      <c r="B1794" s="5" t="s">
        <v>4777</v>
      </c>
      <c r="C1794" s="1" t="s">
        <v>4778</v>
      </c>
      <c r="D1794" s="1" t="s">
        <v>4779</v>
      </c>
      <c r="E1794" s="7">
        <v>5713</v>
      </c>
    </row>
    <row r="1795" spans="1:5" x14ac:dyDescent="0.25">
      <c r="A1795" s="5" t="s">
        <v>6</v>
      </c>
      <c r="B1795" s="5" t="s">
        <v>4780</v>
      </c>
      <c r="C1795" s="1" t="s">
        <v>4781</v>
      </c>
      <c r="D1795" s="1" t="s">
        <v>4782</v>
      </c>
      <c r="E1795" s="7">
        <v>2127</v>
      </c>
    </row>
    <row r="1796" spans="1:5" x14ac:dyDescent="0.25">
      <c r="A1796" s="5" t="s">
        <v>6</v>
      </c>
      <c r="B1796" s="5" t="s">
        <v>4783</v>
      </c>
      <c r="C1796" s="1" t="s">
        <v>4394</v>
      </c>
      <c r="D1796" s="1" t="s">
        <v>4784</v>
      </c>
      <c r="E1796" s="7">
        <v>381</v>
      </c>
    </row>
    <row r="1797" spans="1:5" x14ac:dyDescent="0.25">
      <c r="A1797" s="5" t="s">
        <v>6</v>
      </c>
      <c r="B1797" s="5" t="s">
        <v>4785</v>
      </c>
      <c r="C1797" s="1" t="s">
        <v>4786</v>
      </c>
      <c r="D1797" s="1" t="s">
        <v>4441</v>
      </c>
      <c r="E1797" s="7">
        <v>2193</v>
      </c>
    </row>
    <row r="1798" spans="1:5" x14ac:dyDescent="0.25">
      <c r="A1798" s="5" t="s">
        <v>6</v>
      </c>
      <c r="B1798" s="5" t="s">
        <v>4787</v>
      </c>
      <c r="C1798" s="1" t="s">
        <v>4426</v>
      </c>
      <c r="D1798" s="1" t="s">
        <v>4427</v>
      </c>
      <c r="E1798" s="7">
        <v>1966</v>
      </c>
    </row>
    <row r="1799" spans="1:5" x14ac:dyDescent="0.25">
      <c r="A1799" s="5" t="s">
        <v>6</v>
      </c>
      <c r="B1799" s="5" t="s">
        <v>4788</v>
      </c>
      <c r="C1799" s="1" t="s">
        <v>4789</v>
      </c>
      <c r="D1799" s="1" t="s">
        <v>4790</v>
      </c>
      <c r="E1799" s="7">
        <v>4525</v>
      </c>
    </row>
    <row r="1800" spans="1:5" x14ac:dyDescent="0.25">
      <c r="A1800" s="5" t="s">
        <v>6</v>
      </c>
      <c r="B1800" s="5" t="s">
        <v>4791</v>
      </c>
      <c r="C1800" s="1" t="s">
        <v>4792</v>
      </c>
      <c r="D1800" s="1" t="s">
        <v>4793</v>
      </c>
      <c r="E1800" s="7">
        <v>3097</v>
      </c>
    </row>
    <row r="1801" spans="1:5" x14ac:dyDescent="0.25">
      <c r="A1801" s="5" t="s">
        <v>6</v>
      </c>
      <c r="B1801" s="5" t="s">
        <v>4794</v>
      </c>
      <c r="C1801" s="1" t="s">
        <v>4795</v>
      </c>
      <c r="D1801" s="1" t="s">
        <v>4796</v>
      </c>
      <c r="E1801" s="7">
        <v>1236</v>
      </c>
    </row>
    <row r="1802" spans="1:5" x14ac:dyDescent="0.25">
      <c r="A1802" s="5" t="s">
        <v>6</v>
      </c>
      <c r="B1802" s="5" t="s">
        <v>4797</v>
      </c>
      <c r="C1802" s="1" t="s">
        <v>4798</v>
      </c>
      <c r="D1802" s="1" t="s">
        <v>4799</v>
      </c>
      <c r="E1802" s="7">
        <v>93127</v>
      </c>
    </row>
    <row r="1803" spans="1:5" x14ac:dyDescent="0.25">
      <c r="A1803" s="5" t="s">
        <v>6</v>
      </c>
      <c r="B1803" s="5" t="s">
        <v>4800</v>
      </c>
      <c r="C1803" s="1" t="s">
        <v>4801</v>
      </c>
      <c r="D1803" s="1" t="s">
        <v>4799</v>
      </c>
      <c r="E1803" s="7">
        <v>94407</v>
      </c>
    </row>
    <row r="1804" spans="1:5" x14ac:dyDescent="0.25">
      <c r="A1804" s="5" t="s">
        <v>6</v>
      </c>
      <c r="B1804" s="5" t="s">
        <v>4802</v>
      </c>
      <c r="C1804" s="1" t="s">
        <v>3914</v>
      </c>
      <c r="D1804" s="1" t="s">
        <v>3915</v>
      </c>
      <c r="E1804" s="7">
        <v>4078</v>
      </c>
    </row>
    <row r="1805" spans="1:5" x14ac:dyDescent="0.25">
      <c r="A1805" s="5" t="s">
        <v>6</v>
      </c>
      <c r="B1805" s="5" t="s">
        <v>4803</v>
      </c>
      <c r="C1805" s="1" t="s">
        <v>3917</v>
      </c>
      <c r="D1805" s="1" t="s">
        <v>3918</v>
      </c>
      <c r="E1805" s="7">
        <v>3038</v>
      </c>
    </row>
    <row r="1806" spans="1:5" x14ac:dyDescent="0.25">
      <c r="A1806" s="5" t="s">
        <v>6</v>
      </c>
      <c r="B1806" s="5" t="s">
        <v>4804</v>
      </c>
      <c r="C1806" s="1" t="s">
        <v>3920</v>
      </c>
      <c r="D1806" s="1" t="s">
        <v>3918</v>
      </c>
      <c r="E1806" s="7">
        <v>5019</v>
      </c>
    </row>
    <row r="1807" spans="1:5" x14ac:dyDescent="0.25">
      <c r="A1807" s="5" t="s">
        <v>6</v>
      </c>
      <c r="B1807" s="5" t="s">
        <v>4805</v>
      </c>
      <c r="C1807" s="1" t="s">
        <v>3922</v>
      </c>
      <c r="D1807" s="1" t="s">
        <v>3918</v>
      </c>
      <c r="E1807" s="7">
        <v>4594</v>
      </c>
    </row>
    <row r="1808" spans="1:5" x14ac:dyDescent="0.25">
      <c r="A1808" s="5" t="s">
        <v>6</v>
      </c>
      <c r="B1808" s="5" t="s">
        <v>4806</v>
      </c>
      <c r="C1808" s="1" t="s">
        <v>3924</v>
      </c>
      <c r="D1808" s="1" t="s">
        <v>3918</v>
      </c>
      <c r="E1808" s="7">
        <v>6214</v>
      </c>
    </row>
    <row r="1809" spans="1:5" x14ac:dyDescent="0.25">
      <c r="A1809" s="5" t="s">
        <v>6</v>
      </c>
      <c r="B1809" s="5" t="s">
        <v>4807</v>
      </c>
      <c r="C1809" s="1" t="s">
        <v>4808</v>
      </c>
      <c r="D1809" s="1" t="s">
        <v>3918</v>
      </c>
      <c r="E1809" s="7">
        <v>2384</v>
      </c>
    </row>
    <row r="1810" spans="1:5" x14ac:dyDescent="0.25">
      <c r="A1810" s="5" t="s">
        <v>6</v>
      </c>
      <c r="B1810" s="5" t="s">
        <v>4809</v>
      </c>
      <c r="C1810" s="1" t="s">
        <v>3926</v>
      </c>
      <c r="D1810" s="1" t="s">
        <v>3918</v>
      </c>
      <c r="E1810" s="7">
        <v>4346</v>
      </c>
    </row>
    <row r="1811" spans="1:5" x14ac:dyDescent="0.25">
      <c r="A1811" s="5" t="s">
        <v>6</v>
      </c>
      <c r="B1811" s="5" t="s">
        <v>4810</v>
      </c>
      <c r="C1811" s="1" t="s">
        <v>3928</v>
      </c>
      <c r="D1811" s="1" t="s">
        <v>3918</v>
      </c>
      <c r="E1811" s="7">
        <v>4073</v>
      </c>
    </row>
    <row r="1812" spans="1:5" x14ac:dyDescent="0.25">
      <c r="A1812" s="5" t="s">
        <v>6</v>
      </c>
      <c r="B1812" s="5" t="s">
        <v>4811</v>
      </c>
      <c r="C1812" s="1" t="s">
        <v>3930</v>
      </c>
      <c r="D1812" s="1" t="s">
        <v>3918</v>
      </c>
      <c r="E1812" s="7">
        <v>5082</v>
      </c>
    </row>
    <row r="1813" spans="1:5" x14ac:dyDescent="0.25">
      <c r="A1813" s="5" t="s">
        <v>6</v>
      </c>
      <c r="B1813" s="5" t="s">
        <v>4812</v>
      </c>
      <c r="C1813" s="1" t="s">
        <v>3934</v>
      </c>
      <c r="D1813" s="1" t="s">
        <v>4813</v>
      </c>
      <c r="E1813" s="7">
        <v>3986</v>
      </c>
    </row>
    <row r="1814" spans="1:5" x14ac:dyDescent="0.25">
      <c r="A1814" s="5" t="s">
        <v>6</v>
      </c>
      <c r="B1814" s="5" t="s">
        <v>4814</v>
      </c>
      <c r="C1814" s="1" t="s">
        <v>3836</v>
      </c>
      <c r="D1814" s="1" t="s">
        <v>3837</v>
      </c>
      <c r="E1814" s="7">
        <v>3950</v>
      </c>
    </row>
    <row r="1815" spans="1:5" x14ac:dyDescent="0.25">
      <c r="A1815" s="5" t="s">
        <v>6</v>
      </c>
      <c r="B1815" s="5" t="s">
        <v>4815</v>
      </c>
      <c r="C1815" s="1" t="s">
        <v>3839</v>
      </c>
      <c r="D1815" s="1" t="s">
        <v>3837</v>
      </c>
      <c r="E1815" s="7">
        <v>4351</v>
      </c>
    </row>
    <row r="1816" spans="1:5" x14ac:dyDescent="0.25">
      <c r="A1816" s="5" t="s">
        <v>6</v>
      </c>
      <c r="B1816" s="5" t="s">
        <v>4816</v>
      </c>
      <c r="C1816" s="1" t="s">
        <v>4817</v>
      </c>
      <c r="D1816" s="1" t="s">
        <v>4818</v>
      </c>
      <c r="E1816" s="7">
        <v>3123</v>
      </c>
    </row>
    <row r="1817" spans="1:5" x14ac:dyDescent="0.25">
      <c r="A1817" s="5" t="s">
        <v>6</v>
      </c>
      <c r="B1817" s="5" t="s">
        <v>4819</v>
      </c>
      <c r="C1817" s="1" t="s">
        <v>4820</v>
      </c>
      <c r="D1817" s="1" t="s">
        <v>4821</v>
      </c>
      <c r="E1817" s="7">
        <v>3997</v>
      </c>
    </row>
    <row r="1818" spans="1:5" x14ac:dyDescent="0.25">
      <c r="A1818" s="5" t="s">
        <v>6</v>
      </c>
      <c r="B1818" s="5" t="s">
        <v>4822</v>
      </c>
      <c r="C1818" s="1" t="s">
        <v>3466</v>
      </c>
      <c r="D1818" s="1" t="s">
        <v>3467</v>
      </c>
      <c r="E1818" s="7">
        <v>25353</v>
      </c>
    </row>
    <row r="1819" spans="1:5" x14ac:dyDescent="0.25">
      <c r="A1819" s="5" t="s">
        <v>6</v>
      </c>
      <c r="B1819" s="5" t="s">
        <v>4823</v>
      </c>
      <c r="C1819" s="1" t="s">
        <v>3472</v>
      </c>
      <c r="D1819" s="1" t="s">
        <v>3473</v>
      </c>
      <c r="E1819" s="7">
        <v>25602</v>
      </c>
    </row>
    <row r="1820" spans="1:5" x14ac:dyDescent="0.25">
      <c r="A1820" s="5" t="s">
        <v>6</v>
      </c>
      <c r="B1820" s="5" t="s">
        <v>4824</v>
      </c>
      <c r="C1820" s="1" t="s">
        <v>3475</v>
      </c>
      <c r="D1820" s="1" t="s">
        <v>3476</v>
      </c>
      <c r="E1820" s="7">
        <v>22131</v>
      </c>
    </row>
    <row r="1821" spans="1:5" x14ac:dyDescent="0.25">
      <c r="A1821" s="5" t="s">
        <v>6</v>
      </c>
      <c r="B1821" s="5" t="s">
        <v>4825</v>
      </c>
      <c r="C1821" s="1" t="s">
        <v>3478</v>
      </c>
      <c r="D1821" s="1" t="s">
        <v>3479</v>
      </c>
      <c r="E1821" s="7">
        <v>17060</v>
      </c>
    </row>
    <row r="1822" spans="1:5" x14ac:dyDescent="0.25">
      <c r="A1822" s="5" t="s">
        <v>6</v>
      </c>
      <c r="B1822" s="5" t="s">
        <v>4826</v>
      </c>
      <c r="C1822" s="1" t="s">
        <v>3481</v>
      </c>
      <c r="D1822" s="1" t="s">
        <v>3482</v>
      </c>
      <c r="E1822" s="7">
        <v>25602</v>
      </c>
    </row>
    <row r="1823" spans="1:5" x14ac:dyDescent="0.25">
      <c r="A1823" s="5" t="s">
        <v>6</v>
      </c>
      <c r="B1823" s="5" t="s">
        <v>4827</v>
      </c>
      <c r="C1823" s="1" t="s">
        <v>3484</v>
      </c>
      <c r="D1823" s="1" t="s">
        <v>3485</v>
      </c>
      <c r="E1823" s="7">
        <v>37373</v>
      </c>
    </row>
    <row r="1824" spans="1:5" x14ac:dyDescent="0.25">
      <c r="A1824" s="5" t="s">
        <v>6</v>
      </c>
      <c r="B1824" s="5" t="s">
        <v>4828</v>
      </c>
      <c r="C1824" s="1" t="s">
        <v>3487</v>
      </c>
      <c r="D1824" s="1" t="s">
        <v>3488</v>
      </c>
      <c r="E1824" s="7">
        <v>50013</v>
      </c>
    </row>
    <row r="1825" spans="1:5" x14ac:dyDescent="0.25">
      <c r="A1825" s="5" t="s">
        <v>6</v>
      </c>
      <c r="B1825" s="5" t="s">
        <v>4829</v>
      </c>
      <c r="C1825" s="1" t="s">
        <v>3490</v>
      </c>
      <c r="D1825" s="1" t="s">
        <v>3491</v>
      </c>
      <c r="E1825" s="7">
        <v>16317</v>
      </c>
    </row>
    <row r="1826" spans="1:5" x14ac:dyDescent="0.25">
      <c r="A1826" s="5" t="s">
        <v>6</v>
      </c>
      <c r="B1826" s="5" t="s">
        <v>4830</v>
      </c>
      <c r="C1826" s="1" t="s">
        <v>3493</v>
      </c>
      <c r="D1826" s="1" t="s">
        <v>3494</v>
      </c>
      <c r="E1826" s="7">
        <v>11111</v>
      </c>
    </row>
    <row r="1827" spans="1:5" x14ac:dyDescent="0.25">
      <c r="A1827" s="5" t="s">
        <v>6</v>
      </c>
      <c r="B1827" s="5" t="s">
        <v>4831</v>
      </c>
      <c r="C1827" s="1" t="s">
        <v>3496</v>
      </c>
      <c r="D1827" s="1" t="s">
        <v>3497</v>
      </c>
      <c r="E1827" s="7">
        <v>47008</v>
      </c>
    </row>
    <row r="1828" spans="1:5" x14ac:dyDescent="0.25">
      <c r="A1828" s="5" t="s">
        <v>6</v>
      </c>
      <c r="B1828" s="5" t="s">
        <v>4832</v>
      </c>
      <c r="C1828" s="1" t="s">
        <v>3499</v>
      </c>
      <c r="D1828" s="1" t="s">
        <v>3500</v>
      </c>
      <c r="E1828" s="7">
        <v>42888</v>
      </c>
    </row>
    <row r="1829" spans="1:5" x14ac:dyDescent="0.25">
      <c r="A1829" s="5" t="s">
        <v>6</v>
      </c>
      <c r="B1829" s="5" t="s">
        <v>4833</v>
      </c>
      <c r="C1829" s="1" t="s">
        <v>3502</v>
      </c>
      <c r="D1829" s="1" t="s">
        <v>3503</v>
      </c>
      <c r="E1829" s="7">
        <v>30686</v>
      </c>
    </row>
    <row r="1830" spans="1:5" x14ac:dyDescent="0.25">
      <c r="A1830" s="5" t="s">
        <v>6</v>
      </c>
      <c r="B1830" s="5" t="s">
        <v>4834</v>
      </c>
      <c r="C1830" s="1" t="s">
        <v>4835</v>
      </c>
      <c r="D1830" s="1" t="s">
        <v>4836</v>
      </c>
      <c r="E1830" s="7">
        <v>9736</v>
      </c>
    </row>
    <row r="1831" spans="1:5" x14ac:dyDescent="0.25">
      <c r="A1831" s="5" t="s">
        <v>6</v>
      </c>
      <c r="B1831" s="5" t="s">
        <v>4837</v>
      </c>
      <c r="C1831" s="1" t="s">
        <v>4838</v>
      </c>
      <c r="D1831" s="1" t="s">
        <v>4839</v>
      </c>
      <c r="E1831" s="7">
        <v>6351</v>
      </c>
    </row>
    <row r="1832" spans="1:5" x14ac:dyDescent="0.25">
      <c r="A1832" s="5" t="s">
        <v>6</v>
      </c>
      <c r="B1832" s="5" t="s">
        <v>4840</v>
      </c>
      <c r="C1832" s="1" t="s">
        <v>4841</v>
      </c>
      <c r="D1832" s="1" t="s">
        <v>4842</v>
      </c>
      <c r="E1832" s="7">
        <v>51464</v>
      </c>
    </row>
    <row r="1833" spans="1:5" x14ac:dyDescent="0.25">
      <c r="A1833" s="5" t="s">
        <v>6</v>
      </c>
      <c r="B1833" s="5" t="s">
        <v>4843</v>
      </c>
      <c r="C1833" s="1" t="s">
        <v>4844</v>
      </c>
      <c r="D1833" s="1" t="s">
        <v>4845</v>
      </c>
      <c r="E1833" s="7">
        <v>2310</v>
      </c>
    </row>
    <row r="1834" spans="1:5" x14ac:dyDescent="0.25">
      <c r="A1834" s="5" t="s">
        <v>6</v>
      </c>
      <c r="B1834" s="5" t="s">
        <v>4846</v>
      </c>
      <c r="C1834" s="1" t="s">
        <v>4847</v>
      </c>
      <c r="D1834" s="1" t="s">
        <v>4848</v>
      </c>
      <c r="E1834" s="7">
        <v>4627</v>
      </c>
    </row>
    <row r="1835" spans="1:5" x14ac:dyDescent="0.25">
      <c r="A1835" s="5" t="s">
        <v>6</v>
      </c>
      <c r="B1835" s="5" t="s">
        <v>4849</v>
      </c>
      <c r="C1835" s="1" t="s">
        <v>245</v>
      </c>
      <c r="D1835" s="1" t="s">
        <v>246</v>
      </c>
      <c r="E1835" s="7">
        <v>530</v>
      </c>
    </row>
    <row r="1836" spans="1:5" x14ac:dyDescent="0.25">
      <c r="A1836" s="5" t="s">
        <v>6</v>
      </c>
      <c r="B1836" s="5" t="s">
        <v>4850</v>
      </c>
      <c r="C1836" s="1" t="s">
        <v>248</v>
      </c>
      <c r="D1836" s="1" t="s">
        <v>249</v>
      </c>
      <c r="E1836" s="7">
        <v>367</v>
      </c>
    </row>
    <row r="1837" spans="1:5" x14ac:dyDescent="0.25">
      <c r="A1837" s="5" t="s">
        <v>6</v>
      </c>
      <c r="B1837" s="5" t="s">
        <v>4851</v>
      </c>
      <c r="C1837" s="1" t="s">
        <v>4852</v>
      </c>
      <c r="D1837" s="1" t="s">
        <v>4853</v>
      </c>
      <c r="E1837" s="7">
        <v>7800</v>
      </c>
    </row>
    <row r="1838" spans="1:5" x14ac:dyDescent="0.25">
      <c r="A1838" s="5" t="s">
        <v>6</v>
      </c>
      <c r="B1838" s="5" t="s">
        <v>4854</v>
      </c>
      <c r="C1838" s="1" t="s">
        <v>4855</v>
      </c>
      <c r="D1838" s="1" t="s">
        <v>4856</v>
      </c>
      <c r="E1838" s="7">
        <v>7896</v>
      </c>
    </row>
    <row r="1839" spans="1:5" x14ac:dyDescent="0.25">
      <c r="A1839" s="5" t="s">
        <v>6</v>
      </c>
      <c r="B1839" s="5" t="s">
        <v>4857</v>
      </c>
      <c r="C1839" s="1" t="s">
        <v>4858</v>
      </c>
      <c r="D1839" s="1" t="s">
        <v>4859</v>
      </c>
      <c r="E1839" s="7">
        <v>12358</v>
      </c>
    </row>
    <row r="1840" spans="1:5" x14ac:dyDescent="0.25">
      <c r="A1840" s="5" t="s">
        <v>6</v>
      </c>
      <c r="B1840" s="5" t="s">
        <v>4860</v>
      </c>
      <c r="C1840" s="1" t="s">
        <v>4861</v>
      </c>
      <c r="D1840" s="1" t="s">
        <v>4862</v>
      </c>
      <c r="E1840" s="7">
        <v>9537</v>
      </c>
    </row>
    <row r="1841" spans="1:5" x14ac:dyDescent="0.25">
      <c r="A1841" s="5" t="s">
        <v>6</v>
      </c>
      <c r="B1841" s="5" t="s">
        <v>4863</v>
      </c>
      <c r="C1841" s="1" t="s">
        <v>4864</v>
      </c>
      <c r="D1841" s="1" t="s">
        <v>4865</v>
      </c>
      <c r="E1841" s="7">
        <v>6915</v>
      </c>
    </row>
    <row r="1842" spans="1:5" x14ac:dyDescent="0.25">
      <c r="A1842" s="5" t="s">
        <v>6</v>
      </c>
      <c r="B1842" s="5" t="s">
        <v>4866</v>
      </c>
      <c r="C1842" s="1" t="s">
        <v>4867</v>
      </c>
      <c r="D1842" s="1" t="s">
        <v>4868</v>
      </c>
      <c r="E1842" s="7">
        <v>1817</v>
      </c>
    </row>
    <row r="1843" spans="1:5" x14ac:dyDescent="0.25">
      <c r="A1843" s="5" t="s">
        <v>6</v>
      </c>
      <c r="B1843" s="5" t="s">
        <v>4869</v>
      </c>
      <c r="C1843" s="1" t="s">
        <v>4870</v>
      </c>
      <c r="D1843" s="1" t="s">
        <v>4871</v>
      </c>
      <c r="E1843" s="7">
        <v>9586</v>
      </c>
    </row>
    <row r="1844" spans="1:5" x14ac:dyDescent="0.25">
      <c r="A1844" s="5" t="s">
        <v>6</v>
      </c>
      <c r="B1844" s="5" t="s">
        <v>4872</v>
      </c>
      <c r="C1844" s="1" t="s">
        <v>4873</v>
      </c>
      <c r="D1844" s="1" t="s">
        <v>4874</v>
      </c>
      <c r="E1844" s="7">
        <v>6038</v>
      </c>
    </row>
    <row r="1845" spans="1:5" x14ac:dyDescent="0.25">
      <c r="A1845" s="5" t="s">
        <v>6</v>
      </c>
      <c r="B1845" s="5" t="s">
        <v>4875</v>
      </c>
      <c r="C1845" s="1" t="s">
        <v>4876</v>
      </c>
      <c r="D1845" s="1" t="s">
        <v>4877</v>
      </c>
      <c r="E1845" s="7">
        <v>11274</v>
      </c>
    </row>
    <row r="1846" spans="1:5" x14ac:dyDescent="0.25">
      <c r="A1846" s="5" t="s">
        <v>6</v>
      </c>
      <c r="B1846" s="5" t="s">
        <v>4878</v>
      </c>
      <c r="C1846" s="1" t="s">
        <v>4879</v>
      </c>
      <c r="D1846" s="1" t="s">
        <v>4880</v>
      </c>
      <c r="E1846" s="7">
        <v>2272</v>
      </c>
    </row>
    <row r="1847" spans="1:5" x14ac:dyDescent="0.25">
      <c r="A1847" s="5" t="s">
        <v>6</v>
      </c>
      <c r="B1847" s="5" t="s">
        <v>4881</v>
      </c>
      <c r="C1847" s="1" t="s">
        <v>4882</v>
      </c>
      <c r="D1847" s="1" t="s">
        <v>4883</v>
      </c>
      <c r="E1847" s="7">
        <v>2142</v>
      </c>
    </row>
    <row r="1848" spans="1:5" x14ac:dyDescent="0.25">
      <c r="A1848" s="5" t="s">
        <v>6</v>
      </c>
      <c r="B1848" s="5" t="s">
        <v>4884</v>
      </c>
      <c r="C1848" s="1" t="s">
        <v>4885</v>
      </c>
      <c r="D1848" s="1" t="s">
        <v>4886</v>
      </c>
      <c r="E1848" s="7">
        <v>806</v>
      </c>
    </row>
    <row r="1849" spans="1:5" x14ac:dyDescent="0.25">
      <c r="A1849" s="5" t="s">
        <v>6</v>
      </c>
      <c r="B1849" s="5" t="s">
        <v>4887</v>
      </c>
      <c r="C1849" s="1" t="s">
        <v>4888</v>
      </c>
      <c r="D1849" s="1" t="s">
        <v>4889</v>
      </c>
      <c r="E1849" s="7">
        <v>993</v>
      </c>
    </row>
    <row r="1850" spans="1:5" x14ac:dyDescent="0.25">
      <c r="A1850" s="5" t="s">
        <v>6</v>
      </c>
      <c r="B1850" s="5" t="s">
        <v>4890</v>
      </c>
      <c r="C1850" s="1" t="s">
        <v>4891</v>
      </c>
      <c r="D1850" s="1" t="s">
        <v>4892</v>
      </c>
      <c r="E1850" s="7">
        <v>75717</v>
      </c>
    </row>
    <row r="1851" spans="1:5" x14ac:dyDescent="0.25">
      <c r="A1851" s="5" t="s">
        <v>6</v>
      </c>
      <c r="B1851" s="5" t="s">
        <v>4893</v>
      </c>
      <c r="C1851" s="1" t="s">
        <v>4894</v>
      </c>
      <c r="D1851" s="1" t="s">
        <v>4895</v>
      </c>
      <c r="E1851" s="7">
        <v>23359</v>
      </c>
    </row>
    <row r="1852" spans="1:5" x14ac:dyDescent="0.25">
      <c r="A1852" s="5" t="s">
        <v>6</v>
      </c>
      <c r="B1852" s="5" t="s">
        <v>4896</v>
      </c>
      <c r="C1852" s="1" t="s">
        <v>4897</v>
      </c>
      <c r="D1852" s="1" t="s">
        <v>4898</v>
      </c>
      <c r="E1852" s="7">
        <v>64231</v>
      </c>
    </row>
    <row r="1853" spans="1:5" x14ac:dyDescent="0.25">
      <c r="A1853" s="5" t="s">
        <v>6</v>
      </c>
      <c r="B1853" s="5" t="s">
        <v>4899</v>
      </c>
      <c r="C1853" s="1" t="s">
        <v>4900</v>
      </c>
      <c r="D1853" s="1" t="s">
        <v>4901</v>
      </c>
      <c r="E1853" s="7">
        <v>5901</v>
      </c>
    </row>
    <row r="1854" spans="1:5" x14ac:dyDescent="0.25">
      <c r="A1854" s="5" t="s">
        <v>6</v>
      </c>
      <c r="B1854" s="5" t="s">
        <v>4902</v>
      </c>
      <c r="C1854" s="1" t="s">
        <v>4903</v>
      </c>
      <c r="D1854" s="1" t="s">
        <v>4904</v>
      </c>
      <c r="E1854" s="7">
        <v>2415</v>
      </c>
    </row>
    <row r="1855" spans="1:5" x14ac:dyDescent="0.25">
      <c r="A1855" s="5" t="s">
        <v>6</v>
      </c>
      <c r="B1855" s="5" t="s">
        <v>4905</v>
      </c>
      <c r="C1855" s="1" t="s">
        <v>4906</v>
      </c>
      <c r="D1855" s="1" t="s">
        <v>4907</v>
      </c>
      <c r="E1855" s="7">
        <v>7887</v>
      </c>
    </row>
    <row r="1856" spans="1:5" x14ac:dyDescent="0.25">
      <c r="A1856" s="5" t="s">
        <v>6</v>
      </c>
      <c r="B1856" s="5" t="s">
        <v>4908</v>
      </c>
      <c r="C1856" s="1" t="s">
        <v>4909</v>
      </c>
      <c r="D1856" s="1" t="s">
        <v>4910</v>
      </c>
      <c r="E1856" s="7">
        <v>8297</v>
      </c>
    </row>
    <row r="1857" spans="1:5" x14ac:dyDescent="0.25">
      <c r="A1857" s="5" t="s">
        <v>6</v>
      </c>
      <c r="B1857" s="5" t="s">
        <v>4911</v>
      </c>
      <c r="C1857" s="1" t="s">
        <v>4912</v>
      </c>
      <c r="D1857" s="1" t="s">
        <v>4913</v>
      </c>
      <c r="E1857" s="7">
        <v>9653</v>
      </c>
    </row>
    <row r="1858" spans="1:5" x14ac:dyDescent="0.25">
      <c r="A1858" s="5" t="s">
        <v>6</v>
      </c>
      <c r="B1858" s="5" t="s">
        <v>4914</v>
      </c>
      <c r="C1858" s="1" t="s">
        <v>4915</v>
      </c>
      <c r="D1858" s="1" t="s">
        <v>4910</v>
      </c>
      <c r="E1858" s="7">
        <v>3350</v>
      </c>
    </row>
    <row r="1859" spans="1:5" x14ac:dyDescent="0.25">
      <c r="A1859" s="5" t="s">
        <v>6</v>
      </c>
      <c r="B1859" s="5" t="s">
        <v>4916</v>
      </c>
      <c r="C1859" s="1" t="s">
        <v>4917</v>
      </c>
      <c r="D1859" s="1" t="s">
        <v>4918</v>
      </c>
      <c r="E1859" s="7">
        <v>7414</v>
      </c>
    </row>
    <row r="1860" spans="1:5" x14ac:dyDescent="0.25">
      <c r="A1860" s="5" t="s">
        <v>6</v>
      </c>
      <c r="B1860" s="5" t="s">
        <v>4919</v>
      </c>
      <c r="C1860" s="1" t="s">
        <v>4920</v>
      </c>
      <c r="D1860" s="1" t="s">
        <v>4921</v>
      </c>
      <c r="E1860" s="7">
        <v>7485</v>
      </c>
    </row>
    <row r="1861" spans="1:5" x14ac:dyDescent="0.25">
      <c r="A1861" s="5" t="s">
        <v>6</v>
      </c>
      <c r="B1861" s="5" t="s">
        <v>4922</v>
      </c>
      <c r="C1861" s="1" t="s">
        <v>4923</v>
      </c>
      <c r="D1861" s="1" t="s">
        <v>4924</v>
      </c>
      <c r="E1861" s="7">
        <v>8978</v>
      </c>
    </row>
    <row r="1862" spans="1:5" x14ac:dyDescent="0.25">
      <c r="A1862" s="5" t="s">
        <v>6</v>
      </c>
      <c r="B1862" s="5" t="s">
        <v>4925</v>
      </c>
      <c r="C1862" s="1" t="s">
        <v>4926</v>
      </c>
      <c r="D1862" s="1" t="s">
        <v>4927</v>
      </c>
      <c r="E1862" s="7">
        <v>6807</v>
      </c>
    </row>
    <row r="1863" spans="1:5" x14ac:dyDescent="0.25">
      <c r="A1863" s="5" t="s">
        <v>6</v>
      </c>
      <c r="B1863" s="5" t="s">
        <v>4928</v>
      </c>
      <c r="C1863" s="1" t="s">
        <v>4929</v>
      </c>
      <c r="D1863" s="1" t="s">
        <v>4930</v>
      </c>
      <c r="E1863" s="7">
        <v>8883</v>
      </c>
    </row>
    <row r="1864" spans="1:5" x14ac:dyDescent="0.25">
      <c r="A1864" s="5" t="s">
        <v>6</v>
      </c>
      <c r="B1864" s="5" t="s">
        <v>4931</v>
      </c>
      <c r="C1864" s="1" t="s">
        <v>4932</v>
      </c>
      <c r="D1864" s="1" t="s">
        <v>4933</v>
      </c>
      <c r="E1864" s="7">
        <v>8225</v>
      </c>
    </row>
    <row r="1865" spans="1:5" x14ac:dyDescent="0.25">
      <c r="A1865" s="5" t="s">
        <v>6</v>
      </c>
      <c r="B1865" s="5" t="s">
        <v>4934</v>
      </c>
      <c r="C1865" s="1" t="s">
        <v>4935</v>
      </c>
      <c r="D1865" s="1" t="s">
        <v>4936</v>
      </c>
      <c r="E1865" s="7">
        <v>8297</v>
      </c>
    </row>
    <row r="1866" spans="1:5" x14ac:dyDescent="0.25">
      <c r="A1866" s="5" t="s">
        <v>6</v>
      </c>
      <c r="B1866" s="5" t="s">
        <v>4937</v>
      </c>
      <c r="C1866" s="1" t="s">
        <v>4938</v>
      </c>
      <c r="D1866" s="1" t="s">
        <v>4939</v>
      </c>
      <c r="E1866" s="7">
        <v>7887</v>
      </c>
    </row>
    <row r="1867" spans="1:5" x14ac:dyDescent="0.25">
      <c r="A1867" s="5" t="s">
        <v>6</v>
      </c>
      <c r="B1867" s="5" t="s">
        <v>4940</v>
      </c>
      <c r="C1867" s="1" t="s">
        <v>4941</v>
      </c>
      <c r="D1867" s="1" t="s">
        <v>4942</v>
      </c>
      <c r="E1867" s="7">
        <v>9653</v>
      </c>
    </row>
    <row r="1868" spans="1:5" x14ac:dyDescent="0.25">
      <c r="A1868" s="5" t="s">
        <v>6</v>
      </c>
      <c r="B1868" s="5" t="s">
        <v>4943</v>
      </c>
      <c r="C1868" s="1" t="s">
        <v>4944</v>
      </c>
      <c r="D1868" s="1" t="s">
        <v>4945</v>
      </c>
      <c r="E1868" s="7">
        <v>5486</v>
      </c>
    </row>
    <row r="1869" spans="1:5" x14ac:dyDescent="0.25">
      <c r="A1869" s="5" t="s">
        <v>6</v>
      </c>
      <c r="B1869" s="5" t="s">
        <v>4946</v>
      </c>
      <c r="C1869" s="1" t="s">
        <v>4947</v>
      </c>
      <c r="D1869" s="1" t="s">
        <v>4948</v>
      </c>
      <c r="E1869" s="7">
        <v>7481</v>
      </c>
    </row>
    <row r="1870" spans="1:5" x14ac:dyDescent="0.25">
      <c r="A1870" s="5" t="s">
        <v>6</v>
      </c>
      <c r="B1870" s="5" t="s">
        <v>4949</v>
      </c>
      <c r="C1870" s="1" t="s">
        <v>4950</v>
      </c>
      <c r="D1870" s="1" t="s">
        <v>4951</v>
      </c>
      <c r="E1870" s="7">
        <v>8415</v>
      </c>
    </row>
    <row r="1871" spans="1:5" x14ac:dyDescent="0.25">
      <c r="A1871" s="5" t="s">
        <v>6</v>
      </c>
      <c r="B1871" s="5" t="s">
        <v>4952</v>
      </c>
      <c r="C1871" s="1" t="s">
        <v>4953</v>
      </c>
      <c r="D1871" s="1" t="s">
        <v>4954</v>
      </c>
      <c r="E1871" s="7">
        <v>8769</v>
      </c>
    </row>
    <row r="1872" spans="1:5" x14ac:dyDescent="0.25">
      <c r="A1872" s="5" t="s">
        <v>6</v>
      </c>
      <c r="B1872" s="5" t="s">
        <v>4955</v>
      </c>
      <c r="C1872" s="1" t="s">
        <v>4956</v>
      </c>
      <c r="D1872" s="1" t="s">
        <v>4957</v>
      </c>
      <c r="E1872" s="7">
        <v>8111</v>
      </c>
    </row>
    <row r="1873" spans="1:5" x14ac:dyDescent="0.25">
      <c r="A1873" s="5" t="s">
        <v>6</v>
      </c>
      <c r="B1873" s="5" t="s">
        <v>4958</v>
      </c>
      <c r="C1873" s="1" t="s">
        <v>4959</v>
      </c>
      <c r="D1873" s="1" t="s">
        <v>4960</v>
      </c>
      <c r="E1873" s="7">
        <v>9057</v>
      </c>
    </row>
    <row r="1874" spans="1:5" x14ac:dyDescent="0.25">
      <c r="A1874" s="5" t="s">
        <v>6</v>
      </c>
      <c r="B1874" s="5" t="s">
        <v>4961</v>
      </c>
      <c r="C1874" s="1" t="s">
        <v>4962</v>
      </c>
      <c r="D1874" s="1" t="s">
        <v>4963</v>
      </c>
      <c r="E1874" s="7">
        <v>9594</v>
      </c>
    </row>
    <row r="1875" spans="1:5" x14ac:dyDescent="0.25">
      <c r="A1875" s="5" t="s">
        <v>6</v>
      </c>
      <c r="B1875" s="5" t="s">
        <v>4964</v>
      </c>
      <c r="C1875" s="1" t="s">
        <v>4965</v>
      </c>
      <c r="D1875" s="1" t="s">
        <v>4966</v>
      </c>
      <c r="E1875" s="7">
        <v>9176</v>
      </c>
    </row>
    <row r="1876" spans="1:5" x14ac:dyDescent="0.25">
      <c r="A1876" s="5" t="s">
        <v>6</v>
      </c>
      <c r="B1876" s="5" t="s">
        <v>4967</v>
      </c>
      <c r="C1876" s="1" t="s">
        <v>4968</v>
      </c>
      <c r="D1876" s="1" t="s">
        <v>4969</v>
      </c>
      <c r="E1876" s="7">
        <v>8138</v>
      </c>
    </row>
    <row r="1877" spans="1:5" x14ac:dyDescent="0.25">
      <c r="A1877" s="5" t="s">
        <v>6</v>
      </c>
      <c r="B1877" s="5" t="s">
        <v>4970</v>
      </c>
      <c r="C1877" s="1" t="s">
        <v>4971</v>
      </c>
      <c r="D1877" s="1" t="s">
        <v>4972</v>
      </c>
      <c r="E1877" s="7">
        <v>6856</v>
      </c>
    </row>
    <row r="1878" spans="1:5" x14ac:dyDescent="0.25">
      <c r="A1878" s="5" t="s">
        <v>6</v>
      </c>
      <c r="B1878" s="5" t="s">
        <v>4973</v>
      </c>
      <c r="C1878" s="1" t="s">
        <v>4974</v>
      </c>
      <c r="D1878" s="1" t="s">
        <v>4975</v>
      </c>
      <c r="E1878" s="7">
        <v>6477</v>
      </c>
    </row>
    <row r="1879" spans="1:5" x14ac:dyDescent="0.25">
      <c r="A1879" s="5" t="s">
        <v>6</v>
      </c>
      <c r="B1879" s="5" t="s">
        <v>4976</v>
      </c>
      <c r="C1879" s="1" t="s">
        <v>4977</v>
      </c>
      <c r="D1879" s="1" t="s">
        <v>4978</v>
      </c>
      <c r="E1879" s="7">
        <v>7102</v>
      </c>
    </row>
    <row r="1880" spans="1:5" x14ac:dyDescent="0.25">
      <c r="A1880" s="5" t="s">
        <v>6</v>
      </c>
      <c r="B1880" s="5" t="s">
        <v>4979</v>
      </c>
      <c r="C1880" s="1" t="s">
        <v>4980</v>
      </c>
      <c r="D1880" s="1" t="s">
        <v>4981</v>
      </c>
      <c r="E1880" s="7">
        <v>7245</v>
      </c>
    </row>
    <row r="1881" spans="1:5" x14ac:dyDescent="0.25">
      <c r="A1881" s="5" t="s">
        <v>6</v>
      </c>
      <c r="B1881" s="5" t="s">
        <v>4982</v>
      </c>
      <c r="C1881" s="1" t="s">
        <v>4983</v>
      </c>
      <c r="D1881" s="1" t="s">
        <v>4981</v>
      </c>
      <c r="E1881" s="7">
        <v>6162</v>
      </c>
    </row>
    <row r="1882" spans="1:5" x14ac:dyDescent="0.25">
      <c r="A1882" s="5" t="s">
        <v>6</v>
      </c>
      <c r="B1882" s="5" t="s">
        <v>4984</v>
      </c>
      <c r="C1882" s="1" t="s">
        <v>4985</v>
      </c>
      <c r="D1882" s="1" t="s">
        <v>4981</v>
      </c>
      <c r="E1882" s="7">
        <v>8329</v>
      </c>
    </row>
    <row r="1883" spans="1:5" x14ac:dyDescent="0.25">
      <c r="A1883" s="5" t="s">
        <v>6</v>
      </c>
      <c r="B1883" s="5" t="s">
        <v>4986</v>
      </c>
      <c r="C1883" s="1" t="s">
        <v>4579</v>
      </c>
      <c r="D1883" s="1" t="s">
        <v>4580</v>
      </c>
      <c r="E1883" s="7">
        <v>27009</v>
      </c>
    </row>
    <row r="1884" spans="1:5" x14ac:dyDescent="0.25">
      <c r="A1884" s="5" t="s">
        <v>6</v>
      </c>
      <c r="B1884" s="5" t="s">
        <v>4987</v>
      </c>
      <c r="C1884" s="1" t="s">
        <v>4435</v>
      </c>
      <c r="D1884" s="1" t="s">
        <v>4988</v>
      </c>
      <c r="E1884" s="7">
        <v>17032</v>
      </c>
    </row>
    <row r="1885" spans="1:5" x14ac:dyDescent="0.25">
      <c r="A1885" s="5" t="s">
        <v>6</v>
      </c>
      <c r="B1885" s="5" t="s">
        <v>4989</v>
      </c>
      <c r="C1885" s="1" t="s">
        <v>4455</v>
      </c>
      <c r="D1885" s="1" t="s">
        <v>4456</v>
      </c>
      <c r="E1885" s="7">
        <v>7449</v>
      </c>
    </row>
    <row r="1886" spans="1:5" x14ac:dyDescent="0.25">
      <c r="A1886" s="5" t="s">
        <v>6</v>
      </c>
      <c r="B1886" s="5" t="s">
        <v>4990</v>
      </c>
      <c r="C1886" s="1" t="s">
        <v>4991</v>
      </c>
      <c r="D1886" s="1" t="s">
        <v>4992</v>
      </c>
      <c r="E1886" s="7">
        <v>6746</v>
      </c>
    </row>
    <row r="1887" spans="1:5" x14ac:dyDescent="0.25">
      <c r="A1887" s="5" t="s">
        <v>6</v>
      </c>
      <c r="B1887" s="5" t="s">
        <v>4993</v>
      </c>
      <c r="C1887" s="1" t="s">
        <v>4994</v>
      </c>
      <c r="D1887" s="1" t="s">
        <v>4995</v>
      </c>
      <c r="E1887" s="7">
        <v>7520</v>
      </c>
    </row>
    <row r="1888" spans="1:5" x14ac:dyDescent="0.25">
      <c r="A1888" s="5" t="s">
        <v>6</v>
      </c>
      <c r="B1888" s="5" t="s">
        <v>4996</v>
      </c>
      <c r="C1888" s="1" t="s">
        <v>4997</v>
      </c>
      <c r="D1888" s="1" t="s">
        <v>4998</v>
      </c>
      <c r="E1888" s="7">
        <v>7939</v>
      </c>
    </row>
    <row r="1889" spans="1:5" x14ac:dyDescent="0.25">
      <c r="A1889" s="5" t="s">
        <v>6</v>
      </c>
      <c r="B1889" s="5" t="s">
        <v>4999</v>
      </c>
      <c r="C1889" s="1" t="s">
        <v>5000</v>
      </c>
      <c r="D1889" s="1" t="s">
        <v>5001</v>
      </c>
      <c r="E1889" s="7">
        <v>9760</v>
      </c>
    </row>
    <row r="1890" spans="1:5" x14ac:dyDescent="0.25">
      <c r="A1890" s="5" t="s">
        <v>6</v>
      </c>
      <c r="B1890" s="5" t="s">
        <v>5002</v>
      </c>
      <c r="C1890" s="1" t="s">
        <v>5003</v>
      </c>
      <c r="D1890" s="1" t="s">
        <v>5004</v>
      </c>
      <c r="E1890" s="7">
        <v>11211</v>
      </c>
    </row>
    <row r="1891" spans="1:5" x14ac:dyDescent="0.25">
      <c r="A1891" s="5" t="s">
        <v>6</v>
      </c>
      <c r="B1891" s="5" t="s">
        <v>5005</v>
      </c>
      <c r="C1891" s="1" t="s">
        <v>5006</v>
      </c>
      <c r="D1891" s="1" t="s">
        <v>5007</v>
      </c>
      <c r="E1891" s="7">
        <v>9099</v>
      </c>
    </row>
    <row r="1892" spans="1:5" x14ac:dyDescent="0.25">
      <c r="A1892" s="5" t="s">
        <v>6</v>
      </c>
      <c r="B1892" s="5" t="s">
        <v>5008</v>
      </c>
      <c r="C1892" s="1" t="s">
        <v>5009</v>
      </c>
      <c r="D1892" s="1" t="s">
        <v>5010</v>
      </c>
      <c r="E1892" s="7">
        <v>5556</v>
      </c>
    </row>
    <row r="1893" spans="1:5" x14ac:dyDescent="0.25">
      <c r="A1893" s="5" t="s">
        <v>6</v>
      </c>
      <c r="B1893" s="5" t="s">
        <v>5011</v>
      </c>
      <c r="C1893" s="1" t="s">
        <v>5012</v>
      </c>
      <c r="D1893" s="1" t="s">
        <v>5013</v>
      </c>
      <c r="E1893" s="7">
        <v>5556</v>
      </c>
    </row>
    <row r="1894" spans="1:5" x14ac:dyDescent="0.25">
      <c r="A1894" s="5" t="s">
        <v>6</v>
      </c>
      <c r="B1894" s="5" t="s">
        <v>5014</v>
      </c>
      <c r="C1894" s="1" t="s">
        <v>5015</v>
      </c>
      <c r="D1894" s="1" t="s">
        <v>5016</v>
      </c>
      <c r="E1894" s="7">
        <v>7721</v>
      </c>
    </row>
    <row r="1895" spans="1:5" x14ac:dyDescent="0.25">
      <c r="A1895" s="5" t="s">
        <v>6</v>
      </c>
      <c r="B1895" s="5" t="s">
        <v>5017</v>
      </c>
      <c r="C1895" s="1" t="s">
        <v>5018</v>
      </c>
      <c r="D1895" s="1" t="s">
        <v>5019</v>
      </c>
      <c r="E1895" s="7">
        <v>5783</v>
      </c>
    </row>
    <row r="1896" spans="1:5" x14ac:dyDescent="0.25">
      <c r="A1896" s="5" t="s">
        <v>6</v>
      </c>
      <c r="B1896" s="5" t="s">
        <v>5020</v>
      </c>
      <c r="C1896" s="1" t="s">
        <v>5021</v>
      </c>
      <c r="D1896" s="1" t="s">
        <v>5022</v>
      </c>
      <c r="E1896" s="7">
        <v>4834</v>
      </c>
    </row>
    <row r="1897" spans="1:5" x14ac:dyDescent="0.25">
      <c r="A1897" s="5" t="s">
        <v>6</v>
      </c>
      <c r="B1897" s="5" t="s">
        <v>5023</v>
      </c>
      <c r="C1897" s="1" t="s">
        <v>5024</v>
      </c>
      <c r="D1897" s="1" t="s">
        <v>5025</v>
      </c>
      <c r="E1897" s="7">
        <v>6693</v>
      </c>
    </row>
    <row r="1898" spans="1:5" x14ac:dyDescent="0.25">
      <c r="A1898" s="5" t="s">
        <v>6</v>
      </c>
      <c r="B1898" s="5" t="s">
        <v>5026</v>
      </c>
      <c r="C1898" s="1" t="s">
        <v>5027</v>
      </c>
      <c r="D1898" s="1" t="s">
        <v>5028</v>
      </c>
      <c r="E1898" s="7">
        <v>7036</v>
      </c>
    </row>
    <row r="1899" spans="1:5" x14ac:dyDescent="0.25">
      <c r="A1899" s="5" t="s">
        <v>6</v>
      </c>
      <c r="B1899" s="5" t="s">
        <v>5029</v>
      </c>
      <c r="C1899" s="1" t="s">
        <v>5030</v>
      </c>
      <c r="D1899" s="1" t="s">
        <v>5031</v>
      </c>
      <c r="E1899" s="7">
        <v>5543</v>
      </c>
    </row>
    <row r="1900" spans="1:5" x14ac:dyDescent="0.25">
      <c r="A1900" s="5" t="s">
        <v>6</v>
      </c>
      <c r="B1900" s="5" t="s">
        <v>5032</v>
      </c>
      <c r="C1900" s="1" t="s">
        <v>4148</v>
      </c>
      <c r="D1900" s="1" t="s">
        <v>4149</v>
      </c>
      <c r="E1900" s="7">
        <v>5116</v>
      </c>
    </row>
    <row r="1901" spans="1:5" x14ac:dyDescent="0.25">
      <c r="A1901" s="5" t="s">
        <v>6</v>
      </c>
      <c r="B1901" s="5" t="s">
        <v>5033</v>
      </c>
      <c r="C1901" s="1" t="s">
        <v>4151</v>
      </c>
      <c r="D1901" s="1" t="s">
        <v>4152</v>
      </c>
      <c r="E1901" s="7">
        <v>5116</v>
      </c>
    </row>
    <row r="1902" spans="1:5" x14ac:dyDescent="0.25">
      <c r="A1902" s="5" t="s">
        <v>6</v>
      </c>
      <c r="B1902" s="5" t="s">
        <v>5034</v>
      </c>
      <c r="C1902" s="1" t="s">
        <v>4467</v>
      </c>
      <c r="D1902" s="1" t="s">
        <v>4468</v>
      </c>
      <c r="E1902" s="7">
        <v>27064</v>
      </c>
    </row>
    <row r="1903" spans="1:5" x14ac:dyDescent="0.25">
      <c r="A1903" s="5" t="s">
        <v>6</v>
      </c>
      <c r="B1903" s="5" t="s">
        <v>5035</v>
      </c>
      <c r="C1903" s="1" t="s">
        <v>4474</v>
      </c>
      <c r="D1903" s="1" t="s">
        <v>4475</v>
      </c>
      <c r="E1903" s="7">
        <v>3277</v>
      </c>
    </row>
    <row r="1904" spans="1:5" x14ac:dyDescent="0.25">
      <c r="A1904" s="5" t="s">
        <v>6</v>
      </c>
      <c r="B1904" s="5" t="s">
        <v>5036</v>
      </c>
      <c r="C1904" s="1" t="s">
        <v>4477</v>
      </c>
      <c r="D1904" s="1" t="s">
        <v>4478</v>
      </c>
      <c r="E1904" s="7">
        <v>22013</v>
      </c>
    </row>
    <row r="1905" spans="1:5" x14ac:dyDescent="0.25">
      <c r="A1905" s="5" t="s">
        <v>6</v>
      </c>
      <c r="B1905" s="5" t="s">
        <v>5037</v>
      </c>
      <c r="C1905" s="1" t="s">
        <v>5038</v>
      </c>
      <c r="D1905" s="1" t="s">
        <v>5039</v>
      </c>
      <c r="E1905" s="7">
        <v>5001</v>
      </c>
    </row>
    <row r="1906" spans="1:5" x14ac:dyDescent="0.25">
      <c r="A1906" s="5" t="s">
        <v>6</v>
      </c>
      <c r="B1906" s="5" t="s">
        <v>5040</v>
      </c>
      <c r="C1906" s="1" t="s">
        <v>5041</v>
      </c>
      <c r="D1906" s="1" t="s">
        <v>5042</v>
      </c>
      <c r="E1906" s="7">
        <v>4631</v>
      </c>
    </row>
    <row r="1907" spans="1:5" x14ac:dyDescent="0.25">
      <c r="A1907" s="5" t="s">
        <v>6</v>
      </c>
      <c r="B1907" s="5" t="s">
        <v>5043</v>
      </c>
      <c r="C1907" s="1" t="s">
        <v>5044</v>
      </c>
      <c r="D1907" s="1" t="s">
        <v>5045</v>
      </c>
      <c r="E1907" s="7">
        <v>5535</v>
      </c>
    </row>
    <row r="1908" spans="1:5" x14ac:dyDescent="0.25">
      <c r="A1908" s="5" t="s">
        <v>6</v>
      </c>
      <c r="B1908" s="5" t="s">
        <v>5046</v>
      </c>
      <c r="C1908" s="1" t="s">
        <v>5047</v>
      </c>
      <c r="D1908" s="1" t="s">
        <v>5048</v>
      </c>
      <c r="E1908" s="7">
        <v>5683</v>
      </c>
    </row>
    <row r="1909" spans="1:5" x14ac:dyDescent="0.25">
      <c r="A1909" s="5" t="s">
        <v>6</v>
      </c>
      <c r="B1909" s="5" t="s">
        <v>5049</v>
      </c>
      <c r="C1909" s="1" t="s">
        <v>5050</v>
      </c>
      <c r="D1909" s="1" t="s">
        <v>5051</v>
      </c>
      <c r="E1909" s="7">
        <v>5037</v>
      </c>
    </row>
    <row r="1910" spans="1:5" x14ac:dyDescent="0.25">
      <c r="A1910" s="5" t="s">
        <v>6</v>
      </c>
      <c r="B1910" s="5" t="s">
        <v>5052</v>
      </c>
      <c r="C1910" s="1" t="s">
        <v>5053</v>
      </c>
      <c r="D1910" s="1" t="s">
        <v>5054</v>
      </c>
      <c r="E1910" s="7">
        <v>5202</v>
      </c>
    </row>
    <row r="1911" spans="1:5" x14ac:dyDescent="0.25">
      <c r="A1911" s="5" t="s">
        <v>6</v>
      </c>
      <c r="B1911" s="5" t="s">
        <v>5055</v>
      </c>
      <c r="C1911" s="1" t="s">
        <v>5056</v>
      </c>
      <c r="D1911" s="1" t="s">
        <v>5057</v>
      </c>
      <c r="E1911" s="7">
        <v>3350</v>
      </c>
    </row>
    <row r="1912" spans="1:5" x14ac:dyDescent="0.25">
      <c r="A1912" s="5" t="s">
        <v>6</v>
      </c>
      <c r="B1912" s="5" t="s">
        <v>5058</v>
      </c>
      <c r="C1912" s="1" t="s">
        <v>5059</v>
      </c>
      <c r="D1912" s="1" t="s">
        <v>5060</v>
      </c>
      <c r="E1912" s="7">
        <v>5783</v>
      </c>
    </row>
    <row r="1913" spans="1:5" x14ac:dyDescent="0.25">
      <c r="A1913" s="5" t="s">
        <v>6</v>
      </c>
      <c r="B1913" s="5" t="s">
        <v>5061</v>
      </c>
      <c r="C1913" s="1" t="s">
        <v>5062</v>
      </c>
      <c r="D1913" s="1" t="s">
        <v>5063</v>
      </c>
      <c r="E1913" s="7">
        <v>7551</v>
      </c>
    </row>
    <row r="1914" spans="1:5" x14ac:dyDescent="0.25">
      <c r="A1914" s="5" t="s">
        <v>6</v>
      </c>
      <c r="B1914" s="5" t="s">
        <v>5064</v>
      </c>
      <c r="C1914" s="1" t="s">
        <v>5065</v>
      </c>
      <c r="D1914" s="1" t="s">
        <v>5066</v>
      </c>
      <c r="E1914" s="7">
        <v>7096</v>
      </c>
    </row>
    <row r="1915" spans="1:5" x14ac:dyDescent="0.25">
      <c r="A1915" s="5" t="s">
        <v>6</v>
      </c>
      <c r="B1915" s="5" t="s">
        <v>5067</v>
      </c>
      <c r="C1915" s="1" t="s">
        <v>5068</v>
      </c>
      <c r="D1915" s="1" t="s">
        <v>5069</v>
      </c>
      <c r="E1915" s="7">
        <v>9048</v>
      </c>
    </row>
    <row r="1916" spans="1:5" x14ac:dyDescent="0.25">
      <c r="A1916" s="5" t="s">
        <v>6</v>
      </c>
      <c r="B1916" s="5" t="s">
        <v>5070</v>
      </c>
      <c r="C1916" s="1" t="s">
        <v>5071</v>
      </c>
      <c r="D1916" s="1" t="s">
        <v>5072</v>
      </c>
      <c r="E1916" s="7">
        <v>7086</v>
      </c>
    </row>
    <row r="1917" spans="1:5" x14ac:dyDescent="0.25">
      <c r="A1917" s="5" t="s">
        <v>6</v>
      </c>
      <c r="B1917" s="5" t="s">
        <v>5073</v>
      </c>
      <c r="C1917" s="1" t="s">
        <v>5074</v>
      </c>
      <c r="D1917" s="1" t="s">
        <v>5075</v>
      </c>
      <c r="E1917" s="7">
        <v>14224</v>
      </c>
    </row>
    <row r="1918" spans="1:5" x14ac:dyDescent="0.25">
      <c r="A1918" s="5" t="s">
        <v>6</v>
      </c>
      <c r="B1918" s="5" t="s">
        <v>5076</v>
      </c>
      <c r="C1918" s="1" t="s">
        <v>5077</v>
      </c>
      <c r="D1918" s="1" t="s">
        <v>5078</v>
      </c>
      <c r="E1918" s="7">
        <v>17445</v>
      </c>
    </row>
    <row r="1919" spans="1:5" x14ac:dyDescent="0.25">
      <c r="A1919" s="5" t="s">
        <v>6</v>
      </c>
      <c r="B1919" s="5" t="s">
        <v>5079</v>
      </c>
      <c r="C1919" s="1" t="s">
        <v>5080</v>
      </c>
      <c r="D1919" s="1" t="s">
        <v>5081</v>
      </c>
      <c r="E1919" s="7">
        <v>12487</v>
      </c>
    </row>
    <row r="1920" spans="1:5" x14ac:dyDescent="0.25">
      <c r="A1920" s="5" t="s">
        <v>6</v>
      </c>
      <c r="B1920" s="5" t="s">
        <v>5082</v>
      </c>
      <c r="C1920" s="1" t="s">
        <v>5083</v>
      </c>
      <c r="D1920" s="1" t="s">
        <v>5084</v>
      </c>
      <c r="E1920" s="7">
        <v>9048</v>
      </c>
    </row>
    <row r="1921" spans="1:5" x14ac:dyDescent="0.25">
      <c r="A1921" s="5" t="s">
        <v>6</v>
      </c>
      <c r="B1921" s="5" t="s">
        <v>5085</v>
      </c>
      <c r="C1921" s="1" t="s">
        <v>5086</v>
      </c>
      <c r="D1921" s="1" t="s">
        <v>5087</v>
      </c>
      <c r="E1921" s="7">
        <v>10076</v>
      </c>
    </row>
    <row r="1922" spans="1:5" x14ac:dyDescent="0.25">
      <c r="A1922" s="5" t="s">
        <v>6</v>
      </c>
      <c r="B1922" s="5" t="s">
        <v>5088</v>
      </c>
      <c r="C1922" s="1" t="s">
        <v>5089</v>
      </c>
      <c r="D1922" s="1" t="s">
        <v>5090</v>
      </c>
      <c r="E1922" s="7">
        <v>3823</v>
      </c>
    </row>
    <row r="1923" spans="1:5" x14ac:dyDescent="0.25">
      <c r="A1923" s="5" t="s">
        <v>6</v>
      </c>
      <c r="B1923" s="5" t="s">
        <v>5091</v>
      </c>
      <c r="C1923" s="1" t="s">
        <v>5092</v>
      </c>
      <c r="D1923" s="1" t="s">
        <v>5093</v>
      </c>
      <c r="E1923" s="7">
        <v>2415</v>
      </c>
    </row>
    <row r="1924" spans="1:5" x14ac:dyDescent="0.25">
      <c r="A1924" s="5" t="s">
        <v>6</v>
      </c>
      <c r="B1924" s="5" t="s">
        <v>5094</v>
      </c>
      <c r="C1924" s="1" t="s">
        <v>5095</v>
      </c>
      <c r="D1924" s="1" t="s">
        <v>5096</v>
      </c>
      <c r="E1924" s="7">
        <v>7619</v>
      </c>
    </row>
    <row r="1925" spans="1:5" x14ac:dyDescent="0.25">
      <c r="A1925" s="5" t="s">
        <v>6</v>
      </c>
      <c r="B1925" s="5" t="s">
        <v>5097</v>
      </c>
      <c r="C1925" s="1" t="s">
        <v>5098</v>
      </c>
      <c r="D1925" s="1" t="s">
        <v>5099</v>
      </c>
      <c r="E1925" s="7">
        <v>6980</v>
      </c>
    </row>
    <row r="1926" spans="1:5" x14ac:dyDescent="0.25">
      <c r="A1926" s="5" t="s">
        <v>6</v>
      </c>
      <c r="B1926" s="5" t="s">
        <v>5100</v>
      </c>
      <c r="C1926" s="1" t="s">
        <v>5101</v>
      </c>
      <c r="D1926" s="1" t="s">
        <v>5102</v>
      </c>
      <c r="E1926" s="7">
        <v>4092</v>
      </c>
    </row>
    <row r="1927" spans="1:5" x14ac:dyDescent="0.25">
      <c r="A1927" s="5" t="s">
        <v>6</v>
      </c>
      <c r="B1927" s="5" t="s">
        <v>5103</v>
      </c>
      <c r="C1927" s="1" t="s">
        <v>5104</v>
      </c>
      <c r="D1927" s="1" t="s">
        <v>5105</v>
      </c>
      <c r="E1927" s="7">
        <v>3969</v>
      </c>
    </row>
    <row r="1928" spans="1:5" x14ac:dyDescent="0.25">
      <c r="A1928" s="5" t="s">
        <v>6</v>
      </c>
      <c r="B1928" s="5" t="s">
        <v>5106</v>
      </c>
      <c r="C1928" s="1" t="s">
        <v>4732</v>
      </c>
      <c r="D1928" s="1" t="s">
        <v>5107</v>
      </c>
      <c r="E1928" s="7">
        <v>27009</v>
      </c>
    </row>
    <row r="1929" spans="1:5" x14ac:dyDescent="0.25">
      <c r="A1929" s="5" t="s">
        <v>6</v>
      </c>
      <c r="B1929" s="5" t="s">
        <v>5108</v>
      </c>
      <c r="C1929" s="1" t="s">
        <v>5109</v>
      </c>
      <c r="D1929" s="1" t="s">
        <v>5110</v>
      </c>
      <c r="E1929" s="7">
        <v>2075</v>
      </c>
    </row>
    <row r="1930" spans="1:5" x14ac:dyDescent="0.25">
      <c r="A1930" s="5" t="s">
        <v>6</v>
      </c>
      <c r="B1930" s="5" t="s">
        <v>5111</v>
      </c>
      <c r="C1930" s="1" t="s">
        <v>4741</v>
      </c>
      <c r="D1930" s="1" t="s">
        <v>4742</v>
      </c>
      <c r="E1930" s="7">
        <v>13492</v>
      </c>
    </row>
    <row r="1931" spans="1:5" x14ac:dyDescent="0.25">
      <c r="A1931" s="5" t="s">
        <v>6</v>
      </c>
      <c r="B1931" s="5" t="s">
        <v>5112</v>
      </c>
      <c r="C1931" s="1" t="s">
        <v>5113</v>
      </c>
      <c r="D1931" s="1" t="s">
        <v>5114</v>
      </c>
      <c r="E1931" s="7">
        <v>2071</v>
      </c>
    </row>
    <row r="1932" spans="1:5" x14ac:dyDescent="0.25">
      <c r="A1932" s="5" t="s">
        <v>6</v>
      </c>
      <c r="B1932" s="5" t="s">
        <v>5115</v>
      </c>
      <c r="C1932" s="1" t="s">
        <v>4744</v>
      </c>
      <c r="D1932" s="1" t="s">
        <v>4745</v>
      </c>
      <c r="E1932" s="7">
        <v>2125</v>
      </c>
    </row>
    <row r="1933" spans="1:5" x14ac:dyDescent="0.25">
      <c r="A1933" s="5" t="s">
        <v>6</v>
      </c>
      <c r="B1933" s="5" t="s">
        <v>5116</v>
      </c>
      <c r="C1933" s="1" t="s">
        <v>5117</v>
      </c>
      <c r="D1933" s="1" t="s">
        <v>5118</v>
      </c>
      <c r="E1933" s="7">
        <v>2048</v>
      </c>
    </row>
    <row r="1934" spans="1:5" x14ac:dyDescent="0.25">
      <c r="A1934" s="5" t="s">
        <v>6</v>
      </c>
      <c r="B1934" s="5" t="s">
        <v>5119</v>
      </c>
      <c r="C1934" s="1" t="s">
        <v>5120</v>
      </c>
      <c r="D1934" s="1" t="s">
        <v>5121</v>
      </c>
      <c r="E1934" s="7">
        <v>2136</v>
      </c>
    </row>
    <row r="1935" spans="1:5" x14ac:dyDescent="0.25">
      <c r="A1935" s="5" t="s">
        <v>6</v>
      </c>
      <c r="B1935" s="5" t="s">
        <v>5122</v>
      </c>
      <c r="C1935" s="1" t="s">
        <v>4747</v>
      </c>
      <c r="D1935" s="1" t="s">
        <v>4748</v>
      </c>
      <c r="E1935" s="7">
        <v>2075</v>
      </c>
    </row>
    <row r="1936" spans="1:5" x14ac:dyDescent="0.25">
      <c r="A1936" s="5" t="s">
        <v>6</v>
      </c>
      <c r="B1936" s="5" t="s">
        <v>5123</v>
      </c>
      <c r="C1936" s="1" t="s">
        <v>4795</v>
      </c>
      <c r="D1936" s="1" t="s">
        <v>4796</v>
      </c>
      <c r="E1936" s="7">
        <v>3496</v>
      </c>
    </row>
    <row r="1937" spans="1:5" x14ac:dyDescent="0.25">
      <c r="A1937" s="5" t="s">
        <v>6</v>
      </c>
      <c r="B1937" s="5" t="s">
        <v>5124</v>
      </c>
      <c r="C1937" s="1" t="s">
        <v>5125</v>
      </c>
      <c r="D1937" s="1" t="s">
        <v>5126</v>
      </c>
      <c r="E1937" s="7">
        <v>2446</v>
      </c>
    </row>
    <row r="1938" spans="1:5" x14ac:dyDescent="0.25">
      <c r="A1938" s="5" t="s">
        <v>6</v>
      </c>
      <c r="B1938" s="5" t="s">
        <v>5127</v>
      </c>
      <c r="C1938" s="1" t="s">
        <v>5128</v>
      </c>
      <c r="D1938" s="1" t="s">
        <v>5129</v>
      </c>
      <c r="E1938" s="7">
        <v>2745</v>
      </c>
    </row>
    <row r="1939" spans="1:5" x14ac:dyDescent="0.25">
      <c r="A1939" s="5" t="s">
        <v>6</v>
      </c>
      <c r="B1939" s="5" t="s">
        <v>5130</v>
      </c>
      <c r="C1939" s="1" t="s">
        <v>5131</v>
      </c>
      <c r="D1939" s="1" t="s">
        <v>5132</v>
      </c>
      <c r="E1939" s="7">
        <v>2646</v>
      </c>
    </row>
    <row r="1940" spans="1:5" x14ac:dyDescent="0.25">
      <c r="A1940" s="5" t="s">
        <v>6</v>
      </c>
      <c r="B1940" s="5" t="s">
        <v>5133</v>
      </c>
      <c r="C1940" s="1" t="s">
        <v>5134</v>
      </c>
      <c r="D1940" s="1" t="s">
        <v>5135</v>
      </c>
      <c r="E1940" s="7">
        <v>8868</v>
      </c>
    </row>
    <row r="1941" spans="1:5" x14ac:dyDescent="0.25">
      <c r="A1941" s="5" t="s">
        <v>6</v>
      </c>
      <c r="B1941" s="5" t="s">
        <v>5136</v>
      </c>
      <c r="C1941" s="1" t="s">
        <v>4781</v>
      </c>
      <c r="D1941" s="1" t="s">
        <v>4782</v>
      </c>
      <c r="E1941" s="7">
        <v>2127</v>
      </c>
    </row>
    <row r="1942" spans="1:5" x14ac:dyDescent="0.25">
      <c r="A1942" s="5" t="s">
        <v>6</v>
      </c>
      <c r="B1942" s="5" t="s">
        <v>5137</v>
      </c>
      <c r="C1942" s="1" t="s">
        <v>4844</v>
      </c>
      <c r="D1942" s="1" t="s">
        <v>4845</v>
      </c>
      <c r="E1942" s="7">
        <v>2022</v>
      </c>
    </row>
    <row r="1943" spans="1:5" x14ac:dyDescent="0.25">
      <c r="A1943" s="5" t="s">
        <v>6</v>
      </c>
      <c r="B1943" s="5" t="s">
        <v>5138</v>
      </c>
      <c r="C1943" s="1" t="s">
        <v>4847</v>
      </c>
      <c r="D1943" s="1" t="s">
        <v>4848</v>
      </c>
      <c r="E1943" s="7">
        <v>4788</v>
      </c>
    </row>
    <row r="1944" spans="1:5" x14ac:dyDescent="0.25">
      <c r="A1944" s="5" t="s">
        <v>6</v>
      </c>
      <c r="B1944" s="5" t="s">
        <v>5139</v>
      </c>
      <c r="C1944" s="1" t="s">
        <v>4855</v>
      </c>
      <c r="D1944" s="1" t="s">
        <v>4856</v>
      </c>
      <c r="E1944" s="7">
        <v>9942</v>
      </c>
    </row>
    <row r="1945" spans="1:5" x14ac:dyDescent="0.25">
      <c r="A1945" s="5" t="s">
        <v>6</v>
      </c>
      <c r="B1945" s="5" t="s">
        <v>5140</v>
      </c>
      <c r="C1945" s="1" t="s">
        <v>4852</v>
      </c>
      <c r="D1945" s="1" t="s">
        <v>4853</v>
      </c>
      <c r="E1945" s="7">
        <v>11242</v>
      </c>
    </row>
    <row r="1946" spans="1:5" x14ac:dyDescent="0.25">
      <c r="A1946" s="5" t="s">
        <v>6</v>
      </c>
      <c r="B1946" s="5" t="s">
        <v>5141</v>
      </c>
      <c r="C1946" s="1" t="s">
        <v>4864</v>
      </c>
      <c r="D1946" s="1" t="s">
        <v>4865</v>
      </c>
      <c r="E1946" s="7">
        <v>1269</v>
      </c>
    </row>
    <row r="1947" spans="1:5" x14ac:dyDescent="0.25">
      <c r="A1947" s="5" t="s">
        <v>6</v>
      </c>
      <c r="B1947" s="5" t="s">
        <v>5142</v>
      </c>
      <c r="C1947" s="1" t="s">
        <v>5143</v>
      </c>
      <c r="D1947" s="1" t="s">
        <v>5144</v>
      </c>
      <c r="E1947" s="7">
        <v>2044</v>
      </c>
    </row>
    <row r="1948" spans="1:5" x14ac:dyDescent="0.25">
      <c r="A1948" s="5" t="s">
        <v>6</v>
      </c>
      <c r="B1948" s="5" t="s">
        <v>5145</v>
      </c>
      <c r="C1948" s="1" t="s">
        <v>4738</v>
      </c>
      <c r="D1948" s="1" t="s">
        <v>4739</v>
      </c>
      <c r="E1948" s="7">
        <v>1290</v>
      </c>
    </row>
    <row r="1949" spans="1:5" x14ac:dyDescent="0.25">
      <c r="A1949" s="5" t="s">
        <v>6</v>
      </c>
      <c r="B1949" s="5" t="s">
        <v>5146</v>
      </c>
      <c r="C1949" s="1" t="s">
        <v>4455</v>
      </c>
      <c r="D1949" s="1" t="s">
        <v>4456</v>
      </c>
      <c r="E1949" s="7">
        <v>8315</v>
      </c>
    </row>
    <row r="1950" spans="1:5" x14ac:dyDescent="0.25">
      <c r="A1950" s="5" t="s">
        <v>6</v>
      </c>
      <c r="B1950" s="5" t="s">
        <v>5147</v>
      </c>
      <c r="C1950" s="1" t="s">
        <v>5148</v>
      </c>
      <c r="D1950" s="1" t="s">
        <v>5149</v>
      </c>
      <c r="E1950" s="7">
        <v>2061</v>
      </c>
    </row>
    <row r="1951" spans="1:5" x14ac:dyDescent="0.25">
      <c r="A1951" s="5" t="s">
        <v>6</v>
      </c>
      <c r="B1951" s="5" t="s">
        <v>5150</v>
      </c>
      <c r="C1951" s="1" t="s">
        <v>5151</v>
      </c>
      <c r="D1951" s="1" t="s">
        <v>5152</v>
      </c>
      <c r="E1951" s="7">
        <v>1734</v>
      </c>
    </row>
    <row r="1952" spans="1:5" x14ac:dyDescent="0.25">
      <c r="A1952" s="5" t="s">
        <v>6</v>
      </c>
      <c r="B1952" s="5" t="s">
        <v>5153</v>
      </c>
      <c r="C1952" s="1" t="s">
        <v>5154</v>
      </c>
      <c r="D1952" s="1" t="s">
        <v>5155</v>
      </c>
      <c r="E1952" s="7">
        <v>5246</v>
      </c>
    </row>
    <row r="1953" spans="1:5" x14ac:dyDescent="0.25">
      <c r="A1953" s="5" t="s">
        <v>6</v>
      </c>
      <c r="B1953" s="5" t="s">
        <v>5156</v>
      </c>
      <c r="C1953" s="1" t="s">
        <v>5157</v>
      </c>
      <c r="D1953" s="1" t="s">
        <v>5158</v>
      </c>
      <c r="E1953" s="7">
        <v>3495</v>
      </c>
    </row>
    <row r="1954" spans="1:5" x14ac:dyDescent="0.25">
      <c r="A1954" s="5" t="s">
        <v>6</v>
      </c>
      <c r="B1954" s="5" t="s">
        <v>5159</v>
      </c>
      <c r="C1954" s="1" t="s">
        <v>5160</v>
      </c>
      <c r="D1954" s="1" t="s">
        <v>5161</v>
      </c>
      <c r="E1954" s="7">
        <v>1542</v>
      </c>
    </row>
    <row r="1955" spans="1:5" x14ac:dyDescent="0.25">
      <c r="A1955" s="5" t="s">
        <v>6</v>
      </c>
      <c r="B1955" s="5" t="s">
        <v>5162</v>
      </c>
      <c r="C1955" s="1" t="s">
        <v>5163</v>
      </c>
      <c r="D1955" s="1" t="s">
        <v>5164</v>
      </c>
      <c r="E1955" s="7">
        <v>2368</v>
      </c>
    </row>
    <row r="1956" spans="1:5" x14ac:dyDescent="0.25">
      <c r="A1956" s="5" t="s">
        <v>6</v>
      </c>
      <c r="B1956" s="5" t="s">
        <v>5165</v>
      </c>
      <c r="C1956" s="1" t="s">
        <v>4474</v>
      </c>
      <c r="D1956" s="1" t="s">
        <v>4475</v>
      </c>
      <c r="E1956" s="7">
        <v>3132</v>
      </c>
    </row>
    <row r="1957" spans="1:5" x14ac:dyDescent="0.25">
      <c r="A1957" s="5" t="s">
        <v>6</v>
      </c>
      <c r="B1957" s="5" t="s">
        <v>5166</v>
      </c>
      <c r="C1957" s="1" t="s">
        <v>5167</v>
      </c>
      <c r="D1957" s="1" t="s">
        <v>5168</v>
      </c>
      <c r="E1957" s="7">
        <v>2478</v>
      </c>
    </row>
    <row r="1958" spans="1:5" x14ac:dyDescent="0.25">
      <c r="A1958" s="5" t="s">
        <v>6</v>
      </c>
      <c r="B1958" s="5" t="s">
        <v>5169</v>
      </c>
      <c r="C1958" s="1" t="s">
        <v>5170</v>
      </c>
      <c r="D1958" s="1" t="s">
        <v>5171</v>
      </c>
      <c r="E1958" s="7">
        <v>1069</v>
      </c>
    </row>
    <row r="1959" spans="1:5" x14ac:dyDescent="0.25">
      <c r="A1959" s="5" t="s">
        <v>6</v>
      </c>
      <c r="B1959" s="5" t="s">
        <v>5172</v>
      </c>
      <c r="C1959" s="1" t="s">
        <v>4586</v>
      </c>
      <c r="D1959" s="1" t="s">
        <v>4587</v>
      </c>
      <c r="E1959" s="7">
        <v>1610</v>
      </c>
    </row>
    <row r="1960" spans="1:5" x14ac:dyDescent="0.25">
      <c r="A1960" s="5" t="s">
        <v>6</v>
      </c>
      <c r="B1960" s="5" t="s">
        <v>5173</v>
      </c>
      <c r="C1960" s="1" t="s">
        <v>5174</v>
      </c>
      <c r="D1960" s="1" t="s">
        <v>5175</v>
      </c>
      <c r="E1960" s="7">
        <v>1926</v>
      </c>
    </row>
    <row r="1961" spans="1:5" x14ac:dyDescent="0.25">
      <c r="A1961" s="5" t="s">
        <v>6</v>
      </c>
      <c r="B1961" s="5" t="s">
        <v>5176</v>
      </c>
      <c r="C1961" s="1" t="s">
        <v>5177</v>
      </c>
      <c r="D1961" s="1" t="s">
        <v>5178</v>
      </c>
      <c r="E1961" s="7">
        <v>2225</v>
      </c>
    </row>
    <row r="1962" spans="1:5" x14ac:dyDescent="0.25">
      <c r="A1962" s="5" t="s">
        <v>6</v>
      </c>
      <c r="B1962" s="5" t="s">
        <v>5179</v>
      </c>
      <c r="C1962" s="1" t="s">
        <v>5180</v>
      </c>
      <c r="D1962" s="1" t="s">
        <v>5181</v>
      </c>
      <c r="E1962" s="7">
        <v>4075</v>
      </c>
    </row>
    <row r="1963" spans="1:5" x14ac:dyDescent="0.25">
      <c r="A1963" s="5" t="s">
        <v>6</v>
      </c>
      <c r="B1963" s="5" t="s">
        <v>5182</v>
      </c>
      <c r="C1963" s="1" t="s">
        <v>5183</v>
      </c>
      <c r="D1963" s="1" t="s">
        <v>5184</v>
      </c>
      <c r="E1963" s="7">
        <v>2363</v>
      </c>
    </row>
    <row r="1964" spans="1:5" x14ac:dyDescent="0.25">
      <c r="A1964" s="5" t="s">
        <v>6</v>
      </c>
      <c r="B1964" s="5" t="s">
        <v>5185</v>
      </c>
      <c r="C1964" s="1" t="s">
        <v>5186</v>
      </c>
      <c r="D1964" s="1" t="s">
        <v>5187</v>
      </c>
      <c r="E1964" s="7">
        <v>1318</v>
      </c>
    </row>
    <row r="1965" spans="1:5" x14ac:dyDescent="0.25">
      <c r="A1965" s="5" t="s">
        <v>6</v>
      </c>
      <c r="B1965" s="5" t="s">
        <v>5188</v>
      </c>
      <c r="C1965" s="1" t="s">
        <v>5189</v>
      </c>
      <c r="D1965" s="1" t="s">
        <v>5190</v>
      </c>
      <c r="E1965" s="7">
        <v>1041</v>
      </c>
    </row>
    <row r="1966" spans="1:5" x14ac:dyDescent="0.25">
      <c r="A1966" s="5" t="s">
        <v>6</v>
      </c>
      <c r="B1966" s="5" t="s">
        <v>5191</v>
      </c>
      <c r="C1966" s="1" t="s">
        <v>5192</v>
      </c>
      <c r="D1966" s="1" t="s">
        <v>5193</v>
      </c>
      <c r="E1966" s="7">
        <v>1468</v>
      </c>
    </row>
    <row r="1967" spans="1:5" x14ac:dyDescent="0.25">
      <c r="A1967" s="5" t="s">
        <v>6</v>
      </c>
      <c r="B1967" s="5" t="s">
        <v>5194</v>
      </c>
      <c r="C1967" s="1" t="s">
        <v>5195</v>
      </c>
      <c r="D1967" s="1" t="s">
        <v>5196</v>
      </c>
      <c r="E1967" s="7">
        <v>849</v>
      </c>
    </row>
    <row r="1968" spans="1:5" x14ac:dyDescent="0.25">
      <c r="A1968" s="5" t="s">
        <v>6</v>
      </c>
      <c r="B1968" s="5" t="s">
        <v>5197</v>
      </c>
      <c r="C1968" s="1" t="s">
        <v>5198</v>
      </c>
      <c r="D1968" s="1" t="s">
        <v>5199</v>
      </c>
      <c r="E1968" s="7">
        <v>3532</v>
      </c>
    </row>
    <row r="1969" spans="1:5" x14ac:dyDescent="0.25">
      <c r="A1969" s="5" t="s">
        <v>6</v>
      </c>
      <c r="B1969" s="5" t="s">
        <v>5200</v>
      </c>
      <c r="C1969" s="1" t="s">
        <v>5201</v>
      </c>
      <c r="D1969" s="1" t="s">
        <v>5202</v>
      </c>
      <c r="E1969" s="7">
        <v>2247</v>
      </c>
    </row>
    <row r="1970" spans="1:5" x14ac:dyDescent="0.25">
      <c r="A1970" s="5" t="s">
        <v>6</v>
      </c>
      <c r="B1970" s="5" t="s">
        <v>5203</v>
      </c>
      <c r="C1970" s="1" t="s">
        <v>5204</v>
      </c>
      <c r="D1970" s="1" t="s">
        <v>5205</v>
      </c>
      <c r="E1970" s="7">
        <v>3172</v>
      </c>
    </row>
    <row r="1971" spans="1:5" x14ac:dyDescent="0.25">
      <c r="A1971" s="5" t="s">
        <v>6</v>
      </c>
      <c r="B1971" s="5" t="s">
        <v>5206</v>
      </c>
      <c r="C1971" s="1" t="s">
        <v>5207</v>
      </c>
      <c r="D1971" s="1" t="s">
        <v>5208</v>
      </c>
      <c r="E1971" s="7">
        <v>1987</v>
      </c>
    </row>
    <row r="1972" spans="1:5" x14ac:dyDescent="0.25">
      <c r="A1972" s="5" t="s">
        <v>6</v>
      </c>
      <c r="B1972" s="5" t="s">
        <v>5209</v>
      </c>
      <c r="C1972" s="1" t="s">
        <v>5210</v>
      </c>
      <c r="D1972" s="1" t="s">
        <v>5211</v>
      </c>
      <c r="E1972" s="7">
        <v>1617</v>
      </c>
    </row>
    <row r="1973" spans="1:5" x14ac:dyDescent="0.25">
      <c r="A1973" s="5" t="s">
        <v>6</v>
      </c>
      <c r="B1973" s="5" t="s">
        <v>5212</v>
      </c>
      <c r="C1973" s="1" t="s">
        <v>5213</v>
      </c>
      <c r="D1973" s="1" t="s">
        <v>5214</v>
      </c>
      <c r="E1973" s="7">
        <v>1987</v>
      </c>
    </row>
    <row r="1974" spans="1:5" x14ac:dyDescent="0.25">
      <c r="A1974" s="5" t="s">
        <v>6</v>
      </c>
      <c r="B1974" s="5" t="s">
        <v>5215</v>
      </c>
      <c r="C1974" s="1" t="s">
        <v>5216</v>
      </c>
      <c r="D1974" s="1" t="s">
        <v>5217</v>
      </c>
      <c r="E1974" s="7">
        <v>2698</v>
      </c>
    </row>
    <row r="1975" spans="1:5" x14ac:dyDescent="0.25">
      <c r="A1975" s="5" t="s">
        <v>6</v>
      </c>
      <c r="B1975" s="5" t="s">
        <v>5218</v>
      </c>
      <c r="C1975" s="1" t="s">
        <v>5219</v>
      </c>
      <c r="D1975" s="1" t="s">
        <v>5220</v>
      </c>
      <c r="E1975" s="7">
        <v>1958</v>
      </c>
    </row>
    <row r="1976" spans="1:5" x14ac:dyDescent="0.25">
      <c r="A1976" s="5" t="s">
        <v>6</v>
      </c>
      <c r="B1976" s="5" t="s">
        <v>5221</v>
      </c>
      <c r="C1976" s="1" t="s">
        <v>5222</v>
      </c>
      <c r="D1976" s="1" t="s">
        <v>5223</v>
      </c>
      <c r="E1976" s="7">
        <v>1132</v>
      </c>
    </row>
    <row r="1977" spans="1:5" x14ac:dyDescent="0.25">
      <c r="A1977" s="5" t="s">
        <v>6</v>
      </c>
      <c r="B1977" s="5" t="s">
        <v>5224</v>
      </c>
      <c r="C1977" s="1" t="s">
        <v>5225</v>
      </c>
      <c r="D1977" s="1" t="s">
        <v>5226</v>
      </c>
      <c r="E1977" s="7">
        <v>3888</v>
      </c>
    </row>
    <row r="1978" spans="1:5" x14ac:dyDescent="0.25">
      <c r="A1978" s="5" t="s">
        <v>6</v>
      </c>
      <c r="B1978" s="5" t="s">
        <v>5227</v>
      </c>
      <c r="C1978" s="1" t="s">
        <v>5228</v>
      </c>
      <c r="D1978" s="1" t="s">
        <v>5229</v>
      </c>
      <c r="E1978" s="7">
        <v>3223</v>
      </c>
    </row>
    <row r="1979" spans="1:5" x14ac:dyDescent="0.25">
      <c r="A1979" s="5" t="s">
        <v>6</v>
      </c>
      <c r="B1979" s="5" t="s">
        <v>5230</v>
      </c>
      <c r="C1979" s="1" t="s">
        <v>5231</v>
      </c>
      <c r="D1979" s="1" t="s">
        <v>5232</v>
      </c>
      <c r="E1979" s="7">
        <v>1881</v>
      </c>
    </row>
    <row r="1980" spans="1:5" x14ac:dyDescent="0.25">
      <c r="A1980" s="5" t="s">
        <v>6</v>
      </c>
      <c r="B1980" s="5" t="s">
        <v>5233</v>
      </c>
      <c r="C1980" s="1" t="s">
        <v>5234</v>
      </c>
      <c r="D1980" s="1" t="s">
        <v>5235</v>
      </c>
      <c r="E1980" s="7">
        <v>3467</v>
      </c>
    </row>
    <row r="1981" spans="1:5" x14ac:dyDescent="0.25">
      <c r="A1981" s="5" t="s">
        <v>6</v>
      </c>
      <c r="B1981" s="5" t="s">
        <v>5236</v>
      </c>
      <c r="C1981" s="1" t="s">
        <v>5237</v>
      </c>
      <c r="D1981" s="1" t="s">
        <v>5238</v>
      </c>
      <c r="E1981" s="7">
        <v>3356</v>
      </c>
    </row>
    <row r="1982" spans="1:5" x14ac:dyDescent="0.25">
      <c r="A1982" s="5" t="s">
        <v>6</v>
      </c>
      <c r="B1982" s="5" t="s">
        <v>5239</v>
      </c>
      <c r="C1982" s="1" t="s">
        <v>5240</v>
      </c>
      <c r="D1982" s="1" t="s">
        <v>5241</v>
      </c>
      <c r="E1982" s="7">
        <v>1553</v>
      </c>
    </row>
    <row r="1983" spans="1:5" x14ac:dyDescent="0.25">
      <c r="A1983" s="5" t="s">
        <v>6</v>
      </c>
      <c r="B1983" s="5" t="s">
        <v>5242</v>
      </c>
      <c r="C1983" s="1" t="s">
        <v>5243</v>
      </c>
      <c r="D1983" s="1" t="s">
        <v>5244</v>
      </c>
      <c r="E1983" s="7">
        <v>2323</v>
      </c>
    </row>
    <row r="1984" spans="1:5" x14ac:dyDescent="0.25">
      <c r="A1984" s="5" t="s">
        <v>6</v>
      </c>
      <c r="B1984" s="5" t="s">
        <v>5245</v>
      </c>
      <c r="C1984" s="1" t="s">
        <v>5246</v>
      </c>
      <c r="D1984" s="1" t="s">
        <v>5247</v>
      </c>
      <c r="E1984" s="7">
        <v>2607</v>
      </c>
    </row>
    <row r="1985" spans="1:5" x14ac:dyDescent="0.25">
      <c r="A1985" s="5" t="s">
        <v>6</v>
      </c>
      <c r="B1985" s="5" t="s">
        <v>5248</v>
      </c>
      <c r="C1985" s="1" t="s">
        <v>5249</v>
      </c>
      <c r="D1985" s="1" t="s">
        <v>5250</v>
      </c>
      <c r="E1985" s="7">
        <v>2041</v>
      </c>
    </row>
    <row r="1986" spans="1:5" x14ac:dyDescent="0.25">
      <c r="A1986" s="5" t="s">
        <v>6</v>
      </c>
      <c r="B1986" s="5" t="s">
        <v>5251</v>
      </c>
      <c r="C1986" s="1" t="s">
        <v>5252</v>
      </c>
      <c r="D1986" s="1" t="s">
        <v>5253</v>
      </c>
      <c r="E1986" s="7">
        <v>2941</v>
      </c>
    </row>
    <row r="1987" spans="1:5" x14ac:dyDescent="0.25">
      <c r="A1987" s="5" t="s">
        <v>6</v>
      </c>
      <c r="B1987" s="5" t="s">
        <v>5254</v>
      </c>
      <c r="C1987" s="1" t="s">
        <v>5255</v>
      </c>
      <c r="D1987" s="1" t="s">
        <v>5256</v>
      </c>
      <c r="E1987" s="7">
        <v>1025</v>
      </c>
    </row>
    <row r="1988" spans="1:5" x14ac:dyDescent="0.25">
      <c r="A1988" s="5" t="s">
        <v>6</v>
      </c>
      <c r="B1988" s="5" t="s">
        <v>5257</v>
      </c>
      <c r="C1988" s="1" t="s">
        <v>5258</v>
      </c>
      <c r="D1988" s="1" t="s">
        <v>5259</v>
      </c>
      <c r="E1988" s="7">
        <v>931</v>
      </c>
    </row>
    <row r="1989" spans="1:5" x14ac:dyDescent="0.25">
      <c r="A1989" s="5" t="s">
        <v>6</v>
      </c>
      <c r="B1989" s="5" t="s">
        <v>5260</v>
      </c>
      <c r="C1989" s="1" t="s">
        <v>5261</v>
      </c>
      <c r="D1989" s="1" t="s">
        <v>5262</v>
      </c>
      <c r="E1989" s="7">
        <v>931</v>
      </c>
    </row>
    <row r="1990" spans="1:5" x14ac:dyDescent="0.25">
      <c r="A1990" s="5" t="s">
        <v>6</v>
      </c>
      <c r="B1990" s="5" t="s">
        <v>5263</v>
      </c>
      <c r="C1990" s="1" t="s">
        <v>5264</v>
      </c>
      <c r="D1990" s="1" t="s">
        <v>5265</v>
      </c>
      <c r="E1990" s="7">
        <v>4552</v>
      </c>
    </row>
    <row r="1991" spans="1:5" x14ac:dyDescent="0.25">
      <c r="A1991" s="5" t="s">
        <v>6</v>
      </c>
      <c r="B1991" s="5" t="s">
        <v>5266</v>
      </c>
      <c r="C1991" s="1" t="s">
        <v>3862</v>
      </c>
      <c r="D1991" s="1" t="s">
        <v>3863</v>
      </c>
      <c r="E1991" s="7">
        <v>3945</v>
      </c>
    </row>
    <row r="1992" spans="1:5" x14ac:dyDescent="0.25">
      <c r="A1992" s="5" t="s">
        <v>6</v>
      </c>
      <c r="B1992" s="5" t="s">
        <v>5267</v>
      </c>
      <c r="C1992" s="1" t="s">
        <v>4687</v>
      </c>
      <c r="D1992" s="1" t="s">
        <v>4688</v>
      </c>
      <c r="E1992" s="7">
        <v>1264</v>
      </c>
    </row>
    <row r="1993" spans="1:5" x14ac:dyDescent="0.25">
      <c r="A1993" s="5" t="s">
        <v>6</v>
      </c>
      <c r="B1993" s="5" t="s">
        <v>5268</v>
      </c>
      <c r="C1993" s="1" t="s">
        <v>5269</v>
      </c>
      <c r="D1993" s="1" t="s">
        <v>5270</v>
      </c>
      <c r="E1993" s="7">
        <v>2819</v>
      </c>
    </row>
    <row r="1994" spans="1:5" x14ac:dyDescent="0.25">
      <c r="A1994" s="5" t="s">
        <v>6</v>
      </c>
      <c r="B1994" s="5" t="s">
        <v>5271</v>
      </c>
      <c r="C1994" s="1" t="s">
        <v>5272</v>
      </c>
      <c r="D1994" s="1" t="s">
        <v>5273</v>
      </c>
      <c r="E1994" s="7">
        <v>2753</v>
      </c>
    </row>
    <row r="1995" spans="1:5" x14ac:dyDescent="0.25">
      <c r="A1995" s="5" t="s">
        <v>6</v>
      </c>
      <c r="B1995" s="5" t="s">
        <v>5274</v>
      </c>
      <c r="C1995" s="1" t="s">
        <v>5275</v>
      </c>
      <c r="D1995" s="1" t="s">
        <v>5164</v>
      </c>
      <c r="E1995" s="7">
        <v>2306</v>
      </c>
    </row>
    <row r="1996" spans="1:5" x14ac:dyDescent="0.25">
      <c r="A1996" s="5" t="s">
        <v>6</v>
      </c>
      <c r="B1996" s="5" t="s">
        <v>5276</v>
      </c>
      <c r="C1996" s="1" t="s">
        <v>5277</v>
      </c>
      <c r="D1996" s="1" t="s">
        <v>5278</v>
      </c>
      <c r="E1996" s="7">
        <v>1433</v>
      </c>
    </row>
    <row r="1997" spans="1:5" x14ac:dyDescent="0.25">
      <c r="A1997" s="5" t="s">
        <v>6</v>
      </c>
      <c r="B1997" s="5" t="s">
        <v>5279</v>
      </c>
      <c r="C1997" s="1" t="s">
        <v>5280</v>
      </c>
      <c r="D1997" s="1" t="s">
        <v>5281</v>
      </c>
      <c r="E1997" s="7">
        <v>2006</v>
      </c>
    </row>
    <row r="1998" spans="1:5" x14ac:dyDescent="0.25">
      <c r="A1998" s="5" t="s">
        <v>6</v>
      </c>
      <c r="B1998" s="5" t="s">
        <v>5282</v>
      </c>
      <c r="C1998" s="1" t="s">
        <v>5283</v>
      </c>
      <c r="D1998" s="1" t="s">
        <v>5284</v>
      </c>
      <c r="E1998" s="7">
        <v>1440</v>
      </c>
    </row>
    <row r="1999" spans="1:5" x14ac:dyDescent="0.25">
      <c r="A1999" s="5" t="s">
        <v>6</v>
      </c>
      <c r="B1999" s="5" t="s">
        <v>5285</v>
      </c>
      <c r="C1999" s="1" t="s">
        <v>5286</v>
      </c>
      <c r="D1999" s="1" t="s">
        <v>5287</v>
      </c>
      <c r="E1999" s="7">
        <v>1440</v>
      </c>
    </row>
    <row r="2000" spans="1:5" x14ac:dyDescent="0.25">
      <c r="A2000" s="5" t="s">
        <v>6</v>
      </c>
      <c r="B2000" s="5" t="s">
        <v>5288</v>
      </c>
      <c r="C2000" s="1" t="s">
        <v>5289</v>
      </c>
      <c r="D2000" s="1" t="s">
        <v>5290</v>
      </c>
      <c r="E2000" s="7">
        <v>606</v>
      </c>
    </row>
    <row r="2001" spans="1:5" x14ac:dyDescent="0.25">
      <c r="A2001" s="5" t="s">
        <v>6</v>
      </c>
      <c r="B2001" s="5" t="s">
        <v>5291</v>
      </c>
      <c r="C2001" s="1" t="s">
        <v>4778</v>
      </c>
      <c r="D2001" s="1" t="s">
        <v>4779</v>
      </c>
      <c r="E2001" s="7">
        <v>22017</v>
      </c>
    </row>
    <row r="2002" spans="1:5" x14ac:dyDescent="0.25">
      <c r="A2002" s="5" t="s">
        <v>6</v>
      </c>
      <c r="B2002" s="5" t="s">
        <v>5292</v>
      </c>
      <c r="C2002" s="1" t="s">
        <v>5117</v>
      </c>
      <c r="D2002" s="1" t="s">
        <v>5118</v>
      </c>
      <c r="E2002" s="7">
        <v>2061</v>
      </c>
    </row>
    <row r="2003" spans="1:5" x14ac:dyDescent="0.25">
      <c r="A2003" s="5" t="s">
        <v>6</v>
      </c>
      <c r="B2003" s="5" t="s">
        <v>5293</v>
      </c>
      <c r="C2003" s="1" t="s">
        <v>4844</v>
      </c>
      <c r="D2003" s="1" t="s">
        <v>4845</v>
      </c>
      <c r="E2003" s="7">
        <v>2075</v>
      </c>
    </row>
    <row r="2004" spans="1:5" x14ac:dyDescent="0.25">
      <c r="A2004" s="5" t="s">
        <v>6</v>
      </c>
      <c r="B2004" s="5" t="s">
        <v>5294</v>
      </c>
      <c r="C2004" s="1" t="s">
        <v>5109</v>
      </c>
      <c r="D2004" s="1" t="s">
        <v>5110</v>
      </c>
      <c r="E2004" s="7">
        <v>2015</v>
      </c>
    </row>
    <row r="2005" spans="1:5" x14ac:dyDescent="0.25">
      <c r="A2005" s="5" t="s">
        <v>6</v>
      </c>
      <c r="B2005" s="5" t="s">
        <v>5295</v>
      </c>
      <c r="C2005" s="1" t="s">
        <v>4747</v>
      </c>
      <c r="D2005" s="1" t="s">
        <v>4748</v>
      </c>
      <c r="E2005" s="7">
        <v>2075</v>
      </c>
    </row>
    <row r="2006" spans="1:5" x14ac:dyDescent="0.25">
      <c r="A2006" s="5" t="s">
        <v>6</v>
      </c>
      <c r="B2006" s="5" t="s">
        <v>5296</v>
      </c>
      <c r="C2006" s="1" t="s">
        <v>5297</v>
      </c>
      <c r="D2006" s="1" t="s">
        <v>5298</v>
      </c>
      <c r="E2006" s="7">
        <v>1112</v>
      </c>
    </row>
    <row r="2007" spans="1:5" x14ac:dyDescent="0.25">
      <c r="A2007" s="5" t="s">
        <v>6</v>
      </c>
      <c r="B2007" s="5" t="s">
        <v>5299</v>
      </c>
      <c r="C2007" s="1" t="s">
        <v>5128</v>
      </c>
      <c r="D2007" s="1" t="s">
        <v>5129</v>
      </c>
      <c r="E2007" s="7">
        <v>4168</v>
      </c>
    </row>
    <row r="2008" spans="1:5" x14ac:dyDescent="0.25">
      <c r="A2008" s="5" t="s">
        <v>6</v>
      </c>
      <c r="B2008" s="5" t="s">
        <v>5300</v>
      </c>
      <c r="C2008" s="1" t="s">
        <v>4412</v>
      </c>
      <c r="D2008" s="1" t="s">
        <v>5301</v>
      </c>
      <c r="E2008" s="7">
        <v>195</v>
      </c>
    </row>
    <row r="2009" spans="1:5" x14ac:dyDescent="0.25">
      <c r="A2009" s="5" t="s">
        <v>6</v>
      </c>
      <c r="B2009" s="5" t="s">
        <v>5302</v>
      </c>
      <c r="C2009" s="1" t="s">
        <v>5303</v>
      </c>
      <c r="D2009" s="1" t="s">
        <v>5304</v>
      </c>
      <c r="E2009" s="7">
        <v>2064</v>
      </c>
    </row>
    <row r="2010" spans="1:5" x14ac:dyDescent="0.25">
      <c r="A2010" s="5" t="s">
        <v>6</v>
      </c>
      <c r="B2010" s="5" t="s">
        <v>5305</v>
      </c>
      <c r="C2010" s="1" t="s">
        <v>4847</v>
      </c>
      <c r="D2010" s="1" t="s">
        <v>4848</v>
      </c>
      <c r="E2010" s="7">
        <v>5155</v>
      </c>
    </row>
    <row r="2011" spans="1:5" x14ac:dyDescent="0.25">
      <c r="A2011" s="5" t="s">
        <v>6</v>
      </c>
      <c r="B2011" s="5" t="s">
        <v>5306</v>
      </c>
      <c r="C2011" s="1" t="s">
        <v>5307</v>
      </c>
      <c r="D2011" s="1" t="s">
        <v>5308</v>
      </c>
      <c r="E2011" s="7">
        <v>6817</v>
      </c>
    </row>
    <row r="2012" spans="1:5" x14ac:dyDescent="0.25">
      <c r="A2012" s="5" t="s">
        <v>6</v>
      </c>
      <c r="B2012" s="5" t="s">
        <v>5309</v>
      </c>
      <c r="C2012" s="1" t="s">
        <v>5310</v>
      </c>
      <c r="D2012" s="1" t="s">
        <v>5311</v>
      </c>
      <c r="E2012" s="7">
        <v>886</v>
      </c>
    </row>
    <row r="2013" spans="1:5" x14ac:dyDescent="0.25">
      <c r="A2013" s="5" t="s">
        <v>6</v>
      </c>
      <c r="B2013" s="5" t="s">
        <v>5312</v>
      </c>
      <c r="C2013" s="1" t="s">
        <v>5313</v>
      </c>
      <c r="D2013" s="1" t="s">
        <v>5314</v>
      </c>
      <c r="E2013" s="7">
        <v>2908</v>
      </c>
    </row>
    <row r="2014" spans="1:5" x14ac:dyDescent="0.25">
      <c r="A2014" s="5" t="s">
        <v>6</v>
      </c>
      <c r="B2014" s="5" t="s">
        <v>5315</v>
      </c>
      <c r="C2014" s="1" t="s">
        <v>5316</v>
      </c>
      <c r="D2014" s="1" t="s">
        <v>5317</v>
      </c>
      <c r="E2014" s="7">
        <v>850</v>
      </c>
    </row>
    <row r="2015" spans="1:5" x14ac:dyDescent="0.25">
      <c r="A2015" s="5" t="s">
        <v>6</v>
      </c>
      <c r="B2015" s="5" t="s">
        <v>5318</v>
      </c>
      <c r="C2015" s="1" t="s">
        <v>4855</v>
      </c>
      <c r="D2015" s="1" t="s">
        <v>4856</v>
      </c>
      <c r="E2015" s="7">
        <v>8992</v>
      </c>
    </row>
    <row r="2016" spans="1:5" x14ac:dyDescent="0.25">
      <c r="A2016" s="5" t="s">
        <v>6</v>
      </c>
      <c r="B2016" s="5" t="s">
        <v>5319</v>
      </c>
      <c r="C2016" s="1" t="s">
        <v>4852</v>
      </c>
      <c r="D2016" s="1" t="s">
        <v>4853</v>
      </c>
      <c r="E2016" s="7">
        <v>8315</v>
      </c>
    </row>
    <row r="2017" spans="1:5" x14ac:dyDescent="0.25">
      <c r="A2017" s="5" t="s">
        <v>6</v>
      </c>
      <c r="B2017" s="5" t="s">
        <v>5320</v>
      </c>
      <c r="C2017" s="1" t="s">
        <v>5321</v>
      </c>
      <c r="D2017" s="1" t="s">
        <v>5322</v>
      </c>
      <c r="E2017" s="7">
        <v>7806</v>
      </c>
    </row>
    <row r="2018" spans="1:5" x14ac:dyDescent="0.25">
      <c r="A2018" s="5" t="s">
        <v>6</v>
      </c>
      <c r="B2018" s="5" t="s">
        <v>5323</v>
      </c>
      <c r="C2018" s="1" t="s">
        <v>5324</v>
      </c>
      <c r="D2018" s="1" t="s">
        <v>5325</v>
      </c>
      <c r="E2018" s="7">
        <v>415</v>
      </c>
    </row>
    <row r="2019" spans="1:5" x14ac:dyDescent="0.25">
      <c r="A2019" s="5" t="s">
        <v>6</v>
      </c>
      <c r="B2019" s="5" t="s">
        <v>5326</v>
      </c>
      <c r="C2019" s="1" t="s">
        <v>5327</v>
      </c>
      <c r="D2019" s="1" t="s">
        <v>5328</v>
      </c>
      <c r="E2019" s="7">
        <v>7014</v>
      </c>
    </row>
    <row r="2020" spans="1:5" x14ac:dyDescent="0.25">
      <c r="A2020" s="5" t="s">
        <v>6</v>
      </c>
      <c r="B2020" s="5" t="s">
        <v>5329</v>
      </c>
      <c r="C2020" s="1" t="s">
        <v>5330</v>
      </c>
      <c r="D2020" s="1" t="s">
        <v>5331</v>
      </c>
      <c r="E2020" s="7">
        <v>5311</v>
      </c>
    </row>
    <row r="2021" spans="1:5" x14ac:dyDescent="0.25">
      <c r="A2021" s="5" t="s">
        <v>6</v>
      </c>
      <c r="B2021" s="5" t="s">
        <v>5332</v>
      </c>
      <c r="C2021" s="1" t="s">
        <v>5333</v>
      </c>
      <c r="D2021" s="1" t="s">
        <v>5334</v>
      </c>
      <c r="E2021" s="7">
        <v>2300</v>
      </c>
    </row>
    <row r="2022" spans="1:5" x14ac:dyDescent="0.25">
      <c r="A2022" s="5" t="s">
        <v>6</v>
      </c>
      <c r="B2022" s="5" t="s">
        <v>5335</v>
      </c>
      <c r="C2022" s="1" t="s">
        <v>5336</v>
      </c>
      <c r="D2022" s="1" t="s">
        <v>5337</v>
      </c>
      <c r="E2022" s="7">
        <v>6070</v>
      </c>
    </row>
    <row r="2023" spans="1:5" x14ac:dyDescent="0.25">
      <c r="A2023" s="5" t="s">
        <v>6</v>
      </c>
      <c r="B2023" s="5" t="s">
        <v>5338</v>
      </c>
      <c r="C2023" s="1" t="s">
        <v>5339</v>
      </c>
      <c r="D2023" s="1" t="s">
        <v>5340</v>
      </c>
      <c r="E2023" s="7">
        <v>3036</v>
      </c>
    </row>
    <row r="2024" spans="1:5" x14ac:dyDescent="0.25">
      <c r="A2024" s="5" t="s">
        <v>6</v>
      </c>
      <c r="B2024" s="5" t="s">
        <v>5341</v>
      </c>
      <c r="C2024" s="1" t="s">
        <v>5342</v>
      </c>
      <c r="D2024" s="1" t="s">
        <v>203</v>
      </c>
      <c r="E2024" s="7">
        <v>959</v>
      </c>
    </row>
    <row r="2025" spans="1:5" x14ac:dyDescent="0.25">
      <c r="A2025" s="5" t="s">
        <v>6</v>
      </c>
      <c r="B2025" s="5" t="s">
        <v>5343</v>
      </c>
      <c r="C2025" s="1" t="s">
        <v>5344</v>
      </c>
      <c r="D2025" s="1" t="s">
        <v>5345</v>
      </c>
      <c r="E2025" s="7">
        <v>141</v>
      </c>
    </row>
    <row r="2026" spans="1:5" x14ac:dyDescent="0.25">
      <c r="A2026" s="5" t="s">
        <v>6</v>
      </c>
      <c r="B2026" s="5" t="s">
        <v>5346</v>
      </c>
      <c r="C2026" s="1" t="s">
        <v>245</v>
      </c>
      <c r="D2026" s="1" t="s">
        <v>246</v>
      </c>
      <c r="E2026" s="7">
        <v>485</v>
      </c>
    </row>
    <row r="2027" spans="1:5" x14ac:dyDescent="0.25">
      <c r="A2027" s="5" t="s">
        <v>6</v>
      </c>
      <c r="B2027" s="5" t="s">
        <v>5347</v>
      </c>
      <c r="C2027" s="1" t="s">
        <v>248</v>
      </c>
      <c r="D2027" s="1" t="s">
        <v>249</v>
      </c>
      <c r="E2027" s="7">
        <v>448</v>
      </c>
    </row>
    <row r="2028" spans="1:5" x14ac:dyDescent="0.25">
      <c r="A2028" s="5" t="s">
        <v>6</v>
      </c>
      <c r="B2028" s="5" t="s">
        <v>5348</v>
      </c>
      <c r="C2028" s="1" t="s">
        <v>5349</v>
      </c>
      <c r="D2028" s="1" t="s">
        <v>5350</v>
      </c>
      <c r="E2028" s="7">
        <v>557</v>
      </c>
    </row>
    <row r="2029" spans="1:5" x14ac:dyDescent="0.25">
      <c r="A2029" s="5" t="s">
        <v>6</v>
      </c>
      <c r="B2029" s="5" t="s">
        <v>5351</v>
      </c>
      <c r="C2029" s="1" t="s">
        <v>5352</v>
      </c>
      <c r="D2029" s="1" t="s">
        <v>5353</v>
      </c>
      <c r="E2029" s="7">
        <v>1376</v>
      </c>
    </row>
    <row r="2030" spans="1:5" x14ac:dyDescent="0.25">
      <c r="A2030" s="5" t="s">
        <v>6</v>
      </c>
      <c r="B2030" s="5" t="s">
        <v>5354</v>
      </c>
      <c r="C2030" s="1" t="s">
        <v>5355</v>
      </c>
      <c r="D2030" s="1" t="s">
        <v>5356</v>
      </c>
      <c r="E2030" s="7">
        <v>7274</v>
      </c>
    </row>
    <row r="2031" spans="1:5" x14ac:dyDescent="0.25">
      <c r="A2031" s="5" t="s">
        <v>6</v>
      </c>
      <c r="B2031" s="5" t="s">
        <v>5357</v>
      </c>
      <c r="C2031" s="1" t="s">
        <v>5358</v>
      </c>
      <c r="D2031" s="1" t="s">
        <v>5359</v>
      </c>
      <c r="E2031" s="7">
        <v>6435</v>
      </c>
    </row>
    <row r="2032" spans="1:5" x14ac:dyDescent="0.25">
      <c r="A2032" s="5" t="s">
        <v>6</v>
      </c>
      <c r="B2032" s="5" t="s">
        <v>5360</v>
      </c>
      <c r="C2032" s="1" t="s">
        <v>5361</v>
      </c>
      <c r="D2032" s="1" t="s">
        <v>5362</v>
      </c>
      <c r="E2032" s="7">
        <v>853</v>
      </c>
    </row>
    <row r="2033" spans="1:5" x14ac:dyDescent="0.25">
      <c r="A2033" s="5" t="s">
        <v>6</v>
      </c>
      <c r="B2033" s="5" t="s">
        <v>5363</v>
      </c>
      <c r="C2033" s="1" t="s">
        <v>5364</v>
      </c>
      <c r="D2033" s="1" t="s">
        <v>5365</v>
      </c>
      <c r="E2033" s="7">
        <v>1872</v>
      </c>
    </row>
    <row r="2034" spans="1:5" x14ac:dyDescent="0.25">
      <c r="A2034" s="5" t="s">
        <v>6</v>
      </c>
      <c r="B2034" s="5" t="s">
        <v>5366</v>
      </c>
      <c r="C2034" s="1" t="s">
        <v>5367</v>
      </c>
      <c r="D2034" s="1" t="s">
        <v>5368</v>
      </c>
      <c r="E2034" s="7">
        <v>1113</v>
      </c>
    </row>
    <row r="2035" spans="1:5" x14ac:dyDescent="0.25">
      <c r="A2035" s="5" t="s">
        <v>6</v>
      </c>
      <c r="B2035" s="5" t="s">
        <v>5369</v>
      </c>
      <c r="C2035" s="1" t="s">
        <v>5370</v>
      </c>
      <c r="D2035" s="1" t="s">
        <v>5371</v>
      </c>
      <c r="E2035" s="7">
        <v>2525</v>
      </c>
    </row>
    <row r="2036" spans="1:5" x14ac:dyDescent="0.25">
      <c r="A2036" s="5" t="s">
        <v>6</v>
      </c>
      <c r="B2036" s="5" t="s">
        <v>5372</v>
      </c>
      <c r="C2036" s="1" t="s">
        <v>5373</v>
      </c>
      <c r="D2036" s="1" t="s">
        <v>5374</v>
      </c>
      <c r="E2036" s="7">
        <v>2047</v>
      </c>
    </row>
    <row r="2037" spans="1:5" x14ac:dyDescent="0.25">
      <c r="A2037" s="5" t="s">
        <v>6</v>
      </c>
      <c r="B2037" s="5" t="s">
        <v>5375</v>
      </c>
      <c r="C2037" s="1" t="s">
        <v>5376</v>
      </c>
      <c r="D2037" s="1" t="s">
        <v>5377</v>
      </c>
      <c r="E2037" s="7">
        <v>670</v>
      </c>
    </row>
    <row r="2038" spans="1:5" x14ac:dyDescent="0.25">
      <c r="A2038" s="5" t="s">
        <v>6</v>
      </c>
      <c r="B2038" s="5" t="s">
        <v>5378</v>
      </c>
      <c r="C2038" s="1" t="s">
        <v>5379</v>
      </c>
      <c r="D2038" s="1" t="s">
        <v>5380</v>
      </c>
      <c r="E2038" s="7">
        <v>56</v>
      </c>
    </row>
    <row r="2039" spans="1:5" x14ac:dyDescent="0.25">
      <c r="A2039" s="5" t="s">
        <v>6</v>
      </c>
      <c r="B2039" s="5" t="s">
        <v>5381</v>
      </c>
      <c r="C2039" s="1" t="s">
        <v>5382</v>
      </c>
      <c r="D2039" s="1" t="s">
        <v>5383</v>
      </c>
      <c r="E2039" s="7">
        <v>1336</v>
      </c>
    </row>
    <row r="2040" spans="1:5" x14ac:dyDescent="0.25">
      <c r="A2040" s="5" t="s">
        <v>6</v>
      </c>
      <c r="B2040" s="5" t="s">
        <v>5384</v>
      </c>
      <c r="C2040" s="1" t="s">
        <v>5385</v>
      </c>
      <c r="D2040" s="1" t="s">
        <v>5386</v>
      </c>
      <c r="E2040" s="7">
        <v>287</v>
      </c>
    </row>
    <row r="2041" spans="1:5" x14ac:dyDescent="0.25">
      <c r="A2041" s="5" t="s">
        <v>6</v>
      </c>
      <c r="B2041" s="5" t="s">
        <v>5387</v>
      </c>
      <c r="C2041" s="1" t="s">
        <v>5388</v>
      </c>
      <c r="D2041" s="1" t="s">
        <v>5389</v>
      </c>
      <c r="E2041" s="7">
        <v>113</v>
      </c>
    </row>
    <row r="2042" spans="1:5" x14ac:dyDescent="0.25">
      <c r="A2042" s="5" t="s">
        <v>6</v>
      </c>
      <c r="B2042" s="5" t="s">
        <v>5390</v>
      </c>
      <c r="C2042" s="1" t="s">
        <v>5391</v>
      </c>
      <c r="D2042" s="1" t="s">
        <v>5392</v>
      </c>
      <c r="E2042" s="7">
        <v>1503</v>
      </c>
    </row>
    <row r="2043" spans="1:5" x14ac:dyDescent="0.25">
      <c r="A2043" s="5" t="s">
        <v>6</v>
      </c>
      <c r="B2043" s="5" t="s">
        <v>5393</v>
      </c>
      <c r="C2043" s="1" t="s">
        <v>5394</v>
      </c>
      <c r="D2043" s="1" t="s">
        <v>5395</v>
      </c>
      <c r="E2043" s="7">
        <v>224</v>
      </c>
    </row>
    <row r="2044" spans="1:5" x14ac:dyDescent="0.25">
      <c r="A2044" s="5" t="s">
        <v>6</v>
      </c>
      <c r="B2044" s="5" t="s">
        <v>5396</v>
      </c>
      <c r="C2044" s="1" t="s">
        <v>5397</v>
      </c>
      <c r="D2044" s="1" t="s">
        <v>5398</v>
      </c>
      <c r="E2044" s="7">
        <v>411</v>
      </c>
    </row>
    <row r="2045" spans="1:5" x14ac:dyDescent="0.25">
      <c r="A2045" s="5" t="s">
        <v>6</v>
      </c>
      <c r="B2045" s="5" t="s">
        <v>5399</v>
      </c>
      <c r="C2045" s="1" t="s">
        <v>5400</v>
      </c>
      <c r="D2045" s="1" t="s">
        <v>5400</v>
      </c>
      <c r="E2045" s="7">
        <v>499</v>
      </c>
    </row>
    <row r="2046" spans="1:5" x14ac:dyDescent="0.25">
      <c r="A2046" s="5" t="s">
        <v>6</v>
      </c>
      <c r="B2046" s="5" t="s">
        <v>5401</v>
      </c>
      <c r="C2046" s="1" t="s">
        <v>5402</v>
      </c>
      <c r="D2046" s="1" t="s">
        <v>5403</v>
      </c>
      <c r="E2046" s="7">
        <v>724</v>
      </c>
    </row>
    <row r="2047" spans="1:5" x14ac:dyDescent="0.25">
      <c r="A2047" s="5" t="s">
        <v>6</v>
      </c>
      <c r="B2047" s="5" t="s">
        <v>5404</v>
      </c>
      <c r="C2047" s="1" t="s">
        <v>5405</v>
      </c>
      <c r="D2047" s="1" t="s">
        <v>5389</v>
      </c>
      <c r="E2047" s="7">
        <v>351</v>
      </c>
    </row>
    <row r="2048" spans="1:5" x14ac:dyDescent="0.25">
      <c r="A2048" s="5" t="s">
        <v>6</v>
      </c>
      <c r="B2048" s="5" t="s">
        <v>5406</v>
      </c>
      <c r="C2048" s="1" t="s">
        <v>5407</v>
      </c>
      <c r="D2048" s="1" t="s">
        <v>5408</v>
      </c>
      <c r="E2048" s="7">
        <v>5118</v>
      </c>
    </row>
    <row r="2049" spans="1:5" x14ac:dyDescent="0.25">
      <c r="A2049" s="5" t="s">
        <v>6</v>
      </c>
      <c r="B2049" s="5" t="s">
        <v>5409</v>
      </c>
      <c r="C2049" s="1" t="s">
        <v>5410</v>
      </c>
      <c r="D2049" s="1" t="s">
        <v>5411</v>
      </c>
      <c r="E2049" s="7">
        <v>5323</v>
      </c>
    </row>
    <row r="2050" spans="1:5" x14ac:dyDescent="0.25">
      <c r="A2050" s="5" t="s">
        <v>6</v>
      </c>
      <c r="B2050" s="5" t="s">
        <v>5412</v>
      </c>
      <c r="C2050" s="1" t="s">
        <v>5413</v>
      </c>
      <c r="D2050" s="1" t="s">
        <v>5414</v>
      </c>
      <c r="E2050" s="7">
        <v>3080</v>
      </c>
    </row>
    <row r="2051" spans="1:5" x14ac:dyDescent="0.25">
      <c r="A2051" s="5" t="s">
        <v>6</v>
      </c>
      <c r="B2051" s="5" t="s">
        <v>5415</v>
      </c>
      <c r="C2051" s="1" t="s">
        <v>5416</v>
      </c>
      <c r="D2051" s="1" t="s">
        <v>5417</v>
      </c>
      <c r="E2051" s="7">
        <v>6151</v>
      </c>
    </row>
    <row r="2052" spans="1:5" x14ac:dyDescent="0.25">
      <c r="A2052" s="5" t="s">
        <v>6</v>
      </c>
      <c r="B2052" s="5" t="s">
        <v>5418</v>
      </c>
      <c r="C2052" s="1" t="s">
        <v>5419</v>
      </c>
      <c r="D2052" s="1" t="s">
        <v>5420</v>
      </c>
      <c r="E2052" s="7">
        <v>13319</v>
      </c>
    </row>
    <row r="2053" spans="1:5" x14ac:dyDescent="0.25">
      <c r="A2053" s="5" t="s">
        <v>6</v>
      </c>
      <c r="B2053" s="5" t="s">
        <v>5421</v>
      </c>
      <c r="C2053" s="1" t="s">
        <v>5422</v>
      </c>
      <c r="D2053" s="1" t="s">
        <v>5423</v>
      </c>
      <c r="E2053" s="7">
        <v>2797</v>
      </c>
    </row>
    <row r="2054" spans="1:5" x14ac:dyDescent="0.25">
      <c r="A2054" s="5" t="s">
        <v>6</v>
      </c>
      <c r="B2054" s="5" t="s">
        <v>5424</v>
      </c>
      <c r="C2054" s="1" t="s">
        <v>5425</v>
      </c>
      <c r="D2054" s="1" t="s">
        <v>5426</v>
      </c>
      <c r="E2054" s="7">
        <v>3886</v>
      </c>
    </row>
    <row r="2055" spans="1:5" x14ac:dyDescent="0.25">
      <c r="A2055" s="5" t="s">
        <v>6</v>
      </c>
      <c r="B2055" s="5" t="s">
        <v>5427</v>
      </c>
      <c r="C2055" s="1" t="s">
        <v>5428</v>
      </c>
      <c r="D2055" s="1" t="s">
        <v>5429</v>
      </c>
      <c r="E2055" s="7">
        <v>2486</v>
      </c>
    </row>
    <row r="2056" spans="1:5" x14ac:dyDescent="0.25">
      <c r="A2056" s="5" t="s">
        <v>6</v>
      </c>
      <c r="B2056" s="5" t="s">
        <v>5430</v>
      </c>
      <c r="C2056" s="1" t="s">
        <v>5431</v>
      </c>
      <c r="D2056" s="1" t="s">
        <v>5432</v>
      </c>
      <c r="E2056" s="7">
        <v>2935</v>
      </c>
    </row>
    <row r="2057" spans="1:5" x14ac:dyDescent="0.25">
      <c r="A2057" s="5" t="s">
        <v>6</v>
      </c>
      <c r="B2057" s="5" t="s">
        <v>5433</v>
      </c>
      <c r="C2057" s="1" t="s">
        <v>5434</v>
      </c>
      <c r="D2057" s="1" t="s">
        <v>5435</v>
      </c>
      <c r="E2057" s="7">
        <v>4404</v>
      </c>
    </row>
    <row r="2058" spans="1:5" x14ac:dyDescent="0.25">
      <c r="A2058" s="5" t="s">
        <v>6</v>
      </c>
      <c r="B2058" s="5" t="s">
        <v>5436</v>
      </c>
      <c r="C2058" s="1" t="s">
        <v>5437</v>
      </c>
      <c r="D2058" s="1" t="s">
        <v>5438</v>
      </c>
      <c r="E2058" s="7">
        <v>3323</v>
      </c>
    </row>
    <row r="2059" spans="1:5" x14ac:dyDescent="0.25">
      <c r="A2059" s="5" t="s">
        <v>6</v>
      </c>
      <c r="B2059" s="5" t="s">
        <v>5439</v>
      </c>
      <c r="C2059" s="1" t="s">
        <v>5440</v>
      </c>
      <c r="D2059" s="1" t="s">
        <v>5441</v>
      </c>
      <c r="E2059" s="7">
        <v>4193</v>
      </c>
    </row>
    <row r="2060" spans="1:5" x14ac:dyDescent="0.25">
      <c r="A2060" s="5" t="s">
        <v>6</v>
      </c>
      <c r="B2060" s="5" t="s">
        <v>5442</v>
      </c>
      <c r="C2060" s="1" t="s">
        <v>5443</v>
      </c>
      <c r="D2060" s="1" t="s">
        <v>5444</v>
      </c>
      <c r="E2060" s="7">
        <v>3981</v>
      </c>
    </row>
    <row r="2061" spans="1:5" x14ac:dyDescent="0.25">
      <c r="A2061" s="5" t="s">
        <v>6</v>
      </c>
      <c r="B2061" s="5" t="s">
        <v>5445</v>
      </c>
      <c r="C2061" s="1" t="s">
        <v>5446</v>
      </c>
      <c r="D2061" s="1" t="s">
        <v>5447</v>
      </c>
      <c r="E2061" s="7">
        <v>3534</v>
      </c>
    </row>
    <row r="2062" spans="1:5" x14ac:dyDescent="0.25">
      <c r="A2062" s="5" t="s">
        <v>6</v>
      </c>
      <c r="B2062" s="5" t="s">
        <v>5448</v>
      </c>
      <c r="C2062" s="1" t="s">
        <v>5449</v>
      </c>
      <c r="D2062" s="1" t="s">
        <v>5450</v>
      </c>
      <c r="E2062" s="7">
        <v>3534</v>
      </c>
    </row>
    <row r="2063" spans="1:5" x14ac:dyDescent="0.25">
      <c r="A2063" s="5" t="s">
        <v>6</v>
      </c>
      <c r="B2063" s="5" t="s">
        <v>5451</v>
      </c>
      <c r="C2063" s="1" t="s">
        <v>5452</v>
      </c>
      <c r="D2063" s="1" t="s">
        <v>5453</v>
      </c>
      <c r="E2063" s="7">
        <v>1536</v>
      </c>
    </row>
    <row r="2064" spans="1:5" x14ac:dyDescent="0.25">
      <c r="A2064" s="5" t="s">
        <v>6</v>
      </c>
      <c r="B2064" s="5" t="s">
        <v>5454</v>
      </c>
      <c r="C2064" s="1" t="s">
        <v>5455</v>
      </c>
      <c r="D2064" s="1" t="s">
        <v>5456</v>
      </c>
      <c r="E2064" s="7">
        <v>2993</v>
      </c>
    </row>
    <row r="2065" spans="1:5" x14ac:dyDescent="0.25">
      <c r="A2065" s="5" t="s">
        <v>6</v>
      </c>
      <c r="B2065" s="5" t="s">
        <v>5457</v>
      </c>
      <c r="C2065" s="1" t="s">
        <v>5458</v>
      </c>
      <c r="D2065" s="1" t="s">
        <v>5459</v>
      </c>
      <c r="E2065" s="7">
        <v>3776</v>
      </c>
    </row>
    <row r="2066" spans="1:5" x14ac:dyDescent="0.25">
      <c r="A2066" s="5" t="s">
        <v>6</v>
      </c>
      <c r="B2066" s="5" t="s">
        <v>5460</v>
      </c>
      <c r="C2066" s="1" t="s">
        <v>5461</v>
      </c>
      <c r="D2066" s="1" t="s">
        <v>5462</v>
      </c>
      <c r="E2066" s="7">
        <v>5238</v>
      </c>
    </row>
    <row r="2067" spans="1:5" x14ac:dyDescent="0.25">
      <c r="A2067" s="5" t="s">
        <v>6</v>
      </c>
      <c r="B2067" s="5" t="s">
        <v>5463</v>
      </c>
      <c r="C2067" s="1" t="s">
        <v>5464</v>
      </c>
      <c r="D2067" s="1" t="s">
        <v>5465</v>
      </c>
      <c r="E2067" s="7">
        <v>3079</v>
      </c>
    </row>
    <row r="2068" spans="1:5" x14ac:dyDescent="0.25">
      <c r="A2068" s="5" t="s">
        <v>6</v>
      </c>
      <c r="B2068" s="5" t="s">
        <v>5466</v>
      </c>
      <c r="C2068" s="1" t="s">
        <v>5467</v>
      </c>
      <c r="D2068" s="1" t="s">
        <v>5468</v>
      </c>
      <c r="E2068" s="7">
        <v>2740</v>
      </c>
    </row>
    <row r="2069" spans="1:5" x14ac:dyDescent="0.25">
      <c r="A2069" s="5" t="s">
        <v>6</v>
      </c>
      <c r="B2069" s="5" t="s">
        <v>5469</v>
      </c>
      <c r="C2069" s="1" t="s">
        <v>5470</v>
      </c>
      <c r="D2069" s="1" t="s">
        <v>5471</v>
      </c>
      <c r="E2069" s="7">
        <v>1893</v>
      </c>
    </row>
    <row r="2070" spans="1:5" x14ac:dyDescent="0.25">
      <c r="A2070" s="5" t="s">
        <v>6</v>
      </c>
      <c r="B2070" s="5" t="s">
        <v>5472</v>
      </c>
      <c r="C2070" s="1" t="s">
        <v>5473</v>
      </c>
      <c r="D2070" s="1" t="s">
        <v>5474</v>
      </c>
      <c r="E2070" s="7">
        <v>2530</v>
      </c>
    </row>
    <row r="2071" spans="1:5" x14ac:dyDescent="0.25">
      <c r="A2071" s="5" t="s">
        <v>6</v>
      </c>
      <c r="B2071" s="5" t="s">
        <v>5475</v>
      </c>
      <c r="C2071" s="1" t="s">
        <v>5476</v>
      </c>
      <c r="D2071" s="1" t="s">
        <v>5477</v>
      </c>
      <c r="E2071" s="7">
        <v>3378</v>
      </c>
    </row>
    <row r="2072" spans="1:5" x14ac:dyDescent="0.25">
      <c r="A2072" s="5" t="s">
        <v>6</v>
      </c>
      <c r="B2072" s="5" t="s">
        <v>5478</v>
      </c>
      <c r="C2072" s="1" t="s">
        <v>5479</v>
      </c>
      <c r="D2072" s="1" t="s">
        <v>5480</v>
      </c>
      <c r="E2072" s="7">
        <v>7404</v>
      </c>
    </row>
    <row r="2073" spans="1:5" x14ac:dyDescent="0.25">
      <c r="A2073" s="5" t="s">
        <v>6</v>
      </c>
      <c r="B2073" s="5" t="s">
        <v>5481</v>
      </c>
      <c r="C2073" s="1" t="s">
        <v>5482</v>
      </c>
      <c r="D2073" s="1" t="s">
        <v>5483</v>
      </c>
      <c r="E2073" s="7">
        <v>7404</v>
      </c>
    </row>
    <row r="2074" spans="1:5" x14ac:dyDescent="0.25">
      <c r="A2074" s="5" t="s">
        <v>6</v>
      </c>
      <c r="B2074" s="5" t="s">
        <v>5484</v>
      </c>
      <c r="C2074" s="1" t="s">
        <v>5485</v>
      </c>
      <c r="D2074" s="1" t="s">
        <v>5486</v>
      </c>
      <c r="E2074" s="7">
        <v>8008</v>
      </c>
    </row>
    <row r="2075" spans="1:5" x14ac:dyDescent="0.25">
      <c r="A2075" s="5" t="s">
        <v>6</v>
      </c>
      <c r="B2075" s="5" t="s">
        <v>5487</v>
      </c>
      <c r="C2075" s="1" t="s">
        <v>5488</v>
      </c>
      <c r="D2075" s="1" t="s">
        <v>5489</v>
      </c>
      <c r="E2075" s="7">
        <v>4418</v>
      </c>
    </row>
    <row r="2076" spans="1:5" x14ac:dyDescent="0.25">
      <c r="A2076" s="5" t="s">
        <v>6</v>
      </c>
      <c r="B2076" s="5" t="s">
        <v>5490</v>
      </c>
      <c r="C2076" s="1" t="s">
        <v>5491</v>
      </c>
      <c r="D2076" s="1" t="s">
        <v>5491</v>
      </c>
      <c r="E2076" s="7">
        <v>3855</v>
      </c>
    </row>
    <row r="2077" spans="1:5" x14ac:dyDescent="0.25">
      <c r="A2077" s="5" t="s">
        <v>6</v>
      </c>
      <c r="B2077" s="5" t="s">
        <v>5492</v>
      </c>
      <c r="C2077" s="1" t="s">
        <v>5493</v>
      </c>
      <c r="D2077" s="1" t="s">
        <v>5494</v>
      </c>
      <c r="E2077" s="7">
        <v>3608</v>
      </c>
    </row>
    <row r="2078" spans="1:5" x14ac:dyDescent="0.25">
      <c r="A2078" s="5" t="s">
        <v>6</v>
      </c>
      <c r="B2078" s="5" t="s">
        <v>5495</v>
      </c>
      <c r="C2078" s="1" t="s">
        <v>5496</v>
      </c>
      <c r="D2078" s="1" t="s">
        <v>5497</v>
      </c>
      <c r="E2078" s="7">
        <v>3127</v>
      </c>
    </row>
    <row r="2079" spans="1:5" x14ac:dyDescent="0.25">
      <c r="A2079" s="5" t="s">
        <v>6</v>
      </c>
      <c r="B2079" s="5" t="s">
        <v>5498</v>
      </c>
      <c r="C2079" s="1" t="s">
        <v>5499</v>
      </c>
      <c r="D2079" s="1" t="s">
        <v>5500</v>
      </c>
      <c r="E2079" s="7">
        <v>9798</v>
      </c>
    </row>
    <row r="2080" spans="1:5" x14ac:dyDescent="0.25">
      <c r="A2080" s="5" t="s">
        <v>6</v>
      </c>
      <c r="B2080" s="5" t="s">
        <v>5501</v>
      </c>
      <c r="C2080" s="1" t="s">
        <v>5502</v>
      </c>
      <c r="D2080" s="1" t="s">
        <v>5503</v>
      </c>
      <c r="E2080" s="7">
        <v>8023</v>
      </c>
    </row>
    <row r="2081" spans="1:5" x14ac:dyDescent="0.25">
      <c r="A2081" s="5" t="s">
        <v>6</v>
      </c>
      <c r="B2081" s="5" t="s">
        <v>5504</v>
      </c>
      <c r="C2081" s="1" t="s">
        <v>5505</v>
      </c>
      <c r="D2081" s="1" t="s">
        <v>5506</v>
      </c>
      <c r="E2081" s="7">
        <v>9325</v>
      </c>
    </row>
    <row r="2082" spans="1:5" x14ac:dyDescent="0.25">
      <c r="A2082" s="5" t="s">
        <v>6</v>
      </c>
      <c r="B2082" s="5" t="s">
        <v>5507</v>
      </c>
      <c r="C2082" s="1" t="s">
        <v>5508</v>
      </c>
      <c r="D2082" s="1" t="s">
        <v>5509</v>
      </c>
      <c r="E2082" s="7">
        <v>8023</v>
      </c>
    </row>
    <row r="2083" spans="1:5" x14ac:dyDescent="0.25">
      <c r="A2083" s="5" t="s">
        <v>6</v>
      </c>
      <c r="B2083" s="5" t="s">
        <v>5510</v>
      </c>
      <c r="C2083" s="1" t="s">
        <v>5511</v>
      </c>
      <c r="D2083" s="1" t="s">
        <v>5512</v>
      </c>
      <c r="E2083" s="7">
        <v>8164</v>
      </c>
    </row>
    <row r="2084" spans="1:5" x14ac:dyDescent="0.25">
      <c r="A2084" s="5" t="s">
        <v>6</v>
      </c>
      <c r="B2084" s="5" t="s">
        <v>5513</v>
      </c>
      <c r="C2084" s="1" t="s">
        <v>5514</v>
      </c>
      <c r="D2084" s="1" t="s">
        <v>5515</v>
      </c>
      <c r="E2084" s="7">
        <v>7701</v>
      </c>
    </row>
    <row r="2085" spans="1:5" x14ac:dyDescent="0.25">
      <c r="A2085" s="5" t="s">
        <v>6</v>
      </c>
      <c r="B2085" s="5" t="s">
        <v>5516</v>
      </c>
      <c r="C2085" s="1" t="s">
        <v>5517</v>
      </c>
      <c r="D2085" s="1" t="s">
        <v>5518</v>
      </c>
      <c r="E2085" s="7">
        <v>9067</v>
      </c>
    </row>
    <row r="2086" spans="1:5" x14ac:dyDescent="0.25">
      <c r="A2086" s="5" t="s">
        <v>6</v>
      </c>
      <c r="B2086" s="5" t="s">
        <v>5519</v>
      </c>
      <c r="C2086" s="1" t="s">
        <v>5520</v>
      </c>
      <c r="D2086" s="1" t="s">
        <v>5521</v>
      </c>
      <c r="E2086" s="7">
        <v>7137</v>
      </c>
    </row>
    <row r="2087" spans="1:5" x14ac:dyDescent="0.25">
      <c r="A2087" s="5" t="s">
        <v>6</v>
      </c>
      <c r="B2087" s="5" t="s">
        <v>5522</v>
      </c>
      <c r="C2087" s="1" t="s">
        <v>5523</v>
      </c>
      <c r="D2087" s="1" t="s">
        <v>5524</v>
      </c>
      <c r="E2087" s="7">
        <v>8881</v>
      </c>
    </row>
    <row r="2088" spans="1:5" x14ac:dyDescent="0.25">
      <c r="A2088" s="5" t="s">
        <v>6</v>
      </c>
      <c r="B2088" s="5" t="s">
        <v>5525</v>
      </c>
      <c r="C2088" s="1" t="s">
        <v>5526</v>
      </c>
      <c r="D2088" s="1" t="s">
        <v>5527</v>
      </c>
      <c r="E2088" s="7">
        <v>8023</v>
      </c>
    </row>
    <row r="2089" spans="1:5" x14ac:dyDescent="0.25">
      <c r="A2089" s="5" t="s">
        <v>6</v>
      </c>
      <c r="B2089" s="5" t="s">
        <v>5528</v>
      </c>
      <c r="C2089" s="1" t="s">
        <v>5529</v>
      </c>
      <c r="D2089" s="1" t="s">
        <v>5530</v>
      </c>
      <c r="E2089" s="7">
        <v>7137</v>
      </c>
    </row>
    <row r="2090" spans="1:5" x14ac:dyDescent="0.25">
      <c r="A2090" s="5" t="s">
        <v>6</v>
      </c>
      <c r="B2090" s="5" t="s">
        <v>5531</v>
      </c>
      <c r="C2090" s="1" t="s">
        <v>5532</v>
      </c>
      <c r="D2090" s="1" t="s">
        <v>5533</v>
      </c>
      <c r="E2090" s="7">
        <v>7137</v>
      </c>
    </row>
    <row r="2091" spans="1:5" x14ac:dyDescent="0.25">
      <c r="A2091" s="5" t="s">
        <v>6</v>
      </c>
      <c r="B2091" s="5" t="s">
        <v>5534</v>
      </c>
      <c r="C2091" s="1" t="s">
        <v>5535</v>
      </c>
      <c r="D2091" s="1" t="s">
        <v>5536</v>
      </c>
      <c r="E2091" s="7">
        <v>10212</v>
      </c>
    </row>
    <row r="2092" spans="1:5" x14ac:dyDescent="0.25">
      <c r="A2092" s="5" t="s">
        <v>6</v>
      </c>
      <c r="B2092" s="5" t="s">
        <v>5537</v>
      </c>
      <c r="C2092" s="1" t="s">
        <v>5538</v>
      </c>
      <c r="D2092" s="1" t="s">
        <v>5539</v>
      </c>
      <c r="E2092" s="7">
        <v>10212</v>
      </c>
    </row>
    <row r="2093" spans="1:5" x14ac:dyDescent="0.25">
      <c r="A2093" s="5" t="s">
        <v>6</v>
      </c>
      <c r="B2093" s="5" t="s">
        <v>5540</v>
      </c>
      <c r="C2093" s="1" t="s">
        <v>5541</v>
      </c>
      <c r="D2093" s="1" t="s">
        <v>5542</v>
      </c>
      <c r="E2093" s="7">
        <v>8881</v>
      </c>
    </row>
    <row r="2094" spans="1:5" x14ac:dyDescent="0.25">
      <c r="A2094" s="5" t="s">
        <v>6</v>
      </c>
      <c r="B2094" s="5" t="s">
        <v>5543</v>
      </c>
      <c r="C2094" s="1" t="s">
        <v>5544</v>
      </c>
      <c r="D2094" s="1" t="s">
        <v>5545</v>
      </c>
      <c r="E2094" s="7">
        <v>10136</v>
      </c>
    </row>
    <row r="2095" spans="1:5" x14ac:dyDescent="0.25">
      <c r="A2095" s="5" t="s">
        <v>6</v>
      </c>
      <c r="B2095" s="5" t="s">
        <v>5546</v>
      </c>
      <c r="C2095" s="1" t="s">
        <v>5547</v>
      </c>
      <c r="D2095" s="1" t="s">
        <v>5548</v>
      </c>
      <c r="E2095" s="7">
        <v>9325</v>
      </c>
    </row>
    <row r="2096" spans="1:5" x14ac:dyDescent="0.25">
      <c r="A2096" s="5" t="s">
        <v>6</v>
      </c>
      <c r="B2096" s="5" t="s">
        <v>5549</v>
      </c>
      <c r="C2096" s="1" t="s">
        <v>5550</v>
      </c>
      <c r="D2096" s="1" t="s">
        <v>5551</v>
      </c>
      <c r="E2096" s="7">
        <v>6631</v>
      </c>
    </row>
    <row r="2097" spans="1:5" x14ac:dyDescent="0.25">
      <c r="A2097" s="5" t="s">
        <v>6</v>
      </c>
      <c r="B2097" s="5" t="s">
        <v>5552</v>
      </c>
      <c r="C2097" s="1" t="s">
        <v>5553</v>
      </c>
      <c r="D2097" s="1" t="s">
        <v>5554</v>
      </c>
      <c r="E2097" s="7">
        <v>8966</v>
      </c>
    </row>
    <row r="2098" spans="1:5" x14ac:dyDescent="0.25">
      <c r="A2098" s="5" t="s">
        <v>6</v>
      </c>
      <c r="B2098" s="5" t="s">
        <v>5555</v>
      </c>
      <c r="C2098" s="1" t="s">
        <v>5556</v>
      </c>
      <c r="D2098" s="1" t="s">
        <v>5557</v>
      </c>
      <c r="E2098" s="7">
        <v>6735</v>
      </c>
    </row>
    <row r="2099" spans="1:5" x14ac:dyDescent="0.25">
      <c r="A2099" s="5" t="s">
        <v>6</v>
      </c>
      <c r="B2099" s="5" t="s">
        <v>5558</v>
      </c>
      <c r="C2099" s="1" t="s">
        <v>5559</v>
      </c>
      <c r="D2099" s="1" t="s">
        <v>5560</v>
      </c>
      <c r="E2099" s="7">
        <v>7289</v>
      </c>
    </row>
    <row r="2100" spans="1:5" x14ac:dyDescent="0.25">
      <c r="A2100" s="5" t="s">
        <v>6</v>
      </c>
      <c r="B2100" s="5" t="s">
        <v>5561</v>
      </c>
      <c r="C2100" s="1" t="s">
        <v>5562</v>
      </c>
      <c r="D2100" s="1" t="s">
        <v>5563</v>
      </c>
      <c r="E2100" s="7">
        <v>9726</v>
      </c>
    </row>
    <row r="2101" spans="1:5" x14ac:dyDescent="0.25">
      <c r="A2101" s="5" t="s">
        <v>6</v>
      </c>
      <c r="B2101" s="5" t="s">
        <v>5564</v>
      </c>
      <c r="C2101" s="1" t="s">
        <v>5565</v>
      </c>
      <c r="D2101" s="1" t="s">
        <v>5566</v>
      </c>
      <c r="E2101" s="7">
        <v>7298</v>
      </c>
    </row>
    <row r="2102" spans="1:5" x14ac:dyDescent="0.25">
      <c r="A2102" s="5" t="s">
        <v>6</v>
      </c>
      <c r="B2102" s="5" t="s">
        <v>5567</v>
      </c>
      <c r="C2102" s="1" t="s">
        <v>5568</v>
      </c>
      <c r="D2102" s="1" t="s">
        <v>5569</v>
      </c>
      <c r="E2102" s="7">
        <v>7045</v>
      </c>
    </row>
    <row r="2103" spans="1:5" x14ac:dyDescent="0.25">
      <c r="A2103" s="5" t="s">
        <v>6</v>
      </c>
      <c r="B2103" s="5" t="s">
        <v>5570</v>
      </c>
      <c r="C2103" s="1" t="s">
        <v>5571</v>
      </c>
      <c r="D2103" s="1" t="s">
        <v>5572</v>
      </c>
      <c r="E2103" s="7">
        <v>7009</v>
      </c>
    </row>
    <row r="2104" spans="1:5" x14ac:dyDescent="0.25">
      <c r="A2104" s="5" t="s">
        <v>6</v>
      </c>
      <c r="B2104" s="5" t="s">
        <v>5573</v>
      </c>
      <c r="C2104" s="1" t="s">
        <v>5574</v>
      </c>
      <c r="D2104" s="1" t="s">
        <v>5574</v>
      </c>
      <c r="E2104" s="7">
        <v>4845</v>
      </c>
    </row>
    <row r="2105" spans="1:5" x14ac:dyDescent="0.25">
      <c r="A2105" s="5" t="s">
        <v>6</v>
      </c>
      <c r="B2105" s="5" t="s">
        <v>5575</v>
      </c>
      <c r="C2105" s="1" t="s">
        <v>5576</v>
      </c>
      <c r="D2105" s="1" t="s">
        <v>5577</v>
      </c>
      <c r="E2105" s="7">
        <v>9797</v>
      </c>
    </row>
    <row r="2106" spans="1:5" x14ac:dyDescent="0.25">
      <c r="A2106" s="5" t="s">
        <v>6</v>
      </c>
      <c r="B2106" s="5" t="s">
        <v>5578</v>
      </c>
      <c r="C2106" s="1" t="s">
        <v>5579</v>
      </c>
      <c r="D2106" s="1" t="s">
        <v>5580</v>
      </c>
      <c r="E2106" s="7">
        <v>7271</v>
      </c>
    </row>
    <row r="2107" spans="1:5" x14ac:dyDescent="0.25">
      <c r="A2107" s="5" t="s">
        <v>6</v>
      </c>
      <c r="B2107" s="5" t="s">
        <v>5581</v>
      </c>
      <c r="C2107" s="1" t="s">
        <v>5582</v>
      </c>
      <c r="D2107" s="1" t="s">
        <v>5583</v>
      </c>
      <c r="E2107" s="7">
        <v>6930</v>
      </c>
    </row>
    <row r="2108" spans="1:5" x14ac:dyDescent="0.25">
      <c r="A2108" s="5" t="s">
        <v>6</v>
      </c>
      <c r="B2108" s="5" t="s">
        <v>5584</v>
      </c>
      <c r="C2108" s="1" t="s">
        <v>5585</v>
      </c>
      <c r="D2108" s="1" t="s">
        <v>5586</v>
      </c>
      <c r="E2108" s="7">
        <v>8773</v>
      </c>
    </row>
    <row r="2109" spans="1:5" x14ac:dyDescent="0.25">
      <c r="A2109" s="5" t="s">
        <v>6</v>
      </c>
      <c r="B2109" s="5" t="s">
        <v>5587</v>
      </c>
      <c r="C2109" s="1" t="s">
        <v>5588</v>
      </c>
      <c r="D2109" s="1" t="s">
        <v>5589</v>
      </c>
      <c r="E2109" s="7">
        <v>7045</v>
      </c>
    </row>
    <row r="2110" spans="1:5" x14ac:dyDescent="0.25">
      <c r="A2110" s="5" t="s">
        <v>6</v>
      </c>
      <c r="B2110" s="5" t="s">
        <v>5590</v>
      </c>
      <c r="C2110" s="1" t="s">
        <v>5591</v>
      </c>
      <c r="D2110" s="1" t="s">
        <v>5592</v>
      </c>
      <c r="E2110" s="7">
        <v>8023</v>
      </c>
    </row>
    <row r="2111" spans="1:5" x14ac:dyDescent="0.25">
      <c r="A2111" s="5" t="s">
        <v>6</v>
      </c>
      <c r="B2111" s="5" t="s">
        <v>5593</v>
      </c>
      <c r="C2111" s="1" t="s">
        <v>5594</v>
      </c>
      <c r="D2111" s="1" t="s">
        <v>5595</v>
      </c>
      <c r="E2111" s="7">
        <v>8197</v>
      </c>
    </row>
    <row r="2112" spans="1:5" x14ac:dyDescent="0.25">
      <c r="A2112" s="5" t="s">
        <v>6</v>
      </c>
      <c r="B2112" s="5" t="s">
        <v>5596</v>
      </c>
      <c r="C2112" s="1" t="s">
        <v>5597</v>
      </c>
      <c r="D2112" s="1" t="s">
        <v>5598</v>
      </c>
      <c r="E2112" s="7">
        <v>7890</v>
      </c>
    </row>
    <row r="2113" spans="1:5" x14ac:dyDescent="0.25">
      <c r="A2113" s="5" t="s">
        <v>6</v>
      </c>
      <c r="B2113" s="5" t="s">
        <v>5599</v>
      </c>
      <c r="C2113" s="1" t="s">
        <v>5600</v>
      </c>
      <c r="D2113" s="1" t="s">
        <v>5601</v>
      </c>
      <c r="E2113" s="7">
        <v>7701</v>
      </c>
    </row>
    <row r="2114" spans="1:5" x14ac:dyDescent="0.25">
      <c r="A2114" s="5" t="s">
        <v>6</v>
      </c>
      <c r="B2114" s="5" t="s">
        <v>5602</v>
      </c>
      <c r="C2114" s="1" t="s">
        <v>5603</v>
      </c>
      <c r="D2114" s="1" t="s">
        <v>5604</v>
      </c>
      <c r="E2114" s="7">
        <v>8943</v>
      </c>
    </row>
    <row r="2115" spans="1:5" x14ac:dyDescent="0.25">
      <c r="A2115" s="5" t="s">
        <v>6</v>
      </c>
      <c r="B2115" s="5" t="s">
        <v>5605</v>
      </c>
      <c r="C2115" s="1" t="s">
        <v>5606</v>
      </c>
      <c r="D2115" s="1" t="s">
        <v>5607</v>
      </c>
      <c r="E2115" s="7">
        <v>59</v>
      </c>
    </row>
    <row r="2116" spans="1:5" x14ac:dyDescent="0.25">
      <c r="A2116" s="5" t="s">
        <v>6</v>
      </c>
      <c r="B2116" s="5" t="s">
        <v>5608</v>
      </c>
      <c r="C2116" s="1" t="s">
        <v>5609</v>
      </c>
      <c r="D2116" s="1" t="s">
        <v>5609</v>
      </c>
      <c r="E2116" s="7">
        <v>12</v>
      </c>
    </row>
    <row r="2117" spans="1:5" x14ac:dyDescent="0.25">
      <c r="A2117" s="5" t="s">
        <v>6</v>
      </c>
      <c r="B2117" s="5" t="s">
        <v>5610</v>
      </c>
      <c r="C2117" s="1" t="s">
        <v>5611</v>
      </c>
      <c r="D2117" s="1" t="s">
        <v>5612</v>
      </c>
      <c r="E2117" s="7">
        <v>26</v>
      </c>
    </row>
    <row r="2118" spans="1:5" x14ac:dyDescent="0.25">
      <c r="A2118" s="5" t="s">
        <v>6</v>
      </c>
      <c r="B2118" s="5" t="s">
        <v>5613</v>
      </c>
      <c r="C2118" s="1" t="s">
        <v>5614</v>
      </c>
      <c r="D2118" s="1" t="s">
        <v>5615</v>
      </c>
      <c r="E2118" s="7">
        <v>33</v>
      </c>
    </row>
    <row r="2119" spans="1:5" x14ac:dyDescent="0.25">
      <c r="A2119" s="5" t="s">
        <v>6</v>
      </c>
      <c r="B2119" s="5" t="s">
        <v>5616</v>
      </c>
      <c r="C2119" s="1" t="s">
        <v>5617</v>
      </c>
      <c r="D2119" s="1" t="s">
        <v>5618</v>
      </c>
      <c r="E2119" s="7">
        <v>10</v>
      </c>
    </row>
    <row r="2120" spans="1:5" x14ac:dyDescent="0.25">
      <c r="A2120" s="5" t="s">
        <v>6</v>
      </c>
      <c r="B2120" s="5" t="s">
        <v>5619</v>
      </c>
      <c r="C2120" s="1" t="s">
        <v>5620</v>
      </c>
      <c r="D2120" s="1" t="s">
        <v>5620</v>
      </c>
      <c r="E2120" s="7">
        <v>28</v>
      </c>
    </row>
    <row r="2121" spans="1:5" x14ac:dyDescent="0.25">
      <c r="A2121" s="5" t="s">
        <v>6</v>
      </c>
      <c r="B2121" s="5" t="s">
        <v>5621</v>
      </c>
      <c r="C2121" s="1" t="s">
        <v>5622</v>
      </c>
      <c r="D2121" s="1" t="s">
        <v>5622</v>
      </c>
      <c r="E2121" s="7">
        <v>28</v>
      </c>
    </row>
    <row r="2122" spans="1:5" x14ac:dyDescent="0.25">
      <c r="A2122" s="5" t="s">
        <v>6</v>
      </c>
      <c r="B2122" s="5" t="s">
        <v>5623</v>
      </c>
      <c r="C2122" s="1" t="s">
        <v>5624</v>
      </c>
      <c r="D2122" s="1" t="s">
        <v>5625</v>
      </c>
      <c r="E2122" s="7">
        <v>31</v>
      </c>
    </row>
    <row r="2123" spans="1:5" x14ac:dyDescent="0.25">
      <c r="A2123" s="5" t="s">
        <v>6</v>
      </c>
      <c r="B2123" s="5" t="s">
        <v>5626</v>
      </c>
      <c r="C2123" s="1" t="s">
        <v>5627</v>
      </c>
      <c r="D2123" s="1" t="s">
        <v>5628</v>
      </c>
      <c r="E2123" s="7">
        <v>26</v>
      </c>
    </row>
    <row r="2124" spans="1:5" x14ac:dyDescent="0.25">
      <c r="A2124" s="5" t="s">
        <v>6</v>
      </c>
      <c r="B2124" s="5" t="s">
        <v>5629</v>
      </c>
      <c r="C2124" s="1" t="s">
        <v>5630</v>
      </c>
      <c r="D2124" s="1" t="s">
        <v>5631</v>
      </c>
      <c r="E2124" s="7">
        <v>29</v>
      </c>
    </row>
    <row r="2125" spans="1:5" x14ac:dyDescent="0.25">
      <c r="A2125" s="5" t="s">
        <v>6</v>
      </c>
      <c r="B2125" s="5" t="s">
        <v>5632</v>
      </c>
      <c r="C2125" s="1" t="s">
        <v>5633</v>
      </c>
      <c r="D2125" s="1" t="s">
        <v>5634</v>
      </c>
      <c r="E2125" s="7">
        <v>44</v>
      </c>
    </row>
    <row r="2126" spans="1:5" x14ac:dyDescent="0.25">
      <c r="A2126" s="5" t="s">
        <v>6</v>
      </c>
      <c r="B2126" s="5" t="s">
        <v>5635</v>
      </c>
      <c r="C2126" s="1" t="s">
        <v>5636</v>
      </c>
      <c r="D2126" s="1" t="s">
        <v>5637</v>
      </c>
      <c r="E2126" s="7">
        <v>29</v>
      </c>
    </row>
    <row r="2127" spans="1:5" x14ac:dyDescent="0.25">
      <c r="A2127" s="5" t="s">
        <v>6</v>
      </c>
      <c r="B2127" s="5" t="s">
        <v>5638</v>
      </c>
      <c r="C2127" s="1" t="s">
        <v>5639</v>
      </c>
      <c r="D2127" s="1" t="s">
        <v>5640</v>
      </c>
      <c r="E2127" s="7">
        <v>77</v>
      </c>
    </row>
    <row r="2128" spans="1:5" x14ac:dyDescent="0.25">
      <c r="A2128" s="5" t="s">
        <v>6</v>
      </c>
      <c r="B2128" s="5" t="s">
        <v>5641</v>
      </c>
      <c r="C2128" s="1" t="s">
        <v>5642</v>
      </c>
      <c r="D2128" s="1" t="s">
        <v>5643</v>
      </c>
      <c r="E2128" s="7">
        <v>194</v>
      </c>
    </row>
    <row r="2129" spans="1:5" x14ac:dyDescent="0.25">
      <c r="A2129" s="5" t="s">
        <v>6</v>
      </c>
      <c r="B2129" s="5" t="s">
        <v>5644</v>
      </c>
      <c r="C2129" s="1" t="s">
        <v>5645</v>
      </c>
      <c r="D2129" s="1" t="s">
        <v>5646</v>
      </c>
      <c r="E2129" s="7">
        <v>31</v>
      </c>
    </row>
    <row r="2130" spans="1:5" x14ac:dyDescent="0.25">
      <c r="A2130" s="5" t="s">
        <v>6</v>
      </c>
      <c r="B2130" s="5" t="s">
        <v>5647</v>
      </c>
      <c r="C2130" s="1" t="s">
        <v>5648</v>
      </c>
      <c r="D2130" s="1" t="s">
        <v>5649</v>
      </c>
      <c r="E2130" s="7">
        <v>23</v>
      </c>
    </row>
    <row r="2131" spans="1:5" x14ac:dyDescent="0.25">
      <c r="A2131" s="5" t="s">
        <v>6</v>
      </c>
      <c r="B2131" s="5" t="s">
        <v>5650</v>
      </c>
      <c r="C2131" s="1" t="s">
        <v>5651</v>
      </c>
      <c r="D2131" s="1" t="s">
        <v>5652</v>
      </c>
      <c r="E2131" s="7">
        <v>28</v>
      </c>
    </row>
    <row r="2132" spans="1:5" x14ac:dyDescent="0.25">
      <c r="A2132" s="5" t="s">
        <v>6</v>
      </c>
      <c r="B2132" s="5" t="s">
        <v>5653</v>
      </c>
      <c r="C2132" s="1" t="s">
        <v>5654</v>
      </c>
      <c r="D2132" s="1" t="s">
        <v>5655</v>
      </c>
      <c r="E2132" s="7">
        <v>25</v>
      </c>
    </row>
    <row r="2133" spans="1:5" x14ac:dyDescent="0.25">
      <c r="A2133" s="5" t="s">
        <v>6</v>
      </c>
      <c r="B2133" s="5" t="s">
        <v>5656</v>
      </c>
      <c r="C2133" s="1" t="s">
        <v>5657</v>
      </c>
      <c r="D2133" s="1" t="s">
        <v>5658</v>
      </c>
      <c r="E2133" s="7">
        <v>49</v>
      </c>
    </row>
    <row r="2134" spans="1:5" x14ac:dyDescent="0.25">
      <c r="A2134" s="5" t="s">
        <v>6</v>
      </c>
      <c r="B2134" s="5" t="s">
        <v>5659</v>
      </c>
      <c r="C2134" s="1" t="s">
        <v>5660</v>
      </c>
      <c r="D2134" s="1" t="s">
        <v>5661</v>
      </c>
      <c r="E2134" s="7">
        <v>159</v>
      </c>
    </row>
    <row r="2135" spans="1:5" x14ac:dyDescent="0.25">
      <c r="A2135" s="5" t="s">
        <v>6</v>
      </c>
      <c r="B2135" s="5" t="s">
        <v>5662</v>
      </c>
      <c r="C2135" s="1" t="s">
        <v>5663</v>
      </c>
      <c r="D2135" s="1" t="s">
        <v>5664</v>
      </c>
      <c r="E2135" s="7">
        <v>5</v>
      </c>
    </row>
    <row r="2136" spans="1:5" x14ac:dyDescent="0.25">
      <c r="A2136" s="5" t="s">
        <v>6</v>
      </c>
      <c r="B2136" s="5" t="s">
        <v>5665</v>
      </c>
      <c r="C2136" s="1" t="s">
        <v>5666</v>
      </c>
      <c r="D2136" s="1" t="s">
        <v>5667</v>
      </c>
      <c r="E2136" s="7">
        <v>28</v>
      </c>
    </row>
    <row r="2137" spans="1:5" x14ac:dyDescent="0.25">
      <c r="A2137" s="5" t="s">
        <v>6</v>
      </c>
      <c r="B2137" s="5" t="s">
        <v>5668</v>
      </c>
      <c r="C2137" s="1" t="s">
        <v>5669</v>
      </c>
      <c r="D2137" s="1" t="s">
        <v>5670</v>
      </c>
      <c r="E2137" s="7">
        <v>25</v>
      </c>
    </row>
    <row r="2138" spans="1:5" x14ac:dyDescent="0.25">
      <c r="A2138" s="5" t="s">
        <v>6</v>
      </c>
      <c r="B2138" s="5" t="s">
        <v>5671</v>
      </c>
      <c r="C2138" s="1" t="s">
        <v>5672</v>
      </c>
      <c r="D2138" s="1" t="s">
        <v>5673</v>
      </c>
      <c r="E2138" s="7">
        <v>29</v>
      </c>
    </row>
    <row r="2139" spans="1:5" x14ac:dyDescent="0.25">
      <c r="A2139" s="5" t="s">
        <v>6</v>
      </c>
      <c r="B2139" s="5" t="s">
        <v>5674</v>
      </c>
      <c r="C2139" s="1" t="s">
        <v>5675</v>
      </c>
      <c r="D2139" s="1" t="s">
        <v>5676</v>
      </c>
      <c r="E2139" s="7">
        <v>3</v>
      </c>
    </row>
    <row r="2140" spans="1:5" x14ac:dyDescent="0.25">
      <c r="A2140" s="5" t="s">
        <v>6</v>
      </c>
      <c r="B2140" s="5" t="s">
        <v>5677</v>
      </c>
      <c r="C2140" s="1" t="s">
        <v>5678</v>
      </c>
      <c r="D2140" s="1" t="s">
        <v>5679</v>
      </c>
      <c r="E2140" s="7">
        <v>10</v>
      </c>
    </row>
    <row r="2141" spans="1:5" x14ac:dyDescent="0.25">
      <c r="A2141" s="5" t="s">
        <v>6</v>
      </c>
      <c r="B2141" s="5" t="s">
        <v>5680</v>
      </c>
      <c r="C2141" s="1" t="s">
        <v>5681</v>
      </c>
      <c r="D2141" s="1" t="s">
        <v>5682</v>
      </c>
      <c r="E2141" s="7">
        <v>29</v>
      </c>
    </row>
    <row r="2142" spans="1:5" x14ac:dyDescent="0.25">
      <c r="A2142" s="5" t="s">
        <v>6</v>
      </c>
      <c r="B2142" s="5" t="s">
        <v>5683</v>
      </c>
      <c r="C2142" s="1" t="s">
        <v>5684</v>
      </c>
      <c r="D2142" s="1" t="s">
        <v>5685</v>
      </c>
      <c r="E2142" s="7">
        <v>29</v>
      </c>
    </row>
    <row r="2143" spans="1:5" x14ac:dyDescent="0.25">
      <c r="A2143" s="5" t="s">
        <v>6</v>
      </c>
      <c r="B2143" s="5" t="s">
        <v>5686</v>
      </c>
      <c r="C2143" s="1" t="s">
        <v>5687</v>
      </c>
      <c r="D2143" s="1" t="s">
        <v>5688</v>
      </c>
      <c r="E2143" s="7">
        <v>514</v>
      </c>
    </row>
    <row r="2144" spans="1:5" x14ac:dyDescent="0.25">
      <c r="A2144" s="5" t="s">
        <v>6</v>
      </c>
      <c r="B2144" s="5" t="s">
        <v>5689</v>
      </c>
      <c r="C2144" s="1" t="s">
        <v>5690</v>
      </c>
      <c r="D2144" s="1" t="s">
        <v>5691</v>
      </c>
      <c r="E2144" s="7">
        <v>29</v>
      </c>
    </row>
    <row r="2145" spans="1:5" x14ac:dyDescent="0.25">
      <c r="A2145" s="5" t="s">
        <v>6</v>
      </c>
      <c r="B2145" s="5" t="s">
        <v>5692</v>
      </c>
      <c r="C2145" s="1" t="s">
        <v>5693</v>
      </c>
      <c r="D2145" s="1" t="s">
        <v>5694</v>
      </c>
      <c r="E2145" s="7">
        <v>31</v>
      </c>
    </row>
    <row r="2146" spans="1:5" x14ac:dyDescent="0.25">
      <c r="A2146" s="5" t="s">
        <v>6</v>
      </c>
      <c r="B2146" s="5" t="s">
        <v>5695</v>
      </c>
      <c r="C2146" s="1" t="s">
        <v>5696</v>
      </c>
      <c r="D2146" s="1" t="s">
        <v>5697</v>
      </c>
      <c r="E2146" s="7">
        <v>31</v>
      </c>
    </row>
    <row r="2147" spans="1:5" x14ac:dyDescent="0.25">
      <c r="A2147" s="5" t="s">
        <v>6</v>
      </c>
      <c r="B2147" s="5" t="s">
        <v>5698</v>
      </c>
      <c r="C2147" s="1" t="s">
        <v>5699</v>
      </c>
      <c r="D2147" s="1" t="s">
        <v>5700</v>
      </c>
      <c r="E2147" s="7">
        <v>33</v>
      </c>
    </row>
    <row r="2148" spans="1:5" x14ac:dyDescent="0.25">
      <c r="A2148" s="5" t="s">
        <v>6</v>
      </c>
      <c r="B2148" s="5" t="s">
        <v>5701</v>
      </c>
      <c r="C2148" s="1" t="s">
        <v>5702</v>
      </c>
      <c r="D2148" s="1" t="s">
        <v>5703</v>
      </c>
      <c r="E2148" s="7">
        <v>30</v>
      </c>
    </row>
    <row r="2149" spans="1:5" x14ac:dyDescent="0.25">
      <c r="A2149" s="5" t="s">
        <v>6</v>
      </c>
      <c r="B2149" s="5" t="s">
        <v>5704</v>
      </c>
      <c r="C2149" s="1" t="s">
        <v>5705</v>
      </c>
      <c r="D2149" s="1" t="s">
        <v>5706</v>
      </c>
      <c r="E2149" s="7">
        <v>73</v>
      </c>
    </row>
    <row r="2150" spans="1:5" x14ac:dyDescent="0.25">
      <c r="A2150" s="5" t="s">
        <v>6</v>
      </c>
      <c r="B2150" s="5" t="s">
        <v>5707</v>
      </c>
      <c r="C2150" s="1" t="s">
        <v>5708</v>
      </c>
      <c r="D2150" s="1" t="s">
        <v>5709</v>
      </c>
      <c r="E2150" s="7">
        <v>38</v>
      </c>
    </row>
    <row r="2151" spans="1:5" x14ac:dyDescent="0.25">
      <c r="A2151" s="5" t="s">
        <v>6</v>
      </c>
      <c r="B2151" s="5" t="s">
        <v>5710</v>
      </c>
      <c r="C2151" s="1" t="s">
        <v>5711</v>
      </c>
      <c r="D2151" s="1" t="s">
        <v>5712</v>
      </c>
      <c r="E2151" s="7">
        <v>19</v>
      </c>
    </row>
    <row r="2152" spans="1:5" x14ac:dyDescent="0.25">
      <c r="A2152" s="5" t="s">
        <v>6</v>
      </c>
      <c r="B2152" s="5" t="s">
        <v>5713</v>
      </c>
      <c r="C2152" s="1" t="s">
        <v>5714</v>
      </c>
      <c r="D2152" s="1" t="s">
        <v>5715</v>
      </c>
      <c r="E2152" s="7">
        <v>31</v>
      </c>
    </row>
    <row r="2153" spans="1:5" x14ac:dyDescent="0.25">
      <c r="A2153" s="5" t="s">
        <v>6</v>
      </c>
      <c r="B2153" s="5" t="s">
        <v>5716</v>
      </c>
      <c r="C2153" s="1" t="s">
        <v>5717</v>
      </c>
      <c r="D2153" s="1" t="s">
        <v>5718</v>
      </c>
      <c r="E2153" s="7">
        <v>31</v>
      </c>
    </row>
    <row r="2154" spans="1:5" x14ac:dyDescent="0.25">
      <c r="A2154" s="5" t="s">
        <v>6</v>
      </c>
      <c r="B2154" s="5" t="s">
        <v>5719</v>
      </c>
      <c r="C2154" s="1" t="s">
        <v>5720</v>
      </c>
      <c r="D2154" s="1" t="s">
        <v>5721</v>
      </c>
      <c r="E2154" s="7">
        <v>5</v>
      </c>
    </row>
    <row r="2155" spans="1:5" x14ac:dyDescent="0.25">
      <c r="A2155" s="5" t="s">
        <v>6</v>
      </c>
      <c r="B2155" s="5" t="s">
        <v>5722</v>
      </c>
      <c r="C2155" s="1" t="s">
        <v>5723</v>
      </c>
      <c r="D2155" s="1" t="s">
        <v>5724</v>
      </c>
      <c r="E2155" s="7">
        <v>40</v>
      </c>
    </row>
    <row r="2156" spans="1:5" x14ac:dyDescent="0.25">
      <c r="A2156" s="5" t="s">
        <v>6</v>
      </c>
      <c r="B2156" s="5" t="s">
        <v>5725</v>
      </c>
      <c r="C2156" s="1" t="s">
        <v>5726</v>
      </c>
      <c r="D2156" s="1" t="s">
        <v>5727</v>
      </c>
      <c r="E2156" s="7">
        <v>38</v>
      </c>
    </row>
    <row r="2157" spans="1:5" x14ac:dyDescent="0.25">
      <c r="A2157" s="5" t="s">
        <v>6</v>
      </c>
      <c r="B2157" s="5" t="s">
        <v>5728</v>
      </c>
      <c r="C2157" s="1" t="s">
        <v>5729</v>
      </c>
      <c r="D2157" s="1" t="s">
        <v>5730</v>
      </c>
      <c r="E2157" s="7">
        <v>38</v>
      </c>
    </row>
    <row r="2158" spans="1:5" x14ac:dyDescent="0.25">
      <c r="A2158" s="5" t="s">
        <v>6</v>
      </c>
      <c r="B2158" s="5" t="s">
        <v>5731</v>
      </c>
      <c r="C2158" s="1" t="s">
        <v>5732</v>
      </c>
      <c r="D2158" s="1" t="s">
        <v>5733</v>
      </c>
      <c r="E2158" s="7">
        <v>5</v>
      </c>
    </row>
    <row r="2159" spans="1:5" x14ac:dyDescent="0.25">
      <c r="A2159" s="5" t="s">
        <v>6</v>
      </c>
      <c r="B2159" s="5" t="s">
        <v>5734</v>
      </c>
      <c r="C2159" s="1" t="s">
        <v>5735</v>
      </c>
      <c r="D2159" s="1" t="s">
        <v>5736</v>
      </c>
      <c r="E2159" s="7">
        <v>40</v>
      </c>
    </row>
    <row r="2160" spans="1:5" x14ac:dyDescent="0.25">
      <c r="A2160" s="5" t="s">
        <v>6</v>
      </c>
      <c r="B2160" s="5" t="s">
        <v>5737</v>
      </c>
      <c r="C2160" s="1" t="s">
        <v>5738</v>
      </c>
      <c r="D2160" s="1" t="s">
        <v>5739</v>
      </c>
      <c r="E2160" s="7">
        <v>49</v>
      </c>
    </row>
    <row r="2161" spans="1:5" x14ac:dyDescent="0.25">
      <c r="A2161" s="5" t="s">
        <v>6</v>
      </c>
      <c r="B2161" s="5" t="s">
        <v>5740</v>
      </c>
      <c r="C2161" s="1" t="s">
        <v>5741</v>
      </c>
      <c r="D2161" s="1" t="s">
        <v>5742</v>
      </c>
      <c r="E2161" s="7">
        <v>30</v>
      </c>
    </row>
    <row r="2162" spans="1:5" x14ac:dyDescent="0.25">
      <c r="A2162" s="5" t="s">
        <v>6</v>
      </c>
      <c r="B2162" s="5" t="s">
        <v>5743</v>
      </c>
      <c r="C2162" s="1" t="s">
        <v>5744</v>
      </c>
      <c r="D2162" s="1" t="s">
        <v>5745</v>
      </c>
      <c r="E2162" s="7">
        <v>30</v>
      </c>
    </row>
    <row r="2163" spans="1:5" x14ac:dyDescent="0.25">
      <c r="A2163" s="5" t="s">
        <v>6</v>
      </c>
      <c r="B2163" s="5" t="s">
        <v>5746</v>
      </c>
      <c r="C2163" s="1" t="s">
        <v>5747</v>
      </c>
      <c r="D2163" s="1" t="s">
        <v>5748</v>
      </c>
      <c r="E2163" s="7">
        <v>30</v>
      </c>
    </row>
    <row r="2164" spans="1:5" x14ac:dyDescent="0.25">
      <c r="A2164" s="5" t="s">
        <v>6</v>
      </c>
      <c r="B2164" s="5" t="s">
        <v>5749</v>
      </c>
      <c r="C2164" s="1" t="s">
        <v>5750</v>
      </c>
      <c r="D2164" s="1" t="s">
        <v>5751</v>
      </c>
      <c r="E2164" s="7">
        <v>38</v>
      </c>
    </row>
    <row r="2165" spans="1:5" x14ac:dyDescent="0.25">
      <c r="A2165" s="5" t="s">
        <v>6</v>
      </c>
      <c r="B2165" s="5" t="s">
        <v>5752</v>
      </c>
      <c r="C2165" s="1" t="s">
        <v>5753</v>
      </c>
      <c r="D2165" s="1" t="s">
        <v>5754</v>
      </c>
      <c r="E2165" s="7">
        <v>45</v>
      </c>
    </row>
    <row r="2166" spans="1:5" x14ac:dyDescent="0.25">
      <c r="A2166" s="5" t="s">
        <v>6</v>
      </c>
      <c r="B2166" s="5" t="s">
        <v>5755</v>
      </c>
      <c r="C2166" s="1" t="s">
        <v>5756</v>
      </c>
      <c r="D2166" s="1" t="s">
        <v>5757</v>
      </c>
      <c r="E2166" s="7">
        <v>44</v>
      </c>
    </row>
    <row r="2167" spans="1:5" x14ac:dyDescent="0.25">
      <c r="A2167" s="5" t="s">
        <v>6</v>
      </c>
      <c r="B2167" s="5" t="s">
        <v>5758</v>
      </c>
      <c r="C2167" s="1" t="s">
        <v>5759</v>
      </c>
      <c r="D2167" s="1" t="s">
        <v>5760</v>
      </c>
      <c r="E2167" s="7">
        <v>30</v>
      </c>
    </row>
    <row r="2168" spans="1:5" x14ac:dyDescent="0.25">
      <c r="A2168" s="5" t="s">
        <v>6</v>
      </c>
      <c r="B2168" s="5" t="s">
        <v>5761</v>
      </c>
      <c r="C2168" s="1" t="s">
        <v>5762</v>
      </c>
      <c r="D2168" s="1" t="s">
        <v>5763</v>
      </c>
      <c r="E2168" s="7">
        <v>29</v>
      </c>
    </row>
    <row r="2169" spans="1:5" x14ac:dyDescent="0.25">
      <c r="A2169" s="5" t="s">
        <v>6</v>
      </c>
      <c r="B2169" s="5" t="s">
        <v>5764</v>
      </c>
      <c r="C2169" s="1" t="s">
        <v>5765</v>
      </c>
      <c r="D2169" s="1" t="s">
        <v>5766</v>
      </c>
      <c r="E2169" s="7">
        <v>31</v>
      </c>
    </row>
    <row r="2170" spans="1:5" x14ac:dyDescent="0.25">
      <c r="A2170" s="5" t="s">
        <v>6</v>
      </c>
      <c r="B2170" s="5" t="s">
        <v>5767</v>
      </c>
      <c r="C2170" s="1" t="s">
        <v>5768</v>
      </c>
      <c r="D2170" s="1" t="s">
        <v>5769</v>
      </c>
      <c r="E2170" s="7">
        <v>19</v>
      </c>
    </row>
    <row r="2171" spans="1:5" x14ac:dyDescent="0.25">
      <c r="A2171" s="5" t="s">
        <v>6</v>
      </c>
      <c r="B2171" s="5" t="s">
        <v>5770</v>
      </c>
      <c r="C2171" s="1" t="s">
        <v>5771</v>
      </c>
      <c r="D2171" s="1" t="s">
        <v>5772</v>
      </c>
      <c r="E2171" s="7">
        <v>38</v>
      </c>
    </row>
    <row r="2172" spans="1:5" x14ac:dyDescent="0.25">
      <c r="A2172" s="5" t="s">
        <v>6</v>
      </c>
      <c r="B2172" s="5" t="s">
        <v>5773</v>
      </c>
      <c r="C2172" s="1" t="s">
        <v>5774</v>
      </c>
      <c r="D2172" s="1" t="s">
        <v>5775</v>
      </c>
      <c r="E2172" s="7">
        <v>55</v>
      </c>
    </row>
    <row r="2173" spans="1:5" x14ac:dyDescent="0.25">
      <c r="A2173" s="5" t="s">
        <v>6</v>
      </c>
      <c r="B2173" s="5" t="s">
        <v>5776</v>
      </c>
      <c r="C2173" s="1" t="s">
        <v>5777</v>
      </c>
      <c r="D2173" s="1" t="s">
        <v>5778</v>
      </c>
      <c r="E2173" s="7">
        <v>68</v>
      </c>
    </row>
    <row r="2174" spans="1:5" x14ac:dyDescent="0.25">
      <c r="A2174" s="5" t="s">
        <v>6</v>
      </c>
      <c r="B2174" s="5" t="s">
        <v>5779</v>
      </c>
      <c r="C2174" s="1" t="s">
        <v>5780</v>
      </c>
      <c r="D2174" s="1" t="s">
        <v>5780</v>
      </c>
      <c r="E2174" s="7">
        <v>23</v>
      </c>
    </row>
    <row r="2175" spans="1:5" x14ac:dyDescent="0.25">
      <c r="A2175" s="5" t="s">
        <v>6</v>
      </c>
      <c r="B2175" s="5" t="s">
        <v>5781</v>
      </c>
      <c r="C2175" s="1" t="s">
        <v>5782</v>
      </c>
      <c r="D2175" s="1" t="s">
        <v>5783</v>
      </c>
      <c r="E2175" s="7">
        <v>23</v>
      </c>
    </row>
    <row r="2176" spans="1:5" x14ac:dyDescent="0.25">
      <c r="A2176" s="5" t="s">
        <v>6</v>
      </c>
      <c r="B2176" s="5" t="s">
        <v>5784</v>
      </c>
      <c r="C2176" s="1" t="s">
        <v>5785</v>
      </c>
      <c r="D2176" s="1" t="s">
        <v>5786</v>
      </c>
      <c r="E2176" s="7">
        <v>94</v>
      </c>
    </row>
    <row r="2177" spans="1:5" x14ac:dyDescent="0.25">
      <c r="A2177" s="5" t="s">
        <v>6</v>
      </c>
      <c r="B2177" s="5" t="s">
        <v>5787</v>
      </c>
      <c r="C2177" s="1" t="s">
        <v>5788</v>
      </c>
      <c r="D2177" s="1" t="s">
        <v>5789</v>
      </c>
      <c r="E2177" s="7">
        <v>15</v>
      </c>
    </row>
    <row r="2178" spans="1:5" x14ac:dyDescent="0.25">
      <c r="A2178" s="5" t="s">
        <v>6</v>
      </c>
      <c r="B2178" s="5" t="s">
        <v>5790</v>
      </c>
      <c r="C2178" s="1" t="s">
        <v>5791</v>
      </c>
      <c r="D2178" s="1" t="s">
        <v>5792</v>
      </c>
      <c r="E2178" s="7">
        <v>81</v>
      </c>
    </row>
    <row r="2179" spans="1:5" x14ac:dyDescent="0.25">
      <c r="A2179" s="5" t="s">
        <v>6</v>
      </c>
      <c r="B2179" s="5" t="s">
        <v>5793</v>
      </c>
      <c r="C2179" s="1" t="s">
        <v>5794</v>
      </c>
      <c r="D2179" s="1" t="s">
        <v>5795</v>
      </c>
      <c r="E2179" s="7">
        <v>143</v>
      </c>
    </row>
    <row r="2180" spans="1:5" x14ac:dyDescent="0.25">
      <c r="A2180" s="5" t="s">
        <v>6</v>
      </c>
      <c r="B2180" s="5" t="s">
        <v>5796</v>
      </c>
      <c r="C2180" s="1" t="s">
        <v>5797</v>
      </c>
      <c r="D2180" s="1" t="s">
        <v>5798</v>
      </c>
      <c r="E2180" s="7">
        <v>17</v>
      </c>
    </row>
    <row r="2181" spans="1:5" x14ac:dyDescent="0.25">
      <c r="A2181" s="5" t="s">
        <v>6</v>
      </c>
      <c r="B2181" s="5" t="s">
        <v>5799</v>
      </c>
      <c r="C2181" s="1" t="s">
        <v>5800</v>
      </c>
      <c r="D2181" s="1" t="s">
        <v>5801</v>
      </c>
      <c r="E2181" s="7">
        <v>5</v>
      </c>
    </row>
    <row r="2182" spans="1:5" x14ac:dyDescent="0.25">
      <c r="A2182" s="5" t="s">
        <v>6</v>
      </c>
      <c r="B2182" s="5" t="s">
        <v>5802</v>
      </c>
      <c r="C2182" s="1" t="s">
        <v>5803</v>
      </c>
      <c r="D2182" s="1" t="s">
        <v>5803</v>
      </c>
      <c r="E2182" s="7">
        <v>3</v>
      </c>
    </row>
    <row r="2183" spans="1:5" x14ac:dyDescent="0.25">
      <c r="A2183" s="5" t="s">
        <v>6</v>
      </c>
      <c r="B2183" s="5" t="s">
        <v>5804</v>
      </c>
      <c r="C2183" s="1" t="s">
        <v>5805</v>
      </c>
      <c r="D2183" s="1" t="s">
        <v>5806</v>
      </c>
      <c r="E2183" s="7">
        <v>23</v>
      </c>
    </row>
    <row r="2184" spans="1:5" x14ac:dyDescent="0.25">
      <c r="A2184" s="5" t="s">
        <v>6</v>
      </c>
      <c r="B2184" s="5" t="s">
        <v>5807</v>
      </c>
      <c r="C2184" s="1" t="s">
        <v>5808</v>
      </c>
      <c r="D2184" s="1" t="s">
        <v>5809</v>
      </c>
      <c r="E2184" s="7">
        <v>19</v>
      </c>
    </row>
    <row r="2185" spans="1:5" x14ac:dyDescent="0.25">
      <c r="A2185" s="5" t="s">
        <v>6</v>
      </c>
      <c r="B2185" s="5" t="s">
        <v>5810</v>
      </c>
      <c r="C2185" s="1" t="s">
        <v>5811</v>
      </c>
      <c r="D2185" s="1" t="s">
        <v>5812</v>
      </c>
      <c r="E2185" s="7">
        <v>19</v>
      </c>
    </row>
    <row r="2186" spans="1:5" x14ac:dyDescent="0.25">
      <c r="A2186" s="5" t="s">
        <v>6</v>
      </c>
      <c r="B2186" s="5" t="s">
        <v>5813</v>
      </c>
      <c r="C2186" s="1" t="s">
        <v>5814</v>
      </c>
      <c r="D2186" s="1" t="s">
        <v>5814</v>
      </c>
      <c r="E2186" s="7">
        <v>10</v>
      </c>
    </row>
    <row r="2187" spans="1:5" x14ac:dyDescent="0.25">
      <c r="A2187" s="5" t="s">
        <v>6</v>
      </c>
      <c r="B2187" s="5" t="s">
        <v>5815</v>
      </c>
      <c r="C2187" s="1" t="s">
        <v>5816</v>
      </c>
      <c r="D2187" s="1" t="s">
        <v>5816</v>
      </c>
      <c r="E2187" s="7">
        <v>10</v>
      </c>
    </row>
    <row r="2188" spans="1:5" x14ac:dyDescent="0.25">
      <c r="A2188" s="5" t="s">
        <v>6</v>
      </c>
      <c r="B2188" s="5" t="s">
        <v>5817</v>
      </c>
      <c r="C2188" s="1" t="s">
        <v>5818</v>
      </c>
      <c r="D2188" s="1" t="s">
        <v>5818</v>
      </c>
      <c r="E2188" s="7">
        <v>12</v>
      </c>
    </row>
    <row r="2189" spans="1:5" x14ac:dyDescent="0.25">
      <c r="A2189" s="5" t="s">
        <v>6</v>
      </c>
      <c r="B2189" s="5" t="s">
        <v>5819</v>
      </c>
      <c r="C2189" s="1" t="s">
        <v>5820</v>
      </c>
      <c r="D2189" s="1" t="s">
        <v>5821</v>
      </c>
      <c r="E2189" s="7">
        <v>27</v>
      </c>
    </row>
    <row r="2190" spans="1:5" x14ac:dyDescent="0.25">
      <c r="A2190" s="5" t="s">
        <v>6</v>
      </c>
      <c r="B2190" s="5" t="s">
        <v>5822</v>
      </c>
      <c r="C2190" s="1" t="s">
        <v>5823</v>
      </c>
      <c r="D2190" s="1" t="s">
        <v>5823</v>
      </c>
      <c r="E2190" s="7">
        <v>10</v>
      </c>
    </row>
    <row r="2191" spans="1:5" x14ac:dyDescent="0.25">
      <c r="A2191" s="5" t="s">
        <v>6</v>
      </c>
      <c r="B2191" s="5" t="s">
        <v>5824</v>
      </c>
      <c r="C2191" s="1" t="s">
        <v>5825</v>
      </c>
      <c r="D2191" s="1" t="s">
        <v>5826</v>
      </c>
      <c r="E2191" s="7">
        <v>112</v>
      </c>
    </row>
    <row r="2192" spans="1:5" x14ac:dyDescent="0.25">
      <c r="A2192" s="5" t="s">
        <v>6</v>
      </c>
      <c r="B2192" s="5" t="s">
        <v>5827</v>
      </c>
      <c r="C2192" s="1" t="s">
        <v>5828</v>
      </c>
      <c r="D2192" s="1" t="s">
        <v>5829</v>
      </c>
      <c r="E2192" s="7">
        <v>112</v>
      </c>
    </row>
    <row r="2193" spans="1:5" x14ac:dyDescent="0.25">
      <c r="A2193" s="5" t="s">
        <v>6</v>
      </c>
      <c r="B2193" s="5" t="s">
        <v>5830</v>
      </c>
      <c r="C2193" s="1" t="s">
        <v>5831</v>
      </c>
      <c r="D2193" s="1" t="s">
        <v>5832</v>
      </c>
      <c r="E2193" s="7">
        <v>2</v>
      </c>
    </row>
    <row r="2194" spans="1:5" x14ac:dyDescent="0.25">
      <c r="A2194" s="5" t="s">
        <v>6</v>
      </c>
      <c r="B2194" s="5" t="s">
        <v>5833</v>
      </c>
      <c r="C2194" s="1" t="s">
        <v>5834</v>
      </c>
      <c r="D2194" s="1" t="s">
        <v>5835</v>
      </c>
      <c r="E2194" s="7">
        <v>38</v>
      </c>
    </row>
    <row r="2195" spans="1:5" x14ac:dyDescent="0.25">
      <c r="A2195" s="5" t="s">
        <v>6</v>
      </c>
      <c r="B2195" s="5" t="s">
        <v>5836</v>
      </c>
      <c r="C2195" s="1" t="s">
        <v>5837</v>
      </c>
      <c r="D2195" s="1" t="s">
        <v>5838</v>
      </c>
      <c r="E2195" s="7">
        <v>19</v>
      </c>
    </row>
    <row r="2196" spans="1:5" x14ac:dyDescent="0.25">
      <c r="A2196" s="5" t="s">
        <v>6</v>
      </c>
      <c r="B2196" s="5" t="s">
        <v>5839</v>
      </c>
      <c r="C2196" s="1" t="s">
        <v>5840</v>
      </c>
      <c r="D2196" s="1" t="s">
        <v>5841</v>
      </c>
      <c r="E2196" s="7">
        <v>38</v>
      </c>
    </row>
    <row r="2197" spans="1:5" x14ac:dyDescent="0.25">
      <c r="A2197" s="5" t="s">
        <v>6</v>
      </c>
      <c r="B2197" s="5" t="s">
        <v>5842</v>
      </c>
      <c r="C2197" s="1" t="s">
        <v>5843</v>
      </c>
      <c r="D2197" s="1" t="s">
        <v>5844</v>
      </c>
      <c r="E2197" s="7">
        <v>42</v>
      </c>
    </row>
    <row r="2198" spans="1:5" x14ac:dyDescent="0.25">
      <c r="A2198" s="5" t="s">
        <v>6</v>
      </c>
      <c r="B2198" s="5" t="s">
        <v>5845</v>
      </c>
      <c r="C2198" s="1" t="s">
        <v>5846</v>
      </c>
      <c r="D2198" s="1" t="s">
        <v>5847</v>
      </c>
      <c r="E2198" s="7">
        <v>2</v>
      </c>
    </row>
    <row r="2199" spans="1:5" x14ac:dyDescent="0.25">
      <c r="A2199" s="5" t="s">
        <v>6</v>
      </c>
      <c r="B2199" s="5" t="s">
        <v>5848</v>
      </c>
      <c r="C2199" s="1" t="s">
        <v>5849</v>
      </c>
      <c r="D2199" s="1" t="s">
        <v>5850</v>
      </c>
      <c r="E2199" s="7">
        <v>45</v>
      </c>
    </row>
    <row r="2200" spans="1:5" x14ac:dyDescent="0.25">
      <c r="A2200" s="5" t="s">
        <v>6</v>
      </c>
      <c r="B2200" s="5" t="s">
        <v>5851</v>
      </c>
      <c r="C2200" s="1" t="s">
        <v>5852</v>
      </c>
      <c r="D2200" s="1" t="s">
        <v>5853</v>
      </c>
      <c r="E2200" s="7">
        <v>59</v>
      </c>
    </row>
    <row r="2201" spans="1:5" x14ac:dyDescent="0.25">
      <c r="A2201" s="5" t="s">
        <v>6</v>
      </c>
      <c r="B2201" s="5" t="s">
        <v>5854</v>
      </c>
      <c r="C2201" s="1" t="s">
        <v>5855</v>
      </c>
      <c r="D2201" s="1" t="s">
        <v>5856</v>
      </c>
      <c r="E2201" s="7">
        <v>26</v>
      </c>
    </row>
    <row r="2202" spans="1:5" x14ac:dyDescent="0.25">
      <c r="A2202" s="5" t="s">
        <v>6</v>
      </c>
      <c r="B2202" s="5" t="s">
        <v>5857</v>
      </c>
      <c r="C2202" s="1" t="s">
        <v>5858</v>
      </c>
      <c r="D2202" s="1" t="s">
        <v>5859</v>
      </c>
      <c r="E2202" s="7">
        <v>12</v>
      </c>
    </row>
    <row r="2203" spans="1:5" x14ac:dyDescent="0.25">
      <c r="A2203" s="5" t="s">
        <v>6</v>
      </c>
      <c r="B2203" s="5" t="s">
        <v>5860</v>
      </c>
      <c r="C2203" s="1" t="s">
        <v>5861</v>
      </c>
      <c r="D2203" s="1" t="s">
        <v>5862</v>
      </c>
      <c r="E2203" s="7">
        <v>45</v>
      </c>
    </row>
    <row r="2204" spans="1:5" x14ac:dyDescent="0.25">
      <c r="A2204" s="5" t="s">
        <v>6</v>
      </c>
      <c r="B2204" s="5" t="s">
        <v>5863</v>
      </c>
      <c r="C2204" s="1" t="s">
        <v>5864</v>
      </c>
      <c r="D2204" s="1" t="s">
        <v>5865</v>
      </c>
      <c r="E2204" s="7">
        <v>158</v>
      </c>
    </row>
    <row r="2205" spans="1:5" x14ac:dyDescent="0.25">
      <c r="A2205" s="5" t="s">
        <v>6</v>
      </c>
      <c r="B2205" s="5" t="s">
        <v>5866</v>
      </c>
      <c r="C2205" s="1" t="s">
        <v>5867</v>
      </c>
      <c r="D2205" s="1" t="s">
        <v>5868</v>
      </c>
      <c r="E2205" s="7">
        <v>5</v>
      </c>
    </row>
    <row r="2206" spans="1:5" x14ac:dyDescent="0.25">
      <c r="A2206" s="5" t="s">
        <v>6</v>
      </c>
      <c r="B2206" s="5" t="s">
        <v>5869</v>
      </c>
      <c r="C2206" s="1" t="s">
        <v>5870</v>
      </c>
      <c r="D2206" s="1" t="s">
        <v>5871</v>
      </c>
      <c r="E2206" s="7">
        <v>29</v>
      </c>
    </row>
    <row r="2207" spans="1:5" x14ac:dyDescent="0.25">
      <c r="A2207" s="5" t="s">
        <v>6</v>
      </c>
      <c r="B2207" s="5" t="s">
        <v>5872</v>
      </c>
      <c r="C2207" s="1" t="s">
        <v>5873</v>
      </c>
      <c r="D2207" s="1" t="s">
        <v>5874</v>
      </c>
      <c r="E2207" s="7">
        <v>71</v>
      </c>
    </row>
    <row r="2208" spans="1:5" x14ac:dyDescent="0.25">
      <c r="A2208" s="5" t="s">
        <v>6</v>
      </c>
      <c r="B2208" s="5" t="s">
        <v>5875</v>
      </c>
      <c r="C2208" s="1" t="s">
        <v>5876</v>
      </c>
      <c r="D2208" s="1" t="s">
        <v>5877</v>
      </c>
      <c r="E2208" s="7">
        <v>14</v>
      </c>
    </row>
    <row r="2209" spans="1:5" x14ac:dyDescent="0.25">
      <c r="A2209" s="5" t="s">
        <v>6</v>
      </c>
      <c r="B2209" s="5" t="s">
        <v>5878</v>
      </c>
      <c r="C2209" s="1" t="s">
        <v>5879</v>
      </c>
      <c r="D2209" s="1" t="s">
        <v>5879</v>
      </c>
      <c r="E2209" s="7">
        <v>2</v>
      </c>
    </row>
    <row r="2210" spans="1:5" x14ac:dyDescent="0.25">
      <c r="A2210" s="5" t="s">
        <v>6</v>
      </c>
      <c r="B2210" s="5" t="s">
        <v>5880</v>
      </c>
      <c r="C2210" s="1" t="s">
        <v>5881</v>
      </c>
      <c r="D2210" s="1" t="s">
        <v>5882</v>
      </c>
      <c r="E2210" s="7">
        <v>5</v>
      </c>
    </row>
    <row r="2211" spans="1:5" x14ac:dyDescent="0.25">
      <c r="A2211" s="5" t="s">
        <v>6</v>
      </c>
      <c r="B2211" s="5" t="s">
        <v>5883</v>
      </c>
      <c r="C2211" s="1" t="s">
        <v>5884</v>
      </c>
      <c r="D2211" s="1" t="s">
        <v>5885</v>
      </c>
      <c r="E2211" s="7">
        <v>4</v>
      </c>
    </row>
    <row r="2212" spans="1:5" x14ac:dyDescent="0.25">
      <c r="A2212" s="5" t="s">
        <v>6</v>
      </c>
      <c r="B2212" s="5" t="s">
        <v>5886</v>
      </c>
      <c r="C2212" s="1" t="s">
        <v>5887</v>
      </c>
      <c r="D2212" s="1" t="s">
        <v>5888</v>
      </c>
      <c r="E2212" s="7">
        <v>28</v>
      </c>
    </row>
    <row r="2213" spans="1:5" x14ac:dyDescent="0.25">
      <c r="A2213" s="5" t="s">
        <v>6</v>
      </c>
      <c r="B2213" s="5" t="s">
        <v>5889</v>
      </c>
      <c r="C2213" s="1" t="s">
        <v>5890</v>
      </c>
      <c r="D2213" s="1" t="s">
        <v>5891</v>
      </c>
      <c r="E2213" s="7">
        <v>26</v>
      </c>
    </row>
    <row r="2214" spans="1:5" x14ac:dyDescent="0.25">
      <c r="A2214" s="5" t="s">
        <v>6</v>
      </c>
      <c r="B2214" s="5" t="s">
        <v>5892</v>
      </c>
      <c r="C2214" s="1" t="s">
        <v>5893</v>
      </c>
      <c r="D2214" s="1" t="s">
        <v>5894</v>
      </c>
      <c r="E2214" s="7">
        <v>28</v>
      </c>
    </row>
    <row r="2215" spans="1:5" x14ac:dyDescent="0.25">
      <c r="A2215" s="5" t="s">
        <v>6</v>
      </c>
      <c r="B2215" s="5" t="s">
        <v>5895</v>
      </c>
      <c r="C2215" s="1" t="s">
        <v>5896</v>
      </c>
      <c r="D2215" s="1" t="s">
        <v>5897</v>
      </c>
      <c r="E2215" s="7">
        <v>5</v>
      </c>
    </row>
    <row r="2216" spans="1:5" x14ac:dyDescent="0.25">
      <c r="A2216" s="5" t="s">
        <v>6</v>
      </c>
      <c r="B2216" s="5" t="s">
        <v>5898</v>
      </c>
      <c r="C2216" s="1" t="s">
        <v>5899</v>
      </c>
      <c r="D2216" s="1" t="s">
        <v>5900</v>
      </c>
      <c r="E2216" s="7">
        <v>29</v>
      </c>
    </row>
    <row r="2217" spans="1:5" x14ac:dyDescent="0.25">
      <c r="A2217" s="5" t="s">
        <v>6</v>
      </c>
      <c r="B2217" s="5" t="s">
        <v>5901</v>
      </c>
      <c r="C2217" s="1" t="s">
        <v>5902</v>
      </c>
      <c r="D2217" s="1" t="s">
        <v>5903</v>
      </c>
      <c r="E2217" s="7">
        <v>19</v>
      </c>
    </row>
    <row r="2218" spans="1:5" x14ac:dyDescent="0.25">
      <c r="A2218" s="5" t="s">
        <v>6</v>
      </c>
      <c r="B2218" s="5" t="s">
        <v>5904</v>
      </c>
      <c r="C2218" s="1" t="s">
        <v>5905</v>
      </c>
      <c r="D2218" s="1" t="s">
        <v>5906</v>
      </c>
      <c r="E2218" s="7">
        <v>19</v>
      </c>
    </row>
    <row r="2219" spans="1:5" x14ac:dyDescent="0.25">
      <c r="A2219" s="5" t="s">
        <v>6</v>
      </c>
      <c r="B2219" s="5" t="s">
        <v>5907</v>
      </c>
      <c r="C2219" s="1" t="s">
        <v>5908</v>
      </c>
      <c r="D2219" s="1" t="s">
        <v>5909</v>
      </c>
      <c r="E2219" s="7">
        <v>23</v>
      </c>
    </row>
    <row r="2220" spans="1:5" x14ac:dyDescent="0.25">
      <c r="A2220" s="5" t="s">
        <v>6</v>
      </c>
      <c r="B2220" s="5" t="s">
        <v>5910</v>
      </c>
      <c r="C2220" s="1" t="s">
        <v>5911</v>
      </c>
      <c r="D2220" s="1" t="s">
        <v>5912</v>
      </c>
      <c r="E2220" s="7">
        <v>23</v>
      </c>
    </row>
    <row r="2221" spans="1:5" x14ac:dyDescent="0.25">
      <c r="A2221" s="5" t="s">
        <v>6</v>
      </c>
      <c r="B2221" s="5" t="s">
        <v>5913</v>
      </c>
      <c r="C2221" s="1" t="s">
        <v>5914</v>
      </c>
      <c r="D2221" s="1" t="s">
        <v>5915</v>
      </c>
      <c r="E2221" s="7">
        <v>29</v>
      </c>
    </row>
    <row r="2222" spans="1:5" x14ac:dyDescent="0.25">
      <c r="A2222" s="5" t="s">
        <v>6</v>
      </c>
      <c r="B2222" s="5" t="s">
        <v>5916</v>
      </c>
      <c r="C2222" s="1" t="s">
        <v>5917</v>
      </c>
      <c r="D2222" s="1" t="s">
        <v>5918</v>
      </c>
      <c r="E2222" s="7">
        <v>29</v>
      </c>
    </row>
    <row r="2223" spans="1:5" x14ac:dyDescent="0.25">
      <c r="A2223" s="5" t="s">
        <v>6</v>
      </c>
      <c r="B2223" s="5" t="s">
        <v>5919</v>
      </c>
      <c r="C2223" s="1" t="s">
        <v>5920</v>
      </c>
      <c r="D2223" s="1" t="s">
        <v>5921</v>
      </c>
      <c r="E2223" s="7">
        <v>467</v>
      </c>
    </row>
    <row r="2224" spans="1:5" x14ac:dyDescent="0.25">
      <c r="A2224" s="5" t="s">
        <v>6</v>
      </c>
      <c r="B2224" s="5" t="s">
        <v>5922</v>
      </c>
      <c r="C2224" s="1" t="s">
        <v>5923</v>
      </c>
      <c r="D2224" s="1" t="s">
        <v>5924</v>
      </c>
      <c r="E2224" s="7">
        <v>28</v>
      </c>
    </row>
    <row r="2225" spans="1:5" x14ac:dyDescent="0.25">
      <c r="A2225" s="5" t="s">
        <v>6</v>
      </c>
      <c r="B2225" s="5" t="s">
        <v>5925</v>
      </c>
      <c r="C2225" s="1" t="s">
        <v>5926</v>
      </c>
      <c r="D2225" s="1" t="s">
        <v>5927</v>
      </c>
      <c r="E2225" s="7">
        <v>126</v>
      </c>
    </row>
    <row r="2226" spans="1:5" x14ac:dyDescent="0.25">
      <c r="A2226" s="5" t="s">
        <v>6</v>
      </c>
      <c r="B2226" s="5" t="s">
        <v>5928</v>
      </c>
      <c r="C2226" s="1" t="s">
        <v>5929</v>
      </c>
      <c r="D2226" s="1" t="s">
        <v>5930</v>
      </c>
      <c r="E2226" s="7">
        <v>10</v>
      </c>
    </row>
    <row r="2227" spans="1:5" x14ac:dyDescent="0.25">
      <c r="A2227" s="5" t="s">
        <v>6</v>
      </c>
      <c r="B2227" s="5" t="s">
        <v>5931</v>
      </c>
      <c r="C2227" s="1" t="s">
        <v>5932</v>
      </c>
      <c r="D2227" s="1" t="s">
        <v>5933</v>
      </c>
      <c r="E2227" s="7">
        <v>4</v>
      </c>
    </row>
    <row r="2228" spans="1:5" x14ac:dyDescent="0.25">
      <c r="A2228" s="5" t="s">
        <v>6</v>
      </c>
      <c r="B2228" s="5" t="s">
        <v>5934</v>
      </c>
      <c r="C2228" s="1" t="s">
        <v>5935</v>
      </c>
      <c r="D2228" s="1" t="s">
        <v>5936</v>
      </c>
      <c r="E2228" s="7">
        <v>11</v>
      </c>
    </row>
    <row r="2229" spans="1:5" x14ac:dyDescent="0.25">
      <c r="A2229" s="5" t="s">
        <v>6</v>
      </c>
      <c r="B2229" s="5" t="s">
        <v>5937</v>
      </c>
      <c r="C2229" s="1" t="s">
        <v>5938</v>
      </c>
      <c r="D2229" s="1" t="s">
        <v>5939</v>
      </c>
      <c r="E2229" s="7">
        <v>17</v>
      </c>
    </row>
    <row r="2230" spans="1:5" x14ac:dyDescent="0.25">
      <c r="A2230" s="5" t="s">
        <v>6</v>
      </c>
      <c r="B2230" s="5" t="s">
        <v>5940</v>
      </c>
      <c r="C2230" s="1" t="s">
        <v>5941</v>
      </c>
      <c r="D2230" s="1" t="s">
        <v>5942</v>
      </c>
      <c r="E2230" s="7">
        <v>30</v>
      </c>
    </row>
    <row r="2231" spans="1:5" x14ac:dyDescent="0.25">
      <c r="A2231" s="5" t="s">
        <v>6</v>
      </c>
      <c r="B2231" s="5" t="s">
        <v>5943</v>
      </c>
      <c r="C2231" s="1" t="s">
        <v>5944</v>
      </c>
      <c r="D2231" s="1" t="s">
        <v>5945</v>
      </c>
      <c r="E2231" s="7">
        <v>30</v>
      </c>
    </row>
    <row r="2232" spans="1:5" x14ac:dyDescent="0.25">
      <c r="A2232" s="5" t="s">
        <v>6</v>
      </c>
      <c r="B2232" s="5" t="s">
        <v>5946</v>
      </c>
      <c r="C2232" s="1" t="s">
        <v>5947</v>
      </c>
      <c r="D2232" s="1" t="s">
        <v>5948</v>
      </c>
      <c r="E2232" s="7">
        <v>30</v>
      </c>
    </row>
    <row r="2233" spans="1:5" x14ac:dyDescent="0.25">
      <c r="A2233" s="5" t="s">
        <v>6</v>
      </c>
      <c r="B2233" s="5" t="s">
        <v>5949</v>
      </c>
      <c r="C2233" s="1" t="s">
        <v>5950</v>
      </c>
      <c r="D2233" s="1" t="s">
        <v>5951</v>
      </c>
      <c r="E2233" s="7">
        <v>17</v>
      </c>
    </row>
    <row r="2234" spans="1:5" x14ac:dyDescent="0.25">
      <c r="A2234" s="5" t="s">
        <v>6</v>
      </c>
      <c r="B2234" s="5" t="s">
        <v>5952</v>
      </c>
      <c r="C2234" s="1" t="s">
        <v>5953</v>
      </c>
      <c r="D2234" s="1" t="s">
        <v>5954</v>
      </c>
      <c r="E2234" s="7">
        <v>33</v>
      </c>
    </row>
    <row r="2235" spans="1:5" x14ac:dyDescent="0.25">
      <c r="A2235" s="5" t="s">
        <v>6</v>
      </c>
      <c r="B2235" s="5" t="s">
        <v>5955</v>
      </c>
      <c r="C2235" s="1" t="s">
        <v>5956</v>
      </c>
      <c r="D2235" s="1" t="s">
        <v>5957</v>
      </c>
      <c r="E2235" s="7">
        <v>57</v>
      </c>
    </row>
    <row r="2236" spans="1:5" x14ac:dyDescent="0.25">
      <c r="A2236" s="5" t="s">
        <v>6</v>
      </c>
      <c r="B2236" s="5" t="s">
        <v>5958</v>
      </c>
      <c r="C2236" s="1" t="s">
        <v>5959</v>
      </c>
      <c r="D2236" s="1" t="s">
        <v>5960</v>
      </c>
      <c r="E2236" s="7">
        <v>92</v>
      </c>
    </row>
    <row r="2237" spans="1:5" x14ac:dyDescent="0.25">
      <c r="A2237" s="5" t="s">
        <v>6</v>
      </c>
      <c r="B2237" s="5" t="s">
        <v>5961</v>
      </c>
      <c r="C2237" s="1" t="s">
        <v>5962</v>
      </c>
      <c r="D2237" s="1" t="s">
        <v>5963</v>
      </c>
      <c r="E2237" s="7">
        <v>23</v>
      </c>
    </row>
    <row r="2238" spans="1:5" x14ac:dyDescent="0.25">
      <c r="A2238" s="5" t="s">
        <v>6</v>
      </c>
      <c r="B2238" s="5" t="s">
        <v>5964</v>
      </c>
      <c r="C2238" s="1" t="s">
        <v>5965</v>
      </c>
      <c r="D2238" s="1" t="s">
        <v>5966</v>
      </c>
      <c r="E2238" s="7">
        <v>19</v>
      </c>
    </row>
    <row r="2239" spans="1:5" x14ac:dyDescent="0.25">
      <c r="A2239" s="5" t="s">
        <v>6</v>
      </c>
      <c r="B2239" s="5" t="s">
        <v>5967</v>
      </c>
      <c r="C2239" s="1" t="s">
        <v>5968</v>
      </c>
      <c r="D2239" s="1" t="s">
        <v>5969</v>
      </c>
      <c r="E2239" s="7">
        <v>10</v>
      </c>
    </row>
    <row r="2240" spans="1:5" x14ac:dyDescent="0.25">
      <c r="A2240" s="5" t="s">
        <v>6</v>
      </c>
      <c r="B2240" s="5" t="s">
        <v>5970</v>
      </c>
      <c r="C2240" s="1" t="s">
        <v>5971</v>
      </c>
      <c r="D2240" s="1" t="s">
        <v>5972</v>
      </c>
      <c r="E2240" s="7">
        <v>28</v>
      </c>
    </row>
    <row r="2241" spans="1:5" x14ac:dyDescent="0.25">
      <c r="A2241" s="5" t="s">
        <v>6</v>
      </c>
      <c r="B2241" s="5" t="s">
        <v>5973</v>
      </c>
      <c r="C2241" s="1" t="s">
        <v>5974</v>
      </c>
      <c r="D2241" s="1" t="s">
        <v>5975</v>
      </c>
      <c r="E2241" s="7">
        <v>28</v>
      </c>
    </row>
    <row r="2242" spans="1:5" x14ac:dyDescent="0.25">
      <c r="A2242" s="5" t="s">
        <v>6</v>
      </c>
      <c r="B2242" s="5" t="s">
        <v>5976</v>
      </c>
      <c r="C2242" s="1" t="s">
        <v>5977</v>
      </c>
      <c r="D2242" s="1" t="s">
        <v>5978</v>
      </c>
      <c r="E2242" s="7">
        <v>33</v>
      </c>
    </row>
    <row r="2243" spans="1:5" x14ac:dyDescent="0.25">
      <c r="A2243" s="5" t="s">
        <v>6</v>
      </c>
      <c r="B2243" s="5" t="s">
        <v>5979</v>
      </c>
      <c r="C2243" s="1" t="s">
        <v>5980</v>
      </c>
      <c r="D2243" s="1" t="s">
        <v>5981</v>
      </c>
      <c r="E2243" s="7">
        <v>44</v>
      </c>
    </row>
    <row r="2244" spans="1:5" x14ac:dyDescent="0.25">
      <c r="A2244" s="5" t="s">
        <v>6</v>
      </c>
      <c r="B2244" s="5" t="s">
        <v>5982</v>
      </c>
      <c r="C2244" s="1" t="s">
        <v>5983</v>
      </c>
      <c r="D2244" s="1" t="s">
        <v>5984</v>
      </c>
      <c r="E2244" s="7">
        <v>14</v>
      </c>
    </row>
    <row r="2245" spans="1:5" x14ac:dyDescent="0.25">
      <c r="A2245" s="5" t="s">
        <v>6</v>
      </c>
      <c r="B2245" s="5" t="s">
        <v>5985</v>
      </c>
      <c r="C2245" s="1" t="s">
        <v>5986</v>
      </c>
      <c r="D2245" s="1" t="s">
        <v>5987</v>
      </c>
      <c r="E2245" s="7">
        <v>28</v>
      </c>
    </row>
    <row r="2246" spans="1:5" x14ac:dyDescent="0.25">
      <c r="A2246" s="5" t="s">
        <v>6</v>
      </c>
      <c r="B2246" s="5" t="s">
        <v>5988</v>
      </c>
      <c r="C2246" s="1" t="s">
        <v>5989</v>
      </c>
      <c r="D2246" s="1" t="s">
        <v>5990</v>
      </c>
      <c r="E2246" s="7">
        <v>30</v>
      </c>
    </row>
    <row r="2247" spans="1:5" x14ac:dyDescent="0.25">
      <c r="A2247" s="5" t="s">
        <v>6</v>
      </c>
      <c r="B2247" s="5" t="s">
        <v>5991</v>
      </c>
      <c r="C2247" s="1" t="s">
        <v>5992</v>
      </c>
      <c r="D2247" s="1" t="s">
        <v>5993</v>
      </c>
      <c r="E2247" s="7">
        <v>2</v>
      </c>
    </row>
    <row r="2248" spans="1:5" x14ac:dyDescent="0.25">
      <c r="A2248" s="5" t="s">
        <v>6</v>
      </c>
      <c r="B2248" s="5" t="s">
        <v>5994</v>
      </c>
      <c r="C2248" s="1" t="s">
        <v>5995</v>
      </c>
      <c r="D2248" s="1" t="s">
        <v>5996</v>
      </c>
      <c r="E2248" s="7">
        <v>26</v>
      </c>
    </row>
    <row r="2249" spans="1:5" x14ac:dyDescent="0.25">
      <c r="A2249" s="5" t="s">
        <v>6</v>
      </c>
      <c r="B2249" s="5" t="s">
        <v>5997</v>
      </c>
      <c r="C2249" s="1" t="s">
        <v>5998</v>
      </c>
      <c r="D2249" s="1" t="s">
        <v>5999</v>
      </c>
      <c r="E2249" s="7">
        <v>28</v>
      </c>
    </row>
    <row r="2250" spans="1:5" x14ac:dyDescent="0.25">
      <c r="A2250" s="5" t="s">
        <v>6</v>
      </c>
      <c r="B2250" s="5" t="s">
        <v>6000</v>
      </c>
      <c r="C2250" s="1" t="s">
        <v>6001</v>
      </c>
      <c r="D2250" s="1" t="s">
        <v>6002</v>
      </c>
      <c r="E2250" s="7">
        <v>82</v>
      </c>
    </row>
    <row r="2251" spans="1:5" x14ac:dyDescent="0.25">
      <c r="A2251" s="5" t="s">
        <v>6</v>
      </c>
      <c r="B2251" s="5" t="s">
        <v>6003</v>
      </c>
      <c r="C2251" s="1" t="s">
        <v>6004</v>
      </c>
      <c r="D2251" s="1" t="s">
        <v>6005</v>
      </c>
      <c r="E2251" s="7">
        <v>29</v>
      </c>
    </row>
    <row r="2252" spans="1:5" x14ac:dyDescent="0.25">
      <c r="A2252" s="5" t="s">
        <v>6</v>
      </c>
      <c r="B2252" s="5" t="s">
        <v>6006</v>
      </c>
      <c r="C2252" s="1" t="s">
        <v>6007</v>
      </c>
      <c r="D2252" s="1" t="s">
        <v>6008</v>
      </c>
      <c r="E2252" s="7">
        <v>46</v>
      </c>
    </row>
    <row r="2253" spans="1:5" x14ac:dyDescent="0.25">
      <c r="A2253" s="5" t="s">
        <v>6</v>
      </c>
      <c r="B2253" s="5" t="s">
        <v>6009</v>
      </c>
      <c r="C2253" s="1" t="s">
        <v>6010</v>
      </c>
      <c r="D2253" s="1" t="s">
        <v>6011</v>
      </c>
      <c r="E2253" s="7">
        <v>33</v>
      </c>
    </row>
    <row r="2254" spans="1:5" x14ac:dyDescent="0.25">
      <c r="A2254" s="5" t="s">
        <v>6</v>
      </c>
      <c r="B2254" s="5" t="s">
        <v>6012</v>
      </c>
      <c r="C2254" s="1" t="s">
        <v>6013</v>
      </c>
      <c r="D2254" s="1" t="s">
        <v>6014</v>
      </c>
      <c r="E2254" s="7">
        <v>0.17</v>
      </c>
    </row>
    <row r="2255" spans="1:5" x14ac:dyDescent="0.25">
      <c r="A2255" s="5" t="s">
        <v>6</v>
      </c>
      <c r="B2255" s="5" t="s">
        <v>6015</v>
      </c>
      <c r="C2255" s="1" t="s">
        <v>6016</v>
      </c>
      <c r="D2255" s="1" t="s">
        <v>6017</v>
      </c>
      <c r="E2255" s="7">
        <v>25</v>
      </c>
    </row>
    <row r="2256" spans="1:5" x14ac:dyDescent="0.25">
      <c r="A2256" s="5" t="s">
        <v>6</v>
      </c>
      <c r="B2256" s="5" t="s">
        <v>6018</v>
      </c>
      <c r="C2256" s="1" t="s">
        <v>6019</v>
      </c>
      <c r="D2256" s="1" t="s">
        <v>6020</v>
      </c>
      <c r="E2256" s="7">
        <v>5</v>
      </c>
    </row>
    <row r="2257" spans="1:5" x14ac:dyDescent="0.25">
      <c r="A2257" s="5" t="s">
        <v>6</v>
      </c>
      <c r="B2257" s="5" t="s">
        <v>6021</v>
      </c>
      <c r="C2257" s="1" t="s">
        <v>6022</v>
      </c>
      <c r="D2257" s="1" t="s">
        <v>6023</v>
      </c>
      <c r="E2257" s="7">
        <v>19</v>
      </c>
    </row>
    <row r="2258" spans="1:5" x14ac:dyDescent="0.25">
      <c r="A2258" s="5" t="s">
        <v>6</v>
      </c>
      <c r="B2258" s="5" t="s">
        <v>6024</v>
      </c>
      <c r="C2258" s="1" t="s">
        <v>6025</v>
      </c>
      <c r="D2258" s="1" t="s">
        <v>6026</v>
      </c>
      <c r="E2258" s="7">
        <v>19</v>
      </c>
    </row>
    <row r="2259" spans="1:5" x14ac:dyDescent="0.25">
      <c r="A2259" s="5" t="s">
        <v>6</v>
      </c>
      <c r="B2259" s="5" t="s">
        <v>6027</v>
      </c>
      <c r="C2259" s="1" t="s">
        <v>6028</v>
      </c>
      <c r="D2259" s="1" t="s">
        <v>6029</v>
      </c>
      <c r="E2259" s="7">
        <v>5</v>
      </c>
    </row>
    <row r="2260" spans="1:5" x14ac:dyDescent="0.25">
      <c r="A2260" s="5" t="s">
        <v>6</v>
      </c>
      <c r="B2260" s="5" t="s">
        <v>6030</v>
      </c>
      <c r="C2260" s="1" t="s">
        <v>6031</v>
      </c>
      <c r="D2260" s="1" t="s">
        <v>6032</v>
      </c>
      <c r="E2260" s="7">
        <v>5</v>
      </c>
    </row>
    <row r="2261" spans="1:5" x14ac:dyDescent="0.25">
      <c r="A2261" s="5" t="s">
        <v>6</v>
      </c>
      <c r="B2261" s="5" t="s">
        <v>6033</v>
      </c>
      <c r="C2261" s="1" t="s">
        <v>6034</v>
      </c>
      <c r="D2261" s="1" t="s">
        <v>6035</v>
      </c>
      <c r="E2261" s="7">
        <v>11</v>
      </c>
    </row>
    <row r="2262" spans="1:5" x14ac:dyDescent="0.25">
      <c r="A2262" s="5" t="s">
        <v>6</v>
      </c>
      <c r="B2262" s="5" t="s">
        <v>6036</v>
      </c>
      <c r="C2262" s="1" t="s">
        <v>6037</v>
      </c>
      <c r="D2262" s="1" t="s">
        <v>6038</v>
      </c>
      <c r="E2262" s="7">
        <v>12</v>
      </c>
    </row>
    <row r="2263" spans="1:5" x14ac:dyDescent="0.25">
      <c r="A2263" s="5" t="s">
        <v>6</v>
      </c>
      <c r="B2263" s="5" t="s">
        <v>6039</v>
      </c>
      <c r="C2263" s="1" t="s">
        <v>6040</v>
      </c>
      <c r="D2263" s="1" t="s">
        <v>6041</v>
      </c>
      <c r="E2263" s="7">
        <v>2</v>
      </c>
    </row>
    <row r="2264" spans="1:5" x14ac:dyDescent="0.25">
      <c r="A2264" s="5" t="s">
        <v>6</v>
      </c>
      <c r="B2264" s="5" t="s">
        <v>6042</v>
      </c>
      <c r="C2264" s="1" t="s">
        <v>6043</v>
      </c>
      <c r="D2264" s="1" t="s">
        <v>6044</v>
      </c>
      <c r="E2264" s="7">
        <v>5</v>
      </c>
    </row>
    <row r="2265" spans="1:5" x14ac:dyDescent="0.25">
      <c r="A2265" s="5" t="s">
        <v>6</v>
      </c>
      <c r="B2265" s="5" t="s">
        <v>6045</v>
      </c>
      <c r="C2265" s="1" t="s">
        <v>6046</v>
      </c>
      <c r="D2265" s="1" t="s">
        <v>6047</v>
      </c>
      <c r="E2265" s="7">
        <v>19</v>
      </c>
    </row>
    <row r="2266" spans="1:5" x14ac:dyDescent="0.25">
      <c r="A2266" s="5" t="s">
        <v>6</v>
      </c>
      <c r="B2266" s="5" t="s">
        <v>6048</v>
      </c>
      <c r="C2266" s="1" t="s">
        <v>6049</v>
      </c>
      <c r="D2266" s="1" t="s">
        <v>6050</v>
      </c>
      <c r="E2266" s="7">
        <v>23</v>
      </c>
    </row>
    <row r="2267" spans="1:5" x14ac:dyDescent="0.25">
      <c r="A2267" s="5" t="s">
        <v>6</v>
      </c>
      <c r="B2267" s="5" t="s">
        <v>6051</v>
      </c>
      <c r="C2267" s="1" t="s">
        <v>6052</v>
      </c>
      <c r="D2267" s="1" t="s">
        <v>6053</v>
      </c>
      <c r="E2267" s="7">
        <v>12</v>
      </c>
    </row>
    <row r="2268" spans="1:5" x14ac:dyDescent="0.25">
      <c r="A2268" s="5" t="s">
        <v>6</v>
      </c>
      <c r="B2268" s="5" t="s">
        <v>6054</v>
      </c>
      <c r="C2268" s="1" t="s">
        <v>6055</v>
      </c>
      <c r="D2268" s="1" t="s">
        <v>6056</v>
      </c>
      <c r="E2268" s="7">
        <v>5</v>
      </c>
    </row>
    <row r="2269" spans="1:5" x14ac:dyDescent="0.25">
      <c r="A2269" s="5" t="s">
        <v>6</v>
      </c>
      <c r="B2269" s="5" t="s">
        <v>6057</v>
      </c>
      <c r="C2269" s="1" t="s">
        <v>6058</v>
      </c>
      <c r="D2269" s="1" t="s">
        <v>6059</v>
      </c>
      <c r="E2269" s="7">
        <v>31</v>
      </c>
    </row>
    <row r="2270" spans="1:5" x14ac:dyDescent="0.25">
      <c r="A2270" s="5" t="s">
        <v>6</v>
      </c>
      <c r="B2270" s="5" t="s">
        <v>6060</v>
      </c>
      <c r="C2270" s="1" t="s">
        <v>6061</v>
      </c>
      <c r="D2270" s="1" t="s">
        <v>6062</v>
      </c>
      <c r="E2270" s="7">
        <v>28</v>
      </c>
    </row>
    <row r="2271" spans="1:5" x14ac:dyDescent="0.25">
      <c r="A2271" s="5" t="s">
        <v>6</v>
      </c>
      <c r="B2271" s="5" t="s">
        <v>6063</v>
      </c>
      <c r="C2271" s="1" t="s">
        <v>6064</v>
      </c>
      <c r="D2271" s="1" t="s">
        <v>6065</v>
      </c>
      <c r="E2271" s="7">
        <v>31</v>
      </c>
    </row>
    <row r="2272" spans="1:5" x14ac:dyDescent="0.25">
      <c r="A2272" s="5" t="s">
        <v>6</v>
      </c>
      <c r="B2272" s="5" t="s">
        <v>6066</v>
      </c>
      <c r="C2272" s="1" t="s">
        <v>6067</v>
      </c>
      <c r="D2272" s="1" t="s">
        <v>6068</v>
      </c>
      <c r="E2272" s="7">
        <v>31</v>
      </c>
    </row>
    <row r="2273" spans="1:5" x14ac:dyDescent="0.25">
      <c r="A2273" s="5" t="s">
        <v>6</v>
      </c>
      <c r="B2273" s="5" t="s">
        <v>6069</v>
      </c>
      <c r="C2273" s="1" t="s">
        <v>6070</v>
      </c>
      <c r="D2273" s="1" t="s">
        <v>6071</v>
      </c>
      <c r="E2273" s="7">
        <v>102</v>
      </c>
    </row>
    <row r="2274" spans="1:5" x14ac:dyDescent="0.25">
      <c r="A2274" s="5" t="s">
        <v>6</v>
      </c>
      <c r="B2274" s="5" t="s">
        <v>6072</v>
      </c>
      <c r="C2274" s="1" t="s">
        <v>6073</v>
      </c>
      <c r="D2274" s="1" t="s">
        <v>6074</v>
      </c>
      <c r="E2274" s="7">
        <v>3</v>
      </c>
    </row>
    <row r="2275" spans="1:5" x14ac:dyDescent="0.25">
      <c r="A2275" s="5" t="s">
        <v>6</v>
      </c>
      <c r="B2275" s="5" t="s">
        <v>6075</v>
      </c>
      <c r="C2275" s="1" t="s">
        <v>6076</v>
      </c>
      <c r="D2275" s="1" t="s">
        <v>6077</v>
      </c>
      <c r="E2275" s="7">
        <v>29</v>
      </c>
    </row>
    <row r="2276" spans="1:5" x14ac:dyDescent="0.25">
      <c r="A2276" s="5" t="s">
        <v>6</v>
      </c>
      <c r="B2276" s="5" t="s">
        <v>6078</v>
      </c>
      <c r="C2276" s="1" t="s">
        <v>6079</v>
      </c>
      <c r="D2276" s="1" t="s">
        <v>6080</v>
      </c>
      <c r="E2276" s="7">
        <v>38</v>
      </c>
    </row>
    <row r="2277" spans="1:5" x14ac:dyDescent="0.25">
      <c r="A2277" s="5" t="s">
        <v>6</v>
      </c>
      <c r="B2277" s="5" t="s">
        <v>6081</v>
      </c>
      <c r="C2277" s="1" t="s">
        <v>6082</v>
      </c>
      <c r="D2277" s="1" t="s">
        <v>6083</v>
      </c>
      <c r="E2277" s="7">
        <v>38</v>
      </c>
    </row>
    <row r="2278" spans="1:5" x14ac:dyDescent="0.25">
      <c r="A2278" s="5" t="s">
        <v>6</v>
      </c>
      <c r="B2278" s="5" t="s">
        <v>6084</v>
      </c>
      <c r="C2278" s="1" t="s">
        <v>6085</v>
      </c>
      <c r="D2278" s="1" t="s">
        <v>6086</v>
      </c>
      <c r="E2278" s="7">
        <v>19</v>
      </c>
    </row>
    <row r="2279" spans="1:5" x14ac:dyDescent="0.25">
      <c r="A2279" s="5" t="s">
        <v>6</v>
      </c>
      <c r="B2279" s="5" t="s">
        <v>6087</v>
      </c>
      <c r="C2279" s="1" t="s">
        <v>6088</v>
      </c>
      <c r="D2279" s="1" t="s">
        <v>6089</v>
      </c>
      <c r="E2279" s="7">
        <v>15</v>
      </c>
    </row>
    <row r="2280" spans="1:5" x14ac:dyDescent="0.25">
      <c r="A2280" s="5" t="s">
        <v>6</v>
      </c>
      <c r="B2280" s="5" t="s">
        <v>6090</v>
      </c>
      <c r="C2280" s="1" t="s">
        <v>6091</v>
      </c>
      <c r="D2280" s="1" t="s">
        <v>6092</v>
      </c>
      <c r="E2280" s="7">
        <v>19</v>
      </c>
    </row>
    <row r="2281" spans="1:5" x14ac:dyDescent="0.25">
      <c r="A2281" s="5" t="s">
        <v>6</v>
      </c>
      <c r="B2281" s="5" t="s">
        <v>6093</v>
      </c>
      <c r="C2281" s="1" t="s">
        <v>6094</v>
      </c>
      <c r="D2281" s="1" t="s">
        <v>6095</v>
      </c>
      <c r="E2281" s="7">
        <v>29</v>
      </c>
    </row>
    <row r="2282" spans="1:5" x14ac:dyDescent="0.25">
      <c r="A2282" s="5" t="s">
        <v>6</v>
      </c>
      <c r="B2282" s="5" t="s">
        <v>6096</v>
      </c>
      <c r="C2282" s="1" t="s">
        <v>6097</v>
      </c>
      <c r="D2282" s="1" t="s">
        <v>6098</v>
      </c>
      <c r="E2282" s="7">
        <v>29</v>
      </c>
    </row>
    <row r="2283" spans="1:5" x14ac:dyDescent="0.25">
      <c r="A2283" s="5" t="s">
        <v>6</v>
      </c>
      <c r="B2283" s="5" t="s">
        <v>6099</v>
      </c>
      <c r="C2283" s="1" t="s">
        <v>6100</v>
      </c>
      <c r="D2283" s="1" t="s">
        <v>6101</v>
      </c>
      <c r="E2283" s="7">
        <v>3</v>
      </c>
    </row>
    <row r="2284" spans="1:5" x14ac:dyDescent="0.25">
      <c r="A2284" s="5" t="s">
        <v>6</v>
      </c>
      <c r="B2284" s="5" t="s">
        <v>6102</v>
      </c>
      <c r="C2284" s="1" t="s">
        <v>6103</v>
      </c>
      <c r="D2284" s="1" t="s">
        <v>6104</v>
      </c>
      <c r="E2284" s="7">
        <v>29</v>
      </c>
    </row>
    <row r="2285" spans="1:5" x14ac:dyDescent="0.25">
      <c r="A2285" s="5" t="s">
        <v>6</v>
      </c>
      <c r="B2285" s="5" t="s">
        <v>6105</v>
      </c>
      <c r="C2285" s="1" t="s">
        <v>6106</v>
      </c>
      <c r="D2285" s="1" t="s">
        <v>6107</v>
      </c>
      <c r="E2285" s="7">
        <v>28</v>
      </c>
    </row>
    <row r="2286" spans="1:5" x14ac:dyDescent="0.25">
      <c r="A2286" s="5" t="s">
        <v>6</v>
      </c>
      <c r="B2286" s="5" t="s">
        <v>6108</v>
      </c>
      <c r="C2286" s="1" t="s">
        <v>6109</v>
      </c>
      <c r="D2286" s="1" t="s">
        <v>6110</v>
      </c>
      <c r="E2286" s="7">
        <v>29</v>
      </c>
    </row>
    <row r="2287" spans="1:5" x14ac:dyDescent="0.25">
      <c r="A2287" s="5" t="s">
        <v>6</v>
      </c>
      <c r="B2287" s="5" t="s">
        <v>6111</v>
      </c>
      <c r="C2287" s="1" t="s">
        <v>6112</v>
      </c>
      <c r="D2287" s="1" t="s">
        <v>6113</v>
      </c>
      <c r="E2287" s="7">
        <v>38</v>
      </c>
    </row>
    <row r="2288" spans="1:5" x14ac:dyDescent="0.25">
      <c r="A2288" s="5" t="s">
        <v>6</v>
      </c>
      <c r="B2288" s="5" t="s">
        <v>6114</v>
      </c>
      <c r="C2288" s="1" t="s">
        <v>6115</v>
      </c>
      <c r="D2288" s="1" t="s">
        <v>6116</v>
      </c>
      <c r="E2288" s="7">
        <v>29</v>
      </c>
    </row>
    <row r="2289" spans="1:5" x14ac:dyDescent="0.25">
      <c r="A2289" s="5" t="s">
        <v>6</v>
      </c>
      <c r="B2289" s="5" t="s">
        <v>6117</v>
      </c>
      <c r="C2289" s="1" t="s">
        <v>6118</v>
      </c>
      <c r="D2289" s="1" t="s">
        <v>6119</v>
      </c>
      <c r="E2289" s="7">
        <v>31</v>
      </c>
    </row>
    <row r="2290" spans="1:5" x14ac:dyDescent="0.25">
      <c r="A2290" s="5" t="s">
        <v>6</v>
      </c>
      <c r="B2290" s="5" t="s">
        <v>6120</v>
      </c>
      <c r="C2290" s="1" t="s">
        <v>6121</v>
      </c>
      <c r="D2290" s="1" t="s">
        <v>6122</v>
      </c>
      <c r="E2290" s="7">
        <v>33</v>
      </c>
    </row>
    <row r="2291" spans="1:5" x14ac:dyDescent="0.25">
      <c r="A2291" s="5" t="s">
        <v>6</v>
      </c>
      <c r="B2291" s="5" t="s">
        <v>6123</v>
      </c>
      <c r="C2291" s="1" t="s">
        <v>6124</v>
      </c>
      <c r="D2291" s="1" t="s">
        <v>6125</v>
      </c>
      <c r="E2291" s="7">
        <v>5</v>
      </c>
    </row>
    <row r="2292" spans="1:5" x14ac:dyDescent="0.25">
      <c r="A2292" s="5" t="s">
        <v>6</v>
      </c>
      <c r="B2292" s="5" t="s">
        <v>6126</v>
      </c>
      <c r="C2292" s="1" t="s">
        <v>6127</v>
      </c>
      <c r="D2292" s="1" t="s">
        <v>6128</v>
      </c>
      <c r="E2292" s="7">
        <v>42</v>
      </c>
    </row>
    <row r="2293" spans="1:5" x14ac:dyDescent="0.25">
      <c r="A2293" s="5" t="s">
        <v>6</v>
      </c>
      <c r="B2293" s="5" t="s">
        <v>6129</v>
      </c>
      <c r="C2293" s="1" t="s">
        <v>6130</v>
      </c>
      <c r="D2293" s="1" t="s">
        <v>6131</v>
      </c>
      <c r="E2293" s="7">
        <v>42</v>
      </c>
    </row>
    <row r="2294" spans="1:5" x14ac:dyDescent="0.25">
      <c r="A2294" s="5" t="s">
        <v>6</v>
      </c>
      <c r="B2294" s="5" t="s">
        <v>6132</v>
      </c>
      <c r="C2294" s="1" t="s">
        <v>6133</v>
      </c>
      <c r="D2294" s="1" t="s">
        <v>6134</v>
      </c>
      <c r="E2294" s="7">
        <v>26</v>
      </c>
    </row>
    <row r="2295" spans="1:5" x14ac:dyDescent="0.25">
      <c r="A2295" s="5" t="s">
        <v>6</v>
      </c>
      <c r="B2295" s="5" t="s">
        <v>6135</v>
      </c>
      <c r="C2295" s="1" t="s">
        <v>6136</v>
      </c>
      <c r="D2295" s="1" t="s">
        <v>6137</v>
      </c>
      <c r="E2295" s="7">
        <v>33</v>
      </c>
    </row>
    <row r="2296" spans="1:5" x14ac:dyDescent="0.25">
      <c r="A2296" s="5" t="s">
        <v>6</v>
      </c>
      <c r="B2296" s="5" t="s">
        <v>6138</v>
      </c>
      <c r="C2296" s="1" t="s">
        <v>6139</v>
      </c>
      <c r="D2296" s="1" t="s">
        <v>6140</v>
      </c>
      <c r="E2296" s="7">
        <v>31</v>
      </c>
    </row>
    <row r="2297" spans="1:5" x14ac:dyDescent="0.25">
      <c r="A2297" s="5" t="s">
        <v>6</v>
      </c>
      <c r="B2297" s="5" t="s">
        <v>6141</v>
      </c>
      <c r="C2297" s="1" t="s">
        <v>6142</v>
      </c>
      <c r="D2297" s="1" t="s">
        <v>6143</v>
      </c>
      <c r="E2297" s="7">
        <v>31</v>
      </c>
    </row>
    <row r="2298" spans="1:5" x14ac:dyDescent="0.25">
      <c r="A2298" s="5" t="s">
        <v>6</v>
      </c>
      <c r="B2298" s="5" t="s">
        <v>6144</v>
      </c>
      <c r="C2298" s="1" t="s">
        <v>6145</v>
      </c>
      <c r="D2298" s="1" t="s">
        <v>6146</v>
      </c>
      <c r="E2298" s="7">
        <v>46</v>
      </c>
    </row>
    <row r="2299" spans="1:5" x14ac:dyDescent="0.25">
      <c r="A2299" s="5" t="s">
        <v>6</v>
      </c>
      <c r="B2299" s="5" t="s">
        <v>6147</v>
      </c>
      <c r="C2299" s="1" t="s">
        <v>6148</v>
      </c>
      <c r="D2299" s="1" t="s">
        <v>6149</v>
      </c>
      <c r="E2299" s="7">
        <v>13</v>
      </c>
    </row>
    <row r="2300" spans="1:5" x14ac:dyDescent="0.25">
      <c r="A2300" s="5" t="s">
        <v>6</v>
      </c>
      <c r="B2300" s="5" t="s">
        <v>6150</v>
      </c>
      <c r="C2300" s="1" t="s">
        <v>6151</v>
      </c>
      <c r="D2300" s="1" t="s">
        <v>6152</v>
      </c>
      <c r="E2300" s="7">
        <v>63</v>
      </c>
    </row>
    <row r="2301" spans="1:5" x14ac:dyDescent="0.25">
      <c r="A2301" s="5" t="s">
        <v>6</v>
      </c>
      <c r="B2301" s="5" t="s">
        <v>6153</v>
      </c>
      <c r="C2301" s="1" t="s">
        <v>6154</v>
      </c>
      <c r="D2301" s="1" t="s">
        <v>6155</v>
      </c>
      <c r="E2301" s="7">
        <v>49</v>
      </c>
    </row>
    <row r="2302" spans="1:5" x14ac:dyDescent="0.25">
      <c r="A2302" s="5" t="s">
        <v>6</v>
      </c>
      <c r="B2302" s="5" t="s">
        <v>6156</v>
      </c>
      <c r="C2302" s="1" t="s">
        <v>6157</v>
      </c>
      <c r="D2302" s="1" t="s">
        <v>6158</v>
      </c>
      <c r="E2302" s="7">
        <v>40</v>
      </c>
    </row>
    <row r="2303" spans="1:5" x14ac:dyDescent="0.25">
      <c r="A2303" s="5" t="s">
        <v>6</v>
      </c>
      <c r="B2303" s="5" t="s">
        <v>6159</v>
      </c>
      <c r="C2303" s="1" t="s">
        <v>6160</v>
      </c>
      <c r="D2303" s="1" t="s">
        <v>6161</v>
      </c>
      <c r="E2303" s="7">
        <v>44</v>
      </c>
    </row>
    <row r="2304" spans="1:5" x14ac:dyDescent="0.25">
      <c r="A2304" s="5" t="s">
        <v>6</v>
      </c>
      <c r="B2304" s="5" t="s">
        <v>6162</v>
      </c>
      <c r="C2304" s="1" t="s">
        <v>6163</v>
      </c>
      <c r="D2304" s="1" t="s">
        <v>6164</v>
      </c>
      <c r="E2304" s="7">
        <v>31</v>
      </c>
    </row>
    <row r="2305" spans="1:5" x14ac:dyDescent="0.25">
      <c r="A2305" s="5" t="s">
        <v>6</v>
      </c>
      <c r="B2305" s="5" t="s">
        <v>6165</v>
      </c>
      <c r="C2305" s="1" t="s">
        <v>6166</v>
      </c>
      <c r="D2305" s="1" t="s">
        <v>6167</v>
      </c>
      <c r="E2305" s="7">
        <v>44</v>
      </c>
    </row>
    <row r="2306" spans="1:5" x14ac:dyDescent="0.25">
      <c r="A2306" s="5" t="s">
        <v>6</v>
      </c>
      <c r="B2306" s="5" t="s">
        <v>6168</v>
      </c>
      <c r="C2306" s="1" t="s">
        <v>6169</v>
      </c>
      <c r="D2306" s="1" t="s">
        <v>6170</v>
      </c>
      <c r="E2306" s="7">
        <v>19</v>
      </c>
    </row>
    <row r="2307" spans="1:5" x14ac:dyDescent="0.25">
      <c r="A2307" s="5" t="s">
        <v>6</v>
      </c>
      <c r="B2307" s="5" t="s">
        <v>6171</v>
      </c>
      <c r="C2307" s="1" t="s">
        <v>6172</v>
      </c>
      <c r="D2307" s="1" t="s">
        <v>6173</v>
      </c>
      <c r="E2307" s="7">
        <v>112</v>
      </c>
    </row>
    <row r="2308" spans="1:5" x14ac:dyDescent="0.25">
      <c r="A2308" s="5" t="s">
        <v>6</v>
      </c>
      <c r="B2308" s="5" t="s">
        <v>6174</v>
      </c>
      <c r="C2308" s="1" t="s">
        <v>6175</v>
      </c>
      <c r="D2308" s="1" t="s">
        <v>6176</v>
      </c>
      <c r="E2308" s="7">
        <v>33</v>
      </c>
    </row>
    <row r="2309" spans="1:5" x14ac:dyDescent="0.25">
      <c r="A2309" s="5" t="s">
        <v>6</v>
      </c>
      <c r="B2309" s="5" t="s">
        <v>6177</v>
      </c>
      <c r="C2309" s="1" t="s">
        <v>6178</v>
      </c>
      <c r="D2309" s="1" t="s">
        <v>6179</v>
      </c>
      <c r="E2309" s="7">
        <v>5</v>
      </c>
    </row>
    <row r="2310" spans="1:5" x14ac:dyDescent="0.25">
      <c r="A2310" s="5" t="s">
        <v>6</v>
      </c>
      <c r="B2310" s="5" t="s">
        <v>6180</v>
      </c>
      <c r="C2310" s="1" t="s">
        <v>6181</v>
      </c>
      <c r="D2310" s="1" t="s">
        <v>6182</v>
      </c>
      <c r="E2310" s="7">
        <v>5</v>
      </c>
    </row>
    <row r="2311" spans="1:5" x14ac:dyDescent="0.25">
      <c r="A2311" s="5" t="s">
        <v>6</v>
      </c>
      <c r="B2311" s="5" t="s">
        <v>6183</v>
      </c>
      <c r="C2311" s="1" t="s">
        <v>6184</v>
      </c>
      <c r="D2311" s="1" t="s">
        <v>6185</v>
      </c>
      <c r="E2311" s="7">
        <v>23</v>
      </c>
    </row>
    <row r="2312" spans="1:5" x14ac:dyDescent="0.25">
      <c r="A2312" s="5" t="s">
        <v>6</v>
      </c>
      <c r="B2312" s="5" t="s">
        <v>6186</v>
      </c>
      <c r="C2312" s="1" t="s">
        <v>6187</v>
      </c>
      <c r="D2312" s="1" t="s">
        <v>6188</v>
      </c>
      <c r="E2312" s="7">
        <v>31</v>
      </c>
    </row>
    <row r="2313" spans="1:5" x14ac:dyDescent="0.25">
      <c r="A2313" s="5" t="s">
        <v>6</v>
      </c>
      <c r="B2313" s="5" t="s">
        <v>6189</v>
      </c>
      <c r="C2313" s="1" t="s">
        <v>6190</v>
      </c>
      <c r="D2313" s="1" t="s">
        <v>6191</v>
      </c>
      <c r="E2313" s="7">
        <v>29</v>
      </c>
    </row>
    <row r="2314" spans="1:5" x14ac:dyDescent="0.25">
      <c r="A2314" s="5" t="s">
        <v>6</v>
      </c>
      <c r="B2314" s="5" t="s">
        <v>6192</v>
      </c>
      <c r="C2314" s="1" t="s">
        <v>6193</v>
      </c>
      <c r="D2314" s="1" t="s">
        <v>6194</v>
      </c>
      <c r="E2314" s="7">
        <v>29</v>
      </c>
    </row>
    <row r="2315" spans="1:5" x14ac:dyDescent="0.25">
      <c r="A2315" s="5" t="s">
        <v>6</v>
      </c>
      <c r="B2315" s="5" t="s">
        <v>6195</v>
      </c>
      <c r="C2315" s="1" t="s">
        <v>6196</v>
      </c>
      <c r="D2315" s="1" t="s">
        <v>6197</v>
      </c>
      <c r="E2315" s="7">
        <v>31</v>
      </c>
    </row>
    <row r="2316" spans="1:5" x14ac:dyDescent="0.25">
      <c r="A2316" s="5" t="s">
        <v>6</v>
      </c>
      <c r="B2316" s="5" t="s">
        <v>6198</v>
      </c>
      <c r="C2316" s="1" t="s">
        <v>6199</v>
      </c>
      <c r="D2316" s="1" t="s">
        <v>6200</v>
      </c>
      <c r="E2316" s="7">
        <v>23</v>
      </c>
    </row>
    <row r="2317" spans="1:5" x14ac:dyDescent="0.25">
      <c r="A2317" s="5" t="s">
        <v>6</v>
      </c>
      <c r="B2317" s="5" t="s">
        <v>6201</v>
      </c>
      <c r="C2317" s="1" t="s">
        <v>6202</v>
      </c>
      <c r="D2317" s="1" t="s">
        <v>6203</v>
      </c>
      <c r="E2317" s="7">
        <v>30</v>
      </c>
    </row>
    <row r="2318" spans="1:5" x14ac:dyDescent="0.25">
      <c r="A2318" s="5" t="s">
        <v>6</v>
      </c>
      <c r="B2318" s="5" t="s">
        <v>6204</v>
      </c>
      <c r="C2318" s="1" t="s">
        <v>6205</v>
      </c>
      <c r="D2318" s="1" t="s">
        <v>6206</v>
      </c>
      <c r="E2318" s="7">
        <v>29</v>
      </c>
    </row>
    <row r="2319" spans="1:5" x14ac:dyDescent="0.25">
      <c r="A2319" s="5" t="s">
        <v>6</v>
      </c>
      <c r="B2319" s="5" t="s">
        <v>6207</v>
      </c>
      <c r="C2319" s="1" t="s">
        <v>6208</v>
      </c>
      <c r="D2319" s="1" t="s">
        <v>6209</v>
      </c>
      <c r="E2319" s="7">
        <v>30</v>
      </c>
    </row>
    <row r="2320" spans="1:5" x14ac:dyDescent="0.25">
      <c r="A2320" s="5" t="s">
        <v>6</v>
      </c>
      <c r="B2320" s="5" t="s">
        <v>6210</v>
      </c>
      <c r="C2320" s="1" t="s">
        <v>6211</v>
      </c>
      <c r="D2320" s="1" t="s">
        <v>6212</v>
      </c>
      <c r="E2320" s="7">
        <v>29</v>
      </c>
    </row>
    <row r="2321" spans="1:5" x14ac:dyDescent="0.25">
      <c r="A2321" s="5" t="s">
        <v>6</v>
      </c>
      <c r="B2321" s="5" t="s">
        <v>6213</v>
      </c>
      <c r="C2321" s="1" t="s">
        <v>6214</v>
      </c>
      <c r="D2321" s="1" t="s">
        <v>6215</v>
      </c>
      <c r="E2321" s="7">
        <v>31</v>
      </c>
    </row>
    <row r="2322" spans="1:5" x14ac:dyDescent="0.25">
      <c r="A2322" s="5" t="s">
        <v>6</v>
      </c>
      <c r="B2322" s="5" t="s">
        <v>6216</v>
      </c>
      <c r="C2322" s="1" t="s">
        <v>6217</v>
      </c>
      <c r="D2322" s="1" t="s">
        <v>6218</v>
      </c>
      <c r="E2322" s="7">
        <v>38</v>
      </c>
    </row>
    <row r="2323" spans="1:5" x14ac:dyDescent="0.25">
      <c r="A2323" s="5" t="s">
        <v>6</v>
      </c>
      <c r="B2323" s="5" t="s">
        <v>6219</v>
      </c>
      <c r="C2323" s="1" t="s">
        <v>6220</v>
      </c>
      <c r="D2323" s="1" t="s">
        <v>6221</v>
      </c>
      <c r="E2323" s="7">
        <v>4</v>
      </c>
    </row>
    <row r="2324" spans="1:5" x14ac:dyDescent="0.25">
      <c r="A2324" s="5" t="s">
        <v>6</v>
      </c>
      <c r="B2324" s="5" t="s">
        <v>6222</v>
      </c>
      <c r="C2324" s="1" t="s">
        <v>6223</v>
      </c>
      <c r="D2324" s="1" t="s">
        <v>6224</v>
      </c>
      <c r="E2324" s="7">
        <v>29</v>
      </c>
    </row>
    <row r="2325" spans="1:5" x14ac:dyDescent="0.25">
      <c r="A2325" s="5" t="s">
        <v>6</v>
      </c>
      <c r="B2325" s="5" t="s">
        <v>6225</v>
      </c>
      <c r="C2325" s="1" t="s">
        <v>6226</v>
      </c>
      <c r="D2325" s="1" t="s">
        <v>6227</v>
      </c>
      <c r="E2325" s="7">
        <v>31</v>
      </c>
    </row>
    <row r="2326" spans="1:5" x14ac:dyDescent="0.25">
      <c r="A2326" s="5" t="s">
        <v>6</v>
      </c>
      <c r="B2326" s="5" t="s">
        <v>6228</v>
      </c>
      <c r="C2326" s="1" t="s">
        <v>6229</v>
      </c>
      <c r="D2326" s="1" t="s">
        <v>6230</v>
      </c>
      <c r="E2326" s="7">
        <v>28</v>
      </c>
    </row>
    <row r="2327" spans="1:5" x14ac:dyDescent="0.25">
      <c r="A2327" s="5" t="s">
        <v>6</v>
      </c>
      <c r="B2327" s="5" t="s">
        <v>6231</v>
      </c>
      <c r="C2327" s="1" t="s">
        <v>6232</v>
      </c>
      <c r="D2327" s="1" t="s">
        <v>6233</v>
      </c>
      <c r="E2327" s="7">
        <v>5</v>
      </c>
    </row>
    <row r="2328" spans="1:5" x14ac:dyDescent="0.25">
      <c r="A2328" s="5" t="s">
        <v>6</v>
      </c>
      <c r="B2328" s="5" t="s">
        <v>6234</v>
      </c>
      <c r="C2328" s="1" t="s">
        <v>6235</v>
      </c>
      <c r="D2328" s="1" t="s">
        <v>6236</v>
      </c>
      <c r="E2328" s="7">
        <v>33</v>
      </c>
    </row>
    <row r="2329" spans="1:5" x14ac:dyDescent="0.25">
      <c r="A2329" s="5" t="s">
        <v>6</v>
      </c>
      <c r="B2329" s="5" t="s">
        <v>6237</v>
      </c>
      <c r="C2329" s="1" t="s">
        <v>6238</v>
      </c>
      <c r="D2329" s="1" t="s">
        <v>6239</v>
      </c>
      <c r="E2329" s="7">
        <v>31</v>
      </c>
    </row>
    <row r="2330" spans="1:5" x14ac:dyDescent="0.25">
      <c r="A2330" s="5" t="s">
        <v>6</v>
      </c>
      <c r="B2330" s="5" t="s">
        <v>6240</v>
      </c>
      <c r="C2330" s="1" t="s">
        <v>6241</v>
      </c>
      <c r="D2330" s="1" t="s">
        <v>6242</v>
      </c>
      <c r="E2330" s="7">
        <v>110</v>
      </c>
    </row>
    <row r="2331" spans="1:5" x14ac:dyDescent="0.25">
      <c r="A2331" s="5" t="s">
        <v>6</v>
      </c>
      <c r="B2331" s="5" t="s">
        <v>6243</v>
      </c>
      <c r="C2331" s="1" t="s">
        <v>6244</v>
      </c>
      <c r="D2331" s="1" t="s">
        <v>6245</v>
      </c>
      <c r="E2331" s="7">
        <v>3</v>
      </c>
    </row>
    <row r="2332" spans="1:5" x14ac:dyDescent="0.25">
      <c r="A2332" s="5" t="s">
        <v>6</v>
      </c>
      <c r="B2332" s="5" t="s">
        <v>6246</v>
      </c>
      <c r="C2332" s="1" t="s">
        <v>6247</v>
      </c>
      <c r="D2332" s="1" t="s">
        <v>6248</v>
      </c>
      <c r="E2332" s="7">
        <v>5</v>
      </c>
    </row>
    <row r="2333" spans="1:5" x14ac:dyDescent="0.25">
      <c r="A2333" s="5" t="s">
        <v>6</v>
      </c>
      <c r="B2333" s="5" t="s">
        <v>6249</v>
      </c>
      <c r="C2333" s="1" t="s">
        <v>6250</v>
      </c>
      <c r="D2333" s="1" t="s">
        <v>6251</v>
      </c>
      <c r="E2333" s="7">
        <v>38</v>
      </c>
    </row>
    <row r="2334" spans="1:5" x14ac:dyDescent="0.25">
      <c r="A2334" s="5" t="s">
        <v>6</v>
      </c>
      <c r="B2334" s="5" t="s">
        <v>6252</v>
      </c>
      <c r="C2334" s="1" t="s">
        <v>6253</v>
      </c>
      <c r="D2334" s="1" t="s">
        <v>6254</v>
      </c>
      <c r="E2334" s="7">
        <v>51</v>
      </c>
    </row>
    <row r="2335" spans="1:5" x14ac:dyDescent="0.25">
      <c r="A2335" s="5" t="s">
        <v>6</v>
      </c>
      <c r="B2335" s="5" t="s">
        <v>6255</v>
      </c>
      <c r="C2335" s="1" t="s">
        <v>6256</v>
      </c>
      <c r="D2335" s="1" t="s">
        <v>6257</v>
      </c>
      <c r="E2335" s="7">
        <v>55</v>
      </c>
    </row>
    <row r="2336" spans="1:5" x14ac:dyDescent="0.25">
      <c r="A2336" s="5" t="s">
        <v>6</v>
      </c>
      <c r="B2336" s="5" t="s">
        <v>6258</v>
      </c>
      <c r="C2336" s="1" t="s">
        <v>6259</v>
      </c>
      <c r="D2336" s="1" t="s">
        <v>6260</v>
      </c>
      <c r="E2336" s="7">
        <v>97</v>
      </c>
    </row>
    <row r="2337" spans="1:5" x14ac:dyDescent="0.25">
      <c r="A2337" s="5" t="s">
        <v>6</v>
      </c>
      <c r="B2337" s="5" t="s">
        <v>6261</v>
      </c>
      <c r="C2337" s="1" t="s">
        <v>6262</v>
      </c>
      <c r="D2337" s="1" t="s">
        <v>6263</v>
      </c>
      <c r="E2337" s="7">
        <v>78</v>
      </c>
    </row>
    <row r="2338" spans="1:5" x14ac:dyDescent="0.25">
      <c r="A2338" s="5" t="s">
        <v>6</v>
      </c>
      <c r="B2338" s="5" t="s">
        <v>6264</v>
      </c>
      <c r="C2338" s="1" t="s">
        <v>6265</v>
      </c>
      <c r="D2338" s="1" t="s">
        <v>6266</v>
      </c>
      <c r="E2338" s="7">
        <v>72</v>
      </c>
    </row>
    <row r="2339" spans="1:5" x14ac:dyDescent="0.25">
      <c r="A2339" s="5" t="s">
        <v>6</v>
      </c>
      <c r="B2339" s="5" t="s">
        <v>6267</v>
      </c>
      <c r="C2339" s="1" t="s">
        <v>6268</v>
      </c>
      <c r="D2339" s="1" t="s">
        <v>6269</v>
      </c>
      <c r="E2339" s="7">
        <v>44</v>
      </c>
    </row>
    <row r="2340" spans="1:5" x14ac:dyDescent="0.25">
      <c r="A2340" s="5" t="s">
        <v>6</v>
      </c>
      <c r="B2340" s="5" t="s">
        <v>6270</v>
      </c>
      <c r="C2340" s="1" t="s">
        <v>6271</v>
      </c>
      <c r="D2340" s="1" t="s">
        <v>6272</v>
      </c>
      <c r="E2340" s="7">
        <v>10.6</v>
      </c>
    </row>
    <row r="2341" spans="1:5" x14ac:dyDescent="0.25">
      <c r="A2341" s="5" t="s">
        <v>6</v>
      </c>
      <c r="B2341" s="5" t="s">
        <v>6273</v>
      </c>
      <c r="C2341" s="1" t="s">
        <v>6274</v>
      </c>
      <c r="D2341" s="1" t="s">
        <v>6275</v>
      </c>
      <c r="E2341" s="7">
        <v>28</v>
      </c>
    </row>
    <row r="2342" spans="1:5" x14ac:dyDescent="0.25">
      <c r="A2342" s="5" t="s">
        <v>6</v>
      </c>
      <c r="B2342" s="5" t="s">
        <v>6276</v>
      </c>
      <c r="C2342" s="1" t="s">
        <v>6277</v>
      </c>
      <c r="D2342" s="1" t="s">
        <v>6278</v>
      </c>
      <c r="E2342" s="7">
        <v>29</v>
      </c>
    </row>
    <row r="2343" spans="1:5" x14ac:dyDescent="0.25">
      <c r="A2343" s="5" t="s">
        <v>6</v>
      </c>
      <c r="B2343" s="5" t="s">
        <v>6279</v>
      </c>
      <c r="C2343" s="1" t="s">
        <v>6280</v>
      </c>
      <c r="D2343" s="1" t="s">
        <v>6281</v>
      </c>
      <c r="E2343" s="7">
        <v>2</v>
      </c>
    </row>
    <row r="2344" spans="1:5" x14ac:dyDescent="0.25">
      <c r="A2344" s="5" t="s">
        <v>6</v>
      </c>
      <c r="B2344" s="5" t="s">
        <v>6282</v>
      </c>
      <c r="C2344" s="1" t="s">
        <v>6283</v>
      </c>
      <c r="D2344" s="1" t="s">
        <v>6284</v>
      </c>
      <c r="E2344" s="7">
        <v>19</v>
      </c>
    </row>
    <row r="2345" spans="1:5" x14ac:dyDescent="0.25">
      <c r="A2345" s="5" t="s">
        <v>6</v>
      </c>
      <c r="B2345" s="5" t="s">
        <v>6285</v>
      </c>
      <c r="C2345" s="1" t="s">
        <v>6286</v>
      </c>
      <c r="D2345" s="1" t="s">
        <v>6287</v>
      </c>
      <c r="E2345" s="7">
        <v>19</v>
      </c>
    </row>
    <row r="2346" spans="1:5" x14ac:dyDescent="0.25">
      <c r="A2346" s="5" t="s">
        <v>6</v>
      </c>
      <c r="B2346" s="5" t="s">
        <v>6288</v>
      </c>
      <c r="C2346" s="1" t="s">
        <v>6289</v>
      </c>
      <c r="D2346" s="1" t="s">
        <v>6290</v>
      </c>
      <c r="E2346" s="7">
        <v>25</v>
      </c>
    </row>
    <row r="2347" spans="1:5" x14ac:dyDescent="0.25">
      <c r="A2347" s="5" t="s">
        <v>6</v>
      </c>
      <c r="B2347" s="5" t="s">
        <v>6291</v>
      </c>
      <c r="C2347" s="1" t="s">
        <v>6292</v>
      </c>
      <c r="D2347" s="1" t="s">
        <v>6293</v>
      </c>
      <c r="E2347" s="7">
        <v>29</v>
      </c>
    </row>
    <row r="2348" spans="1:5" x14ac:dyDescent="0.25">
      <c r="A2348" s="5" t="s">
        <v>6</v>
      </c>
      <c r="B2348" s="5" t="s">
        <v>6294</v>
      </c>
      <c r="C2348" s="1" t="s">
        <v>6295</v>
      </c>
      <c r="D2348" s="1" t="s">
        <v>6296</v>
      </c>
      <c r="E2348" s="7">
        <v>31</v>
      </c>
    </row>
    <row r="2349" spans="1:5" x14ac:dyDescent="0.25">
      <c r="A2349" s="5" t="s">
        <v>6</v>
      </c>
      <c r="B2349" s="5" t="s">
        <v>6297</v>
      </c>
      <c r="C2349" s="1" t="s">
        <v>6298</v>
      </c>
      <c r="D2349" s="1" t="s">
        <v>6299</v>
      </c>
      <c r="E2349" s="7">
        <v>59</v>
      </c>
    </row>
    <row r="2350" spans="1:5" x14ac:dyDescent="0.25">
      <c r="A2350" s="5" t="s">
        <v>6</v>
      </c>
      <c r="B2350" s="5" t="s">
        <v>6300</v>
      </c>
      <c r="C2350" s="1" t="s">
        <v>6301</v>
      </c>
      <c r="D2350" s="1" t="s">
        <v>6302</v>
      </c>
      <c r="E2350" s="7">
        <v>127</v>
      </c>
    </row>
    <row r="2351" spans="1:5" x14ac:dyDescent="0.25">
      <c r="A2351" s="5" t="s">
        <v>6</v>
      </c>
      <c r="B2351" s="5" t="s">
        <v>6303</v>
      </c>
      <c r="C2351" s="1" t="s">
        <v>6304</v>
      </c>
      <c r="D2351" s="1" t="s">
        <v>6305</v>
      </c>
      <c r="E2351" s="7">
        <v>31</v>
      </c>
    </row>
    <row r="2352" spans="1:5" x14ac:dyDescent="0.25">
      <c r="A2352" s="5" t="s">
        <v>6</v>
      </c>
      <c r="B2352" s="5" t="s">
        <v>6306</v>
      </c>
      <c r="C2352" s="1" t="s">
        <v>6307</v>
      </c>
      <c r="D2352" s="1" t="s">
        <v>6308</v>
      </c>
      <c r="E2352" s="7">
        <v>38</v>
      </c>
    </row>
    <row r="2353" spans="1:5" x14ac:dyDescent="0.25">
      <c r="A2353" s="5" t="s">
        <v>6</v>
      </c>
      <c r="B2353" s="5" t="s">
        <v>6309</v>
      </c>
      <c r="C2353" s="1" t="s">
        <v>6310</v>
      </c>
      <c r="D2353" s="1" t="s">
        <v>6311</v>
      </c>
      <c r="E2353" s="7">
        <v>52</v>
      </c>
    </row>
    <row r="2354" spans="1:5" x14ac:dyDescent="0.25">
      <c r="A2354" s="5" t="s">
        <v>6</v>
      </c>
      <c r="B2354" s="5" t="s">
        <v>6312</v>
      </c>
      <c r="C2354" s="1" t="s">
        <v>6313</v>
      </c>
      <c r="D2354" s="1" t="s">
        <v>6314</v>
      </c>
      <c r="E2354" s="7">
        <v>23</v>
      </c>
    </row>
    <row r="2355" spans="1:5" x14ac:dyDescent="0.25">
      <c r="A2355" s="5" t="s">
        <v>6</v>
      </c>
      <c r="B2355" s="5" t="s">
        <v>6315</v>
      </c>
      <c r="C2355" s="1" t="s">
        <v>6316</v>
      </c>
      <c r="D2355" s="1" t="s">
        <v>6317</v>
      </c>
      <c r="E2355" s="7">
        <v>16</v>
      </c>
    </row>
    <row r="2356" spans="1:5" x14ac:dyDescent="0.25">
      <c r="A2356" s="5" t="s">
        <v>6</v>
      </c>
      <c r="B2356" s="5" t="s">
        <v>6318</v>
      </c>
      <c r="C2356" s="1" t="s">
        <v>6319</v>
      </c>
      <c r="D2356" s="1" t="s">
        <v>6320</v>
      </c>
      <c r="E2356" s="7">
        <v>19</v>
      </c>
    </row>
    <row r="2357" spans="1:5" x14ac:dyDescent="0.25">
      <c r="A2357" s="5" t="s">
        <v>6</v>
      </c>
      <c r="B2357" s="5" t="s">
        <v>6321</v>
      </c>
      <c r="C2357" s="1" t="s">
        <v>6322</v>
      </c>
      <c r="D2357" s="1" t="s">
        <v>6323</v>
      </c>
      <c r="E2357" s="7">
        <v>18</v>
      </c>
    </row>
    <row r="2358" spans="1:5" x14ac:dyDescent="0.25">
      <c r="A2358" s="5" t="s">
        <v>6</v>
      </c>
      <c r="B2358" s="5" t="s">
        <v>6324</v>
      </c>
      <c r="C2358" s="1" t="s">
        <v>6325</v>
      </c>
      <c r="D2358" s="1" t="s">
        <v>6326</v>
      </c>
      <c r="E2358" s="7">
        <v>28</v>
      </c>
    </row>
    <row r="2359" spans="1:5" x14ac:dyDescent="0.25">
      <c r="A2359" s="5" t="s">
        <v>6</v>
      </c>
      <c r="B2359" s="5" t="s">
        <v>6327</v>
      </c>
      <c r="C2359" s="1" t="s">
        <v>6328</v>
      </c>
      <c r="D2359" s="1" t="s">
        <v>6329</v>
      </c>
      <c r="E2359" s="7">
        <v>30</v>
      </c>
    </row>
    <row r="2360" spans="1:5" x14ac:dyDescent="0.25">
      <c r="A2360" s="5" t="s">
        <v>6</v>
      </c>
      <c r="B2360" s="5" t="s">
        <v>6330</v>
      </c>
      <c r="C2360" s="1" t="s">
        <v>6331</v>
      </c>
      <c r="D2360" s="1" t="s">
        <v>6332</v>
      </c>
      <c r="E2360" s="7">
        <v>19</v>
      </c>
    </row>
    <row r="2361" spans="1:5" x14ac:dyDescent="0.25">
      <c r="A2361" s="5" t="s">
        <v>6</v>
      </c>
      <c r="B2361" s="5" t="s">
        <v>6333</v>
      </c>
      <c r="C2361" s="1" t="s">
        <v>6334</v>
      </c>
      <c r="D2361" s="1" t="s">
        <v>6335</v>
      </c>
      <c r="E2361" s="7">
        <v>19</v>
      </c>
    </row>
    <row r="2362" spans="1:5" x14ac:dyDescent="0.25">
      <c r="A2362" s="5" t="s">
        <v>6</v>
      </c>
      <c r="B2362" s="5" t="s">
        <v>6336</v>
      </c>
      <c r="C2362" s="1" t="s">
        <v>6337</v>
      </c>
      <c r="D2362" s="1" t="s">
        <v>6338</v>
      </c>
      <c r="E2362" s="7">
        <v>19</v>
      </c>
    </row>
    <row r="2363" spans="1:5" x14ac:dyDescent="0.25">
      <c r="A2363" s="5" t="s">
        <v>6</v>
      </c>
      <c r="B2363" s="5" t="s">
        <v>6339</v>
      </c>
      <c r="C2363" s="1" t="s">
        <v>6340</v>
      </c>
      <c r="D2363" s="1" t="s">
        <v>6341</v>
      </c>
      <c r="E2363" s="7">
        <v>23</v>
      </c>
    </row>
    <row r="2364" spans="1:5" x14ac:dyDescent="0.25">
      <c r="A2364" s="5" t="s">
        <v>6</v>
      </c>
      <c r="B2364" s="5" t="s">
        <v>6342</v>
      </c>
      <c r="C2364" s="1" t="s">
        <v>6343</v>
      </c>
      <c r="D2364" s="1" t="s">
        <v>6344</v>
      </c>
      <c r="E2364" s="7">
        <v>23</v>
      </c>
    </row>
    <row r="2365" spans="1:5" x14ac:dyDescent="0.25">
      <c r="A2365" s="5" t="s">
        <v>6</v>
      </c>
      <c r="B2365" s="5" t="s">
        <v>6345</v>
      </c>
      <c r="C2365" s="1" t="s">
        <v>6346</v>
      </c>
      <c r="D2365" s="1" t="s">
        <v>6347</v>
      </c>
      <c r="E2365" s="7">
        <v>23</v>
      </c>
    </row>
    <row r="2366" spans="1:5" x14ac:dyDescent="0.25">
      <c r="A2366" s="5" t="s">
        <v>6</v>
      </c>
      <c r="B2366" s="5" t="s">
        <v>6348</v>
      </c>
      <c r="C2366" s="1" t="s">
        <v>6349</v>
      </c>
      <c r="D2366" s="1" t="s">
        <v>6350</v>
      </c>
      <c r="E2366" s="7">
        <v>11</v>
      </c>
    </row>
    <row r="2367" spans="1:5" x14ac:dyDescent="0.25">
      <c r="A2367" s="5" t="s">
        <v>6</v>
      </c>
      <c r="B2367" s="5" t="s">
        <v>6351</v>
      </c>
      <c r="C2367" s="1" t="s">
        <v>6352</v>
      </c>
      <c r="D2367" s="1" t="s">
        <v>6353</v>
      </c>
      <c r="E2367" s="7">
        <v>33</v>
      </c>
    </row>
    <row r="2368" spans="1:5" x14ac:dyDescent="0.25">
      <c r="A2368" s="5" t="s">
        <v>6</v>
      </c>
      <c r="B2368" s="5" t="s">
        <v>6354</v>
      </c>
      <c r="C2368" s="1" t="s">
        <v>6355</v>
      </c>
      <c r="D2368" s="1" t="s">
        <v>6356</v>
      </c>
      <c r="E2368" s="7">
        <v>30</v>
      </c>
    </row>
    <row r="2369" spans="1:5" x14ac:dyDescent="0.25">
      <c r="A2369" s="5" t="s">
        <v>6</v>
      </c>
      <c r="B2369" s="5" t="s">
        <v>6357</v>
      </c>
      <c r="C2369" s="1" t="s">
        <v>6358</v>
      </c>
      <c r="D2369" s="1" t="s">
        <v>6359</v>
      </c>
      <c r="E2369" s="7">
        <v>105</v>
      </c>
    </row>
    <row r="2370" spans="1:5" x14ac:dyDescent="0.25">
      <c r="A2370" s="5" t="s">
        <v>6</v>
      </c>
      <c r="B2370" s="5" t="s">
        <v>6360</v>
      </c>
      <c r="C2370" s="1" t="s">
        <v>6361</v>
      </c>
      <c r="D2370" s="1" t="s">
        <v>6362</v>
      </c>
      <c r="E2370" s="7">
        <v>31</v>
      </c>
    </row>
    <row r="2371" spans="1:5" x14ac:dyDescent="0.25">
      <c r="A2371" s="5" t="s">
        <v>6</v>
      </c>
      <c r="B2371" s="5" t="s">
        <v>6363</v>
      </c>
      <c r="C2371" s="1" t="s">
        <v>6364</v>
      </c>
      <c r="D2371" s="1" t="s">
        <v>6365</v>
      </c>
      <c r="E2371" s="7">
        <v>45</v>
      </c>
    </row>
    <row r="2372" spans="1:5" x14ac:dyDescent="0.25">
      <c r="A2372" s="5" t="s">
        <v>6</v>
      </c>
      <c r="B2372" s="5" t="s">
        <v>6366</v>
      </c>
      <c r="C2372" s="1" t="s">
        <v>6367</v>
      </c>
      <c r="D2372" s="1" t="s">
        <v>6368</v>
      </c>
      <c r="E2372" s="7">
        <v>19</v>
      </c>
    </row>
    <row r="2373" spans="1:5" x14ac:dyDescent="0.25">
      <c r="A2373" s="5" t="s">
        <v>6</v>
      </c>
      <c r="B2373" s="5" t="s">
        <v>6369</v>
      </c>
      <c r="C2373" s="1" t="s">
        <v>6370</v>
      </c>
      <c r="D2373" s="1" t="s">
        <v>6371</v>
      </c>
      <c r="E2373" s="7">
        <v>23</v>
      </c>
    </row>
    <row r="2374" spans="1:5" x14ac:dyDescent="0.25">
      <c r="A2374" s="5" t="s">
        <v>6</v>
      </c>
      <c r="B2374" s="5" t="s">
        <v>6372</v>
      </c>
      <c r="C2374" s="1" t="s">
        <v>6373</v>
      </c>
      <c r="D2374" s="1" t="s">
        <v>6374</v>
      </c>
      <c r="E2374" s="7">
        <v>23</v>
      </c>
    </row>
    <row r="2375" spans="1:5" x14ac:dyDescent="0.25">
      <c r="A2375" s="5" t="s">
        <v>6</v>
      </c>
      <c r="B2375" s="5" t="s">
        <v>6375</v>
      </c>
      <c r="C2375" s="1" t="s">
        <v>6376</v>
      </c>
      <c r="D2375" s="1" t="s">
        <v>6377</v>
      </c>
      <c r="E2375" s="7">
        <v>33</v>
      </c>
    </row>
    <row r="2376" spans="1:5" x14ac:dyDescent="0.25">
      <c r="A2376" s="5" t="s">
        <v>6</v>
      </c>
      <c r="B2376" s="5" t="s">
        <v>6378</v>
      </c>
      <c r="C2376" s="1" t="s">
        <v>6379</v>
      </c>
      <c r="D2376" s="1" t="s">
        <v>6380</v>
      </c>
      <c r="E2376" s="7">
        <v>53</v>
      </c>
    </row>
    <row r="2377" spans="1:5" x14ac:dyDescent="0.25">
      <c r="A2377" s="5" t="s">
        <v>6</v>
      </c>
      <c r="B2377" s="5" t="s">
        <v>6381</v>
      </c>
      <c r="C2377" s="1" t="s">
        <v>6382</v>
      </c>
      <c r="D2377" s="1" t="s">
        <v>6383</v>
      </c>
      <c r="E2377" s="7">
        <v>28</v>
      </c>
    </row>
    <row r="2378" spans="1:5" x14ac:dyDescent="0.25">
      <c r="A2378" s="5" t="s">
        <v>6</v>
      </c>
      <c r="B2378" s="5" t="s">
        <v>6384</v>
      </c>
      <c r="C2378" s="1" t="s">
        <v>6385</v>
      </c>
      <c r="D2378" s="1" t="s">
        <v>6386</v>
      </c>
      <c r="E2378" s="7">
        <v>58</v>
      </c>
    </row>
    <row r="2379" spans="1:5" x14ac:dyDescent="0.25">
      <c r="A2379" s="5" t="s">
        <v>6</v>
      </c>
      <c r="B2379" s="5" t="s">
        <v>6387</v>
      </c>
      <c r="C2379" s="1" t="s">
        <v>6388</v>
      </c>
      <c r="D2379" s="1" t="s">
        <v>6389</v>
      </c>
      <c r="E2379" s="7">
        <v>78</v>
      </c>
    </row>
    <row r="2380" spans="1:5" x14ac:dyDescent="0.25">
      <c r="A2380" s="5" t="s">
        <v>6</v>
      </c>
      <c r="B2380" s="5" t="s">
        <v>6390</v>
      </c>
      <c r="C2380" s="1" t="s">
        <v>6391</v>
      </c>
      <c r="D2380" s="1" t="s">
        <v>6392</v>
      </c>
      <c r="E2380" s="7">
        <v>30</v>
      </c>
    </row>
    <row r="2381" spans="1:5" x14ac:dyDescent="0.25">
      <c r="A2381" s="5" t="s">
        <v>6</v>
      </c>
      <c r="B2381" s="5" t="s">
        <v>6393</v>
      </c>
      <c r="C2381" s="1" t="s">
        <v>6394</v>
      </c>
      <c r="D2381" s="1" t="s">
        <v>6395</v>
      </c>
      <c r="E2381" s="7">
        <v>31</v>
      </c>
    </row>
    <row r="2382" spans="1:5" x14ac:dyDescent="0.25">
      <c r="A2382" s="5" t="s">
        <v>6</v>
      </c>
      <c r="B2382" s="5" t="s">
        <v>6396</v>
      </c>
      <c r="C2382" s="1" t="s">
        <v>6397</v>
      </c>
      <c r="D2382" s="1" t="s">
        <v>6398</v>
      </c>
      <c r="E2382" s="7">
        <v>285</v>
      </c>
    </row>
    <row r="2383" spans="1:5" x14ac:dyDescent="0.25">
      <c r="A2383" s="5" t="s">
        <v>6</v>
      </c>
      <c r="B2383" s="5" t="s">
        <v>6399</v>
      </c>
      <c r="C2383" s="1" t="s">
        <v>6400</v>
      </c>
      <c r="D2383" s="1" t="s">
        <v>6401</v>
      </c>
      <c r="E2383" s="7">
        <v>44</v>
      </c>
    </row>
    <row r="2384" spans="1:5" x14ac:dyDescent="0.25">
      <c r="A2384" s="5" t="s">
        <v>6</v>
      </c>
      <c r="B2384" s="5" t="s">
        <v>6402</v>
      </c>
      <c r="C2384" s="1" t="s">
        <v>6403</v>
      </c>
      <c r="D2384" s="1" t="s">
        <v>6404</v>
      </c>
      <c r="E2384" s="7">
        <v>59</v>
      </c>
    </row>
    <row r="2385" spans="1:5" x14ac:dyDescent="0.25">
      <c r="A2385" s="5" t="s">
        <v>6</v>
      </c>
      <c r="B2385" s="5" t="s">
        <v>6405</v>
      </c>
      <c r="C2385" s="1" t="s">
        <v>6406</v>
      </c>
      <c r="D2385" s="1" t="s">
        <v>6407</v>
      </c>
      <c r="E2385" s="7">
        <v>18</v>
      </c>
    </row>
    <row r="2386" spans="1:5" x14ac:dyDescent="0.25">
      <c r="A2386" s="5" t="s">
        <v>6</v>
      </c>
      <c r="B2386" s="5" t="s">
        <v>6408</v>
      </c>
      <c r="C2386" s="1" t="s">
        <v>6409</v>
      </c>
      <c r="D2386" s="1" t="s">
        <v>6410</v>
      </c>
      <c r="E2386" s="7">
        <v>23</v>
      </c>
    </row>
    <row r="2387" spans="1:5" x14ac:dyDescent="0.25">
      <c r="A2387" s="5" t="s">
        <v>6</v>
      </c>
      <c r="B2387" s="5" t="s">
        <v>6411</v>
      </c>
      <c r="C2387" s="1" t="s">
        <v>6412</v>
      </c>
      <c r="D2387" s="1" t="s">
        <v>6413</v>
      </c>
      <c r="E2387" s="7">
        <v>31</v>
      </c>
    </row>
    <row r="2388" spans="1:5" x14ac:dyDescent="0.25">
      <c r="A2388" s="5" t="s">
        <v>6</v>
      </c>
      <c r="B2388" s="5" t="s">
        <v>6414</v>
      </c>
      <c r="C2388" s="1" t="s">
        <v>6415</v>
      </c>
      <c r="D2388" s="1" t="s">
        <v>6416</v>
      </c>
      <c r="E2388" s="7">
        <v>28</v>
      </c>
    </row>
    <row r="2389" spans="1:5" x14ac:dyDescent="0.25">
      <c r="A2389" s="5" t="s">
        <v>6</v>
      </c>
      <c r="B2389" s="5" t="s">
        <v>6417</v>
      </c>
      <c r="C2389" s="1" t="s">
        <v>6418</v>
      </c>
      <c r="D2389" s="1" t="s">
        <v>6419</v>
      </c>
      <c r="E2389" s="7">
        <v>15</v>
      </c>
    </row>
    <row r="2390" spans="1:5" x14ac:dyDescent="0.25">
      <c r="A2390" s="5" t="s">
        <v>6</v>
      </c>
      <c r="B2390" s="5" t="s">
        <v>6420</v>
      </c>
      <c r="C2390" s="1" t="s">
        <v>6421</v>
      </c>
      <c r="D2390" s="1" t="s">
        <v>6422</v>
      </c>
      <c r="E2390" s="7">
        <v>42</v>
      </c>
    </row>
    <row r="2391" spans="1:5" x14ac:dyDescent="0.25">
      <c r="A2391" s="5" t="s">
        <v>6</v>
      </c>
      <c r="B2391" s="5" t="s">
        <v>6423</v>
      </c>
      <c r="C2391" s="1" t="s">
        <v>6424</v>
      </c>
      <c r="D2391" s="1" t="s">
        <v>6425</v>
      </c>
      <c r="E2391" s="7">
        <v>31</v>
      </c>
    </row>
    <row r="2392" spans="1:5" x14ac:dyDescent="0.25">
      <c r="A2392" s="5" t="s">
        <v>6</v>
      </c>
      <c r="B2392" s="5" t="s">
        <v>6426</v>
      </c>
      <c r="C2392" s="1" t="s">
        <v>6427</v>
      </c>
      <c r="D2392" s="1" t="s">
        <v>6428</v>
      </c>
      <c r="E2392" s="7">
        <v>29</v>
      </c>
    </row>
    <row r="2393" spans="1:5" x14ac:dyDescent="0.25">
      <c r="A2393" s="5" t="s">
        <v>6</v>
      </c>
      <c r="B2393" s="5" t="s">
        <v>6429</v>
      </c>
      <c r="C2393" s="1" t="s">
        <v>6430</v>
      </c>
      <c r="D2393" s="1" t="s">
        <v>6431</v>
      </c>
      <c r="E2393" s="7">
        <v>11</v>
      </c>
    </row>
    <row r="2394" spans="1:5" x14ac:dyDescent="0.25">
      <c r="A2394" s="5" t="s">
        <v>6</v>
      </c>
      <c r="B2394" s="5" t="s">
        <v>6432</v>
      </c>
      <c r="C2394" s="1" t="s">
        <v>6433</v>
      </c>
      <c r="D2394" s="1" t="s">
        <v>6434</v>
      </c>
      <c r="E2394" s="7">
        <v>42</v>
      </c>
    </row>
    <row r="2395" spans="1:5" x14ac:dyDescent="0.25">
      <c r="A2395" s="5" t="s">
        <v>6</v>
      </c>
      <c r="B2395" s="5" t="s">
        <v>6435</v>
      </c>
      <c r="C2395" s="1" t="s">
        <v>6436</v>
      </c>
      <c r="D2395" s="1" t="s">
        <v>6437</v>
      </c>
      <c r="E2395" s="7">
        <v>14</v>
      </c>
    </row>
    <row r="2396" spans="1:5" x14ac:dyDescent="0.25">
      <c r="A2396" s="5" t="s">
        <v>6</v>
      </c>
      <c r="B2396" s="5" t="s">
        <v>6438</v>
      </c>
      <c r="C2396" s="1" t="s">
        <v>6439</v>
      </c>
      <c r="D2396" s="1" t="s">
        <v>6440</v>
      </c>
      <c r="E2396" s="7">
        <v>31</v>
      </c>
    </row>
    <row r="2397" spans="1:5" x14ac:dyDescent="0.25">
      <c r="A2397" s="5" t="s">
        <v>6</v>
      </c>
      <c r="B2397" s="5" t="s">
        <v>6441</v>
      </c>
      <c r="C2397" s="1" t="s">
        <v>6442</v>
      </c>
      <c r="D2397" s="1" t="s">
        <v>6443</v>
      </c>
      <c r="E2397" s="7">
        <v>29</v>
      </c>
    </row>
    <row r="2398" spans="1:5" x14ac:dyDescent="0.25">
      <c r="A2398" s="5" t="s">
        <v>6</v>
      </c>
      <c r="B2398" s="5" t="s">
        <v>6444</v>
      </c>
      <c r="C2398" s="1" t="s">
        <v>6445</v>
      </c>
      <c r="D2398" s="1" t="s">
        <v>6446</v>
      </c>
      <c r="E2398" s="7">
        <v>31</v>
      </c>
    </row>
    <row r="2399" spans="1:5" x14ac:dyDescent="0.25">
      <c r="A2399" s="5" t="s">
        <v>6</v>
      </c>
      <c r="B2399" s="5" t="s">
        <v>6447</v>
      </c>
      <c r="C2399" s="1" t="s">
        <v>6448</v>
      </c>
      <c r="D2399" s="1" t="s">
        <v>6449</v>
      </c>
      <c r="E2399" s="7">
        <v>26</v>
      </c>
    </row>
    <row r="2400" spans="1:5" x14ac:dyDescent="0.25">
      <c r="A2400" s="5" t="s">
        <v>6</v>
      </c>
      <c r="B2400" s="5" t="s">
        <v>6450</v>
      </c>
      <c r="C2400" s="1" t="s">
        <v>6451</v>
      </c>
      <c r="D2400" s="1" t="s">
        <v>6452</v>
      </c>
      <c r="E2400" s="7">
        <v>30</v>
      </c>
    </row>
    <row r="2401" spans="1:5" x14ac:dyDescent="0.25">
      <c r="A2401" s="5" t="s">
        <v>6</v>
      </c>
      <c r="B2401" s="5" t="s">
        <v>6453</v>
      </c>
      <c r="C2401" s="1" t="s">
        <v>6454</v>
      </c>
      <c r="D2401" s="1" t="s">
        <v>6455</v>
      </c>
      <c r="E2401" s="7">
        <v>33</v>
      </c>
    </row>
    <row r="2402" spans="1:5" x14ac:dyDescent="0.25">
      <c r="A2402" s="5" t="s">
        <v>6</v>
      </c>
      <c r="B2402" s="5" t="s">
        <v>6456</v>
      </c>
      <c r="C2402" s="1" t="s">
        <v>6457</v>
      </c>
      <c r="D2402" s="1" t="s">
        <v>6458</v>
      </c>
      <c r="E2402" s="7">
        <v>42</v>
      </c>
    </row>
    <row r="2403" spans="1:5" x14ac:dyDescent="0.25">
      <c r="A2403" s="5" t="s">
        <v>6</v>
      </c>
      <c r="B2403" s="5" t="s">
        <v>6459</v>
      </c>
      <c r="C2403" s="1" t="s">
        <v>6460</v>
      </c>
      <c r="D2403" s="1" t="s">
        <v>6461</v>
      </c>
      <c r="E2403" s="7">
        <v>30</v>
      </c>
    </row>
    <row r="2404" spans="1:5" x14ac:dyDescent="0.25">
      <c r="A2404" s="5" t="s">
        <v>6</v>
      </c>
      <c r="B2404" s="5" t="s">
        <v>6462</v>
      </c>
      <c r="C2404" s="1" t="s">
        <v>6463</v>
      </c>
      <c r="D2404" s="1" t="s">
        <v>6464</v>
      </c>
      <c r="E2404" s="7">
        <v>63</v>
      </c>
    </row>
    <row r="2405" spans="1:5" x14ac:dyDescent="0.25">
      <c r="A2405" s="5" t="s">
        <v>6</v>
      </c>
      <c r="B2405" s="5" t="s">
        <v>6465</v>
      </c>
      <c r="C2405" s="1" t="s">
        <v>6466</v>
      </c>
      <c r="D2405" s="1" t="s">
        <v>6467</v>
      </c>
      <c r="E2405" s="7">
        <v>19</v>
      </c>
    </row>
    <row r="2406" spans="1:5" x14ac:dyDescent="0.25">
      <c r="A2406" s="5" t="s">
        <v>6</v>
      </c>
      <c r="B2406" s="5" t="s">
        <v>6468</v>
      </c>
      <c r="C2406" s="1" t="s">
        <v>6469</v>
      </c>
      <c r="D2406" s="1" t="s">
        <v>6470</v>
      </c>
      <c r="E2406" s="7">
        <v>19</v>
      </c>
    </row>
    <row r="2407" spans="1:5" x14ac:dyDescent="0.25">
      <c r="A2407" s="5" t="s">
        <v>6</v>
      </c>
      <c r="B2407" s="5" t="s">
        <v>6471</v>
      </c>
      <c r="C2407" s="1" t="s">
        <v>6472</v>
      </c>
      <c r="D2407" s="1" t="s">
        <v>6473</v>
      </c>
      <c r="E2407" s="7">
        <v>14</v>
      </c>
    </row>
    <row r="2408" spans="1:5" x14ac:dyDescent="0.25">
      <c r="A2408" s="5" t="s">
        <v>6</v>
      </c>
      <c r="B2408" s="5" t="s">
        <v>6474</v>
      </c>
      <c r="C2408" s="1" t="s">
        <v>6475</v>
      </c>
      <c r="D2408" s="1" t="s">
        <v>6476</v>
      </c>
      <c r="E2408" s="7">
        <v>38</v>
      </c>
    </row>
    <row r="2409" spans="1:5" x14ac:dyDescent="0.25">
      <c r="A2409" s="5" t="s">
        <v>6</v>
      </c>
      <c r="B2409" s="5" t="s">
        <v>6477</v>
      </c>
      <c r="C2409" s="1" t="s">
        <v>6478</v>
      </c>
      <c r="D2409" s="1" t="s">
        <v>6479</v>
      </c>
      <c r="E2409" s="7">
        <v>25</v>
      </c>
    </row>
    <row r="2410" spans="1:5" x14ac:dyDescent="0.25">
      <c r="A2410" s="5" t="s">
        <v>6</v>
      </c>
      <c r="B2410" s="5" t="s">
        <v>6480</v>
      </c>
      <c r="C2410" s="1" t="s">
        <v>6481</v>
      </c>
      <c r="D2410" s="1" t="s">
        <v>6482</v>
      </c>
      <c r="E2410" s="7">
        <v>31</v>
      </c>
    </row>
    <row r="2411" spans="1:5" x14ac:dyDescent="0.25">
      <c r="A2411" s="5" t="s">
        <v>6</v>
      </c>
      <c r="B2411" s="5" t="s">
        <v>6483</v>
      </c>
      <c r="C2411" s="1" t="s">
        <v>6484</v>
      </c>
      <c r="D2411" s="1" t="s">
        <v>6485</v>
      </c>
      <c r="E2411" s="7">
        <v>33</v>
      </c>
    </row>
    <row r="2412" spans="1:5" x14ac:dyDescent="0.25">
      <c r="A2412" s="5" t="s">
        <v>6</v>
      </c>
      <c r="B2412" s="5" t="s">
        <v>6486</v>
      </c>
      <c r="C2412" s="1" t="s">
        <v>6487</v>
      </c>
      <c r="D2412" s="1" t="s">
        <v>6488</v>
      </c>
      <c r="E2412" s="7">
        <v>33</v>
      </c>
    </row>
    <row r="2413" spans="1:5" x14ac:dyDescent="0.25">
      <c r="A2413" s="5" t="s">
        <v>6</v>
      </c>
      <c r="B2413" s="5" t="s">
        <v>6489</v>
      </c>
      <c r="C2413" s="1" t="s">
        <v>6490</v>
      </c>
      <c r="D2413" s="1" t="s">
        <v>6491</v>
      </c>
      <c r="E2413" s="7">
        <v>42</v>
      </c>
    </row>
    <row r="2414" spans="1:5" x14ac:dyDescent="0.25">
      <c r="A2414" s="5" t="s">
        <v>6</v>
      </c>
      <c r="B2414" s="5" t="s">
        <v>6492</v>
      </c>
      <c r="C2414" s="1" t="s">
        <v>6493</v>
      </c>
      <c r="D2414" s="1" t="s">
        <v>6494</v>
      </c>
      <c r="E2414" s="7">
        <v>49</v>
      </c>
    </row>
    <row r="2415" spans="1:5" x14ac:dyDescent="0.25">
      <c r="A2415" s="5" t="s">
        <v>6</v>
      </c>
      <c r="B2415" s="5" t="s">
        <v>6495</v>
      </c>
      <c r="C2415" s="1" t="s">
        <v>6496</v>
      </c>
      <c r="D2415" s="1" t="s">
        <v>6497</v>
      </c>
      <c r="E2415" s="7">
        <v>29</v>
      </c>
    </row>
    <row r="2416" spans="1:5" x14ac:dyDescent="0.25">
      <c r="A2416" s="5" t="s">
        <v>6</v>
      </c>
      <c r="B2416" s="5" t="s">
        <v>6498</v>
      </c>
      <c r="C2416" s="1" t="s">
        <v>6499</v>
      </c>
      <c r="D2416" s="1" t="s">
        <v>6500</v>
      </c>
      <c r="E2416" s="7">
        <v>31</v>
      </c>
    </row>
    <row r="2417" spans="1:5" x14ac:dyDescent="0.25">
      <c r="A2417" s="5" t="s">
        <v>6</v>
      </c>
      <c r="B2417" s="5" t="s">
        <v>6501</v>
      </c>
      <c r="C2417" s="1" t="s">
        <v>6502</v>
      </c>
      <c r="D2417" s="1" t="s">
        <v>6503</v>
      </c>
      <c r="E2417" s="7">
        <v>45</v>
      </c>
    </row>
    <row r="2418" spans="1:5" x14ac:dyDescent="0.25">
      <c r="A2418" s="5" t="s">
        <v>6</v>
      </c>
      <c r="B2418" s="5" t="s">
        <v>6504</v>
      </c>
      <c r="C2418" s="1" t="s">
        <v>6505</v>
      </c>
      <c r="D2418" s="1" t="s">
        <v>6506</v>
      </c>
      <c r="E2418" s="7">
        <v>23</v>
      </c>
    </row>
    <row r="2419" spans="1:5" x14ac:dyDescent="0.25">
      <c r="A2419" s="5" t="s">
        <v>6</v>
      </c>
      <c r="B2419" s="5" t="s">
        <v>6507</v>
      </c>
      <c r="C2419" s="1" t="s">
        <v>6508</v>
      </c>
      <c r="D2419" s="1" t="s">
        <v>6509</v>
      </c>
      <c r="E2419" s="7">
        <v>19</v>
      </c>
    </row>
    <row r="2420" spans="1:5" x14ac:dyDescent="0.25">
      <c r="A2420" s="5" t="s">
        <v>6</v>
      </c>
      <c r="B2420" s="5" t="s">
        <v>6510</v>
      </c>
      <c r="C2420" s="1" t="s">
        <v>6511</v>
      </c>
      <c r="D2420" s="1" t="s">
        <v>6512</v>
      </c>
      <c r="E2420" s="7">
        <v>19</v>
      </c>
    </row>
    <row r="2421" spans="1:5" x14ac:dyDescent="0.25">
      <c r="A2421" s="5" t="s">
        <v>6</v>
      </c>
      <c r="B2421" s="5" t="s">
        <v>6513</v>
      </c>
      <c r="C2421" s="1" t="s">
        <v>6514</v>
      </c>
      <c r="D2421" s="1" t="s">
        <v>6515</v>
      </c>
      <c r="E2421" s="7">
        <v>25</v>
      </c>
    </row>
    <row r="2422" spans="1:5" x14ac:dyDescent="0.25">
      <c r="A2422" s="5" t="s">
        <v>6</v>
      </c>
      <c r="B2422" s="5" t="s">
        <v>6516</v>
      </c>
      <c r="C2422" s="1" t="s">
        <v>6517</v>
      </c>
      <c r="D2422" s="1" t="s">
        <v>6518</v>
      </c>
      <c r="E2422" s="7">
        <v>25</v>
      </c>
    </row>
    <row r="2423" spans="1:5" x14ac:dyDescent="0.25">
      <c r="A2423" s="5" t="s">
        <v>6</v>
      </c>
      <c r="B2423" s="5" t="s">
        <v>6519</v>
      </c>
      <c r="C2423" s="1" t="s">
        <v>6520</v>
      </c>
      <c r="D2423" s="1" t="s">
        <v>6521</v>
      </c>
      <c r="E2423" s="7">
        <v>31</v>
      </c>
    </row>
    <row r="2424" spans="1:5" x14ac:dyDescent="0.25">
      <c r="A2424" s="5" t="s">
        <v>6</v>
      </c>
      <c r="B2424" s="5" t="s">
        <v>6522</v>
      </c>
      <c r="C2424" s="1" t="s">
        <v>6523</v>
      </c>
      <c r="D2424" s="1" t="s">
        <v>6524</v>
      </c>
      <c r="E2424" s="7">
        <v>31</v>
      </c>
    </row>
    <row r="2425" spans="1:5" x14ac:dyDescent="0.25">
      <c r="A2425" s="5" t="s">
        <v>6</v>
      </c>
      <c r="B2425" s="5" t="s">
        <v>6525</v>
      </c>
      <c r="C2425" s="1" t="s">
        <v>6526</v>
      </c>
      <c r="D2425" s="1" t="s">
        <v>6527</v>
      </c>
      <c r="E2425" s="7">
        <v>31</v>
      </c>
    </row>
    <row r="2426" spans="1:5" x14ac:dyDescent="0.25">
      <c r="A2426" s="5" t="s">
        <v>6</v>
      </c>
      <c r="B2426" s="5" t="s">
        <v>6528</v>
      </c>
      <c r="C2426" s="1" t="s">
        <v>6529</v>
      </c>
      <c r="D2426" s="1" t="s">
        <v>6530</v>
      </c>
      <c r="E2426" s="7">
        <v>31</v>
      </c>
    </row>
    <row r="2427" spans="1:5" x14ac:dyDescent="0.25">
      <c r="A2427" s="5" t="s">
        <v>6</v>
      </c>
      <c r="B2427" s="5" t="s">
        <v>6531</v>
      </c>
      <c r="C2427" s="1" t="s">
        <v>6532</v>
      </c>
      <c r="D2427" s="1" t="s">
        <v>6533</v>
      </c>
      <c r="E2427" s="7">
        <v>30</v>
      </c>
    </row>
    <row r="2428" spans="1:5" x14ac:dyDescent="0.25">
      <c r="A2428" s="5" t="s">
        <v>6</v>
      </c>
      <c r="B2428" s="5" t="s">
        <v>6534</v>
      </c>
      <c r="C2428" s="1" t="s">
        <v>6535</v>
      </c>
      <c r="D2428" s="1" t="s">
        <v>6536</v>
      </c>
      <c r="E2428" s="7">
        <v>31</v>
      </c>
    </row>
    <row r="2429" spans="1:5" x14ac:dyDescent="0.25">
      <c r="A2429" s="5" t="s">
        <v>6</v>
      </c>
      <c r="B2429" s="5" t="s">
        <v>6537</v>
      </c>
      <c r="C2429" s="1" t="s">
        <v>6538</v>
      </c>
      <c r="D2429" s="1" t="s">
        <v>6539</v>
      </c>
      <c r="E2429" s="7">
        <v>31</v>
      </c>
    </row>
    <row r="2430" spans="1:5" x14ac:dyDescent="0.25">
      <c r="A2430" s="5" t="s">
        <v>6</v>
      </c>
      <c r="B2430" s="5" t="s">
        <v>6540</v>
      </c>
      <c r="C2430" s="1" t="s">
        <v>6541</v>
      </c>
      <c r="D2430" s="1" t="s">
        <v>6542</v>
      </c>
      <c r="E2430" s="7">
        <v>19</v>
      </c>
    </row>
    <row r="2431" spans="1:5" x14ac:dyDescent="0.25">
      <c r="A2431" s="5" t="s">
        <v>6</v>
      </c>
      <c r="B2431" s="5" t="s">
        <v>6543</v>
      </c>
      <c r="C2431" s="1" t="s">
        <v>6544</v>
      </c>
      <c r="D2431" s="1" t="s">
        <v>6545</v>
      </c>
      <c r="E2431" s="7">
        <v>31</v>
      </c>
    </row>
    <row r="2432" spans="1:5" x14ac:dyDescent="0.25">
      <c r="A2432" s="5" t="s">
        <v>6</v>
      </c>
      <c r="B2432" s="5" t="s">
        <v>6546</v>
      </c>
      <c r="C2432" s="1" t="s">
        <v>6547</v>
      </c>
      <c r="D2432" s="1" t="s">
        <v>6548</v>
      </c>
      <c r="E2432" s="7">
        <v>19</v>
      </c>
    </row>
    <row r="2433" spans="1:5" x14ac:dyDescent="0.25">
      <c r="A2433" s="5" t="s">
        <v>6</v>
      </c>
      <c r="B2433" s="5" t="s">
        <v>6549</v>
      </c>
      <c r="C2433" s="1" t="s">
        <v>6550</v>
      </c>
      <c r="D2433" s="1" t="s">
        <v>6551</v>
      </c>
      <c r="E2433" s="7">
        <v>23</v>
      </c>
    </row>
    <row r="2434" spans="1:5" x14ac:dyDescent="0.25">
      <c r="A2434" s="5" t="s">
        <v>6</v>
      </c>
      <c r="B2434" s="5" t="s">
        <v>6552</v>
      </c>
      <c r="C2434" s="1" t="s">
        <v>6553</v>
      </c>
      <c r="D2434" s="1" t="s">
        <v>6554</v>
      </c>
      <c r="E2434" s="7">
        <v>28</v>
      </c>
    </row>
    <row r="2435" spans="1:5" x14ac:dyDescent="0.25">
      <c r="A2435" s="5" t="s">
        <v>6</v>
      </c>
      <c r="B2435" s="5" t="s">
        <v>6555</v>
      </c>
      <c r="C2435" s="1" t="s">
        <v>6556</v>
      </c>
      <c r="D2435" s="1" t="s">
        <v>6557</v>
      </c>
      <c r="E2435" s="7">
        <v>29</v>
      </c>
    </row>
    <row r="2436" spans="1:5" x14ac:dyDescent="0.25">
      <c r="A2436" s="5" t="s">
        <v>6</v>
      </c>
      <c r="B2436" s="5" t="s">
        <v>6558</v>
      </c>
      <c r="C2436" s="1" t="s">
        <v>6559</v>
      </c>
      <c r="D2436" s="1" t="s">
        <v>6560</v>
      </c>
      <c r="E2436" s="7">
        <v>25</v>
      </c>
    </row>
    <row r="2437" spans="1:5" x14ac:dyDescent="0.25">
      <c r="A2437" s="5" t="s">
        <v>6</v>
      </c>
      <c r="B2437" s="5" t="s">
        <v>6561</v>
      </c>
      <c r="C2437" s="1" t="s">
        <v>6562</v>
      </c>
      <c r="D2437" s="1" t="s">
        <v>6563</v>
      </c>
      <c r="E2437" s="7">
        <v>19</v>
      </c>
    </row>
    <row r="2438" spans="1:5" x14ac:dyDescent="0.25">
      <c r="A2438" s="5" t="s">
        <v>6</v>
      </c>
      <c r="B2438" s="5" t="s">
        <v>6564</v>
      </c>
      <c r="C2438" s="1" t="s">
        <v>6565</v>
      </c>
      <c r="D2438" s="1" t="s">
        <v>6566</v>
      </c>
      <c r="E2438" s="7">
        <v>40</v>
      </c>
    </row>
    <row r="2439" spans="1:5" x14ac:dyDescent="0.25">
      <c r="A2439" s="5" t="s">
        <v>6</v>
      </c>
      <c r="B2439" s="5" t="s">
        <v>6567</v>
      </c>
      <c r="C2439" s="1" t="s">
        <v>6568</v>
      </c>
      <c r="D2439" s="1" t="s">
        <v>6569</v>
      </c>
      <c r="E2439" s="7">
        <v>19</v>
      </c>
    </row>
    <row r="2440" spans="1:5" x14ac:dyDescent="0.25">
      <c r="A2440" s="5" t="s">
        <v>6</v>
      </c>
      <c r="B2440" s="5" t="s">
        <v>6570</v>
      </c>
      <c r="C2440" s="1" t="s">
        <v>6571</v>
      </c>
      <c r="D2440" s="1" t="s">
        <v>6572</v>
      </c>
      <c r="E2440" s="7">
        <v>5.69</v>
      </c>
    </row>
    <row r="2441" spans="1:5" x14ac:dyDescent="0.25">
      <c r="A2441" s="5" t="s">
        <v>6</v>
      </c>
      <c r="B2441" s="5" t="s">
        <v>6573</v>
      </c>
      <c r="C2441" s="1" t="s">
        <v>6574</v>
      </c>
      <c r="D2441" s="1" t="s">
        <v>6575</v>
      </c>
      <c r="E2441" s="7">
        <v>26</v>
      </c>
    </row>
    <row r="2442" spans="1:5" x14ac:dyDescent="0.25">
      <c r="A2442" s="5" t="s">
        <v>6</v>
      </c>
      <c r="B2442" s="5" t="s">
        <v>6576</v>
      </c>
      <c r="C2442" s="1" t="s">
        <v>6577</v>
      </c>
      <c r="D2442" s="1" t="s">
        <v>6578</v>
      </c>
      <c r="E2442" s="7">
        <v>59</v>
      </c>
    </row>
    <row r="2443" spans="1:5" x14ac:dyDescent="0.25">
      <c r="A2443" s="5" t="s">
        <v>6</v>
      </c>
      <c r="B2443" s="5" t="s">
        <v>6579</v>
      </c>
      <c r="C2443" s="1" t="s">
        <v>6580</v>
      </c>
      <c r="D2443" s="1" t="s">
        <v>6581</v>
      </c>
      <c r="E2443" s="7">
        <v>5</v>
      </c>
    </row>
    <row r="2444" spans="1:5" x14ac:dyDescent="0.25">
      <c r="A2444" s="5" t="s">
        <v>6</v>
      </c>
      <c r="B2444" s="5" t="s">
        <v>6582</v>
      </c>
      <c r="C2444" s="1" t="s">
        <v>6583</v>
      </c>
      <c r="D2444" s="1" t="s">
        <v>6584</v>
      </c>
      <c r="E2444" s="7">
        <v>281</v>
      </c>
    </row>
    <row r="2445" spans="1:5" x14ac:dyDescent="0.25">
      <c r="A2445" s="5" t="s">
        <v>6</v>
      </c>
      <c r="B2445" s="5" t="s">
        <v>6585</v>
      </c>
      <c r="C2445" s="1" t="s">
        <v>6586</v>
      </c>
      <c r="D2445" s="1" t="s">
        <v>6587</v>
      </c>
      <c r="E2445" s="7">
        <v>51.41</v>
      </c>
    </row>
    <row r="2446" spans="1:5" x14ac:dyDescent="0.25">
      <c r="A2446" s="5" t="s">
        <v>6</v>
      </c>
      <c r="B2446" s="5" t="s">
        <v>6588</v>
      </c>
      <c r="C2446" s="1" t="s">
        <v>6589</v>
      </c>
      <c r="D2446" s="1" t="s">
        <v>6590</v>
      </c>
      <c r="E2446" s="7">
        <v>140</v>
      </c>
    </row>
    <row r="2447" spans="1:5" x14ac:dyDescent="0.25">
      <c r="A2447" s="5" t="s">
        <v>6</v>
      </c>
      <c r="B2447" s="5" t="s">
        <v>6591</v>
      </c>
      <c r="C2447" s="1" t="s">
        <v>6592</v>
      </c>
      <c r="D2447" s="1" t="s">
        <v>6593</v>
      </c>
      <c r="E2447" s="7">
        <v>23</v>
      </c>
    </row>
    <row r="2448" spans="1:5" x14ac:dyDescent="0.25">
      <c r="A2448" s="5" t="s">
        <v>6</v>
      </c>
      <c r="B2448" s="5" t="s">
        <v>6594</v>
      </c>
      <c r="C2448" s="1" t="s">
        <v>6595</v>
      </c>
      <c r="D2448" s="1" t="s">
        <v>6596</v>
      </c>
      <c r="E2448" s="7">
        <v>23</v>
      </c>
    </row>
    <row r="2449" spans="1:5" x14ac:dyDescent="0.25">
      <c r="A2449" s="5" t="s">
        <v>6</v>
      </c>
      <c r="B2449" s="5" t="s">
        <v>6597</v>
      </c>
      <c r="C2449" s="1" t="s">
        <v>6598</v>
      </c>
      <c r="D2449" s="1" t="s">
        <v>6599</v>
      </c>
      <c r="E2449" s="7">
        <v>33</v>
      </c>
    </row>
    <row r="2450" spans="1:5" x14ac:dyDescent="0.25">
      <c r="A2450" s="5" t="s">
        <v>6</v>
      </c>
      <c r="B2450" s="5" t="s">
        <v>6600</v>
      </c>
      <c r="C2450" s="1" t="s">
        <v>6601</v>
      </c>
      <c r="D2450" s="1" t="s">
        <v>6602</v>
      </c>
      <c r="E2450" s="7">
        <v>33</v>
      </c>
    </row>
    <row r="2451" spans="1:5" x14ac:dyDescent="0.25">
      <c r="A2451" s="5" t="s">
        <v>6</v>
      </c>
      <c r="B2451" s="5" t="s">
        <v>6603</v>
      </c>
      <c r="C2451" s="1" t="s">
        <v>6604</v>
      </c>
      <c r="D2451" s="1" t="s">
        <v>6605</v>
      </c>
      <c r="E2451" s="7">
        <v>33</v>
      </c>
    </row>
    <row r="2452" spans="1:5" x14ac:dyDescent="0.25">
      <c r="A2452" s="5" t="s">
        <v>6</v>
      </c>
      <c r="B2452" s="5" t="s">
        <v>6606</v>
      </c>
      <c r="C2452" s="1" t="s">
        <v>6607</v>
      </c>
      <c r="D2452" s="1" t="s">
        <v>6608</v>
      </c>
      <c r="E2452" s="7">
        <v>38</v>
      </c>
    </row>
    <row r="2453" spans="1:5" x14ac:dyDescent="0.25">
      <c r="A2453" s="5" t="s">
        <v>6</v>
      </c>
      <c r="B2453" s="5" t="s">
        <v>6609</v>
      </c>
      <c r="C2453" s="1" t="s">
        <v>6610</v>
      </c>
      <c r="D2453" s="1" t="s">
        <v>6610</v>
      </c>
      <c r="E2453" s="7">
        <v>25</v>
      </c>
    </row>
    <row r="2454" spans="1:5" x14ac:dyDescent="0.25">
      <c r="A2454" s="5" t="s">
        <v>6</v>
      </c>
      <c r="B2454" s="5" t="s">
        <v>6611</v>
      </c>
      <c r="C2454" s="1" t="s">
        <v>6612</v>
      </c>
      <c r="D2454" s="1" t="s">
        <v>6612</v>
      </c>
      <c r="E2454" s="7">
        <v>29</v>
      </c>
    </row>
    <row r="2455" spans="1:5" x14ac:dyDescent="0.25">
      <c r="A2455" s="5" t="s">
        <v>6</v>
      </c>
      <c r="B2455" s="5" t="s">
        <v>6613</v>
      </c>
      <c r="C2455" s="1" t="s">
        <v>6614</v>
      </c>
      <c r="D2455" s="1" t="s">
        <v>6614</v>
      </c>
      <c r="E2455" s="7">
        <v>38</v>
      </c>
    </row>
    <row r="2456" spans="1:5" x14ac:dyDescent="0.25">
      <c r="A2456" s="5" t="s">
        <v>6</v>
      </c>
      <c r="B2456" s="5" t="s">
        <v>6615</v>
      </c>
      <c r="C2456" s="1" t="s">
        <v>6616</v>
      </c>
      <c r="D2456" s="1" t="s">
        <v>6616</v>
      </c>
      <c r="E2456" s="7">
        <v>33</v>
      </c>
    </row>
    <row r="2457" spans="1:5" x14ac:dyDescent="0.25">
      <c r="A2457" s="5" t="s">
        <v>6</v>
      </c>
      <c r="B2457" s="5" t="s">
        <v>6617</v>
      </c>
      <c r="C2457" s="1" t="s">
        <v>6618</v>
      </c>
      <c r="D2457" s="1" t="s">
        <v>6619</v>
      </c>
      <c r="E2457" s="7">
        <v>42</v>
      </c>
    </row>
    <row r="2458" spans="1:5" x14ac:dyDescent="0.25">
      <c r="A2458" s="5" t="s">
        <v>6</v>
      </c>
      <c r="B2458" s="5" t="s">
        <v>6620</v>
      </c>
      <c r="C2458" s="1" t="s">
        <v>6621</v>
      </c>
      <c r="D2458" s="1" t="s">
        <v>6622</v>
      </c>
      <c r="E2458" s="7">
        <v>30</v>
      </c>
    </row>
    <row r="2459" spans="1:5" x14ac:dyDescent="0.25">
      <c r="A2459" s="5" t="s">
        <v>6</v>
      </c>
      <c r="B2459" s="5" t="s">
        <v>6623</v>
      </c>
      <c r="C2459" s="1" t="s">
        <v>6624</v>
      </c>
      <c r="D2459" s="1" t="s">
        <v>6625</v>
      </c>
      <c r="E2459" s="7">
        <v>67</v>
      </c>
    </row>
    <row r="2460" spans="1:5" x14ac:dyDescent="0.25">
      <c r="A2460" s="5" t="s">
        <v>6</v>
      </c>
      <c r="B2460" s="5" t="s">
        <v>6626</v>
      </c>
      <c r="C2460" s="1" t="s">
        <v>6627</v>
      </c>
      <c r="D2460" s="1" t="s">
        <v>6628</v>
      </c>
      <c r="E2460" s="7">
        <v>46</v>
      </c>
    </row>
    <row r="2461" spans="1:5" x14ac:dyDescent="0.25">
      <c r="A2461" s="5" t="s">
        <v>6</v>
      </c>
      <c r="B2461" s="5" t="s">
        <v>6629</v>
      </c>
      <c r="C2461" s="1" t="s">
        <v>6630</v>
      </c>
      <c r="D2461" s="1" t="s">
        <v>6631</v>
      </c>
      <c r="E2461" s="7">
        <v>44</v>
      </c>
    </row>
    <row r="2462" spans="1:5" x14ac:dyDescent="0.25">
      <c r="A2462" s="5" t="s">
        <v>6</v>
      </c>
      <c r="B2462" s="5" t="s">
        <v>6632</v>
      </c>
      <c r="C2462" s="1" t="s">
        <v>6633</v>
      </c>
      <c r="D2462" s="1" t="s">
        <v>6634</v>
      </c>
      <c r="E2462" s="7">
        <v>46</v>
      </c>
    </row>
    <row r="2463" spans="1:5" x14ac:dyDescent="0.25">
      <c r="A2463" s="5" t="s">
        <v>6</v>
      </c>
      <c r="B2463" s="5" t="s">
        <v>6635</v>
      </c>
      <c r="C2463" s="1" t="s">
        <v>6636</v>
      </c>
      <c r="D2463" s="1" t="s">
        <v>6637</v>
      </c>
      <c r="E2463" s="7">
        <v>28</v>
      </c>
    </row>
    <row r="2464" spans="1:5" x14ac:dyDescent="0.25">
      <c r="A2464" s="5" t="s">
        <v>6</v>
      </c>
      <c r="B2464" s="5" t="s">
        <v>6638</v>
      </c>
      <c r="C2464" s="1" t="s">
        <v>6639</v>
      </c>
      <c r="D2464" s="1" t="s">
        <v>6640</v>
      </c>
      <c r="E2464" s="7">
        <v>25</v>
      </c>
    </row>
    <row r="2465" spans="1:5" x14ac:dyDescent="0.25">
      <c r="A2465" s="5" t="s">
        <v>6</v>
      </c>
      <c r="B2465" s="5" t="s">
        <v>6641</v>
      </c>
      <c r="C2465" s="1" t="s">
        <v>6642</v>
      </c>
      <c r="D2465" s="1" t="s">
        <v>6643</v>
      </c>
      <c r="E2465" s="7">
        <v>29</v>
      </c>
    </row>
    <row r="2466" spans="1:5" x14ac:dyDescent="0.25">
      <c r="A2466" s="5" t="s">
        <v>6</v>
      </c>
      <c r="B2466" s="5" t="s">
        <v>6644</v>
      </c>
      <c r="C2466" s="1" t="s">
        <v>6645</v>
      </c>
      <c r="D2466" s="1" t="s">
        <v>6646</v>
      </c>
      <c r="E2466" s="7">
        <v>29</v>
      </c>
    </row>
    <row r="2467" spans="1:5" x14ac:dyDescent="0.25">
      <c r="A2467" s="5" t="s">
        <v>6</v>
      </c>
      <c r="B2467" s="5" t="s">
        <v>6647</v>
      </c>
      <c r="C2467" s="1" t="s">
        <v>6648</v>
      </c>
      <c r="D2467" s="1" t="s">
        <v>6649</v>
      </c>
      <c r="E2467" s="7">
        <v>28</v>
      </c>
    </row>
    <row r="2468" spans="1:5" x14ac:dyDescent="0.25">
      <c r="A2468" s="5" t="s">
        <v>6</v>
      </c>
      <c r="B2468" s="5" t="s">
        <v>6650</v>
      </c>
      <c r="C2468" s="1" t="s">
        <v>6651</v>
      </c>
      <c r="D2468" s="1" t="s">
        <v>6652</v>
      </c>
      <c r="E2468" s="7">
        <v>842</v>
      </c>
    </row>
    <row r="2469" spans="1:5" x14ac:dyDescent="0.25">
      <c r="A2469" s="5" t="s">
        <v>6</v>
      </c>
      <c r="B2469" s="5" t="s">
        <v>6653</v>
      </c>
      <c r="C2469" s="1" t="s">
        <v>6654</v>
      </c>
      <c r="D2469" s="1" t="s">
        <v>6655</v>
      </c>
      <c r="E2469" s="7">
        <v>794</v>
      </c>
    </row>
    <row r="2470" spans="1:5" x14ac:dyDescent="0.25">
      <c r="A2470" s="5" t="s">
        <v>6</v>
      </c>
      <c r="B2470" s="5" t="s">
        <v>6656</v>
      </c>
      <c r="C2470" s="1" t="s">
        <v>6657</v>
      </c>
      <c r="D2470" s="1" t="s">
        <v>6658</v>
      </c>
      <c r="E2470" s="7">
        <v>26</v>
      </c>
    </row>
    <row r="2471" spans="1:5" x14ac:dyDescent="0.25">
      <c r="A2471" s="5" t="s">
        <v>6</v>
      </c>
      <c r="B2471" s="5" t="s">
        <v>6659</v>
      </c>
      <c r="C2471" s="1" t="s">
        <v>6660</v>
      </c>
      <c r="D2471" s="1" t="s">
        <v>6661</v>
      </c>
      <c r="E2471" s="7">
        <v>44</v>
      </c>
    </row>
    <row r="2472" spans="1:5" x14ac:dyDescent="0.25">
      <c r="A2472" s="5" t="s">
        <v>6</v>
      </c>
      <c r="B2472" s="5" t="s">
        <v>6662</v>
      </c>
      <c r="C2472" s="1" t="s">
        <v>6663</v>
      </c>
      <c r="D2472" s="1" t="s">
        <v>6664</v>
      </c>
      <c r="E2472" s="7">
        <v>33</v>
      </c>
    </row>
    <row r="2473" spans="1:5" x14ac:dyDescent="0.25">
      <c r="A2473" s="5" t="s">
        <v>6</v>
      </c>
      <c r="B2473" s="5" t="s">
        <v>6665</v>
      </c>
      <c r="C2473" s="1" t="s">
        <v>6666</v>
      </c>
      <c r="D2473" s="1" t="s">
        <v>6667</v>
      </c>
      <c r="E2473" s="7">
        <v>40</v>
      </c>
    </row>
    <row r="2474" spans="1:5" x14ac:dyDescent="0.25">
      <c r="A2474" s="5" t="s">
        <v>6</v>
      </c>
      <c r="B2474" s="5" t="s">
        <v>6668</v>
      </c>
      <c r="C2474" s="1" t="s">
        <v>6669</v>
      </c>
      <c r="D2474" s="1" t="s">
        <v>6670</v>
      </c>
      <c r="E2474" s="7">
        <v>40</v>
      </c>
    </row>
    <row r="2475" spans="1:5" x14ac:dyDescent="0.25">
      <c r="A2475" s="5" t="s">
        <v>6</v>
      </c>
      <c r="B2475" s="5" t="s">
        <v>6671</v>
      </c>
      <c r="C2475" s="1" t="s">
        <v>6672</v>
      </c>
      <c r="D2475" s="1" t="s">
        <v>6673</v>
      </c>
      <c r="E2475" s="7">
        <v>33</v>
      </c>
    </row>
    <row r="2476" spans="1:5" x14ac:dyDescent="0.25">
      <c r="A2476" s="5" t="s">
        <v>6</v>
      </c>
      <c r="B2476" s="5" t="s">
        <v>6674</v>
      </c>
      <c r="C2476" s="1" t="s">
        <v>6675</v>
      </c>
      <c r="D2476" s="1" t="s">
        <v>6676</v>
      </c>
      <c r="E2476" s="7">
        <v>204</v>
      </c>
    </row>
    <row r="2477" spans="1:5" x14ac:dyDescent="0.25">
      <c r="A2477" s="5" t="s">
        <v>6</v>
      </c>
      <c r="B2477" s="5" t="s">
        <v>6677</v>
      </c>
      <c r="C2477" s="1" t="s">
        <v>6678</v>
      </c>
      <c r="D2477" s="1" t="s">
        <v>6679</v>
      </c>
      <c r="E2477" s="7">
        <v>28</v>
      </c>
    </row>
    <row r="2478" spans="1:5" x14ac:dyDescent="0.25">
      <c r="A2478" s="5" t="s">
        <v>6</v>
      </c>
      <c r="B2478" s="5" t="s">
        <v>6680</v>
      </c>
      <c r="C2478" s="1" t="s">
        <v>6681</v>
      </c>
      <c r="D2478" s="1" t="s">
        <v>6682</v>
      </c>
      <c r="E2478" s="7">
        <v>30</v>
      </c>
    </row>
    <row r="2479" spans="1:5" x14ac:dyDescent="0.25">
      <c r="A2479" s="5" t="s">
        <v>6</v>
      </c>
      <c r="B2479" s="5" t="s">
        <v>6683</v>
      </c>
      <c r="C2479" s="1" t="s">
        <v>6684</v>
      </c>
      <c r="D2479" s="1" t="s">
        <v>6685</v>
      </c>
      <c r="E2479" s="7">
        <v>19</v>
      </c>
    </row>
    <row r="2480" spans="1:5" x14ac:dyDescent="0.25">
      <c r="A2480" s="5" t="s">
        <v>6</v>
      </c>
      <c r="B2480" s="5" t="s">
        <v>6686</v>
      </c>
      <c r="C2480" s="1" t="s">
        <v>6687</v>
      </c>
      <c r="D2480" s="1" t="s">
        <v>6688</v>
      </c>
      <c r="E2480" s="7">
        <v>54.47</v>
      </c>
    </row>
    <row r="2481" spans="1:5" x14ac:dyDescent="0.25">
      <c r="A2481" s="5" t="s">
        <v>6</v>
      </c>
      <c r="B2481" s="5" t="s">
        <v>6689</v>
      </c>
      <c r="C2481" s="1" t="s">
        <v>6690</v>
      </c>
      <c r="D2481" s="1" t="s">
        <v>6691</v>
      </c>
      <c r="E2481" s="7">
        <v>63</v>
      </c>
    </row>
    <row r="2482" spans="1:5" x14ac:dyDescent="0.25">
      <c r="A2482" s="5" t="s">
        <v>6</v>
      </c>
      <c r="B2482" s="5" t="s">
        <v>6692</v>
      </c>
      <c r="C2482" s="1" t="s">
        <v>6693</v>
      </c>
      <c r="D2482" s="1" t="s">
        <v>6694</v>
      </c>
      <c r="E2482" s="7">
        <v>31</v>
      </c>
    </row>
    <row r="2483" spans="1:5" x14ac:dyDescent="0.25">
      <c r="A2483" s="5" t="s">
        <v>6</v>
      </c>
      <c r="B2483" s="5" t="s">
        <v>6695</v>
      </c>
      <c r="C2483" s="1" t="s">
        <v>6696</v>
      </c>
      <c r="D2483" s="1" t="s">
        <v>6697</v>
      </c>
      <c r="E2483" s="7">
        <v>453</v>
      </c>
    </row>
    <row r="2484" spans="1:5" x14ac:dyDescent="0.25">
      <c r="A2484" s="5" t="s">
        <v>6</v>
      </c>
      <c r="B2484" s="5" t="s">
        <v>6698</v>
      </c>
      <c r="C2484" s="1" t="s">
        <v>6699</v>
      </c>
      <c r="D2484" s="1" t="s">
        <v>6700</v>
      </c>
      <c r="E2484" s="7">
        <v>946</v>
      </c>
    </row>
    <row r="2485" spans="1:5" x14ac:dyDescent="0.25">
      <c r="A2485" s="5" t="s">
        <v>6</v>
      </c>
      <c r="B2485" s="5" t="s">
        <v>6701</v>
      </c>
      <c r="C2485" s="1" t="s">
        <v>6702</v>
      </c>
      <c r="D2485" s="1" t="s">
        <v>6703</v>
      </c>
      <c r="E2485" s="7">
        <v>31</v>
      </c>
    </row>
    <row r="2486" spans="1:5" x14ac:dyDescent="0.25">
      <c r="A2486" s="5" t="s">
        <v>6</v>
      </c>
      <c r="B2486" s="5" t="s">
        <v>6704</v>
      </c>
      <c r="C2486" s="1" t="s">
        <v>6705</v>
      </c>
      <c r="D2486" s="1" t="s">
        <v>6706</v>
      </c>
      <c r="E2486" s="7">
        <v>30</v>
      </c>
    </row>
    <row r="2487" spans="1:5" x14ac:dyDescent="0.25">
      <c r="A2487" s="5" t="s">
        <v>6</v>
      </c>
      <c r="B2487" s="5" t="s">
        <v>6707</v>
      </c>
      <c r="C2487" s="1" t="s">
        <v>6708</v>
      </c>
      <c r="D2487" s="1" t="s">
        <v>6709</v>
      </c>
      <c r="E2487" s="7">
        <v>23</v>
      </c>
    </row>
    <row r="2488" spans="1:5" x14ac:dyDescent="0.25">
      <c r="A2488" s="5" t="s">
        <v>6</v>
      </c>
      <c r="B2488" s="5" t="s">
        <v>6710</v>
      </c>
      <c r="C2488" s="1" t="s">
        <v>6711</v>
      </c>
      <c r="D2488" s="1" t="s">
        <v>6712</v>
      </c>
      <c r="E2488" s="7">
        <v>29</v>
      </c>
    </row>
    <row r="2489" spans="1:5" x14ac:dyDescent="0.25">
      <c r="A2489" s="5" t="s">
        <v>6</v>
      </c>
      <c r="B2489" s="5" t="s">
        <v>6713</v>
      </c>
      <c r="C2489" s="1" t="s">
        <v>6714</v>
      </c>
      <c r="D2489" s="1" t="s">
        <v>6715</v>
      </c>
      <c r="E2489" s="7">
        <v>23</v>
      </c>
    </row>
    <row r="2490" spans="1:5" x14ac:dyDescent="0.25">
      <c r="A2490" s="5" t="s">
        <v>6</v>
      </c>
      <c r="B2490" s="5" t="s">
        <v>6716</v>
      </c>
      <c r="C2490" s="1" t="s">
        <v>6717</v>
      </c>
      <c r="D2490" s="1" t="s">
        <v>6718</v>
      </c>
      <c r="E2490" s="7">
        <v>38</v>
      </c>
    </row>
    <row r="2491" spans="1:5" x14ac:dyDescent="0.25">
      <c r="A2491" s="5" t="s">
        <v>6</v>
      </c>
      <c r="B2491" s="5" t="s">
        <v>6719</v>
      </c>
      <c r="C2491" s="1" t="s">
        <v>6720</v>
      </c>
      <c r="D2491" s="1" t="s">
        <v>6721</v>
      </c>
      <c r="E2491" s="7">
        <v>28</v>
      </c>
    </row>
    <row r="2492" spans="1:5" x14ac:dyDescent="0.25">
      <c r="A2492" s="5" t="s">
        <v>6</v>
      </c>
      <c r="B2492" s="5" t="s">
        <v>6722</v>
      </c>
      <c r="C2492" s="1" t="s">
        <v>6723</v>
      </c>
      <c r="D2492" s="1" t="s">
        <v>6724</v>
      </c>
      <c r="E2492" s="7">
        <v>5</v>
      </c>
    </row>
    <row r="2493" spans="1:5" x14ac:dyDescent="0.25">
      <c r="A2493" s="5" t="s">
        <v>6</v>
      </c>
      <c r="B2493" s="5" t="s">
        <v>6725</v>
      </c>
      <c r="C2493" s="1" t="s">
        <v>6726</v>
      </c>
      <c r="D2493" s="1" t="s">
        <v>6727</v>
      </c>
      <c r="E2493" s="7">
        <v>28</v>
      </c>
    </row>
    <row r="2494" spans="1:5" x14ac:dyDescent="0.25">
      <c r="A2494" s="5" t="s">
        <v>6</v>
      </c>
      <c r="B2494" s="5" t="s">
        <v>6728</v>
      </c>
      <c r="C2494" s="1" t="s">
        <v>6729</v>
      </c>
      <c r="D2494" s="1" t="s">
        <v>6730</v>
      </c>
      <c r="E2494" s="7">
        <v>3</v>
      </c>
    </row>
    <row r="2495" spans="1:5" x14ac:dyDescent="0.25">
      <c r="A2495" s="5" t="s">
        <v>6</v>
      </c>
      <c r="B2495" s="5" t="s">
        <v>6731</v>
      </c>
      <c r="C2495" s="1" t="s">
        <v>6732</v>
      </c>
      <c r="D2495" s="1" t="s">
        <v>6733</v>
      </c>
      <c r="E2495" s="7">
        <v>19</v>
      </c>
    </row>
    <row r="2496" spans="1:5" x14ac:dyDescent="0.25">
      <c r="A2496" s="5" t="s">
        <v>6</v>
      </c>
      <c r="B2496" s="5" t="s">
        <v>6734</v>
      </c>
      <c r="C2496" s="1" t="s">
        <v>6735</v>
      </c>
      <c r="D2496" s="1" t="s">
        <v>6736</v>
      </c>
      <c r="E2496" s="7">
        <v>18</v>
      </c>
    </row>
    <row r="2497" spans="1:5" x14ac:dyDescent="0.25">
      <c r="A2497" s="5" t="s">
        <v>6</v>
      </c>
      <c r="B2497" s="5" t="s">
        <v>6737</v>
      </c>
      <c r="C2497" s="1" t="s">
        <v>6738</v>
      </c>
      <c r="D2497" s="1" t="s">
        <v>6739</v>
      </c>
      <c r="E2497" s="7">
        <v>16</v>
      </c>
    </row>
    <row r="2498" spans="1:5" x14ac:dyDescent="0.25">
      <c r="A2498" s="5" t="s">
        <v>6</v>
      </c>
      <c r="B2498" s="5" t="s">
        <v>6740</v>
      </c>
      <c r="C2498" s="1" t="s">
        <v>6741</v>
      </c>
      <c r="D2498" s="1" t="s">
        <v>6742</v>
      </c>
      <c r="E2498" s="7">
        <v>28</v>
      </c>
    </row>
    <row r="2499" spans="1:5" x14ac:dyDescent="0.25">
      <c r="A2499" s="5" t="s">
        <v>6</v>
      </c>
      <c r="B2499" s="5" t="s">
        <v>6743</v>
      </c>
      <c r="C2499" s="1" t="s">
        <v>6744</v>
      </c>
      <c r="D2499" s="1" t="s">
        <v>6745</v>
      </c>
      <c r="E2499" s="7">
        <v>19</v>
      </c>
    </row>
    <row r="2500" spans="1:5" x14ac:dyDescent="0.25">
      <c r="A2500" s="5" t="s">
        <v>6</v>
      </c>
      <c r="B2500" s="5" t="s">
        <v>6746</v>
      </c>
      <c r="C2500" s="1" t="s">
        <v>6747</v>
      </c>
      <c r="D2500" s="1" t="s">
        <v>6748</v>
      </c>
      <c r="E2500" s="7">
        <v>23</v>
      </c>
    </row>
    <row r="2501" spans="1:5" x14ac:dyDescent="0.25">
      <c r="A2501" s="5" t="s">
        <v>6</v>
      </c>
      <c r="B2501" s="5" t="s">
        <v>6749</v>
      </c>
      <c r="C2501" s="1" t="s">
        <v>6750</v>
      </c>
      <c r="D2501" s="1" t="s">
        <v>6751</v>
      </c>
      <c r="E2501" s="7">
        <v>19</v>
      </c>
    </row>
    <row r="2502" spans="1:5" x14ac:dyDescent="0.25">
      <c r="A2502" s="5" t="s">
        <v>6</v>
      </c>
      <c r="B2502" s="5" t="s">
        <v>6752</v>
      </c>
      <c r="C2502" s="1" t="s">
        <v>6753</v>
      </c>
      <c r="D2502" s="1" t="s">
        <v>6754</v>
      </c>
      <c r="E2502" s="7">
        <v>29</v>
      </c>
    </row>
    <row r="2503" spans="1:5" x14ac:dyDescent="0.25">
      <c r="A2503" s="5" t="s">
        <v>6</v>
      </c>
      <c r="B2503" s="5" t="s">
        <v>6755</v>
      </c>
      <c r="C2503" s="1" t="s">
        <v>6756</v>
      </c>
      <c r="D2503" s="1" t="s">
        <v>6757</v>
      </c>
      <c r="E2503" s="7">
        <v>63</v>
      </c>
    </row>
    <row r="2504" spans="1:5" x14ac:dyDescent="0.25">
      <c r="A2504" s="5" t="s">
        <v>6</v>
      </c>
      <c r="B2504" s="5" t="s">
        <v>6758</v>
      </c>
      <c r="C2504" s="1" t="s">
        <v>6759</v>
      </c>
      <c r="D2504" s="1" t="s">
        <v>6760</v>
      </c>
      <c r="E2504" s="7">
        <v>26</v>
      </c>
    </row>
    <row r="2505" spans="1:5" x14ac:dyDescent="0.25">
      <c r="A2505" s="5" t="s">
        <v>6</v>
      </c>
      <c r="B2505" s="5" t="s">
        <v>6761</v>
      </c>
      <c r="C2505" s="1" t="s">
        <v>6762</v>
      </c>
      <c r="D2505" s="1" t="s">
        <v>6763</v>
      </c>
      <c r="E2505" s="7">
        <v>28</v>
      </c>
    </row>
    <row r="2506" spans="1:5" x14ac:dyDescent="0.25">
      <c r="A2506" s="5" t="s">
        <v>6</v>
      </c>
      <c r="B2506" s="5" t="s">
        <v>6764</v>
      </c>
      <c r="C2506" s="1" t="s">
        <v>6765</v>
      </c>
      <c r="D2506" s="1" t="s">
        <v>6766</v>
      </c>
      <c r="E2506" s="7">
        <v>30</v>
      </c>
    </row>
    <row r="2507" spans="1:5" x14ac:dyDescent="0.25">
      <c r="A2507" s="5" t="s">
        <v>6</v>
      </c>
      <c r="B2507" s="5" t="s">
        <v>6767</v>
      </c>
      <c r="C2507" s="1" t="s">
        <v>6768</v>
      </c>
      <c r="D2507" s="1" t="s">
        <v>6769</v>
      </c>
      <c r="E2507" s="7">
        <v>38</v>
      </c>
    </row>
    <row r="2508" spans="1:5" x14ac:dyDescent="0.25">
      <c r="A2508" s="5" t="s">
        <v>6</v>
      </c>
      <c r="B2508" s="5" t="s">
        <v>6770</v>
      </c>
      <c r="C2508" s="1" t="s">
        <v>6771</v>
      </c>
      <c r="D2508" s="1" t="s">
        <v>6772</v>
      </c>
      <c r="E2508" s="7">
        <v>42</v>
      </c>
    </row>
    <row r="2509" spans="1:5" x14ac:dyDescent="0.25">
      <c r="A2509" s="5" t="s">
        <v>6</v>
      </c>
      <c r="B2509" s="5" t="s">
        <v>6773</v>
      </c>
      <c r="C2509" s="1" t="s">
        <v>6774</v>
      </c>
      <c r="D2509" s="1" t="s">
        <v>6775</v>
      </c>
      <c r="E2509" s="7">
        <v>28</v>
      </c>
    </row>
    <row r="2510" spans="1:5" x14ac:dyDescent="0.25">
      <c r="A2510" s="5" t="s">
        <v>6</v>
      </c>
      <c r="B2510" s="5" t="s">
        <v>6776</v>
      </c>
      <c r="C2510" s="1" t="s">
        <v>6777</v>
      </c>
      <c r="D2510" s="1" t="s">
        <v>6778</v>
      </c>
      <c r="E2510" s="7">
        <v>442</v>
      </c>
    </row>
    <row r="2511" spans="1:5" x14ac:dyDescent="0.25">
      <c r="A2511" s="5" t="s">
        <v>6</v>
      </c>
      <c r="B2511" s="5" t="s">
        <v>6779</v>
      </c>
      <c r="C2511" s="1" t="s">
        <v>6780</v>
      </c>
      <c r="D2511" s="1" t="s">
        <v>6781</v>
      </c>
      <c r="E2511" s="7">
        <v>91</v>
      </c>
    </row>
    <row r="2512" spans="1:5" x14ac:dyDescent="0.25">
      <c r="A2512" s="5" t="s">
        <v>6</v>
      </c>
      <c r="B2512" s="5" t="s">
        <v>6782</v>
      </c>
      <c r="C2512" s="1" t="s">
        <v>6783</v>
      </c>
      <c r="D2512" s="1" t="s">
        <v>6784</v>
      </c>
      <c r="E2512" s="7">
        <v>26</v>
      </c>
    </row>
    <row r="2513" spans="1:5" x14ac:dyDescent="0.25">
      <c r="A2513" s="5" t="s">
        <v>6</v>
      </c>
      <c r="B2513" s="5" t="s">
        <v>6785</v>
      </c>
      <c r="C2513" s="1" t="s">
        <v>6786</v>
      </c>
      <c r="D2513" s="1" t="s">
        <v>6787</v>
      </c>
      <c r="E2513" s="7">
        <v>5</v>
      </c>
    </row>
    <row r="2514" spans="1:5" x14ac:dyDescent="0.25">
      <c r="A2514" s="5" t="s">
        <v>6</v>
      </c>
      <c r="B2514" s="5" t="s">
        <v>6788</v>
      </c>
      <c r="C2514" s="1" t="s">
        <v>6789</v>
      </c>
      <c r="D2514" s="1" t="s">
        <v>6790</v>
      </c>
      <c r="E2514" s="7">
        <v>28</v>
      </c>
    </row>
    <row r="2515" spans="1:5" x14ac:dyDescent="0.25">
      <c r="A2515" s="5" t="s">
        <v>6</v>
      </c>
      <c r="B2515" s="5" t="s">
        <v>6791</v>
      </c>
      <c r="C2515" s="1" t="s">
        <v>6792</v>
      </c>
      <c r="D2515" s="1" t="s">
        <v>6793</v>
      </c>
      <c r="E2515" s="7">
        <v>29</v>
      </c>
    </row>
    <row r="2516" spans="1:5" x14ac:dyDescent="0.25">
      <c r="A2516" s="5" t="s">
        <v>6</v>
      </c>
      <c r="B2516" s="5" t="s">
        <v>6794</v>
      </c>
      <c r="C2516" s="1" t="s">
        <v>6795</v>
      </c>
      <c r="D2516" s="1" t="s">
        <v>6796</v>
      </c>
      <c r="E2516" s="7">
        <v>25</v>
      </c>
    </row>
    <row r="2517" spans="1:5" x14ac:dyDescent="0.25">
      <c r="A2517" s="5" t="s">
        <v>6</v>
      </c>
      <c r="B2517" s="5" t="s">
        <v>6797</v>
      </c>
      <c r="C2517" s="1" t="s">
        <v>6798</v>
      </c>
      <c r="D2517" s="1" t="s">
        <v>6799</v>
      </c>
      <c r="E2517" s="7">
        <v>46</v>
      </c>
    </row>
    <row r="2518" spans="1:5" x14ac:dyDescent="0.25">
      <c r="A2518" s="5" t="s">
        <v>6</v>
      </c>
      <c r="B2518" s="5" t="s">
        <v>6800</v>
      </c>
      <c r="C2518" s="1" t="s">
        <v>6801</v>
      </c>
      <c r="D2518" s="1" t="s">
        <v>6802</v>
      </c>
      <c r="E2518" s="7">
        <v>33</v>
      </c>
    </row>
    <row r="2519" spans="1:5" x14ac:dyDescent="0.25">
      <c r="A2519" s="5" t="s">
        <v>6</v>
      </c>
      <c r="B2519" s="5" t="s">
        <v>6803</v>
      </c>
      <c r="C2519" s="1" t="s">
        <v>6804</v>
      </c>
      <c r="D2519" s="1" t="s">
        <v>6805</v>
      </c>
      <c r="E2519" s="7">
        <v>28</v>
      </c>
    </row>
    <row r="2520" spans="1:5" x14ac:dyDescent="0.25">
      <c r="A2520" s="5" t="s">
        <v>6</v>
      </c>
      <c r="B2520" s="5" t="s">
        <v>6806</v>
      </c>
      <c r="C2520" s="1" t="s">
        <v>6807</v>
      </c>
      <c r="D2520" s="1" t="s">
        <v>6808</v>
      </c>
      <c r="E2520" s="7">
        <v>25</v>
      </c>
    </row>
    <row r="2521" spans="1:5" x14ac:dyDescent="0.25">
      <c r="A2521" s="5" t="s">
        <v>6</v>
      </c>
      <c r="B2521" s="5" t="s">
        <v>6809</v>
      </c>
      <c r="C2521" s="1" t="s">
        <v>6810</v>
      </c>
      <c r="D2521" s="1" t="s">
        <v>6811</v>
      </c>
      <c r="E2521" s="7">
        <v>19</v>
      </c>
    </row>
    <row r="2522" spans="1:5" x14ac:dyDescent="0.25">
      <c r="A2522" s="5" t="s">
        <v>6</v>
      </c>
      <c r="B2522" s="5" t="s">
        <v>6812</v>
      </c>
      <c r="C2522" s="1" t="s">
        <v>6813</v>
      </c>
      <c r="D2522" s="1" t="s">
        <v>6814</v>
      </c>
      <c r="E2522" s="7">
        <v>28</v>
      </c>
    </row>
    <row r="2523" spans="1:5" x14ac:dyDescent="0.25">
      <c r="A2523" s="5" t="s">
        <v>6</v>
      </c>
      <c r="B2523" s="5" t="s">
        <v>6815</v>
      </c>
      <c r="C2523" s="1" t="s">
        <v>6816</v>
      </c>
      <c r="D2523" s="1" t="s">
        <v>6817</v>
      </c>
      <c r="E2523" s="7">
        <v>29</v>
      </c>
    </row>
    <row r="2524" spans="1:5" x14ac:dyDescent="0.25">
      <c r="A2524" s="5" t="s">
        <v>6</v>
      </c>
      <c r="B2524" s="5" t="s">
        <v>6818</v>
      </c>
      <c r="C2524" s="1" t="s">
        <v>6819</v>
      </c>
      <c r="D2524" s="1" t="s">
        <v>6820</v>
      </c>
      <c r="E2524" s="7">
        <v>23</v>
      </c>
    </row>
    <row r="2525" spans="1:5" x14ac:dyDescent="0.25">
      <c r="A2525" s="5" t="s">
        <v>6</v>
      </c>
      <c r="B2525" s="5" t="s">
        <v>6821</v>
      </c>
      <c r="C2525" s="1" t="s">
        <v>6822</v>
      </c>
      <c r="D2525" s="1" t="s">
        <v>6823</v>
      </c>
      <c r="E2525" s="7">
        <v>18</v>
      </c>
    </row>
    <row r="2526" spans="1:5" x14ac:dyDescent="0.25">
      <c r="A2526" s="5" t="s">
        <v>6</v>
      </c>
      <c r="B2526" s="5" t="s">
        <v>6824</v>
      </c>
      <c r="C2526" s="1" t="s">
        <v>6825</v>
      </c>
      <c r="D2526" s="1" t="s">
        <v>6826</v>
      </c>
      <c r="E2526" s="7">
        <v>23</v>
      </c>
    </row>
    <row r="2527" spans="1:5" x14ac:dyDescent="0.25">
      <c r="A2527" s="5" t="s">
        <v>6</v>
      </c>
      <c r="B2527" s="5" t="s">
        <v>6827</v>
      </c>
      <c r="C2527" s="1" t="s">
        <v>6828</v>
      </c>
      <c r="D2527" s="1" t="s">
        <v>6829</v>
      </c>
      <c r="E2527" s="7">
        <v>18</v>
      </c>
    </row>
    <row r="2528" spans="1:5" x14ac:dyDescent="0.25">
      <c r="A2528" s="5" t="s">
        <v>6</v>
      </c>
      <c r="B2528" s="5" t="s">
        <v>6830</v>
      </c>
      <c r="C2528" s="1" t="s">
        <v>6831</v>
      </c>
      <c r="D2528" s="1" t="s">
        <v>6832</v>
      </c>
      <c r="E2528" s="7">
        <v>19</v>
      </c>
    </row>
    <row r="2529" spans="1:5" x14ac:dyDescent="0.25">
      <c r="A2529" s="5" t="s">
        <v>6</v>
      </c>
      <c r="B2529" s="5" t="s">
        <v>6833</v>
      </c>
      <c r="C2529" s="1" t="s">
        <v>6834</v>
      </c>
      <c r="D2529" s="1" t="s">
        <v>6835</v>
      </c>
      <c r="E2529" s="7">
        <v>1</v>
      </c>
    </row>
    <row r="2530" spans="1:5" x14ac:dyDescent="0.25">
      <c r="A2530" s="5" t="s">
        <v>6</v>
      </c>
      <c r="B2530" s="5" t="s">
        <v>6836</v>
      </c>
      <c r="C2530" s="1" t="s">
        <v>6837</v>
      </c>
      <c r="D2530" s="1" t="s">
        <v>6838</v>
      </c>
      <c r="E2530" s="7">
        <v>29</v>
      </c>
    </row>
    <row r="2531" spans="1:5" x14ac:dyDescent="0.25">
      <c r="A2531" s="5" t="s">
        <v>6</v>
      </c>
      <c r="B2531" s="5" t="s">
        <v>6839</v>
      </c>
      <c r="C2531" s="1" t="s">
        <v>6840</v>
      </c>
      <c r="D2531" s="1" t="s">
        <v>6841</v>
      </c>
      <c r="E2531" s="7">
        <v>51</v>
      </c>
    </row>
    <row r="2532" spans="1:5" x14ac:dyDescent="0.25">
      <c r="A2532" s="5" t="s">
        <v>6</v>
      </c>
      <c r="B2532" s="5" t="s">
        <v>6842</v>
      </c>
      <c r="C2532" s="1" t="s">
        <v>6843</v>
      </c>
      <c r="D2532" s="1" t="s">
        <v>6844</v>
      </c>
      <c r="E2532" s="7">
        <v>409</v>
      </c>
    </row>
    <row r="2533" spans="1:5" x14ac:dyDescent="0.25">
      <c r="A2533" s="5" t="s">
        <v>6</v>
      </c>
      <c r="B2533" s="5" t="s">
        <v>6845</v>
      </c>
      <c r="C2533" s="1" t="s">
        <v>6846</v>
      </c>
      <c r="D2533" s="1" t="s">
        <v>6847</v>
      </c>
      <c r="E2533" s="7">
        <v>33</v>
      </c>
    </row>
    <row r="2534" spans="1:5" x14ac:dyDescent="0.25">
      <c r="A2534" s="5" t="s">
        <v>6</v>
      </c>
      <c r="B2534" s="5" t="s">
        <v>6848</v>
      </c>
      <c r="C2534" s="1" t="s">
        <v>6849</v>
      </c>
      <c r="D2534" s="1" t="s">
        <v>6850</v>
      </c>
      <c r="E2534" s="7">
        <v>10</v>
      </c>
    </row>
    <row r="2535" spans="1:5" x14ac:dyDescent="0.25">
      <c r="A2535" s="5" t="s">
        <v>6</v>
      </c>
      <c r="B2535" s="5" t="s">
        <v>6851</v>
      </c>
      <c r="C2535" s="1" t="s">
        <v>6852</v>
      </c>
      <c r="D2535" s="1" t="s">
        <v>6853</v>
      </c>
      <c r="E2535" s="7">
        <v>33</v>
      </c>
    </row>
    <row r="2536" spans="1:5" x14ac:dyDescent="0.25">
      <c r="A2536" s="5" t="s">
        <v>6</v>
      </c>
      <c r="B2536" s="5" t="s">
        <v>6854</v>
      </c>
      <c r="C2536" s="1" t="s">
        <v>6855</v>
      </c>
      <c r="D2536" s="1" t="s">
        <v>6856</v>
      </c>
      <c r="E2536" s="7">
        <v>106</v>
      </c>
    </row>
    <row r="2537" spans="1:5" x14ac:dyDescent="0.25">
      <c r="A2537" s="5" t="s">
        <v>6</v>
      </c>
      <c r="B2537" s="5" t="s">
        <v>6857</v>
      </c>
      <c r="C2537" s="1" t="s">
        <v>6858</v>
      </c>
      <c r="D2537" s="1" t="s">
        <v>6859</v>
      </c>
      <c r="E2537" s="7">
        <v>112</v>
      </c>
    </row>
    <row r="2538" spans="1:5" x14ac:dyDescent="0.25">
      <c r="A2538" s="5" t="s">
        <v>6</v>
      </c>
      <c r="B2538" s="5" t="s">
        <v>6860</v>
      </c>
      <c r="C2538" s="1" t="s">
        <v>6861</v>
      </c>
      <c r="D2538" s="1" t="s">
        <v>6862</v>
      </c>
      <c r="E2538" s="7">
        <v>17</v>
      </c>
    </row>
    <row r="2539" spans="1:5" x14ac:dyDescent="0.25">
      <c r="A2539" s="5" t="s">
        <v>6</v>
      </c>
      <c r="B2539" s="5" t="s">
        <v>6863</v>
      </c>
      <c r="C2539" s="1" t="s">
        <v>6864</v>
      </c>
      <c r="D2539" s="1" t="s">
        <v>6865</v>
      </c>
      <c r="E2539" s="7">
        <v>148</v>
      </c>
    </row>
    <row r="2540" spans="1:5" x14ac:dyDescent="0.25">
      <c r="A2540" s="5" t="s">
        <v>6</v>
      </c>
      <c r="B2540" s="5" t="s">
        <v>6866</v>
      </c>
      <c r="C2540" s="1" t="s">
        <v>6867</v>
      </c>
      <c r="D2540" s="1" t="s">
        <v>6868</v>
      </c>
      <c r="E2540" s="7">
        <v>274</v>
      </c>
    </row>
    <row r="2541" spans="1:5" x14ac:dyDescent="0.25">
      <c r="A2541" s="5" t="s">
        <v>6</v>
      </c>
      <c r="B2541" s="5" t="s">
        <v>6869</v>
      </c>
      <c r="C2541" s="1" t="s">
        <v>6870</v>
      </c>
      <c r="D2541" s="1" t="s">
        <v>6871</v>
      </c>
      <c r="E2541" s="7">
        <v>3</v>
      </c>
    </row>
    <row r="2542" spans="1:5" x14ac:dyDescent="0.25">
      <c r="A2542" s="5" t="s">
        <v>6</v>
      </c>
      <c r="B2542" s="5" t="s">
        <v>6872</v>
      </c>
      <c r="C2542" s="1" t="s">
        <v>6873</v>
      </c>
      <c r="D2542" s="1" t="s">
        <v>6874</v>
      </c>
      <c r="E2542" s="7">
        <v>29</v>
      </c>
    </row>
    <row r="2543" spans="1:5" x14ac:dyDescent="0.25">
      <c r="A2543" s="5" t="s">
        <v>6</v>
      </c>
      <c r="B2543" s="5" t="s">
        <v>6875</v>
      </c>
      <c r="C2543" s="1" t="s">
        <v>6876</v>
      </c>
      <c r="D2543" s="1" t="s">
        <v>6877</v>
      </c>
      <c r="E2543" s="7">
        <v>40</v>
      </c>
    </row>
    <row r="2544" spans="1:5" x14ac:dyDescent="0.25">
      <c r="A2544" s="5" t="s">
        <v>6</v>
      </c>
      <c r="B2544" s="5" t="s">
        <v>6878</v>
      </c>
      <c r="C2544" s="1" t="s">
        <v>6879</v>
      </c>
      <c r="D2544" s="1" t="s">
        <v>6880</v>
      </c>
      <c r="E2544" s="7">
        <v>49</v>
      </c>
    </row>
    <row r="2545" spans="1:5" x14ac:dyDescent="0.25">
      <c r="A2545" s="5" t="s">
        <v>6</v>
      </c>
      <c r="B2545" s="5" t="s">
        <v>6881</v>
      </c>
      <c r="C2545" s="1" t="s">
        <v>6882</v>
      </c>
      <c r="D2545" s="1" t="s">
        <v>6883</v>
      </c>
      <c r="E2545" s="7">
        <v>31</v>
      </c>
    </row>
    <row r="2546" spans="1:5" x14ac:dyDescent="0.25">
      <c r="A2546" s="5" t="s">
        <v>6</v>
      </c>
      <c r="B2546" s="5" t="s">
        <v>6884</v>
      </c>
      <c r="C2546" s="1" t="s">
        <v>6885</v>
      </c>
      <c r="D2546" s="1" t="s">
        <v>6886</v>
      </c>
      <c r="E2546" s="7">
        <v>30</v>
      </c>
    </row>
    <row r="2547" spans="1:5" x14ac:dyDescent="0.25">
      <c r="A2547" s="5" t="s">
        <v>6</v>
      </c>
      <c r="B2547" s="5" t="s">
        <v>6887</v>
      </c>
      <c r="C2547" s="1" t="s">
        <v>6888</v>
      </c>
      <c r="D2547" s="1" t="s">
        <v>6889</v>
      </c>
      <c r="E2547" s="7">
        <v>29</v>
      </c>
    </row>
    <row r="2548" spans="1:5" x14ac:dyDescent="0.25">
      <c r="A2548" s="5" t="s">
        <v>6</v>
      </c>
      <c r="B2548" s="5" t="s">
        <v>6890</v>
      </c>
      <c r="C2548" s="1" t="s">
        <v>6891</v>
      </c>
      <c r="D2548" s="1" t="s">
        <v>6892</v>
      </c>
      <c r="E2548" s="7">
        <v>31</v>
      </c>
    </row>
    <row r="2549" spans="1:5" x14ac:dyDescent="0.25">
      <c r="A2549" s="5" t="s">
        <v>6</v>
      </c>
      <c r="B2549" s="5" t="s">
        <v>6893</v>
      </c>
      <c r="C2549" s="1" t="s">
        <v>6894</v>
      </c>
      <c r="D2549" s="1" t="s">
        <v>6895</v>
      </c>
      <c r="E2549" s="7">
        <v>38</v>
      </c>
    </row>
    <row r="2550" spans="1:5" x14ac:dyDescent="0.25">
      <c r="A2550" s="5" t="s">
        <v>6</v>
      </c>
      <c r="B2550" s="5" t="s">
        <v>6896</v>
      </c>
      <c r="C2550" s="1" t="s">
        <v>6897</v>
      </c>
      <c r="D2550" s="1" t="s">
        <v>6898</v>
      </c>
      <c r="E2550" s="7">
        <v>42</v>
      </c>
    </row>
    <row r="2551" spans="1:5" x14ac:dyDescent="0.25">
      <c r="A2551" s="5" t="s">
        <v>6</v>
      </c>
      <c r="B2551" s="5" t="s">
        <v>6899</v>
      </c>
      <c r="C2551" s="1" t="s">
        <v>6900</v>
      </c>
      <c r="D2551" s="1" t="s">
        <v>6901</v>
      </c>
      <c r="E2551" s="7">
        <v>42</v>
      </c>
    </row>
    <row r="2552" spans="1:5" x14ac:dyDescent="0.25">
      <c r="A2552" s="5" t="s">
        <v>6</v>
      </c>
      <c r="B2552" s="5" t="s">
        <v>6902</v>
      </c>
      <c r="C2552" s="1" t="s">
        <v>6903</v>
      </c>
      <c r="D2552" s="1" t="s">
        <v>6904</v>
      </c>
      <c r="E2552" s="7">
        <v>41</v>
      </c>
    </row>
    <row r="2553" spans="1:5" x14ac:dyDescent="0.25">
      <c r="A2553" s="5" t="s">
        <v>6</v>
      </c>
      <c r="B2553" s="5" t="s">
        <v>6905</v>
      </c>
      <c r="C2553" s="1" t="s">
        <v>6903</v>
      </c>
      <c r="D2553" s="1" t="s">
        <v>6904</v>
      </c>
      <c r="E2553" s="7">
        <v>41</v>
      </c>
    </row>
    <row r="2554" spans="1:5" x14ac:dyDescent="0.25">
      <c r="A2554" s="5" t="s">
        <v>6</v>
      </c>
      <c r="B2554" s="5" t="s">
        <v>6906</v>
      </c>
      <c r="C2554" s="1" t="s">
        <v>6907</v>
      </c>
      <c r="D2554" s="1" t="s">
        <v>6908</v>
      </c>
      <c r="E2554" s="7">
        <v>25</v>
      </c>
    </row>
    <row r="2555" spans="1:5" x14ac:dyDescent="0.25">
      <c r="A2555" s="5" t="s">
        <v>6</v>
      </c>
      <c r="B2555" s="5" t="s">
        <v>6909</v>
      </c>
      <c r="C2555" s="1" t="s">
        <v>6910</v>
      </c>
      <c r="D2555" s="1" t="s">
        <v>6911</v>
      </c>
      <c r="E2555" s="7">
        <v>53</v>
      </c>
    </row>
    <row r="2556" spans="1:5" x14ac:dyDescent="0.25">
      <c r="A2556" s="5" t="s">
        <v>6</v>
      </c>
      <c r="B2556" s="5" t="s">
        <v>6912</v>
      </c>
      <c r="C2556" s="1" t="s">
        <v>6913</v>
      </c>
      <c r="D2556" s="1" t="s">
        <v>6914</v>
      </c>
      <c r="E2556" s="7">
        <v>53</v>
      </c>
    </row>
    <row r="2557" spans="1:5" x14ac:dyDescent="0.25">
      <c r="A2557" s="5" t="s">
        <v>6</v>
      </c>
      <c r="B2557" s="5" t="s">
        <v>6915</v>
      </c>
      <c r="C2557" s="1" t="s">
        <v>6916</v>
      </c>
      <c r="D2557" s="1" t="s">
        <v>6917</v>
      </c>
      <c r="E2557" s="7">
        <v>28</v>
      </c>
    </row>
    <row r="2558" spans="1:5" x14ac:dyDescent="0.25">
      <c r="A2558" s="5" t="s">
        <v>6</v>
      </c>
      <c r="B2558" s="5" t="s">
        <v>6918</v>
      </c>
      <c r="C2558" s="1" t="s">
        <v>6919</v>
      </c>
      <c r="D2558" s="1" t="s">
        <v>6920</v>
      </c>
      <c r="E2558" s="7">
        <v>359</v>
      </c>
    </row>
    <row r="2559" spans="1:5" x14ac:dyDescent="0.25">
      <c r="A2559" s="5" t="s">
        <v>6</v>
      </c>
      <c r="B2559" s="5" t="s">
        <v>6921</v>
      </c>
      <c r="C2559" s="1" t="s">
        <v>6922</v>
      </c>
      <c r="D2559" s="1" t="s">
        <v>6923</v>
      </c>
      <c r="E2559" s="7">
        <v>30</v>
      </c>
    </row>
    <row r="2560" spans="1:5" x14ac:dyDescent="0.25">
      <c r="A2560" s="5" t="s">
        <v>6</v>
      </c>
      <c r="B2560" s="5" t="s">
        <v>6924</v>
      </c>
      <c r="C2560" s="1" t="s">
        <v>6925</v>
      </c>
      <c r="D2560" s="1" t="s">
        <v>6926</v>
      </c>
      <c r="E2560" s="7">
        <v>2</v>
      </c>
    </row>
    <row r="2561" spans="1:5" x14ac:dyDescent="0.25">
      <c r="A2561" s="5" t="s">
        <v>6</v>
      </c>
      <c r="B2561" s="5" t="s">
        <v>6927</v>
      </c>
      <c r="C2561" s="1" t="s">
        <v>6928</v>
      </c>
      <c r="D2561" s="1" t="s">
        <v>6929</v>
      </c>
      <c r="E2561" s="7">
        <v>5</v>
      </c>
    </row>
    <row r="2562" spans="1:5" x14ac:dyDescent="0.25">
      <c r="A2562" s="5" t="s">
        <v>6</v>
      </c>
      <c r="B2562" s="5" t="s">
        <v>6930</v>
      </c>
      <c r="C2562" s="1" t="s">
        <v>6931</v>
      </c>
      <c r="D2562" s="1" t="s">
        <v>6932</v>
      </c>
      <c r="E2562" s="7">
        <v>25</v>
      </c>
    </row>
    <row r="2563" spans="1:5" x14ac:dyDescent="0.25">
      <c r="A2563" s="5" t="s">
        <v>6</v>
      </c>
      <c r="B2563" s="5" t="s">
        <v>6933</v>
      </c>
      <c r="C2563" s="1" t="s">
        <v>6934</v>
      </c>
      <c r="D2563" s="1" t="s">
        <v>6935</v>
      </c>
      <c r="E2563" s="7">
        <v>31</v>
      </c>
    </row>
    <row r="2564" spans="1:5" x14ac:dyDescent="0.25">
      <c r="A2564" s="5" t="s">
        <v>6</v>
      </c>
      <c r="B2564" s="5" t="s">
        <v>6936</v>
      </c>
      <c r="C2564" s="1" t="s">
        <v>6937</v>
      </c>
      <c r="D2564" s="1" t="s">
        <v>6938</v>
      </c>
      <c r="E2564" s="7">
        <v>28</v>
      </c>
    </row>
    <row r="2565" spans="1:5" x14ac:dyDescent="0.25">
      <c r="A2565" s="5" t="s">
        <v>6</v>
      </c>
      <c r="B2565" s="5" t="s">
        <v>6939</v>
      </c>
      <c r="C2565" s="1" t="s">
        <v>6940</v>
      </c>
      <c r="D2565" s="1" t="s">
        <v>6941</v>
      </c>
      <c r="E2565" s="7">
        <v>42</v>
      </c>
    </row>
    <row r="2566" spans="1:5" x14ac:dyDescent="0.25">
      <c r="A2566" s="5" t="s">
        <v>6</v>
      </c>
      <c r="B2566" s="5" t="s">
        <v>6942</v>
      </c>
      <c r="C2566" s="1" t="s">
        <v>6943</v>
      </c>
      <c r="D2566" s="1" t="s">
        <v>6944</v>
      </c>
      <c r="E2566" s="7">
        <v>44</v>
      </c>
    </row>
    <row r="2567" spans="1:5" x14ac:dyDescent="0.25">
      <c r="A2567" s="5" t="s">
        <v>6</v>
      </c>
      <c r="B2567" s="5" t="s">
        <v>6945</v>
      </c>
      <c r="C2567" s="1" t="s">
        <v>6946</v>
      </c>
      <c r="D2567" s="1" t="s">
        <v>6947</v>
      </c>
      <c r="E2567" s="7">
        <v>31</v>
      </c>
    </row>
    <row r="2568" spans="1:5" x14ac:dyDescent="0.25">
      <c r="A2568" s="5" t="s">
        <v>6</v>
      </c>
      <c r="B2568" s="5" t="s">
        <v>6948</v>
      </c>
      <c r="C2568" s="1" t="s">
        <v>6949</v>
      </c>
      <c r="D2568" s="1" t="s">
        <v>6950</v>
      </c>
      <c r="E2568" s="7">
        <v>42</v>
      </c>
    </row>
    <row r="2569" spans="1:5" x14ac:dyDescent="0.25">
      <c r="A2569" s="5" t="s">
        <v>6</v>
      </c>
      <c r="B2569" s="5" t="s">
        <v>6951</v>
      </c>
      <c r="C2569" s="1" t="s">
        <v>6952</v>
      </c>
      <c r="D2569" s="1" t="s">
        <v>6953</v>
      </c>
      <c r="E2569" s="7">
        <v>5</v>
      </c>
    </row>
    <row r="2570" spans="1:5" x14ac:dyDescent="0.25">
      <c r="A2570" s="5" t="s">
        <v>6</v>
      </c>
      <c r="B2570" s="5" t="s">
        <v>6954</v>
      </c>
      <c r="C2570" s="1" t="s">
        <v>6955</v>
      </c>
      <c r="D2570" s="1" t="s">
        <v>6956</v>
      </c>
      <c r="E2570" s="7">
        <v>25</v>
      </c>
    </row>
    <row r="2571" spans="1:5" x14ac:dyDescent="0.25">
      <c r="A2571" s="5" t="s">
        <v>6</v>
      </c>
      <c r="B2571" s="5" t="s">
        <v>6957</v>
      </c>
      <c r="C2571" s="1" t="s">
        <v>6958</v>
      </c>
      <c r="D2571" s="1" t="s">
        <v>6959</v>
      </c>
      <c r="E2571" s="7">
        <v>15</v>
      </c>
    </row>
    <row r="2572" spans="1:5" x14ac:dyDescent="0.25">
      <c r="A2572" s="5" t="s">
        <v>6</v>
      </c>
      <c r="B2572" s="5" t="s">
        <v>6960</v>
      </c>
      <c r="C2572" s="1" t="s">
        <v>6961</v>
      </c>
      <c r="D2572" s="1" t="s">
        <v>6962</v>
      </c>
      <c r="E2572" s="7">
        <v>3</v>
      </c>
    </row>
    <row r="2573" spans="1:5" x14ac:dyDescent="0.25">
      <c r="A2573" s="5" t="s">
        <v>6</v>
      </c>
      <c r="B2573" s="5" t="s">
        <v>6963</v>
      </c>
      <c r="C2573" s="1" t="s">
        <v>6964</v>
      </c>
      <c r="D2573" s="1" t="s">
        <v>6965</v>
      </c>
      <c r="E2573" s="7">
        <v>15</v>
      </c>
    </row>
    <row r="2574" spans="1:5" x14ac:dyDescent="0.25">
      <c r="A2574" s="5" t="s">
        <v>6</v>
      </c>
      <c r="B2574" s="5" t="s">
        <v>6966</v>
      </c>
      <c r="C2574" s="1" t="s">
        <v>6967</v>
      </c>
      <c r="D2574" s="1" t="s">
        <v>6968</v>
      </c>
      <c r="E2574" s="7">
        <v>29</v>
      </c>
    </row>
    <row r="2575" spans="1:5" x14ac:dyDescent="0.25">
      <c r="A2575" s="5" t="s">
        <v>6</v>
      </c>
      <c r="B2575" s="5" t="s">
        <v>6969</v>
      </c>
      <c r="C2575" s="1" t="s">
        <v>6967</v>
      </c>
      <c r="D2575" s="1" t="s">
        <v>6970</v>
      </c>
      <c r="E2575" s="7">
        <v>26</v>
      </c>
    </row>
    <row r="2576" spans="1:5" x14ac:dyDescent="0.25">
      <c r="A2576" s="5" t="s">
        <v>6</v>
      </c>
      <c r="B2576" s="5" t="s">
        <v>6971</v>
      </c>
      <c r="C2576" s="1" t="s">
        <v>6972</v>
      </c>
      <c r="D2576" s="1" t="s">
        <v>6973</v>
      </c>
      <c r="E2576" s="7">
        <v>31</v>
      </c>
    </row>
    <row r="2577" spans="1:5" x14ac:dyDescent="0.25">
      <c r="A2577" s="5" t="s">
        <v>6</v>
      </c>
      <c r="B2577" s="5" t="s">
        <v>6974</v>
      </c>
      <c r="C2577" s="1" t="s">
        <v>6975</v>
      </c>
      <c r="D2577" s="1" t="s">
        <v>6976</v>
      </c>
      <c r="E2577" s="7">
        <v>31</v>
      </c>
    </row>
    <row r="2578" spans="1:5" x14ac:dyDescent="0.25">
      <c r="A2578" s="5" t="s">
        <v>6</v>
      </c>
      <c r="B2578" s="5" t="s">
        <v>6977</v>
      </c>
      <c r="C2578" s="1" t="s">
        <v>6978</v>
      </c>
      <c r="D2578" s="1" t="s">
        <v>6979</v>
      </c>
      <c r="E2578" s="7">
        <v>33</v>
      </c>
    </row>
    <row r="2579" spans="1:5" x14ac:dyDescent="0.25">
      <c r="A2579" s="5" t="s">
        <v>6</v>
      </c>
      <c r="B2579" s="5" t="s">
        <v>6980</v>
      </c>
      <c r="C2579" s="1" t="s">
        <v>6981</v>
      </c>
      <c r="D2579" s="1" t="s">
        <v>6982</v>
      </c>
      <c r="E2579" s="7">
        <v>5</v>
      </c>
    </row>
    <row r="2580" spans="1:5" x14ac:dyDescent="0.25">
      <c r="A2580" s="5" t="s">
        <v>6</v>
      </c>
      <c r="B2580" s="5" t="s">
        <v>6983</v>
      </c>
      <c r="C2580" s="1" t="s">
        <v>6984</v>
      </c>
      <c r="D2580" s="1" t="s">
        <v>6985</v>
      </c>
      <c r="E2580" s="7">
        <v>23</v>
      </c>
    </row>
    <row r="2581" spans="1:5" x14ac:dyDescent="0.25">
      <c r="A2581" s="5" t="s">
        <v>6</v>
      </c>
      <c r="B2581" s="5" t="s">
        <v>6986</v>
      </c>
      <c r="C2581" s="1" t="s">
        <v>6987</v>
      </c>
      <c r="D2581" s="1" t="s">
        <v>6988</v>
      </c>
      <c r="E2581" s="7">
        <v>29</v>
      </c>
    </row>
    <row r="2582" spans="1:5" x14ac:dyDescent="0.25">
      <c r="A2582" s="5" t="s">
        <v>6</v>
      </c>
      <c r="B2582" s="5" t="s">
        <v>6989</v>
      </c>
      <c r="C2582" s="1" t="s">
        <v>6990</v>
      </c>
      <c r="D2582" s="1" t="s">
        <v>6991</v>
      </c>
      <c r="E2582" s="7">
        <v>33</v>
      </c>
    </row>
    <row r="2583" spans="1:5" x14ac:dyDescent="0.25">
      <c r="A2583" s="5" t="s">
        <v>6</v>
      </c>
      <c r="B2583" s="5" t="s">
        <v>6992</v>
      </c>
      <c r="C2583" s="1" t="s">
        <v>6993</v>
      </c>
      <c r="D2583" s="1" t="s">
        <v>6994</v>
      </c>
      <c r="E2583" s="7">
        <v>23</v>
      </c>
    </row>
    <row r="2584" spans="1:5" x14ac:dyDescent="0.25">
      <c r="A2584" s="5" t="s">
        <v>6</v>
      </c>
      <c r="B2584" s="5" t="s">
        <v>6995</v>
      </c>
      <c r="C2584" s="1" t="s">
        <v>6996</v>
      </c>
      <c r="D2584" s="1" t="s">
        <v>6997</v>
      </c>
      <c r="E2584" s="7">
        <v>19</v>
      </c>
    </row>
    <row r="2585" spans="1:5" x14ac:dyDescent="0.25">
      <c r="A2585" s="5" t="s">
        <v>6</v>
      </c>
      <c r="B2585" s="5" t="s">
        <v>6998</v>
      </c>
      <c r="C2585" s="1" t="s">
        <v>6999</v>
      </c>
      <c r="D2585" s="1" t="s">
        <v>7000</v>
      </c>
      <c r="E2585" s="7">
        <v>19</v>
      </c>
    </row>
    <row r="2586" spans="1:5" x14ac:dyDescent="0.25">
      <c r="A2586" s="5" t="s">
        <v>6</v>
      </c>
      <c r="B2586" s="5" t="s">
        <v>7001</v>
      </c>
      <c r="C2586" s="1" t="s">
        <v>7002</v>
      </c>
      <c r="D2586" s="1" t="s">
        <v>7003</v>
      </c>
      <c r="E2586" s="7">
        <v>19</v>
      </c>
    </row>
    <row r="2587" spans="1:5" x14ac:dyDescent="0.25">
      <c r="A2587" s="5" t="s">
        <v>6</v>
      </c>
      <c r="B2587" s="5" t="s">
        <v>7004</v>
      </c>
      <c r="C2587" s="1" t="s">
        <v>7005</v>
      </c>
      <c r="D2587" s="1" t="s">
        <v>7006</v>
      </c>
      <c r="E2587" s="7">
        <v>31</v>
      </c>
    </row>
    <row r="2588" spans="1:5" x14ac:dyDescent="0.25">
      <c r="A2588" s="5" t="s">
        <v>6</v>
      </c>
      <c r="B2588" s="5" t="s">
        <v>7007</v>
      </c>
      <c r="C2588" s="1" t="s">
        <v>7008</v>
      </c>
      <c r="D2588" s="1" t="s">
        <v>7009</v>
      </c>
      <c r="E2588" s="7">
        <v>31</v>
      </c>
    </row>
    <row r="2589" spans="1:5" x14ac:dyDescent="0.25">
      <c r="A2589" s="5" t="s">
        <v>6</v>
      </c>
      <c r="B2589" s="5" t="s">
        <v>7010</v>
      </c>
      <c r="C2589" s="1" t="s">
        <v>7011</v>
      </c>
      <c r="D2589" s="1" t="s">
        <v>7012</v>
      </c>
      <c r="E2589" s="7">
        <v>31</v>
      </c>
    </row>
    <row r="2590" spans="1:5" x14ac:dyDescent="0.25">
      <c r="A2590" s="5" t="s">
        <v>6</v>
      </c>
      <c r="B2590" s="5" t="s">
        <v>7013</v>
      </c>
      <c r="C2590" s="1" t="s">
        <v>7014</v>
      </c>
      <c r="D2590" s="1" t="s">
        <v>7015</v>
      </c>
      <c r="E2590" s="7">
        <v>25</v>
      </c>
    </row>
    <row r="2591" spans="1:5" x14ac:dyDescent="0.25">
      <c r="A2591" s="5" t="s">
        <v>6</v>
      </c>
      <c r="B2591" s="5" t="s">
        <v>7016</v>
      </c>
      <c r="C2591" s="1" t="s">
        <v>7017</v>
      </c>
      <c r="D2591" s="1" t="s">
        <v>7018</v>
      </c>
      <c r="E2591" s="7">
        <v>25</v>
      </c>
    </row>
    <row r="2592" spans="1:5" x14ac:dyDescent="0.25">
      <c r="A2592" s="5" t="s">
        <v>6</v>
      </c>
      <c r="B2592" s="5" t="s">
        <v>7019</v>
      </c>
      <c r="C2592" s="1" t="s">
        <v>7020</v>
      </c>
      <c r="D2592" s="1" t="s">
        <v>7021</v>
      </c>
      <c r="E2592" s="7">
        <v>3</v>
      </c>
    </row>
    <row r="2593" spans="1:5" x14ac:dyDescent="0.25">
      <c r="A2593" s="5" t="s">
        <v>6</v>
      </c>
      <c r="B2593" s="5" t="s">
        <v>7022</v>
      </c>
      <c r="C2593" s="1" t="s">
        <v>7023</v>
      </c>
      <c r="D2593" s="1" t="s">
        <v>7024</v>
      </c>
      <c r="E2593" s="7">
        <v>19</v>
      </c>
    </row>
    <row r="2594" spans="1:5" x14ac:dyDescent="0.25">
      <c r="A2594" s="5" t="s">
        <v>6</v>
      </c>
      <c r="B2594" s="5" t="s">
        <v>7025</v>
      </c>
      <c r="C2594" s="1" t="s">
        <v>7026</v>
      </c>
      <c r="D2594" s="1" t="s">
        <v>7027</v>
      </c>
      <c r="E2594" s="7">
        <v>29</v>
      </c>
    </row>
    <row r="2595" spans="1:5" x14ac:dyDescent="0.25">
      <c r="A2595" s="5" t="s">
        <v>6</v>
      </c>
      <c r="B2595" s="5" t="s">
        <v>7028</v>
      </c>
      <c r="C2595" s="1" t="s">
        <v>7029</v>
      </c>
      <c r="D2595" s="1" t="s">
        <v>7030</v>
      </c>
      <c r="E2595" s="7">
        <v>31</v>
      </c>
    </row>
    <row r="2596" spans="1:5" x14ac:dyDescent="0.25">
      <c r="A2596" s="5" t="s">
        <v>6</v>
      </c>
      <c r="B2596" s="5" t="s">
        <v>7031</v>
      </c>
      <c r="C2596" s="1" t="s">
        <v>7032</v>
      </c>
      <c r="D2596" s="1" t="s">
        <v>7033</v>
      </c>
      <c r="E2596" s="7">
        <v>29</v>
      </c>
    </row>
    <row r="2597" spans="1:5" x14ac:dyDescent="0.25">
      <c r="A2597" s="5" t="s">
        <v>6</v>
      </c>
      <c r="B2597" s="5" t="s">
        <v>7034</v>
      </c>
      <c r="C2597" s="1" t="s">
        <v>7035</v>
      </c>
      <c r="D2597" s="1" t="s">
        <v>7036</v>
      </c>
      <c r="E2597" s="7">
        <v>31</v>
      </c>
    </row>
    <row r="2598" spans="1:5" x14ac:dyDescent="0.25">
      <c r="A2598" s="5" t="s">
        <v>6</v>
      </c>
      <c r="B2598" s="5" t="s">
        <v>7037</v>
      </c>
      <c r="C2598" s="1" t="s">
        <v>7038</v>
      </c>
      <c r="D2598" s="1" t="s">
        <v>7039</v>
      </c>
      <c r="E2598" s="7">
        <v>5</v>
      </c>
    </row>
    <row r="2599" spans="1:5" x14ac:dyDescent="0.25">
      <c r="A2599" s="5" t="s">
        <v>6</v>
      </c>
      <c r="B2599" s="5" t="s">
        <v>7040</v>
      </c>
      <c r="C2599" s="1" t="s">
        <v>7041</v>
      </c>
      <c r="D2599" s="1" t="s">
        <v>7042</v>
      </c>
      <c r="E2599" s="7">
        <v>19</v>
      </c>
    </row>
    <row r="2600" spans="1:5" x14ac:dyDescent="0.25">
      <c r="A2600" s="5" t="s">
        <v>6</v>
      </c>
      <c r="B2600" s="5" t="s">
        <v>7043</v>
      </c>
      <c r="C2600" s="1" t="s">
        <v>7044</v>
      </c>
      <c r="D2600" s="1" t="s">
        <v>7045</v>
      </c>
      <c r="E2600" s="7">
        <v>3</v>
      </c>
    </row>
    <row r="2601" spans="1:5" x14ac:dyDescent="0.25">
      <c r="A2601" s="5" t="s">
        <v>6</v>
      </c>
      <c r="B2601" s="5" t="s">
        <v>7046</v>
      </c>
      <c r="C2601" s="1" t="s">
        <v>7047</v>
      </c>
      <c r="D2601" s="1" t="s">
        <v>7048</v>
      </c>
      <c r="E2601" s="7">
        <v>19</v>
      </c>
    </row>
    <row r="2602" spans="1:5" x14ac:dyDescent="0.25">
      <c r="A2602" s="5" t="s">
        <v>6</v>
      </c>
      <c r="B2602" s="5" t="s">
        <v>7049</v>
      </c>
      <c r="C2602" s="1" t="s">
        <v>7050</v>
      </c>
      <c r="D2602" s="1" t="s">
        <v>7051</v>
      </c>
      <c r="E2602" s="7">
        <v>23</v>
      </c>
    </row>
    <row r="2603" spans="1:5" x14ac:dyDescent="0.25">
      <c r="A2603" s="5" t="s">
        <v>6</v>
      </c>
      <c r="B2603" s="5" t="s">
        <v>7052</v>
      </c>
      <c r="C2603" s="1" t="s">
        <v>7053</v>
      </c>
      <c r="D2603" s="1" t="s">
        <v>7054</v>
      </c>
      <c r="E2603" s="7">
        <v>29</v>
      </c>
    </row>
    <row r="2604" spans="1:5" x14ac:dyDescent="0.25">
      <c r="A2604" s="5" t="s">
        <v>6</v>
      </c>
      <c r="B2604" s="5" t="s">
        <v>7055</v>
      </c>
      <c r="C2604" s="1" t="s">
        <v>7056</v>
      </c>
      <c r="D2604" s="1" t="s">
        <v>7056</v>
      </c>
      <c r="E2604" s="7">
        <v>5</v>
      </c>
    </row>
    <row r="2605" spans="1:5" x14ac:dyDescent="0.25">
      <c r="A2605" s="5" t="s">
        <v>6</v>
      </c>
      <c r="B2605" s="5" t="s">
        <v>7057</v>
      </c>
      <c r="C2605" s="1" t="s">
        <v>7058</v>
      </c>
      <c r="D2605" s="1" t="s">
        <v>7058</v>
      </c>
      <c r="E2605" s="7">
        <v>19</v>
      </c>
    </row>
    <row r="2606" spans="1:5" x14ac:dyDescent="0.25">
      <c r="A2606" s="5" t="s">
        <v>6</v>
      </c>
      <c r="B2606" s="5" t="s">
        <v>7059</v>
      </c>
      <c r="C2606" s="1" t="s">
        <v>7060</v>
      </c>
      <c r="D2606" s="1" t="s">
        <v>7060</v>
      </c>
      <c r="E2606" s="7">
        <v>23</v>
      </c>
    </row>
    <row r="2607" spans="1:5" x14ac:dyDescent="0.25">
      <c r="A2607" s="5" t="s">
        <v>6</v>
      </c>
      <c r="B2607" s="5" t="s">
        <v>7061</v>
      </c>
      <c r="C2607" s="1" t="s">
        <v>7062</v>
      </c>
      <c r="D2607" s="1" t="s">
        <v>7063</v>
      </c>
      <c r="E2607" s="7">
        <v>5</v>
      </c>
    </row>
    <row r="2608" spans="1:5" x14ac:dyDescent="0.25">
      <c r="A2608" s="5" t="s">
        <v>6</v>
      </c>
      <c r="B2608" s="5" t="s">
        <v>7064</v>
      </c>
      <c r="C2608" s="1" t="s">
        <v>7065</v>
      </c>
      <c r="D2608" s="1" t="s">
        <v>7066</v>
      </c>
      <c r="E2608" s="7">
        <v>19</v>
      </c>
    </row>
    <row r="2609" spans="1:5" x14ac:dyDescent="0.25">
      <c r="A2609" s="5" t="s">
        <v>6</v>
      </c>
      <c r="B2609" s="5" t="s">
        <v>7067</v>
      </c>
      <c r="C2609" s="1" t="s">
        <v>7068</v>
      </c>
      <c r="D2609" s="1" t="s">
        <v>7069</v>
      </c>
      <c r="E2609" s="7">
        <v>19</v>
      </c>
    </row>
    <row r="2610" spans="1:5" x14ac:dyDescent="0.25">
      <c r="A2610" s="5" t="s">
        <v>6</v>
      </c>
      <c r="B2610" s="5" t="s">
        <v>7070</v>
      </c>
      <c r="C2610" s="1" t="s">
        <v>7071</v>
      </c>
      <c r="D2610" s="1" t="s">
        <v>7072</v>
      </c>
      <c r="E2610" s="7">
        <v>29</v>
      </c>
    </row>
    <row r="2611" spans="1:5" x14ac:dyDescent="0.25">
      <c r="A2611" s="5" t="s">
        <v>6</v>
      </c>
      <c r="B2611" s="5" t="s">
        <v>7073</v>
      </c>
      <c r="C2611" s="1" t="s">
        <v>7074</v>
      </c>
      <c r="D2611" s="1" t="s">
        <v>7075</v>
      </c>
      <c r="E2611" s="7">
        <v>11</v>
      </c>
    </row>
    <row r="2612" spans="1:5" x14ac:dyDescent="0.25">
      <c r="A2612" s="5" t="s">
        <v>6</v>
      </c>
      <c r="B2612" s="5" t="s">
        <v>7076</v>
      </c>
      <c r="C2612" s="1" t="s">
        <v>7077</v>
      </c>
      <c r="D2612" s="1" t="s">
        <v>7078</v>
      </c>
      <c r="E2612" s="7">
        <v>44</v>
      </c>
    </row>
    <row r="2613" spans="1:5" x14ac:dyDescent="0.25">
      <c r="A2613" s="5" t="s">
        <v>6</v>
      </c>
      <c r="B2613" s="5" t="s">
        <v>7079</v>
      </c>
      <c r="C2613" s="1" t="s">
        <v>7080</v>
      </c>
      <c r="D2613" s="1" t="s">
        <v>7081</v>
      </c>
      <c r="E2613" s="7">
        <v>19</v>
      </c>
    </row>
    <row r="2614" spans="1:5" x14ac:dyDescent="0.25">
      <c r="A2614" s="5" t="s">
        <v>6</v>
      </c>
      <c r="B2614" s="5" t="s">
        <v>7082</v>
      </c>
      <c r="C2614" s="1" t="s">
        <v>7083</v>
      </c>
      <c r="D2614" s="1" t="s">
        <v>7084</v>
      </c>
      <c r="E2614" s="7">
        <v>29</v>
      </c>
    </row>
    <row r="2615" spans="1:5" x14ac:dyDescent="0.25">
      <c r="A2615" s="5" t="s">
        <v>6</v>
      </c>
      <c r="B2615" s="5" t="s">
        <v>7085</v>
      </c>
      <c r="C2615" s="1" t="s">
        <v>7086</v>
      </c>
      <c r="D2615" s="1" t="s">
        <v>7087</v>
      </c>
      <c r="E2615" s="7">
        <v>29</v>
      </c>
    </row>
    <row r="2616" spans="1:5" x14ac:dyDescent="0.25">
      <c r="A2616" s="5" t="s">
        <v>6</v>
      </c>
      <c r="B2616" s="5" t="s">
        <v>7088</v>
      </c>
      <c r="C2616" s="1" t="s">
        <v>7089</v>
      </c>
      <c r="D2616" s="1" t="s">
        <v>7090</v>
      </c>
      <c r="E2616" s="7">
        <v>5</v>
      </c>
    </row>
    <row r="2617" spans="1:5" x14ac:dyDescent="0.25">
      <c r="A2617" s="5" t="s">
        <v>6</v>
      </c>
      <c r="B2617" s="5" t="s">
        <v>7091</v>
      </c>
      <c r="C2617" s="1" t="s">
        <v>7092</v>
      </c>
      <c r="D2617" s="1" t="s">
        <v>7093</v>
      </c>
      <c r="E2617" s="7">
        <v>31</v>
      </c>
    </row>
    <row r="2618" spans="1:5" x14ac:dyDescent="0.25">
      <c r="A2618" s="5" t="s">
        <v>6</v>
      </c>
      <c r="B2618" s="5" t="s">
        <v>7094</v>
      </c>
      <c r="C2618" s="1" t="s">
        <v>7095</v>
      </c>
      <c r="D2618" s="1" t="s">
        <v>7096</v>
      </c>
      <c r="E2618" s="7">
        <v>31</v>
      </c>
    </row>
    <row r="2619" spans="1:5" x14ac:dyDescent="0.25">
      <c r="A2619" s="5" t="s">
        <v>6</v>
      </c>
      <c r="B2619" s="5" t="s">
        <v>7097</v>
      </c>
      <c r="C2619" s="1" t="s">
        <v>7098</v>
      </c>
      <c r="D2619" s="1" t="s">
        <v>7099</v>
      </c>
      <c r="E2619" s="7">
        <v>16</v>
      </c>
    </row>
    <row r="2620" spans="1:5" x14ac:dyDescent="0.25">
      <c r="A2620" s="5" t="s">
        <v>6</v>
      </c>
      <c r="B2620" s="5" t="s">
        <v>7100</v>
      </c>
      <c r="C2620" s="1" t="s">
        <v>7101</v>
      </c>
      <c r="D2620" s="1" t="s">
        <v>7102</v>
      </c>
      <c r="E2620" s="7">
        <v>72</v>
      </c>
    </row>
    <row r="2621" spans="1:5" x14ac:dyDescent="0.25">
      <c r="A2621" s="5" t="s">
        <v>6</v>
      </c>
      <c r="B2621" s="5" t="s">
        <v>7103</v>
      </c>
      <c r="C2621" s="1" t="s">
        <v>7104</v>
      </c>
      <c r="D2621" s="1" t="s">
        <v>7105</v>
      </c>
      <c r="E2621" s="7">
        <v>19</v>
      </c>
    </row>
    <row r="2622" spans="1:5" x14ac:dyDescent="0.25">
      <c r="A2622" s="5" t="s">
        <v>6</v>
      </c>
      <c r="B2622" s="5" t="s">
        <v>7106</v>
      </c>
      <c r="C2622" s="1" t="s">
        <v>7107</v>
      </c>
      <c r="D2622" s="1" t="s">
        <v>7108</v>
      </c>
      <c r="E2622" s="7">
        <v>19</v>
      </c>
    </row>
    <row r="2623" spans="1:5" x14ac:dyDescent="0.25">
      <c r="A2623" s="5" t="s">
        <v>6</v>
      </c>
      <c r="B2623" s="5" t="s">
        <v>7109</v>
      </c>
      <c r="C2623" s="1" t="s">
        <v>7110</v>
      </c>
      <c r="D2623" s="1" t="s">
        <v>7111</v>
      </c>
      <c r="E2623" s="7">
        <v>26</v>
      </c>
    </row>
    <row r="2624" spans="1:5" x14ac:dyDescent="0.25">
      <c r="A2624" s="5" t="s">
        <v>6</v>
      </c>
      <c r="B2624" s="5" t="s">
        <v>7112</v>
      </c>
      <c r="C2624" s="1" t="s">
        <v>7113</v>
      </c>
      <c r="D2624" s="1" t="s">
        <v>7114</v>
      </c>
      <c r="E2624" s="7">
        <v>30</v>
      </c>
    </row>
    <row r="2625" spans="1:5" x14ac:dyDescent="0.25">
      <c r="A2625" s="5" t="s">
        <v>6</v>
      </c>
      <c r="B2625" s="5" t="s">
        <v>7115</v>
      </c>
      <c r="C2625" s="1" t="s">
        <v>7116</v>
      </c>
      <c r="D2625" s="1" t="s">
        <v>7117</v>
      </c>
      <c r="E2625" s="7">
        <v>23</v>
      </c>
    </row>
    <row r="2626" spans="1:5" x14ac:dyDescent="0.25">
      <c r="A2626" s="5" t="s">
        <v>6</v>
      </c>
      <c r="B2626" s="5" t="s">
        <v>7118</v>
      </c>
      <c r="C2626" s="1" t="s">
        <v>7119</v>
      </c>
      <c r="D2626" s="1" t="s">
        <v>7120</v>
      </c>
      <c r="E2626" s="7">
        <v>29</v>
      </c>
    </row>
    <row r="2627" spans="1:5" x14ac:dyDescent="0.25">
      <c r="A2627" s="5" t="s">
        <v>6</v>
      </c>
      <c r="B2627" s="5" t="s">
        <v>7121</v>
      </c>
      <c r="C2627" s="1" t="s">
        <v>7122</v>
      </c>
      <c r="D2627" s="1" t="s">
        <v>7123</v>
      </c>
      <c r="E2627" s="7">
        <v>30</v>
      </c>
    </row>
    <row r="2628" spans="1:5" x14ac:dyDescent="0.25">
      <c r="A2628" s="5" t="s">
        <v>6</v>
      </c>
      <c r="B2628" s="5" t="s">
        <v>7124</v>
      </c>
      <c r="C2628" s="1" t="s">
        <v>7125</v>
      </c>
      <c r="D2628" s="1" t="s">
        <v>7126</v>
      </c>
      <c r="E2628" s="7">
        <v>30</v>
      </c>
    </row>
    <row r="2629" spans="1:5" x14ac:dyDescent="0.25">
      <c r="A2629" s="5" t="s">
        <v>6</v>
      </c>
      <c r="B2629" s="5" t="s">
        <v>7127</v>
      </c>
      <c r="C2629" s="1" t="s">
        <v>7128</v>
      </c>
      <c r="D2629" s="1" t="s">
        <v>7129</v>
      </c>
      <c r="E2629" s="7">
        <v>29</v>
      </c>
    </row>
    <row r="2630" spans="1:5" x14ac:dyDescent="0.25">
      <c r="A2630" s="5" t="s">
        <v>6</v>
      </c>
      <c r="B2630" s="5" t="s">
        <v>7130</v>
      </c>
      <c r="C2630" s="1" t="s">
        <v>7131</v>
      </c>
      <c r="D2630" s="1" t="s">
        <v>7132</v>
      </c>
      <c r="E2630" s="7">
        <v>29</v>
      </c>
    </row>
    <row r="2631" spans="1:5" x14ac:dyDescent="0.25">
      <c r="A2631" s="5" t="s">
        <v>6</v>
      </c>
      <c r="B2631" s="5" t="s">
        <v>7133</v>
      </c>
      <c r="C2631" s="1" t="s">
        <v>7134</v>
      </c>
      <c r="D2631" s="1" t="s">
        <v>7135</v>
      </c>
      <c r="E2631" s="7">
        <v>31</v>
      </c>
    </row>
    <row r="2632" spans="1:5" x14ac:dyDescent="0.25">
      <c r="A2632" s="5" t="s">
        <v>6</v>
      </c>
      <c r="B2632" s="5" t="s">
        <v>7136</v>
      </c>
      <c r="C2632" s="1" t="s">
        <v>7137</v>
      </c>
      <c r="D2632" s="1" t="s">
        <v>7138</v>
      </c>
      <c r="E2632" s="7">
        <v>28</v>
      </c>
    </row>
    <row r="2633" spans="1:5" x14ac:dyDescent="0.25">
      <c r="A2633" s="5" t="s">
        <v>6</v>
      </c>
      <c r="B2633" s="5" t="s">
        <v>7139</v>
      </c>
      <c r="C2633" s="1" t="s">
        <v>7140</v>
      </c>
      <c r="D2633" s="1" t="s">
        <v>7141</v>
      </c>
      <c r="E2633" s="7">
        <v>23</v>
      </c>
    </row>
    <row r="2634" spans="1:5" x14ac:dyDescent="0.25">
      <c r="A2634" s="5" t="s">
        <v>6</v>
      </c>
      <c r="B2634" s="5" t="s">
        <v>7142</v>
      </c>
      <c r="C2634" s="1" t="s">
        <v>7143</v>
      </c>
      <c r="D2634" s="1" t="s">
        <v>7144</v>
      </c>
      <c r="E2634" s="7">
        <v>14</v>
      </c>
    </row>
    <row r="2635" spans="1:5" x14ac:dyDescent="0.25">
      <c r="A2635" s="5" t="s">
        <v>6</v>
      </c>
      <c r="B2635" s="5" t="s">
        <v>7145</v>
      </c>
      <c r="C2635" s="1" t="s">
        <v>7146</v>
      </c>
      <c r="D2635" s="1" t="s">
        <v>7147</v>
      </c>
      <c r="E2635" s="7">
        <v>23</v>
      </c>
    </row>
    <row r="2636" spans="1:5" x14ac:dyDescent="0.25">
      <c r="A2636" s="5" t="s">
        <v>6</v>
      </c>
      <c r="B2636" s="5" t="s">
        <v>7148</v>
      </c>
      <c r="C2636" s="1" t="s">
        <v>7149</v>
      </c>
      <c r="D2636" s="1" t="s">
        <v>7150</v>
      </c>
      <c r="E2636" s="7">
        <v>19</v>
      </c>
    </row>
    <row r="2637" spans="1:5" x14ac:dyDescent="0.25">
      <c r="A2637" s="5" t="s">
        <v>6</v>
      </c>
      <c r="B2637" s="5" t="s">
        <v>7151</v>
      </c>
      <c r="C2637" s="1" t="s">
        <v>7152</v>
      </c>
      <c r="D2637" s="1" t="s">
        <v>7153</v>
      </c>
      <c r="E2637" s="7">
        <v>19</v>
      </c>
    </row>
    <row r="2638" spans="1:5" x14ac:dyDescent="0.25">
      <c r="A2638" s="5" t="s">
        <v>6</v>
      </c>
      <c r="B2638" s="5" t="s">
        <v>7154</v>
      </c>
      <c r="C2638" s="1" t="s">
        <v>7155</v>
      </c>
      <c r="D2638" s="1" t="s">
        <v>7156</v>
      </c>
      <c r="E2638" s="7">
        <v>4</v>
      </c>
    </row>
    <row r="2639" spans="1:5" x14ac:dyDescent="0.25">
      <c r="A2639" s="5" t="s">
        <v>6</v>
      </c>
      <c r="B2639" s="5" t="s">
        <v>7157</v>
      </c>
      <c r="C2639" s="1" t="s">
        <v>7158</v>
      </c>
      <c r="D2639" s="1" t="s">
        <v>7159</v>
      </c>
      <c r="E2639" s="7">
        <v>19</v>
      </c>
    </row>
    <row r="2640" spans="1:5" x14ac:dyDescent="0.25">
      <c r="A2640" s="5" t="s">
        <v>6</v>
      </c>
      <c r="B2640" s="5" t="s">
        <v>7160</v>
      </c>
      <c r="C2640" s="1" t="s">
        <v>7161</v>
      </c>
      <c r="D2640" s="1" t="s">
        <v>7162</v>
      </c>
      <c r="E2640" s="7">
        <v>29</v>
      </c>
    </row>
    <row r="2641" spans="1:5" x14ac:dyDescent="0.25">
      <c r="A2641" s="5" t="s">
        <v>6</v>
      </c>
      <c r="B2641" s="5" t="s">
        <v>7163</v>
      </c>
      <c r="C2641" s="1" t="s">
        <v>7164</v>
      </c>
      <c r="D2641" s="1" t="s">
        <v>7165</v>
      </c>
      <c r="E2641" s="7">
        <v>4</v>
      </c>
    </row>
    <row r="2642" spans="1:5" x14ac:dyDescent="0.25">
      <c r="A2642" s="5" t="s">
        <v>6</v>
      </c>
      <c r="B2642" s="5" t="s">
        <v>7166</v>
      </c>
      <c r="C2642" s="1" t="s">
        <v>7167</v>
      </c>
      <c r="D2642" s="1" t="s">
        <v>7168</v>
      </c>
      <c r="E2642" s="7">
        <v>29</v>
      </c>
    </row>
    <row r="2643" spans="1:5" x14ac:dyDescent="0.25">
      <c r="A2643" s="5" t="s">
        <v>6</v>
      </c>
      <c r="B2643" s="5" t="s">
        <v>7169</v>
      </c>
      <c r="C2643" s="1" t="s">
        <v>7170</v>
      </c>
      <c r="D2643" s="1" t="s">
        <v>7171</v>
      </c>
      <c r="E2643" s="7">
        <v>26</v>
      </c>
    </row>
    <row r="2644" spans="1:5" x14ac:dyDescent="0.25">
      <c r="A2644" s="5" t="s">
        <v>6</v>
      </c>
      <c r="B2644" s="5" t="s">
        <v>7172</v>
      </c>
      <c r="C2644" s="1" t="s">
        <v>7173</v>
      </c>
      <c r="D2644" s="1" t="s">
        <v>7174</v>
      </c>
      <c r="E2644" s="7">
        <v>29</v>
      </c>
    </row>
    <row r="2645" spans="1:5" x14ac:dyDescent="0.25">
      <c r="A2645" s="5" t="s">
        <v>6</v>
      </c>
      <c r="B2645" s="5" t="s">
        <v>7175</v>
      </c>
      <c r="C2645" s="1" t="s">
        <v>7176</v>
      </c>
      <c r="D2645" s="1" t="s">
        <v>7177</v>
      </c>
      <c r="E2645" s="7">
        <v>33</v>
      </c>
    </row>
    <row r="2646" spans="1:5" x14ac:dyDescent="0.25">
      <c r="A2646" s="5" t="s">
        <v>6</v>
      </c>
      <c r="B2646" s="5" t="s">
        <v>7178</v>
      </c>
      <c r="C2646" s="1" t="s">
        <v>7179</v>
      </c>
      <c r="D2646" s="1" t="s">
        <v>7180</v>
      </c>
      <c r="E2646" s="7">
        <v>30</v>
      </c>
    </row>
    <row r="2647" spans="1:5" x14ac:dyDescent="0.25">
      <c r="A2647" s="5" t="s">
        <v>6</v>
      </c>
      <c r="B2647" s="5" t="s">
        <v>7181</v>
      </c>
      <c r="C2647" s="1" t="s">
        <v>7182</v>
      </c>
      <c r="D2647" s="1" t="s">
        <v>7183</v>
      </c>
      <c r="E2647" s="7">
        <v>26</v>
      </c>
    </row>
    <row r="2648" spans="1:5" x14ac:dyDescent="0.25">
      <c r="A2648" s="5" t="s">
        <v>6</v>
      </c>
      <c r="B2648" s="5" t="s">
        <v>7184</v>
      </c>
      <c r="C2648" s="1" t="s">
        <v>7185</v>
      </c>
      <c r="D2648" s="1" t="s">
        <v>7186</v>
      </c>
      <c r="E2648" s="7">
        <v>31</v>
      </c>
    </row>
    <row r="2649" spans="1:5" x14ac:dyDescent="0.25">
      <c r="A2649" s="5" t="s">
        <v>6</v>
      </c>
      <c r="B2649" s="5" t="s">
        <v>7187</v>
      </c>
      <c r="C2649" s="1" t="s">
        <v>7188</v>
      </c>
      <c r="D2649" s="1" t="s">
        <v>7189</v>
      </c>
      <c r="E2649" s="7">
        <v>23</v>
      </c>
    </row>
    <row r="2650" spans="1:5" x14ac:dyDescent="0.25">
      <c r="A2650" s="5" t="s">
        <v>6</v>
      </c>
      <c r="B2650" s="5" t="s">
        <v>7190</v>
      </c>
      <c r="C2650" s="1" t="s">
        <v>7191</v>
      </c>
      <c r="D2650" s="1" t="s">
        <v>7192</v>
      </c>
      <c r="E2650" s="7">
        <v>26</v>
      </c>
    </row>
    <row r="2651" spans="1:5" x14ac:dyDescent="0.25">
      <c r="A2651" s="5" t="s">
        <v>6</v>
      </c>
      <c r="B2651" s="5" t="s">
        <v>7193</v>
      </c>
      <c r="C2651" s="1" t="s">
        <v>7194</v>
      </c>
      <c r="D2651" s="1" t="s">
        <v>7195</v>
      </c>
      <c r="E2651" s="7">
        <v>33</v>
      </c>
    </row>
    <row r="2652" spans="1:5" x14ac:dyDescent="0.25">
      <c r="A2652" s="5" t="s">
        <v>6</v>
      </c>
      <c r="B2652" s="5" t="s">
        <v>7196</v>
      </c>
      <c r="C2652" s="1" t="s">
        <v>7197</v>
      </c>
      <c r="D2652" s="1" t="s">
        <v>7198</v>
      </c>
      <c r="E2652" s="7">
        <v>68</v>
      </c>
    </row>
    <row r="2653" spans="1:5" x14ac:dyDescent="0.25">
      <c r="A2653" s="5" t="s">
        <v>6</v>
      </c>
      <c r="B2653" s="5" t="s">
        <v>7199</v>
      </c>
      <c r="C2653" s="1" t="s">
        <v>7200</v>
      </c>
      <c r="D2653" s="1" t="s">
        <v>7201</v>
      </c>
      <c r="E2653" s="7">
        <v>25</v>
      </c>
    </row>
    <row r="2654" spans="1:5" x14ac:dyDescent="0.25">
      <c r="A2654" s="5" t="s">
        <v>6</v>
      </c>
      <c r="B2654" s="5" t="s">
        <v>7202</v>
      </c>
      <c r="C2654" s="1" t="s">
        <v>7203</v>
      </c>
      <c r="D2654" s="1" t="s">
        <v>7204</v>
      </c>
      <c r="E2654" s="7">
        <v>63</v>
      </c>
    </row>
    <row r="2655" spans="1:5" x14ac:dyDescent="0.25">
      <c r="A2655" s="5" t="s">
        <v>6</v>
      </c>
      <c r="B2655" s="5" t="s">
        <v>7205</v>
      </c>
      <c r="C2655" s="1" t="s">
        <v>7206</v>
      </c>
      <c r="D2655" s="1" t="s">
        <v>7207</v>
      </c>
      <c r="E2655" s="7">
        <v>42</v>
      </c>
    </row>
    <row r="2656" spans="1:5" x14ac:dyDescent="0.25">
      <c r="A2656" s="5" t="s">
        <v>6</v>
      </c>
      <c r="B2656" s="5" t="s">
        <v>7208</v>
      </c>
      <c r="C2656" s="1" t="s">
        <v>7209</v>
      </c>
      <c r="D2656" s="1" t="s">
        <v>7210</v>
      </c>
      <c r="E2656" s="7">
        <v>5</v>
      </c>
    </row>
    <row r="2657" spans="1:5" x14ac:dyDescent="0.25">
      <c r="A2657" s="5" t="s">
        <v>6</v>
      </c>
      <c r="B2657" s="5" t="s">
        <v>7211</v>
      </c>
      <c r="C2657" s="1" t="s">
        <v>7212</v>
      </c>
      <c r="D2657" s="1" t="s">
        <v>7213</v>
      </c>
      <c r="E2657" s="7">
        <v>31</v>
      </c>
    </row>
    <row r="2658" spans="1:5" x14ac:dyDescent="0.25">
      <c r="A2658" s="5" t="s">
        <v>6</v>
      </c>
      <c r="B2658" s="5" t="s">
        <v>7214</v>
      </c>
      <c r="C2658" s="1" t="s">
        <v>7215</v>
      </c>
      <c r="D2658" s="1" t="s">
        <v>7216</v>
      </c>
      <c r="E2658" s="7">
        <v>33</v>
      </c>
    </row>
    <row r="2659" spans="1:5" x14ac:dyDescent="0.25">
      <c r="A2659" s="5" t="s">
        <v>6</v>
      </c>
      <c r="B2659" s="5" t="s">
        <v>7217</v>
      </c>
      <c r="C2659" s="1" t="s">
        <v>7218</v>
      </c>
      <c r="D2659" s="1" t="s">
        <v>7219</v>
      </c>
      <c r="E2659" s="7">
        <v>38</v>
      </c>
    </row>
    <row r="2660" spans="1:5" x14ac:dyDescent="0.25">
      <c r="A2660" s="5" t="s">
        <v>6</v>
      </c>
      <c r="B2660" s="5" t="s">
        <v>7220</v>
      </c>
      <c r="C2660" s="1" t="s">
        <v>7221</v>
      </c>
      <c r="D2660" s="1" t="s">
        <v>7222</v>
      </c>
      <c r="E2660" s="7">
        <v>30</v>
      </c>
    </row>
    <row r="2661" spans="1:5" x14ac:dyDescent="0.25">
      <c r="A2661" s="5" t="s">
        <v>6</v>
      </c>
      <c r="B2661" s="5" t="s">
        <v>7223</v>
      </c>
      <c r="C2661" s="1" t="s">
        <v>7224</v>
      </c>
      <c r="D2661" s="1" t="s">
        <v>7225</v>
      </c>
      <c r="E2661" s="7">
        <v>15</v>
      </c>
    </row>
    <row r="2662" spans="1:5" x14ac:dyDescent="0.25">
      <c r="A2662" s="5" t="s">
        <v>6</v>
      </c>
      <c r="B2662" s="5" t="s">
        <v>7226</v>
      </c>
      <c r="C2662" s="1" t="s">
        <v>7227</v>
      </c>
      <c r="D2662" s="1" t="s">
        <v>7228</v>
      </c>
      <c r="E2662" s="7">
        <v>81</v>
      </c>
    </row>
    <row r="2663" spans="1:5" x14ac:dyDescent="0.25">
      <c r="A2663" s="5" t="s">
        <v>6</v>
      </c>
      <c r="B2663" s="5" t="s">
        <v>7229</v>
      </c>
      <c r="C2663" s="1" t="s">
        <v>7230</v>
      </c>
      <c r="D2663" s="1" t="s">
        <v>7231</v>
      </c>
      <c r="E2663" s="7">
        <v>19</v>
      </c>
    </row>
    <row r="2664" spans="1:5" x14ac:dyDescent="0.25">
      <c r="A2664" s="5" t="s">
        <v>6</v>
      </c>
      <c r="B2664" s="5" t="s">
        <v>7232</v>
      </c>
      <c r="C2664" s="1" t="s">
        <v>7233</v>
      </c>
      <c r="D2664" s="1" t="s">
        <v>7234</v>
      </c>
      <c r="E2664" s="7">
        <v>112</v>
      </c>
    </row>
    <row r="2665" spans="1:5" x14ac:dyDescent="0.25">
      <c r="A2665" s="5" t="s">
        <v>6</v>
      </c>
      <c r="B2665" s="5" t="s">
        <v>7235</v>
      </c>
      <c r="C2665" s="1" t="s">
        <v>7236</v>
      </c>
      <c r="D2665" s="1" t="s">
        <v>7237</v>
      </c>
      <c r="E2665" s="7">
        <v>44</v>
      </c>
    </row>
    <row r="2666" spans="1:5" x14ac:dyDescent="0.25">
      <c r="A2666" s="5" t="s">
        <v>6</v>
      </c>
      <c r="B2666" s="5" t="s">
        <v>7238</v>
      </c>
      <c r="C2666" s="1" t="s">
        <v>7239</v>
      </c>
      <c r="D2666" s="1" t="s">
        <v>7240</v>
      </c>
      <c r="E2666" s="7">
        <v>49</v>
      </c>
    </row>
    <row r="2667" spans="1:5" x14ac:dyDescent="0.25">
      <c r="A2667" s="5" t="s">
        <v>6</v>
      </c>
      <c r="B2667" s="5" t="s">
        <v>7241</v>
      </c>
      <c r="C2667" s="1" t="s">
        <v>7242</v>
      </c>
      <c r="D2667" s="1" t="s">
        <v>7243</v>
      </c>
      <c r="E2667" s="7">
        <v>51</v>
      </c>
    </row>
    <row r="2668" spans="1:5" x14ac:dyDescent="0.25">
      <c r="A2668" s="5" t="s">
        <v>6</v>
      </c>
      <c r="B2668" s="5" t="s">
        <v>7244</v>
      </c>
      <c r="C2668" s="1" t="s">
        <v>7245</v>
      </c>
      <c r="D2668" s="1" t="s">
        <v>7246</v>
      </c>
      <c r="E2668" s="7">
        <v>51</v>
      </c>
    </row>
    <row r="2669" spans="1:5" x14ac:dyDescent="0.25">
      <c r="A2669" s="5" t="s">
        <v>6</v>
      </c>
      <c r="B2669" s="5" t="s">
        <v>7247</v>
      </c>
      <c r="C2669" s="1" t="s">
        <v>7248</v>
      </c>
      <c r="D2669" s="1" t="s">
        <v>7249</v>
      </c>
      <c r="E2669" s="7">
        <v>51</v>
      </c>
    </row>
    <row r="2670" spans="1:5" x14ac:dyDescent="0.25">
      <c r="A2670" s="5" t="s">
        <v>6</v>
      </c>
      <c r="B2670" s="5" t="s">
        <v>7250</v>
      </c>
      <c r="C2670" s="1" t="s">
        <v>7251</v>
      </c>
      <c r="D2670" s="1" t="s">
        <v>7252</v>
      </c>
      <c r="E2670" s="7">
        <v>57</v>
      </c>
    </row>
    <row r="2671" spans="1:5" x14ac:dyDescent="0.25">
      <c r="A2671" s="5" t="s">
        <v>6</v>
      </c>
      <c r="B2671" s="5" t="s">
        <v>7253</v>
      </c>
      <c r="C2671" s="1" t="s">
        <v>7254</v>
      </c>
      <c r="D2671" s="1" t="s">
        <v>7255</v>
      </c>
      <c r="E2671" s="7">
        <v>82</v>
      </c>
    </row>
    <row r="2672" spans="1:5" x14ac:dyDescent="0.25">
      <c r="A2672" s="5" t="s">
        <v>6</v>
      </c>
      <c r="B2672" s="5" t="s">
        <v>7256</v>
      </c>
      <c r="C2672" s="1" t="s">
        <v>7257</v>
      </c>
      <c r="D2672" s="1" t="s">
        <v>7258</v>
      </c>
      <c r="E2672" s="7">
        <v>45</v>
      </c>
    </row>
    <row r="2673" spans="1:5" x14ac:dyDescent="0.25">
      <c r="A2673" s="5" t="s">
        <v>6</v>
      </c>
      <c r="B2673" s="5" t="s">
        <v>7259</v>
      </c>
      <c r="C2673" s="1" t="s">
        <v>7260</v>
      </c>
      <c r="D2673" s="1" t="s">
        <v>7261</v>
      </c>
      <c r="E2673" s="7">
        <v>45</v>
      </c>
    </row>
    <row r="2674" spans="1:5" x14ac:dyDescent="0.25">
      <c r="A2674" s="5" t="s">
        <v>6</v>
      </c>
      <c r="B2674" s="5" t="s">
        <v>7262</v>
      </c>
      <c r="C2674" s="1" t="s">
        <v>7263</v>
      </c>
      <c r="D2674" s="1" t="s">
        <v>7264</v>
      </c>
      <c r="E2674" s="7">
        <v>52</v>
      </c>
    </row>
    <row r="2675" spans="1:5" x14ac:dyDescent="0.25">
      <c r="A2675" s="5" t="s">
        <v>6</v>
      </c>
      <c r="B2675" s="5" t="s">
        <v>7265</v>
      </c>
      <c r="C2675" s="1" t="s">
        <v>7266</v>
      </c>
      <c r="D2675" s="1" t="s">
        <v>7267</v>
      </c>
      <c r="E2675" s="7">
        <v>28</v>
      </c>
    </row>
    <row r="2676" spans="1:5" x14ac:dyDescent="0.25">
      <c r="A2676" s="5" t="s">
        <v>6</v>
      </c>
      <c r="B2676" s="5" t="s">
        <v>7268</v>
      </c>
      <c r="C2676" s="1" t="s">
        <v>7269</v>
      </c>
      <c r="D2676" s="1" t="s">
        <v>7270</v>
      </c>
      <c r="E2676" s="7">
        <v>102</v>
      </c>
    </row>
    <row r="2677" spans="1:5" x14ac:dyDescent="0.25">
      <c r="A2677" s="5" t="s">
        <v>6</v>
      </c>
      <c r="B2677" s="5" t="s">
        <v>7271</v>
      </c>
      <c r="C2677" s="1" t="s">
        <v>7272</v>
      </c>
      <c r="D2677" s="1" t="s">
        <v>7273</v>
      </c>
      <c r="E2677" s="7">
        <v>81</v>
      </c>
    </row>
    <row r="2678" spans="1:5" x14ac:dyDescent="0.25">
      <c r="A2678" s="5" t="s">
        <v>6</v>
      </c>
      <c r="B2678" s="5" t="s">
        <v>7274</v>
      </c>
      <c r="C2678" s="1" t="s">
        <v>7275</v>
      </c>
      <c r="D2678" s="1" t="s">
        <v>7276</v>
      </c>
      <c r="E2678" s="7">
        <v>55</v>
      </c>
    </row>
    <row r="2679" spans="1:5" x14ac:dyDescent="0.25">
      <c r="A2679" s="5" t="s">
        <v>6</v>
      </c>
      <c r="B2679" s="5" t="s">
        <v>7277</v>
      </c>
      <c r="C2679" s="1" t="s">
        <v>7278</v>
      </c>
      <c r="D2679" s="1" t="s">
        <v>7279</v>
      </c>
      <c r="E2679" s="7">
        <v>32</v>
      </c>
    </row>
    <row r="2680" spans="1:5" x14ac:dyDescent="0.25">
      <c r="A2680" s="5" t="s">
        <v>6</v>
      </c>
      <c r="B2680" s="5" t="s">
        <v>7280</v>
      </c>
      <c r="C2680" s="1" t="s">
        <v>7281</v>
      </c>
      <c r="D2680" s="1" t="s">
        <v>7282</v>
      </c>
      <c r="E2680" s="7">
        <v>5</v>
      </c>
    </row>
    <row r="2681" spans="1:5" x14ac:dyDescent="0.25">
      <c r="A2681" s="5" t="s">
        <v>6</v>
      </c>
      <c r="B2681" s="5" t="s">
        <v>7283</v>
      </c>
      <c r="C2681" s="1" t="s">
        <v>7284</v>
      </c>
      <c r="D2681" s="1" t="s">
        <v>7285</v>
      </c>
      <c r="E2681" s="7">
        <v>28</v>
      </c>
    </row>
    <row r="2682" spans="1:5" x14ac:dyDescent="0.25">
      <c r="A2682" s="5" t="s">
        <v>6</v>
      </c>
      <c r="B2682" s="5" t="s">
        <v>7286</v>
      </c>
      <c r="C2682" s="1" t="s">
        <v>7287</v>
      </c>
      <c r="D2682" s="1" t="s">
        <v>7288</v>
      </c>
      <c r="E2682" s="7">
        <v>33</v>
      </c>
    </row>
    <row r="2683" spans="1:5" x14ac:dyDescent="0.25">
      <c r="A2683" s="5" t="s">
        <v>6</v>
      </c>
      <c r="B2683" s="5" t="s">
        <v>7289</v>
      </c>
      <c r="C2683" s="1" t="s">
        <v>7290</v>
      </c>
      <c r="D2683" s="1" t="s">
        <v>7291</v>
      </c>
      <c r="E2683" s="7">
        <v>129</v>
      </c>
    </row>
    <row r="2684" spans="1:5" x14ac:dyDescent="0.25">
      <c r="A2684" s="5" t="s">
        <v>6</v>
      </c>
      <c r="B2684" s="5" t="s">
        <v>7292</v>
      </c>
      <c r="C2684" s="1" t="s">
        <v>7293</v>
      </c>
      <c r="D2684" s="1" t="s">
        <v>7294</v>
      </c>
      <c r="E2684" s="7">
        <v>63</v>
      </c>
    </row>
    <row r="2685" spans="1:5" x14ac:dyDescent="0.25">
      <c r="A2685" s="5" t="s">
        <v>6</v>
      </c>
      <c r="B2685" s="5" t="s">
        <v>7295</v>
      </c>
      <c r="C2685" s="1" t="s">
        <v>7296</v>
      </c>
      <c r="D2685" s="1" t="s">
        <v>7297</v>
      </c>
      <c r="E2685" s="7">
        <v>94</v>
      </c>
    </row>
    <row r="2686" spans="1:5" x14ac:dyDescent="0.25">
      <c r="A2686" s="5" t="s">
        <v>6</v>
      </c>
      <c r="B2686" s="5" t="s">
        <v>7298</v>
      </c>
      <c r="C2686" s="1" t="s">
        <v>7299</v>
      </c>
      <c r="D2686" s="1" t="s">
        <v>7300</v>
      </c>
      <c r="E2686" s="7">
        <v>19</v>
      </c>
    </row>
    <row r="2687" spans="1:5" x14ac:dyDescent="0.25">
      <c r="A2687" s="5" t="s">
        <v>6</v>
      </c>
      <c r="B2687" s="5" t="s">
        <v>7301</v>
      </c>
      <c r="C2687" s="1" t="s">
        <v>7302</v>
      </c>
      <c r="D2687" s="1" t="s">
        <v>7303</v>
      </c>
      <c r="E2687" s="7">
        <v>19</v>
      </c>
    </row>
    <row r="2688" spans="1:5" x14ac:dyDescent="0.25">
      <c r="A2688" s="5" t="s">
        <v>6</v>
      </c>
      <c r="B2688" s="5" t="s">
        <v>7304</v>
      </c>
      <c r="C2688" s="1" t="s">
        <v>7305</v>
      </c>
      <c r="D2688" s="1" t="s">
        <v>7306</v>
      </c>
      <c r="E2688" s="7">
        <v>19</v>
      </c>
    </row>
    <row r="2689" spans="1:5" x14ac:dyDescent="0.25">
      <c r="A2689" s="5" t="s">
        <v>6</v>
      </c>
      <c r="B2689" s="5" t="s">
        <v>7307</v>
      </c>
      <c r="C2689" s="1" t="s">
        <v>7308</v>
      </c>
      <c r="D2689" s="1" t="s">
        <v>7309</v>
      </c>
      <c r="E2689" s="7">
        <v>19</v>
      </c>
    </row>
    <row r="2690" spans="1:5" x14ac:dyDescent="0.25">
      <c r="A2690" s="5" t="s">
        <v>6</v>
      </c>
      <c r="B2690" s="5" t="s">
        <v>7310</v>
      </c>
      <c r="C2690" s="1" t="s">
        <v>7311</v>
      </c>
      <c r="D2690" s="1" t="s">
        <v>7312</v>
      </c>
      <c r="E2690" s="7">
        <v>19</v>
      </c>
    </row>
    <row r="2691" spans="1:5" x14ac:dyDescent="0.25">
      <c r="A2691" s="5" t="s">
        <v>6</v>
      </c>
      <c r="B2691" s="5" t="s">
        <v>7313</v>
      </c>
      <c r="C2691" s="1" t="s">
        <v>7314</v>
      </c>
      <c r="D2691" s="1" t="s">
        <v>7315</v>
      </c>
      <c r="E2691" s="7">
        <v>15</v>
      </c>
    </row>
    <row r="2692" spans="1:5" x14ac:dyDescent="0.25">
      <c r="A2692" s="5" t="s">
        <v>6</v>
      </c>
      <c r="B2692" s="5" t="s">
        <v>7316</v>
      </c>
      <c r="C2692" s="1" t="s">
        <v>7317</v>
      </c>
      <c r="D2692" s="1" t="s">
        <v>7318</v>
      </c>
      <c r="E2692" s="7">
        <v>19</v>
      </c>
    </row>
    <row r="2693" spans="1:5" x14ac:dyDescent="0.25">
      <c r="A2693" s="5" t="s">
        <v>6</v>
      </c>
      <c r="B2693" s="5" t="s">
        <v>7319</v>
      </c>
      <c r="C2693" s="1" t="s">
        <v>7320</v>
      </c>
      <c r="D2693" s="1" t="s">
        <v>7321</v>
      </c>
      <c r="E2693" s="7">
        <v>19</v>
      </c>
    </row>
    <row r="2694" spans="1:5" x14ac:dyDescent="0.25">
      <c r="A2694" s="5" t="s">
        <v>6</v>
      </c>
      <c r="B2694" s="5" t="s">
        <v>7322</v>
      </c>
      <c r="C2694" s="1" t="s">
        <v>7323</v>
      </c>
      <c r="D2694" s="1" t="s">
        <v>7324</v>
      </c>
      <c r="E2694" s="7">
        <v>15</v>
      </c>
    </row>
    <row r="2695" spans="1:5" x14ac:dyDescent="0.25">
      <c r="A2695" s="5" t="s">
        <v>6</v>
      </c>
      <c r="B2695" s="5" t="s">
        <v>7325</v>
      </c>
      <c r="C2695" s="1" t="s">
        <v>7326</v>
      </c>
      <c r="D2695" s="1" t="s">
        <v>7327</v>
      </c>
      <c r="E2695" s="7">
        <v>19</v>
      </c>
    </row>
    <row r="2696" spans="1:5" x14ac:dyDescent="0.25">
      <c r="A2696" s="5" t="s">
        <v>6</v>
      </c>
      <c r="B2696" s="5" t="s">
        <v>7328</v>
      </c>
      <c r="C2696" s="1" t="s">
        <v>7329</v>
      </c>
      <c r="D2696" s="1" t="s">
        <v>7330</v>
      </c>
      <c r="E2696" s="7">
        <v>19</v>
      </c>
    </row>
    <row r="2697" spans="1:5" x14ac:dyDescent="0.25">
      <c r="A2697" s="5" t="s">
        <v>6</v>
      </c>
      <c r="B2697" s="5" t="s">
        <v>7331</v>
      </c>
      <c r="C2697" s="1" t="s">
        <v>7332</v>
      </c>
      <c r="D2697" s="1" t="s">
        <v>7333</v>
      </c>
      <c r="E2697" s="7">
        <v>62</v>
      </c>
    </row>
    <row r="2698" spans="1:5" x14ac:dyDescent="0.25">
      <c r="A2698" s="5" t="s">
        <v>6</v>
      </c>
      <c r="B2698" s="5" t="s">
        <v>7334</v>
      </c>
      <c r="C2698" s="1" t="s">
        <v>7335</v>
      </c>
      <c r="D2698" s="1" t="s">
        <v>7336</v>
      </c>
      <c r="E2698" s="7">
        <v>469</v>
      </c>
    </row>
    <row r="2699" spans="1:5" x14ac:dyDescent="0.25">
      <c r="A2699" s="5" t="s">
        <v>6</v>
      </c>
      <c r="B2699" s="5" t="s">
        <v>7337</v>
      </c>
      <c r="C2699" s="1" t="s">
        <v>7338</v>
      </c>
      <c r="D2699" s="1" t="s">
        <v>7339</v>
      </c>
      <c r="E2699" s="7">
        <v>12</v>
      </c>
    </row>
    <row r="2700" spans="1:5" x14ac:dyDescent="0.25">
      <c r="A2700" s="5" t="s">
        <v>6</v>
      </c>
      <c r="B2700" s="5" t="s">
        <v>7340</v>
      </c>
      <c r="C2700" s="1" t="s">
        <v>7341</v>
      </c>
      <c r="D2700" s="1" t="s">
        <v>7342</v>
      </c>
      <c r="E2700" s="7">
        <v>16</v>
      </c>
    </row>
    <row r="2701" spans="1:5" x14ac:dyDescent="0.25">
      <c r="A2701" s="5" t="s">
        <v>6</v>
      </c>
      <c r="B2701" s="5" t="s">
        <v>7343</v>
      </c>
      <c r="C2701" s="1" t="s">
        <v>7344</v>
      </c>
      <c r="D2701" s="1" t="s">
        <v>7345</v>
      </c>
      <c r="E2701" s="7">
        <v>23</v>
      </c>
    </row>
    <row r="2702" spans="1:5" x14ac:dyDescent="0.25">
      <c r="A2702" s="5" t="s">
        <v>6</v>
      </c>
      <c r="B2702" s="5" t="s">
        <v>7346</v>
      </c>
      <c r="C2702" s="1" t="s">
        <v>7347</v>
      </c>
      <c r="D2702" s="1" t="s">
        <v>7348</v>
      </c>
      <c r="E2702" s="7">
        <v>5</v>
      </c>
    </row>
    <row r="2703" spans="1:5" x14ac:dyDescent="0.25">
      <c r="A2703" s="5" t="s">
        <v>6</v>
      </c>
      <c r="B2703" s="5" t="s">
        <v>7349</v>
      </c>
      <c r="C2703" s="1" t="s">
        <v>7350</v>
      </c>
      <c r="D2703" s="1" t="s">
        <v>7351</v>
      </c>
      <c r="E2703" s="7">
        <v>26</v>
      </c>
    </row>
    <row r="2704" spans="1:5" x14ac:dyDescent="0.25">
      <c r="A2704" s="5" t="s">
        <v>6</v>
      </c>
      <c r="B2704" s="5" t="s">
        <v>7352</v>
      </c>
      <c r="C2704" s="1" t="s">
        <v>7353</v>
      </c>
      <c r="D2704" s="1" t="s">
        <v>7354</v>
      </c>
      <c r="E2704" s="7">
        <v>26</v>
      </c>
    </row>
    <row r="2705" spans="1:5" x14ac:dyDescent="0.25">
      <c r="A2705" s="5" t="s">
        <v>6</v>
      </c>
      <c r="B2705" s="5" t="s">
        <v>7355</v>
      </c>
      <c r="C2705" s="1" t="s">
        <v>7356</v>
      </c>
      <c r="D2705" s="1" t="s">
        <v>7357</v>
      </c>
      <c r="E2705" s="7">
        <v>31</v>
      </c>
    </row>
    <row r="2706" spans="1:5" x14ac:dyDescent="0.25">
      <c r="A2706" s="5" t="s">
        <v>6</v>
      </c>
      <c r="B2706" s="5" t="s">
        <v>7358</v>
      </c>
      <c r="C2706" s="1" t="s">
        <v>7359</v>
      </c>
      <c r="D2706" s="1" t="s">
        <v>7360</v>
      </c>
      <c r="E2706" s="7">
        <v>19</v>
      </c>
    </row>
    <row r="2707" spans="1:5" x14ac:dyDescent="0.25">
      <c r="A2707" s="5" t="s">
        <v>6</v>
      </c>
      <c r="B2707" s="5" t="s">
        <v>7361</v>
      </c>
      <c r="C2707" s="1" t="s">
        <v>7362</v>
      </c>
      <c r="D2707" s="1" t="s">
        <v>7363</v>
      </c>
      <c r="E2707" s="7">
        <v>3</v>
      </c>
    </row>
    <row r="2708" spans="1:5" x14ac:dyDescent="0.25">
      <c r="A2708" s="5" t="s">
        <v>6</v>
      </c>
      <c r="B2708" s="5" t="s">
        <v>7364</v>
      </c>
      <c r="C2708" s="1" t="s">
        <v>7365</v>
      </c>
      <c r="D2708" s="1" t="s">
        <v>7366</v>
      </c>
      <c r="E2708" s="7">
        <v>19</v>
      </c>
    </row>
    <row r="2709" spans="1:5" x14ac:dyDescent="0.25">
      <c r="A2709" s="5" t="s">
        <v>6</v>
      </c>
      <c r="B2709" s="5" t="s">
        <v>7367</v>
      </c>
      <c r="C2709" s="1" t="s">
        <v>7368</v>
      </c>
      <c r="D2709" s="1" t="s">
        <v>7369</v>
      </c>
      <c r="E2709" s="7">
        <v>23</v>
      </c>
    </row>
    <row r="2710" spans="1:5" x14ac:dyDescent="0.25">
      <c r="A2710" s="5" t="s">
        <v>6</v>
      </c>
      <c r="B2710" s="5" t="s">
        <v>7370</v>
      </c>
      <c r="C2710" s="1" t="s">
        <v>7371</v>
      </c>
      <c r="D2710" s="1" t="s">
        <v>7372</v>
      </c>
      <c r="E2710" s="7">
        <v>29</v>
      </c>
    </row>
    <row r="2711" spans="1:5" x14ac:dyDescent="0.25">
      <c r="A2711" s="5" t="s">
        <v>6</v>
      </c>
      <c r="B2711" s="5" t="s">
        <v>7373</v>
      </c>
      <c r="C2711" s="1" t="s">
        <v>7374</v>
      </c>
      <c r="D2711" s="1" t="s">
        <v>7375</v>
      </c>
      <c r="E2711" s="7">
        <v>31</v>
      </c>
    </row>
    <row r="2712" spans="1:5" x14ac:dyDescent="0.25">
      <c r="A2712" s="5" t="s">
        <v>6</v>
      </c>
      <c r="B2712" s="5" t="s">
        <v>7376</v>
      </c>
      <c r="C2712" s="1" t="s">
        <v>7377</v>
      </c>
      <c r="D2712" s="1" t="s">
        <v>7378</v>
      </c>
      <c r="E2712" s="7">
        <v>23</v>
      </c>
    </row>
    <row r="2713" spans="1:5" x14ac:dyDescent="0.25">
      <c r="A2713" s="5" t="s">
        <v>6</v>
      </c>
      <c r="B2713" s="5" t="s">
        <v>7379</v>
      </c>
      <c r="C2713" s="1" t="s">
        <v>7380</v>
      </c>
      <c r="D2713" s="1" t="s">
        <v>7381</v>
      </c>
      <c r="E2713" s="7">
        <v>51</v>
      </c>
    </row>
    <row r="2714" spans="1:5" x14ac:dyDescent="0.25">
      <c r="A2714" s="5" t="s">
        <v>6</v>
      </c>
      <c r="B2714" s="5" t="s">
        <v>7382</v>
      </c>
      <c r="C2714" s="1" t="s">
        <v>7383</v>
      </c>
      <c r="D2714" s="1" t="s">
        <v>7384</v>
      </c>
      <c r="E2714" s="7">
        <v>38</v>
      </c>
    </row>
    <row r="2715" spans="1:5" x14ac:dyDescent="0.25">
      <c r="A2715" s="5" t="s">
        <v>6</v>
      </c>
      <c r="B2715" s="5" t="s">
        <v>7385</v>
      </c>
      <c r="C2715" s="1" t="s">
        <v>7386</v>
      </c>
      <c r="D2715" s="1" t="s">
        <v>7387</v>
      </c>
      <c r="E2715" s="7">
        <v>2</v>
      </c>
    </row>
    <row r="2716" spans="1:5" x14ac:dyDescent="0.25">
      <c r="A2716" s="5" t="s">
        <v>6</v>
      </c>
      <c r="B2716" s="5" t="s">
        <v>7388</v>
      </c>
      <c r="C2716" s="1" t="s">
        <v>7389</v>
      </c>
      <c r="D2716" s="1" t="s">
        <v>7390</v>
      </c>
      <c r="E2716" s="7">
        <v>29</v>
      </c>
    </row>
    <row r="2717" spans="1:5" x14ac:dyDescent="0.25">
      <c r="A2717" s="5" t="s">
        <v>6</v>
      </c>
      <c r="B2717" s="5" t="s">
        <v>7391</v>
      </c>
      <c r="C2717" s="1" t="s">
        <v>7392</v>
      </c>
      <c r="D2717" s="1" t="s">
        <v>7393</v>
      </c>
      <c r="E2717" s="7">
        <v>29</v>
      </c>
    </row>
    <row r="2718" spans="1:5" x14ac:dyDescent="0.25">
      <c r="A2718" s="5" t="s">
        <v>6</v>
      </c>
      <c r="B2718" s="5" t="s">
        <v>7394</v>
      </c>
      <c r="C2718" s="1" t="s">
        <v>7395</v>
      </c>
      <c r="D2718" s="1" t="s">
        <v>7396</v>
      </c>
      <c r="E2718" s="7">
        <v>31</v>
      </c>
    </row>
    <row r="2719" spans="1:5" x14ac:dyDescent="0.25">
      <c r="A2719" s="5" t="s">
        <v>6</v>
      </c>
      <c r="B2719" s="5" t="s">
        <v>7397</v>
      </c>
      <c r="C2719" s="1" t="s">
        <v>7398</v>
      </c>
      <c r="D2719" s="1" t="s">
        <v>7399</v>
      </c>
      <c r="E2719" s="7">
        <v>38</v>
      </c>
    </row>
    <row r="2720" spans="1:5" x14ac:dyDescent="0.25">
      <c r="A2720" s="5" t="s">
        <v>6</v>
      </c>
      <c r="B2720" s="5" t="s">
        <v>7400</v>
      </c>
      <c r="C2720" s="1" t="s">
        <v>7401</v>
      </c>
      <c r="D2720" s="1" t="s">
        <v>7402</v>
      </c>
      <c r="E2720" s="7">
        <v>38</v>
      </c>
    </row>
    <row r="2721" spans="1:5" x14ac:dyDescent="0.25">
      <c r="A2721" s="5" t="s">
        <v>6</v>
      </c>
      <c r="B2721" s="5" t="s">
        <v>7403</v>
      </c>
      <c r="C2721" s="1" t="s">
        <v>7404</v>
      </c>
      <c r="D2721" s="1" t="s">
        <v>7405</v>
      </c>
      <c r="E2721" s="7">
        <v>38</v>
      </c>
    </row>
    <row r="2722" spans="1:5" x14ac:dyDescent="0.25">
      <c r="A2722" s="5" t="s">
        <v>6</v>
      </c>
      <c r="B2722" s="5" t="s">
        <v>7406</v>
      </c>
      <c r="C2722" s="1" t="s">
        <v>7407</v>
      </c>
      <c r="D2722" s="1" t="s">
        <v>7408</v>
      </c>
      <c r="E2722" s="7">
        <v>51</v>
      </c>
    </row>
    <row r="2723" spans="1:5" x14ac:dyDescent="0.25">
      <c r="A2723" s="5" t="s">
        <v>6</v>
      </c>
      <c r="B2723" s="5" t="s">
        <v>7409</v>
      </c>
      <c r="C2723" s="1" t="s">
        <v>7410</v>
      </c>
      <c r="D2723" s="1" t="s">
        <v>7411</v>
      </c>
      <c r="E2723" s="7">
        <v>5</v>
      </c>
    </row>
    <row r="2724" spans="1:5" x14ac:dyDescent="0.25">
      <c r="A2724" s="5" t="s">
        <v>6</v>
      </c>
      <c r="B2724" s="5" t="s">
        <v>7412</v>
      </c>
      <c r="C2724" s="1" t="s">
        <v>7413</v>
      </c>
      <c r="D2724" s="1" t="s">
        <v>7414</v>
      </c>
      <c r="E2724" s="7">
        <v>31</v>
      </c>
    </row>
    <row r="2725" spans="1:5" x14ac:dyDescent="0.25">
      <c r="A2725" s="5" t="s">
        <v>6</v>
      </c>
      <c r="B2725" s="5" t="s">
        <v>7415</v>
      </c>
      <c r="C2725" s="1" t="s">
        <v>7416</v>
      </c>
      <c r="D2725" s="1" t="s">
        <v>7417</v>
      </c>
      <c r="E2725" s="7">
        <v>23</v>
      </c>
    </row>
    <row r="2726" spans="1:5" x14ac:dyDescent="0.25">
      <c r="A2726" s="5" t="s">
        <v>6</v>
      </c>
      <c r="B2726" s="5" t="s">
        <v>7418</v>
      </c>
      <c r="C2726" s="1" t="s">
        <v>7419</v>
      </c>
      <c r="D2726" s="1" t="s">
        <v>7420</v>
      </c>
      <c r="E2726" s="7">
        <v>23</v>
      </c>
    </row>
    <row r="2727" spans="1:5" x14ac:dyDescent="0.25">
      <c r="A2727" s="5" t="s">
        <v>6</v>
      </c>
      <c r="B2727" s="5" t="s">
        <v>7421</v>
      </c>
      <c r="C2727" s="1" t="s">
        <v>7422</v>
      </c>
      <c r="D2727" s="1" t="s">
        <v>7423</v>
      </c>
      <c r="E2727" s="7">
        <v>5.71</v>
      </c>
    </row>
    <row r="2728" spans="1:5" x14ac:dyDescent="0.25">
      <c r="A2728" s="5" t="s">
        <v>6</v>
      </c>
      <c r="B2728" s="5" t="s">
        <v>7424</v>
      </c>
      <c r="C2728" s="1" t="s">
        <v>7425</v>
      </c>
      <c r="D2728" s="1" t="s">
        <v>7426</v>
      </c>
      <c r="E2728" s="7">
        <v>19</v>
      </c>
    </row>
    <row r="2729" spans="1:5" x14ac:dyDescent="0.25">
      <c r="A2729" s="5" t="s">
        <v>6</v>
      </c>
      <c r="B2729" s="5" t="s">
        <v>7427</v>
      </c>
      <c r="C2729" s="1" t="s">
        <v>7428</v>
      </c>
      <c r="D2729" s="1" t="s">
        <v>7429</v>
      </c>
      <c r="E2729" s="7">
        <v>2</v>
      </c>
    </row>
    <row r="2730" spans="1:5" x14ac:dyDescent="0.25">
      <c r="A2730" s="5" t="s">
        <v>6</v>
      </c>
      <c r="B2730" s="5" t="s">
        <v>7430</v>
      </c>
      <c r="C2730" s="1" t="s">
        <v>7431</v>
      </c>
      <c r="D2730" s="1" t="s">
        <v>7432</v>
      </c>
      <c r="E2730" s="7">
        <v>29</v>
      </c>
    </row>
    <row r="2731" spans="1:5" x14ac:dyDescent="0.25">
      <c r="A2731" s="5" t="s">
        <v>6</v>
      </c>
      <c r="B2731" s="5" t="s">
        <v>7433</v>
      </c>
      <c r="C2731" s="1" t="s">
        <v>7434</v>
      </c>
      <c r="D2731" s="1" t="s">
        <v>7435</v>
      </c>
      <c r="E2731" s="7">
        <v>67</v>
      </c>
    </row>
    <row r="2732" spans="1:5" x14ac:dyDescent="0.25">
      <c r="A2732" s="5" t="s">
        <v>6</v>
      </c>
      <c r="B2732" s="5" t="s">
        <v>7436</v>
      </c>
      <c r="C2732" s="1" t="s">
        <v>7437</v>
      </c>
      <c r="D2732" s="1" t="s">
        <v>7438</v>
      </c>
      <c r="E2732" s="7">
        <v>19</v>
      </c>
    </row>
    <row r="2733" spans="1:5" x14ac:dyDescent="0.25">
      <c r="A2733" s="5" t="s">
        <v>6</v>
      </c>
      <c r="B2733" s="5" t="s">
        <v>7439</v>
      </c>
      <c r="C2733" s="1" t="s">
        <v>7440</v>
      </c>
      <c r="D2733" s="1" t="s">
        <v>7441</v>
      </c>
      <c r="E2733" s="7">
        <v>19</v>
      </c>
    </row>
    <row r="2734" spans="1:5" x14ac:dyDescent="0.25">
      <c r="A2734" s="5" t="s">
        <v>6</v>
      </c>
      <c r="B2734" s="5" t="s">
        <v>7442</v>
      </c>
      <c r="C2734" s="1" t="s">
        <v>7443</v>
      </c>
      <c r="D2734" s="1" t="s">
        <v>7444</v>
      </c>
      <c r="E2734" s="7">
        <v>19</v>
      </c>
    </row>
    <row r="2735" spans="1:5" x14ac:dyDescent="0.25">
      <c r="A2735" s="5" t="s">
        <v>6</v>
      </c>
      <c r="B2735" s="5" t="s">
        <v>7445</v>
      </c>
      <c r="C2735" s="1" t="s">
        <v>7446</v>
      </c>
      <c r="D2735" s="1" t="s">
        <v>7447</v>
      </c>
      <c r="E2735" s="7">
        <v>28</v>
      </c>
    </row>
    <row r="2736" spans="1:5" x14ac:dyDescent="0.25">
      <c r="A2736" s="5" t="s">
        <v>6</v>
      </c>
      <c r="B2736" s="5" t="s">
        <v>7448</v>
      </c>
      <c r="C2736" s="1" t="s">
        <v>7449</v>
      </c>
      <c r="D2736" s="1" t="s">
        <v>7450</v>
      </c>
      <c r="E2736" s="7">
        <v>29</v>
      </c>
    </row>
    <row r="2737" spans="1:5" x14ac:dyDescent="0.25">
      <c r="A2737" s="5" t="s">
        <v>6</v>
      </c>
      <c r="B2737" s="5" t="s">
        <v>7451</v>
      </c>
      <c r="C2737" s="1" t="s">
        <v>7452</v>
      </c>
      <c r="D2737" s="1" t="s">
        <v>7453</v>
      </c>
      <c r="E2737" s="7">
        <v>5</v>
      </c>
    </row>
    <row r="2738" spans="1:5" x14ac:dyDescent="0.25">
      <c r="A2738" s="5" t="s">
        <v>6</v>
      </c>
      <c r="B2738" s="5" t="s">
        <v>7454</v>
      </c>
      <c r="C2738" s="1" t="s">
        <v>7455</v>
      </c>
      <c r="D2738" s="1" t="s">
        <v>7456</v>
      </c>
      <c r="E2738" s="7">
        <v>29</v>
      </c>
    </row>
    <row r="2739" spans="1:5" x14ac:dyDescent="0.25">
      <c r="A2739" s="5" t="s">
        <v>6</v>
      </c>
      <c r="B2739" s="5" t="s">
        <v>7457</v>
      </c>
      <c r="C2739" s="1" t="s">
        <v>7458</v>
      </c>
      <c r="D2739" s="1" t="s">
        <v>7459</v>
      </c>
      <c r="E2739" s="7">
        <v>17</v>
      </c>
    </row>
    <row r="2740" spans="1:5" x14ac:dyDescent="0.25">
      <c r="A2740" s="5" t="s">
        <v>6</v>
      </c>
      <c r="B2740" s="5" t="s">
        <v>7460</v>
      </c>
      <c r="C2740" s="1" t="s">
        <v>7461</v>
      </c>
      <c r="D2740" s="1" t="s">
        <v>7462</v>
      </c>
      <c r="E2740" s="7">
        <v>8</v>
      </c>
    </row>
    <row r="2741" spans="1:5" x14ac:dyDescent="0.25">
      <c r="A2741" s="5" t="s">
        <v>6</v>
      </c>
      <c r="B2741" s="5" t="s">
        <v>7463</v>
      </c>
      <c r="C2741" s="1" t="s">
        <v>7464</v>
      </c>
      <c r="D2741" s="1" t="s">
        <v>7465</v>
      </c>
      <c r="E2741" s="7">
        <v>49</v>
      </c>
    </row>
    <row r="2742" spans="1:5" x14ac:dyDescent="0.25">
      <c r="A2742" s="5" t="s">
        <v>6</v>
      </c>
      <c r="B2742" s="5" t="s">
        <v>7466</v>
      </c>
      <c r="C2742" s="1" t="s">
        <v>7467</v>
      </c>
      <c r="D2742" s="1" t="s">
        <v>7468</v>
      </c>
      <c r="E2742" s="7">
        <v>5</v>
      </c>
    </row>
    <row r="2743" spans="1:5" x14ac:dyDescent="0.25">
      <c r="A2743" s="5" t="s">
        <v>6</v>
      </c>
      <c r="B2743" s="5" t="s">
        <v>7469</v>
      </c>
      <c r="C2743" s="1" t="s">
        <v>7470</v>
      </c>
      <c r="D2743" s="1" t="s">
        <v>7471</v>
      </c>
      <c r="E2743" s="7">
        <v>31</v>
      </c>
    </row>
    <row r="2744" spans="1:5" x14ac:dyDescent="0.25">
      <c r="A2744" s="5" t="s">
        <v>6</v>
      </c>
      <c r="B2744" s="5" t="s">
        <v>7472</v>
      </c>
      <c r="C2744" s="1" t="s">
        <v>7473</v>
      </c>
      <c r="D2744" s="1" t="s">
        <v>7474</v>
      </c>
      <c r="E2744" s="7">
        <v>11</v>
      </c>
    </row>
    <row r="2745" spans="1:5" x14ac:dyDescent="0.25">
      <c r="A2745" s="5" t="s">
        <v>6</v>
      </c>
      <c r="B2745" s="5" t="s">
        <v>7475</v>
      </c>
      <c r="C2745" s="1" t="s">
        <v>7476</v>
      </c>
      <c r="D2745" s="1" t="s">
        <v>7477</v>
      </c>
      <c r="E2745" s="7">
        <v>72</v>
      </c>
    </row>
    <row r="2746" spans="1:5" x14ac:dyDescent="0.25">
      <c r="A2746" s="5" t="s">
        <v>6</v>
      </c>
      <c r="B2746" s="5" t="s">
        <v>7478</v>
      </c>
      <c r="C2746" s="1" t="s">
        <v>7479</v>
      </c>
      <c r="D2746" s="1" t="s">
        <v>7479</v>
      </c>
      <c r="E2746" s="7">
        <v>23</v>
      </c>
    </row>
    <row r="2747" spans="1:5" x14ac:dyDescent="0.25">
      <c r="A2747" s="5" t="s">
        <v>6</v>
      </c>
      <c r="B2747" s="5" t="s">
        <v>7480</v>
      </c>
      <c r="C2747" s="1" t="s">
        <v>7481</v>
      </c>
      <c r="D2747" s="1" t="s">
        <v>7482</v>
      </c>
      <c r="E2747" s="7">
        <v>23</v>
      </c>
    </row>
    <row r="2748" spans="1:5" x14ac:dyDescent="0.25">
      <c r="A2748" s="5" t="s">
        <v>6</v>
      </c>
      <c r="B2748" s="5" t="s">
        <v>7483</v>
      </c>
      <c r="C2748" s="1" t="s">
        <v>7484</v>
      </c>
      <c r="D2748" s="1" t="s">
        <v>7485</v>
      </c>
      <c r="E2748" s="7">
        <v>26</v>
      </c>
    </row>
    <row r="2749" spans="1:5" x14ac:dyDescent="0.25">
      <c r="A2749" s="5" t="s">
        <v>6</v>
      </c>
      <c r="B2749" s="5" t="s">
        <v>7486</v>
      </c>
      <c r="C2749" s="1" t="s">
        <v>7487</v>
      </c>
      <c r="D2749" s="1" t="s">
        <v>7488</v>
      </c>
      <c r="E2749" s="7">
        <v>53</v>
      </c>
    </row>
    <row r="2750" spans="1:5" x14ac:dyDescent="0.25">
      <c r="A2750" s="5" t="s">
        <v>6</v>
      </c>
      <c r="B2750" s="5" t="s">
        <v>7489</v>
      </c>
      <c r="C2750" s="1" t="s">
        <v>7490</v>
      </c>
      <c r="D2750" s="1" t="s">
        <v>7491</v>
      </c>
      <c r="E2750" s="7">
        <v>3</v>
      </c>
    </row>
    <row r="2751" spans="1:5" x14ac:dyDescent="0.25">
      <c r="A2751" s="5" t="s">
        <v>6</v>
      </c>
      <c r="B2751" s="5" t="s">
        <v>7492</v>
      </c>
      <c r="C2751" s="1" t="s">
        <v>7493</v>
      </c>
      <c r="D2751" s="1" t="s">
        <v>7494</v>
      </c>
      <c r="E2751" s="7">
        <v>33</v>
      </c>
    </row>
    <row r="2752" spans="1:5" x14ac:dyDescent="0.25">
      <c r="A2752" s="5" t="s">
        <v>6</v>
      </c>
      <c r="B2752" s="5" t="s">
        <v>7495</v>
      </c>
      <c r="C2752" s="1" t="s">
        <v>7496</v>
      </c>
      <c r="D2752" s="1" t="s">
        <v>7497</v>
      </c>
      <c r="E2752" s="7">
        <v>26</v>
      </c>
    </row>
    <row r="2753" spans="1:5" x14ac:dyDescent="0.25">
      <c r="A2753" s="5" t="s">
        <v>6</v>
      </c>
      <c r="B2753" s="5" t="s">
        <v>7498</v>
      </c>
      <c r="C2753" s="1" t="s">
        <v>7499</v>
      </c>
      <c r="D2753" s="1" t="s">
        <v>7500</v>
      </c>
      <c r="E2753" s="7">
        <v>23</v>
      </c>
    </row>
    <row r="2754" spans="1:5" x14ac:dyDescent="0.25">
      <c r="A2754" s="5" t="s">
        <v>6</v>
      </c>
      <c r="B2754" s="5" t="s">
        <v>7501</v>
      </c>
      <c r="C2754" s="1" t="s">
        <v>7502</v>
      </c>
      <c r="D2754" s="1" t="s">
        <v>7503</v>
      </c>
      <c r="E2754" s="7">
        <v>26</v>
      </c>
    </row>
    <row r="2755" spans="1:5" x14ac:dyDescent="0.25">
      <c r="A2755" s="5" t="s">
        <v>6</v>
      </c>
      <c r="B2755" s="5" t="s">
        <v>7504</v>
      </c>
      <c r="C2755" s="1" t="s">
        <v>7505</v>
      </c>
      <c r="D2755" s="1" t="s">
        <v>7506</v>
      </c>
      <c r="E2755" s="7">
        <v>29</v>
      </c>
    </row>
    <row r="2756" spans="1:5" x14ac:dyDescent="0.25">
      <c r="A2756" s="5" t="s">
        <v>6</v>
      </c>
      <c r="B2756" s="5" t="s">
        <v>7507</v>
      </c>
      <c r="C2756" s="1" t="s">
        <v>7508</v>
      </c>
      <c r="D2756" s="1" t="s">
        <v>7509</v>
      </c>
      <c r="E2756" s="7">
        <v>19</v>
      </c>
    </row>
    <row r="2757" spans="1:5" x14ac:dyDescent="0.25">
      <c r="A2757" s="5" t="s">
        <v>6</v>
      </c>
      <c r="B2757" s="5" t="s">
        <v>7510</v>
      </c>
      <c r="C2757" s="1" t="s">
        <v>7511</v>
      </c>
      <c r="D2757" s="1" t="s">
        <v>7512</v>
      </c>
      <c r="E2757" s="7">
        <v>31</v>
      </c>
    </row>
    <row r="2758" spans="1:5" x14ac:dyDescent="0.25">
      <c r="A2758" s="5" t="s">
        <v>6</v>
      </c>
      <c r="B2758" s="5" t="s">
        <v>7513</v>
      </c>
      <c r="C2758" s="1" t="s">
        <v>7514</v>
      </c>
      <c r="D2758" s="1" t="s">
        <v>7515</v>
      </c>
      <c r="E2758" s="7">
        <v>11</v>
      </c>
    </row>
    <row r="2759" spans="1:5" x14ac:dyDescent="0.25">
      <c r="A2759" s="5" t="s">
        <v>6</v>
      </c>
      <c r="B2759" s="5" t="s">
        <v>7516</v>
      </c>
      <c r="C2759" s="1" t="s">
        <v>7517</v>
      </c>
      <c r="D2759" s="1" t="s">
        <v>7518</v>
      </c>
      <c r="E2759" s="7">
        <v>25</v>
      </c>
    </row>
    <row r="2760" spans="1:5" x14ac:dyDescent="0.25">
      <c r="A2760" s="5" t="s">
        <v>6</v>
      </c>
      <c r="B2760" s="5" t="s">
        <v>7519</v>
      </c>
      <c r="C2760" s="1" t="s">
        <v>7520</v>
      </c>
      <c r="D2760" s="1" t="s">
        <v>7521</v>
      </c>
      <c r="E2760" s="7">
        <v>19</v>
      </c>
    </row>
    <row r="2761" spans="1:5" x14ac:dyDescent="0.25">
      <c r="A2761" s="5" t="s">
        <v>6</v>
      </c>
      <c r="B2761" s="5" t="s">
        <v>7522</v>
      </c>
      <c r="C2761" s="1" t="s">
        <v>7523</v>
      </c>
      <c r="D2761" s="1" t="s">
        <v>7524</v>
      </c>
      <c r="E2761" s="7">
        <v>29</v>
      </c>
    </row>
    <row r="2762" spans="1:5" x14ac:dyDescent="0.25">
      <c r="A2762" s="5" t="s">
        <v>6</v>
      </c>
      <c r="B2762" s="5" t="s">
        <v>7525</v>
      </c>
      <c r="C2762" s="1" t="s">
        <v>7526</v>
      </c>
      <c r="D2762" s="1" t="s">
        <v>7527</v>
      </c>
      <c r="E2762" s="7">
        <v>52</v>
      </c>
    </row>
    <row r="2763" spans="1:5" x14ac:dyDescent="0.25">
      <c r="A2763" s="5" t="s">
        <v>6</v>
      </c>
      <c r="B2763" s="5" t="s">
        <v>7528</v>
      </c>
      <c r="C2763" s="1" t="s">
        <v>7529</v>
      </c>
      <c r="D2763" s="1" t="s">
        <v>7530</v>
      </c>
      <c r="E2763" s="7">
        <v>28</v>
      </c>
    </row>
    <row r="2764" spans="1:5" x14ac:dyDescent="0.25">
      <c r="A2764" s="5" t="s">
        <v>6</v>
      </c>
      <c r="B2764" s="5" t="s">
        <v>7531</v>
      </c>
      <c r="C2764" s="1" t="s">
        <v>7532</v>
      </c>
      <c r="D2764" s="1" t="s">
        <v>7533</v>
      </c>
      <c r="E2764" s="7">
        <v>30</v>
      </c>
    </row>
    <row r="2765" spans="1:5" x14ac:dyDescent="0.25">
      <c r="A2765" s="5" t="s">
        <v>6</v>
      </c>
      <c r="B2765" s="5" t="s">
        <v>7534</v>
      </c>
      <c r="C2765" s="1" t="s">
        <v>7535</v>
      </c>
      <c r="D2765" s="1" t="s">
        <v>7536</v>
      </c>
      <c r="E2765" s="7">
        <v>31</v>
      </c>
    </row>
    <row r="2766" spans="1:5" x14ac:dyDescent="0.25">
      <c r="A2766" s="5" t="s">
        <v>6</v>
      </c>
      <c r="B2766" s="5" t="s">
        <v>7537</v>
      </c>
      <c r="C2766" s="1" t="s">
        <v>7538</v>
      </c>
      <c r="D2766" s="1" t="s">
        <v>7539</v>
      </c>
      <c r="E2766" s="7">
        <v>25</v>
      </c>
    </row>
    <row r="2767" spans="1:5" x14ac:dyDescent="0.25">
      <c r="A2767" s="5" t="s">
        <v>6</v>
      </c>
      <c r="B2767" s="5" t="s">
        <v>7540</v>
      </c>
      <c r="C2767" s="1" t="s">
        <v>7541</v>
      </c>
      <c r="D2767" s="1" t="s">
        <v>7542</v>
      </c>
      <c r="E2767" s="7">
        <v>29</v>
      </c>
    </row>
    <row r="2768" spans="1:5" x14ac:dyDescent="0.25">
      <c r="A2768" s="5" t="s">
        <v>6</v>
      </c>
      <c r="B2768" s="5" t="s">
        <v>7543</v>
      </c>
      <c r="C2768" s="1" t="s">
        <v>7544</v>
      </c>
      <c r="D2768" s="1" t="s">
        <v>7545</v>
      </c>
      <c r="E2768" s="7">
        <v>158</v>
      </c>
    </row>
    <row r="2769" spans="1:5" x14ac:dyDescent="0.25">
      <c r="A2769" s="5" t="s">
        <v>6</v>
      </c>
      <c r="B2769" s="5" t="s">
        <v>7546</v>
      </c>
      <c r="C2769" s="1" t="s">
        <v>7547</v>
      </c>
      <c r="D2769" s="1" t="s">
        <v>7548</v>
      </c>
      <c r="E2769" s="7">
        <v>28</v>
      </c>
    </row>
    <row r="2770" spans="1:5" x14ac:dyDescent="0.25">
      <c r="A2770" s="5" t="s">
        <v>6</v>
      </c>
      <c r="B2770" s="5" t="s">
        <v>7549</v>
      </c>
      <c r="C2770" s="1" t="s">
        <v>7550</v>
      </c>
      <c r="D2770" s="1" t="s">
        <v>7551</v>
      </c>
      <c r="E2770" s="7">
        <v>51</v>
      </c>
    </row>
    <row r="2771" spans="1:5" x14ac:dyDescent="0.25">
      <c r="A2771" s="5" t="s">
        <v>6</v>
      </c>
      <c r="B2771" s="5" t="s">
        <v>7552</v>
      </c>
      <c r="C2771" s="1" t="s">
        <v>7553</v>
      </c>
      <c r="D2771" s="1" t="s">
        <v>7554</v>
      </c>
      <c r="E2771" s="7">
        <v>29</v>
      </c>
    </row>
    <row r="2772" spans="1:5" x14ac:dyDescent="0.25">
      <c r="A2772" s="5" t="s">
        <v>6</v>
      </c>
      <c r="B2772" s="5" t="s">
        <v>7555</v>
      </c>
      <c r="C2772" s="1" t="s">
        <v>7556</v>
      </c>
      <c r="D2772" s="1" t="s">
        <v>7557</v>
      </c>
      <c r="E2772" s="7">
        <v>19</v>
      </c>
    </row>
    <row r="2773" spans="1:5" x14ac:dyDescent="0.25">
      <c r="A2773" s="5" t="s">
        <v>6</v>
      </c>
      <c r="B2773" s="5" t="s">
        <v>7558</v>
      </c>
      <c r="C2773" s="1" t="s">
        <v>7559</v>
      </c>
      <c r="D2773" s="1" t="s">
        <v>7560</v>
      </c>
      <c r="E2773" s="7">
        <v>29</v>
      </c>
    </row>
    <row r="2774" spans="1:5" x14ac:dyDescent="0.25">
      <c r="A2774" s="5" t="s">
        <v>6</v>
      </c>
      <c r="B2774" s="5" t="s">
        <v>7561</v>
      </c>
      <c r="C2774" s="1" t="s">
        <v>7562</v>
      </c>
      <c r="D2774" s="1" t="s">
        <v>7563</v>
      </c>
      <c r="E2774" s="7">
        <v>33</v>
      </c>
    </row>
    <row r="2775" spans="1:5" x14ac:dyDescent="0.25">
      <c r="A2775" s="5" t="s">
        <v>6</v>
      </c>
      <c r="B2775" s="5" t="s">
        <v>7564</v>
      </c>
      <c r="C2775" s="1" t="s">
        <v>7565</v>
      </c>
      <c r="D2775" s="1" t="s">
        <v>7566</v>
      </c>
      <c r="E2775" s="7">
        <v>19</v>
      </c>
    </row>
    <row r="2776" spans="1:5" x14ac:dyDescent="0.25">
      <c r="A2776" s="5" t="s">
        <v>6</v>
      </c>
      <c r="B2776" s="5" t="s">
        <v>7567</v>
      </c>
      <c r="C2776" s="1" t="s">
        <v>7568</v>
      </c>
      <c r="D2776" s="1" t="s">
        <v>7569</v>
      </c>
      <c r="E2776" s="7">
        <v>26</v>
      </c>
    </row>
    <row r="2777" spans="1:5" x14ac:dyDescent="0.25">
      <c r="A2777" s="5" t="s">
        <v>6</v>
      </c>
      <c r="B2777" s="5" t="s">
        <v>7570</v>
      </c>
      <c r="C2777" s="1" t="s">
        <v>7571</v>
      </c>
      <c r="D2777" s="1" t="s">
        <v>7572</v>
      </c>
      <c r="E2777" s="7">
        <v>5</v>
      </c>
    </row>
    <row r="2778" spans="1:5" x14ac:dyDescent="0.25">
      <c r="A2778" s="5" t="s">
        <v>6</v>
      </c>
      <c r="B2778" s="5" t="s">
        <v>7573</v>
      </c>
      <c r="C2778" s="1" t="s">
        <v>7574</v>
      </c>
      <c r="D2778" s="1" t="s">
        <v>7575</v>
      </c>
      <c r="E2778" s="7">
        <v>31</v>
      </c>
    </row>
    <row r="2779" spans="1:5" x14ac:dyDescent="0.25">
      <c r="A2779" s="5" t="s">
        <v>6</v>
      </c>
      <c r="B2779" s="5" t="s">
        <v>7576</v>
      </c>
      <c r="C2779" s="1" t="s">
        <v>7577</v>
      </c>
      <c r="D2779" s="1" t="s">
        <v>7578</v>
      </c>
      <c r="E2779" s="7">
        <v>3</v>
      </c>
    </row>
    <row r="2780" spans="1:5" x14ac:dyDescent="0.25">
      <c r="A2780" s="5" t="s">
        <v>6</v>
      </c>
      <c r="B2780" s="5" t="s">
        <v>7579</v>
      </c>
      <c r="C2780" s="1" t="s">
        <v>7580</v>
      </c>
      <c r="D2780" s="1" t="s">
        <v>7581</v>
      </c>
      <c r="E2780" s="7">
        <v>14</v>
      </c>
    </row>
    <row r="2781" spans="1:5" x14ac:dyDescent="0.25">
      <c r="A2781" s="5" t="s">
        <v>6</v>
      </c>
      <c r="B2781" s="5" t="s">
        <v>7582</v>
      </c>
      <c r="C2781" s="1" t="s">
        <v>7583</v>
      </c>
      <c r="D2781" s="1" t="s">
        <v>7584</v>
      </c>
      <c r="E2781" s="7">
        <v>44</v>
      </c>
    </row>
    <row r="2782" spans="1:5" x14ac:dyDescent="0.25">
      <c r="A2782" s="5" t="s">
        <v>6</v>
      </c>
      <c r="B2782" s="5" t="s">
        <v>7585</v>
      </c>
      <c r="C2782" s="1" t="s">
        <v>7586</v>
      </c>
      <c r="D2782" s="1" t="s">
        <v>7587</v>
      </c>
      <c r="E2782" s="7">
        <v>63</v>
      </c>
    </row>
    <row r="2783" spans="1:5" x14ac:dyDescent="0.25">
      <c r="A2783" s="5" t="s">
        <v>6</v>
      </c>
      <c r="B2783" s="5" t="s">
        <v>7588</v>
      </c>
      <c r="C2783" s="1" t="s">
        <v>7589</v>
      </c>
      <c r="D2783" s="1" t="s">
        <v>7590</v>
      </c>
      <c r="E2783" s="7">
        <v>33</v>
      </c>
    </row>
    <row r="2784" spans="1:5" x14ac:dyDescent="0.25">
      <c r="A2784" s="5" t="s">
        <v>6</v>
      </c>
      <c r="B2784" s="5" t="s">
        <v>7591</v>
      </c>
      <c r="C2784" s="1" t="s">
        <v>7592</v>
      </c>
      <c r="D2784" s="1" t="s">
        <v>7593</v>
      </c>
      <c r="E2784" s="7">
        <v>38</v>
      </c>
    </row>
    <row r="2785" spans="1:5" x14ac:dyDescent="0.25">
      <c r="A2785" s="5" t="s">
        <v>6</v>
      </c>
      <c r="B2785" s="5" t="s">
        <v>7594</v>
      </c>
      <c r="C2785" s="1" t="s">
        <v>7595</v>
      </c>
      <c r="D2785" s="1" t="s">
        <v>7596</v>
      </c>
      <c r="E2785" s="7">
        <v>41</v>
      </c>
    </row>
    <row r="2786" spans="1:5" x14ac:dyDescent="0.25">
      <c r="A2786" s="5" t="s">
        <v>6</v>
      </c>
      <c r="B2786" s="5" t="s">
        <v>7597</v>
      </c>
      <c r="C2786" s="1" t="s">
        <v>7598</v>
      </c>
      <c r="D2786" s="1" t="s">
        <v>7599</v>
      </c>
      <c r="E2786" s="7">
        <v>32</v>
      </c>
    </row>
    <row r="2787" spans="1:5" x14ac:dyDescent="0.25">
      <c r="A2787" s="5" t="s">
        <v>6</v>
      </c>
      <c r="B2787" s="5" t="s">
        <v>7600</v>
      </c>
      <c r="C2787" s="1" t="s">
        <v>7601</v>
      </c>
      <c r="D2787" s="1" t="s">
        <v>7602</v>
      </c>
      <c r="E2787" s="7">
        <v>44</v>
      </c>
    </row>
    <row r="2788" spans="1:5" x14ac:dyDescent="0.25">
      <c r="A2788" s="5" t="s">
        <v>6</v>
      </c>
      <c r="B2788" s="5" t="s">
        <v>7603</v>
      </c>
      <c r="C2788" s="1" t="s">
        <v>7604</v>
      </c>
      <c r="D2788" s="1" t="s">
        <v>7605</v>
      </c>
      <c r="E2788" s="7">
        <v>12</v>
      </c>
    </row>
    <row r="2789" spans="1:5" x14ac:dyDescent="0.25">
      <c r="A2789" s="5" t="s">
        <v>6</v>
      </c>
      <c r="B2789" s="5" t="s">
        <v>7606</v>
      </c>
      <c r="C2789" s="1" t="s">
        <v>7607</v>
      </c>
      <c r="D2789" s="1" t="s">
        <v>7608</v>
      </c>
      <c r="E2789" s="7">
        <v>44</v>
      </c>
    </row>
    <row r="2790" spans="1:5" x14ac:dyDescent="0.25">
      <c r="A2790" s="5" t="s">
        <v>6</v>
      </c>
      <c r="B2790" s="5" t="s">
        <v>7609</v>
      </c>
      <c r="C2790" s="1" t="s">
        <v>7610</v>
      </c>
      <c r="D2790" s="1" t="s">
        <v>7611</v>
      </c>
      <c r="E2790" s="7">
        <v>13</v>
      </c>
    </row>
    <row r="2791" spans="1:5" x14ac:dyDescent="0.25">
      <c r="A2791" s="5" t="s">
        <v>6</v>
      </c>
      <c r="B2791" s="5" t="s">
        <v>7612</v>
      </c>
      <c r="C2791" s="1" t="s">
        <v>7613</v>
      </c>
      <c r="D2791" s="1" t="s">
        <v>7614</v>
      </c>
      <c r="E2791" s="7">
        <v>38</v>
      </c>
    </row>
    <row r="2792" spans="1:5" x14ac:dyDescent="0.25">
      <c r="A2792" s="5" t="s">
        <v>6</v>
      </c>
      <c r="B2792" s="5" t="s">
        <v>7615</v>
      </c>
      <c r="C2792" s="1" t="s">
        <v>7616</v>
      </c>
      <c r="D2792" s="1" t="s">
        <v>7617</v>
      </c>
      <c r="E2792" s="7">
        <v>29</v>
      </c>
    </row>
    <row r="2793" spans="1:5" x14ac:dyDescent="0.25">
      <c r="A2793" s="5" t="s">
        <v>6</v>
      </c>
      <c r="B2793" s="5" t="s">
        <v>7618</v>
      </c>
      <c r="C2793" s="1" t="s">
        <v>7619</v>
      </c>
      <c r="D2793" s="1" t="s">
        <v>7620</v>
      </c>
      <c r="E2793" s="7">
        <v>40</v>
      </c>
    </row>
    <row r="2794" spans="1:5" x14ac:dyDescent="0.25">
      <c r="A2794" s="5" t="s">
        <v>6</v>
      </c>
      <c r="B2794" s="5" t="s">
        <v>7621</v>
      </c>
      <c r="C2794" s="1" t="s">
        <v>7622</v>
      </c>
      <c r="D2794" s="1" t="s">
        <v>7623</v>
      </c>
      <c r="E2794" s="7">
        <v>29</v>
      </c>
    </row>
    <row r="2795" spans="1:5" x14ac:dyDescent="0.25">
      <c r="A2795" s="5" t="s">
        <v>6</v>
      </c>
      <c r="B2795" s="5" t="s">
        <v>7624</v>
      </c>
      <c r="C2795" s="1" t="s">
        <v>7625</v>
      </c>
      <c r="D2795" s="1" t="s">
        <v>7626</v>
      </c>
      <c r="E2795" s="7">
        <v>26</v>
      </c>
    </row>
    <row r="2796" spans="1:5" x14ac:dyDescent="0.25">
      <c r="A2796" s="5" t="s">
        <v>6</v>
      </c>
      <c r="B2796" s="5" t="s">
        <v>7627</v>
      </c>
      <c r="C2796" s="1" t="s">
        <v>7628</v>
      </c>
      <c r="D2796" s="1" t="s">
        <v>7629</v>
      </c>
      <c r="E2796" s="7">
        <v>31</v>
      </c>
    </row>
    <row r="2797" spans="1:5" x14ac:dyDescent="0.25">
      <c r="A2797" s="5" t="s">
        <v>6</v>
      </c>
      <c r="B2797" s="5" t="s">
        <v>7630</v>
      </c>
      <c r="C2797" s="1" t="s">
        <v>7631</v>
      </c>
      <c r="D2797" s="1" t="s">
        <v>7632</v>
      </c>
      <c r="E2797" s="7">
        <v>18</v>
      </c>
    </row>
    <row r="2798" spans="1:5" x14ac:dyDescent="0.25">
      <c r="A2798" s="5" t="s">
        <v>6</v>
      </c>
      <c r="B2798" s="5" t="s">
        <v>7633</v>
      </c>
      <c r="C2798" s="1" t="s">
        <v>7634</v>
      </c>
      <c r="D2798" s="1" t="s">
        <v>7635</v>
      </c>
      <c r="E2798" s="7">
        <v>49</v>
      </c>
    </row>
    <row r="2799" spans="1:5" x14ac:dyDescent="0.25">
      <c r="A2799" s="5" t="s">
        <v>6</v>
      </c>
      <c r="B2799" s="5" t="s">
        <v>7636</v>
      </c>
      <c r="C2799" s="1" t="s">
        <v>7637</v>
      </c>
      <c r="D2799" s="1" t="s">
        <v>7638</v>
      </c>
      <c r="E2799" s="7">
        <v>90</v>
      </c>
    </row>
    <row r="2800" spans="1:5" x14ac:dyDescent="0.25">
      <c r="A2800" s="5" t="s">
        <v>6</v>
      </c>
      <c r="B2800" s="5" t="s">
        <v>7639</v>
      </c>
      <c r="C2800" s="1" t="s">
        <v>7640</v>
      </c>
      <c r="D2800" s="1" t="s">
        <v>7640</v>
      </c>
      <c r="E2800" s="7">
        <v>19</v>
      </c>
    </row>
    <row r="2801" spans="1:5" x14ac:dyDescent="0.25">
      <c r="A2801" s="5" t="s">
        <v>6</v>
      </c>
      <c r="B2801" s="5" t="s">
        <v>7641</v>
      </c>
      <c r="C2801" s="1" t="s">
        <v>7642</v>
      </c>
      <c r="D2801" s="1" t="s">
        <v>7643</v>
      </c>
      <c r="E2801" s="7">
        <v>23</v>
      </c>
    </row>
    <row r="2802" spans="1:5" x14ac:dyDescent="0.25">
      <c r="A2802" s="5" t="s">
        <v>6</v>
      </c>
      <c r="B2802" s="5" t="s">
        <v>7644</v>
      </c>
      <c r="C2802" s="1" t="s">
        <v>7645</v>
      </c>
      <c r="D2802" s="1" t="s">
        <v>7646</v>
      </c>
      <c r="E2802" s="7">
        <v>19</v>
      </c>
    </row>
    <row r="2803" spans="1:5" x14ac:dyDescent="0.25">
      <c r="A2803" s="5" t="s">
        <v>6</v>
      </c>
      <c r="B2803" s="5" t="s">
        <v>7647</v>
      </c>
      <c r="C2803" s="1" t="s">
        <v>7648</v>
      </c>
      <c r="D2803" s="1" t="s">
        <v>7648</v>
      </c>
      <c r="E2803" s="7">
        <v>23</v>
      </c>
    </row>
    <row r="2804" spans="1:5" x14ac:dyDescent="0.25">
      <c r="A2804" s="5" t="s">
        <v>6</v>
      </c>
      <c r="B2804" s="5" t="s">
        <v>7649</v>
      </c>
      <c r="C2804" s="1" t="s">
        <v>7650</v>
      </c>
      <c r="D2804" s="1" t="s">
        <v>7650</v>
      </c>
      <c r="E2804" s="7">
        <v>18</v>
      </c>
    </row>
    <row r="2805" spans="1:5" x14ac:dyDescent="0.25">
      <c r="A2805" s="5" t="s">
        <v>6</v>
      </c>
      <c r="B2805" s="5" t="s">
        <v>7651</v>
      </c>
      <c r="C2805" s="1" t="s">
        <v>7652</v>
      </c>
      <c r="D2805" s="1" t="s">
        <v>7653</v>
      </c>
      <c r="E2805" s="7">
        <v>51</v>
      </c>
    </row>
    <row r="2806" spans="1:5" x14ac:dyDescent="0.25">
      <c r="A2806" s="5" t="s">
        <v>6</v>
      </c>
      <c r="B2806" s="5" t="s">
        <v>7654</v>
      </c>
      <c r="C2806" s="1" t="s">
        <v>7655</v>
      </c>
      <c r="D2806" s="1" t="s">
        <v>7656</v>
      </c>
      <c r="E2806" s="7">
        <v>23</v>
      </c>
    </row>
    <row r="2807" spans="1:5" x14ac:dyDescent="0.25">
      <c r="A2807" s="5" t="s">
        <v>6</v>
      </c>
      <c r="B2807" s="5" t="s">
        <v>7657</v>
      </c>
      <c r="C2807" s="1" t="s">
        <v>7658</v>
      </c>
      <c r="D2807" s="1" t="s">
        <v>7659</v>
      </c>
      <c r="E2807" s="7">
        <v>33</v>
      </c>
    </row>
    <row r="2808" spans="1:5" x14ac:dyDescent="0.25">
      <c r="A2808" s="5" t="s">
        <v>6</v>
      </c>
      <c r="B2808" s="5" t="s">
        <v>7660</v>
      </c>
      <c r="C2808" s="1" t="s">
        <v>7661</v>
      </c>
      <c r="D2808" s="1" t="s">
        <v>7662</v>
      </c>
      <c r="E2808" s="7">
        <v>1</v>
      </c>
    </row>
    <row r="2809" spans="1:5" x14ac:dyDescent="0.25">
      <c r="A2809" s="5" t="s">
        <v>6</v>
      </c>
      <c r="B2809" s="5" t="s">
        <v>7663</v>
      </c>
      <c r="C2809" s="1" t="s">
        <v>7664</v>
      </c>
      <c r="D2809" s="1" t="s">
        <v>7664</v>
      </c>
      <c r="E2809" s="7">
        <v>30</v>
      </c>
    </row>
    <row r="2810" spans="1:5" x14ac:dyDescent="0.25">
      <c r="A2810" s="5" t="s">
        <v>6</v>
      </c>
      <c r="B2810" s="5" t="s">
        <v>7665</v>
      </c>
      <c r="C2810" s="1" t="s">
        <v>7666</v>
      </c>
      <c r="D2810" s="1" t="s">
        <v>7666</v>
      </c>
      <c r="E2810" s="7">
        <v>29</v>
      </c>
    </row>
    <row r="2811" spans="1:5" x14ac:dyDescent="0.25">
      <c r="A2811" s="5" t="s">
        <v>6</v>
      </c>
      <c r="B2811" s="5" t="s">
        <v>7667</v>
      </c>
      <c r="C2811" s="1" t="s">
        <v>7668</v>
      </c>
      <c r="D2811" s="1" t="s">
        <v>7668</v>
      </c>
      <c r="E2811" s="7">
        <v>31</v>
      </c>
    </row>
    <row r="2812" spans="1:5" x14ac:dyDescent="0.25">
      <c r="A2812" s="5" t="s">
        <v>6</v>
      </c>
      <c r="B2812" s="5" t="s">
        <v>7669</v>
      </c>
      <c r="C2812" s="1" t="s">
        <v>7670</v>
      </c>
      <c r="D2812" s="1" t="s">
        <v>7671</v>
      </c>
      <c r="E2812" s="7">
        <v>19</v>
      </c>
    </row>
    <row r="2813" spans="1:5" x14ac:dyDescent="0.25">
      <c r="A2813" s="5" t="s">
        <v>6</v>
      </c>
      <c r="B2813" s="5" t="s">
        <v>7672</v>
      </c>
      <c r="C2813" s="1" t="s">
        <v>7673</v>
      </c>
      <c r="D2813" s="1" t="s">
        <v>7674</v>
      </c>
      <c r="E2813" s="7">
        <v>29</v>
      </c>
    </row>
    <row r="2814" spans="1:5" x14ac:dyDescent="0.25">
      <c r="A2814" s="5" t="s">
        <v>6</v>
      </c>
      <c r="B2814" s="5" t="s">
        <v>7675</v>
      </c>
      <c r="C2814" s="1" t="s">
        <v>7676</v>
      </c>
      <c r="D2814" s="1" t="s">
        <v>7677</v>
      </c>
      <c r="E2814" s="7">
        <v>18</v>
      </c>
    </row>
    <row r="2815" spans="1:5" x14ac:dyDescent="0.25">
      <c r="A2815" s="5" t="s">
        <v>6</v>
      </c>
      <c r="B2815" s="5" t="s">
        <v>7678</v>
      </c>
      <c r="C2815" s="1" t="s">
        <v>7679</v>
      </c>
      <c r="D2815" s="1" t="s">
        <v>7680</v>
      </c>
      <c r="E2815" s="7">
        <v>31</v>
      </c>
    </row>
    <row r="2816" spans="1:5" x14ac:dyDescent="0.25">
      <c r="A2816" s="5" t="s">
        <v>6</v>
      </c>
      <c r="B2816" s="5" t="s">
        <v>7681</v>
      </c>
      <c r="C2816" s="1" t="s">
        <v>7682</v>
      </c>
      <c r="D2816" s="1" t="s">
        <v>7683</v>
      </c>
      <c r="E2816" s="7">
        <v>29</v>
      </c>
    </row>
    <row r="2817" spans="1:5" x14ac:dyDescent="0.25">
      <c r="A2817" s="5" t="s">
        <v>6</v>
      </c>
      <c r="B2817" s="5" t="s">
        <v>7684</v>
      </c>
      <c r="C2817" s="1" t="s">
        <v>7685</v>
      </c>
      <c r="D2817" s="1" t="s">
        <v>7686</v>
      </c>
      <c r="E2817" s="7">
        <v>29</v>
      </c>
    </row>
    <row r="2818" spans="1:5" x14ac:dyDescent="0.25">
      <c r="A2818" s="5" t="s">
        <v>6</v>
      </c>
      <c r="B2818" s="5" t="s">
        <v>7687</v>
      </c>
      <c r="C2818" s="1" t="s">
        <v>7688</v>
      </c>
      <c r="D2818" s="1" t="s">
        <v>7689</v>
      </c>
      <c r="E2818" s="7">
        <v>17</v>
      </c>
    </row>
    <row r="2819" spans="1:5" x14ac:dyDescent="0.25">
      <c r="A2819" s="5" t="s">
        <v>6</v>
      </c>
      <c r="B2819" s="5" t="s">
        <v>7690</v>
      </c>
      <c r="C2819" s="1" t="s">
        <v>7691</v>
      </c>
      <c r="D2819" s="1" t="s">
        <v>7692</v>
      </c>
      <c r="E2819" s="7">
        <v>12</v>
      </c>
    </row>
    <row r="2820" spans="1:5" x14ac:dyDescent="0.25">
      <c r="A2820" s="5" t="s">
        <v>6</v>
      </c>
      <c r="B2820" s="5" t="s">
        <v>7693</v>
      </c>
      <c r="C2820" s="1" t="s">
        <v>7694</v>
      </c>
      <c r="D2820" s="1" t="s">
        <v>7695</v>
      </c>
      <c r="E2820" s="7">
        <v>12</v>
      </c>
    </row>
    <row r="2821" spans="1:5" x14ac:dyDescent="0.25">
      <c r="A2821" s="5" t="s">
        <v>6</v>
      </c>
      <c r="B2821" s="5" t="s">
        <v>7696</v>
      </c>
      <c r="C2821" s="1" t="s">
        <v>7697</v>
      </c>
      <c r="D2821" s="1" t="s">
        <v>7698</v>
      </c>
      <c r="E2821" s="7">
        <v>31</v>
      </c>
    </row>
    <row r="2822" spans="1:5" x14ac:dyDescent="0.25">
      <c r="A2822" s="5" t="s">
        <v>6</v>
      </c>
      <c r="B2822" s="5" t="s">
        <v>7699</v>
      </c>
      <c r="C2822" s="1" t="s">
        <v>7700</v>
      </c>
      <c r="D2822" s="1" t="s">
        <v>7701</v>
      </c>
      <c r="E2822" s="7">
        <v>33</v>
      </c>
    </row>
    <row r="2823" spans="1:5" x14ac:dyDescent="0.25">
      <c r="A2823" s="5" t="s">
        <v>6</v>
      </c>
      <c r="B2823" s="5" t="s">
        <v>7702</v>
      </c>
      <c r="C2823" s="1" t="s">
        <v>7703</v>
      </c>
      <c r="D2823" s="1" t="s">
        <v>7704</v>
      </c>
      <c r="E2823" s="7">
        <v>19</v>
      </c>
    </row>
    <row r="2824" spans="1:5" x14ac:dyDescent="0.25">
      <c r="A2824" s="5" t="s">
        <v>6</v>
      </c>
      <c r="B2824" s="5" t="s">
        <v>7705</v>
      </c>
      <c r="C2824" s="1" t="s">
        <v>7706</v>
      </c>
      <c r="D2824" s="1" t="s">
        <v>7707</v>
      </c>
      <c r="E2824" s="7">
        <v>29</v>
      </c>
    </row>
    <row r="2825" spans="1:5" x14ac:dyDescent="0.25">
      <c r="A2825" s="5" t="s">
        <v>6</v>
      </c>
      <c r="B2825" s="5" t="s">
        <v>7708</v>
      </c>
      <c r="C2825" s="1" t="s">
        <v>7709</v>
      </c>
      <c r="D2825" s="1" t="s">
        <v>7710</v>
      </c>
      <c r="E2825" s="7">
        <v>63</v>
      </c>
    </row>
    <row r="2826" spans="1:5" x14ac:dyDescent="0.25">
      <c r="A2826" s="5" t="s">
        <v>6</v>
      </c>
      <c r="B2826" s="5" t="s">
        <v>7711</v>
      </c>
      <c r="C2826" s="1" t="s">
        <v>7712</v>
      </c>
      <c r="D2826" s="1" t="s">
        <v>7712</v>
      </c>
      <c r="E2826" s="7">
        <v>19</v>
      </c>
    </row>
    <row r="2827" spans="1:5" x14ac:dyDescent="0.25">
      <c r="A2827" s="5" t="s">
        <v>6</v>
      </c>
      <c r="B2827" s="5" t="s">
        <v>7713</v>
      </c>
      <c r="C2827" s="1" t="s">
        <v>7714</v>
      </c>
      <c r="D2827" s="1" t="s">
        <v>7714</v>
      </c>
      <c r="E2827" s="7">
        <v>19</v>
      </c>
    </row>
    <row r="2828" spans="1:5" x14ac:dyDescent="0.25">
      <c r="A2828" s="5" t="s">
        <v>6</v>
      </c>
      <c r="B2828" s="5" t="s">
        <v>7715</v>
      </c>
      <c r="C2828" s="1" t="s">
        <v>7716</v>
      </c>
      <c r="D2828" s="1" t="s">
        <v>7717</v>
      </c>
      <c r="E2828" s="7">
        <v>23</v>
      </c>
    </row>
    <row r="2829" spans="1:5" x14ac:dyDescent="0.25">
      <c r="A2829" s="5" t="s">
        <v>6</v>
      </c>
      <c r="B2829" s="5" t="s">
        <v>7718</v>
      </c>
      <c r="C2829" s="1" t="s">
        <v>7719</v>
      </c>
      <c r="D2829" s="1" t="s">
        <v>7719</v>
      </c>
      <c r="E2829" s="7">
        <v>31</v>
      </c>
    </row>
    <row r="2830" spans="1:5" x14ac:dyDescent="0.25">
      <c r="A2830" s="5" t="s">
        <v>6</v>
      </c>
      <c r="B2830" s="5" t="s">
        <v>7720</v>
      </c>
      <c r="C2830" s="1" t="s">
        <v>7721</v>
      </c>
      <c r="D2830" s="1" t="s">
        <v>7722</v>
      </c>
      <c r="E2830" s="7">
        <v>23</v>
      </c>
    </row>
    <row r="2831" spans="1:5" x14ac:dyDescent="0.25">
      <c r="A2831" s="5" t="s">
        <v>6</v>
      </c>
      <c r="B2831" s="5" t="s">
        <v>7723</v>
      </c>
      <c r="C2831" s="1" t="s">
        <v>7724</v>
      </c>
      <c r="D2831" s="1" t="s">
        <v>7725</v>
      </c>
      <c r="E2831" s="7">
        <v>5</v>
      </c>
    </row>
    <row r="2832" spans="1:5" x14ac:dyDescent="0.25">
      <c r="A2832" s="5" t="s">
        <v>6</v>
      </c>
      <c r="B2832" s="5" t="s">
        <v>7726</v>
      </c>
      <c r="C2832" s="1" t="s">
        <v>7727</v>
      </c>
      <c r="D2832" s="1" t="s">
        <v>7728</v>
      </c>
      <c r="E2832" s="7">
        <v>26</v>
      </c>
    </row>
    <row r="2833" spans="1:5" x14ac:dyDescent="0.25">
      <c r="A2833" s="5" t="s">
        <v>6</v>
      </c>
      <c r="B2833" s="5" t="s">
        <v>7729</v>
      </c>
      <c r="C2833" s="1" t="s">
        <v>7730</v>
      </c>
      <c r="D2833" s="1" t="s">
        <v>7731</v>
      </c>
      <c r="E2833" s="7">
        <v>28</v>
      </c>
    </row>
    <row r="2834" spans="1:5" x14ac:dyDescent="0.25">
      <c r="A2834" s="5" t="s">
        <v>6</v>
      </c>
      <c r="B2834" s="5" t="s">
        <v>7732</v>
      </c>
      <c r="C2834" s="1" t="s">
        <v>7733</v>
      </c>
      <c r="D2834" s="1" t="s">
        <v>7734</v>
      </c>
      <c r="E2834" s="7">
        <v>19</v>
      </c>
    </row>
    <row r="2835" spans="1:5" x14ac:dyDescent="0.25">
      <c r="A2835" s="5" t="s">
        <v>6</v>
      </c>
      <c r="B2835" s="5" t="s">
        <v>7735</v>
      </c>
      <c r="C2835" s="1" t="s">
        <v>7736</v>
      </c>
      <c r="D2835" s="1" t="s">
        <v>7737</v>
      </c>
      <c r="E2835" s="7">
        <v>49</v>
      </c>
    </row>
    <row r="2836" spans="1:5" x14ac:dyDescent="0.25">
      <c r="A2836" s="5" t="s">
        <v>6</v>
      </c>
      <c r="B2836" s="5" t="s">
        <v>7738</v>
      </c>
      <c r="C2836" s="1" t="s">
        <v>7739</v>
      </c>
      <c r="D2836" s="1" t="s">
        <v>7740</v>
      </c>
      <c r="E2836" s="7">
        <v>44</v>
      </c>
    </row>
    <row r="2837" spans="1:5" x14ac:dyDescent="0.25">
      <c r="A2837" s="5" t="s">
        <v>6</v>
      </c>
      <c r="B2837" s="5" t="s">
        <v>7741</v>
      </c>
      <c r="C2837" s="1" t="s">
        <v>7742</v>
      </c>
      <c r="D2837" s="1" t="s">
        <v>7743</v>
      </c>
      <c r="E2837" s="7">
        <v>38</v>
      </c>
    </row>
    <row r="2838" spans="1:5" x14ac:dyDescent="0.25">
      <c r="A2838" s="5" t="s">
        <v>6</v>
      </c>
      <c r="B2838" s="5" t="s">
        <v>7744</v>
      </c>
      <c r="C2838" s="1" t="s">
        <v>7745</v>
      </c>
      <c r="D2838" s="1" t="s">
        <v>7746</v>
      </c>
      <c r="E2838" s="7">
        <v>29</v>
      </c>
    </row>
    <row r="2839" spans="1:5" x14ac:dyDescent="0.25">
      <c r="A2839" s="5" t="s">
        <v>6</v>
      </c>
      <c r="B2839" s="5" t="s">
        <v>7747</v>
      </c>
      <c r="C2839" s="1" t="s">
        <v>7748</v>
      </c>
      <c r="D2839" s="1" t="s">
        <v>7749</v>
      </c>
      <c r="E2839" s="7">
        <v>38</v>
      </c>
    </row>
    <row r="2840" spans="1:5" x14ac:dyDescent="0.25">
      <c r="A2840" s="5" t="s">
        <v>6</v>
      </c>
      <c r="B2840" s="5" t="s">
        <v>7750</v>
      </c>
      <c r="C2840" s="1" t="s">
        <v>7751</v>
      </c>
      <c r="D2840" s="1" t="s">
        <v>7752</v>
      </c>
      <c r="E2840" s="7">
        <v>72</v>
      </c>
    </row>
    <row r="2841" spans="1:5" x14ac:dyDescent="0.25">
      <c r="A2841" s="5" t="s">
        <v>6</v>
      </c>
      <c r="B2841" s="5" t="s">
        <v>7753</v>
      </c>
      <c r="C2841" s="1" t="s">
        <v>7754</v>
      </c>
      <c r="D2841" s="1" t="s">
        <v>7755</v>
      </c>
      <c r="E2841" s="7">
        <v>27</v>
      </c>
    </row>
    <row r="2842" spans="1:5" x14ac:dyDescent="0.25">
      <c r="A2842" s="5" t="s">
        <v>6</v>
      </c>
      <c r="B2842" s="5" t="s">
        <v>7756</v>
      </c>
      <c r="C2842" s="1" t="s">
        <v>7757</v>
      </c>
      <c r="D2842" s="1" t="s">
        <v>7758</v>
      </c>
      <c r="E2842" s="7">
        <v>30</v>
      </c>
    </row>
    <row r="2843" spans="1:5" x14ac:dyDescent="0.25">
      <c r="A2843" s="5" t="s">
        <v>6</v>
      </c>
      <c r="B2843" s="5" t="s">
        <v>7759</v>
      </c>
      <c r="C2843" s="1" t="s">
        <v>7760</v>
      </c>
      <c r="D2843" s="1" t="s">
        <v>7761</v>
      </c>
      <c r="E2843" s="7">
        <v>30</v>
      </c>
    </row>
    <row r="2844" spans="1:5" x14ac:dyDescent="0.25">
      <c r="A2844" s="5" t="s">
        <v>6</v>
      </c>
      <c r="B2844" s="5" t="s">
        <v>7762</v>
      </c>
      <c r="C2844" s="1" t="s">
        <v>7763</v>
      </c>
      <c r="D2844" s="1" t="s">
        <v>7764</v>
      </c>
      <c r="E2844" s="7">
        <v>29</v>
      </c>
    </row>
    <row r="2845" spans="1:5" x14ac:dyDescent="0.25">
      <c r="A2845" s="5" t="s">
        <v>6</v>
      </c>
      <c r="B2845" s="5" t="s">
        <v>7765</v>
      </c>
      <c r="C2845" s="1" t="s">
        <v>7766</v>
      </c>
      <c r="D2845" s="1" t="s">
        <v>7767</v>
      </c>
      <c r="E2845" s="7">
        <v>51</v>
      </c>
    </row>
    <row r="2846" spans="1:5" x14ac:dyDescent="0.25">
      <c r="A2846" s="5" t="s">
        <v>6</v>
      </c>
      <c r="B2846" s="5" t="s">
        <v>7768</v>
      </c>
      <c r="C2846" s="1" t="s">
        <v>7769</v>
      </c>
      <c r="D2846" s="1" t="s">
        <v>7770</v>
      </c>
      <c r="E2846" s="7">
        <v>23</v>
      </c>
    </row>
    <row r="2847" spans="1:5" x14ac:dyDescent="0.25">
      <c r="A2847" s="5" t="s">
        <v>6</v>
      </c>
      <c r="B2847" s="5" t="s">
        <v>7771</v>
      </c>
      <c r="C2847" s="1" t="s">
        <v>7772</v>
      </c>
      <c r="D2847" s="1" t="s">
        <v>7773</v>
      </c>
      <c r="E2847" s="7">
        <v>31</v>
      </c>
    </row>
    <row r="2848" spans="1:5" x14ac:dyDescent="0.25">
      <c r="A2848" s="5" t="s">
        <v>6</v>
      </c>
      <c r="B2848" s="5" t="s">
        <v>7774</v>
      </c>
      <c r="C2848" s="1" t="s">
        <v>7775</v>
      </c>
      <c r="D2848" s="1" t="s">
        <v>7776</v>
      </c>
      <c r="E2848" s="7">
        <v>31</v>
      </c>
    </row>
    <row r="2849" spans="1:5" x14ac:dyDescent="0.25">
      <c r="A2849" s="5" t="s">
        <v>6</v>
      </c>
      <c r="B2849" s="5" t="s">
        <v>7777</v>
      </c>
      <c r="C2849" s="1" t="s">
        <v>7778</v>
      </c>
      <c r="D2849" s="1" t="s">
        <v>7779</v>
      </c>
      <c r="E2849" s="7">
        <v>80</v>
      </c>
    </row>
    <row r="2850" spans="1:5" x14ac:dyDescent="0.25">
      <c r="A2850" s="5" t="s">
        <v>6</v>
      </c>
      <c r="B2850" s="5" t="s">
        <v>7780</v>
      </c>
      <c r="C2850" s="1" t="s">
        <v>7781</v>
      </c>
      <c r="D2850" s="1" t="s">
        <v>7782</v>
      </c>
      <c r="E2850" s="7">
        <v>73</v>
      </c>
    </row>
    <row r="2851" spans="1:5" x14ac:dyDescent="0.25">
      <c r="A2851" s="5" t="s">
        <v>6</v>
      </c>
      <c r="B2851" s="5" t="s">
        <v>7783</v>
      </c>
      <c r="C2851" s="1" t="s">
        <v>7784</v>
      </c>
      <c r="D2851" s="1" t="s">
        <v>7785</v>
      </c>
      <c r="E2851" s="7">
        <v>80</v>
      </c>
    </row>
    <row r="2852" spans="1:5" x14ac:dyDescent="0.25">
      <c r="A2852" s="5" t="s">
        <v>6</v>
      </c>
      <c r="B2852" s="5" t="s">
        <v>7786</v>
      </c>
      <c r="C2852" s="1" t="s">
        <v>7787</v>
      </c>
      <c r="D2852" s="1" t="s">
        <v>7788</v>
      </c>
      <c r="E2852" s="7">
        <v>76</v>
      </c>
    </row>
    <row r="2853" spans="1:5" x14ac:dyDescent="0.25">
      <c r="A2853" s="5" t="s">
        <v>6</v>
      </c>
      <c r="B2853" s="5" t="s">
        <v>7789</v>
      </c>
      <c r="C2853" s="1" t="s">
        <v>7790</v>
      </c>
      <c r="D2853" s="1" t="s">
        <v>7791</v>
      </c>
      <c r="E2853" s="7">
        <v>19</v>
      </c>
    </row>
    <row r="2854" spans="1:5" x14ac:dyDescent="0.25">
      <c r="A2854" s="5" t="s">
        <v>6</v>
      </c>
      <c r="B2854" s="5" t="s">
        <v>7792</v>
      </c>
      <c r="C2854" s="1" t="s">
        <v>7793</v>
      </c>
      <c r="D2854" s="1" t="s">
        <v>7794</v>
      </c>
      <c r="E2854" s="7">
        <v>25</v>
      </c>
    </row>
    <row r="2855" spans="1:5" x14ac:dyDescent="0.25">
      <c r="A2855" s="5" t="s">
        <v>6</v>
      </c>
      <c r="B2855" s="5" t="s">
        <v>7795</v>
      </c>
      <c r="C2855" s="1" t="s">
        <v>7796</v>
      </c>
      <c r="D2855" s="1" t="s">
        <v>7797</v>
      </c>
      <c r="E2855" s="7">
        <v>26</v>
      </c>
    </row>
    <row r="2856" spans="1:5" x14ac:dyDescent="0.25">
      <c r="A2856" s="5" t="s">
        <v>6</v>
      </c>
      <c r="B2856" s="5" t="s">
        <v>7798</v>
      </c>
      <c r="C2856" s="1" t="s">
        <v>7799</v>
      </c>
      <c r="D2856" s="1" t="s">
        <v>7800</v>
      </c>
      <c r="E2856" s="7">
        <v>66</v>
      </c>
    </row>
    <row r="2857" spans="1:5" x14ac:dyDescent="0.25">
      <c r="A2857" s="5" t="s">
        <v>6</v>
      </c>
      <c r="B2857" s="5" t="s">
        <v>7801</v>
      </c>
      <c r="C2857" s="1" t="s">
        <v>7802</v>
      </c>
      <c r="D2857" s="1" t="s">
        <v>7803</v>
      </c>
      <c r="E2857" s="7">
        <v>31</v>
      </c>
    </row>
    <row r="2858" spans="1:5" x14ac:dyDescent="0.25">
      <c r="A2858" s="5" t="s">
        <v>6</v>
      </c>
      <c r="B2858" s="5" t="s">
        <v>7804</v>
      </c>
      <c r="C2858" s="1" t="s">
        <v>7805</v>
      </c>
      <c r="D2858" s="1" t="s">
        <v>7806</v>
      </c>
      <c r="E2858" s="7">
        <v>53</v>
      </c>
    </row>
    <row r="2859" spans="1:5" x14ac:dyDescent="0.25">
      <c r="A2859" s="5" t="s">
        <v>6</v>
      </c>
      <c r="B2859" s="5" t="s">
        <v>7807</v>
      </c>
      <c r="C2859" s="1" t="s">
        <v>7808</v>
      </c>
      <c r="D2859" s="1" t="s">
        <v>7809</v>
      </c>
      <c r="E2859" s="7">
        <v>15</v>
      </c>
    </row>
    <row r="2860" spans="1:5" x14ac:dyDescent="0.25">
      <c r="A2860" s="5" t="s">
        <v>6</v>
      </c>
      <c r="B2860" s="5" t="s">
        <v>7810</v>
      </c>
      <c r="C2860" s="1" t="s">
        <v>7811</v>
      </c>
      <c r="D2860" s="1" t="s">
        <v>7812</v>
      </c>
      <c r="E2860" s="7">
        <v>30</v>
      </c>
    </row>
    <row r="2861" spans="1:5" x14ac:dyDescent="0.25">
      <c r="A2861" s="5" t="s">
        <v>6</v>
      </c>
      <c r="B2861" s="5" t="s">
        <v>7813</v>
      </c>
      <c r="C2861" s="1" t="s">
        <v>7814</v>
      </c>
      <c r="D2861" s="1" t="s">
        <v>7815</v>
      </c>
      <c r="E2861" s="7">
        <v>161</v>
      </c>
    </row>
    <row r="2862" spans="1:5" x14ac:dyDescent="0.25">
      <c r="A2862" s="5" t="s">
        <v>6</v>
      </c>
      <c r="B2862" s="5" t="s">
        <v>7816</v>
      </c>
      <c r="C2862" s="1" t="s">
        <v>7817</v>
      </c>
      <c r="D2862" s="1" t="s">
        <v>7818</v>
      </c>
      <c r="E2862" s="7">
        <v>31</v>
      </c>
    </row>
    <row r="2863" spans="1:5" x14ac:dyDescent="0.25">
      <c r="A2863" s="5" t="s">
        <v>6</v>
      </c>
      <c r="B2863" s="5" t="s">
        <v>7819</v>
      </c>
      <c r="C2863" s="1" t="s">
        <v>7820</v>
      </c>
      <c r="D2863" s="1" t="s">
        <v>7821</v>
      </c>
      <c r="E2863" s="7">
        <v>143</v>
      </c>
    </row>
    <row r="2864" spans="1:5" x14ac:dyDescent="0.25">
      <c r="A2864" s="5" t="s">
        <v>6</v>
      </c>
      <c r="B2864" s="5" t="s">
        <v>7822</v>
      </c>
      <c r="C2864" s="1" t="s">
        <v>7823</v>
      </c>
      <c r="D2864" s="1" t="s">
        <v>7824</v>
      </c>
      <c r="E2864" s="7">
        <v>63</v>
      </c>
    </row>
    <row r="2865" spans="1:5" x14ac:dyDescent="0.25">
      <c r="A2865" s="5" t="s">
        <v>6</v>
      </c>
      <c r="B2865" s="5" t="s">
        <v>7825</v>
      </c>
      <c r="C2865" s="1" t="s">
        <v>7826</v>
      </c>
      <c r="D2865" s="1" t="s">
        <v>7827</v>
      </c>
      <c r="E2865" s="7">
        <v>104</v>
      </c>
    </row>
    <row r="2866" spans="1:5" x14ac:dyDescent="0.25">
      <c r="A2866" s="5" t="s">
        <v>6</v>
      </c>
      <c r="B2866" s="5" t="s">
        <v>7828</v>
      </c>
      <c r="C2866" s="1" t="s">
        <v>7829</v>
      </c>
      <c r="D2866" s="1" t="s">
        <v>7830</v>
      </c>
      <c r="E2866" s="7">
        <v>40</v>
      </c>
    </row>
    <row r="2867" spans="1:5" x14ac:dyDescent="0.25">
      <c r="A2867" s="5" t="s">
        <v>6</v>
      </c>
      <c r="B2867" s="5" t="s">
        <v>7831</v>
      </c>
      <c r="C2867" s="1" t="s">
        <v>7832</v>
      </c>
      <c r="D2867" s="1" t="s">
        <v>7833</v>
      </c>
      <c r="E2867" s="7">
        <v>45</v>
      </c>
    </row>
    <row r="2868" spans="1:5" x14ac:dyDescent="0.25">
      <c r="A2868" s="5" t="s">
        <v>6</v>
      </c>
      <c r="B2868" s="5" t="s">
        <v>7834</v>
      </c>
      <c r="C2868" s="1" t="s">
        <v>7835</v>
      </c>
      <c r="D2868" s="1" t="s">
        <v>7836</v>
      </c>
      <c r="E2868" s="7">
        <v>53</v>
      </c>
    </row>
    <row r="2869" spans="1:5" x14ac:dyDescent="0.25">
      <c r="A2869" s="5" t="s">
        <v>6</v>
      </c>
      <c r="B2869" s="5" t="s">
        <v>7837</v>
      </c>
      <c r="C2869" s="1" t="s">
        <v>7838</v>
      </c>
      <c r="D2869" s="1" t="s">
        <v>7839</v>
      </c>
      <c r="E2869" s="7">
        <v>26</v>
      </c>
    </row>
    <row r="2870" spans="1:5" x14ac:dyDescent="0.25">
      <c r="A2870" s="5" t="s">
        <v>6</v>
      </c>
      <c r="B2870" s="5" t="s">
        <v>7840</v>
      </c>
      <c r="C2870" s="1" t="s">
        <v>7841</v>
      </c>
      <c r="D2870" s="1" t="s">
        <v>7842</v>
      </c>
      <c r="E2870" s="7">
        <v>15</v>
      </c>
    </row>
    <row r="2871" spans="1:5" x14ac:dyDescent="0.25">
      <c r="A2871" s="5" t="s">
        <v>6</v>
      </c>
      <c r="B2871" s="5" t="s">
        <v>7843</v>
      </c>
      <c r="C2871" s="1" t="s">
        <v>7844</v>
      </c>
      <c r="D2871" s="1" t="s">
        <v>7845</v>
      </c>
      <c r="E2871" s="7">
        <v>12</v>
      </c>
    </row>
    <row r="2872" spans="1:5" x14ac:dyDescent="0.25">
      <c r="A2872" s="5" t="s">
        <v>6</v>
      </c>
      <c r="B2872" s="5" t="s">
        <v>7846</v>
      </c>
      <c r="C2872" s="1" t="s">
        <v>7847</v>
      </c>
      <c r="D2872" s="1" t="s">
        <v>7848</v>
      </c>
      <c r="E2872" s="7">
        <v>5</v>
      </c>
    </row>
    <row r="2873" spans="1:5" x14ac:dyDescent="0.25">
      <c r="A2873" s="5" t="s">
        <v>6</v>
      </c>
      <c r="B2873" s="5" t="s">
        <v>7849</v>
      </c>
      <c r="C2873" s="1" t="s">
        <v>7850</v>
      </c>
      <c r="D2873" s="1" t="s">
        <v>7851</v>
      </c>
      <c r="E2873" s="7">
        <v>31</v>
      </c>
    </row>
    <row r="2874" spans="1:5" x14ac:dyDescent="0.25">
      <c r="A2874" s="5" t="s">
        <v>6</v>
      </c>
      <c r="B2874" s="5" t="s">
        <v>7852</v>
      </c>
      <c r="C2874" s="1" t="s">
        <v>7853</v>
      </c>
      <c r="D2874" s="1" t="s">
        <v>7854</v>
      </c>
      <c r="E2874" s="7">
        <v>31</v>
      </c>
    </row>
    <row r="2875" spans="1:5" x14ac:dyDescent="0.25">
      <c r="A2875" s="5" t="s">
        <v>6</v>
      </c>
      <c r="B2875" s="5" t="s">
        <v>7855</v>
      </c>
      <c r="C2875" s="1" t="s">
        <v>7856</v>
      </c>
      <c r="D2875" s="1" t="s">
        <v>7857</v>
      </c>
      <c r="E2875" s="7">
        <v>26</v>
      </c>
    </row>
    <row r="2876" spans="1:5" x14ac:dyDescent="0.25">
      <c r="A2876" s="5" t="s">
        <v>6</v>
      </c>
      <c r="B2876" s="5" t="s">
        <v>7858</v>
      </c>
      <c r="C2876" s="1" t="s">
        <v>7859</v>
      </c>
      <c r="D2876" s="1" t="s">
        <v>7860</v>
      </c>
      <c r="E2876" s="7">
        <v>5</v>
      </c>
    </row>
    <row r="2877" spans="1:5" x14ac:dyDescent="0.25">
      <c r="A2877" s="5" t="s">
        <v>6</v>
      </c>
      <c r="B2877" s="5" t="s">
        <v>7861</v>
      </c>
      <c r="C2877" s="1" t="s">
        <v>7862</v>
      </c>
      <c r="D2877" s="1" t="s">
        <v>7863</v>
      </c>
      <c r="E2877" s="7">
        <v>29</v>
      </c>
    </row>
    <row r="2878" spans="1:5" x14ac:dyDescent="0.25">
      <c r="A2878" s="5" t="s">
        <v>6</v>
      </c>
      <c r="B2878" s="5" t="s">
        <v>7864</v>
      </c>
      <c r="C2878" s="1" t="s">
        <v>7865</v>
      </c>
      <c r="D2878" s="1" t="s">
        <v>7866</v>
      </c>
      <c r="E2878" s="7">
        <v>45</v>
      </c>
    </row>
    <row r="2879" spans="1:5" x14ac:dyDescent="0.25">
      <c r="A2879" s="5" t="s">
        <v>6</v>
      </c>
      <c r="B2879" s="5" t="s">
        <v>7867</v>
      </c>
      <c r="C2879" s="1" t="s">
        <v>7868</v>
      </c>
      <c r="D2879" s="1" t="s">
        <v>7869</v>
      </c>
      <c r="E2879" s="7">
        <v>13</v>
      </c>
    </row>
    <row r="2880" spans="1:5" x14ac:dyDescent="0.25">
      <c r="A2880" s="5" t="s">
        <v>6</v>
      </c>
      <c r="B2880" s="5" t="s">
        <v>7870</v>
      </c>
      <c r="C2880" s="1" t="s">
        <v>7871</v>
      </c>
      <c r="D2880" s="1" t="s">
        <v>7872</v>
      </c>
      <c r="E2880" s="7">
        <v>38</v>
      </c>
    </row>
    <row r="2881" spans="1:5" x14ac:dyDescent="0.25">
      <c r="A2881" s="5" t="s">
        <v>6</v>
      </c>
      <c r="B2881" s="5" t="s">
        <v>7873</v>
      </c>
      <c r="C2881" s="1" t="s">
        <v>7874</v>
      </c>
      <c r="D2881" s="1" t="s">
        <v>7875</v>
      </c>
      <c r="E2881" s="7">
        <v>10</v>
      </c>
    </row>
    <row r="2882" spans="1:5" x14ac:dyDescent="0.25">
      <c r="A2882" s="5" t="s">
        <v>6</v>
      </c>
      <c r="B2882" s="5" t="s">
        <v>7876</v>
      </c>
      <c r="C2882" s="1" t="s">
        <v>7877</v>
      </c>
      <c r="D2882" s="1" t="s">
        <v>7878</v>
      </c>
      <c r="E2882" s="7">
        <v>201</v>
      </c>
    </row>
    <row r="2883" spans="1:5" x14ac:dyDescent="0.25">
      <c r="A2883" s="5" t="s">
        <v>6</v>
      </c>
      <c r="B2883" s="5" t="s">
        <v>7879</v>
      </c>
      <c r="C2883" s="1" t="s">
        <v>7880</v>
      </c>
      <c r="D2883" s="1" t="s">
        <v>7881</v>
      </c>
      <c r="E2883" s="7">
        <v>23</v>
      </c>
    </row>
    <row r="2884" spans="1:5" x14ac:dyDescent="0.25">
      <c r="A2884" s="5" t="s">
        <v>6</v>
      </c>
      <c r="B2884" s="5" t="s">
        <v>7882</v>
      </c>
      <c r="C2884" s="1" t="s">
        <v>7883</v>
      </c>
      <c r="D2884" s="1" t="s">
        <v>7884</v>
      </c>
      <c r="E2884" s="7">
        <v>52</v>
      </c>
    </row>
    <row r="2885" spans="1:5" x14ac:dyDescent="0.25">
      <c r="A2885" s="5" t="s">
        <v>6</v>
      </c>
      <c r="B2885" s="5" t="s">
        <v>7885</v>
      </c>
      <c r="C2885" s="1" t="s">
        <v>7886</v>
      </c>
      <c r="D2885" s="1" t="s">
        <v>7887</v>
      </c>
      <c r="E2885" s="7">
        <v>45</v>
      </c>
    </row>
    <row r="2886" spans="1:5" x14ac:dyDescent="0.25">
      <c r="A2886" s="5" t="s">
        <v>6</v>
      </c>
      <c r="B2886" s="5" t="s">
        <v>7888</v>
      </c>
      <c r="C2886" s="1" t="s">
        <v>7889</v>
      </c>
      <c r="D2886" s="1" t="s">
        <v>7890</v>
      </c>
      <c r="E2886" s="7">
        <v>40</v>
      </c>
    </row>
    <row r="2887" spans="1:5" x14ac:dyDescent="0.25">
      <c r="A2887" s="5" t="s">
        <v>6</v>
      </c>
      <c r="B2887" s="5" t="s">
        <v>7891</v>
      </c>
      <c r="C2887" s="1" t="s">
        <v>7892</v>
      </c>
      <c r="D2887" s="1" t="s">
        <v>7893</v>
      </c>
      <c r="E2887" s="7">
        <v>28</v>
      </c>
    </row>
    <row r="2888" spans="1:5" x14ac:dyDescent="0.25">
      <c r="A2888" s="5" t="s">
        <v>6</v>
      </c>
      <c r="B2888" s="5" t="s">
        <v>7894</v>
      </c>
      <c r="C2888" s="1" t="s">
        <v>7895</v>
      </c>
      <c r="D2888" s="1" t="s">
        <v>7896</v>
      </c>
      <c r="E2888" s="7">
        <v>19</v>
      </c>
    </row>
    <row r="2889" spans="1:5" x14ac:dyDescent="0.25">
      <c r="A2889" s="5" t="s">
        <v>6</v>
      </c>
      <c r="B2889" s="5" t="s">
        <v>7897</v>
      </c>
      <c r="C2889" s="1" t="s">
        <v>7898</v>
      </c>
      <c r="D2889" s="1" t="s">
        <v>7899</v>
      </c>
      <c r="E2889" s="7">
        <v>19</v>
      </c>
    </row>
    <row r="2890" spans="1:5" x14ac:dyDescent="0.25">
      <c r="A2890" s="5" t="s">
        <v>6</v>
      </c>
      <c r="B2890" s="5" t="s">
        <v>7900</v>
      </c>
      <c r="C2890" s="1" t="s">
        <v>7901</v>
      </c>
      <c r="D2890" s="1" t="s">
        <v>7902</v>
      </c>
      <c r="E2890" s="7">
        <v>38</v>
      </c>
    </row>
    <row r="2891" spans="1:5" x14ac:dyDescent="0.25">
      <c r="A2891" s="5" t="s">
        <v>6</v>
      </c>
      <c r="B2891" s="5" t="s">
        <v>7903</v>
      </c>
      <c r="C2891" s="1" t="s">
        <v>7904</v>
      </c>
      <c r="D2891" s="1" t="s">
        <v>7905</v>
      </c>
      <c r="E2891" s="7">
        <v>146</v>
      </c>
    </row>
    <row r="2892" spans="1:5" x14ac:dyDescent="0.25">
      <c r="A2892" s="5" t="s">
        <v>6</v>
      </c>
      <c r="B2892" s="5" t="s">
        <v>7906</v>
      </c>
      <c r="C2892" s="1" t="s">
        <v>7907</v>
      </c>
      <c r="D2892" s="1" t="s">
        <v>7908</v>
      </c>
      <c r="E2892" s="7">
        <v>30</v>
      </c>
    </row>
    <row r="2893" spans="1:5" x14ac:dyDescent="0.25">
      <c r="A2893" s="5" t="s">
        <v>6</v>
      </c>
      <c r="B2893" s="5" t="s">
        <v>7909</v>
      </c>
      <c r="C2893" s="1" t="s">
        <v>7910</v>
      </c>
      <c r="D2893" s="1" t="s">
        <v>7911</v>
      </c>
      <c r="E2893" s="7">
        <v>31</v>
      </c>
    </row>
    <row r="2894" spans="1:5" x14ac:dyDescent="0.25">
      <c r="A2894" s="5" t="s">
        <v>6</v>
      </c>
      <c r="B2894" s="5" t="s">
        <v>7912</v>
      </c>
      <c r="C2894" s="1" t="s">
        <v>7913</v>
      </c>
      <c r="D2894" s="1" t="s">
        <v>7914</v>
      </c>
      <c r="E2894" s="7">
        <v>41</v>
      </c>
    </row>
    <row r="2895" spans="1:5" x14ac:dyDescent="0.25">
      <c r="A2895" s="5" t="s">
        <v>6</v>
      </c>
      <c r="B2895" s="5" t="s">
        <v>7915</v>
      </c>
      <c r="C2895" s="1" t="s">
        <v>7916</v>
      </c>
      <c r="D2895" s="1" t="s">
        <v>7917</v>
      </c>
      <c r="E2895" s="7">
        <v>31</v>
      </c>
    </row>
    <row r="2896" spans="1:5" x14ac:dyDescent="0.25">
      <c r="A2896" s="5" t="s">
        <v>6</v>
      </c>
      <c r="B2896" s="5" t="s">
        <v>7918</v>
      </c>
      <c r="C2896" s="1" t="s">
        <v>7919</v>
      </c>
      <c r="D2896" s="1" t="s">
        <v>7920</v>
      </c>
      <c r="E2896" s="7">
        <v>31</v>
      </c>
    </row>
    <row r="2897" spans="1:5" x14ac:dyDescent="0.25">
      <c r="A2897" s="5" t="s">
        <v>6</v>
      </c>
      <c r="B2897" s="5" t="s">
        <v>7921</v>
      </c>
      <c r="C2897" s="1" t="s">
        <v>7922</v>
      </c>
      <c r="D2897" s="1" t="s">
        <v>7923</v>
      </c>
      <c r="E2897" s="7">
        <v>25</v>
      </c>
    </row>
    <row r="2898" spans="1:5" x14ac:dyDescent="0.25">
      <c r="A2898" s="5" t="s">
        <v>6</v>
      </c>
      <c r="B2898" s="5" t="s">
        <v>7924</v>
      </c>
      <c r="C2898" s="1" t="s">
        <v>7925</v>
      </c>
      <c r="D2898" s="1" t="s">
        <v>7926</v>
      </c>
      <c r="E2898" s="7">
        <v>29</v>
      </c>
    </row>
    <row r="2899" spans="1:5" x14ac:dyDescent="0.25">
      <c r="A2899" s="5" t="s">
        <v>6</v>
      </c>
      <c r="B2899" s="5" t="s">
        <v>7927</v>
      </c>
      <c r="C2899" s="1" t="s">
        <v>7928</v>
      </c>
      <c r="D2899" s="1" t="s">
        <v>7929</v>
      </c>
      <c r="E2899" s="7">
        <v>19</v>
      </c>
    </row>
    <row r="2900" spans="1:5" x14ac:dyDescent="0.25">
      <c r="A2900" s="5" t="s">
        <v>6</v>
      </c>
      <c r="B2900" s="5" t="s">
        <v>7930</v>
      </c>
      <c r="C2900" s="1" t="s">
        <v>7931</v>
      </c>
      <c r="D2900" s="1" t="s">
        <v>7932</v>
      </c>
      <c r="E2900" s="7">
        <v>31</v>
      </c>
    </row>
    <row r="2901" spans="1:5" x14ac:dyDescent="0.25">
      <c r="A2901" s="5" t="s">
        <v>6</v>
      </c>
      <c r="B2901" s="5" t="s">
        <v>7933</v>
      </c>
      <c r="C2901" s="1" t="s">
        <v>7934</v>
      </c>
      <c r="D2901" s="1" t="s">
        <v>7935</v>
      </c>
      <c r="E2901" s="7">
        <v>28</v>
      </c>
    </row>
    <row r="2902" spans="1:5" x14ac:dyDescent="0.25">
      <c r="A2902" s="5" t="s">
        <v>6</v>
      </c>
      <c r="B2902" s="5" t="s">
        <v>7936</v>
      </c>
      <c r="C2902" s="1" t="s">
        <v>7937</v>
      </c>
      <c r="D2902" s="1" t="s">
        <v>7938</v>
      </c>
      <c r="E2902" s="7">
        <v>28</v>
      </c>
    </row>
    <row r="2903" spans="1:5" x14ac:dyDescent="0.25">
      <c r="A2903" s="5" t="s">
        <v>6</v>
      </c>
      <c r="B2903" s="5" t="s">
        <v>7939</v>
      </c>
      <c r="C2903" s="1" t="s">
        <v>7940</v>
      </c>
      <c r="D2903" s="1" t="s">
        <v>7941</v>
      </c>
      <c r="E2903" s="7">
        <v>29</v>
      </c>
    </row>
    <row r="2904" spans="1:5" x14ac:dyDescent="0.25">
      <c r="A2904" s="5" t="s">
        <v>6</v>
      </c>
      <c r="B2904" s="5" t="s">
        <v>7942</v>
      </c>
      <c r="C2904" s="1" t="s">
        <v>7943</v>
      </c>
      <c r="D2904" s="1" t="s">
        <v>7944</v>
      </c>
      <c r="E2904" s="7">
        <v>40</v>
      </c>
    </row>
    <row r="2905" spans="1:5" x14ac:dyDescent="0.25">
      <c r="A2905" s="5" t="s">
        <v>6</v>
      </c>
      <c r="B2905" s="5" t="s">
        <v>7945</v>
      </c>
      <c r="C2905" s="1" t="s">
        <v>7946</v>
      </c>
      <c r="D2905" s="1" t="s">
        <v>7946</v>
      </c>
      <c r="E2905" s="7">
        <v>23</v>
      </c>
    </row>
    <row r="2906" spans="1:5" x14ac:dyDescent="0.25">
      <c r="A2906" s="5" t="s">
        <v>6</v>
      </c>
      <c r="B2906" s="5" t="s">
        <v>7947</v>
      </c>
      <c r="C2906" s="1" t="s">
        <v>7948</v>
      </c>
      <c r="D2906" s="1" t="s">
        <v>7949</v>
      </c>
      <c r="E2906" s="7">
        <v>31</v>
      </c>
    </row>
    <row r="2907" spans="1:5" x14ac:dyDescent="0.25">
      <c r="A2907" s="5" t="s">
        <v>6</v>
      </c>
      <c r="B2907" s="5" t="s">
        <v>7950</v>
      </c>
      <c r="C2907" s="1" t="s">
        <v>7951</v>
      </c>
      <c r="D2907" s="1" t="s">
        <v>7952</v>
      </c>
      <c r="E2907" s="7">
        <v>31</v>
      </c>
    </row>
    <row r="2908" spans="1:5" x14ac:dyDescent="0.25">
      <c r="A2908" s="5" t="s">
        <v>6</v>
      </c>
      <c r="B2908" s="5" t="s">
        <v>7953</v>
      </c>
      <c r="C2908" s="1" t="s">
        <v>7954</v>
      </c>
      <c r="D2908" s="1" t="s">
        <v>7955</v>
      </c>
      <c r="E2908" s="7">
        <v>33</v>
      </c>
    </row>
    <row r="2909" spans="1:5" x14ac:dyDescent="0.25">
      <c r="A2909" s="5" t="s">
        <v>6</v>
      </c>
      <c r="B2909" s="5" t="s">
        <v>7956</v>
      </c>
      <c r="C2909" s="1" t="s">
        <v>7957</v>
      </c>
      <c r="D2909" s="1" t="s">
        <v>7958</v>
      </c>
      <c r="E2909" s="7">
        <v>33</v>
      </c>
    </row>
    <row r="2910" spans="1:5" x14ac:dyDescent="0.25">
      <c r="A2910" s="5" t="s">
        <v>6</v>
      </c>
      <c r="B2910" s="5" t="s">
        <v>7959</v>
      </c>
      <c r="C2910" s="1" t="s">
        <v>7960</v>
      </c>
      <c r="D2910" s="1" t="s">
        <v>7961</v>
      </c>
      <c r="E2910" s="7">
        <v>31</v>
      </c>
    </row>
    <row r="2911" spans="1:5" x14ac:dyDescent="0.25">
      <c r="A2911" s="5" t="s">
        <v>6</v>
      </c>
      <c r="B2911" s="5" t="s">
        <v>7962</v>
      </c>
      <c r="C2911" s="1" t="s">
        <v>7963</v>
      </c>
      <c r="D2911" s="1" t="s">
        <v>7964</v>
      </c>
      <c r="E2911" s="7">
        <v>46</v>
      </c>
    </row>
    <row r="2912" spans="1:5" x14ac:dyDescent="0.25">
      <c r="A2912" s="5" t="s">
        <v>6</v>
      </c>
      <c r="B2912" s="5" t="s">
        <v>7965</v>
      </c>
      <c r="C2912" s="1" t="s">
        <v>7966</v>
      </c>
      <c r="D2912" s="1" t="s">
        <v>7967</v>
      </c>
      <c r="E2912" s="7">
        <v>11</v>
      </c>
    </row>
    <row r="2913" spans="1:5" x14ac:dyDescent="0.25">
      <c r="A2913" s="5" t="s">
        <v>6</v>
      </c>
      <c r="B2913" s="5" t="s">
        <v>7968</v>
      </c>
      <c r="C2913" s="1" t="s">
        <v>7969</v>
      </c>
      <c r="D2913" s="1" t="s">
        <v>7970</v>
      </c>
      <c r="E2913" s="7">
        <v>12</v>
      </c>
    </row>
    <row r="2914" spans="1:5" x14ac:dyDescent="0.25">
      <c r="A2914" s="5" t="s">
        <v>6</v>
      </c>
      <c r="B2914" s="5" t="s">
        <v>7971</v>
      </c>
      <c r="C2914" s="1" t="s">
        <v>7972</v>
      </c>
      <c r="D2914" s="1" t="s">
        <v>7973</v>
      </c>
      <c r="E2914" s="7">
        <v>5</v>
      </c>
    </row>
    <row r="2915" spans="1:5" x14ac:dyDescent="0.25">
      <c r="A2915" s="5" t="s">
        <v>6</v>
      </c>
      <c r="B2915" s="5" t="s">
        <v>7974</v>
      </c>
      <c r="C2915" s="1" t="s">
        <v>7975</v>
      </c>
      <c r="D2915" s="1" t="s">
        <v>7976</v>
      </c>
      <c r="E2915" s="7">
        <v>44</v>
      </c>
    </row>
    <row r="2916" spans="1:5" x14ac:dyDescent="0.25">
      <c r="A2916" s="5" t="s">
        <v>6</v>
      </c>
      <c r="B2916" s="5" t="s">
        <v>7977</v>
      </c>
      <c r="C2916" s="1" t="s">
        <v>7978</v>
      </c>
      <c r="D2916" s="1" t="s">
        <v>7979</v>
      </c>
      <c r="E2916" s="7">
        <v>19</v>
      </c>
    </row>
    <row r="2917" spans="1:5" x14ac:dyDescent="0.25">
      <c r="A2917" s="5" t="s">
        <v>6</v>
      </c>
      <c r="B2917" s="5" t="s">
        <v>7980</v>
      </c>
      <c r="C2917" s="1" t="s">
        <v>7981</v>
      </c>
      <c r="D2917" s="1" t="s">
        <v>7982</v>
      </c>
      <c r="E2917" s="7">
        <v>25</v>
      </c>
    </row>
    <row r="2918" spans="1:5" x14ac:dyDescent="0.25">
      <c r="A2918" s="5" t="s">
        <v>6</v>
      </c>
      <c r="B2918" s="5" t="s">
        <v>7983</v>
      </c>
      <c r="C2918" s="1" t="s">
        <v>7984</v>
      </c>
      <c r="D2918" s="1" t="s">
        <v>7985</v>
      </c>
      <c r="E2918" s="7">
        <v>23</v>
      </c>
    </row>
    <row r="2919" spans="1:5" x14ac:dyDescent="0.25">
      <c r="A2919" s="5" t="s">
        <v>6</v>
      </c>
      <c r="B2919" s="5" t="s">
        <v>7986</v>
      </c>
      <c r="C2919" s="1" t="s">
        <v>7987</v>
      </c>
      <c r="D2919" s="1" t="s">
        <v>7988</v>
      </c>
      <c r="E2919" s="7">
        <v>30</v>
      </c>
    </row>
    <row r="2920" spans="1:5" x14ac:dyDescent="0.25">
      <c r="A2920" s="5" t="s">
        <v>6</v>
      </c>
      <c r="B2920" s="5" t="s">
        <v>7989</v>
      </c>
      <c r="C2920" s="1" t="s">
        <v>7990</v>
      </c>
      <c r="D2920" s="1" t="s">
        <v>7991</v>
      </c>
      <c r="E2920" s="7">
        <v>28</v>
      </c>
    </row>
    <row r="2921" spans="1:5" x14ac:dyDescent="0.25">
      <c r="A2921" s="5" t="s">
        <v>6</v>
      </c>
      <c r="B2921" s="5" t="s">
        <v>7992</v>
      </c>
      <c r="C2921" s="1" t="s">
        <v>7993</v>
      </c>
      <c r="D2921" s="1" t="s">
        <v>7994</v>
      </c>
      <c r="E2921" s="7">
        <v>5</v>
      </c>
    </row>
    <row r="2922" spans="1:5" x14ac:dyDescent="0.25">
      <c r="A2922" s="5" t="s">
        <v>6</v>
      </c>
      <c r="B2922" s="5" t="s">
        <v>7995</v>
      </c>
      <c r="C2922" s="1" t="s">
        <v>7996</v>
      </c>
      <c r="D2922" s="1" t="s">
        <v>7997</v>
      </c>
      <c r="E2922" s="7">
        <v>52</v>
      </c>
    </row>
    <row r="2923" spans="1:5" x14ac:dyDescent="0.25">
      <c r="A2923" s="5" t="s">
        <v>6</v>
      </c>
      <c r="B2923" s="5" t="s">
        <v>7998</v>
      </c>
      <c r="C2923" s="1" t="s">
        <v>7999</v>
      </c>
      <c r="D2923" s="1" t="s">
        <v>8000</v>
      </c>
      <c r="E2923" s="7">
        <v>10</v>
      </c>
    </row>
    <row r="2924" spans="1:5" x14ac:dyDescent="0.25">
      <c r="A2924" s="5" t="s">
        <v>6</v>
      </c>
      <c r="B2924" s="5" t="s">
        <v>8001</v>
      </c>
      <c r="C2924" s="1" t="s">
        <v>8002</v>
      </c>
      <c r="D2924" s="1" t="s">
        <v>8003</v>
      </c>
      <c r="E2924" s="7">
        <v>28</v>
      </c>
    </row>
    <row r="2925" spans="1:5" x14ac:dyDescent="0.25">
      <c r="A2925" s="5" t="s">
        <v>6</v>
      </c>
      <c r="B2925" s="5" t="s">
        <v>8004</v>
      </c>
      <c r="C2925" s="1" t="s">
        <v>8005</v>
      </c>
      <c r="D2925" s="1" t="s">
        <v>8006</v>
      </c>
      <c r="E2925" s="7">
        <v>28</v>
      </c>
    </row>
    <row r="2926" spans="1:5" x14ac:dyDescent="0.25">
      <c r="A2926" s="5" t="s">
        <v>6</v>
      </c>
      <c r="B2926" s="5" t="s">
        <v>8007</v>
      </c>
      <c r="C2926" s="1" t="s">
        <v>8008</v>
      </c>
      <c r="D2926" s="1" t="s">
        <v>8009</v>
      </c>
      <c r="E2926" s="7">
        <v>49</v>
      </c>
    </row>
    <row r="2927" spans="1:5" x14ac:dyDescent="0.25">
      <c r="A2927" s="5" t="s">
        <v>6</v>
      </c>
      <c r="B2927" s="5" t="s">
        <v>8010</v>
      </c>
      <c r="C2927" s="1" t="s">
        <v>8011</v>
      </c>
      <c r="D2927" s="1" t="s">
        <v>8012</v>
      </c>
      <c r="E2927" s="7">
        <v>40</v>
      </c>
    </row>
    <row r="2928" spans="1:5" x14ac:dyDescent="0.25">
      <c r="A2928" s="5" t="s">
        <v>6</v>
      </c>
      <c r="B2928" s="5" t="s">
        <v>8013</v>
      </c>
      <c r="C2928" s="1" t="s">
        <v>8014</v>
      </c>
      <c r="D2928" s="1" t="s">
        <v>8015</v>
      </c>
      <c r="E2928" s="7">
        <v>213</v>
      </c>
    </row>
    <row r="2929" spans="1:5" x14ac:dyDescent="0.25">
      <c r="A2929" s="5" t="s">
        <v>6</v>
      </c>
      <c r="B2929" s="5" t="s">
        <v>8016</v>
      </c>
      <c r="C2929" s="1" t="s">
        <v>8017</v>
      </c>
      <c r="D2929" s="1" t="s">
        <v>8017</v>
      </c>
      <c r="E2929" s="7">
        <v>29</v>
      </c>
    </row>
    <row r="2930" spans="1:5" x14ac:dyDescent="0.25">
      <c r="A2930" s="5" t="s">
        <v>6</v>
      </c>
      <c r="B2930" s="5" t="s">
        <v>8018</v>
      </c>
      <c r="C2930" s="1" t="s">
        <v>8019</v>
      </c>
      <c r="D2930" s="1" t="s">
        <v>8019</v>
      </c>
      <c r="E2930" s="7">
        <v>31</v>
      </c>
    </row>
    <row r="2931" spans="1:5" x14ac:dyDescent="0.25">
      <c r="A2931" s="5" t="s">
        <v>6</v>
      </c>
      <c r="B2931" s="5" t="s">
        <v>8020</v>
      </c>
      <c r="C2931" s="1" t="s">
        <v>8021</v>
      </c>
      <c r="D2931" s="1" t="s">
        <v>8021</v>
      </c>
      <c r="E2931" s="7">
        <v>29</v>
      </c>
    </row>
    <row r="2932" spans="1:5" x14ac:dyDescent="0.25">
      <c r="A2932" s="5" t="s">
        <v>6</v>
      </c>
      <c r="B2932" s="5" t="s">
        <v>8022</v>
      </c>
      <c r="C2932" s="1" t="s">
        <v>8023</v>
      </c>
      <c r="D2932" s="1" t="s">
        <v>8024</v>
      </c>
      <c r="E2932" s="7">
        <v>5</v>
      </c>
    </row>
    <row r="2933" spans="1:5" x14ac:dyDescent="0.25">
      <c r="A2933" s="5" t="s">
        <v>6</v>
      </c>
      <c r="B2933" s="5" t="s">
        <v>8025</v>
      </c>
      <c r="C2933" s="1" t="s">
        <v>8026</v>
      </c>
      <c r="D2933" s="1" t="s">
        <v>8027</v>
      </c>
      <c r="E2933" s="7">
        <v>18</v>
      </c>
    </row>
    <row r="2934" spans="1:5" x14ac:dyDescent="0.25">
      <c r="A2934" s="5" t="s">
        <v>6</v>
      </c>
      <c r="B2934" s="5" t="s">
        <v>8028</v>
      </c>
      <c r="C2934" s="1" t="s">
        <v>8029</v>
      </c>
      <c r="D2934" s="1" t="s">
        <v>8030</v>
      </c>
      <c r="E2934" s="7">
        <v>23</v>
      </c>
    </row>
    <row r="2935" spans="1:5" x14ac:dyDescent="0.25">
      <c r="A2935" s="5" t="s">
        <v>6</v>
      </c>
      <c r="B2935" s="5" t="s">
        <v>8031</v>
      </c>
      <c r="C2935" s="1" t="s">
        <v>8032</v>
      </c>
      <c r="D2935" s="1" t="s">
        <v>8033</v>
      </c>
      <c r="E2935" s="7">
        <v>19</v>
      </c>
    </row>
    <row r="2936" spans="1:5" x14ac:dyDescent="0.25">
      <c r="A2936" s="5" t="s">
        <v>6</v>
      </c>
      <c r="B2936" s="5" t="s">
        <v>8034</v>
      </c>
      <c r="C2936" s="1" t="s">
        <v>8035</v>
      </c>
      <c r="D2936" s="1" t="s">
        <v>8036</v>
      </c>
      <c r="E2936" s="7">
        <v>26</v>
      </c>
    </row>
    <row r="2937" spans="1:5" x14ac:dyDescent="0.25">
      <c r="A2937" s="5" t="s">
        <v>6</v>
      </c>
      <c r="B2937" s="5" t="s">
        <v>8037</v>
      </c>
      <c r="C2937" s="1" t="s">
        <v>8038</v>
      </c>
      <c r="D2937" s="1" t="s">
        <v>8039</v>
      </c>
      <c r="E2937" s="7">
        <v>26</v>
      </c>
    </row>
    <row r="2938" spans="1:5" x14ac:dyDescent="0.25">
      <c r="A2938" s="5" t="s">
        <v>6</v>
      </c>
      <c r="B2938" s="5" t="s">
        <v>8040</v>
      </c>
      <c r="C2938" s="1" t="s">
        <v>8041</v>
      </c>
      <c r="D2938" s="1" t="s">
        <v>8042</v>
      </c>
      <c r="E2938" s="7">
        <v>28</v>
      </c>
    </row>
    <row r="2939" spans="1:5" x14ac:dyDescent="0.25">
      <c r="A2939" s="5" t="s">
        <v>6</v>
      </c>
      <c r="B2939" s="5" t="s">
        <v>8043</v>
      </c>
      <c r="C2939" s="1" t="s">
        <v>8044</v>
      </c>
      <c r="D2939" s="1" t="s">
        <v>8045</v>
      </c>
      <c r="E2939" s="7">
        <v>23</v>
      </c>
    </row>
    <row r="2940" spans="1:5" x14ac:dyDescent="0.25">
      <c r="A2940" s="5" t="s">
        <v>6</v>
      </c>
      <c r="B2940" s="5" t="s">
        <v>8046</v>
      </c>
      <c r="C2940" s="1" t="s">
        <v>8047</v>
      </c>
      <c r="D2940" s="1" t="s">
        <v>8048</v>
      </c>
      <c r="E2940" s="7">
        <v>33</v>
      </c>
    </row>
    <row r="2941" spans="1:5" x14ac:dyDescent="0.25">
      <c r="A2941" s="5" t="s">
        <v>6</v>
      </c>
      <c r="B2941" s="5" t="s">
        <v>8049</v>
      </c>
      <c r="C2941" s="1" t="s">
        <v>8050</v>
      </c>
      <c r="D2941" s="1" t="s">
        <v>8050</v>
      </c>
      <c r="E2941" s="7">
        <v>19</v>
      </c>
    </row>
    <row r="2942" spans="1:5" x14ac:dyDescent="0.25">
      <c r="A2942" s="5" t="s">
        <v>6</v>
      </c>
      <c r="B2942" s="5" t="s">
        <v>8051</v>
      </c>
      <c r="C2942" s="1" t="s">
        <v>8052</v>
      </c>
      <c r="D2942" s="1" t="s">
        <v>8053</v>
      </c>
      <c r="E2942" s="7">
        <v>26</v>
      </c>
    </row>
    <row r="2943" spans="1:5" x14ac:dyDescent="0.25">
      <c r="A2943" s="5" t="s">
        <v>6</v>
      </c>
      <c r="B2943" s="5" t="s">
        <v>8054</v>
      </c>
      <c r="C2943" s="1" t="s">
        <v>8055</v>
      </c>
      <c r="D2943" s="1" t="s">
        <v>8056</v>
      </c>
      <c r="E2943" s="7">
        <v>5</v>
      </c>
    </row>
    <row r="2944" spans="1:5" x14ac:dyDescent="0.25">
      <c r="A2944" s="5" t="s">
        <v>6</v>
      </c>
      <c r="B2944" s="5" t="s">
        <v>8057</v>
      </c>
      <c r="C2944" s="1" t="s">
        <v>8058</v>
      </c>
      <c r="D2944" s="1" t="s">
        <v>8059</v>
      </c>
      <c r="E2944" s="7">
        <v>19</v>
      </c>
    </row>
    <row r="2945" spans="1:5" x14ac:dyDescent="0.25">
      <c r="A2945" s="5" t="s">
        <v>6</v>
      </c>
      <c r="B2945" s="5" t="s">
        <v>8060</v>
      </c>
      <c r="C2945" s="1" t="s">
        <v>8061</v>
      </c>
      <c r="D2945" s="1" t="s">
        <v>8062</v>
      </c>
      <c r="E2945" s="7">
        <v>19</v>
      </c>
    </row>
    <row r="2946" spans="1:5" x14ac:dyDescent="0.25">
      <c r="A2946" s="5" t="s">
        <v>6</v>
      </c>
      <c r="B2946" s="5" t="s">
        <v>8063</v>
      </c>
      <c r="C2946" s="1" t="s">
        <v>8064</v>
      </c>
      <c r="D2946" s="1" t="s">
        <v>8065</v>
      </c>
      <c r="E2946" s="7">
        <v>15</v>
      </c>
    </row>
    <row r="2947" spans="1:5" x14ac:dyDescent="0.25">
      <c r="A2947" s="5" t="s">
        <v>6</v>
      </c>
      <c r="B2947" s="5" t="s">
        <v>8066</v>
      </c>
      <c r="C2947" s="1" t="s">
        <v>8067</v>
      </c>
      <c r="D2947" s="1" t="s">
        <v>8068</v>
      </c>
      <c r="E2947" s="7">
        <v>23</v>
      </c>
    </row>
    <row r="2948" spans="1:5" x14ac:dyDescent="0.25">
      <c r="A2948" s="5" t="s">
        <v>6</v>
      </c>
      <c r="B2948" s="5" t="s">
        <v>8069</v>
      </c>
      <c r="C2948" s="1" t="s">
        <v>8070</v>
      </c>
      <c r="D2948" s="1" t="s">
        <v>8071</v>
      </c>
      <c r="E2948" s="7">
        <v>23</v>
      </c>
    </row>
    <row r="2949" spans="1:5" x14ac:dyDescent="0.25">
      <c r="A2949" s="5" t="s">
        <v>6</v>
      </c>
      <c r="B2949" s="5" t="s">
        <v>8072</v>
      </c>
      <c r="C2949" s="1" t="s">
        <v>8073</v>
      </c>
      <c r="D2949" s="1" t="s">
        <v>8074</v>
      </c>
      <c r="E2949" s="7">
        <v>31</v>
      </c>
    </row>
    <row r="2950" spans="1:5" x14ac:dyDescent="0.25">
      <c r="A2950" s="5" t="s">
        <v>6</v>
      </c>
      <c r="B2950" s="5" t="s">
        <v>8075</v>
      </c>
      <c r="C2950" s="1" t="s">
        <v>8076</v>
      </c>
      <c r="D2950" s="1" t="s">
        <v>8077</v>
      </c>
      <c r="E2950" s="7">
        <v>26</v>
      </c>
    </row>
    <row r="2951" spans="1:5" x14ac:dyDescent="0.25">
      <c r="A2951" s="5" t="s">
        <v>6</v>
      </c>
      <c r="B2951" s="5" t="s">
        <v>8078</v>
      </c>
      <c r="C2951" s="1" t="s">
        <v>8079</v>
      </c>
      <c r="D2951" s="1" t="s">
        <v>8080</v>
      </c>
      <c r="E2951" s="7">
        <v>29</v>
      </c>
    </row>
    <row r="2952" spans="1:5" x14ac:dyDescent="0.25">
      <c r="A2952" s="5" t="s">
        <v>6</v>
      </c>
      <c r="B2952" s="5" t="s">
        <v>8081</v>
      </c>
      <c r="C2952" s="1" t="s">
        <v>8082</v>
      </c>
      <c r="D2952" s="1" t="s">
        <v>8083</v>
      </c>
      <c r="E2952" s="7">
        <v>29</v>
      </c>
    </row>
    <row r="2953" spans="1:5" x14ac:dyDescent="0.25">
      <c r="A2953" s="5" t="s">
        <v>6</v>
      </c>
      <c r="B2953" s="5" t="s">
        <v>8084</v>
      </c>
      <c r="C2953" s="1" t="s">
        <v>8085</v>
      </c>
      <c r="D2953" s="1" t="s">
        <v>8086</v>
      </c>
      <c r="E2953" s="7">
        <v>31</v>
      </c>
    </row>
    <row r="2954" spans="1:5" x14ac:dyDescent="0.25">
      <c r="A2954" s="5" t="s">
        <v>6</v>
      </c>
      <c r="B2954" s="5" t="s">
        <v>8087</v>
      </c>
      <c r="C2954" s="1" t="s">
        <v>8088</v>
      </c>
      <c r="D2954" s="1" t="s">
        <v>8089</v>
      </c>
      <c r="E2954" s="7">
        <v>23</v>
      </c>
    </row>
    <row r="2955" spans="1:5" x14ac:dyDescent="0.25">
      <c r="A2955" s="5" t="s">
        <v>6</v>
      </c>
      <c r="B2955" s="5" t="s">
        <v>8090</v>
      </c>
      <c r="C2955" s="1" t="s">
        <v>8091</v>
      </c>
      <c r="D2955" s="1" t="s">
        <v>8092</v>
      </c>
      <c r="E2955" s="7">
        <v>29</v>
      </c>
    </row>
    <row r="2956" spans="1:5" x14ac:dyDescent="0.25">
      <c r="A2956" s="5" t="s">
        <v>6</v>
      </c>
      <c r="B2956" s="5" t="s">
        <v>8093</v>
      </c>
      <c r="C2956" s="1" t="s">
        <v>8094</v>
      </c>
      <c r="D2956" s="1" t="s">
        <v>8095</v>
      </c>
      <c r="E2956" s="7">
        <v>51</v>
      </c>
    </row>
    <row r="2957" spans="1:5" x14ac:dyDescent="0.25">
      <c r="A2957" s="5" t="s">
        <v>6</v>
      </c>
      <c r="B2957" s="5" t="s">
        <v>8096</v>
      </c>
      <c r="C2957" s="1" t="s">
        <v>8097</v>
      </c>
      <c r="D2957" s="1" t="s">
        <v>8098</v>
      </c>
      <c r="E2957" s="7">
        <v>23</v>
      </c>
    </row>
    <row r="2958" spans="1:5" x14ac:dyDescent="0.25">
      <c r="A2958" s="5" t="s">
        <v>6</v>
      </c>
      <c r="B2958" s="5" t="s">
        <v>8099</v>
      </c>
      <c r="C2958" s="1" t="s">
        <v>8100</v>
      </c>
      <c r="D2958" s="1" t="s">
        <v>8101</v>
      </c>
      <c r="E2958" s="7">
        <v>25</v>
      </c>
    </row>
    <row r="2959" spans="1:5" x14ac:dyDescent="0.25">
      <c r="A2959" s="5" t="s">
        <v>6</v>
      </c>
      <c r="B2959" s="5" t="s">
        <v>8102</v>
      </c>
      <c r="C2959" s="1" t="s">
        <v>8103</v>
      </c>
      <c r="D2959" s="1" t="s">
        <v>8104</v>
      </c>
      <c r="E2959" s="7">
        <v>29</v>
      </c>
    </row>
    <row r="2960" spans="1:5" x14ac:dyDescent="0.25">
      <c r="A2960" s="5" t="s">
        <v>6</v>
      </c>
      <c r="B2960" s="5" t="s">
        <v>8105</v>
      </c>
      <c r="C2960" s="1" t="s">
        <v>8106</v>
      </c>
      <c r="D2960" s="1" t="s">
        <v>8107</v>
      </c>
      <c r="E2960" s="7">
        <v>31</v>
      </c>
    </row>
    <row r="2961" spans="1:5" x14ac:dyDescent="0.25">
      <c r="A2961" s="5" t="s">
        <v>6</v>
      </c>
      <c r="B2961" s="5" t="s">
        <v>8108</v>
      </c>
      <c r="C2961" s="1" t="s">
        <v>8109</v>
      </c>
      <c r="D2961" s="1" t="s">
        <v>8110</v>
      </c>
      <c r="E2961" s="7">
        <v>29</v>
      </c>
    </row>
    <row r="2962" spans="1:5" x14ac:dyDescent="0.25">
      <c r="A2962" s="5" t="s">
        <v>6</v>
      </c>
      <c r="B2962" s="5" t="s">
        <v>8111</v>
      </c>
      <c r="C2962" s="1" t="s">
        <v>8112</v>
      </c>
      <c r="D2962" s="1" t="s">
        <v>8113</v>
      </c>
      <c r="E2962" s="7">
        <v>29</v>
      </c>
    </row>
    <row r="2963" spans="1:5" x14ac:dyDescent="0.25">
      <c r="A2963" s="5" t="s">
        <v>6</v>
      </c>
      <c r="B2963" s="5" t="s">
        <v>8114</v>
      </c>
      <c r="C2963" s="1" t="s">
        <v>8115</v>
      </c>
      <c r="D2963" s="1" t="s">
        <v>8116</v>
      </c>
      <c r="E2963" s="7">
        <v>29</v>
      </c>
    </row>
    <row r="2964" spans="1:5" x14ac:dyDescent="0.25">
      <c r="A2964" s="5" t="s">
        <v>6</v>
      </c>
      <c r="B2964" s="5" t="s">
        <v>8117</v>
      </c>
      <c r="C2964" s="1" t="s">
        <v>8118</v>
      </c>
      <c r="D2964" s="1" t="s">
        <v>8119</v>
      </c>
      <c r="E2964" s="7">
        <v>31</v>
      </c>
    </row>
    <row r="2965" spans="1:5" x14ac:dyDescent="0.25">
      <c r="A2965" s="5" t="s">
        <v>6</v>
      </c>
      <c r="B2965" s="5" t="s">
        <v>8120</v>
      </c>
      <c r="C2965" s="1" t="s">
        <v>8121</v>
      </c>
      <c r="D2965" s="1" t="s">
        <v>8122</v>
      </c>
      <c r="E2965" s="7">
        <v>16</v>
      </c>
    </row>
    <row r="2966" spans="1:5" x14ac:dyDescent="0.25">
      <c r="A2966" s="5" t="s">
        <v>6</v>
      </c>
      <c r="B2966" s="5" t="s">
        <v>8123</v>
      </c>
      <c r="C2966" s="1" t="s">
        <v>8124</v>
      </c>
      <c r="D2966" s="1" t="s">
        <v>8125</v>
      </c>
      <c r="E2966" s="7">
        <v>25</v>
      </c>
    </row>
    <row r="2967" spans="1:5" x14ac:dyDescent="0.25">
      <c r="A2967" s="5" t="s">
        <v>6</v>
      </c>
      <c r="B2967" s="5" t="s">
        <v>8126</v>
      </c>
      <c r="C2967" s="1" t="s">
        <v>8127</v>
      </c>
      <c r="D2967" s="1" t="s">
        <v>8128</v>
      </c>
      <c r="E2967" s="7">
        <v>16</v>
      </c>
    </row>
    <row r="2968" spans="1:5" x14ac:dyDescent="0.25">
      <c r="A2968" s="5" t="s">
        <v>6</v>
      </c>
      <c r="B2968" s="5" t="s">
        <v>8129</v>
      </c>
      <c r="C2968" s="1" t="s">
        <v>8130</v>
      </c>
      <c r="D2968" s="1" t="s">
        <v>8131</v>
      </c>
      <c r="E2968" s="7">
        <v>23</v>
      </c>
    </row>
    <row r="2969" spans="1:5" x14ac:dyDescent="0.25">
      <c r="A2969" s="5" t="s">
        <v>6</v>
      </c>
      <c r="B2969" s="5" t="s">
        <v>8132</v>
      </c>
      <c r="C2969" s="1" t="s">
        <v>8133</v>
      </c>
      <c r="D2969" s="1" t="s">
        <v>8134</v>
      </c>
      <c r="E2969" s="7">
        <v>29</v>
      </c>
    </row>
    <row r="2970" spans="1:5" x14ac:dyDescent="0.25">
      <c r="A2970" s="5" t="s">
        <v>6</v>
      </c>
      <c r="B2970" s="5" t="s">
        <v>8135</v>
      </c>
      <c r="C2970" s="1" t="s">
        <v>8136</v>
      </c>
      <c r="D2970" s="1" t="s">
        <v>8137</v>
      </c>
      <c r="E2970" s="7">
        <v>23</v>
      </c>
    </row>
    <row r="2971" spans="1:5" x14ac:dyDescent="0.25">
      <c r="A2971" s="5" t="s">
        <v>6</v>
      </c>
      <c r="B2971" s="5" t="s">
        <v>8138</v>
      </c>
      <c r="C2971" s="1" t="s">
        <v>8139</v>
      </c>
      <c r="D2971" s="1" t="s">
        <v>8140</v>
      </c>
      <c r="E2971" s="7">
        <v>23</v>
      </c>
    </row>
    <row r="2972" spans="1:5" x14ac:dyDescent="0.25">
      <c r="A2972" s="5" t="s">
        <v>6</v>
      </c>
      <c r="B2972" s="5" t="s">
        <v>8141</v>
      </c>
      <c r="C2972" s="1" t="s">
        <v>8142</v>
      </c>
      <c r="D2972" s="1" t="s">
        <v>8143</v>
      </c>
      <c r="E2972" s="7">
        <v>23</v>
      </c>
    </row>
    <row r="2973" spans="1:5" x14ac:dyDescent="0.25">
      <c r="A2973" s="5" t="s">
        <v>6</v>
      </c>
      <c r="B2973" s="5" t="s">
        <v>8144</v>
      </c>
      <c r="C2973" s="1" t="s">
        <v>8145</v>
      </c>
      <c r="D2973" s="1" t="s">
        <v>8146</v>
      </c>
      <c r="E2973" s="7">
        <v>23</v>
      </c>
    </row>
    <row r="2974" spans="1:5" x14ac:dyDescent="0.25">
      <c r="A2974" s="5" t="s">
        <v>6</v>
      </c>
      <c r="B2974" s="5" t="s">
        <v>8147</v>
      </c>
      <c r="C2974" s="1" t="s">
        <v>8148</v>
      </c>
      <c r="D2974" s="1" t="s">
        <v>8149</v>
      </c>
      <c r="E2974" s="7">
        <v>29</v>
      </c>
    </row>
    <row r="2975" spans="1:5" x14ac:dyDescent="0.25">
      <c r="A2975" s="5" t="s">
        <v>6</v>
      </c>
      <c r="B2975" s="5" t="s">
        <v>8150</v>
      </c>
      <c r="C2975" s="1" t="s">
        <v>8151</v>
      </c>
      <c r="D2975" s="1" t="s">
        <v>8152</v>
      </c>
      <c r="E2975" s="7">
        <v>3</v>
      </c>
    </row>
    <row r="2976" spans="1:5" x14ac:dyDescent="0.25">
      <c r="A2976" s="5" t="s">
        <v>6</v>
      </c>
      <c r="B2976" s="5" t="s">
        <v>8153</v>
      </c>
      <c r="C2976" s="1" t="s">
        <v>8154</v>
      </c>
      <c r="D2976" s="1" t="s">
        <v>8155</v>
      </c>
      <c r="E2976" s="7">
        <v>11</v>
      </c>
    </row>
    <row r="2977" spans="1:5" x14ac:dyDescent="0.25">
      <c r="A2977" s="5" t="s">
        <v>6</v>
      </c>
      <c r="B2977" s="5" t="s">
        <v>8156</v>
      </c>
      <c r="C2977" s="1" t="s">
        <v>8157</v>
      </c>
      <c r="D2977" s="1" t="s">
        <v>8158</v>
      </c>
      <c r="E2977" s="7">
        <v>49</v>
      </c>
    </row>
    <row r="2978" spans="1:5" x14ac:dyDescent="0.25">
      <c r="A2978" s="5" t="s">
        <v>6</v>
      </c>
      <c r="B2978" s="5" t="s">
        <v>8159</v>
      </c>
      <c r="C2978" s="1" t="s">
        <v>8160</v>
      </c>
      <c r="D2978" s="1" t="s">
        <v>8161</v>
      </c>
      <c r="E2978" s="7">
        <v>31</v>
      </c>
    </row>
    <row r="2979" spans="1:5" x14ac:dyDescent="0.25">
      <c r="A2979" s="5" t="s">
        <v>6</v>
      </c>
      <c r="B2979" s="5" t="s">
        <v>8162</v>
      </c>
      <c r="C2979" s="1" t="s">
        <v>8163</v>
      </c>
      <c r="D2979" s="1" t="s">
        <v>8164</v>
      </c>
      <c r="E2979" s="7">
        <v>38</v>
      </c>
    </row>
    <row r="2980" spans="1:5" x14ac:dyDescent="0.25">
      <c r="A2980" s="5" t="s">
        <v>6</v>
      </c>
      <c r="B2980" s="5" t="s">
        <v>8165</v>
      </c>
      <c r="C2980" s="1" t="s">
        <v>8166</v>
      </c>
      <c r="D2980" s="1" t="s">
        <v>8167</v>
      </c>
      <c r="E2980" s="7">
        <v>38</v>
      </c>
    </row>
    <row r="2981" spans="1:5" x14ac:dyDescent="0.25">
      <c r="A2981" s="5" t="s">
        <v>6</v>
      </c>
      <c r="B2981" s="5" t="s">
        <v>8168</v>
      </c>
      <c r="C2981" s="1" t="s">
        <v>8169</v>
      </c>
      <c r="D2981" s="1" t="s">
        <v>8170</v>
      </c>
      <c r="E2981" s="7">
        <v>38</v>
      </c>
    </row>
    <row r="2982" spans="1:5" x14ac:dyDescent="0.25">
      <c r="A2982" s="5" t="s">
        <v>6</v>
      </c>
      <c r="B2982" s="5" t="s">
        <v>8171</v>
      </c>
      <c r="C2982" s="1" t="s">
        <v>8172</v>
      </c>
      <c r="D2982" s="1" t="s">
        <v>8173</v>
      </c>
      <c r="E2982" s="7">
        <v>25</v>
      </c>
    </row>
    <row r="2983" spans="1:5" x14ac:dyDescent="0.25">
      <c r="A2983" s="5" t="s">
        <v>6</v>
      </c>
      <c r="B2983" s="5" t="s">
        <v>8174</v>
      </c>
      <c r="C2983" s="1" t="s">
        <v>8175</v>
      </c>
      <c r="D2983" s="1" t="s">
        <v>8176</v>
      </c>
      <c r="E2983" s="7">
        <v>25</v>
      </c>
    </row>
    <row r="2984" spans="1:5" x14ac:dyDescent="0.25">
      <c r="A2984" s="5" t="s">
        <v>6</v>
      </c>
      <c r="B2984" s="5" t="s">
        <v>8177</v>
      </c>
      <c r="C2984" s="1" t="s">
        <v>8178</v>
      </c>
      <c r="D2984" s="1" t="s">
        <v>8179</v>
      </c>
      <c r="E2984" s="7">
        <v>31</v>
      </c>
    </row>
    <row r="2985" spans="1:5" x14ac:dyDescent="0.25">
      <c r="A2985" s="5" t="s">
        <v>6</v>
      </c>
      <c r="B2985" s="5" t="s">
        <v>8180</v>
      </c>
      <c r="C2985" s="1" t="s">
        <v>8181</v>
      </c>
      <c r="D2985" s="1" t="s">
        <v>8182</v>
      </c>
      <c r="E2985" s="7">
        <v>40</v>
      </c>
    </row>
    <row r="2986" spans="1:5" x14ac:dyDescent="0.25">
      <c r="A2986" s="5" t="s">
        <v>6</v>
      </c>
      <c r="B2986" s="5" t="s">
        <v>8183</v>
      </c>
      <c r="C2986" s="1" t="s">
        <v>8184</v>
      </c>
      <c r="D2986" s="1" t="s">
        <v>8185</v>
      </c>
      <c r="E2986" s="7">
        <v>65</v>
      </c>
    </row>
    <row r="2987" spans="1:5" x14ac:dyDescent="0.25">
      <c r="A2987" s="5" t="s">
        <v>6</v>
      </c>
      <c r="B2987" s="5" t="s">
        <v>8186</v>
      </c>
      <c r="C2987" s="1" t="s">
        <v>8187</v>
      </c>
      <c r="D2987" s="1" t="s">
        <v>8188</v>
      </c>
      <c r="E2987" s="7">
        <v>25</v>
      </c>
    </row>
    <row r="2988" spans="1:5" x14ac:dyDescent="0.25">
      <c r="A2988" s="5" t="s">
        <v>6</v>
      </c>
      <c r="B2988" s="5" t="s">
        <v>8189</v>
      </c>
      <c r="C2988" s="1" t="s">
        <v>8190</v>
      </c>
      <c r="D2988" s="1" t="s">
        <v>8191</v>
      </c>
      <c r="E2988" s="7">
        <v>31</v>
      </c>
    </row>
    <row r="2989" spans="1:5" x14ac:dyDescent="0.25">
      <c r="A2989" s="5" t="s">
        <v>6</v>
      </c>
      <c r="B2989" s="5" t="s">
        <v>8192</v>
      </c>
      <c r="C2989" s="1" t="s">
        <v>8193</v>
      </c>
      <c r="D2989" s="1" t="s">
        <v>8194</v>
      </c>
      <c r="E2989" s="7">
        <v>49</v>
      </c>
    </row>
    <row r="2990" spans="1:5" x14ac:dyDescent="0.25">
      <c r="A2990" s="5" t="s">
        <v>6</v>
      </c>
      <c r="B2990" s="5" t="s">
        <v>8195</v>
      </c>
      <c r="C2990" s="1" t="s">
        <v>8196</v>
      </c>
      <c r="D2990" s="1" t="s">
        <v>8197</v>
      </c>
      <c r="E2990" s="7">
        <v>33</v>
      </c>
    </row>
    <row r="2991" spans="1:5" x14ac:dyDescent="0.25">
      <c r="A2991" s="5" t="s">
        <v>6</v>
      </c>
      <c r="B2991" s="5" t="s">
        <v>8198</v>
      </c>
      <c r="C2991" s="1" t="s">
        <v>8199</v>
      </c>
      <c r="D2991" s="1" t="s">
        <v>8200</v>
      </c>
      <c r="E2991" s="7">
        <v>23</v>
      </c>
    </row>
    <row r="2992" spans="1:5" x14ac:dyDescent="0.25">
      <c r="A2992" s="5" t="s">
        <v>6</v>
      </c>
      <c r="B2992" s="5" t="s">
        <v>8201</v>
      </c>
      <c r="C2992" s="1" t="s">
        <v>8202</v>
      </c>
      <c r="D2992" s="1" t="s">
        <v>8203</v>
      </c>
      <c r="E2992" s="7">
        <v>23</v>
      </c>
    </row>
    <row r="2993" spans="1:5" x14ac:dyDescent="0.25">
      <c r="A2993" s="5" t="s">
        <v>6</v>
      </c>
      <c r="B2993" s="5" t="s">
        <v>8204</v>
      </c>
      <c r="C2993" s="1" t="s">
        <v>8205</v>
      </c>
      <c r="D2993" s="1" t="s">
        <v>8206</v>
      </c>
      <c r="E2993" s="7">
        <v>27</v>
      </c>
    </row>
    <row r="2994" spans="1:5" x14ac:dyDescent="0.25">
      <c r="A2994" s="5" t="s">
        <v>6</v>
      </c>
      <c r="B2994" s="5" t="s">
        <v>8207</v>
      </c>
      <c r="C2994" s="1" t="s">
        <v>8208</v>
      </c>
      <c r="D2994" s="1" t="s">
        <v>8209</v>
      </c>
      <c r="E2994" s="7">
        <v>111</v>
      </c>
    </row>
    <row r="2995" spans="1:5" x14ac:dyDescent="0.25">
      <c r="A2995" s="5" t="s">
        <v>6</v>
      </c>
      <c r="B2995" s="5" t="s">
        <v>8210</v>
      </c>
      <c r="C2995" s="1" t="s">
        <v>8211</v>
      </c>
      <c r="D2995" s="1" t="s">
        <v>8212</v>
      </c>
      <c r="E2995" s="7">
        <v>19</v>
      </c>
    </row>
    <row r="2996" spans="1:5" x14ac:dyDescent="0.25">
      <c r="A2996" s="5" t="s">
        <v>6</v>
      </c>
      <c r="B2996" s="5" t="s">
        <v>8213</v>
      </c>
      <c r="C2996" s="1" t="s">
        <v>8214</v>
      </c>
      <c r="D2996" s="1" t="s">
        <v>8215</v>
      </c>
      <c r="E2996" s="7">
        <v>67</v>
      </c>
    </row>
    <row r="2997" spans="1:5" x14ac:dyDescent="0.25">
      <c r="A2997" s="5" t="s">
        <v>6</v>
      </c>
      <c r="B2997" s="5" t="s">
        <v>8216</v>
      </c>
      <c r="C2997" s="1" t="s">
        <v>8217</v>
      </c>
      <c r="D2997" s="1" t="s">
        <v>8218</v>
      </c>
      <c r="E2997" s="7">
        <v>29</v>
      </c>
    </row>
    <row r="2998" spans="1:5" x14ac:dyDescent="0.25">
      <c r="A2998" s="5" t="s">
        <v>6</v>
      </c>
      <c r="B2998" s="5" t="s">
        <v>8219</v>
      </c>
      <c r="C2998" s="1" t="s">
        <v>8220</v>
      </c>
      <c r="D2998" s="1" t="s">
        <v>8221</v>
      </c>
      <c r="E2998" s="7">
        <v>31</v>
      </c>
    </row>
    <row r="2999" spans="1:5" x14ac:dyDescent="0.25">
      <c r="A2999" s="5" t="s">
        <v>6</v>
      </c>
      <c r="B2999" s="5" t="s">
        <v>8222</v>
      </c>
      <c r="C2999" s="1" t="s">
        <v>8223</v>
      </c>
      <c r="D2999" s="1" t="s">
        <v>8224</v>
      </c>
      <c r="E2999" s="7">
        <v>29</v>
      </c>
    </row>
    <row r="3000" spans="1:5" x14ac:dyDescent="0.25">
      <c r="A3000" s="5" t="s">
        <v>6</v>
      </c>
      <c r="B3000" s="5" t="s">
        <v>8225</v>
      </c>
      <c r="C3000" s="1" t="s">
        <v>8226</v>
      </c>
      <c r="D3000" s="1" t="s">
        <v>8227</v>
      </c>
      <c r="E3000" s="7">
        <v>25</v>
      </c>
    </row>
    <row r="3001" spans="1:5" x14ac:dyDescent="0.25">
      <c r="A3001" s="5" t="s">
        <v>6</v>
      </c>
      <c r="B3001" s="5" t="s">
        <v>8228</v>
      </c>
      <c r="C3001" s="1" t="s">
        <v>8229</v>
      </c>
      <c r="D3001" s="1" t="s">
        <v>8230</v>
      </c>
      <c r="E3001" s="7">
        <v>5</v>
      </c>
    </row>
    <row r="3002" spans="1:5" x14ac:dyDescent="0.25">
      <c r="A3002" s="5" t="s">
        <v>6</v>
      </c>
      <c r="B3002" s="5" t="s">
        <v>8231</v>
      </c>
      <c r="C3002" s="1" t="s">
        <v>8232</v>
      </c>
      <c r="D3002" s="1" t="s">
        <v>8233</v>
      </c>
      <c r="E3002" s="7">
        <v>60</v>
      </c>
    </row>
    <row r="3003" spans="1:5" x14ac:dyDescent="0.25">
      <c r="A3003" s="5" t="s">
        <v>6</v>
      </c>
      <c r="B3003" s="5" t="s">
        <v>8234</v>
      </c>
      <c r="C3003" s="1" t="s">
        <v>8235</v>
      </c>
      <c r="D3003" s="1" t="s">
        <v>8236</v>
      </c>
      <c r="E3003" s="7">
        <v>29</v>
      </c>
    </row>
    <row r="3004" spans="1:5" x14ac:dyDescent="0.25">
      <c r="A3004" s="5" t="s">
        <v>6</v>
      </c>
      <c r="B3004" s="5" t="s">
        <v>8237</v>
      </c>
      <c r="C3004" s="1" t="s">
        <v>8238</v>
      </c>
      <c r="D3004" s="1" t="s">
        <v>8239</v>
      </c>
      <c r="E3004" s="7">
        <v>136</v>
      </c>
    </row>
    <row r="3005" spans="1:5" x14ac:dyDescent="0.25">
      <c r="A3005" s="5" t="s">
        <v>6</v>
      </c>
      <c r="B3005" s="5" t="s">
        <v>8240</v>
      </c>
      <c r="C3005" s="1" t="s">
        <v>8241</v>
      </c>
      <c r="D3005" s="1" t="s">
        <v>8242</v>
      </c>
      <c r="E3005" s="7">
        <v>44</v>
      </c>
    </row>
    <row r="3006" spans="1:5" x14ac:dyDescent="0.25">
      <c r="A3006" s="5" t="s">
        <v>6</v>
      </c>
      <c r="B3006" s="5" t="s">
        <v>8243</v>
      </c>
      <c r="C3006" s="1" t="s">
        <v>8244</v>
      </c>
      <c r="D3006" s="1" t="s">
        <v>8245</v>
      </c>
      <c r="E3006" s="7">
        <v>16</v>
      </c>
    </row>
    <row r="3007" spans="1:5" x14ac:dyDescent="0.25">
      <c r="A3007" s="5" t="s">
        <v>6</v>
      </c>
      <c r="B3007" s="5" t="s">
        <v>8246</v>
      </c>
      <c r="C3007" s="1" t="s">
        <v>8247</v>
      </c>
      <c r="D3007" s="1" t="s">
        <v>8248</v>
      </c>
      <c r="E3007" s="7">
        <v>42</v>
      </c>
    </row>
    <row r="3008" spans="1:5" x14ac:dyDescent="0.25">
      <c r="A3008" s="5" t="s">
        <v>6</v>
      </c>
      <c r="B3008" s="5" t="s">
        <v>8249</v>
      </c>
      <c r="C3008" s="1" t="s">
        <v>8250</v>
      </c>
      <c r="D3008" s="1" t="s">
        <v>8251</v>
      </c>
      <c r="E3008" s="7">
        <v>53</v>
      </c>
    </row>
    <row r="3009" spans="1:5" x14ac:dyDescent="0.25">
      <c r="A3009" s="5" t="s">
        <v>6</v>
      </c>
      <c r="B3009" s="5" t="s">
        <v>8252</v>
      </c>
      <c r="C3009" s="1" t="s">
        <v>8253</v>
      </c>
      <c r="D3009" s="1" t="s">
        <v>8254</v>
      </c>
      <c r="E3009" s="7">
        <v>44</v>
      </c>
    </row>
    <row r="3010" spans="1:5" x14ac:dyDescent="0.25">
      <c r="A3010" s="5" t="s">
        <v>6</v>
      </c>
      <c r="B3010" s="5" t="s">
        <v>8255</v>
      </c>
      <c r="C3010" s="1" t="s">
        <v>8256</v>
      </c>
      <c r="D3010" s="1" t="s">
        <v>8257</v>
      </c>
      <c r="E3010" s="7">
        <v>153</v>
      </c>
    </row>
    <row r="3011" spans="1:5" x14ac:dyDescent="0.25">
      <c r="A3011" s="5" t="s">
        <v>6</v>
      </c>
      <c r="B3011" s="5" t="s">
        <v>8258</v>
      </c>
      <c r="C3011" s="1" t="s">
        <v>8259</v>
      </c>
      <c r="D3011" s="1" t="s">
        <v>8260</v>
      </c>
      <c r="E3011" s="7">
        <v>31</v>
      </c>
    </row>
    <row r="3012" spans="1:5" x14ac:dyDescent="0.25">
      <c r="A3012" s="5" t="s">
        <v>6</v>
      </c>
      <c r="B3012" s="5" t="s">
        <v>8261</v>
      </c>
      <c r="C3012" s="1" t="s">
        <v>8262</v>
      </c>
      <c r="D3012" s="1" t="s">
        <v>8263</v>
      </c>
      <c r="E3012" s="7">
        <v>51</v>
      </c>
    </row>
    <row r="3013" spans="1:5" x14ac:dyDescent="0.25">
      <c r="A3013" s="5" t="s">
        <v>6</v>
      </c>
      <c r="B3013" s="5" t="s">
        <v>8264</v>
      </c>
      <c r="C3013" s="1" t="s">
        <v>8265</v>
      </c>
      <c r="D3013" s="1" t="s">
        <v>8266</v>
      </c>
      <c r="E3013" s="7">
        <v>37</v>
      </c>
    </row>
    <row r="3014" spans="1:5" x14ac:dyDescent="0.25">
      <c r="A3014" s="5" t="s">
        <v>6</v>
      </c>
      <c r="B3014" s="5" t="s">
        <v>8267</v>
      </c>
      <c r="C3014" s="1" t="s">
        <v>8268</v>
      </c>
      <c r="D3014" s="1" t="s">
        <v>8269</v>
      </c>
      <c r="E3014" s="7">
        <v>44</v>
      </c>
    </row>
    <row r="3015" spans="1:5" x14ac:dyDescent="0.25">
      <c r="A3015" s="5" t="s">
        <v>6</v>
      </c>
      <c r="B3015" s="5" t="s">
        <v>8270</v>
      </c>
      <c r="C3015" s="1" t="s">
        <v>8271</v>
      </c>
      <c r="D3015" s="1" t="s">
        <v>8272</v>
      </c>
      <c r="E3015" s="7">
        <v>29</v>
      </c>
    </row>
    <row r="3016" spans="1:5" x14ac:dyDescent="0.25">
      <c r="A3016" s="5" t="s">
        <v>6</v>
      </c>
      <c r="B3016" s="5" t="s">
        <v>8273</v>
      </c>
      <c r="C3016" s="1" t="s">
        <v>8274</v>
      </c>
      <c r="D3016" s="1" t="s">
        <v>8275</v>
      </c>
      <c r="E3016" s="7">
        <v>46</v>
      </c>
    </row>
    <row r="3017" spans="1:5" x14ac:dyDescent="0.25">
      <c r="A3017" s="5" t="s">
        <v>6</v>
      </c>
      <c r="B3017" s="5" t="s">
        <v>8276</v>
      </c>
      <c r="C3017" s="1" t="s">
        <v>8277</v>
      </c>
      <c r="D3017" s="1" t="s">
        <v>8278</v>
      </c>
      <c r="E3017" s="7">
        <v>29</v>
      </c>
    </row>
    <row r="3018" spans="1:5" x14ac:dyDescent="0.25">
      <c r="A3018" s="5" t="s">
        <v>6</v>
      </c>
      <c r="B3018" s="5" t="s">
        <v>8279</v>
      </c>
      <c r="C3018" s="1" t="s">
        <v>8280</v>
      </c>
      <c r="D3018" s="1" t="s">
        <v>8281</v>
      </c>
      <c r="E3018" s="7">
        <v>33</v>
      </c>
    </row>
    <row r="3019" spans="1:5" x14ac:dyDescent="0.25">
      <c r="A3019" s="5" t="s">
        <v>6</v>
      </c>
      <c r="B3019" s="5" t="s">
        <v>8282</v>
      </c>
      <c r="C3019" s="1" t="s">
        <v>8283</v>
      </c>
      <c r="D3019" s="1" t="s">
        <v>8284</v>
      </c>
      <c r="E3019" s="7">
        <v>29</v>
      </c>
    </row>
    <row r="3020" spans="1:5" x14ac:dyDescent="0.25">
      <c r="A3020" s="5" t="s">
        <v>6</v>
      </c>
      <c r="B3020" s="5" t="s">
        <v>8285</v>
      </c>
      <c r="C3020" s="1" t="s">
        <v>8286</v>
      </c>
      <c r="D3020" s="1" t="s">
        <v>8287</v>
      </c>
      <c r="E3020" s="7">
        <v>29</v>
      </c>
    </row>
    <row r="3021" spans="1:5" x14ac:dyDescent="0.25">
      <c r="A3021" s="5" t="s">
        <v>6</v>
      </c>
      <c r="B3021" s="5" t="s">
        <v>8288</v>
      </c>
      <c r="C3021" s="1" t="s">
        <v>8289</v>
      </c>
      <c r="D3021" s="1" t="s">
        <v>8290</v>
      </c>
      <c r="E3021" s="7">
        <v>5</v>
      </c>
    </row>
    <row r="3022" spans="1:5" x14ac:dyDescent="0.25">
      <c r="A3022" s="5" t="s">
        <v>6</v>
      </c>
      <c r="B3022" s="5" t="s">
        <v>8291</v>
      </c>
      <c r="C3022" s="1" t="s">
        <v>8292</v>
      </c>
      <c r="D3022" s="1" t="s">
        <v>8293</v>
      </c>
      <c r="E3022" s="7">
        <v>5</v>
      </c>
    </row>
    <row r="3023" spans="1:5" x14ac:dyDescent="0.25">
      <c r="A3023" s="5" t="s">
        <v>6</v>
      </c>
      <c r="B3023" s="5" t="s">
        <v>8294</v>
      </c>
      <c r="C3023" s="1" t="s">
        <v>8295</v>
      </c>
      <c r="D3023" s="1" t="s">
        <v>8296</v>
      </c>
      <c r="E3023" s="7">
        <v>23</v>
      </c>
    </row>
    <row r="3024" spans="1:5" x14ac:dyDescent="0.25">
      <c r="A3024" s="5" t="s">
        <v>6</v>
      </c>
      <c r="B3024" s="5" t="s">
        <v>8297</v>
      </c>
      <c r="C3024" s="1" t="s">
        <v>8298</v>
      </c>
      <c r="D3024" s="1" t="s">
        <v>8299</v>
      </c>
      <c r="E3024" s="7">
        <v>31</v>
      </c>
    </row>
    <row r="3025" spans="1:5" x14ac:dyDescent="0.25">
      <c r="A3025" s="5" t="s">
        <v>6</v>
      </c>
      <c r="B3025" s="5" t="s">
        <v>8300</v>
      </c>
      <c r="C3025" s="1" t="s">
        <v>8301</v>
      </c>
      <c r="D3025" s="1" t="s">
        <v>8302</v>
      </c>
      <c r="E3025" s="7">
        <v>14</v>
      </c>
    </row>
    <row r="3026" spans="1:5" x14ac:dyDescent="0.25">
      <c r="A3026" s="5" t="s">
        <v>6</v>
      </c>
      <c r="B3026" s="5" t="s">
        <v>8303</v>
      </c>
      <c r="C3026" s="1" t="s">
        <v>8304</v>
      </c>
      <c r="D3026" s="1" t="s">
        <v>8305</v>
      </c>
      <c r="E3026" s="7">
        <v>44</v>
      </c>
    </row>
    <row r="3027" spans="1:5" x14ac:dyDescent="0.25">
      <c r="A3027" s="5" t="s">
        <v>6</v>
      </c>
      <c r="B3027" s="5" t="s">
        <v>8306</v>
      </c>
      <c r="C3027" s="1" t="s">
        <v>8307</v>
      </c>
      <c r="D3027" s="1" t="s">
        <v>8308</v>
      </c>
      <c r="E3027" s="7">
        <v>29</v>
      </c>
    </row>
    <row r="3028" spans="1:5" x14ac:dyDescent="0.25">
      <c r="A3028" s="5" t="s">
        <v>6</v>
      </c>
      <c r="B3028" s="5" t="s">
        <v>8309</v>
      </c>
      <c r="C3028" s="1" t="s">
        <v>8310</v>
      </c>
      <c r="D3028" s="1" t="s">
        <v>8311</v>
      </c>
      <c r="E3028" s="7">
        <v>10.9</v>
      </c>
    </row>
    <row r="3029" spans="1:5" x14ac:dyDescent="0.25">
      <c r="A3029" s="5" t="s">
        <v>6</v>
      </c>
      <c r="B3029" s="5" t="s">
        <v>8312</v>
      </c>
      <c r="C3029" s="1" t="s">
        <v>8313</v>
      </c>
      <c r="D3029" s="1" t="s">
        <v>8314</v>
      </c>
      <c r="E3029" s="7">
        <v>31</v>
      </c>
    </row>
    <row r="3030" spans="1:5" x14ac:dyDescent="0.25">
      <c r="A3030" s="5" t="s">
        <v>6</v>
      </c>
      <c r="B3030" s="5" t="s">
        <v>8315</v>
      </c>
      <c r="C3030" s="1" t="s">
        <v>8316</v>
      </c>
      <c r="D3030" s="1" t="s">
        <v>8314</v>
      </c>
      <c r="E3030" s="7">
        <v>31</v>
      </c>
    </row>
    <row r="3031" spans="1:5" x14ac:dyDescent="0.25">
      <c r="A3031" s="5" t="s">
        <v>6</v>
      </c>
      <c r="B3031" s="5" t="s">
        <v>8317</v>
      </c>
      <c r="C3031" s="1" t="s">
        <v>8318</v>
      </c>
      <c r="D3031" s="1" t="s">
        <v>8314</v>
      </c>
      <c r="E3031" s="7">
        <v>38</v>
      </c>
    </row>
    <row r="3032" spans="1:5" x14ac:dyDescent="0.25">
      <c r="A3032" s="5" t="s">
        <v>6</v>
      </c>
      <c r="B3032" s="5" t="s">
        <v>8319</v>
      </c>
      <c r="C3032" s="1" t="s">
        <v>8320</v>
      </c>
      <c r="D3032" s="1" t="s">
        <v>8321</v>
      </c>
      <c r="E3032" s="7">
        <v>49</v>
      </c>
    </row>
    <row r="3033" spans="1:5" x14ac:dyDescent="0.25">
      <c r="A3033" s="5" t="s">
        <v>6</v>
      </c>
      <c r="B3033" s="5" t="s">
        <v>8322</v>
      </c>
      <c r="C3033" s="1" t="s">
        <v>8323</v>
      </c>
      <c r="D3033" s="1" t="s">
        <v>8324</v>
      </c>
      <c r="E3033" s="7">
        <v>11</v>
      </c>
    </row>
    <row r="3034" spans="1:5" x14ac:dyDescent="0.25">
      <c r="A3034" s="5" t="s">
        <v>6</v>
      </c>
      <c r="B3034" s="5" t="s">
        <v>8325</v>
      </c>
      <c r="C3034" s="1" t="s">
        <v>8326</v>
      </c>
      <c r="D3034" s="1" t="s">
        <v>8327</v>
      </c>
      <c r="E3034" s="7">
        <v>10</v>
      </c>
    </row>
    <row r="3035" spans="1:5" x14ac:dyDescent="0.25">
      <c r="A3035" s="5" t="s">
        <v>6</v>
      </c>
      <c r="B3035" s="5" t="s">
        <v>8328</v>
      </c>
      <c r="C3035" s="1" t="s">
        <v>8329</v>
      </c>
      <c r="D3035" s="1" t="s">
        <v>8330</v>
      </c>
      <c r="E3035" s="7">
        <v>5</v>
      </c>
    </row>
    <row r="3036" spans="1:5" x14ac:dyDescent="0.25">
      <c r="A3036" s="5" t="s">
        <v>6</v>
      </c>
      <c r="B3036" s="5" t="s">
        <v>8331</v>
      </c>
      <c r="C3036" s="1" t="s">
        <v>8332</v>
      </c>
      <c r="D3036" s="1" t="s">
        <v>8333</v>
      </c>
      <c r="E3036" s="7">
        <v>44</v>
      </c>
    </row>
    <row r="3037" spans="1:5" x14ac:dyDescent="0.25">
      <c r="A3037" s="5" t="s">
        <v>6</v>
      </c>
      <c r="B3037" s="5" t="s">
        <v>8334</v>
      </c>
      <c r="C3037" s="1" t="s">
        <v>8335</v>
      </c>
      <c r="D3037" s="1" t="s">
        <v>8336</v>
      </c>
      <c r="E3037" s="7">
        <v>49</v>
      </c>
    </row>
    <row r="3038" spans="1:5" x14ac:dyDescent="0.25">
      <c r="A3038" s="5" t="s">
        <v>6</v>
      </c>
      <c r="B3038" s="5" t="s">
        <v>8337</v>
      </c>
      <c r="C3038" s="1" t="s">
        <v>8338</v>
      </c>
      <c r="D3038" s="1" t="s">
        <v>8339</v>
      </c>
      <c r="E3038" s="7">
        <v>29</v>
      </c>
    </row>
    <row r="3039" spans="1:5" x14ac:dyDescent="0.25">
      <c r="A3039" s="5" t="s">
        <v>6</v>
      </c>
      <c r="B3039" s="5" t="s">
        <v>8340</v>
      </c>
      <c r="C3039" s="1" t="s">
        <v>8341</v>
      </c>
      <c r="D3039" s="1" t="s">
        <v>8342</v>
      </c>
      <c r="E3039" s="7">
        <v>14</v>
      </c>
    </row>
    <row r="3040" spans="1:5" x14ac:dyDescent="0.25">
      <c r="A3040" s="5" t="s">
        <v>6</v>
      </c>
      <c r="B3040" s="5" t="s">
        <v>8343</v>
      </c>
      <c r="C3040" s="1" t="s">
        <v>8344</v>
      </c>
      <c r="D3040" s="1" t="s">
        <v>8345</v>
      </c>
      <c r="E3040" s="7">
        <v>33</v>
      </c>
    </row>
    <row r="3041" spans="1:5" x14ac:dyDescent="0.25">
      <c r="A3041" s="5" t="s">
        <v>6</v>
      </c>
      <c r="B3041" s="5" t="s">
        <v>8346</v>
      </c>
      <c r="C3041" s="1" t="s">
        <v>8347</v>
      </c>
      <c r="D3041" s="1" t="s">
        <v>8348</v>
      </c>
      <c r="E3041" s="7">
        <v>25</v>
      </c>
    </row>
    <row r="3042" spans="1:5" x14ac:dyDescent="0.25">
      <c r="A3042" s="5" t="s">
        <v>6</v>
      </c>
      <c r="B3042" s="5" t="s">
        <v>8349</v>
      </c>
      <c r="C3042" s="1" t="s">
        <v>8350</v>
      </c>
      <c r="D3042" s="1" t="s">
        <v>8351</v>
      </c>
      <c r="E3042" s="7">
        <v>3</v>
      </c>
    </row>
    <row r="3043" spans="1:5" x14ac:dyDescent="0.25">
      <c r="A3043" s="5" t="s">
        <v>6</v>
      </c>
      <c r="B3043" s="5" t="s">
        <v>8352</v>
      </c>
      <c r="C3043" s="1" t="s">
        <v>8353</v>
      </c>
      <c r="D3043" s="1" t="s">
        <v>8354</v>
      </c>
      <c r="E3043" s="7">
        <v>78</v>
      </c>
    </row>
    <row r="3044" spans="1:5" x14ac:dyDescent="0.25">
      <c r="A3044" s="5" t="s">
        <v>6</v>
      </c>
      <c r="B3044" s="5" t="s">
        <v>8355</v>
      </c>
      <c r="C3044" s="1" t="s">
        <v>8356</v>
      </c>
      <c r="D3044" s="1" t="s">
        <v>8357</v>
      </c>
      <c r="E3044" s="7">
        <v>25</v>
      </c>
    </row>
    <row r="3045" spans="1:5" x14ac:dyDescent="0.25">
      <c r="A3045" s="5" t="s">
        <v>6</v>
      </c>
      <c r="B3045" s="5" t="s">
        <v>8358</v>
      </c>
      <c r="C3045" s="1" t="s">
        <v>8359</v>
      </c>
      <c r="D3045" s="1" t="s">
        <v>8360</v>
      </c>
      <c r="E3045" s="7">
        <v>95</v>
      </c>
    </row>
    <row r="3046" spans="1:5" x14ac:dyDescent="0.25">
      <c r="A3046" s="5" t="s">
        <v>6</v>
      </c>
      <c r="B3046" s="5" t="s">
        <v>8361</v>
      </c>
      <c r="C3046" s="1" t="s">
        <v>8362</v>
      </c>
      <c r="D3046" s="1" t="s">
        <v>8363</v>
      </c>
      <c r="E3046" s="7">
        <v>23</v>
      </c>
    </row>
    <row r="3047" spans="1:5" x14ac:dyDescent="0.25">
      <c r="A3047" s="5" t="s">
        <v>6</v>
      </c>
      <c r="B3047" s="5" t="s">
        <v>8364</v>
      </c>
      <c r="C3047" s="1" t="s">
        <v>8365</v>
      </c>
      <c r="D3047" s="1" t="s">
        <v>8366</v>
      </c>
      <c r="E3047" s="7">
        <v>49</v>
      </c>
    </row>
    <row r="3048" spans="1:5" x14ac:dyDescent="0.25">
      <c r="A3048" s="5" t="s">
        <v>6</v>
      </c>
      <c r="B3048" s="5" t="s">
        <v>8367</v>
      </c>
      <c r="C3048" s="1" t="s">
        <v>8368</v>
      </c>
      <c r="D3048" s="1" t="s">
        <v>8369</v>
      </c>
      <c r="E3048" s="7">
        <v>32</v>
      </c>
    </row>
    <row r="3049" spans="1:5" x14ac:dyDescent="0.25">
      <c r="A3049" s="5" t="s">
        <v>6</v>
      </c>
      <c r="B3049" s="5" t="s">
        <v>8370</v>
      </c>
      <c r="C3049" s="1" t="s">
        <v>8371</v>
      </c>
      <c r="D3049" s="1" t="s">
        <v>8372</v>
      </c>
      <c r="E3049" s="7">
        <v>51</v>
      </c>
    </row>
    <row r="3050" spans="1:5" x14ac:dyDescent="0.25">
      <c r="A3050" s="5" t="s">
        <v>6</v>
      </c>
      <c r="B3050" s="5" t="s">
        <v>8373</v>
      </c>
      <c r="C3050" s="1" t="s">
        <v>8374</v>
      </c>
      <c r="D3050" s="1" t="s">
        <v>8375</v>
      </c>
      <c r="E3050" s="7">
        <v>56.89</v>
      </c>
    </row>
    <row r="3051" spans="1:5" x14ac:dyDescent="0.25">
      <c r="A3051" s="5" t="s">
        <v>6</v>
      </c>
      <c r="B3051" s="5" t="s">
        <v>8376</v>
      </c>
      <c r="C3051" s="1" t="s">
        <v>8377</v>
      </c>
      <c r="D3051" s="1" t="s">
        <v>8378</v>
      </c>
      <c r="E3051" s="7">
        <v>32</v>
      </c>
    </row>
    <row r="3052" spans="1:5" x14ac:dyDescent="0.25">
      <c r="A3052" s="5" t="s">
        <v>6</v>
      </c>
      <c r="B3052" s="5" t="s">
        <v>8379</v>
      </c>
      <c r="C3052" s="1" t="s">
        <v>8380</v>
      </c>
      <c r="D3052" s="1" t="s">
        <v>8381</v>
      </c>
      <c r="E3052" s="7">
        <v>51</v>
      </c>
    </row>
    <row r="3053" spans="1:5" x14ac:dyDescent="0.25">
      <c r="A3053" s="5" t="s">
        <v>6</v>
      </c>
      <c r="B3053" s="5" t="s">
        <v>8382</v>
      </c>
      <c r="C3053" s="1" t="s">
        <v>8383</v>
      </c>
      <c r="D3053" s="1" t="s">
        <v>8384</v>
      </c>
      <c r="E3053" s="7">
        <v>25</v>
      </c>
    </row>
    <row r="3054" spans="1:5" x14ac:dyDescent="0.25">
      <c r="A3054" s="5" t="s">
        <v>6</v>
      </c>
      <c r="B3054" s="5" t="s">
        <v>8385</v>
      </c>
      <c r="C3054" s="1" t="s">
        <v>8386</v>
      </c>
      <c r="D3054" s="1" t="s">
        <v>8386</v>
      </c>
      <c r="E3054" s="7">
        <v>23</v>
      </c>
    </row>
    <row r="3055" spans="1:5" x14ac:dyDescent="0.25">
      <c r="A3055" s="5" t="s">
        <v>6</v>
      </c>
      <c r="B3055" s="5" t="s">
        <v>8387</v>
      </c>
      <c r="C3055" s="1" t="s">
        <v>8388</v>
      </c>
      <c r="D3055" s="1" t="s">
        <v>8389</v>
      </c>
      <c r="E3055" s="7">
        <v>15</v>
      </c>
    </row>
    <row r="3056" spans="1:5" x14ac:dyDescent="0.25">
      <c r="A3056" s="5" t="s">
        <v>6</v>
      </c>
      <c r="B3056" s="5" t="s">
        <v>8390</v>
      </c>
      <c r="C3056" s="1" t="s">
        <v>8391</v>
      </c>
      <c r="D3056" s="1" t="s">
        <v>8392</v>
      </c>
      <c r="E3056" s="7">
        <v>31</v>
      </c>
    </row>
    <row r="3057" spans="1:5" x14ac:dyDescent="0.25">
      <c r="A3057" s="5" t="s">
        <v>6</v>
      </c>
      <c r="B3057" s="5" t="s">
        <v>8393</v>
      </c>
      <c r="C3057" s="1" t="s">
        <v>8394</v>
      </c>
      <c r="D3057" s="1" t="s">
        <v>8394</v>
      </c>
      <c r="E3057" s="7">
        <v>45</v>
      </c>
    </row>
    <row r="3058" spans="1:5" x14ac:dyDescent="0.25">
      <c r="A3058" s="5" t="s">
        <v>6</v>
      </c>
      <c r="B3058" s="5" t="s">
        <v>8395</v>
      </c>
      <c r="C3058" s="1" t="s">
        <v>8396</v>
      </c>
      <c r="D3058" s="1" t="s">
        <v>8397</v>
      </c>
      <c r="E3058" s="7">
        <v>2</v>
      </c>
    </row>
    <row r="3059" spans="1:5" x14ac:dyDescent="0.25">
      <c r="A3059" s="5" t="s">
        <v>6</v>
      </c>
      <c r="B3059" s="5" t="s">
        <v>8398</v>
      </c>
      <c r="C3059" s="1" t="s">
        <v>8399</v>
      </c>
      <c r="D3059" s="1" t="s">
        <v>8400</v>
      </c>
      <c r="E3059" s="7">
        <v>31</v>
      </c>
    </row>
    <row r="3060" spans="1:5" x14ac:dyDescent="0.25">
      <c r="A3060" s="5" t="s">
        <v>6</v>
      </c>
      <c r="B3060" s="5" t="s">
        <v>8401</v>
      </c>
      <c r="C3060" s="1" t="s">
        <v>8402</v>
      </c>
      <c r="D3060" s="1" t="s">
        <v>8403</v>
      </c>
      <c r="E3060" s="7">
        <v>31</v>
      </c>
    </row>
    <row r="3061" spans="1:5" x14ac:dyDescent="0.25">
      <c r="A3061" s="5" t="s">
        <v>6</v>
      </c>
      <c r="B3061" s="5" t="s">
        <v>8404</v>
      </c>
      <c r="C3061" s="1" t="s">
        <v>8405</v>
      </c>
      <c r="D3061" s="1" t="s">
        <v>8406</v>
      </c>
      <c r="E3061" s="7">
        <v>10</v>
      </c>
    </row>
    <row r="3062" spans="1:5" x14ac:dyDescent="0.25">
      <c r="A3062" s="5" t="s">
        <v>6</v>
      </c>
      <c r="B3062" s="5" t="s">
        <v>8407</v>
      </c>
      <c r="C3062" s="1" t="s">
        <v>8408</v>
      </c>
      <c r="D3062" s="1" t="s">
        <v>8409</v>
      </c>
      <c r="E3062" s="7">
        <v>29</v>
      </c>
    </row>
    <row r="3063" spans="1:5" x14ac:dyDescent="0.25">
      <c r="A3063" s="5" t="s">
        <v>6</v>
      </c>
      <c r="B3063" s="5" t="s">
        <v>8410</v>
      </c>
      <c r="C3063" s="1" t="s">
        <v>8411</v>
      </c>
      <c r="D3063" s="1" t="s">
        <v>8412</v>
      </c>
      <c r="E3063" s="7">
        <v>37</v>
      </c>
    </row>
    <row r="3064" spans="1:5" x14ac:dyDescent="0.25">
      <c r="A3064" s="5" t="s">
        <v>6</v>
      </c>
      <c r="B3064" s="5" t="s">
        <v>8413</v>
      </c>
      <c r="C3064" s="1" t="s">
        <v>8414</v>
      </c>
      <c r="D3064" s="1" t="s">
        <v>8415</v>
      </c>
      <c r="E3064" s="7">
        <v>29</v>
      </c>
    </row>
    <row r="3065" spans="1:5" x14ac:dyDescent="0.25">
      <c r="A3065" s="5" t="s">
        <v>6</v>
      </c>
      <c r="B3065" s="5" t="s">
        <v>8416</v>
      </c>
      <c r="C3065" s="1" t="s">
        <v>8417</v>
      </c>
      <c r="D3065" s="1" t="s">
        <v>8418</v>
      </c>
      <c r="E3065" s="7">
        <v>11</v>
      </c>
    </row>
    <row r="3066" spans="1:5" x14ac:dyDescent="0.25">
      <c r="A3066" s="5" t="s">
        <v>6</v>
      </c>
      <c r="B3066" s="5" t="s">
        <v>8419</v>
      </c>
      <c r="C3066" s="1" t="s">
        <v>8420</v>
      </c>
      <c r="D3066" s="1" t="s">
        <v>8421</v>
      </c>
      <c r="E3066" s="7">
        <v>23</v>
      </c>
    </row>
    <row r="3067" spans="1:5" x14ac:dyDescent="0.25">
      <c r="A3067" s="5" t="s">
        <v>6</v>
      </c>
      <c r="B3067" s="5" t="s">
        <v>8422</v>
      </c>
      <c r="C3067" s="1" t="s">
        <v>8423</v>
      </c>
      <c r="D3067" s="1" t="s">
        <v>8424</v>
      </c>
      <c r="E3067" s="7">
        <v>31</v>
      </c>
    </row>
    <row r="3068" spans="1:5" x14ac:dyDescent="0.25">
      <c r="A3068" s="5" t="s">
        <v>6</v>
      </c>
      <c r="B3068" s="5" t="s">
        <v>8425</v>
      </c>
      <c r="C3068" s="1" t="s">
        <v>8426</v>
      </c>
      <c r="D3068" s="1" t="s">
        <v>8427</v>
      </c>
      <c r="E3068" s="7">
        <v>31</v>
      </c>
    </row>
    <row r="3069" spans="1:5" x14ac:dyDescent="0.25">
      <c r="A3069" s="5" t="s">
        <v>6</v>
      </c>
      <c r="B3069" s="5" t="s">
        <v>8428</v>
      </c>
      <c r="C3069" s="1" t="s">
        <v>8429</v>
      </c>
      <c r="D3069" s="1" t="s">
        <v>8430</v>
      </c>
      <c r="E3069" s="7">
        <v>28</v>
      </c>
    </row>
    <row r="3070" spans="1:5" x14ac:dyDescent="0.25">
      <c r="A3070" s="5" t="s">
        <v>6</v>
      </c>
      <c r="B3070" s="5" t="s">
        <v>8431</v>
      </c>
      <c r="C3070" s="1" t="s">
        <v>8432</v>
      </c>
      <c r="D3070" s="1" t="s">
        <v>8433</v>
      </c>
      <c r="E3070" s="7">
        <v>173</v>
      </c>
    </row>
    <row r="3071" spans="1:5" x14ac:dyDescent="0.25">
      <c r="A3071" s="5" t="s">
        <v>6</v>
      </c>
      <c r="B3071" s="5" t="s">
        <v>8434</v>
      </c>
      <c r="C3071" s="1" t="s">
        <v>8435</v>
      </c>
      <c r="D3071" s="1" t="s">
        <v>8436</v>
      </c>
      <c r="E3071" s="7">
        <v>40</v>
      </c>
    </row>
    <row r="3072" spans="1:5" x14ac:dyDescent="0.25">
      <c r="A3072" s="5" t="s">
        <v>6</v>
      </c>
      <c r="B3072" s="5" t="s">
        <v>8437</v>
      </c>
      <c r="C3072" s="1" t="s">
        <v>8438</v>
      </c>
      <c r="D3072" s="1" t="s">
        <v>8439</v>
      </c>
      <c r="E3072" s="7">
        <v>29</v>
      </c>
    </row>
    <row r="3073" spans="1:5" x14ac:dyDescent="0.25">
      <c r="A3073" s="5" t="s">
        <v>6</v>
      </c>
      <c r="B3073" s="5" t="s">
        <v>8440</v>
      </c>
      <c r="C3073" s="1" t="s">
        <v>8441</v>
      </c>
      <c r="D3073" s="1" t="s">
        <v>8442</v>
      </c>
      <c r="E3073" s="7">
        <v>40</v>
      </c>
    </row>
    <row r="3074" spans="1:5" x14ac:dyDescent="0.25">
      <c r="A3074" s="5" t="s">
        <v>6</v>
      </c>
      <c r="B3074" s="5" t="s">
        <v>8443</v>
      </c>
      <c r="C3074" s="1" t="s">
        <v>8444</v>
      </c>
      <c r="D3074" s="1" t="s">
        <v>8445</v>
      </c>
      <c r="E3074" s="7">
        <v>46</v>
      </c>
    </row>
    <row r="3075" spans="1:5" x14ac:dyDescent="0.25">
      <c r="A3075" s="5" t="s">
        <v>6</v>
      </c>
      <c r="B3075" s="5" t="s">
        <v>8446</v>
      </c>
      <c r="C3075" s="1" t="s">
        <v>8447</v>
      </c>
      <c r="D3075" s="1" t="s">
        <v>8448</v>
      </c>
      <c r="E3075" s="7">
        <v>26</v>
      </c>
    </row>
    <row r="3076" spans="1:5" x14ac:dyDescent="0.25">
      <c r="A3076" s="5" t="s">
        <v>6</v>
      </c>
      <c r="B3076" s="5" t="s">
        <v>8449</v>
      </c>
      <c r="C3076" s="1" t="s">
        <v>8450</v>
      </c>
      <c r="D3076" s="1" t="s">
        <v>8451</v>
      </c>
      <c r="E3076" s="7">
        <v>33</v>
      </c>
    </row>
    <row r="3077" spans="1:5" x14ac:dyDescent="0.25">
      <c r="A3077" s="5" t="s">
        <v>6</v>
      </c>
      <c r="B3077" s="5" t="s">
        <v>8452</v>
      </c>
      <c r="C3077" s="1" t="s">
        <v>8453</v>
      </c>
      <c r="D3077" s="1" t="s">
        <v>8454</v>
      </c>
      <c r="E3077" s="7">
        <v>15</v>
      </c>
    </row>
    <row r="3078" spans="1:5" x14ac:dyDescent="0.25">
      <c r="A3078" s="5" t="s">
        <v>6</v>
      </c>
      <c r="B3078" s="5" t="s">
        <v>8455</v>
      </c>
      <c r="C3078" s="1" t="s">
        <v>8456</v>
      </c>
      <c r="D3078" s="1" t="s">
        <v>8457</v>
      </c>
      <c r="E3078" s="7">
        <v>31</v>
      </c>
    </row>
    <row r="3079" spans="1:5" x14ac:dyDescent="0.25">
      <c r="A3079" s="5" t="s">
        <v>6</v>
      </c>
      <c r="B3079" s="5" t="s">
        <v>8458</v>
      </c>
      <c r="C3079" s="1" t="s">
        <v>8459</v>
      </c>
      <c r="D3079" s="1" t="s">
        <v>8460</v>
      </c>
      <c r="E3079" s="7">
        <v>102</v>
      </c>
    </row>
    <row r="3080" spans="1:5" x14ac:dyDescent="0.25">
      <c r="A3080" s="5" t="s">
        <v>6</v>
      </c>
      <c r="B3080" s="5" t="s">
        <v>8461</v>
      </c>
      <c r="C3080" s="1" t="s">
        <v>8462</v>
      </c>
      <c r="D3080" s="1" t="s">
        <v>8463</v>
      </c>
      <c r="E3080" s="7">
        <v>32</v>
      </c>
    </row>
    <row r="3081" spans="1:5" x14ac:dyDescent="0.25">
      <c r="A3081" s="5" t="s">
        <v>6</v>
      </c>
      <c r="B3081" s="5" t="s">
        <v>8464</v>
      </c>
      <c r="C3081" s="1" t="s">
        <v>8465</v>
      </c>
      <c r="D3081" s="1" t="s">
        <v>8466</v>
      </c>
      <c r="E3081" s="7">
        <v>38</v>
      </c>
    </row>
    <row r="3082" spans="1:5" x14ac:dyDescent="0.25">
      <c r="A3082" s="5" t="s">
        <v>6</v>
      </c>
      <c r="B3082" s="5" t="s">
        <v>8467</v>
      </c>
      <c r="C3082" s="1" t="s">
        <v>8468</v>
      </c>
      <c r="D3082" s="1" t="s">
        <v>8469</v>
      </c>
      <c r="E3082" s="7">
        <v>42</v>
      </c>
    </row>
    <row r="3083" spans="1:5" x14ac:dyDescent="0.25">
      <c r="A3083" s="5" t="s">
        <v>6</v>
      </c>
      <c r="B3083" s="5" t="s">
        <v>8470</v>
      </c>
      <c r="C3083" s="1" t="s">
        <v>8471</v>
      </c>
      <c r="D3083" s="1" t="s">
        <v>8472</v>
      </c>
      <c r="E3083" s="7">
        <v>91</v>
      </c>
    </row>
    <row r="3084" spans="1:5" x14ac:dyDescent="0.25">
      <c r="A3084" s="5" t="s">
        <v>6</v>
      </c>
      <c r="B3084" s="5" t="s">
        <v>8473</v>
      </c>
      <c r="C3084" s="1" t="s">
        <v>8474</v>
      </c>
      <c r="D3084" s="1" t="s">
        <v>8475</v>
      </c>
      <c r="E3084" s="7">
        <v>29</v>
      </c>
    </row>
    <row r="3085" spans="1:5" x14ac:dyDescent="0.25">
      <c r="A3085" s="5" t="s">
        <v>6</v>
      </c>
      <c r="B3085" s="5" t="s">
        <v>8476</v>
      </c>
      <c r="C3085" s="1" t="s">
        <v>8477</v>
      </c>
      <c r="D3085" s="1" t="s">
        <v>8478</v>
      </c>
      <c r="E3085" s="7">
        <v>29</v>
      </c>
    </row>
    <row r="3086" spans="1:5" x14ac:dyDescent="0.25">
      <c r="A3086" s="5" t="s">
        <v>6</v>
      </c>
      <c r="B3086" s="5" t="s">
        <v>8479</v>
      </c>
      <c r="C3086" s="1" t="s">
        <v>8480</v>
      </c>
      <c r="D3086" s="1" t="s">
        <v>8481</v>
      </c>
      <c r="E3086" s="7">
        <v>23</v>
      </c>
    </row>
    <row r="3087" spans="1:5" x14ac:dyDescent="0.25">
      <c r="A3087" s="5" t="s">
        <v>6</v>
      </c>
      <c r="B3087" s="5" t="s">
        <v>8482</v>
      </c>
      <c r="C3087" s="1" t="s">
        <v>8483</v>
      </c>
      <c r="D3087" s="1" t="s">
        <v>8484</v>
      </c>
      <c r="E3087" s="7">
        <v>23</v>
      </c>
    </row>
    <row r="3088" spans="1:5" x14ac:dyDescent="0.25">
      <c r="A3088" s="5" t="s">
        <v>6</v>
      </c>
      <c r="B3088" s="5" t="s">
        <v>8485</v>
      </c>
      <c r="C3088" s="1" t="s">
        <v>8486</v>
      </c>
      <c r="D3088" s="1" t="s">
        <v>8487</v>
      </c>
      <c r="E3088" s="7">
        <v>25</v>
      </c>
    </row>
    <row r="3089" spans="1:5" x14ac:dyDescent="0.25">
      <c r="A3089" s="5" t="s">
        <v>6</v>
      </c>
      <c r="B3089" s="5" t="s">
        <v>8488</v>
      </c>
      <c r="C3089" s="1" t="s">
        <v>8489</v>
      </c>
      <c r="D3089" s="1" t="s">
        <v>8490</v>
      </c>
      <c r="E3089" s="7">
        <v>5</v>
      </c>
    </row>
    <row r="3090" spans="1:5" x14ac:dyDescent="0.25">
      <c r="A3090" s="5" t="s">
        <v>6</v>
      </c>
      <c r="B3090" s="5" t="s">
        <v>8491</v>
      </c>
      <c r="C3090" s="1" t="s">
        <v>8492</v>
      </c>
      <c r="D3090" s="1" t="s">
        <v>8493</v>
      </c>
      <c r="E3090" s="7">
        <v>31</v>
      </c>
    </row>
    <row r="3091" spans="1:5" x14ac:dyDescent="0.25">
      <c r="A3091" s="5" t="s">
        <v>6</v>
      </c>
      <c r="B3091" s="5" t="s">
        <v>8494</v>
      </c>
      <c r="C3091" s="1" t="s">
        <v>8495</v>
      </c>
      <c r="D3091" s="1" t="s">
        <v>8496</v>
      </c>
      <c r="E3091" s="7">
        <v>25</v>
      </c>
    </row>
    <row r="3092" spans="1:5" x14ac:dyDescent="0.25">
      <c r="A3092" s="5" t="s">
        <v>6</v>
      </c>
      <c r="B3092" s="5" t="s">
        <v>8497</v>
      </c>
      <c r="C3092" s="1" t="s">
        <v>8498</v>
      </c>
      <c r="D3092" s="1" t="s">
        <v>8499</v>
      </c>
      <c r="E3092" s="7">
        <v>23</v>
      </c>
    </row>
    <row r="3093" spans="1:5" x14ac:dyDescent="0.25">
      <c r="A3093" s="5" t="s">
        <v>6</v>
      </c>
      <c r="B3093" s="5" t="s">
        <v>8500</v>
      </c>
      <c r="C3093" s="1" t="s">
        <v>8501</v>
      </c>
      <c r="D3093" s="1" t="s">
        <v>8502</v>
      </c>
      <c r="E3093" s="7">
        <v>23</v>
      </c>
    </row>
    <row r="3094" spans="1:5" x14ac:dyDescent="0.25">
      <c r="A3094" s="5" t="s">
        <v>6</v>
      </c>
      <c r="B3094" s="5" t="s">
        <v>8503</v>
      </c>
      <c r="C3094" s="1" t="s">
        <v>8504</v>
      </c>
      <c r="D3094" s="1" t="s">
        <v>8505</v>
      </c>
      <c r="E3094" s="7">
        <v>40</v>
      </c>
    </row>
    <row r="3095" spans="1:5" x14ac:dyDescent="0.25">
      <c r="A3095" s="5" t="s">
        <v>6</v>
      </c>
      <c r="B3095" s="5" t="s">
        <v>8506</v>
      </c>
      <c r="C3095" s="1" t="s">
        <v>8507</v>
      </c>
      <c r="D3095" s="1" t="s">
        <v>8508</v>
      </c>
      <c r="E3095" s="7">
        <v>19</v>
      </c>
    </row>
    <row r="3096" spans="1:5" x14ac:dyDescent="0.25">
      <c r="A3096" s="5" t="s">
        <v>6</v>
      </c>
      <c r="B3096" s="5" t="s">
        <v>8509</v>
      </c>
      <c r="C3096" s="1" t="s">
        <v>8510</v>
      </c>
      <c r="D3096" s="1" t="s">
        <v>8511</v>
      </c>
      <c r="E3096" s="7">
        <v>17</v>
      </c>
    </row>
    <row r="3097" spans="1:5" x14ac:dyDescent="0.25">
      <c r="A3097" s="5" t="s">
        <v>6</v>
      </c>
      <c r="B3097" s="5" t="s">
        <v>8512</v>
      </c>
      <c r="C3097" s="1" t="s">
        <v>8513</v>
      </c>
      <c r="D3097" s="1" t="s">
        <v>8514</v>
      </c>
      <c r="E3097" s="7">
        <v>17</v>
      </c>
    </row>
    <row r="3098" spans="1:5" x14ac:dyDescent="0.25">
      <c r="A3098" s="5" t="s">
        <v>6</v>
      </c>
      <c r="B3098" s="5" t="s">
        <v>8515</v>
      </c>
      <c r="C3098" s="1" t="s">
        <v>8516</v>
      </c>
      <c r="D3098" s="1" t="s">
        <v>8517</v>
      </c>
      <c r="E3098" s="7">
        <v>18</v>
      </c>
    </row>
    <row r="3099" spans="1:5" x14ac:dyDescent="0.25">
      <c r="A3099" s="5" t="s">
        <v>6</v>
      </c>
      <c r="B3099" s="5" t="s">
        <v>8518</v>
      </c>
      <c r="C3099" s="1" t="s">
        <v>8519</v>
      </c>
      <c r="D3099" s="1" t="s">
        <v>8520</v>
      </c>
      <c r="E3099" s="7">
        <v>23</v>
      </c>
    </row>
    <row r="3100" spans="1:5" x14ac:dyDescent="0.25">
      <c r="A3100" s="5" t="s">
        <v>6</v>
      </c>
      <c r="B3100" s="5" t="s">
        <v>8521</v>
      </c>
      <c r="C3100" s="1" t="s">
        <v>8522</v>
      </c>
      <c r="D3100" s="1" t="s">
        <v>8523</v>
      </c>
      <c r="E3100" s="7">
        <v>25</v>
      </c>
    </row>
    <row r="3101" spans="1:5" x14ac:dyDescent="0.25">
      <c r="A3101" s="5" t="s">
        <v>6</v>
      </c>
      <c r="B3101" s="5" t="s">
        <v>8524</v>
      </c>
      <c r="C3101" s="1" t="s">
        <v>8525</v>
      </c>
      <c r="D3101" s="1" t="s">
        <v>8526</v>
      </c>
      <c r="E3101" s="7">
        <v>29</v>
      </c>
    </row>
    <row r="3102" spans="1:5" x14ac:dyDescent="0.25">
      <c r="A3102" s="5" t="s">
        <v>6</v>
      </c>
      <c r="B3102" s="5" t="s">
        <v>8527</v>
      </c>
      <c r="C3102" s="1" t="s">
        <v>8528</v>
      </c>
      <c r="D3102" s="1" t="s">
        <v>8529</v>
      </c>
      <c r="E3102" s="7">
        <v>31</v>
      </c>
    </row>
    <row r="3103" spans="1:5" x14ac:dyDescent="0.25">
      <c r="A3103" s="5" t="s">
        <v>6</v>
      </c>
      <c r="B3103" s="5" t="s">
        <v>8530</v>
      </c>
      <c r="C3103" s="1" t="s">
        <v>8531</v>
      </c>
      <c r="D3103" s="1" t="s">
        <v>8532</v>
      </c>
      <c r="E3103" s="7">
        <v>25</v>
      </c>
    </row>
    <row r="3104" spans="1:5" x14ac:dyDescent="0.25">
      <c r="A3104" s="5" t="s">
        <v>6</v>
      </c>
      <c r="B3104" s="5" t="s">
        <v>8533</v>
      </c>
      <c r="C3104" s="1" t="s">
        <v>8534</v>
      </c>
      <c r="D3104" s="1" t="s">
        <v>8535</v>
      </c>
      <c r="E3104" s="7">
        <v>29</v>
      </c>
    </row>
    <row r="3105" spans="1:5" x14ac:dyDescent="0.25">
      <c r="A3105" s="5" t="s">
        <v>6</v>
      </c>
      <c r="B3105" s="5" t="s">
        <v>8536</v>
      </c>
      <c r="C3105" s="1" t="s">
        <v>8537</v>
      </c>
      <c r="D3105" s="1" t="s">
        <v>8538</v>
      </c>
      <c r="E3105" s="7">
        <v>29</v>
      </c>
    </row>
    <row r="3106" spans="1:5" x14ac:dyDescent="0.25">
      <c r="A3106" s="5" t="s">
        <v>6</v>
      </c>
      <c r="B3106" s="5" t="s">
        <v>8539</v>
      </c>
      <c r="C3106" s="1" t="s">
        <v>8540</v>
      </c>
      <c r="D3106" s="1" t="s">
        <v>8541</v>
      </c>
      <c r="E3106" s="7">
        <v>31</v>
      </c>
    </row>
    <row r="3107" spans="1:5" x14ac:dyDescent="0.25">
      <c r="A3107" s="5" t="s">
        <v>6</v>
      </c>
      <c r="B3107" s="5" t="s">
        <v>8542</v>
      </c>
      <c r="C3107" s="1" t="s">
        <v>8543</v>
      </c>
      <c r="D3107" s="1" t="s">
        <v>8544</v>
      </c>
      <c r="E3107" s="7">
        <v>29</v>
      </c>
    </row>
    <row r="3108" spans="1:5" x14ac:dyDescent="0.25">
      <c r="A3108" s="5" t="s">
        <v>6</v>
      </c>
      <c r="B3108" s="5" t="s">
        <v>8545</v>
      </c>
      <c r="C3108" s="1" t="s">
        <v>8546</v>
      </c>
      <c r="D3108" s="1" t="s">
        <v>8547</v>
      </c>
      <c r="E3108" s="7">
        <v>23</v>
      </c>
    </row>
    <row r="3109" spans="1:5" x14ac:dyDescent="0.25">
      <c r="A3109" s="5" t="s">
        <v>6</v>
      </c>
      <c r="B3109" s="5" t="s">
        <v>8548</v>
      </c>
      <c r="C3109" s="1" t="s">
        <v>8549</v>
      </c>
      <c r="D3109" s="1" t="s">
        <v>8550</v>
      </c>
      <c r="E3109" s="7">
        <v>23</v>
      </c>
    </row>
    <row r="3110" spans="1:5" x14ac:dyDescent="0.25">
      <c r="A3110" s="5" t="s">
        <v>6</v>
      </c>
      <c r="B3110" s="5" t="s">
        <v>8551</v>
      </c>
      <c r="C3110" s="1" t="s">
        <v>8552</v>
      </c>
      <c r="D3110" s="1" t="s">
        <v>8553</v>
      </c>
      <c r="E3110" s="7">
        <v>23</v>
      </c>
    </row>
    <row r="3111" spans="1:5" x14ac:dyDescent="0.25">
      <c r="A3111" s="5" t="s">
        <v>6</v>
      </c>
      <c r="B3111" s="5" t="s">
        <v>8554</v>
      </c>
      <c r="C3111" s="1" t="s">
        <v>8555</v>
      </c>
      <c r="D3111" s="1" t="s">
        <v>8556</v>
      </c>
      <c r="E3111" s="7">
        <v>25</v>
      </c>
    </row>
    <row r="3112" spans="1:5" x14ac:dyDescent="0.25">
      <c r="A3112" s="5" t="s">
        <v>6</v>
      </c>
      <c r="B3112" s="5" t="s">
        <v>8557</v>
      </c>
      <c r="C3112" s="1" t="s">
        <v>8558</v>
      </c>
      <c r="D3112" s="1" t="s">
        <v>8559</v>
      </c>
      <c r="E3112" s="7">
        <v>28</v>
      </c>
    </row>
    <row r="3113" spans="1:5" x14ac:dyDescent="0.25">
      <c r="A3113" s="5" t="s">
        <v>6</v>
      </c>
      <c r="B3113" s="5" t="s">
        <v>8560</v>
      </c>
      <c r="C3113" s="1" t="s">
        <v>8561</v>
      </c>
      <c r="D3113" s="1" t="s">
        <v>8562</v>
      </c>
      <c r="E3113" s="7">
        <v>42</v>
      </c>
    </row>
    <row r="3114" spans="1:5" x14ac:dyDescent="0.25">
      <c r="A3114" s="5" t="s">
        <v>6</v>
      </c>
      <c r="B3114" s="5" t="s">
        <v>8563</v>
      </c>
      <c r="C3114" s="1" t="s">
        <v>8564</v>
      </c>
      <c r="D3114" s="1" t="s">
        <v>8565</v>
      </c>
      <c r="E3114" s="7">
        <v>28</v>
      </c>
    </row>
    <row r="3115" spans="1:5" x14ac:dyDescent="0.25">
      <c r="A3115" s="5" t="s">
        <v>6</v>
      </c>
      <c r="B3115" s="5" t="s">
        <v>8566</v>
      </c>
      <c r="C3115" s="1" t="s">
        <v>8567</v>
      </c>
      <c r="D3115" s="1" t="s">
        <v>8568</v>
      </c>
      <c r="E3115" s="7">
        <v>5</v>
      </c>
    </row>
    <row r="3116" spans="1:5" x14ac:dyDescent="0.25">
      <c r="A3116" s="5" t="s">
        <v>6</v>
      </c>
      <c r="B3116" s="5" t="s">
        <v>8569</v>
      </c>
      <c r="C3116" s="1" t="s">
        <v>8570</v>
      </c>
      <c r="D3116" s="1" t="s">
        <v>8571</v>
      </c>
      <c r="E3116" s="7">
        <v>31</v>
      </c>
    </row>
    <row r="3117" spans="1:5" x14ac:dyDescent="0.25">
      <c r="A3117" s="5" t="s">
        <v>6</v>
      </c>
      <c r="B3117" s="5" t="s">
        <v>8572</v>
      </c>
      <c r="C3117" s="1" t="s">
        <v>8573</v>
      </c>
      <c r="D3117" s="1" t="s">
        <v>8574</v>
      </c>
      <c r="E3117" s="7">
        <v>1713</v>
      </c>
    </row>
    <row r="3118" spans="1:5" x14ac:dyDescent="0.25">
      <c r="A3118" s="5" t="s">
        <v>6</v>
      </c>
      <c r="B3118" s="5" t="s">
        <v>8575</v>
      </c>
      <c r="C3118" s="1" t="s">
        <v>8576</v>
      </c>
      <c r="D3118" s="1" t="s">
        <v>8577</v>
      </c>
      <c r="E3118" s="7">
        <v>2327</v>
      </c>
    </row>
    <row r="3119" spans="1:5" x14ac:dyDescent="0.25">
      <c r="A3119" s="5" t="s">
        <v>6</v>
      </c>
      <c r="B3119" s="5" t="s">
        <v>8578</v>
      </c>
      <c r="C3119" s="1" t="s">
        <v>8579</v>
      </c>
      <c r="D3119" s="1" t="s">
        <v>8580</v>
      </c>
      <c r="E3119" s="7">
        <v>32</v>
      </c>
    </row>
    <row r="3120" spans="1:5" x14ac:dyDescent="0.25">
      <c r="A3120" s="5" t="s">
        <v>6</v>
      </c>
      <c r="B3120" s="5" t="s">
        <v>8581</v>
      </c>
      <c r="C3120" s="1" t="s">
        <v>8582</v>
      </c>
      <c r="D3120" s="1" t="s">
        <v>8583</v>
      </c>
      <c r="E3120" s="7">
        <v>32</v>
      </c>
    </row>
    <row r="3121" spans="1:5" x14ac:dyDescent="0.25">
      <c r="A3121" s="5" t="s">
        <v>6</v>
      </c>
      <c r="B3121" s="5" t="s">
        <v>8584</v>
      </c>
      <c r="C3121" s="1" t="s">
        <v>8585</v>
      </c>
      <c r="D3121" s="1" t="s">
        <v>8586</v>
      </c>
      <c r="E3121" s="7">
        <v>33</v>
      </c>
    </row>
    <row r="3122" spans="1:5" x14ac:dyDescent="0.25">
      <c r="A3122" s="5" t="s">
        <v>6</v>
      </c>
      <c r="B3122" s="5" t="s">
        <v>8587</v>
      </c>
      <c r="C3122" s="1" t="s">
        <v>8588</v>
      </c>
      <c r="D3122" s="1" t="s">
        <v>8589</v>
      </c>
      <c r="E3122" s="7">
        <v>42</v>
      </c>
    </row>
    <row r="3123" spans="1:5" x14ac:dyDescent="0.25">
      <c r="A3123" s="5" t="s">
        <v>6</v>
      </c>
      <c r="B3123" s="5" t="s">
        <v>8590</v>
      </c>
      <c r="C3123" s="1" t="s">
        <v>8591</v>
      </c>
      <c r="D3123" s="1" t="s">
        <v>8592</v>
      </c>
      <c r="E3123" s="7">
        <v>17</v>
      </c>
    </row>
    <row r="3124" spans="1:5" x14ac:dyDescent="0.25">
      <c r="A3124" s="5" t="s">
        <v>6</v>
      </c>
      <c r="B3124" s="5" t="s">
        <v>8593</v>
      </c>
      <c r="C3124" s="1" t="s">
        <v>8594</v>
      </c>
      <c r="D3124" s="1" t="s">
        <v>8595</v>
      </c>
      <c r="E3124" s="7">
        <v>23</v>
      </c>
    </row>
    <row r="3125" spans="1:5" x14ac:dyDescent="0.25">
      <c r="A3125" s="5" t="s">
        <v>6</v>
      </c>
      <c r="B3125" s="5" t="s">
        <v>8596</v>
      </c>
      <c r="C3125" s="1" t="s">
        <v>8597</v>
      </c>
      <c r="D3125" s="1" t="s">
        <v>8598</v>
      </c>
      <c r="E3125" s="7">
        <v>27</v>
      </c>
    </row>
    <row r="3126" spans="1:5" x14ac:dyDescent="0.25">
      <c r="A3126" s="5" t="s">
        <v>6</v>
      </c>
      <c r="B3126" s="5" t="s">
        <v>8599</v>
      </c>
      <c r="C3126" s="1" t="s">
        <v>8600</v>
      </c>
      <c r="D3126" s="1" t="s">
        <v>8601</v>
      </c>
      <c r="E3126" s="7">
        <v>10</v>
      </c>
    </row>
    <row r="3127" spans="1:5" x14ac:dyDescent="0.25">
      <c r="A3127" s="5" t="s">
        <v>6</v>
      </c>
      <c r="B3127" s="5" t="s">
        <v>8602</v>
      </c>
      <c r="C3127" s="1" t="s">
        <v>8603</v>
      </c>
      <c r="D3127" s="1" t="s">
        <v>8604</v>
      </c>
      <c r="E3127" s="7">
        <v>2</v>
      </c>
    </row>
    <row r="3128" spans="1:5" x14ac:dyDescent="0.25">
      <c r="A3128" s="5" t="s">
        <v>6</v>
      </c>
      <c r="B3128" s="5" t="s">
        <v>8605</v>
      </c>
      <c r="C3128" s="1" t="s">
        <v>8606</v>
      </c>
      <c r="D3128" s="1" t="s">
        <v>8607</v>
      </c>
      <c r="E3128" s="7">
        <v>3</v>
      </c>
    </row>
    <row r="3129" spans="1:5" x14ac:dyDescent="0.25">
      <c r="A3129" s="5" t="s">
        <v>6</v>
      </c>
      <c r="B3129" s="5" t="s">
        <v>8608</v>
      </c>
      <c r="C3129" s="1" t="s">
        <v>8609</v>
      </c>
      <c r="D3129" s="1" t="s">
        <v>8610</v>
      </c>
      <c r="E3129" s="7">
        <v>10</v>
      </c>
    </row>
    <row r="3130" spans="1:5" x14ac:dyDescent="0.25">
      <c r="A3130" s="5" t="s">
        <v>6</v>
      </c>
      <c r="B3130" s="5" t="s">
        <v>8611</v>
      </c>
      <c r="C3130" s="1" t="s">
        <v>8612</v>
      </c>
      <c r="D3130" s="1" t="s">
        <v>8613</v>
      </c>
      <c r="E3130" s="7">
        <v>31</v>
      </c>
    </row>
    <row r="3131" spans="1:5" x14ac:dyDescent="0.25">
      <c r="A3131" s="5" t="s">
        <v>6</v>
      </c>
      <c r="B3131" s="5" t="s">
        <v>8614</v>
      </c>
      <c r="C3131" s="1" t="s">
        <v>8615</v>
      </c>
      <c r="D3131" s="1" t="s">
        <v>8616</v>
      </c>
      <c r="E3131" s="7">
        <v>143</v>
      </c>
    </row>
    <row r="3132" spans="1:5" x14ac:dyDescent="0.25">
      <c r="A3132" s="5" t="s">
        <v>6</v>
      </c>
      <c r="B3132" s="5" t="s">
        <v>8617</v>
      </c>
      <c r="C3132" s="1" t="s">
        <v>8618</v>
      </c>
      <c r="D3132" s="1" t="s">
        <v>8619</v>
      </c>
      <c r="E3132" s="7">
        <v>25</v>
      </c>
    </row>
    <row r="3133" spans="1:5" x14ac:dyDescent="0.25">
      <c r="A3133" s="5" t="s">
        <v>6</v>
      </c>
      <c r="B3133" s="5" t="s">
        <v>8620</v>
      </c>
      <c r="C3133" s="1" t="s">
        <v>8621</v>
      </c>
      <c r="D3133" s="1" t="s">
        <v>8622</v>
      </c>
      <c r="E3133" s="7">
        <v>25</v>
      </c>
    </row>
    <row r="3134" spans="1:5" x14ac:dyDescent="0.25">
      <c r="A3134" s="5" t="s">
        <v>6</v>
      </c>
      <c r="B3134" s="5" t="s">
        <v>8623</v>
      </c>
      <c r="C3134" s="1" t="s">
        <v>8624</v>
      </c>
      <c r="D3134" s="1" t="s">
        <v>8625</v>
      </c>
      <c r="E3134" s="7">
        <v>19</v>
      </c>
    </row>
    <row r="3135" spans="1:5" x14ac:dyDescent="0.25">
      <c r="A3135" s="5" t="s">
        <v>6</v>
      </c>
      <c r="B3135" s="5" t="s">
        <v>8626</v>
      </c>
      <c r="C3135" s="1" t="s">
        <v>8627</v>
      </c>
      <c r="D3135" s="1" t="s">
        <v>8628</v>
      </c>
      <c r="E3135" s="7">
        <v>23</v>
      </c>
    </row>
    <row r="3136" spans="1:5" x14ac:dyDescent="0.25">
      <c r="A3136" s="5" t="s">
        <v>6</v>
      </c>
      <c r="B3136" s="5" t="s">
        <v>8629</v>
      </c>
      <c r="C3136" s="1" t="s">
        <v>8630</v>
      </c>
      <c r="D3136" s="1" t="s">
        <v>8631</v>
      </c>
      <c r="E3136" s="7">
        <v>31</v>
      </c>
    </row>
    <row r="3137" spans="1:5" x14ac:dyDescent="0.25">
      <c r="A3137" s="5" t="s">
        <v>6</v>
      </c>
      <c r="B3137" s="5" t="s">
        <v>8632</v>
      </c>
      <c r="C3137" s="1" t="s">
        <v>8633</v>
      </c>
      <c r="D3137" s="1" t="s">
        <v>8634</v>
      </c>
      <c r="E3137" s="7">
        <v>31</v>
      </c>
    </row>
    <row r="3138" spans="1:5" x14ac:dyDescent="0.25">
      <c r="A3138" s="5" t="s">
        <v>6</v>
      </c>
      <c r="B3138" s="5" t="s">
        <v>8635</v>
      </c>
      <c r="C3138" s="1" t="s">
        <v>8636</v>
      </c>
      <c r="D3138" s="1" t="s">
        <v>8637</v>
      </c>
      <c r="E3138" s="7">
        <v>3</v>
      </c>
    </row>
    <row r="3139" spans="1:5" x14ac:dyDescent="0.25">
      <c r="A3139" s="5" t="s">
        <v>6</v>
      </c>
      <c r="B3139" s="5" t="s">
        <v>8638</v>
      </c>
      <c r="C3139" s="1" t="s">
        <v>8639</v>
      </c>
      <c r="D3139" s="1" t="s">
        <v>8640</v>
      </c>
      <c r="E3139" s="7">
        <v>19</v>
      </c>
    </row>
    <row r="3140" spans="1:5" x14ac:dyDescent="0.25">
      <c r="A3140" s="5" t="s">
        <v>6</v>
      </c>
      <c r="B3140" s="5" t="s">
        <v>8641</v>
      </c>
      <c r="C3140" s="1" t="s">
        <v>8642</v>
      </c>
      <c r="D3140" s="1" t="s">
        <v>8643</v>
      </c>
      <c r="E3140" s="7">
        <v>29</v>
      </c>
    </row>
    <row r="3141" spans="1:5" x14ac:dyDescent="0.25">
      <c r="A3141" s="5" t="s">
        <v>6</v>
      </c>
      <c r="B3141" s="5" t="s">
        <v>8644</v>
      </c>
      <c r="C3141" s="1" t="s">
        <v>8645</v>
      </c>
      <c r="D3141" s="1" t="s">
        <v>8646</v>
      </c>
      <c r="E3141" s="7">
        <v>31</v>
      </c>
    </row>
    <row r="3142" spans="1:5" x14ac:dyDescent="0.25">
      <c r="A3142" s="5" t="s">
        <v>6</v>
      </c>
      <c r="B3142" s="5" t="s">
        <v>8647</v>
      </c>
      <c r="C3142" s="1" t="s">
        <v>8648</v>
      </c>
      <c r="D3142" s="1" t="s">
        <v>8649</v>
      </c>
      <c r="E3142" s="7">
        <v>31</v>
      </c>
    </row>
    <row r="3143" spans="1:5" x14ac:dyDescent="0.25">
      <c r="A3143" s="5" t="s">
        <v>6</v>
      </c>
      <c r="B3143" s="5" t="s">
        <v>8650</v>
      </c>
      <c r="C3143" s="1" t="s">
        <v>8651</v>
      </c>
      <c r="D3143" s="1" t="s">
        <v>8652</v>
      </c>
      <c r="E3143" s="7">
        <v>31</v>
      </c>
    </row>
    <row r="3144" spans="1:5" x14ac:dyDescent="0.25">
      <c r="A3144" s="5" t="s">
        <v>6</v>
      </c>
      <c r="B3144" s="5" t="s">
        <v>8653</v>
      </c>
      <c r="C3144" s="1" t="s">
        <v>8654</v>
      </c>
      <c r="D3144" s="1" t="s">
        <v>8655</v>
      </c>
      <c r="E3144" s="7">
        <v>23</v>
      </c>
    </row>
    <row r="3145" spans="1:5" x14ac:dyDescent="0.25">
      <c r="A3145" s="5" t="s">
        <v>6</v>
      </c>
      <c r="B3145" s="5" t="s">
        <v>8656</v>
      </c>
      <c r="C3145" s="1" t="s">
        <v>8657</v>
      </c>
      <c r="D3145" s="1" t="s">
        <v>8658</v>
      </c>
      <c r="E3145" s="7">
        <v>25</v>
      </c>
    </row>
    <row r="3146" spans="1:5" x14ac:dyDescent="0.25">
      <c r="A3146" s="5" t="s">
        <v>6</v>
      </c>
      <c r="B3146" s="5" t="s">
        <v>8659</v>
      </c>
      <c r="C3146" s="1" t="s">
        <v>8660</v>
      </c>
      <c r="D3146" s="1" t="s">
        <v>8661</v>
      </c>
      <c r="E3146" s="7">
        <v>25</v>
      </c>
    </row>
    <row r="3147" spans="1:5" x14ac:dyDescent="0.25">
      <c r="A3147" s="5" t="s">
        <v>6</v>
      </c>
      <c r="B3147" s="5" t="s">
        <v>8662</v>
      </c>
      <c r="C3147" s="1" t="s">
        <v>8663</v>
      </c>
      <c r="D3147" s="1" t="s">
        <v>8664</v>
      </c>
      <c r="E3147" s="7">
        <v>25</v>
      </c>
    </row>
    <row r="3148" spans="1:5" x14ac:dyDescent="0.25">
      <c r="A3148" s="5" t="s">
        <v>6</v>
      </c>
      <c r="B3148" s="5" t="s">
        <v>8665</v>
      </c>
      <c r="C3148" s="1" t="s">
        <v>8666</v>
      </c>
      <c r="D3148" s="1" t="s">
        <v>8667</v>
      </c>
      <c r="E3148" s="7">
        <v>17</v>
      </c>
    </row>
    <row r="3149" spans="1:5" x14ac:dyDescent="0.25">
      <c r="A3149" s="5" t="s">
        <v>6</v>
      </c>
      <c r="B3149" s="5" t="s">
        <v>8668</v>
      </c>
      <c r="C3149" s="1" t="s">
        <v>8669</v>
      </c>
      <c r="D3149" s="1" t="s">
        <v>8670</v>
      </c>
      <c r="E3149" s="7">
        <v>29</v>
      </c>
    </row>
    <row r="3150" spans="1:5" x14ac:dyDescent="0.25">
      <c r="A3150" s="5" t="s">
        <v>6</v>
      </c>
      <c r="B3150" s="5" t="s">
        <v>8671</v>
      </c>
      <c r="C3150" s="1" t="s">
        <v>8672</v>
      </c>
      <c r="D3150" s="1" t="s">
        <v>8673</v>
      </c>
      <c r="E3150" s="7">
        <v>25</v>
      </c>
    </row>
    <row r="3151" spans="1:5" x14ac:dyDescent="0.25">
      <c r="A3151" s="5" t="s">
        <v>6</v>
      </c>
      <c r="B3151" s="5" t="s">
        <v>8674</v>
      </c>
      <c r="C3151" s="1" t="s">
        <v>8675</v>
      </c>
      <c r="D3151" s="1" t="s">
        <v>8676</v>
      </c>
      <c r="E3151" s="7">
        <v>3</v>
      </c>
    </row>
    <row r="3152" spans="1:5" x14ac:dyDescent="0.25">
      <c r="A3152" s="5" t="s">
        <v>6</v>
      </c>
      <c r="B3152" s="5" t="s">
        <v>8677</v>
      </c>
      <c r="C3152" s="1" t="s">
        <v>8678</v>
      </c>
      <c r="D3152" s="1" t="s">
        <v>8679</v>
      </c>
      <c r="E3152" s="7">
        <v>15</v>
      </c>
    </row>
    <row r="3153" spans="1:5" x14ac:dyDescent="0.25">
      <c r="A3153" s="5" t="s">
        <v>6</v>
      </c>
      <c r="B3153" s="5" t="s">
        <v>8680</v>
      </c>
      <c r="C3153" s="1" t="s">
        <v>8681</v>
      </c>
      <c r="D3153" s="1" t="s">
        <v>8682</v>
      </c>
      <c r="E3153" s="7">
        <v>49</v>
      </c>
    </row>
    <row r="3154" spans="1:5" x14ac:dyDescent="0.25">
      <c r="A3154" s="5" t="s">
        <v>6</v>
      </c>
      <c r="B3154" s="5" t="s">
        <v>8683</v>
      </c>
      <c r="C3154" s="1" t="s">
        <v>8684</v>
      </c>
      <c r="D3154" s="1" t="s">
        <v>8685</v>
      </c>
      <c r="E3154" s="7">
        <v>27</v>
      </c>
    </row>
    <row r="3155" spans="1:5" x14ac:dyDescent="0.25">
      <c r="A3155" s="5" t="s">
        <v>6</v>
      </c>
      <c r="B3155" s="5" t="s">
        <v>8686</v>
      </c>
      <c r="C3155" s="1" t="s">
        <v>8687</v>
      </c>
      <c r="D3155" s="1" t="s">
        <v>8688</v>
      </c>
      <c r="E3155" s="7">
        <v>32</v>
      </c>
    </row>
    <row r="3156" spans="1:5" x14ac:dyDescent="0.25">
      <c r="A3156" s="5" t="s">
        <v>6</v>
      </c>
      <c r="B3156" s="5" t="s">
        <v>8689</v>
      </c>
      <c r="C3156" s="1" t="s">
        <v>8690</v>
      </c>
      <c r="D3156" s="1" t="s">
        <v>8691</v>
      </c>
      <c r="E3156" s="7">
        <v>28</v>
      </c>
    </row>
    <row r="3157" spans="1:5" x14ac:dyDescent="0.25">
      <c r="A3157" s="5" t="s">
        <v>6</v>
      </c>
      <c r="B3157" s="5" t="s">
        <v>8692</v>
      </c>
      <c r="C3157" s="1" t="s">
        <v>8693</v>
      </c>
      <c r="D3157" s="1" t="s">
        <v>8694</v>
      </c>
      <c r="E3157" s="7">
        <v>29</v>
      </c>
    </row>
    <row r="3158" spans="1:5" x14ac:dyDescent="0.25">
      <c r="A3158" s="5" t="s">
        <v>6</v>
      </c>
      <c r="B3158" s="5" t="s">
        <v>8695</v>
      </c>
      <c r="C3158" s="1" t="s">
        <v>8696</v>
      </c>
      <c r="D3158" s="1" t="s">
        <v>8697</v>
      </c>
      <c r="E3158" s="7">
        <v>297</v>
      </c>
    </row>
    <row r="3159" spans="1:5" x14ac:dyDescent="0.25">
      <c r="A3159" s="5" t="s">
        <v>6</v>
      </c>
      <c r="B3159" s="5" t="s">
        <v>8698</v>
      </c>
      <c r="C3159" s="1" t="s">
        <v>8699</v>
      </c>
      <c r="D3159" s="1" t="s">
        <v>8700</v>
      </c>
      <c r="E3159" s="7">
        <v>40</v>
      </c>
    </row>
    <row r="3160" spans="1:5" x14ac:dyDescent="0.25">
      <c r="A3160" s="5" t="s">
        <v>6</v>
      </c>
      <c r="B3160" s="5" t="s">
        <v>8701</v>
      </c>
      <c r="C3160" s="1" t="s">
        <v>8702</v>
      </c>
      <c r="D3160" s="1" t="s">
        <v>8703</v>
      </c>
      <c r="E3160" s="7">
        <v>29</v>
      </c>
    </row>
    <row r="3161" spans="1:5" x14ac:dyDescent="0.25">
      <c r="A3161" s="5" t="s">
        <v>6</v>
      </c>
      <c r="B3161" s="5" t="s">
        <v>8704</v>
      </c>
      <c r="C3161" s="1" t="s">
        <v>8705</v>
      </c>
      <c r="D3161" s="1" t="s">
        <v>8706</v>
      </c>
      <c r="E3161" s="7">
        <v>25</v>
      </c>
    </row>
    <row r="3162" spans="1:5" x14ac:dyDescent="0.25">
      <c r="A3162" s="5" t="s">
        <v>6</v>
      </c>
      <c r="B3162" s="5" t="s">
        <v>8707</v>
      </c>
      <c r="C3162" s="1" t="s">
        <v>8708</v>
      </c>
      <c r="D3162" s="1" t="s">
        <v>8709</v>
      </c>
      <c r="E3162" s="7">
        <v>82</v>
      </c>
    </row>
    <row r="3163" spans="1:5" x14ac:dyDescent="0.25">
      <c r="A3163" s="5" t="s">
        <v>6</v>
      </c>
      <c r="B3163" s="5" t="s">
        <v>8710</v>
      </c>
      <c r="C3163" s="1" t="s">
        <v>8711</v>
      </c>
      <c r="D3163" s="1" t="s">
        <v>8712</v>
      </c>
      <c r="E3163" s="7">
        <v>123</v>
      </c>
    </row>
    <row r="3164" spans="1:5" x14ac:dyDescent="0.25">
      <c r="A3164" s="5" t="s">
        <v>6</v>
      </c>
      <c r="B3164" s="5" t="s">
        <v>8713</v>
      </c>
      <c r="C3164" s="1" t="s">
        <v>8714</v>
      </c>
      <c r="D3164" s="1" t="s">
        <v>8715</v>
      </c>
      <c r="E3164" s="7">
        <v>49</v>
      </c>
    </row>
    <row r="3165" spans="1:5" x14ac:dyDescent="0.25">
      <c r="A3165" s="5" t="s">
        <v>6</v>
      </c>
      <c r="B3165" s="5" t="s">
        <v>8716</v>
      </c>
      <c r="C3165" s="1" t="s">
        <v>8717</v>
      </c>
      <c r="D3165" s="1" t="s">
        <v>8718</v>
      </c>
      <c r="E3165" s="7">
        <v>56</v>
      </c>
    </row>
    <row r="3166" spans="1:5" x14ac:dyDescent="0.25">
      <c r="A3166" s="5" t="s">
        <v>6</v>
      </c>
      <c r="B3166" s="5" t="s">
        <v>8719</v>
      </c>
      <c r="C3166" s="1" t="s">
        <v>8720</v>
      </c>
      <c r="D3166" s="1" t="s">
        <v>8721</v>
      </c>
      <c r="E3166" s="7">
        <v>32</v>
      </c>
    </row>
    <row r="3167" spans="1:5" x14ac:dyDescent="0.25">
      <c r="A3167" s="5" t="s">
        <v>6</v>
      </c>
      <c r="B3167" s="5" t="s">
        <v>8722</v>
      </c>
      <c r="C3167" s="1" t="s">
        <v>8723</v>
      </c>
      <c r="D3167" s="1" t="s">
        <v>8724</v>
      </c>
      <c r="E3167" s="7">
        <v>33</v>
      </c>
    </row>
    <row r="3168" spans="1:5" x14ac:dyDescent="0.25">
      <c r="A3168" s="5" t="s">
        <v>6</v>
      </c>
      <c r="B3168" s="5" t="s">
        <v>8725</v>
      </c>
      <c r="C3168" s="1" t="s">
        <v>8726</v>
      </c>
      <c r="D3168" s="1" t="s">
        <v>8727</v>
      </c>
      <c r="E3168" s="7">
        <v>44</v>
      </c>
    </row>
    <row r="3169" spans="1:5" x14ac:dyDescent="0.25">
      <c r="A3169" s="5" t="s">
        <v>6</v>
      </c>
      <c r="B3169" s="5" t="s">
        <v>8728</v>
      </c>
      <c r="C3169" s="1" t="s">
        <v>8729</v>
      </c>
      <c r="D3169" s="1" t="s">
        <v>8730</v>
      </c>
      <c r="E3169" s="7">
        <v>28</v>
      </c>
    </row>
    <row r="3170" spans="1:5" x14ac:dyDescent="0.25">
      <c r="A3170" s="5" t="s">
        <v>6</v>
      </c>
      <c r="B3170" s="5" t="s">
        <v>8731</v>
      </c>
      <c r="C3170" s="1" t="s">
        <v>8732</v>
      </c>
      <c r="D3170" s="1" t="s">
        <v>8733</v>
      </c>
      <c r="E3170" s="7">
        <v>31</v>
      </c>
    </row>
    <row r="3171" spans="1:5" x14ac:dyDescent="0.25">
      <c r="A3171" s="5" t="s">
        <v>6</v>
      </c>
      <c r="B3171" s="5" t="s">
        <v>8734</v>
      </c>
      <c r="C3171" s="1" t="s">
        <v>8735</v>
      </c>
      <c r="D3171" s="1" t="s">
        <v>8736</v>
      </c>
      <c r="E3171" s="7">
        <v>25</v>
      </c>
    </row>
    <row r="3172" spans="1:5" x14ac:dyDescent="0.25">
      <c r="A3172" s="5" t="s">
        <v>6</v>
      </c>
      <c r="B3172" s="5" t="s">
        <v>8737</v>
      </c>
      <c r="C3172" s="1" t="s">
        <v>8738</v>
      </c>
      <c r="D3172" s="1" t="s">
        <v>8739</v>
      </c>
      <c r="E3172" s="7">
        <v>28</v>
      </c>
    </row>
    <row r="3173" spans="1:5" x14ac:dyDescent="0.25">
      <c r="A3173" s="5" t="s">
        <v>6</v>
      </c>
      <c r="B3173" s="5" t="s">
        <v>8740</v>
      </c>
      <c r="C3173" s="1" t="s">
        <v>8741</v>
      </c>
      <c r="D3173" s="1" t="s">
        <v>8742</v>
      </c>
      <c r="E3173" s="7">
        <v>15</v>
      </c>
    </row>
    <row r="3174" spans="1:5" x14ac:dyDescent="0.25">
      <c r="A3174" s="5" t="s">
        <v>6</v>
      </c>
      <c r="B3174" s="5" t="s">
        <v>8743</v>
      </c>
      <c r="C3174" s="1" t="s">
        <v>8744</v>
      </c>
      <c r="D3174" s="1" t="s">
        <v>8745</v>
      </c>
      <c r="E3174" s="7">
        <v>28</v>
      </c>
    </row>
    <row r="3175" spans="1:5" x14ac:dyDescent="0.25">
      <c r="A3175" s="5" t="s">
        <v>6</v>
      </c>
      <c r="B3175" s="5" t="s">
        <v>8746</v>
      </c>
      <c r="C3175" s="1" t="s">
        <v>8747</v>
      </c>
      <c r="D3175" s="1" t="s">
        <v>8748</v>
      </c>
      <c r="E3175" s="7">
        <v>28</v>
      </c>
    </row>
    <row r="3176" spans="1:5" x14ac:dyDescent="0.25">
      <c r="A3176" s="5" t="s">
        <v>6</v>
      </c>
      <c r="B3176" s="5" t="s">
        <v>8749</v>
      </c>
      <c r="C3176" s="1" t="s">
        <v>8750</v>
      </c>
      <c r="D3176" s="1" t="s">
        <v>8751</v>
      </c>
      <c r="E3176" s="7">
        <v>28</v>
      </c>
    </row>
    <row r="3177" spans="1:5" x14ac:dyDescent="0.25">
      <c r="A3177" s="5" t="s">
        <v>6</v>
      </c>
      <c r="B3177" s="5" t="s">
        <v>8752</v>
      </c>
      <c r="C3177" s="1" t="s">
        <v>8753</v>
      </c>
      <c r="D3177" s="1" t="s">
        <v>8754</v>
      </c>
      <c r="E3177" s="7">
        <v>28</v>
      </c>
    </row>
    <row r="3178" spans="1:5" x14ac:dyDescent="0.25">
      <c r="A3178" s="5" t="s">
        <v>6</v>
      </c>
      <c r="B3178" s="5" t="s">
        <v>8755</v>
      </c>
      <c r="C3178" s="1" t="s">
        <v>8756</v>
      </c>
      <c r="D3178" s="1" t="s">
        <v>8756</v>
      </c>
      <c r="E3178" s="7">
        <v>25</v>
      </c>
    </row>
    <row r="3179" spans="1:5" x14ac:dyDescent="0.25">
      <c r="A3179" s="5" t="s">
        <v>6</v>
      </c>
      <c r="B3179" s="5" t="s">
        <v>8757</v>
      </c>
      <c r="C3179" s="1" t="s">
        <v>8758</v>
      </c>
      <c r="D3179" s="1" t="s">
        <v>8759</v>
      </c>
      <c r="E3179" s="7">
        <v>0.25</v>
      </c>
    </row>
    <row r="3180" spans="1:5" x14ac:dyDescent="0.25">
      <c r="A3180" s="5" t="s">
        <v>6</v>
      </c>
      <c r="B3180" s="5" t="s">
        <v>8760</v>
      </c>
      <c r="C3180" s="1" t="s">
        <v>8761</v>
      </c>
      <c r="D3180" s="1" t="s">
        <v>8762</v>
      </c>
      <c r="E3180" s="7">
        <v>2</v>
      </c>
    </row>
    <row r="3181" spans="1:5" x14ac:dyDescent="0.25">
      <c r="A3181" s="5" t="s">
        <v>6</v>
      </c>
      <c r="B3181" s="5" t="s">
        <v>8763</v>
      </c>
      <c r="C3181" s="1" t="s">
        <v>8764</v>
      </c>
      <c r="D3181" s="1" t="s">
        <v>8765</v>
      </c>
      <c r="E3181" s="7">
        <v>18</v>
      </c>
    </row>
    <row r="3182" spans="1:5" x14ac:dyDescent="0.25">
      <c r="A3182" s="5" t="s">
        <v>6</v>
      </c>
      <c r="B3182" s="5" t="s">
        <v>8766</v>
      </c>
      <c r="C3182" s="1" t="s">
        <v>8767</v>
      </c>
      <c r="D3182" s="1" t="s">
        <v>8768</v>
      </c>
      <c r="E3182" s="7">
        <v>11</v>
      </c>
    </row>
    <row r="3183" spans="1:5" x14ac:dyDescent="0.25">
      <c r="A3183" s="5" t="s">
        <v>6</v>
      </c>
      <c r="B3183" s="5" t="s">
        <v>8769</v>
      </c>
      <c r="C3183" s="1" t="s">
        <v>8770</v>
      </c>
      <c r="D3183" s="1" t="s">
        <v>8771</v>
      </c>
      <c r="E3183" s="7">
        <v>19</v>
      </c>
    </row>
    <row r="3184" spans="1:5" x14ac:dyDescent="0.25">
      <c r="A3184" s="5" t="s">
        <v>6</v>
      </c>
      <c r="B3184" s="5" t="s">
        <v>8772</v>
      </c>
      <c r="C3184" s="1" t="s">
        <v>8773</v>
      </c>
      <c r="D3184" s="1" t="s">
        <v>8774</v>
      </c>
      <c r="E3184" s="7">
        <v>10</v>
      </c>
    </row>
    <row r="3185" spans="1:5" x14ac:dyDescent="0.25">
      <c r="A3185" s="5" t="s">
        <v>6</v>
      </c>
      <c r="B3185" s="5" t="s">
        <v>8775</v>
      </c>
      <c r="C3185" s="1" t="s">
        <v>8776</v>
      </c>
      <c r="D3185" s="1" t="s">
        <v>8777</v>
      </c>
      <c r="E3185" s="7">
        <v>12</v>
      </c>
    </row>
    <row r="3186" spans="1:5" x14ac:dyDescent="0.25">
      <c r="A3186" s="5" t="s">
        <v>6</v>
      </c>
      <c r="B3186" s="5" t="s">
        <v>8778</v>
      </c>
      <c r="C3186" s="1" t="s">
        <v>8779</v>
      </c>
      <c r="D3186" s="1" t="s">
        <v>8780</v>
      </c>
      <c r="E3186" s="7">
        <v>10</v>
      </c>
    </row>
    <row r="3187" spans="1:5" x14ac:dyDescent="0.25">
      <c r="A3187" s="5" t="s">
        <v>6</v>
      </c>
      <c r="B3187" s="5" t="s">
        <v>8781</v>
      </c>
      <c r="C3187" s="1" t="s">
        <v>8782</v>
      </c>
      <c r="D3187" s="1" t="s">
        <v>8783</v>
      </c>
      <c r="E3187" s="7">
        <v>13</v>
      </c>
    </row>
    <row r="3188" spans="1:5" x14ac:dyDescent="0.25">
      <c r="A3188" s="5" t="s">
        <v>6</v>
      </c>
      <c r="B3188" s="5" t="s">
        <v>8784</v>
      </c>
      <c r="C3188" s="1" t="s">
        <v>8785</v>
      </c>
      <c r="D3188" s="1" t="s">
        <v>8786</v>
      </c>
      <c r="E3188" s="7">
        <v>11</v>
      </c>
    </row>
    <row r="3189" spans="1:5" x14ac:dyDescent="0.25">
      <c r="A3189" s="5" t="s">
        <v>6</v>
      </c>
      <c r="B3189" s="5" t="s">
        <v>8787</v>
      </c>
      <c r="C3189" s="1" t="s">
        <v>8788</v>
      </c>
      <c r="D3189" s="1" t="s">
        <v>8789</v>
      </c>
      <c r="E3189" s="7">
        <v>12</v>
      </c>
    </row>
    <row r="3190" spans="1:5" x14ac:dyDescent="0.25">
      <c r="A3190" s="5" t="s">
        <v>6</v>
      </c>
      <c r="B3190" s="5" t="s">
        <v>8790</v>
      </c>
      <c r="C3190" s="1" t="s">
        <v>8791</v>
      </c>
      <c r="D3190" s="1" t="s">
        <v>8792</v>
      </c>
      <c r="E3190" s="7">
        <v>4.62</v>
      </c>
    </row>
    <row r="3191" spans="1:5" x14ac:dyDescent="0.25">
      <c r="A3191" s="5" t="s">
        <v>6</v>
      </c>
      <c r="B3191" s="5" t="s">
        <v>8793</v>
      </c>
      <c r="C3191" s="1" t="s">
        <v>8794</v>
      </c>
      <c r="D3191" s="1" t="s">
        <v>8795</v>
      </c>
      <c r="E3191" s="7">
        <v>10</v>
      </c>
    </row>
    <row r="3192" spans="1:5" x14ac:dyDescent="0.25">
      <c r="A3192" s="5" t="s">
        <v>6</v>
      </c>
      <c r="B3192" s="5" t="s">
        <v>8796</v>
      </c>
      <c r="C3192" s="1" t="s">
        <v>8797</v>
      </c>
      <c r="D3192" s="1" t="s">
        <v>8798</v>
      </c>
      <c r="E3192" s="7">
        <v>18</v>
      </c>
    </row>
    <row r="3193" spans="1:5" x14ac:dyDescent="0.25">
      <c r="A3193" s="5" t="s">
        <v>6</v>
      </c>
      <c r="B3193" s="5" t="s">
        <v>8799</v>
      </c>
      <c r="C3193" s="1" t="s">
        <v>8800</v>
      </c>
      <c r="D3193" s="1" t="s">
        <v>8801</v>
      </c>
      <c r="E3193" s="7">
        <v>25</v>
      </c>
    </row>
    <row r="3194" spans="1:5" x14ac:dyDescent="0.25">
      <c r="A3194" s="5" t="s">
        <v>6</v>
      </c>
      <c r="B3194" s="5" t="s">
        <v>8802</v>
      </c>
      <c r="C3194" s="1" t="s">
        <v>8803</v>
      </c>
      <c r="D3194" s="1" t="s">
        <v>8804</v>
      </c>
      <c r="E3194" s="7">
        <v>23</v>
      </c>
    </row>
    <row r="3195" spans="1:5" x14ac:dyDescent="0.25">
      <c r="A3195" s="5" t="s">
        <v>6</v>
      </c>
      <c r="B3195" s="5" t="s">
        <v>8805</v>
      </c>
      <c r="C3195" s="1" t="s">
        <v>8806</v>
      </c>
      <c r="D3195" s="1" t="s">
        <v>8807</v>
      </c>
      <c r="E3195" s="7">
        <v>18</v>
      </c>
    </row>
    <row r="3196" spans="1:5" x14ac:dyDescent="0.25">
      <c r="A3196" s="5" t="s">
        <v>6</v>
      </c>
      <c r="B3196" s="5" t="s">
        <v>8808</v>
      </c>
      <c r="C3196" s="1" t="s">
        <v>8809</v>
      </c>
      <c r="D3196" s="1" t="s">
        <v>8810</v>
      </c>
      <c r="E3196" s="7">
        <v>10</v>
      </c>
    </row>
    <row r="3197" spans="1:5" x14ac:dyDescent="0.25">
      <c r="A3197" s="5" t="s">
        <v>6</v>
      </c>
      <c r="B3197" s="5" t="s">
        <v>8811</v>
      </c>
      <c r="C3197" s="1" t="s">
        <v>8812</v>
      </c>
      <c r="D3197" s="1" t="s">
        <v>8813</v>
      </c>
      <c r="E3197" s="7">
        <v>16</v>
      </c>
    </row>
    <row r="3198" spans="1:5" x14ac:dyDescent="0.25">
      <c r="A3198" s="5" t="s">
        <v>6</v>
      </c>
      <c r="B3198" s="5" t="s">
        <v>8814</v>
      </c>
      <c r="C3198" s="1" t="s">
        <v>8815</v>
      </c>
      <c r="D3198" s="1" t="s">
        <v>8816</v>
      </c>
      <c r="E3198" s="7">
        <v>230</v>
      </c>
    </row>
    <row r="3199" spans="1:5" x14ac:dyDescent="0.25">
      <c r="A3199" s="5" t="s">
        <v>6</v>
      </c>
      <c r="B3199" s="5" t="s">
        <v>8817</v>
      </c>
      <c r="C3199" s="1" t="s">
        <v>8818</v>
      </c>
      <c r="D3199" s="1" t="s">
        <v>8819</v>
      </c>
      <c r="E3199" s="7">
        <v>5</v>
      </c>
    </row>
    <row r="3200" spans="1:5" x14ac:dyDescent="0.25">
      <c r="A3200" s="5" t="s">
        <v>6</v>
      </c>
      <c r="B3200" s="5" t="s">
        <v>8820</v>
      </c>
      <c r="C3200" s="1" t="s">
        <v>8821</v>
      </c>
      <c r="D3200" s="1" t="s">
        <v>8822</v>
      </c>
      <c r="E3200" s="7">
        <v>5</v>
      </c>
    </row>
    <row r="3201" spans="1:5" x14ac:dyDescent="0.25">
      <c r="A3201" s="5" t="s">
        <v>6</v>
      </c>
      <c r="B3201" s="5" t="s">
        <v>8823</v>
      </c>
      <c r="C3201" s="1" t="s">
        <v>8824</v>
      </c>
      <c r="D3201" s="1" t="s">
        <v>8825</v>
      </c>
      <c r="E3201" s="7">
        <v>23</v>
      </c>
    </row>
    <row r="3202" spans="1:5" x14ac:dyDescent="0.25">
      <c r="A3202" s="5" t="s">
        <v>6</v>
      </c>
      <c r="B3202" s="5" t="s">
        <v>8826</v>
      </c>
      <c r="C3202" s="1" t="s">
        <v>8827</v>
      </c>
      <c r="D3202" s="1" t="s">
        <v>8828</v>
      </c>
      <c r="E3202" s="7">
        <v>26</v>
      </c>
    </row>
    <row r="3203" spans="1:5" x14ac:dyDescent="0.25">
      <c r="A3203" s="5" t="s">
        <v>6</v>
      </c>
      <c r="B3203" s="5" t="s">
        <v>8829</v>
      </c>
      <c r="C3203" s="1" t="s">
        <v>8830</v>
      </c>
      <c r="D3203" s="1" t="s">
        <v>8831</v>
      </c>
      <c r="E3203" s="7">
        <v>26</v>
      </c>
    </row>
    <row r="3204" spans="1:5" x14ac:dyDescent="0.25">
      <c r="A3204" s="5" t="s">
        <v>6</v>
      </c>
      <c r="B3204" s="5" t="s">
        <v>8832</v>
      </c>
      <c r="C3204" s="1" t="s">
        <v>8833</v>
      </c>
      <c r="D3204" s="1" t="s">
        <v>8834</v>
      </c>
      <c r="E3204" s="7">
        <v>23</v>
      </c>
    </row>
    <row r="3205" spans="1:5" x14ac:dyDescent="0.25">
      <c r="A3205" s="5" t="s">
        <v>6</v>
      </c>
      <c r="B3205" s="5" t="s">
        <v>8835</v>
      </c>
      <c r="C3205" s="1" t="s">
        <v>8836</v>
      </c>
      <c r="D3205" s="1" t="s">
        <v>8837</v>
      </c>
      <c r="E3205" s="7">
        <v>14</v>
      </c>
    </row>
    <row r="3206" spans="1:5" x14ac:dyDescent="0.25">
      <c r="A3206" s="5" t="s">
        <v>6</v>
      </c>
      <c r="B3206" s="5" t="s">
        <v>8838</v>
      </c>
      <c r="C3206" s="1" t="s">
        <v>8839</v>
      </c>
      <c r="D3206" s="1" t="s">
        <v>8840</v>
      </c>
      <c r="E3206" s="7">
        <v>26</v>
      </c>
    </row>
    <row r="3207" spans="1:5" x14ac:dyDescent="0.25">
      <c r="A3207" s="5" t="s">
        <v>6</v>
      </c>
      <c r="B3207" s="5" t="s">
        <v>8841</v>
      </c>
      <c r="C3207" s="1" t="s">
        <v>8842</v>
      </c>
      <c r="D3207" s="1" t="s">
        <v>8843</v>
      </c>
      <c r="E3207" s="7">
        <v>23</v>
      </c>
    </row>
    <row r="3208" spans="1:5" x14ac:dyDescent="0.25">
      <c r="A3208" s="5" t="s">
        <v>6</v>
      </c>
      <c r="B3208" s="5" t="s">
        <v>8844</v>
      </c>
      <c r="C3208" s="1" t="s">
        <v>8845</v>
      </c>
      <c r="D3208" s="1" t="s">
        <v>8846</v>
      </c>
      <c r="E3208" s="7">
        <v>25</v>
      </c>
    </row>
    <row r="3209" spans="1:5" x14ac:dyDescent="0.25">
      <c r="A3209" s="5" t="s">
        <v>6</v>
      </c>
      <c r="B3209" s="5" t="s">
        <v>8847</v>
      </c>
      <c r="C3209" s="1" t="s">
        <v>8848</v>
      </c>
      <c r="D3209" s="1" t="s">
        <v>8849</v>
      </c>
      <c r="E3209" s="7">
        <v>29</v>
      </c>
    </row>
    <row r="3210" spans="1:5" x14ac:dyDescent="0.25">
      <c r="A3210" s="5" t="s">
        <v>6</v>
      </c>
      <c r="B3210" s="5" t="s">
        <v>8850</v>
      </c>
      <c r="C3210" s="1" t="s">
        <v>8851</v>
      </c>
      <c r="D3210" s="1" t="s">
        <v>8851</v>
      </c>
      <c r="E3210" s="7">
        <v>31</v>
      </c>
    </row>
    <row r="3211" spans="1:5" x14ac:dyDescent="0.25">
      <c r="A3211" s="5" t="s">
        <v>6</v>
      </c>
      <c r="B3211" s="5" t="s">
        <v>8852</v>
      </c>
      <c r="C3211" s="1" t="s">
        <v>8853</v>
      </c>
      <c r="D3211" s="1" t="s">
        <v>8854</v>
      </c>
      <c r="E3211" s="7">
        <v>46</v>
      </c>
    </row>
    <row r="3212" spans="1:5" x14ac:dyDescent="0.25">
      <c r="A3212" s="5" t="s">
        <v>6</v>
      </c>
      <c r="B3212" s="5" t="s">
        <v>8855</v>
      </c>
      <c r="C3212" s="1" t="s">
        <v>8856</v>
      </c>
      <c r="D3212" s="1" t="s">
        <v>8857</v>
      </c>
      <c r="E3212" s="7">
        <v>5</v>
      </c>
    </row>
    <row r="3213" spans="1:5" x14ac:dyDescent="0.25">
      <c r="A3213" s="5" t="s">
        <v>6</v>
      </c>
      <c r="B3213" s="5" t="s">
        <v>8858</v>
      </c>
      <c r="C3213" s="1" t="s">
        <v>8859</v>
      </c>
      <c r="D3213" s="1" t="s">
        <v>8860</v>
      </c>
      <c r="E3213" s="7">
        <v>23</v>
      </c>
    </row>
    <row r="3214" spans="1:5" x14ac:dyDescent="0.25">
      <c r="A3214" s="5" t="s">
        <v>6</v>
      </c>
      <c r="B3214" s="5" t="s">
        <v>8861</v>
      </c>
      <c r="C3214" s="1" t="s">
        <v>8862</v>
      </c>
      <c r="D3214" s="1" t="s">
        <v>8863</v>
      </c>
      <c r="E3214" s="7">
        <v>55</v>
      </c>
    </row>
    <row r="3215" spans="1:5" x14ac:dyDescent="0.25">
      <c r="A3215" s="5" t="s">
        <v>6</v>
      </c>
      <c r="B3215" s="5" t="s">
        <v>8864</v>
      </c>
      <c r="C3215" s="1" t="s">
        <v>8865</v>
      </c>
      <c r="D3215" s="1" t="s">
        <v>8866</v>
      </c>
      <c r="E3215" s="7">
        <v>49</v>
      </c>
    </row>
    <row r="3216" spans="1:5" x14ac:dyDescent="0.25">
      <c r="A3216" s="5" t="s">
        <v>6</v>
      </c>
      <c r="B3216" s="5" t="s">
        <v>8867</v>
      </c>
      <c r="C3216" s="1" t="s">
        <v>8868</v>
      </c>
      <c r="D3216" s="1" t="s">
        <v>8869</v>
      </c>
      <c r="E3216" s="7">
        <v>33</v>
      </c>
    </row>
    <row r="3217" spans="1:5" x14ac:dyDescent="0.25">
      <c r="A3217" s="5" t="s">
        <v>6</v>
      </c>
      <c r="B3217" s="5" t="s">
        <v>8870</v>
      </c>
      <c r="C3217" s="1" t="s">
        <v>8871</v>
      </c>
      <c r="D3217" s="1" t="s">
        <v>8872</v>
      </c>
      <c r="E3217" s="7">
        <v>29</v>
      </c>
    </row>
    <row r="3218" spans="1:5" x14ac:dyDescent="0.25">
      <c r="A3218" s="5" t="s">
        <v>6</v>
      </c>
      <c r="B3218" s="5" t="s">
        <v>8873</v>
      </c>
      <c r="C3218" s="1" t="s">
        <v>8874</v>
      </c>
      <c r="D3218" s="1" t="s">
        <v>8875</v>
      </c>
      <c r="E3218" s="7">
        <v>179</v>
      </c>
    </row>
    <row r="3219" spans="1:5" x14ac:dyDescent="0.25">
      <c r="A3219" s="5" t="s">
        <v>6</v>
      </c>
      <c r="B3219" s="5" t="s">
        <v>8876</v>
      </c>
      <c r="C3219" s="1" t="s">
        <v>8877</v>
      </c>
      <c r="D3219" s="1" t="s">
        <v>8878</v>
      </c>
      <c r="E3219" s="7">
        <v>16</v>
      </c>
    </row>
    <row r="3220" spans="1:5" x14ac:dyDescent="0.25">
      <c r="A3220" s="5" t="s">
        <v>6</v>
      </c>
      <c r="B3220" s="5" t="s">
        <v>8879</v>
      </c>
      <c r="C3220" s="1" t="s">
        <v>8880</v>
      </c>
      <c r="D3220" s="1" t="s">
        <v>8881</v>
      </c>
      <c r="E3220" s="7">
        <v>15</v>
      </c>
    </row>
    <row r="3221" spans="1:5" x14ac:dyDescent="0.25">
      <c r="A3221" s="5" t="s">
        <v>6</v>
      </c>
      <c r="B3221" s="5" t="s">
        <v>8882</v>
      </c>
      <c r="C3221" s="1" t="s">
        <v>8883</v>
      </c>
      <c r="D3221" s="1" t="s">
        <v>8884</v>
      </c>
      <c r="E3221" s="7">
        <v>188</v>
      </c>
    </row>
    <row r="3222" spans="1:5" x14ac:dyDescent="0.25">
      <c r="A3222" s="5" t="s">
        <v>6</v>
      </c>
      <c r="B3222" s="5" t="s">
        <v>8885</v>
      </c>
      <c r="C3222" s="1" t="s">
        <v>8886</v>
      </c>
      <c r="D3222" s="1" t="s">
        <v>8887</v>
      </c>
      <c r="E3222" s="7">
        <v>80</v>
      </c>
    </row>
    <row r="3223" spans="1:5" x14ac:dyDescent="0.25">
      <c r="A3223" s="5" t="s">
        <v>6</v>
      </c>
      <c r="B3223" s="5" t="s">
        <v>8888</v>
      </c>
      <c r="C3223" s="1" t="s">
        <v>8889</v>
      </c>
      <c r="D3223" s="1" t="s">
        <v>8890</v>
      </c>
      <c r="E3223" s="7">
        <v>118</v>
      </c>
    </row>
    <row r="3224" spans="1:5" x14ac:dyDescent="0.25">
      <c r="A3224" s="5" t="s">
        <v>6</v>
      </c>
      <c r="B3224" s="5" t="s">
        <v>8891</v>
      </c>
      <c r="C3224" s="1" t="s">
        <v>8892</v>
      </c>
      <c r="D3224" s="1" t="s">
        <v>8893</v>
      </c>
      <c r="E3224" s="7">
        <v>94</v>
      </c>
    </row>
    <row r="3225" spans="1:5" x14ac:dyDescent="0.25">
      <c r="A3225" s="5" t="s">
        <v>6</v>
      </c>
      <c r="B3225" s="5" t="s">
        <v>8894</v>
      </c>
      <c r="C3225" s="1" t="s">
        <v>8895</v>
      </c>
      <c r="D3225" s="1" t="s">
        <v>8896</v>
      </c>
      <c r="E3225" s="7">
        <v>139</v>
      </c>
    </row>
    <row r="3226" spans="1:5" x14ac:dyDescent="0.25">
      <c r="A3226" s="5" t="s">
        <v>6</v>
      </c>
      <c r="B3226" s="5" t="s">
        <v>8897</v>
      </c>
      <c r="C3226" s="1" t="s">
        <v>8898</v>
      </c>
      <c r="D3226" s="1" t="s">
        <v>8899</v>
      </c>
      <c r="E3226" s="7">
        <v>5</v>
      </c>
    </row>
    <row r="3227" spans="1:5" x14ac:dyDescent="0.25">
      <c r="A3227" s="5" t="s">
        <v>6</v>
      </c>
      <c r="B3227" s="5" t="s">
        <v>8900</v>
      </c>
      <c r="C3227" s="1" t="s">
        <v>8901</v>
      </c>
      <c r="D3227" s="1" t="s">
        <v>8902</v>
      </c>
      <c r="E3227" s="7">
        <v>25</v>
      </c>
    </row>
    <row r="3228" spans="1:5" x14ac:dyDescent="0.25">
      <c r="A3228" s="5" t="s">
        <v>6</v>
      </c>
      <c r="B3228" s="5" t="s">
        <v>8903</v>
      </c>
      <c r="C3228" s="1" t="s">
        <v>8904</v>
      </c>
      <c r="D3228" s="1" t="s">
        <v>8905</v>
      </c>
      <c r="E3228" s="7">
        <v>65</v>
      </c>
    </row>
    <row r="3229" spans="1:5" x14ac:dyDescent="0.25">
      <c r="A3229" s="5" t="s">
        <v>6</v>
      </c>
      <c r="B3229" s="5" t="s">
        <v>8906</v>
      </c>
      <c r="C3229" s="1" t="s">
        <v>8907</v>
      </c>
      <c r="D3229" s="1" t="s">
        <v>8908</v>
      </c>
      <c r="E3229" s="7">
        <v>65</v>
      </c>
    </row>
    <row r="3230" spans="1:5" x14ac:dyDescent="0.25">
      <c r="A3230" s="5" t="s">
        <v>6</v>
      </c>
      <c r="B3230" s="5" t="s">
        <v>8909</v>
      </c>
      <c r="C3230" s="1" t="s">
        <v>8910</v>
      </c>
      <c r="D3230" s="1" t="s">
        <v>8911</v>
      </c>
      <c r="E3230" s="7">
        <v>23</v>
      </c>
    </row>
    <row r="3231" spans="1:5" x14ac:dyDescent="0.25">
      <c r="A3231" s="5" t="s">
        <v>6</v>
      </c>
      <c r="B3231" s="5" t="s">
        <v>8912</v>
      </c>
      <c r="C3231" s="1" t="s">
        <v>8913</v>
      </c>
      <c r="D3231" s="1" t="s">
        <v>8914</v>
      </c>
      <c r="E3231" s="7">
        <v>65</v>
      </c>
    </row>
    <row r="3232" spans="1:5" x14ac:dyDescent="0.25">
      <c r="A3232" s="5" t="s">
        <v>6</v>
      </c>
      <c r="B3232" s="5" t="s">
        <v>8915</v>
      </c>
      <c r="C3232" s="1" t="s">
        <v>8916</v>
      </c>
      <c r="D3232" s="1" t="s">
        <v>8916</v>
      </c>
      <c r="E3232" s="7">
        <v>25</v>
      </c>
    </row>
    <row r="3233" spans="1:5" x14ac:dyDescent="0.25">
      <c r="A3233" s="5" t="s">
        <v>6</v>
      </c>
      <c r="B3233" s="5" t="s">
        <v>8917</v>
      </c>
      <c r="C3233" s="1" t="s">
        <v>8918</v>
      </c>
      <c r="D3233" s="1" t="s">
        <v>8919</v>
      </c>
      <c r="E3233" s="7">
        <v>25</v>
      </c>
    </row>
    <row r="3234" spans="1:5" x14ac:dyDescent="0.25">
      <c r="A3234" s="5" t="s">
        <v>6</v>
      </c>
      <c r="B3234" s="5" t="s">
        <v>8920</v>
      </c>
      <c r="C3234" s="1" t="s">
        <v>8921</v>
      </c>
      <c r="D3234" s="1" t="s">
        <v>8922</v>
      </c>
      <c r="E3234" s="7">
        <v>92</v>
      </c>
    </row>
    <row r="3235" spans="1:5" x14ac:dyDescent="0.25">
      <c r="A3235" s="5" t="s">
        <v>6</v>
      </c>
      <c r="B3235" s="5" t="s">
        <v>8923</v>
      </c>
      <c r="C3235" s="1" t="s">
        <v>8924</v>
      </c>
      <c r="D3235" s="1" t="s">
        <v>8925</v>
      </c>
      <c r="E3235" s="7">
        <v>29</v>
      </c>
    </row>
    <row r="3236" spans="1:5" x14ac:dyDescent="0.25">
      <c r="A3236" s="5" t="s">
        <v>6</v>
      </c>
      <c r="B3236" s="5" t="s">
        <v>8926</v>
      </c>
      <c r="C3236" s="1" t="s">
        <v>8927</v>
      </c>
      <c r="D3236" s="1" t="s">
        <v>8928</v>
      </c>
      <c r="E3236" s="7">
        <v>194</v>
      </c>
    </row>
    <row r="3237" spans="1:5" x14ac:dyDescent="0.25">
      <c r="A3237" s="5" t="s">
        <v>6</v>
      </c>
      <c r="B3237" s="5" t="s">
        <v>8929</v>
      </c>
      <c r="C3237" s="1" t="s">
        <v>8930</v>
      </c>
      <c r="D3237" s="1" t="s">
        <v>8931</v>
      </c>
      <c r="E3237" s="7">
        <v>221</v>
      </c>
    </row>
    <row r="3238" spans="1:5" x14ac:dyDescent="0.25">
      <c r="A3238" s="5" t="s">
        <v>6</v>
      </c>
      <c r="B3238" s="5" t="s">
        <v>8932</v>
      </c>
      <c r="C3238" s="1" t="s">
        <v>8933</v>
      </c>
      <c r="D3238" s="1" t="s">
        <v>8934</v>
      </c>
      <c r="E3238" s="7">
        <v>28</v>
      </c>
    </row>
    <row r="3239" spans="1:5" x14ac:dyDescent="0.25">
      <c r="A3239" s="5" t="s">
        <v>6</v>
      </c>
      <c r="B3239" s="5" t="s">
        <v>8935</v>
      </c>
      <c r="C3239" s="1" t="s">
        <v>8936</v>
      </c>
      <c r="D3239" s="1" t="s">
        <v>8937</v>
      </c>
      <c r="E3239" s="7">
        <v>31</v>
      </c>
    </row>
    <row r="3240" spans="1:5" x14ac:dyDescent="0.25">
      <c r="A3240" s="5" t="s">
        <v>6</v>
      </c>
      <c r="B3240" s="5" t="s">
        <v>8938</v>
      </c>
      <c r="C3240" s="1" t="s">
        <v>8939</v>
      </c>
      <c r="D3240" s="1" t="s">
        <v>8940</v>
      </c>
      <c r="E3240" s="7">
        <v>31</v>
      </c>
    </row>
    <row r="3241" spans="1:5" x14ac:dyDescent="0.25">
      <c r="A3241" s="5" t="s">
        <v>6</v>
      </c>
      <c r="B3241" s="5" t="s">
        <v>8941</v>
      </c>
      <c r="C3241" s="1" t="s">
        <v>8942</v>
      </c>
      <c r="D3241" s="1" t="s">
        <v>8943</v>
      </c>
      <c r="E3241" s="7">
        <v>16</v>
      </c>
    </row>
    <row r="3242" spans="1:5" x14ac:dyDescent="0.25">
      <c r="A3242" s="5" t="s">
        <v>6</v>
      </c>
      <c r="B3242" s="5" t="s">
        <v>8944</v>
      </c>
      <c r="C3242" s="1" t="s">
        <v>8945</v>
      </c>
      <c r="D3242" s="1" t="s">
        <v>8946</v>
      </c>
      <c r="E3242" s="7">
        <v>31</v>
      </c>
    </row>
    <row r="3243" spans="1:5" x14ac:dyDescent="0.25">
      <c r="A3243" s="5" t="s">
        <v>6</v>
      </c>
      <c r="B3243" s="5" t="s">
        <v>8947</v>
      </c>
      <c r="C3243" s="1" t="s">
        <v>8948</v>
      </c>
      <c r="D3243" s="1" t="s">
        <v>8949</v>
      </c>
      <c r="E3243" s="7">
        <v>273</v>
      </c>
    </row>
    <row r="3244" spans="1:5" x14ac:dyDescent="0.25">
      <c r="A3244" s="5" t="s">
        <v>6</v>
      </c>
      <c r="B3244" s="5" t="s">
        <v>8950</v>
      </c>
      <c r="C3244" s="1" t="s">
        <v>8951</v>
      </c>
      <c r="D3244" s="1" t="s">
        <v>8952</v>
      </c>
      <c r="E3244" s="7">
        <v>51</v>
      </c>
    </row>
    <row r="3245" spans="1:5" x14ac:dyDescent="0.25">
      <c r="A3245" s="5" t="s">
        <v>6</v>
      </c>
      <c r="B3245" s="5" t="s">
        <v>8953</v>
      </c>
      <c r="C3245" s="1" t="s">
        <v>8954</v>
      </c>
      <c r="D3245" s="1" t="s">
        <v>8955</v>
      </c>
      <c r="E3245" s="7">
        <v>259</v>
      </c>
    </row>
    <row r="3246" spans="1:5" x14ac:dyDescent="0.25">
      <c r="A3246" s="5" t="s">
        <v>6</v>
      </c>
      <c r="B3246" s="5" t="s">
        <v>8956</v>
      </c>
      <c r="C3246" s="1" t="s">
        <v>8957</v>
      </c>
      <c r="D3246" s="1" t="s">
        <v>8958</v>
      </c>
      <c r="E3246" s="7">
        <v>87</v>
      </c>
    </row>
    <row r="3247" spans="1:5" x14ac:dyDescent="0.25">
      <c r="A3247" s="5" t="s">
        <v>6</v>
      </c>
      <c r="B3247" s="5" t="s">
        <v>8959</v>
      </c>
      <c r="C3247" s="1" t="s">
        <v>8960</v>
      </c>
      <c r="D3247" s="1" t="s">
        <v>8961</v>
      </c>
      <c r="E3247" s="7">
        <v>727</v>
      </c>
    </row>
    <row r="3248" spans="1:5" x14ac:dyDescent="0.25">
      <c r="A3248" s="5" t="s">
        <v>6</v>
      </c>
      <c r="B3248" s="5" t="s">
        <v>8962</v>
      </c>
      <c r="C3248" s="1" t="s">
        <v>8963</v>
      </c>
      <c r="D3248" s="1" t="s">
        <v>8964</v>
      </c>
      <c r="E3248" s="7">
        <v>25</v>
      </c>
    </row>
    <row r="3249" spans="1:5" x14ac:dyDescent="0.25">
      <c r="A3249" s="5" t="s">
        <v>6</v>
      </c>
      <c r="B3249" s="5" t="s">
        <v>8965</v>
      </c>
      <c r="C3249" s="1" t="s">
        <v>8966</v>
      </c>
      <c r="D3249" s="1" t="s">
        <v>8967</v>
      </c>
      <c r="E3249" s="7">
        <v>31</v>
      </c>
    </row>
    <row r="3250" spans="1:5" x14ac:dyDescent="0.25">
      <c r="A3250" s="5" t="s">
        <v>6</v>
      </c>
      <c r="B3250" s="5" t="s">
        <v>8968</v>
      </c>
      <c r="C3250" s="1" t="s">
        <v>8969</v>
      </c>
      <c r="D3250" s="1" t="s">
        <v>8970</v>
      </c>
      <c r="E3250" s="7">
        <v>52</v>
      </c>
    </row>
    <row r="3251" spans="1:5" x14ac:dyDescent="0.25">
      <c r="A3251" s="5" t="s">
        <v>6</v>
      </c>
      <c r="B3251" s="5" t="s">
        <v>8971</v>
      </c>
      <c r="C3251" s="1" t="s">
        <v>8972</v>
      </c>
      <c r="D3251" s="1" t="s">
        <v>8973</v>
      </c>
      <c r="E3251" s="7">
        <v>942</v>
      </c>
    </row>
    <row r="3252" spans="1:5" x14ac:dyDescent="0.25">
      <c r="A3252" s="5" t="s">
        <v>6</v>
      </c>
      <c r="B3252" s="5" t="s">
        <v>8974</v>
      </c>
      <c r="C3252" s="1" t="s">
        <v>8975</v>
      </c>
      <c r="D3252" s="1" t="s">
        <v>8976</v>
      </c>
      <c r="E3252" s="7">
        <v>25</v>
      </c>
    </row>
    <row r="3253" spans="1:5" x14ac:dyDescent="0.25">
      <c r="A3253" s="5" t="s">
        <v>6</v>
      </c>
      <c r="B3253" s="5" t="s">
        <v>8977</v>
      </c>
      <c r="C3253" s="1" t="s">
        <v>8978</v>
      </c>
      <c r="D3253" s="1" t="s">
        <v>8979</v>
      </c>
      <c r="E3253" s="7">
        <v>29</v>
      </c>
    </row>
    <row r="3254" spans="1:5" x14ac:dyDescent="0.25">
      <c r="A3254" s="5" t="s">
        <v>6</v>
      </c>
      <c r="B3254" s="5" t="s">
        <v>8980</v>
      </c>
      <c r="C3254" s="1" t="s">
        <v>8981</v>
      </c>
      <c r="D3254" s="1" t="s">
        <v>8982</v>
      </c>
      <c r="E3254" s="7">
        <v>42</v>
      </c>
    </row>
    <row r="3255" spans="1:5" x14ac:dyDescent="0.25">
      <c r="A3255" s="5" t="s">
        <v>6</v>
      </c>
      <c r="B3255" s="5" t="s">
        <v>8983</v>
      </c>
      <c r="C3255" s="1" t="s">
        <v>8984</v>
      </c>
      <c r="D3255" s="1" t="s">
        <v>8985</v>
      </c>
      <c r="E3255" s="7">
        <v>31</v>
      </c>
    </row>
    <row r="3256" spans="1:5" x14ac:dyDescent="0.25">
      <c r="A3256" s="5" t="s">
        <v>6</v>
      </c>
      <c r="B3256" s="5" t="s">
        <v>8986</v>
      </c>
      <c r="C3256" s="1" t="s">
        <v>8987</v>
      </c>
      <c r="D3256" s="1" t="s">
        <v>8988</v>
      </c>
      <c r="E3256" s="7">
        <v>1</v>
      </c>
    </row>
    <row r="3257" spans="1:5" x14ac:dyDescent="0.25">
      <c r="A3257" s="5" t="s">
        <v>6</v>
      </c>
      <c r="B3257" s="5" t="s">
        <v>8989</v>
      </c>
      <c r="C3257" s="1" t="s">
        <v>8990</v>
      </c>
      <c r="D3257" s="1" t="s">
        <v>8991</v>
      </c>
      <c r="E3257" s="7">
        <v>49</v>
      </c>
    </row>
    <row r="3258" spans="1:5" x14ac:dyDescent="0.25">
      <c r="A3258" s="5" t="s">
        <v>6</v>
      </c>
      <c r="B3258" s="5" t="s">
        <v>8992</v>
      </c>
      <c r="C3258" s="1" t="s">
        <v>8993</v>
      </c>
      <c r="D3258" s="1" t="s">
        <v>8994</v>
      </c>
      <c r="E3258" s="7">
        <v>55</v>
      </c>
    </row>
    <row r="3259" spans="1:5" x14ac:dyDescent="0.25">
      <c r="A3259" s="5" t="s">
        <v>6</v>
      </c>
      <c r="B3259" s="5" t="s">
        <v>8995</v>
      </c>
      <c r="C3259" s="1" t="s">
        <v>8996</v>
      </c>
      <c r="D3259" s="1" t="s">
        <v>8997</v>
      </c>
      <c r="E3259" s="7">
        <v>33</v>
      </c>
    </row>
    <row r="3260" spans="1:5" x14ac:dyDescent="0.25">
      <c r="A3260" s="5" t="s">
        <v>6</v>
      </c>
      <c r="B3260" s="5" t="s">
        <v>8998</v>
      </c>
      <c r="C3260" s="1" t="s">
        <v>8999</v>
      </c>
      <c r="D3260" s="1" t="s">
        <v>9000</v>
      </c>
      <c r="E3260" s="7">
        <v>31</v>
      </c>
    </row>
    <row r="3261" spans="1:5" x14ac:dyDescent="0.25">
      <c r="A3261" s="5" t="s">
        <v>6</v>
      </c>
      <c r="B3261" s="5" t="s">
        <v>9001</v>
      </c>
      <c r="C3261" s="1" t="s">
        <v>9002</v>
      </c>
      <c r="D3261" s="1" t="s">
        <v>9003</v>
      </c>
      <c r="E3261" s="7">
        <v>12</v>
      </c>
    </row>
    <row r="3262" spans="1:5" x14ac:dyDescent="0.25">
      <c r="A3262" s="5" t="s">
        <v>6</v>
      </c>
      <c r="B3262" s="5" t="s">
        <v>9004</v>
      </c>
      <c r="C3262" s="1" t="s">
        <v>9005</v>
      </c>
      <c r="D3262" s="1" t="s">
        <v>9006</v>
      </c>
      <c r="E3262" s="7">
        <v>66</v>
      </c>
    </row>
    <row r="3263" spans="1:5" x14ac:dyDescent="0.25">
      <c r="A3263" s="5" t="s">
        <v>6</v>
      </c>
      <c r="B3263" s="5" t="s">
        <v>9007</v>
      </c>
      <c r="C3263" s="1" t="s">
        <v>9008</v>
      </c>
      <c r="D3263" s="1" t="s">
        <v>9009</v>
      </c>
      <c r="E3263" s="7">
        <v>31</v>
      </c>
    </row>
    <row r="3264" spans="1:5" x14ac:dyDescent="0.25">
      <c r="A3264" s="5" t="s">
        <v>6</v>
      </c>
      <c r="B3264" s="5" t="s">
        <v>9010</v>
      </c>
      <c r="C3264" s="1" t="s">
        <v>9011</v>
      </c>
      <c r="D3264" s="1" t="s">
        <v>9012</v>
      </c>
      <c r="E3264" s="7">
        <v>27</v>
      </c>
    </row>
    <row r="3265" spans="1:5" x14ac:dyDescent="0.25">
      <c r="A3265" s="5" t="s">
        <v>6</v>
      </c>
      <c r="B3265" s="5" t="s">
        <v>9013</v>
      </c>
      <c r="C3265" s="1" t="s">
        <v>9014</v>
      </c>
      <c r="D3265" s="1" t="s">
        <v>9015</v>
      </c>
      <c r="E3265" s="7">
        <v>31</v>
      </c>
    </row>
    <row r="3266" spans="1:5" x14ac:dyDescent="0.25">
      <c r="A3266" s="5" t="s">
        <v>6</v>
      </c>
      <c r="B3266" s="5" t="s">
        <v>9016</v>
      </c>
      <c r="C3266" s="1" t="s">
        <v>9017</v>
      </c>
      <c r="D3266" s="1" t="s">
        <v>9018</v>
      </c>
      <c r="E3266" s="7">
        <v>59</v>
      </c>
    </row>
    <row r="3267" spans="1:5" x14ac:dyDescent="0.25">
      <c r="A3267" s="5" t="s">
        <v>6</v>
      </c>
      <c r="B3267" s="5" t="s">
        <v>9019</v>
      </c>
      <c r="C3267" s="1" t="s">
        <v>9020</v>
      </c>
      <c r="D3267" s="1" t="s">
        <v>9021</v>
      </c>
      <c r="E3267" s="7">
        <v>42</v>
      </c>
    </row>
    <row r="3268" spans="1:5" x14ac:dyDescent="0.25">
      <c r="A3268" s="5" t="s">
        <v>6</v>
      </c>
      <c r="B3268" s="5" t="s">
        <v>9022</v>
      </c>
      <c r="C3268" s="1" t="s">
        <v>9023</v>
      </c>
      <c r="D3268" s="1" t="s">
        <v>9024</v>
      </c>
      <c r="E3268" s="7">
        <v>14</v>
      </c>
    </row>
    <row r="3269" spans="1:5" x14ac:dyDescent="0.25">
      <c r="A3269" s="5" t="s">
        <v>6</v>
      </c>
      <c r="B3269" s="5" t="s">
        <v>9025</v>
      </c>
      <c r="C3269" s="1" t="s">
        <v>9026</v>
      </c>
      <c r="D3269" s="1" t="s">
        <v>9027</v>
      </c>
      <c r="E3269" s="7">
        <v>31</v>
      </c>
    </row>
    <row r="3270" spans="1:5" x14ac:dyDescent="0.25">
      <c r="A3270" s="5" t="s">
        <v>6</v>
      </c>
      <c r="B3270" s="5" t="s">
        <v>9028</v>
      </c>
      <c r="C3270" s="1" t="s">
        <v>9029</v>
      </c>
      <c r="D3270" s="1" t="s">
        <v>9030</v>
      </c>
      <c r="E3270" s="7">
        <v>1145</v>
      </c>
    </row>
    <row r="3271" spans="1:5" x14ac:dyDescent="0.25">
      <c r="A3271" s="5" t="s">
        <v>6</v>
      </c>
      <c r="B3271" s="5" t="s">
        <v>9031</v>
      </c>
      <c r="C3271" s="1" t="s">
        <v>9032</v>
      </c>
      <c r="D3271" s="1" t="s">
        <v>9033</v>
      </c>
      <c r="E3271" s="7">
        <v>51</v>
      </c>
    </row>
    <row r="3272" spans="1:5" x14ac:dyDescent="0.25">
      <c r="A3272" s="5" t="s">
        <v>6</v>
      </c>
      <c r="B3272" s="5" t="s">
        <v>9034</v>
      </c>
      <c r="C3272" s="1" t="s">
        <v>9035</v>
      </c>
      <c r="D3272" s="1" t="s">
        <v>9036</v>
      </c>
      <c r="E3272" s="7">
        <v>25</v>
      </c>
    </row>
    <row r="3273" spans="1:5" x14ac:dyDescent="0.25">
      <c r="A3273" s="5" t="s">
        <v>6</v>
      </c>
      <c r="B3273" s="5" t="s">
        <v>9037</v>
      </c>
      <c r="C3273" s="1" t="s">
        <v>9038</v>
      </c>
      <c r="D3273" s="1" t="s">
        <v>9039</v>
      </c>
      <c r="E3273" s="7">
        <v>15</v>
      </c>
    </row>
    <row r="3274" spans="1:5" x14ac:dyDescent="0.25">
      <c r="A3274" s="5" t="s">
        <v>6</v>
      </c>
      <c r="B3274" s="5" t="s">
        <v>9040</v>
      </c>
      <c r="C3274" s="1" t="s">
        <v>9041</v>
      </c>
      <c r="D3274" s="1" t="s">
        <v>9042</v>
      </c>
      <c r="E3274" s="7">
        <v>19</v>
      </c>
    </row>
    <row r="3275" spans="1:5" x14ac:dyDescent="0.25">
      <c r="A3275" s="5" t="s">
        <v>6</v>
      </c>
      <c r="B3275" s="5" t="s">
        <v>9043</v>
      </c>
      <c r="C3275" s="1" t="s">
        <v>9044</v>
      </c>
      <c r="D3275" s="1" t="s">
        <v>9045</v>
      </c>
      <c r="E3275" s="7">
        <v>18</v>
      </c>
    </row>
    <row r="3276" spans="1:5" x14ac:dyDescent="0.25">
      <c r="A3276" s="5" t="s">
        <v>6</v>
      </c>
      <c r="B3276" s="5" t="s">
        <v>9046</v>
      </c>
      <c r="C3276" s="1" t="s">
        <v>9047</v>
      </c>
      <c r="D3276" s="1" t="s">
        <v>9048</v>
      </c>
      <c r="E3276" s="7">
        <v>25</v>
      </c>
    </row>
    <row r="3277" spans="1:5" x14ac:dyDescent="0.25">
      <c r="A3277" s="5" t="s">
        <v>6</v>
      </c>
      <c r="B3277" s="5" t="s">
        <v>9049</v>
      </c>
      <c r="C3277" s="1" t="s">
        <v>9050</v>
      </c>
      <c r="D3277" s="1" t="s">
        <v>9051</v>
      </c>
      <c r="E3277" s="7">
        <v>14</v>
      </c>
    </row>
    <row r="3278" spans="1:5" x14ac:dyDescent="0.25">
      <c r="A3278" s="5" t="s">
        <v>6</v>
      </c>
      <c r="B3278" s="5" t="s">
        <v>9052</v>
      </c>
      <c r="C3278" s="1" t="s">
        <v>9053</v>
      </c>
      <c r="D3278" s="1" t="s">
        <v>9054</v>
      </c>
      <c r="E3278" s="7">
        <v>25</v>
      </c>
    </row>
    <row r="3279" spans="1:5" x14ac:dyDescent="0.25">
      <c r="A3279" s="5" t="s">
        <v>6</v>
      </c>
      <c r="B3279" s="5" t="s">
        <v>9055</v>
      </c>
      <c r="C3279" s="1" t="s">
        <v>9056</v>
      </c>
      <c r="D3279" s="1" t="s">
        <v>9057</v>
      </c>
      <c r="E3279" s="7">
        <v>13</v>
      </c>
    </row>
    <row r="3280" spans="1:5" x14ac:dyDescent="0.25">
      <c r="A3280" s="5" t="s">
        <v>6</v>
      </c>
      <c r="B3280" s="5" t="s">
        <v>9058</v>
      </c>
      <c r="C3280" s="1" t="s">
        <v>9059</v>
      </c>
      <c r="D3280" s="1" t="s">
        <v>9060</v>
      </c>
      <c r="E3280" s="7">
        <v>25</v>
      </c>
    </row>
    <row r="3281" spans="1:5" x14ac:dyDescent="0.25">
      <c r="A3281" s="5" t="s">
        <v>6</v>
      </c>
      <c r="B3281" s="5" t="s">
        <v>9061</v>
      </c>
      <c r="C3281" s="1" t="s">
        <v>9062</v>
      </c>
      <c r="D3281" s="1" t="s">
        <v>9063</v>
      </c>
      <c r="E3281" s="7">
        <v>3762</v>
      </c>
    </row>
    <row r="3282" spans="1:5" x14ac:dyDescent="0.25">
      <c r="A3282" s="5" t="s">
        <v>6</v>
      </c>
      <c r="B3282" s="5" t="s">
        <v>9064</v>
      </c>
      <c r="C3282" s="1" t="s">
        <v>9065</v>
      </c>
      <c r="D3282" s="1" t="s">
        <v>9066</v>
      </c>
      <c r="E3282" s="7">
        <v>28</v>
      </c>
    </row>
    <row r="3283" spans="1:5" x14ac:dyDescent="0.25">
      <c r="A3283" s="5" t="s">
        <v>6</v>
      </c>
      <c r="B3283" s="5" t="s">
        <v>9067</v>
      </c>
      <c r="C3283" s="1" t="s">
        <v>9068</v>
      </c>
      <c r="D3283" s="1" t="s">
        <v>9069</v>
      </c>
      <c r="E3283" s="7">
        <v>42</v>
      </c>
    </row>
    <row r="3284" spans="1:5" x14ac:dyDescent="0.25">
      <c r="A3284" s="5" t="s">
        <v>6</v>
      </c>
      <c r="B3284" s="5" t="s">
        <v>9070</v>
      </c>
      <c r="C3284" s="1" t="s">
        <v>9071</v>
      </c>
      <c r="D3284" s="1" t="s">
        <v>9072</v>
      </c>
      <c r="E3284" s="7">
        <v>44</v>
      </c>
    </row>
    <row r="3285" spans="1:5" x14ac:dyDescent="0.25">
      <c r="A3285" s="5" t="s">
        <v>6</v>
      </c>
      <c r="B3285" s="5" t="s">
        <v>9073</v>
      </c>
      <c r="C3285" s="1" t="s">
        <v>9074</v>
      </c>
      <c r="D3285" s="1" t="s">
        <v>9075</v>
      </c>
      <c r="E3285" s="7">
        <v>27</v>
      </c>
    </row>
    <row r="3286" spans="1:5" x14ac:dyDescent="0.25">
      <c r="A3286" s="5" t="s">
        <v>6</v>
      </c>
      <c r="B3286" s="5" t="s">
        <v>9076</v>
      </c>
      <c r="C3286" s="1" t="s">
        <v>9077</v>
      </c>
      <c r="D3286" s="1" t="s">
        <v>9078</v>
      </c>
      <c r="E3286" s="7">
        <v>5</v>
      </c>
    </row>
    <row r="3287" spans="1:5" x14ac:dyDescent="0.25">
      <c r="A3287" s="5" t="s">
        <v>6</v>
      </c>
      <c r="B3287" s="5" t="s">
        <v>9079</v>
      </c>
      <c r="C3287" s="1" t="s">
        <v>9080</v>
      </c>
      <c r="D3287" s="1" t="s">
        <v>9081</v>
      </c>
      <c r="E3287" s="7">
        <v>25</v>
      </c>
    </row>
    <row r="3288" spans="1:5" x14ac:dyDescent="0.25">
      <c r="A3288" s="5" t="s">
        <v>6</v>
      </c>
      <c r="B3288" s="5" t="s">
        <v>9082</v>
      </c>
      <c r="C3288" s="1" t="s">
        <v>9083</v>
      </c>
      <c r="D3288" s="1" t="s">
        <v>9084</v>
      </c>
      <c r="E3288" s="7">
        <v>68</v>
      </c>
    </row>
    <row r="3289" spans="1:5" x14ac:dyDescent="0.25">
      <c r="A3289" s="5" t="s">
        <v>6</v>
      </c>
      <c r="B3289" s="5" t="s">
        <v>9085</v>
      </c>
      <c r="C3289" s="1" t="s">
        <v>9086</v>
      </c>
      <c r="D3289" s="1" t="s">
        <v>9087</v>
      </c>
      <c r="E3289" s="7">
        <v>31</v>
      </c>
    </row>
    <row r="3290" spans="1:5" x14ac:dyDescent="0.25">
      <c r="A3290" s="5" t="s">
        <v>6</v>
      </c>
      <c r="B3290" s="5" t="s">
        <v>9088</v>
      </c>
      <c r="C3290" s="1" t="s">
        <v>9089</v>
      </c>
      <c r="D3290" s="1" t="s">
        <v>9089</v>
      </c>
      <c r="E3290" s="7">
        <v>41</v>
      </c>
    </row>
    <row r="3291" spans="1:5" x14ac:dyDescent="0.25">
      <c r="A3291" s="5" t="s">
        <v>6</v>
      </c>
      <c r="B3291" s="5" t="s">
        <v>9090</v>
      </c>
      <c r="C3291" s="1" t="s">
        <v>9091</v>
      </c>
      <c r="D3291" s="1" t="s">
        <v>9092</v>
      </c>
      <c r="E3291" s="7">
        <v>13</v>
      </c>
    </row>
    <row r="3292" spans="1:5" x14ac:dyDescent="0.25">
      <c r="A3292" s="5" t="s">
        <v>6</v>
      </c>
      <c r="B3292" s="5" t="s">
        <v>9093</v>
      </c>
      <c r="C3292" s="1" t="s">
        <v>9094</v>
      </c>
      <c r="D3292" s="1" t="s">
        <v>9095</v>
      </c>
      <c r="E3292" s="7">
        <v>5</v>
      </c>
    </row>
    <row r="3293" spans="1:5" x14ac:dyDescent="0.25">
      <c r="A3293" s="5" t="s">
        <v>6</v>
      </c>
      <c r="B3293" s="5" t="s">
        <v>9096</v>
      </c>
      <c r="C3293" s="1" t="s">
        <v>9097</v>
      </c>
      <c r="D3293" s="1" t="s">
        <v>9098</v>
      </c>
      <c r="E3293" s="7">
        <v>10</v>
      </c>
    </row>
    <row r="3294" spans="1:5" x14ac:dyDescent="0.25">
      <c r="A3294" s="5" t="s">
        <v>6</v>
      </c>
      <c r="B3294" s="5" t="s">
        <v>9099</v>
      </c>
      <c r="C3294" s="1" t="s">
        <v>9100</v>
      </c>
      <c r="D3294" s="1" t="s">
        <v>9101</v>
      </c>
      <c r="E3294" s="7">
        <v>19</v>
      </c>
    </row>
    <row r="3295" spans="1:5" x14ac:dyDescent="0.25">
      <c r="A3295" s="5" t="s">
        <v>6</v>
      </c>
      <c r="B3295" s="5" t="s">
        <v>9102</v>
      </c>
      <c r="C3295" s="1" t="s">
        <v>9103</v>
      </c>
      <c r="D3295" s="1" t="s">
        <v>9104</v>
      </c>
      <c r="E3295" s="7">
        <v>23</v>
      </c>
    </row>
    <row r="3296" spans="1:5" x14ac:dyDescent="0.25">
      <c r="A3296" s="5" t="s">
        <v>6</v>
      </c>
      <c r="B3296" s="5" t="s">
        <v>9105</v>
      </c>
      <c r="C3296" s="1" t="s">
        <v>9106</v>
      </c>
      <c r="D3296" s="1" t="s">
        <v>9107</v>
      </c>
      <c r="E3296" s="7">
        <v>13</v>
      </c>
    </row>
    <row r="3297" spans="1:5" x14ac:dyDescent="0.25">
      <c r="A3297" s="5" t="s">
        <v>6</v>
      </c>
      <c r="B3297" s="5" t="s">
        <v>9108</v>
      </c>
      <c r="C3297" s="1" t="s">
        <v>9109</v>
      </c>
      <c r="D3297" s="1" t="s">
        <v>9110</v>
      </c>
      <c r="E3297" s="7">
        <v>11</v>
      </c>
    </row>
    <row r="3298" spans="1:5" x14ac:dyDescent="0.25">
      <c r="A3298" s="5" t="s">
        <v>6</v>
      </c>
      <c r="B3298" s="5" t="s">
        <v>9111</v>
      </c>
      <c r="C3298" s="1" t="s">
        <v>9112</v>
      </c>
      <c r="D3298" s="1" t="s">
        <v>9113</v>
      </c>
      <c r="E3298" s="7">
        <v>16</v>
      </c>
    </row>
    <row r="3299" spans="1:5" x14ac:dyDescent="0.25">
      <c r="A3299" s="5" t="s">
        <v>6</v>
      </c>
      <c r="B3299" s="5" t="s">
        <v>9114</v>
      </c>
      <c r="C3299" s="1" t="s">
        <v>9115</v>
      </c>
      <c r="D3299" s="1" t="s">
        <v>9116</v>
      </c>
      <c r="E3299" s="7">
        <v>14</v>
      </c>
    </row>
    <row r="3300" spans="1:5" x14ac:dyDescent="0.25">
      <c r="A3300" s="5" t="s">
        <v>6</v>
      </c>
      <c r="B3300" s="5" t="s">
        <v>9117</v>
      </c>
      <c r="C3300" s="1" t="s">
        <v>9118</v>
      </c>
      <c r="D3300" s="1" t="s">
        <v>9119</v>
      </c>
      <c r="E3300" s="7">
        <v>14</v>
      </c>
    </row>
    <row r="3301" spans="1:5" x14ac:dyDescent="0.25">
      <c r="A3301" s="5" t="s">
        <v>6</v>
      </c>
      <c r="B3301" s="5" t="s">
        <v>9120</v>
      </c>
      <c r="C3301" s="1" t="s">
        <v>9121</v>
      </c>
      <c r="D3301" s="1" t="s">
        <v>9122</v>
      </c>
      <c r="E3301" s="7">
        <v>65</v>
      </c>
    </row>
    <row r="3302" spans="1:5" x14ac:dyDescent="0.25">
      <c r="A3302" s="5" t="s">
        <v>6</v>
      </c>
      <c r="B3302" s="5" t="s">
        <v>9123</v>
      </c>
      <c r="C3302" s="1" t="s">
        <v>9124</v>
      </c>
      <c r="D3302" s="1" t="s">
        <v>9125</v>
      </c>
      <c r="E3302" s="7">
        <v>25</v>
      </c>
    </row>
    <row r="3303" spans="1:5" x14ac:dyDescent="0.25">
      <c r="A3303" s="5" t="s">
        <v>6</v>
      </c>
      <c r="B3303" s="5" t="s">
        <v>9126</v>
      </c>
      <c r="C3303" s="1" t="s">
        <v>9127</v>
      </c>
      <c r="D3303" s="1" t="s">
        <v>9128</v>
      </c>
      <c r="E3303" s="7">
        <v>2</v>
      </c>
    </row>
    <row r="3304" spans="1:5" x14ac:dyDescent="0.25">
      <c r="A3304" s="5" t="s">
        <v>6</v>
      </c>
      <c r="B3304" s="5" t="s">
        <v>9129</v>
      </c>
      <c r="C3304" s="1" t="s">
        <v>9130</v>
      </c>
      <c r="D3304" s="1" t="s">
        <v>9131</v>
      </c>
      <c r="E3304" s="7">
        <v>19</v>
      </c>
    </row>
    <row r="3305" spans="1:5" x14ac:dyDescent="0.25">
      <c r="A3305" s="5" t="s">
        <v>6</v>
      </c>
      <c r="B3305" s="5" t="s">
        <v>9132</v>
      </c>
      <c r="C3305" s="1" t="s">
        <v>9133</v>
      </c>
      <c r="D3305" s="1" t="s">
        <v>9134</v>
      </c>
      <c r="E3305" s="7">
        <v>143</v>
      </c>
    </row>
    <row r="3306" spans="1:5" x14ac:dyDescent="0.25">
      <c r="A3306" s="5" t="s">
        <v>6</v>
      </c>
      <c r="B3306" s="5" t="s">
        <v>9135</v>
      </c>
      <c r="C3306" s="1" t="s">
        <v>9136</v>
      </c>
      <c r="D3306" s="1" t="s">
        <v>9137</v>
      </c>
      <c r="E3306" s="7">
        <v>58</v>
      </c>
    </row>
    <row r="3307" spans="1:5" x14ac:dyDescent="0.25">
      <c r="A3307" s="5" t="s">
        <v>6</v>
      </c>
      <c r="B3307" s="5" t="s">
        <v>9138</v>
      </c>
      <c r="C3307" s="1" t="s">
        <v>9139</v>
      </c>
      <c r="D3307" s="1" t="s">
        <v>9140</v>
      </c>
      <c r="E3307" s="7">
        <v>15</v>
      </c>
    </row>
    <row r="3308" spans="1:5" x14ac:dyDescent="0.25">
      <c r="A3308" s="5" t="s">
        <v>6</v>
      </c>
      <c r="B3308" s="5" t="s">
        <v>9141</v>
      </c>
      <c r="C3308" s="1" t="s">
        <v>9142</v>
      </c>
      <c r="D3308" s="1" t="s">
        <v>9143</v>
      </c>
      <c r="E3308" s="7">
        <v>29</v>
      </c>
    </row>
    <row r="3309" spans="1:5" x14ac:dyDescent="0.25">
      <c r="A3309" s="5" t="s">
        <v>6</v>
      </c>
      <c r="B3309" s="5" t="s">
        <v>9144</v>
      </c>
      <c r="C3309" s="1" t="s">
        <v>9145</v>
      </c>
      <c r="D3309" s="1" t="s">
        <v>9146</v>
      </c>
      <c r="E3309" s="7">
        <v>17</v>
      </c>
    </row>
    <row r="3310" spans="1:5" x14ac:dyDescent="0.25">
      <c r="A3310" s="5" t="s">
        <v>6</v>
      </c>
      <c r="B3310" s="5" t="s">
        <v>9147</v>
      </c>
      <c r="C3310" s="1" t="s">
        <v>9148</v>
      </c>
      <c r="D3310" s="1" t="s">
        <v>9149</v>
      </c>
      <c r="E3310" s="7">
        <v>32</v>
      </c>
    </row>
    <row r="3311" spans="1:5" x14ac:dyDescent="0.25">
      <c r="A3311" s="5" t="s">
        <v>6</v>
      </c>
      <c r="B3311" s="5" t="s">
        <v>9150</v>
      </c>
      <c r="C3311" s="1" t="s">
        <v>9151</v>
      </c>
      <c r="D3311" s="1" t="s">
        <v>9152</v>
      </c>
      <c r="E3311" s="7">
        <v>81</v>
      </c>
    </row>
    <row r="3312" spans="1:5" x14ac:dyDescent="0.25">
      <c r="A3312" s="5" t="s">
        <v>6</v>
      </c>
      <c r="B3312" s="5" t="s">
        <v>9153</v>
      </c>
      <c r="C3312" s="1" t="s">
        <v>9154</v>
      </c>
      <c r="D3312" s="1" t="s">
        <v>9155</v>
      </c>
      <c r="E3312" s="7">
        <v>19</v>
      </c>
    </row>
    <row r="3313" spans="1:5" x14ac:dyDescent="0.25">
      <c r="A3313" s="5" t="s">
        <v>6</v>
      </c>
      <c r="B3313" s="5" t="s">
        <v>9156</v>
      </c>
      <c r="C3313" s="1" t="s">
        <v>9157</v>
      </c>
      <c r="D3313" s="1" t="s">
        <v>9158</v>
      </c>
      <c r="E3313" s="7">
        <v>29</v>
      </c>
    </row>
    <row r="3314" spans="1:5" x14ac:dyDescent="0.25">
      <c r="A3314" s="5" t="s">
        <v>6</v>
      </c>
      <c r="B3314" s="5" t="s">
        <v>9159</v>
      </c>
      <c r="C3314" s="1" t="s">
        <v>9160</v>
      </c>
      <c r="D3314" s="1" t="s">
        <v>9161</v>
      </c>
      <c r="E3314" s="7">
        <v>15</v>
      </c>
    </row>
    <row r="3315" spans="1:5" x14ac:dyDescent="0.25">
      <c r="A3315" s="5" t="s">
        <v>6</v>
      </c>
      <c r="B3315" s="5" t="s">
        <v>9162</v>
      </c>
      <c r="C3315" s="1" t="s">
        <v>9163</v>
      </c>
      <c r="D3315" s="1" t="s">
        <v>9164</v>
      </c>
      <c r="E3315" s="7">
        <v>118</v>
      </c>
    </row>
    <row r="3316" spans="1:5" x14ac:dyDescent="0.25">
      <c r="A3316" s="5" t="s">
        <v>6</v>
      </c>
      <c r="B3316" s="5" t="s">
        <v>9165</v>
      </c>
      <c r="C3316" s="1" t="s">
        <v>9166</v>
      </c>
      <c r="D3316" s="1" t="s">
        <v>9167</v>
      </c>
      <c r="E3316" s="7">
        <v>186</v>
      </c>
    </row>
    <row r="3317" spans="1:5" x14ac:dyDescent="0.25">
      <c r="A3317" s="5" t="s">
        <v>6</v>
      </c>
      <c r="B3317" s="5" t="s">
        <v>9168</v>
      </c>
      <c r="C3317" s="1" t="s">
        <v>9169</v>
      </c>
      <c r="D3317" s="1" t="s">
        <v>9170</v>
      </c>
      <c r="E3317" s="7">
        <v>31</v>
      </c>
    </row>
    <row r="3318" spans="1:5" x14ac:dyDescent="0.25">
      <c r="A3318" s="5" t="s">
        <v>6</v>
      </c>
      <c r="B3318" s="5" t="s">
        <v>9171</v>
      </c>
      <c r="C3318" s="1" t="s">
        <v>9172</v>
      </c>
      <c r="D3318" s="1" t="s">
        <v>9173</v>
      </c>
      <c r="E3318" s="7">
        <v>5</v>
      </c>
    </row>
    <row r="3319" spans="1:5" x14ac:dyDescent="0.25">
      <c r="A3319" s="5" t="s">
        <v>6</v>
      </c>
      <c r="B3319" s="5" t="s">
        <v>9174</v>
      </c>
      <c r="C3319" s="1" t="s">
        <v>9175</v>
      </c>
      <c r="D3319" s="1" t="s">
        <v>9176</v>
      </c>
      <c r="E3319" s="7">
        <v>14</v>
      </c>
    </row>
    <row r="3320" spans="1:5" x14ac:dyDescent="0.25">
      <c r="A3320" s="5" t="s">
        <v>6</v>
      </c>
      <c r="B3320" s="5" t="s">
        <v>9177</v>
      </c>
      <c r="C3320" s="1" t="s">
        <v>9178</v>
      </c>
      <c r="D3320" s="1" t="s">
        <v>9179</v>
      </c>
      <c r="E3320" s="7">
        <v>17</v>
      </c>
    </row>
    <row r="3321" spans="1:5" x14ac:dyDescent="0.25">
      <c r="A3321" s="5" t="s">
        <v>6</v>
      </c>
      <c r="B3321" s="5" t="s">
        <v>9180</v>
      </c>
      <c r="C3321" s="1" t="s">
        <v>9181</v>
      </c>
      <c r="D3321" s="1" t="s">
        <v>9182</v>
      </c>
      <c r="E3321" s="7">
        <v>68</v>
      </c>
    </row>
    <row r="3322" spans="1:5" x14ac:dyDescent="0.25">
      <c r="A3322" s="5" t="s">
        <v>6</v>
      </c>
      <c r="B3322" s="5" t="s">
        <v>9183</v>
      </c>
      <c r="C3322" s="1" t="s">
        <v>9184</v>
      </c>
      <c r="D3322" s="1" t="s">
        <v>9185</v>
      </c>
      <c r="E3322" s="7">
        <v>337</v>
      </c>
    </row>
    <row r="3323" spans="1:5" x14ac:dyDescent="0.25">
      <c r="A3323" s="5" t="s">
        <v>6</v>
      </c>
      <c r="B3323" s="5" t="s">
        <v>9186</v>
      </c>
      <c r="C3323" s="1" t="s">
        <v>9187</v>
      </c>
      <c r="D3323" s="1" t="s">
        <v>9188</v>
      </c>
      <c r="E3323" s="7">
        <v>152</v>
      </c>
    </row>
    <row r="3324" spans="1:5" x14ac:dyDescent="0.25">
      <c r="A3324" s="5" t="s">
        <v>6</v>
      </c>
      <c r="B3324" s="5" t="s">
        <v>9189</v>
      </c>
      <c r="C3324" s="1" t="s">
        <v>9190</v>
      </c>
      <c r="D3324" s="1" t="s">
        <v>9191</v>
      </c>
      <c r="E3324" s="7">
        <v>33</v>
      </c>
    </row>
    <row r="3325" spans="1:5" x14ac:dyDescent="0.25">
      <c r="A3325" s="5" t="s">
        <v>6</v>
      </c>
      <c r="B3325" s="5" t="s">
        <v>9192</v>
      </c>
      <c r="C3325" s="1" t="s">
        <v>9193</v>
      </c>
      <c r="D3325" s="1" t="s">
        <v>9194</v>
      </c>
      <c r="E3325" s="7">
        <v>25</v>
      </c>
    </row>
    <row r="3326" spans="1:5" x14ac:dyDescent="0.25">
      <c r="A3326" s="5" t="s">
        <v>6</v>
      </c>
      <c r="B3326" s="5" t="s">
        <v>9195</v>
      </c>
      <c r="C3326" s="1" t="s">
        <v>9196</v>
      </c>
      <c r="D3326" s="1" t="s">
        <v>9197</v>
      </c>
      <c r="E3326" s="7">
        <v>12</v>
      </c>
    </row>
    <row r="3327" spans="1:5" x14ac:dyDescent="0.25">
      <c r="A3327" s="5" t="s">
        <v>6</v>
      </c>
      <c r="B3327" s="5" t="s">
        <v>9198</v>
      </c>
      <c r="C3327" s="1" t="s">
        <v>9199</v>
      </c>
      <c r="D3327" s="1" t="s">
        <v>9200</v>
      </c>
      <c r="E3327" s="7">
        <v>25</v>
      </c>
    </row>
    <row r="3328" spans="1:5" x14ac:dyDescent="0.25">
      <c r="A3328" s="5" t="s">
        <v>6</v>
      </c>
      <c r="B3328" s="5" t="s">
        <v>9201</v>
      </c>
      <c r="C3328" s="1" t="s">
        <v>9202</v>
      </c>
      <c r="D3328" s="1" t="s">
        <v>9203</v>
      </c>
      <c r="E3328" s="7">
        <v>10</v>
      </c>
    </row>
    <row r="3329" spans="1:5" x14ac:dyDescent="0.25">
      <c r="A3329" s="5" t="s">
        <v>6</v>
      </c>
      <c r="B3329" s="5" t="s">
        <v>9204</v>
      </c>
      <c r="C3329" s="1" t="s">
        <v>9205</v>
      </c>
      <c r="D3329" s="1" t="s">
        <v>9206</v>
      </c>
      <c r="E3329" s="7">
        <v>29</v>
      </c>
    </row>
    <row r="3330" spans="1:5" x14ac:dyDescent="0.25">
      <c r="A3330" s="5" t="s">
        <v>6</v>
      </c>
      <c r="B3330" s="5" t="s">
        <v>9207</v>
      </c>
      <c r="C3330" s="1" t="s">
        <v>9208</v>
      </c>
      <c r="D3330" s="1" t="s">
        <v>9208</v>
      </c>
      <c r="E3330" s="7">
        <v>11</v>
      </c>
    </row>
    <row r="3331" spans="1:5" x14ac:dyDescent="0.25">
      <c r="A3331" s="5" t="s">
        <v>6</v>
      </c>
      <c r="B3331" s="5" t="s">
        <v>9209</v>
      </c>
      <c r="C3331" s="1" t="s">
        <v>9210</v>
      </c>
      <c r="D3331" s="1" t="s">
        <v>9210</v>
      </c>
      <c r="E3331" s="7">
        <v>12</v>
      </c>
    </row>
    <row r="3332" spans="1:5" x14ac:dyDescent="0.25">
      <c r="A3332" s="5" t="s">
        <v>6</v>
      </c>
      <c r="B3332" s="5" t="s">
        <v>9211</v>
      </c>
      <c r="C3332" s="1" t="s">
        <v>9212</v>
      </c>
      <c r="D3332" s="1" t="s">
        <v>9212</v>
      </c>
      <c r="E3332" s="7">
        <v>97</v>
      </c>
    </row>
    <row r="3333" spans="1:5" x14ac:dyDescent="0.25">
      <c r="A3333" s="5" t="s">
        <v>6</v>
      </c>
      <c r="B3333" s="5" t="s">
        <v>9213</v>
      </c>
      <c r="C3333" s="1" t="s">
        <v>9214</v>
      </c>
      <c r="D3333" s="1" t="s">
        <v>9215</v>
      </c>
      <c r="E3333" s="7">
        <v>15</v>
      </c>
    </row>
    <row r="3334" spans="1:5" x14ac:dyDescent="0.25">
      <c r="A3334" s="5" t="s">
        <v>6</v>
      </c>
      <c r="B3334" s="5" t="s">
        <v>9216</v>
      </c>
      <c r="C3334" s="1" t="s">
        <v>9217</v>
      </c>
      <c r="D3334" s="1" t="s">
        <v>9218</v>
      </c>
      <c r="E3334" s="7">
        <v>25</v>
      </c>
    </row>
    <row r="3335" spans="1:5" x14ac:dyDescent="0.25">
      <c r="A3335" s="5" t="s">
        <v>6</v>
      </c>
      <c r="B3335" s="5" t="s">
        <v>9219</v>
      </c>
      <c r="C3335" s="1" t="s">
        <v>9220</v>
      </c>
      <c r="D3335" s="1" t="s">
        <v>9221</v>
      </c>
      <c r="E3335" s="7">
        <v>5</v>
      </c>
    </row>
    <row r="3336" spans="1:5" x14ac:dyDescent="0.25">
      <c r="A3336" s="5" t="s">
        <v>6</v>
      </c>
      <c r="B3336" s="5" t="s">
        <v>9222</v>
      </c>
      <c r="C3336" s="1" t="s">
        <v>9223</v>
      </c>
      <c r="D3336" s="1" t="s">
        <v>9224</v>
      </c>
      <c r="E3336" s="7">
        <v>25</v>
      </c>
    </row>
    <row r="3337" spans="1:5" x14ac:dyDescent="0.25">
      <c r="A3337" s="5" t="s">
        <v>6</v>
      </c>
      <c r="B3337" s="5" t="s">
        <v>9225</v>
      </c>
      <c r="C3337" s="1" t="s">
        <v>9226</v>
      </c>
      <c r="D3337" s="1" t="s">
        <v>9227</v>
      </c>
      <c r="E3337" s="7">
        <v>12</v>
      </c>
    </row>
    <row r="3338" spans="1:5" x14ac:dyDescent="0.25">
      <c r="A3338" s="5" t="s">
        <v>6</v>
      </c>
      <c r="B3338" s="5" t="s">
        <v>9228</v>
      </c>
      <c r="C3338" s="1" t="s">
        <v>9229</v>
      </c>
      <c r="D3338" s="1" t="s">
        <v>9230</v>
      </c>
      <c r="E3338" s="7">
        <v>23</v>
      </c>
    </row>
    <row r="3339" spans="1:5" x14ac:dyDescent="0.25">
      <c r="A3339" s="5" t="s">
        <v>6</v>
      </c>
      <c r="B3339" s="5" t="s">
        <v>9231</v>
      </c>
      <c r="C3339" s="1" t="s">
        <v>9232</v>
      </c>
      <c r="D3339" s="1" t="s">
        <v>9233</v>
      </c>
      <c r="E3339" s="7">
        <v>71</v>
      </c>
    </row>
    <row r="3340" spans="1:5" x14ac:dyDescent="0.25">
      <c r="A3340" s="5" t="s">
        <v>6</v>
      </c>
      <c r="B3340" s="5" t="s">
        <v>9234</v>
      </c>
      <c r="C3340" s="1" t="s">
        <v>9235</v>
      </c>
      <c r="D3340" s="1" t="s">
        <v>9236</v>
      </c>
      <c r="E3340" s="7">
        <v>29</v>
      </c>
    </row>
    <row r="3341" spans="1:5" x14ac:dyDescent="0.25">
      <c r="A3341" s="5" t="s">
        <v>6</v>
      </c>
      <c r="B3341" s="5" t="s">
        <v>9237</v>
      </c>
      <c r="C3341" s="1" t="s">
        <v>9238</v>
      </c>
      <c r="D3341" s="1" t="s">
        <v>9239</v>
      </c>
      <c r="E3341" s="7">
        <v>123</v>
      </c>
    </row>
    <row r="3342" spans="1:5" x14ac:dyDescent="0.25">
      <c r="A3342" s="5" t="s">
        <v>6</v>
      </c>
      <c r="B3342" s="5" t="s">
        <v>9240</v>
      </c>
      <c r="C3342" s="1" t="s">
        <v>9241</v>
      </c>
      <c r="D3342" s="1" t="s">
        <v>9242</v>
      </c>
      <c r="E3342" s="7">
        <v>60</v>
      </c>
    </row>
    <row r="3343" spans="1:5" x14ac:dyDescent="0.25">
      <c r="A3343" s="5" t="s">
        <v>6</v>
      </c>
      <c r="B3343" s="5" t="s">
        <v>9243</v>
      </c>
      <c r="C3343" s="1" t="s">
        <v>9244</v>
      </c>
      <c r="D3343" s="1" t="s">
        <v>9245</v>
      </c>
      <c r="E3343" s="7">
        <v>63</v>
      </c>
    </row>
    <row r="3344" spans="1:5" x14ac:dyDescent="0.25">
      <c r="A3344" s="5" t="s">
        <v>6</v>
      </c>
      <c r="B3344" s="5" t="s">
        <v>9246</v>
      </c>
      <c r="C3344" s="1" t="s">
        <v>9247</v>
      </c>
      <c r="D3344" s="1" t="s">
        <v>9247</v>
      </c>
      <c r="E3344" s="7">
        <v>25</v>
      </c>
    </row>
    <row r="3345" spans="1:5" x14ac:dyDescent="0.25">
      <c r="A3345" s="5" t="s">
        <v>6</v>
      </c>
      <c r="B3345" s="5" t="s">
        <v>9248</v>
      </c>
      <c r="C3345" s="1" t="s">
        <v>9249</v>
      </c>
      <c r="D3345" s="1" t="s">
        <v>9249</v>
      </c>
      <c r="E3345" s="7">
        <v>25</v>
      </c>
    </row>
    <row r="3346" spans="1:5" x14ac:dyDescent="0.25">
      <c r="A3346" s="5" t="s">
        <v>6</v>
      </c>
      <c r="B3346" s="5" t="s">
        <v>9250</v>
      </c>
      <c r="C3346" s="1" t="s">
        <v>9251</v>
      </c>
      <c r="D3346" s="1" t="s">
        <v>9252</v>
      </c>
      <c r="E3346" s="7">
        <v>25</v>
      </c>
    </row>
    <row r="3347" spans="1:5" x14ac:dyDescent="0.25">
      <c r="A3347" s="5" t="s">
        <v>6</v>
      </c>
      <c r="B3347" s="5" t="s">
        <v>9253</v>
      </c>
      <c r="C3347" s="1" t="s">
        <v>9254</v>
      </c>
      <c r="D3347" s="1" t="s">
        <v>9255</v>
      </c>
      <c r="E3347" s="7">
        <v>27</v>
      </c>
    </row>
    <row r="3348" spans="1:5" x14ac:dyDescent="0.25">
      <c r="A3348" s="5" t="s">
        <v>6</v>
      </c>
      <c r="B3348" s="5" t="s">
        <v>9256</v>
      </c>
      <c r="C3348" s="1" t="s">
        <v>9257</v>
      </c>
      <c r="D3348" s="1" t="s">
        <v>9258</v>
      </c>
      <c r="E3348" s="7">
        <v>19</v>
      </c>
    </row>
    <row r="3349" spans="1:5" x14ac:dyDescent="0.25">
      <c r="A3349" s="5" t="s">
        <v>6</v>
      </c>
      <c r="B3349" s="5" t="s">
        <v>9259</v>
      </c>
      <c r="C3349" s="1" t="s">
        <v>9260</v>
      </c>
      <c r="D3349" s="1" t="s">
        <v>9261</v>
      </c>
      <c r="E3349" s="7">
        <v>19</v>
      </c>
    </row>
    <row r="3350" spans="1:5" x14ac:dyDescent="0.25">
      <c r="A3350" s="5" t="s">
        <v>6</v>
      </c>
      <c r="B3350" s="5" t="s">
        <v>9262</v>
      </c>
      <c r="C3350" s="1" t="s">
        <v>9263</v>
      </c>
      <c r="D3350" s="1" t="s">
        <v>9264</v>
      </c>
      <c r="E3350" s="7">
        <v>26</v>
      </c>
    </row>
    <row r="3351" spans="1:5" x14ac:dyDescent="0.25">
      <c r="A3351" s="5" t="s">
        <v>6</v>
      </c>
      <c r="B3351" s="5" t="s">
        <v>9265</v>
      </c>
      <c r="C3351" s="1" t="s">
        <v>9266</v>
      </c>
      <c r="D3351" s="1" t="s">
        <v>9267</v>
      </c>
      <c r="E3351" s="7">
        <v>25</v>
      </c>
    </row>
    <row r="3352" spans="1:5" x14ac:dyDescent="0.25">
      <c r="A3352" s="5" t="s">
        <v>6</v>
      </c>
      <c r="B3352" s="5" t="s">
        <v>9268</v>
      </c>
      <c r="C3352" s="1" t="s">
        <v>9269</v>
      </c>
      <c r="D3352" s="1" t="s">
        <v>9270</v>
      </c>
      <c r="E3352" s="7">
        <v>31</v>
      </c>
    </row>
    <row r="3353" spans="1:5" x14ac:dyDescent="0.25">
      <c r="A3353" s="5" t="s">
        <v>6</v>
      </c>
      <c r="B3353" s="5" t="s">
        <v>9271</v>
      </c>
      <c r="C3353" s="1" t="s">
        <v>9272</v>
      </c>
      <c r="D3353" s="1" t="s">
        <v>9273</v>
      </c>
      <c r="E3353" s="7">
        <v>31</v>
      </c>
    </row>
    <row r="3354" spans="1:5" x14ac:dyDescent="0.25">
      <c r="A3354" s="5" t="s">
        <v>6</v>
      </c>
      <c r="B3354" s="5" t="s">
        <v>9274</v>
      </c>
      <c r="C3354" s="1" t="s">
        <v>9275</v>
      </c>
      <c r="D3354" s="1" t="s">
        <v>9276</v>
      </c>
      <c r="E3354" s="7">
        <v>29</v>
      </c>
    </row>
    <row r="3355" spans="1:5" x14ac:dyDescent="0.25">
      <c r="A3355" s="5" t="s">
        <v>6</v>
      </c>
      <c r="B3355" s="5" t="s">
        <v>9277</v>
      </c>
      <c r="C3355" s="1" t="s">
        <v>9278</v>
      </c>
      <c r="D3355" s="1" t="s">
        <v>9276</v>
      </c>
      <c r="E3355" s="7">
        <v>11</v>
      </c>
    </row>
    <row r="3356" spans="1:5" x14ac:dyDescent="0.25">
      <c r="A3356" s="5" t="s">
        <v>6</v>
      </c>
      <c r="B3356" s="5" t="s">
        <v>9279</v>
      </c>
      <c r="C3356" s="1" t="s">
        <v>9280</v>
      </c>
      <c r="D3356" s="1" t="s">
        <v>9281</v>
      </c>
      <c r="E3356" s="7">
        <v>27</v>
      </c>
    </row>
    <row r="3357" spans="1:5" x14ac:dyDescent="0.25">
      <c r="A3357" s="5" t="s">
        <v>6</v>
      </c>
      <c r="B3357" s="5" t="s">
        <v>9282</v>
      </c>
      <c r="C3357" s="1" t="s">
        <v>9283</v>
      </c>
      <c r="D3357" s="1" t="s">
        <v>9284</v>
      </c>
      <c r="E3357" s="7">
        <v>10</v>
      </c>
    </row>
    <row r="3358" spans="1:5" x14ac:dyDescent="0.25">
      <c r="A3358" s="5" t="s">
        <v>6</v>
      </c>
      <c r="B3358" s="5" t="s">
        <v>9285</v>
      </c>
      <c r="C3358" s="1" t="s">
        <v>9286</v>
      </c>
      <c r="D3358" s="1" t="s">
        <v>9287</v>
      </c>
      <c r="E3358" s="7">
        <v>80</v>
      </c>
    </row>
    <row r="3359" spans="1:5" x14ac:dyDescent="0.25">
      <c r="A3359" s="5" t="s">
        <v>6</v>
      </c>
      <c r="B3359" s="5" t="s">
        <v>9288</v>
      </c>
      <c r="C3359" s="1" t="s">
        <v>9289</v>
      </c>
      <c r="D3359" s="1" t="s">
        <v>9290</v>
      </c>
      <c r="E3359" s="7">
        <v>80</v>
      </c>
    </row>
    <row r="3360" spans="1:5" x14ac:dyDescent="0.25">
      <c r="A3360" s="5" t="s">
        <v>6</v>
      </c>
      <c r="B3360" s="5" t="s">
        <v>9291</v>
      </c>
      <c r="C3360" s="1" t="s">
        <v>9292</v>
      </c>
      <c r="D3360" s="1" t="s">
        <v>9293</v>
      </c>
      <c r="E3360" s="7">
        <v>87</v>
      </c>
    </row>
    <row r="3361" spans="1:5" x14ac:dyDescent="0.25">
      <c r="A3361" s="5" t="s">
        <v>6</v>
      </c>
      <c r="B3361" s="5" t="s">
        <v>9294</v>
      </c>
      <c r="C3361" s="1" t="s">
        <v>9295</v>
      </c>
      <c r="D3361" s="1" t="s">
        <v>9296</v>
      </c>
      <c r="E3361" s="7">
        <v>87</v>
      </c>
    </row>
    <row r="3362" spans="1:5" x14ac:dyDescent="0.25">
      <c r="A3362" s="5" t="s">
        <v>6</v>
      </c>
      <c r="B3362" s="5" t="s">
        <v>9297</v>
      </c>
      <c r="C3362" s="1" t="s">
        <v>9298</v>
      </c>
      <c r="D3362" s="1" t="s">
        <v>9299</v>
      </c>
      <c r="E3362" s="7">
        <v>17</v>
      </c>
    </row>
    <row r="3363" spans="1:5" x14ac:dyDescent="0.25">
      <c r="A3363" s="5" t="s">
        <v>6</v>
      </c>
      <c r="B3363" s="5" t="s">
        <v>9300</v>
      </c>
      <c r="C3363" s="1" t="s">
        <v>9301</v>
      </c>
      <c r="D3363" s="1" t="s">
        <v>9302</v>
      </c>
      <c r="E3363" s="7">
        <v>87</v>
      </c>
    </row>
    <row r="3364" spans="1:5" x14ac:dyDescent="0.25">
      <c r="A3364" s="5" t="s">
        <v>6</v>
      </c>
      <c r="B3364" s="5" t="s">
        <v>9303</v>
      </c>
      <c r="C3364" s="1" t="s">
        <v>9304</v>
      </c>
      <c r="D3364" s="1" t="s">
        <v>9304</v>
      </c>
      <c r="E3364" s="7">
        <v>23</v>
      </c>
    </row>
    <row r="3365" spans="1:5" x14ac:dyDescent="0.25">
      <c r="A3365" s="5" t="s">
        <v>6</v>
      </c>
      <c r="B3365" s="5" t="s">
        <v>9305</v>
      </c>
      <c r="C3365" s="1" t="s">
        <v>9306</v>
      </c>
      <c r="D3365" s="1" t="s">
        <v>9307</v>
      </c>
      <c r="E3365" s="7">
        <v>80</v>
      </c>
    </row>
    <row r="3366" spans="1:5" x14ac:dyDescent="0.25">
      <c r="A3366" s="5" t="s">
        <v>6</v>
      </c>
      <c r="B3366" s="5" t="s">
        <v>9308</v>
      </c>
      <c r="C3366" s="1" t="s">
        <v>9309</v>
      </c>
      <c r="D3366" s="1" t="s">
        <v>9310</v>
      </c>
      <c r="E3366" s="7">
        <v>25</v>
      </c>
    </row>
    <row r="3367" spans="1:5" x14ac:dyDescent="0.25">
      <c r="A3367" s="5" t="s">
        <v>6</v>
      </c>
      <c r="B3367" s="5" t="s">
        <v>9311</v>
      </c>
      <c r="C3367" s="1" t="s">
        <v>9312</v>
      </c>
      <c r="D3367" s="1" t="s">
        <v>9313</v>
      </c>
      <c r="E3367" s="7">
        <v>99</v>
      </c>
    </row>
    <row r="3368" spans="1:5" x14ac:dyDescent="0.25">
      <c r="A3368" s="5" t="s">
        <v>6</v>
      </c>
      <c r="B3368" s="5" t="s">
        <v>9314</v>
      </c>
      <c r="C3368" s="1" t="s">
        <v>9315</v>
      </c>
      <c r="D3368" s="1" t="s">
        <v>9316</v>
      </c>
      <c r="E3368" s="7">
        <v>82</v>
      </c>
    </row>
    <row r="3369" spans="1:5" x14ac:dyDescent="0.25">
      <c r="A3369" s="5" t="s">
        <v>6</v>
      </c>
      <c r="B3369" s="5" t="s">
        <v>9317</v>
      </c>
      <c r="C3369" s="1" t="s">
        <v>9318</v>
      </c>
      <c r="D3369" s="1" t="s">
        <v>9319</v>
      </c>
      <c r="E3369" s="7">
        <v>15.6</v>
      </c>
    </row>
    <row r="3370" spans="1:5" x14ac:dyDescent="0.25">
      <c r="A3370" s="5" t="s">
        <v>6</v>
      </c>
      <c r="B3370" s="5" t="s">
        <v>9320</v>
      </c>
      <c r="C3370" s="1" t="s">
        <v>9321</v>
      </c>
      <c r="D3370" s="1" t="s">
        <v>9322</v>
      </c>
      <c r="E3370" s="7">
        <v>23</v>
      </c>
    </row>
    <row r="3371" spans="1:5" x14ac:dyDescent="0.25">
      <c r="A3371" s="5" t="s">
        <v>6</v>
      </c>
      <c r="B3371" s="5" t="s">
        <v>9323</v>
      </c>
      <c r="C3371" s="1" t="s">
        <v>9324</v>
      </c>
      <c r="D3371" s="1" t="s">
        <v>9325</v>
      </c>
      <c r="E3371" s="7">
        <v>25</v>
      </c>
    </row>
    <row r="3372" spans="1:5" x14ac:dyDescent="0.25">
      <c r="A3372" s="5" t="s">
        <v>6</v>
      </c>
      <c r="B3372" s="5" t="s">
        <v>9326</v>
      </c>
      <c r="C3372" s="1" t="s">
        <v>9327</v>
      </c>
      <c r="D3372" s="1" t="s">
        <v>9328</v>
      </c>
      <c r="E3372" s="7">
        <v>5</v>
      </c>
    </row>
    <row r="3373" spans="1:5" x14ac:dyDescent="0.25">
      <c r="A3373" s="5" t="s">
        <v>6</v>
      </c>
      <c r="B3373" s="5" t="s">
        <v>9329</v>
      </c>
      <c r="C3373" s="1" t="s">
        <v>9330</v>
      </c>
      <c r="D3373" s="1" t="s">
        <v>9331</v>
      </c>
      <c r="E3373" s="7">
        <v>40</v>
      </c>
    </row>
    <row r="3374" spans="1:5" x14ac:dyDescent="0.25">
      <c r="A3374" s="5" t="s">
        <v>6</v>
      </c>
      <c r="B3374" s="5" t="s">
        <v>9332</v>
      </c>
      <c r="C3374" s="1" t="s">
        <v>9333</v>
      </c>
      <c r="D3374" s="1" t="s">
        <v>9334</v>
      </c>
      <c r="E3374" s="7">
        <v>5</v>
      </c>
    </row>
    <row r="3375" spans="1:5" x14ac:dyDescent="0.25">
      <c r="A3375" s="5" t="s">
        <v>6</v>
      </c>
      <c r="B3375" s="5" t="s">
        <v>9335</v>
      </c>
      <c r="C3375" s="1" t="s">
        <v>9336</v>
      </c>
      <c r="D3375" s="1" t="s">
        <v>9337</v>
      </c>
      <c r="E3375" s="7">
        <v>15</v>
      </c>
    </row>
    <row r="3376" spans="1:5" x14ac:dyDescent="0.25">
      <c r="A3376" s="5" t="s">
        <v>6</v>
      </c>
      <c r="B3376" s="5" t="s">
        <v>9338</v>
      </c>
      <c r="C3376" s="1" t="s">
        <v>9339</v>
      </c>
      <c r="D3376" s="1" t="s">
        <v>9340</v>
      </c>
      <c r="E3376" s="7">
        <v>14</v>
      </c>
    </row>
    <row r="3377" spans="1:5" x14ac:dyDescent="0.25">
      <c r="A3377" s="5" t="s">
        <v>6</v>
      </c>
      <c r="B3377" s="5" t="s">
        <v>9341</v>
      </c>
      <c r="C3377" s="1" t="s">
        <v>9342</v>
      </c>
      <c r="D3377" s="1" t="s">
        <v>9343</v>
      </c>
      <c r="E3377" s="7">
        <v>557</v>
      </c>
    </row>
    <row r="3378" spans="1:5" x14ac:dyDescent="0.25">
      <c r="A3378" s="5" t="s">
        <v>6</v>
      </c>
      <c r="B3378" s="5" t="s">
        <v>9344</v>
      </c>
      <c r="C3378" s="1" t="s">
        <v>9345</v>
      </c>
      <c r="D3378" s="1" t="s">
        <v>9346</v>
      </c>
      <c r="E3378" s="7">
        <v>710</v>
      </c>
    </row>
    <row r="3379" spans="1:5" x14ac:dyDescent="0.25">
      <c r="A3379" s="5" t="s">
        <v>6</v>
      </c>
      <c r="B3379" s="5" t="s">
        <v>9347</v>
      </c>
      <c r="C3379" s="1" t="s">
        <v>9348</v>
      </c>
      <c r="D3379" s="1" t="s">
        <v>9349</v>
      </c>
      <c r="E3379" s="7">
        <v>10</v>
      </c>
    </row>
    <row r="3380" spans="1:5" x14ac:dyDescent="0.25">
      <c r="A3380" s="5" t="s">
        <v>6</v>
      </c>
      <c r="B3380" s="5" t="s">
        <v>9350</v>
      </c>
      <c r="C3380" s="1" t="s">
        <v>9351</v>
      </c>
      <c r="D3380" s="1" t="s">
        <v>9352</v>
      </c>
      <c r="E3380" s="7">
        <v>10</v>
      </c>
    </row>
    <row r="3381" spans="1:5" x14ac:dyDescent="0.25">
      <c r="A3381" s="5" t="s">
        <v>6</v>
      </c>
      <c r="B3381" s="5" t="s">
        <v>9353</v>
      </c>
      <c r="C3381" s="1" t="s">
        <v>9354</v>
      </c>
      <c r="D3381" s="1" t="s">
        <v>9355</v>
      </c>
      <c r="E3381" s="7">
        <v>338</v>
      </c>
    </row>
    <row r="3382" spans="1:5" x14ac:dyDescent="0.25">
      <c r="A3382" s="5" t="s">
        <v>6</v>
      </c>
      <c r="B3382" s="5" t="s">
        <v>9356</v>
      </c>
      <c r="C3382" s="1" t="s">
        <v>9357</v>
      </c>
      <c r="D3382" s="1" t="s">
        <v>9358</v>
      </c>
      <c r="E3382" s="7">
        <v>7647</v>
      </c>
    </row>
    <row r="3383" spans="1:5" x14ac:dyDescent="0.25">
      <c r="A3383" s="5" t="s">
        <v>6</v>
      </c>
      <c r="B3383" s="5" t="s">
        <v>9359</v>
      </c>
      <c r="C3383" s="1" t="s">
        <v>9360</v>
      </c>
      <c r="D3383" s="1" t="s">
        <v>9361</v>
      </c>
      <c r="E3383" s="7">
        <v>12</v>
      </c>
    </row>
    <row r="3384" spans="1:5" x14ac:dyDescent="0.25">
      <c r="A3384" s="5" t="s">
        <v>6</v>
      </c>
      <c r="B3384" s="5" t="s">
        <v>9362</v>
      </c>
      <c r="C3384" s="1" t="s">
        <v>9363</v>
      </c>
      <c r="D3384" s="1" t="s">
        <v>9364</v>
      </c>
      <c r="E3384" s="7">
        <v>5</v>
      </c>
    </row>
    <row r="3385" spans="1:5" x14ac:dyDescent="0.25">
      <c r="A3385" s="5" t="s">
        <v>6</v>
      </c>
      <c r="B3385" s="5" t="s">
        <v>9365</v>
      </c>
      <c r="C3385" s="1" t="s">
        <v>9366</v>
      </c>
      <c r="D3385" s="1" t="s">
        <v>9367</v>
      </c>
      <c r="E3385" s="7">
        <v>3298</v>
      </c>
    </row>
    <row r="3386" spans="1:5" x14ac:dyDescent="0.25">
      <c r="A3386" s="5" t="s">
        <v>6</v>
      </c>
      <c r="B3386" s="5" t="s">
        <v>9368</v>
      </c>
      <c r="C3386" s="1" t="s">
        <v>9369</v>
      </c>
      <c r="D3386" s="1" t="s">
        <v>9370</v>
      </c>
      <c r="E3386" s="7">
        <v>2415</v>
      </c>
    </row>
    <row r="3387" spans="1:5" x14ac:dyDescent="0.25">
      <c r="A3387" s="5" t="s">
        <v>6</v>
      </c>
      <c r="B3387" s="5" t="s">
        <v>9371</v>
      </c>
      <c r="C3387" s="1" t="s">
        <v>9372</v>
      </c>
      <c r="D3387" s="1" t="s">
        <v>9373</v>
      </c>
      <c r="E3387" s="7">
        <v>16</v>
      </c>
    </row>
    <row r="3388" spans="1:5" x14ac:dyDescent="0.25">
      <c r="A3388" s="5" t="s">
        <v>6</v>
      </c>
      <c r="B3388" s="5" t="s">
        <v>9374</v>
      </c>
      <c r="C3388" s="1" t="s">
        <v>9375</v>
      </c>
      <c r="D3388" s="1" t="s">
        <v>9376</v>
      </c>
      <c r="E3388" s="7">
        <v>2415</v>
      </c>
    </row>
    <row r="3389" spans="1:5" x14ac:dyDescent="0.25">
      <c r="A3389" s="5" t="s">
        <v>6</v>
      </c>
      <c r="B3389" s="5" t="s">
        <v>9377</v>
      </c>
      <c r="C3389" s="1" t="s">
        <v>9378</v>
      </c>
      <c r="D3389" s="1" t="s">
        <v>9379</v>
      </c>
      <c r="E3389" s="7">
        <v>417</v>
      </c>
    </row>
    <row r="3390" spans="1:5" x14ac:dyDescent="0.25">
      <c r="A3390" s="5" t="s">
        <v>6</v>
      </c>
      <c r="B3390" s="5" t="s">
        <v>9380</v>
      </c>
      <c r="C3390" s="1" t="s">
        <v>9381</v>
      </c>
      <c r="D3390" s="1" t="s">
        <v>9382</v>
      </c>
      <c r="E3390" s="7">
        <v>29</v>
      </c>
    </row>
    <row r="3391" spans="1:5" x14ac:dyDescent="0.25">
      <c r="A3391" s="5" t="s">
        <v>6</v>
      </c>
      <c r="B3391" s="5" t="s">
        <v>9383</v>
      </c>
      <c r="C3391" s="1" t="s">
        <v>9384</v>
      </c>
      <c r="D3391" s="1" t="s">
        <v>9385</v>
      </c>
      <c r="E3391" s="7">
        <v>387</v>
      </c>
    </row>
    <row r="3392" spans="1:5" x14ac:dyDescent="0.25">
      <c r="A3392" s="5" t="s">
        <v>6</v>
      </c>
      <c r="B3392" s="5" t="s">
        <v>9386</v>
      </c>
      <c r="C3392" s="1" t="s">
        <v>9387</v>
      </c>
      <c r="D3392" s="1" t="s">
        <v>9388</v>
      </c>
      <c r="E3392" s="7">
        <v>237</v>
      </c>
    </row>
    <row r="3393" spans="1:5" x14ac:dyDescent="0.25">
      <c r="A3393" s="5" t="s">
        <v>6</v>
      </c>
      <c r="B3393" s="5" t="s">
        <v>9389</v>
      </c>
      <c r="C3393" s="1" t="s">
        <v>9390</v>
      </c>
      <c r="D3393" s="1" t="s">
        <v>9391</v>
      </c>
      <c r="E3393" s="7">
        <v>4007</v>
      </c>
    </row>
    <row r="3394" spans="1:5" x14ac:dyDescent="0.25">
      <c r="A3394" s="5" t="s">
        <v>6</v>
      </c>
      <c r="B3394" s="5" t="s">
        <v>9392</v>
      </c>
      <c r="C3394" s="1" t="s">
        <v>9393</v>
      </c>
      <c r="D3394" s="1" t="s">
        <v>9394</v>
      </c>
      <c r="E3394" s="7">
        <v>936</v>
      </c>
    </row>
    <row r="3395" spans="1:5" x14ac:dyDescent="0.25">
      <c r="A3395" s="5" t="s">
        <v>6</v>
      </c>
      <c r="B3395" s="5" t="s">
        <v>9395</v>
      </c>
      <c r="C3395" s="1" t="s">
        <v>9396</v>
      </c>
      <c r="D3395" s="1" t="s">
        <v>9397</v>
      </c>
      <c r="E3395" s="7">
        <v>342</v>
      </c>
    </row>
    <row r="3396" spans="1:5" x14ac:dyDescent="0.25">
      <c r="A3396" s="5" t="s">
        <v>6</v>
      </c>
      <c r="B3396" s="5" t="s">
        <v>9398</v>
      </c>
      <c r="C3396" s="1" t="s">
        <v>9399</v>
      </c>
      <c r="D3396" s="1" t="s">
        <v>9400</v>
      </c>
      <c r="E3396" s="7">
        <v>33</v>
      </c>
    </row>
    <row r="3397" spans="1:5" x14ac:dyDescent="0.25">
      <c r="A3397" s="5" t="s">
        <v>6</v>
      </c>
      <c r="B3397" s="5" t="s">
        <v>9401</v>
      </c>
      <c r="C3397" s="1" t="s">
        <v>9402</v>
      </c>
      <c r="D3397" s="1" t="s">
        <v>9403</v>
      </c>
      <c r="E3397" s="7">
        <v>67</v>
      </c>
    </row>
    <row r="3398" spans="1:5" x14ac:dyDescent="0.25">
      <c r="A3398" s="5" t="s">
        <v>6</v>
      </c>
      <c r="B3398" s="5" t="s">
        <v>9404</v>
      </c>
      <c r="C3398" s="1" t="s">
        <v>9405</v>
      </c>
      <c r="D3398" s="1" t="s">
        <v>9406</v>
      </c>
      <c r="E3398" s="7">
        <v>951</v>
      </c>
    </row>
    <row r="3399" spans="1:5" x14ac:dyDescent="0.25">
      <c r="A3399" s="5" t="s">
        <v>6</v>
      </c>
      <c r="B3399" s="5" t="s">
        <v>9407</v>
      </c>
      <c r="C3399" s="1" t="s">
        <v>9408</v>
      </c>
      <c r="D3399" s="1" t="s">
        <v>9409</v>
      </c>
      <c r="E3399" s="7">
        <v>289</v>
      </c>
    </row>
    <row r="3400" spans="1:5" x14ac:dyDescent="0.25">
      <c r="A3400" s="5" t="s">
        <v>6</v>
      </c>
      <c r="B3400" s="5" t="s">
        <v>9410</v>
      </c>
      <c r="C3400" s="1" t="s">
        <v>9411</v>
      </c>
      <c r="D3400" s="1" t="s">
        <v>9412</v>
      </c>
      <c r="E3400" s="7">
        <v>394</v>
      </c>
    </row>
    <row r="3401" spans="1:5" x14ac:dyDescent="0.25">
      <c r="A3401" s="5" t="s">
        <v>6</v>
      </c>
      <c r="B3401" s="5" t="s">
        <v>9413</v>
      </c>
      <c r="C3401" s="1" t="s">
        <v>9414</v>
      </c>
      <c r="D3401" s="1" t="s">
        <v>9415</v>
      </c>
      <c r="E3401" s="7">
        <v>16</v>
      </c>
    </row>
    <row r="3402" spans="1:5" x14ac:dyDescent="0.25">
      <c r="A3402" s="5" t="s">
        <v>6</v>
      </c>
      <c r="B3402" s="5" t="s">
        <v>9416</v>
      </c>
      <c r="C3402" s="1" t="s">
        <v>9417</v>
      </c>
      <c r="D3402" s="1" t="s">
        <v>9418</v>
      </c>
      <c r="E3402" s="7">
        <v>292</v>
      </c>
    </row>
    <row r="3403" spans="1:5" x14ac:dyDescent="0.25">
      <c r="A3403" s="5" t="s">
        <v>6</v>
      </c>
      <c r="B3403" s="5" t="s">
        <v>9419</v>
      </c>
      <c r="C3403" s="1" t="s">
        <v>9420</v>
      </c>
      <c r="D3403" s="1" t="s">
        <v>9421</v>
      </c>
      <c r="E3403" s="7">
        <v>418</v>
      </c>
    </row>
    <row r="3404" spans="1:5" x14ac:dyDescent="0.25">
      <c r="A3404" s="5" t="s">
        <v>6</v>
      </c>
      <c r="B3404" s="5" t="s">
        <v>9422</v>
      </c>
      <c r="C3404" s="1" t="s">
        <v>9423</v>
      </c>
      <c r="D3404" s="1" t="s">
        <v>9424</v>
      </c>
      <c r="E3404" s="7">
        <v>218</v>
      </c>
    </row>
    <row r="3405" spans="1:5" x14ac:dyDescent="0.25">
      <c r="A3405" s="5" t="s">
        <v>6</v>
      </c>
      <c r="B3405" s="5" t="s">
        <v>9425</v>
      </c>
      <c r="C3405" s="1" t="s">
        <v>9426</v>
      </c>
      <c r="D3405" s="1" t="s">
        <v>9427</v>
      </c>
      <c r="E3405" s="7">
        <v>4306</v>
      </c>
    </row>
    <row r="3406" spans="1:5" x14ac:dyDescent="0.25">
      <c r="A3406" s="5" t="s">
        <v>6</v>
      </c>
      <c r="B3406" s="5" t="s">
        <v>9428</v>
      </c>
      <c r="C3406" s="1" t="s">
        <v>9429</v>
      </c>
      <c r="D3406" s="1" t="s">
        <v>9430</v>
      </c>
      <c r="E3406" s="7">
        <v>14</v>
      </c>
    </row>
    <row r="3407" spans="1:5" x14ac:dyDescent="0.25">
      <c r="A3407" s="5" t="s">
        <v>6</v>
      </c>
      <c r="B3407" s="5" t="s">
        <v>9431</v>
      </c>
      <c r="C3407" s="1" t="s">
        <v>9432</v>
      </c>
      <c r="D3407" s="1" t="s">
        <v>9433</v>
      </c>
      <c r="E3407" s="7">
        <v>2</v>
      </c>
    </row>
    <row r="3408" spans="1:5" x14ac:dyDescent="0.25">
      <c r="A3408" s="5" t="s">
        <v>6</v>
      </c>
      <c r="B3408" s="5" t="s">
        <v>9434</v>
      </c>
      <c r="C3408" s="1" t="s">
        <v>9435</v>
      </c>
      <c r="D3408" s="1" t="s">
        <v>9436</v>
      </c>
      <c r="E3408" s="7">
        <v>68</v>
      </c>
    </row>
    <row r="3409" spans="1:5" x14ac:dyDescent="0.25">
      <c r="A3409" s="5" t="s">
        <v>6</v>
      </c>
      <c r="B3409" s="5" t="s">
        <v>9437</v>
      </c>
      <c r="C3409" s="1" t="s">
        <v>9438</v>
      </c>
      <c r="D3409" s="1" t="s">
        <v>9439</v>
      </c>
      <c r="E3409" s="7">
        <v>5</v>
      </c>
    </row>
    <row r="3410" spans="1:5" x14ac:dyDescent="0.25">
      <c r="A3410" s="5" t="s">
        <v>6</v>
      </c>
      <c r="B3410" s="5" t="s">
        <v>9440</v>
      </c>
      <c r="C3410" s="1" t="s">
        <v>9441</v>
      </c>
      <c r="D3410" s="1" t="s">
        <v>9442</v>
      </c>
      <c r="E3410" s="7">
        <v>5</v>
      </c>
    </row>
    <row r="3411" spans="1:5" x14ac:dyDescent="0.25">
      <c r="A3411" s="5" t="s">
        <v>6</v>
      </c>
      <c r="B3411" s="5" t="s">
        <v>9443</v>
      </c>
      <c r="C3411" s="1" t="s">
        <v>9444</v>
      </c>
      <c r="D3411" s="1" t="s">
        <v>9445</v>
      </c>
      <c r="E3411" s="7">
        <v>43</v>
      </c>
    </row>
    <row r="3412" spans="1:5" x14ac:dyDescent="0.25">
      <c r="A3412" s="5" t="s">
        <v>6</v>
      </c>
      <c r="B3412" s="5" t="s">
        <v>9446</v>
      </c>
      <c r="C3412" s="1" t="s">
        <v>9447</v>
      </c>
      <c r="D3412" s="1" t="s">
        <v>9448</v>
      </c>
      <c r="E3412" s="7">
        <v>605</v>
      </c>
    </row>
    <row r="3413" spans="1:5" x14ac:dyDescent="0.25">
      <c r="A3413" s="5" t="s">
        <v>6</v>
      </c>
      <c r="B3413" s="5" t="s">
        <v>9449</v>
      </c>
      <c r="C3413" s="1" t="s">
        <v>9450</v>
      </c>
      <c r="D3413" s="1" t="s">
        <v>9451</v>
      </c>
      <c r="E3413" s="7">
        <v>96</v>
      </c>
    </row>
    <row r="3414" spans="1:5" x14ac:dyDescent="0.25">
      <c r="A3414" s="5" t="s">
        <v>6</v>
      </c>
      <c r="B3414" s="5" t="s">
        <v>9452</v>
      </c>
      <c r="C3414" s="1" t="s">
        <v>9453</v>
      </c>
      <c r="D3414" s="1" t="s">
        <v>9454</v>
      </c>
      <c r="E3414" s="7">
        <v>11</v>
      </c>
    </row>
    <row r="3415" spans="1:5" x14ac:dyDescent="0.25">
      <c r="A3415" s="5" t="s">
        <v>6</v>
      </c>
      <c r="B3415" s="5" t="s">
        <v>9455</v>
      </c>
      <c r="C3415" s="1" t="s">
        <v>9456</v>
      </c>
      <c r="D3415" s="1" t="s">
        <v>9457</v>
      </c>
      <c r="E3415" s="7">
        <v>446</v>
      </c>
    </row>
    <row r="3416" spans="1:5" x14ac:dyDescent="0.25">
      <c r="A3416" s="5" t="s">
        <v>6</v>
      </c>
      <c r="B3416" s="5" t="s">
        <v>9458</v>
      </c>
      <c r="C3416" s="1" t="s">
        <v>9459</v>
      </c>
      <c r="D3416" s="1" t="s">
        <v>9460</v>
      </c>
      <c r="E3416" s="7">
        <v>221</v>
      </c>
    </row>
    <row r="3417" spans="1:5" x14ac:dyDescent="0.25">
      <c r="A3417" s="5" t="s">
        <v>6</v>
      </c>
      <c r="B3417" s="5" t="s">
        <v>9461</v>
      </c>
      <c r="C3417" s="1" t="s">
        <v>9462</v>
      </c>
      <c r="D3417" s="1" t="s">
        <v>9463</v>
      </c>
      <c r="E3417" s="7">
        <v>160</v>
      </c>
    </row>
    <row r="3418" spans="1:5" x14ac:dyDescent="0.25">
      <c r="A3418" s="5" t="s">
        <v>6</v>
      </c>
      <c r="B3418" s="5" t="s">
        <v>9464</v>
      </c>
      <c r="C3418" s="1" t="s">
        <v>9465</v>
      </c>
      <c r="D3418" s="1" t="s">
        <v>9466</v>
      </c>
      <c r="E3418" s="7">
        <v>204</v>
      </c>
    </row>
    <row r="3419" spans="1:5" x14ac:dyDescent="0.25">
      <c r="A3419" s="5" t="s">
        <v>6</v>
      </c>
      <c r="B3419" s="5" t="s">
        <v>9467</v>
      </c>
      <c r="C3419" s="1" t="s">
        <v>9468</v>
      </c>
      <c r="D3419" s="1" t="s">
        <v>9469</v>
      </c>
      <c r="E3419" s="7">
        <v>224</v>
      </c>
    </row>
    <row r="3420" spans="1:5" x14ac:dyDescent="0.25">
      <c r="A3420" s="5" t="s">
        <v>6</v>
      </c>
      <c r="B3420" s="5" t="s">
        <v>9470</v>
      </c>
      <c r="C3420" s="1" t="s">
        <v>9471</v>
      </c>
      <c r="D3420" s="1" t="s">
        <v>9472</v>
      </c>
      <c r="E3420" s="7">
        <v>18</v>
      </c>
    </row>
    <row r="3421" spans="1:5" x14ac:dyDescent="0.25">
      <c r="A3421" s="5" t="s">
        <v>6</v>
      </c>
      <c r="B3421" s="5" t="s">
        <v>9473</v>
      </c>
      <c r="C3421" s="1" t="s">
        <v>9474</v>
      </c>
      <c r="D3421" s="1" t="s">
        <v>9475</v>
      </c>
      <c r="E3421" s="7">
        <v>3777</v>
      </c>
    </row>
    <row r="3422" spans="1:5" x14ac:dyDescent="0.25">
      <c r="A3422" s="5" t="s">
        <v>6</v>
      </c>
      <c r="B3422" s="5" t="s">
        <v>9476</v>
      </c>
      <c r="C3422" s="1" t="s">
        <v>9477</v>
      </c>
      <c r="D3422" s="1" t="s">
        <v>9478</v>
      </c>
      <c r="E3422" s="7">
        <v>282</v>
      </c>
    </row>
    <row r="3423" spans="1:5" x14ac:dyDescent="0.25">
      <c r="A3423" s="5" t="s">
        <v>6</v>
      </c>
      <c r="B3423" s="5" t="s">
        <v>9479</v>
      </c>
      <c r="C3423" s="1" t="s">
        <v>9480</v>
      </c>
      <c r="D3423" s="1" t="s">
        <v>9481</v>
      </c>
      <c r="E3423" s="7">
        <v>46</v>
      </c>
    </row>
    <row r="3424" spans="1:5" x14ac:dyDescent="0.25">
      <c r="A3424" s="5" t="s">
        <v>6</v>
      </c>
      <c r="B3424" s="5" t="s">
        <v>9482</v>
      </c>
      <c r="C3424" s="1" t="s">
        <v>9483</v>
      </c>
      <c r="D3424" s="1" t="s">
        <v>9484</v>
      </c>
      <c r="E3424" s="7">
        <v>134</v>
      </c>
    </row>
    <row r="3425" spans="1:5" x14ac:dyDescent="0.25">
      <c r="A3425" s="5" t="s">
        <v>6</v>
      </c>
      <c r="B3425" s="5" t="s">
        <v>9485</v>
      </c>
      <c r="C3425" s="1" t="s">
        <v>9486</v>
      </c>
      <c r="D3425" s="1" t="s">
        <v>9487</v>
      </c>
      <c r="E3425" s="7">
        <v>446</v>
      </c>
    </row>
    <row r="3426" spans="1:5" x14ac:dyDescent="0.25">
      <c r="A3426" s="5" t="s">
        <v>6</v>
      </c>
      <c r="B3426" s="5" t="s">
        <v>9488</v>
      </c>
      <c r="C3426" s="1" t="s">
        <v>9489</v>
      </c>
      <c r="D3426" s="1" t="s">
        <v>9490</v>
      </c>
      <c r="E3426" s="7">
        <v>5</v>
      </c>
    </row>
    <row r="3427" spans="1:5" x14ac:dyDescent="0.25">
      <c r="A3427" s="5" t="s">
        <v>6</v>
      </c>
      <c r="B3427" s="5" t="s">
        <v>9491</v>
      </c>
      <c r="C3427" s="1" t="s">
        <v>9492</v>
      </c>
      <c r="D3427" s="1" t="s">
        <v>9493</v>
      </c>
      <c r="E3427" s="7">
        <v>287</v>
      </c>
    </row>
    <row r="3428" spans="1:5" x14ac:dyDescent="0.25">
      <c r="A3428" s="5" t="s">
        <v>6</v>
      </c>
      <c r="B3428" s="5" t="s">
        <v>9494</v>
      </c>
      <c r="C3428" s="1" t="s">
        <v>9495</v>
      </c>
      <c r="D3428" s="1" t="s">
        <v>9496</v>
      </c>
      <c r="E3428" s="7">
        <v>0.49</v>
      </c>
    </row>
    <row r="3429" spans="1:5" x14ac:dyDescent="0.25">
      <c r="A3429" s="5" t="s">
        <v>6</v>
      </c>
      <c r="B3429" s="5" t="s">
        <v>9497</v>
      </c>
      <c r="C3429" s="1" t="s">
        <v>9498</v>
      </c>
      <c r="D3429" s="1" t="s">
        <v>9499</v>
      </c>
      <c r="E3429" s="7">
        <v>0.45</v>
      </c>
    </row>
    <row r="3430" spans="1:5" x14ac:dyDescent="0.25">
      <c r="A3430" s="5" t="s">
        <v>6</v>
      </c>
      <c r="B3430" s="5" t="s">
        <v>9500</v>
      </c>
      <c r="C3430" s="1" t="s">
        <v>9501</v>
      </c>
      <c r="D3430" s="1" t="s">
        <v>9502</v>
      </c>
      <c r="E3430" s="7">
        <v>9423</v>
      </c>
    </row>
    <row r="3431" spans="1:5" x14ac:dyDescent="0.25">
      <c r="A3431" s="5" t="s">
        <v>6</v>
      </c>
      <c r="B3431" s="5" t="s">
        <v>9503</v>
      </c>
      <c r="C3431" s="1" t="s">
        <v>9504</v>
      </c>
      <c r="D3431" s="1" t="s">
        <v>9505</v>
      </c>
      <c r="E3431" s="7">
        <v>53</v>
      </c>
    </row>
    <row r="3432" spans="1:5" x14ac:dyDescent="0.25">
      <c r="A3432" s="5" t="s">
        <v>6</v>
      </c>
      <c r="B3432" s="5" t="s">
        <v>9506</v>
      </c>
      <c r="C3432" s="1" t="s">
        <v>9507</v>
      </c>
      <c r="D3432" s="1" t="s">
        <v>9508</v>
      </c>
      <c r="E3432" s="7">
        <v>537</v>
      </c>
    </row>
    <row r="3433" spans="1:5" x14ac:dyDescent="0.25">
      <c r="A3433" s="5" t="s">
        <v>6</v>
      </c>
      <c r="B3433" s="5" t="s">
        <v>9509</v>
      </c>
      <c r="C3433" s="1" t="s">
        <v>9510</v>
      </c>
      <c r="D3433" s="1" t="s">
        <v>9511</v>
      </c>
      <c r="E3433" s="7">
        <v>434</v>
      </c>
    </row>
    <row r="3434" spans="1:5" x14ac:dyDescent="0.25">
      <c r="A3434" s="5" t="s">
        <v>6</v>
      </c>
      <c r="B3434" s="5" t="s">
        <v>9512</v>
      </c>
      <c r="C3434" s="1" t="s">
        <v>9513</v>
      </c>
      <c r="D3434" s="1" t="s">
        <v>9514</v>
      </c>
      <c r="E3434" s="7">
        <v>0.91</v>
      </c>
    </row>
    <row r="3435" spans="1:5" x14ac:dyDescent="0.25">
      <c r="A3435" s="5" t="s">
        <v>6</v>
      </c>
      <c r="B3435" s="5" t="s">
        <v>9515</v>
      </c>
      <c r="C3435" s="1" t="s">
        <v>9516</v>
      </c>
      <c r="D3435" s="1" t="s">
        <v>9517</v>
      </c>
      <c r="E3435" s="7">
        <v>90</v>
      </c>
    </row>
    <row r="3436" spans="1:5" x14ac:dyDescent="0.25">
      <c r="A3436" s="5" t="s">
        <v>6</v>
      </c>
      <c r="B3436" s="5" t="s">
        <v>9518</v>
      </c>
      <c r="C3436" s="1" t="s">
        <v>9519</v>
      </c>
      <c r="D3436" s="1" t="s">
        <v>9520</v>
      </c>
      <c r="E3436" s="7">
        <v>197</v>
      </c>
    </row>
    <row r="3437" spans="1:5" x14ac:dyDescent="0.25">
      <c r="A3437" s="5" t="s">
        <v>6</v>
      </c>
      <c r="B3437" s="5" t="s">
        <v>9521</v>
      </c>
      <c r="C3437" s="1" t="s">
        <v>9522</v>
      </c>
      <c r="D3437" s="1" t="s">
        <v>9523</v>
      </c>
      <c r="E3437" s="7">
        <v>54</v>
      </c>
    </row>
    <row r="3438" spans="1:5" x14ac:dyDescent="0.25">
      <c r="A3438" s="5" t="s">
        <v>6</v>
      </c>
      <c r="B3438" s="5" t="s">
        <v>9524</v>
      </c>
      <c r="C3438" s="1" t="s">
        <v>9525</v>
      </c>
      <c r="D3438" s="1" t="s">
        <v>9526</v>
      </c>
      <c r="E3438" s="7">
        <v>544</v>
      </c>
    </row>
    <row r="3439" spans="1:5" x14ac:dyDescent="0.25">
      <c r="A3439" s="5" t="s">
        <v>6</v>
      </c>
      <c r="B3439" s="5" t="s">
        <v>9527</v>
      </c>
      <c r="C3439" s="1" t="s">
        <v>9528</v>
      </c>
      <c r="D3439" s="1" t="s">
        <v>9529</v>
      </c>
      <c r="E3439" s="7">
        <v>1159</v>
      </c>
    </row>
    <row r="3440" spans="1:5" x14ac:dyDescent="0.25">
      <c r="A3440" s="5" t="s">
        <v>6</v>
      </c>
      <c r="B3440" s="5" t="s">
        <v>9530</v>
      </c>
      <c r="C3440" s="1" t="s">
        <v>9531</v>
      </c>
      <c r="D3440" s="1" t="s">
        <v>9532</v>
      </c>
      <c r="E3440" s="7">
        <v>1539</v>
      </c>
    </row>
    <row r="3441" spans="1:5" x14ac:dyDescent="0.25">
      <c r="A3441" s="5" t="s">
        <v>6</v>
      </c>
      <c r="B3441" s="5" t="s">
        <v>9533</v>
      </c>
      <c r="C3441" s="1" t="s">
        <v>9534</v>
      </c>
      <c r="D3441" s="1" t="s">
        <v>9535</v>
      </c>
      <c r="E3441" s="7">
        <v>640</v>
      </c>
    </row>
    <row r="3442" spans="1:5" x14ac:dyDescent="0.25">
      <c r="A3442" s="5" t="s">
        <v>6</v>
      </c>
      <c r="B3442" s="5" t="s">
        <v>9536</v>
      </c>
      <c r="C3442" s="1" t="s">
        <v>9537</v>
      </c>
      <c r="D3442" s="1" t="s">
        <v>9538</v>
      </c>
      <c r="E3442" s="7">
        <v>283</v>
      </c>
    </row>
    <row r="3443" spans="1:5" x14ac:dyDescent="0.25">
      <c r="A3443" s="5" t="s">
        <v>6</v>
      </c>
      <c r="B3443" s="5" t="s">
        <v>9539</v>
      </c>
      <c r="C3443" s="1" t="s">
        <v>9540</v>
      </c>
      <c r="D3443" s="1" t="s">
        <v>9541</v>
      </c>
      <c r="E3443" s="7">
        <v>406</v>
      </c>
    </row>
    <row r="3444" spans="1:5" x14ac:dyDescent="0.25">
      <c r="A3444" s="5" t="s">
        <v>6</v>
      </c>
      <c r="B3444" s="5" t="s">
        <v>9542</v>
      </c>
      <c r="C3444" s="1" t="s">
        <v>9543</v>
      </c>
      <c r="D3444" s="1" t="s">
        <v>9544</v>
      </c>
      <c r="E3444" s="7">
        <v>555</v>
      </c>
    </row>
    <row r="3445" spans="1:5" x14ac:dyDescent="0.25">
      <c r="A3445" s="5" t="s">
        <v>6</v>
      </c>
      <c r="B3445" s="5" t="s">
        <v>9545</v>
      </c>
      <c r="C3445" s="1" t="s">
        <v>9546</v>
      </c>
      <c r="D3445" s="1" t="s">
        <v>9547</v>
      </c>
      <c r="E3445" s="7">
        <v>364</v>
      </c>
    </row>
    <row r="3446" spans="1:5" x14ac:dyDescent="0.25">
      <c r="A3446" s="5" t="s">
        <v>6</v>
      </c>
      <c r="B3446" s="5" t="s">
        <v>9548</v>
      </c>
      <c r="C3446" s="1" t="s">
        <v>9549</v>
      </c>
      <c r="D3446" s="1" t="s">
        <v>9550</v>
      </c>
      <c r="E3446" s="7">
        <v>724</v>
      </c>
    </row>
    <row r="3447" spans="1:5" x14ac:dyDescent="0.25">
      <c r="A3447" s="5" t="s">
        <v>6</v>
      </c>
      <c r="B3447" s="5" t="s">
        <v>9551</v>
      </c>
      <c r="C3447" s="1" t="s">
        <v>9552</v>
      </c>
      <c r="D3447" s="1" t="s">
        <v>9553</v>
      </c>
      <c r="E3447" s="7">
        <v>143</v>
      </c>
    </row>
    <row r="3448" spans="1:5" x14ac:dyDescent="0.25">
      <c r="A3448" s="5" t="s">
        <v>6</v>
      </c>
      <c r="B3448" s="5" t="s">
        <v>9554</v>
      </c>
      <c r="C3448" s="1" t="s">
        <v>9555</v>
      </c>
      <c r="D3448" s="1" t="s">
        <v>9556</v>
      </c>
      <c r="E3448" s="7">
        <v>82</v>
      </c>
    </row>
    <row r="3449" spans="1:5" x14ac:dyDescent="0.25">
      <c r="A3449" s="5" t="s">
        <v>6</v>
      </c>
      <c r="B3449" s="5" t="s">
        <v>9557</v>
      </c>
      <c r="C3449" s="1" t="s">
        <v>9558</v>
      </c>
      <c r="D3449" s="1" t="s">
        <v>9559</v>
      </c>
      <c r="E3449" s="7">
        <v>148</v>
      </c>
    </row>
    <row r="3450" spans="1:5" x14ac:dyDescent="0.25">
      <c r="A3450" s="5" t="s">
        <v>6</v>
      </c>
      <c r="B3450" s="5" t="s">
        <v>9560</v>
      </c>
      <c r="C3450" s="1" t="s">
        <v>9561</v>
      </c>
      <c r="D3450" s="1" t="s">
        <v>9562</v>
      </c>
      <c r="E3450" s="7">
        <v>850</v>
      </c>
    </row>
    <row r="3451" spans="1:5" x14ac:dyDescent="0.25">
      <c r="A3451" s="5" t="s">
        <v>6</v>
      </c>
      <c r="B3451" s="5" t="s">
        <v>9563</v>
      </c>
      <c r="C3451" s="1" t="s">
        <v>9564</v>
      </c>
      <c r="D3451" s="1" t="s">
        <v>9565</v>
      </c>
      <c r="E3451" s="7">
        <v>438</v>
      </c>
    </row>
    <row r="3452" spans="1:5" x14ac:dyDescent="0.25">
      <c r="A3452" s="5" t="s">
        <v>6</v>
      </c>
      <c r="B3452" s="5" t="s">
        <v>9566</v>
      </c>
      <c r="C3452" s="1" t="s">
        <v>9567</v>
      </c>
      <c r="D3452" s="1" t="s">
        <v>9568</v>
      </c>
      <c r="E3452" s="7">
        <v>706</v>
      </c>
    </row>
    <row r="3453" spans="1:5" x14ac:dyDescent="0.25">
      <c r="A3453" s="5" t="s">
        <v>6</v>
      </c>
      <c r="B3453" s="5" t="s">
        <v>9569</v>
      </c>
      <c r="C3453" s="1" t="s">
        <v>9570</v>
      </c>
      <c r="D3453" s="1" t="s">
        <v>9571</v>
      </c>
      <c r="E3453" s="7">
        <v>939</v>
      </c>
    </row>
    <row r="3454" spans="1:5" x14ac:dyDescent="0.25">
      <c r="A3454" s="5" t="s">
        <v>6</v>
      </c>
      <c r="B3454" s="5" t="s">
        <v>9572</v>
      </c>
      <c r="C3454" s="1" t="s">
        <v>9573</v>
      </c>
      <c r="D3454" s="1" t="s">
        <v>9574</v>
      </c>
      <c r="E3454" s="7">
        <v>1334</v>
      </c>
    </row>
    <row r="3455" spans="1:5" x14ac:dyDescent="0.25">
      <c r="A3455" s="5" t="s">
        <v>6</v>
      </c>
      <c r="B3455" s="5" t="s">
        <v>9575</v>
      </c>
      <c r="C3455" s="1" t="s">
        <v>9576</v>
      </c>
      <c r="D3455" s="1" t="s">
        <v>9577</v>
      </c>
      <c r="E3455" s="7">
        <v>616</v>
      </c>
    </row>
    <row r="3456" spans="1:5" x14ac:dyDescent="0.25">
      <c r="A3456" s="5" t="s">
        <v>6</v>
      </c>
      <c r="B3456" s="5" t="s">
        <v>9578</v>
      </c>
      <c r="C3456" s="1" t="s">
        <v>9579</v>
      </c>
      <c r="D3456" s="1" t="s">
        <v>9580</v>
      </c>
      <c r="E3456" s="7">
        <v>254</v>
      </c>
    </row>
    <row r="3457" spans="1:5" x14ac:dyDescent="0.25">
      <c r="A3457" s="5" t="s">
        <v>6</v>
      </c>
      <c r="B3457" s="5" t="s">
        <v>9581</v>
      </c>
      <c r="C3457" s="1" t="s">
        <v>9582</v>
      </c>
      <c r="D3457" s="1" t="s">
        <v>9583</v>
      </c>
      <c r="E3457" s="7">
        <v>5</v>
      </c>
    </row>
    <row r="3458" spans="1:5" x14ac:dyDescent="0.25">
      <c r="A3458" s="5" t="s">
        <v>6</v>
      </c>
      <c r="B3458" s="5" t="s">
        <v>9584</v>
      </c>
      <c r="C3458" s="1" t="s">
        <v>9585</v>
      </c>
      <c r="D3458" s="1" t="s">
        <v>9586</v>
      </c>
      <c r="E3458" s="7">
        <v>396</v>
      </c>
    </row>
    <row r="3459" spans="1:5" x14ac:dyDescent="0.25">
      <c r="A3459" s="5" t="s">
        <v>6</v>
      </c>
      <c r="B3459" s="5" t="s">
        <v>9587</v>
      </c>
      <c r="C3459" s="1" t="s">
        <v>9588</v>
      </c>
      <c r="D3459" s="1" t="s">
        <v>9589</v>
      </c>
      <c r="E3459" s="7">
        <v>394</v>
      </c>
    </row>
    <row r="3460" spans="1:5" x14ac:dyDescent="0.25">
      <c r="A3460" s="5" t="s">
        <v>6</v>
      </c>
      <c r="B3460" s="5" t="s">
        <v>9590</v>
      </c>
      <c r="C3460" s="1" t="s">
        <v>9591</v>
      </c>
      <c r="D3460" s="1" t="s">
        <v>9592</v>
      </c>
      <c r="E3460" s="7">
        <v>27</v>
      </c>
    </row>
    <row r="3461" spans="1:5" x14ac:dyDescent="0.25">
      <c r="A3461" s="5" t="s">
        <v>6</v>
      </c>
      <c r="B3461" s="5" t="s">
        <v>9593</v>
      </c>
      <c r="C3461" s="1" t="s">
        <v>9594</v>
      </c>
      <c r="D3461" s="1" t="s">
        <v>9595</v>
      </c>
      <c r="E3461" s="7">
        <v>37</v>
      </c>
    </row>
    <row r="3462" spans="1:5" x14ac:dyDescent="0.25">
      <c r="A3462" s="5" t="s">
        <v>6</v>
      </c>
      <c r="B3462" s="5" t="s">
        <v>9596</v>
      </c>
      <c r="C3462" s="1" t="s">
        <v>9597</v>
      </c>
      <c r="D3462" s="1" t="s">
        <v>9598</v>
      </c>
      <c r="E3462" s="7">
        <v>23</v>
      </c>
    </row>
    <row r="3463" spans="1:5" x14ac:dyDescent="0.25">
      <c r="A3463" s="5" t="s">
        <v>6</v>
      </c>
      <c r="B3463" s="5" t="s">
        <v>9599</v>
      </c>
      <c r="C3463" s="1" t="s">
        <v>9600</v>
      </c>
      <c r="D3463" s="1" t="s">
        <v>9601</v>
      </c>
      <c r="E3463" s="7">
        <v>45</v>
      </c>
    </row>
    <row r="3464" spans="1:5" x14ac:dyDescent="0.25">
      <c r="A3464" s="5" t="s">
        <v>6</v>
      </c>
      <c r="B3464" s="5" t="s">
        <v>9602</v>
      </c>
      <c r="C3464" s="1" t="s">
        <v>9603</v>
      </c>
      <c r="D3464" s="1" t="s">
        <v>9604</v>
      </c>
      <c r="E3464" s="7">
        <v>693</v>
      </c>
    </row>
    <row r="3465" spans="1:5" x14ac:dyDescent="0.25">
      <c r="A3465" s="5" t="s">
        <v>6</v>
      </c>
      <c r="B3465" s="5" t="s">
        <v>9605</v>
      </c>
      <c r="C3465" s="1" t="s">
        <v>9606</v>
      </c>
      <c r="D3465" s="1" t="s">
        <v>9607</v>
      </c>
      <c r="E3465" s="7">
        <v>473</v>
      </c>
    </row>
    <row r="3466" spans="1:5" x14ac:dyDescent="0.25">
      <c r="A3466" s="5" t="s">
        <v>6</v>
      </c>
      <c r="B3466" s="5" t="s">
        <v>9608</v>
      </c>
      <c r="C3466" s="1" t="s">
        <v>9609</v>
      </c>
      <c r="D3466" s="1" t="s">
        <v>9610</v>
      </c>
      <c r="E3466" s="7">
        <v>347</v>
      </c>
    </row>
    <row r="3467" spans="1:5" x14ac:dyDescent="0.25">
      <c r="A3467" s="5" t="s">
        <v>6</v>
      </c>
      <c r="B3467" s="5" t="s">
        <v>9611</v>
      </c>
      <c r="C3467" s="1" t="s">
        <v>9612</v>
      </c>
      <c r="D3467" s="1" t="s">
        <v>9613</v>
      </c>
      <c r="E3467" s="7">
        <v>404</v>
      </c>
    </row>
    <row r="3468" spans="1:5" x14ac:dyDescent="0.25">
      <c r="A3468" s="5" t="s">
        <v>6</v>
      </c>
      <c r="B3468" s="5" t="s">
        <v>9614</v>
      </c>
      <c r="C3468" s="1" t="s">
        <v>9615</v>
      </c>
      <c r="D3468" s="1" t="s">
        <v>9616</v>
      </c>
      <c r="E3468" s="7">
        <v>342</v>
      </c>
    </row>
    <row r="3469" spans="1:5" x14ac:dyDescent="0.25">
      <c r="A3469" s="5" t="s">
        <v>6</v>
      </c>
      <c r="B3469" s="5" t="s">
        <v>9617</v>
      </c>
      <c r="C3469" s="1" t="s">
        <v>9618</v>
      </c>
      <c r="D3469" s="1" t="s">
        <v>9619</v>
      </c>
      <c r="E3469" s="7">
        <v>347</v>
      </c>
    </row>
    <row r="3470" spans="1:5" x14ac:dyDescent="0.25">
      <c r="A3470" s="5" t="s">
        <v>6</v>
      </c>
      <c r="B3470" s="5" t="s">
        <v>9620</v>
      </c>
      <c r="C3470" s="1" t="s">
        <v>9621</v>
      </c>
      <c r="D3470" s="1" t="s">
        <v>9622</v>
      </c>
      <c r="E3470" s="7">
        <v>1156</v>
      </c>
    </row>
    <row r="3471" spans="1:5" x14ac:dyDescent="0.25">
      <c r="A3471" s="5" t="s">
        <v>6</v>
      </c>
      <c r="B3471" s="5" t="s">
        <v>9623</v>
      </c>
      <c r="C3471" s="1" t="s">
        <v>9624</v>
      </c>
      <c r="D3471" s="1" t="s">
        <v>9625</v>
      </c>
      <c r="E3471" s="7">
        <v>287</v>
      </c>
    </row>
    <row r="3472" spans="1:5" x14ac:dyDescent="0.25">
      <c r="A3472" s="5" t="s">
        <v>6</v>
      </c>
      <c r="B3472" s="5" t="s">
        <v>9626</v>
      </c>
      <c r="C3472" s="1" t="s">
        <v>9627</v>
      </c>
      <c r="D3472" s="1" t="s">
        <v>9628</v>
      </c>
      <c r="E3472" s="7">
        <v>516</v>
      </c>
    </row>
    <row r="3473" spans="1:5" x14ac:dyDescent="0.25">
      <c r="A3473" s="5" t="s">
        <v>6</v>
      </c>
      <c r="B3473" s="5" t="s">
        <v>9629</v>
      </c>
      <c r="C3473" s="1" t="s">
        <v>9630</v>
      </c>
      <c r="D3473" s="1" t="s">
        <v>9631</v>
      </c>
      <c r="E3473" s="7">
        <v>505</v>
      </c>
    </row>
    <row r="3474" spans="1:5" x14ac:dyDescent="0.25">
      <c r="A3474" s="5" t="s">
        <v>6</v>
      </c>
      <c r="B3474" s="5" t="s">
        <v>9632</v>
      </c>
      <c r="C3474" s="1" t="s">
        <v>9633</v>
      </c>
      <c r="D3474" s="1" t="s">
        <v>9634</v>
      </c>
      <c r="E3474" s="7">
        <v>1040</v>
      </c>
    </row>
    <row r="3475" spans="1:5" x14ac:dyDescent="0.25">
      <c r="A3475" s="5" t="s">
        <v>6</v>
      </c>
      <c r="B3475" s="5" t="s">
        <v>9635</v>
      </c>
      <c r="C3475" s="1" t="s">
        <v>9636</v>
      </c>
      <c r="D3475" s="1" t="s">
        <v>9637</v>
      </c>
      <c r="E3475" s="7">
        <v>28</v>
      </c>
    </row>
    <row r="3476" spans="1:5" x14ac:dyDescent="0.25">
      <c r="A3476" s="5" t="s">
        <v>6</v>
      </c>
      <c r="B3476" s="5" t="s">
        <v>9638</v>
      </c>
      <c r="C3476" s="1" t="s">
        <v>9639</v>
      </c>
      <c r="D3476" s="1" t="s">
        <v>9640</v>
      </c>
      <c r="E3476" s="7">
        <v>467</v>
      </c>
    </row>
    <row r="3477" spans="1:5" x14ac:dyDescent="0.25">
      <c r="A3477" s="5" t="s">
        <v>6</v>
      </c>
      <c r="B3477" s="5" t="s">
        <v>9641</v>
      </c>
      <c r="C3477" s="1" t="s">
        <v>9642</v>
      </c>
      <c r="D3477" s="1" t="s">
        <v>9643</v>
      </c>
      <c r="E3477" s="7">
        <v>649</v>
      </c>
    </row>
    <row r="3478" spans="1:5" x14ac:dyDescent="0.25">
      <c r="A3478" s="5" t="s">
        <v>6</v>
      </c>
      <c r="B3478" s="5" t="s">
        <v>9644</v>
      </c>
      <c r="C3478" s="1" t="s">
        <v>9645</v>
      </c>
      <c r="D3478" s="1" t="s">
        <v>9646</v>
      </c>
      <c r="E3478" s="7">
        <v>527</v>
      </c>
    </row>
    <row r="3479" spans="1:5" x14ac:dyDescent="0.25">
      <c r="A3479" s="5" t="s">
        <v>6</v>
      </c>
      <c r="B3479" s="5" t="s">
        <v>9647</v>
      </c>
      <c r="C3479" s="1" t="s">
        <v>9648</v>
      </c>
      <c r="D3479" s="1" t="s">
        <v>9649</v>
      </c>
      <c r="E3479" s="7">
        <v>207</v>
      </c>
    </row>
    <row r="3480" spans="1:5" x14ac:dyDescent="0.25">
      <c r="A3480" s="5" t="s">
        <v>6</v>
      </c>
      <c r="B3480" s="5" t="s">
        <v>9650</v>
      </c>
      <c r="C3480" s="1" t="s">
        <v>9651</v>
      </c>
      <c r="D3480" s="1" t="s">
        <v>9652</v>
      </c>
      <c r="E3480" s="7">
        <v>192</v>
      </c>
    </row>
    <row r="3481" spans="1:5" x14ac:dyDescent="0.25">
      <c r="A3481" s="5" t="s">
        <v>6</v>
      </c>
      <c r="B3481" s="5" t="s">
        <v>9653</v>
      </c>
      <c r="C3481" s="1" t="s">
        <v>9654</v>
      </c>
      <c r="D3481" s="1" t="s">
        <v>9655</v>
      </c>
      <c r="E3481" s="7">
        <v>439</v>
      </c>
    </row>
    <row r="3482" spans="1:5" x14ac:dyDescent="0.25">
      <c r="A3482" s="5" t="s">
        <v>6</v>
      </c>
      <c r="B3482" s="5" t="s">
        <v>9656</v>
      </c>
      <c r="C3482" s="1" t="s">
        <v>9657</v>
      </c>
      <c r="D3482" s="1" t="s">
        <v>9658</v>
      </c>
      <c r="E3482" s="7">
        <v>352</v>
      </c>
    </row>
    <row r="3483" spans="1:5" x14ac:dyDescent="0.25">
      <c r="A3483" s="5" t="s">
        <v>6</v>
      </c>
      <c r="B3483" s="5" t="s">
        <v>9659</v>
      </c>
      <c r="C3483" s="1" t="s">
        <v>9660</v>
      </c>
      <c r="D3483" s="1" t="s">
        <v>9661</v>
      </c>
      <c r="E3483" s="7">
        <v>750</v>
      </c>
    </row>
    <row r="3484" spans="1:5" x14ac:dyDescent="0.25">
      <c r="A3484" s="5" t="s">
        <v>6</v>
      </c>
      <c r="B3484" s="5" t="s">
        <v>9662</v>
      </c>
      <c r="C3484" s="1" t="s">
        <v>9663</v>
      </c>
      <c r="D3484" s="1" t="s">
        <v>9664</v>
      </c>
      <c r="E3484" s="7">
        <v>717</v>
      </c>
    </row>
    <row r="3485" spans="1:5" x14ac:dyDescent="0.25">
      <c r="A3485" s="5" t="s">
        <v>6</v>
      </c>
      <c r="B3485" s="5" t="s">
        <v>9665</v>
      </c>
      <c r="C3485" s="1" t="s">
        <v>9666</v>
      </c>
      <c r="D3485" s="1" t="s">
        <v>9667</v>
      </c>
      <c r="E3485" s="7">
        <v>315</v>
      </c>
    </row>
    <row r="3486" spans="1:5" x14ac:dyDescent="0.25">
      <c r="A3486" s="5" t="s">
        <v>6</v>
      </c>
      <c r="B3486" s="5" t="s">
        <v>9668</v>
      </c>
      <c r="C3486" s="1" t="s">
        <v>9669</v>
      </c>
      <c r="D3486" s="1" t="s">
        <v>9670</v>
      </c>
      <c r="E3486" s="7">
        <v>111</v>
      </c>
    </row>
    <row r="3487" spans="1:5" x14ac:dyDescent="0.25">
      <c r="A3487" s="5" t="s">
        <v>6</v>
      </c>
      <c r="B3487" s="5" t="s">
        <v>9671</v>
      </c>
      <c r="C3487" s="1" t="s">
        <v>9672</v>
      </c>
      <c r="D3487" s="1" t="s">
        <v>9673</v>
      </c>
      <c r="E3487" s="7">
        <v>258</v>
      </c>
    </row>
    <row r="3488" spans="1:5" x14ac:dyDescent="0.25">
      <c r="A3488" s="5" t="s">
        <v>6</v>
      </c>
      <c r="B3488" s="5" t="s">
        <v>9674</v>
      </c>
      <c r="C3488" s="1" t="s">
        <v>9675</v>
      </c>
      <c r="D3488" s="1" t="s">
        <v>9676</v>
      </c>
      <c r="E3488" s="7">
        <v>11</v>
      </c>
    </row>
    <row r="3489" spans="1:5" x14ac:dyDescent="0.25">
      <c r="A3489" s="5" t="s">
        <v>6</v>
      </c>
      <c r="B3489" s="5" t="s">
        <v>9677</v>
      </c>
      <c r="C3489" s="1" t="s">
        <v>9678</v>
      </c>
      <c r="D3489" s="1" t="s">
        <v>9679</v>
      </c>
      <c r="E3489" s="7">
        <v>434</v>
      </c>
    </row>
    <row r="3490" spans="1:5" x14ac:dyDescent="0.25">
      <c r="A3490" s="5" t="s">
        <v>6</v>
      </c>
      <c r="B3490" s="5" t="s">
        <v>9680</v>
      </c>
      <c r="C3490" s="1" t="s">
        <v>9681</v>
      </c>
      <c r="D3490" s="1" t="s">
        <v>9682</v>
      </c>
      <c r="E3490" s="7">
        <v>3772</v>
      </c>
    </row>
    <row r="3491" spans="1:5" x14ac:dyDescent="0.25">
      <c r="A3491" s="5" t="s">
        <v>6</v>
      </c>
      <c r="B3491" s="5" t="s">
        <v>9683</v>
      </c>
      <c r="C3491" s="1" t="s">
        <v>9684</v>
      </c>
      <c r="D3491" s="1" t="s">
        <v>9685</v>
      </c>
      <c r="E3491" s="7">
        <v>216</v>
      </c>
    </row>
    <row r="3492" spans="1:5" x14ac:dyDescent="0.25">
      <c r="A3492" s="5" t="s">
        <v>6</v>
      </c>
      <c r="B3492" s="5" t="s">
        <v>9686</v>
      </c>
      <c r="C3492" s="1" t="s">
        <v>9687</v>
      </c>
      <c r="D3492" s="1" t="s">
        <v>9688</v>
      </c>
      <c r="E3492" s="7">
        <v>5464</v>
      </c>
    </row>
    <row r="3493" spans="1:5" x14ac:dyDescent="0.25">
      <c r="A3493" s="5" t="s">
        <v>6</v>
      </c>
      <c r="B3493" s="5" t="s">
        <v>9689</v>
      </c>
      <c r="C3493" s="1" t="s">
        <v>9690</v>
      </c>
      <c r="D3493" s="1" t="s">
        <v>9691</v>
      </c>
      <c r="E3493" s="7">
        <v>4156</v>
      </c>
    </row>
    <row r="3494" spans="1:5" x14ac:dyDescent="0.25">
      <c r="A3494" s="5" t="s">
        <v>6</v>
      </c>
      <c r="B3494" s="5" t="s">
        <v>9692</v>
      </c>
      <c r="C3494" s="1" t="s">
        <v>9693</v>
      </c>
      <c r="D3494" s="1" t="s">
        <v>9694</v>
      </c>
      <c r="E3494" s="7">
        <v>481</v>
      </c>
    </row>
    <row r="3495" spans="1:5" x14ac:dyDescent="0.25">
      <c r="A3495" s="5" t="s">
        <v>6</v>
      </c>
      <c r="B3495" s="5" t="s">
        <v>9695</v>
      </c>
      <c r="C3495" s="1" t="s">
        <v>9696</v>
      </c>
      <c r="D3495" s="1" t="s">
        <v>9697</v>
      </c>
      <c r="E3495" s="7">
        <v>814</v>
      </c>
    </row>
    <row r="3496" spans="1:5" x14ac:dyDescent="0.25">
      <c r="A3496" s="5" t="s">
        <v>6</v>
      </c>
      <c r="B3496" s="5" t="s">
        <v>9698</v>
      </c>
      <c r="C3496" s="1" t="s">
        <v>9699</v>
      </c>
      <c r="D3496" s="1" t="s">
        <v>9700</v>
      </c>
      <c r="E3496" s="7">
        <v>2</v>
      </c>
    </row>
    <row r="3497" spans="1:5" x14ac:dyDescent="0.25">
      <c r="A3497" s="5" t="s">
        <v>6</v>
      </c>
      <c r="B3497" s="5" t="s">
        <v>9701</v>
      </c>
      <c r="C3497" s="1" t="s">
        <v>9702</v>
      </c>
      <c r="D3497" s="1" t="s">
        <v>9703</v>
      </c>
      <c r="E3497" s="7">
        <v>82</v>
      </c>
    </row>
    <row r="3498" spans="1:5" x14ac:dyDescent="0.25">
      <c r="A3498" s="5" t="s">
        <v>6</v>
      </c>
      <c r="B3498" s="5" t="s">
        <v>9704</v>
      </c>
      <c r="C3498" s="1" t="s">
        <v>9705</v>
      </c>
      <c r="D3498" s="1" t="s">
        <v>9703</v>
      </c>
      <c r="E3498" s="7">
        <v>94</v>
      </c>
    </row>
    <row r="3499" spans="1:5" x14ac:dyDescent="0.25">
      <c r="A3499" s="5" t="s">
        <v>6</v>
      </c>
      <c r="B3499" s="5" t="s">
        <v>9706</v>
      </c>
      <c r="C3499" s="1" t="s">
        <v>9707</v>
      </c>
      <c r="D3499" s="1" t="s">
        <v>9708</v>
      </c>
      <c r="E3499" s="7">
        <v>1093</v>
      </c>
    </row>
    <row r="3500" spans="1:5" x14ac:dyDescent="0.25">
      <c r="A3500" s="5" t="s">
        <v>6</v>
      </c>
      <c r="B3500" s="5" t="s">
        <v>9709</v>
      </c>
      <c r="C3500" s="1" t="s">
        <v>9710</v>
      </c>
      <c r="D3500" s="1" t="s">
        <v>9711</v>
      </c>
      <c r="E3500" s="7">
        <v>309</v>
      </c>
    </row>
    <row r="3501" spans="1:5" x14ac:dyDescent="0.25">
      <c r="A3501" s="5" t="s">
        <v>6</v>
      </c>
      <c r="B3501" s="5" t="s">
        <v>9712</v>
      </c>
      <c r="C3501" s="1" t="s">
        <v>9713</v>
      </c>
      <c r="D3501" s="1" t="s">
        <v>9714</v>
      </c>
      <c r="E3501" s="7">
        <v>438</v>
      </c>
    </row>
    <row r="3502" spans="1:5" x14ac:dyDescent="0.25">
      <c r="A3502" s="5" t="s">
        <v>6</v>
      </c>
      <c r="B3502" s="5" t="s">
        <v>9715</v>
      </c>
      <c r="C3502" s="1" t="s">
        <v>9716</v>
      </c>
      <c r="D3502" s="1" t="s">
        <v>9717</v>
      </c>
      <c r="E3502" s="7">
        <v>45</v>
      </c>
    </row>
    <row r="3503" spans="1:5" x14ac:dyDescent="0.25">
      <c r="A3503" s="5" t="s">
        <v>6</v>
      </c>
      <c r="B3503" s="5" t="s">
        <v>9718</v>
      </c>
      <c r="C3503" s="1" t="s">
        <v>9719</v>
      </c>
      <c r="D3503" s="1" t="s">
        <v>9720</v>
      </c>
      <c r="E3503" s="7">
        <v>10</v>
      </c>
    </row>
    <row r="3504" spans="1:5" x14ac:dyDescent="0.25">
      <c r="A3504" s="5" t="s">
        <v>6</v>
      </c>
      <c r="B3504" s="5" t="s">
        <v>9721</v>
      </c>
      <c r="C3504" s="1" t="s">
        <v>9722</v>
      </c>
      <c r="D3504" s="1" t="s">
        <v>9723</v>
      </c>
      <c r="E3504" s="7">
        <v>418</v>
      </c>
    </row>
    <row r="3505" spans="1:5" x14ac:dyDescent="0.25">
      <c r="A3505" s="5" t="s">
        <v>6</v>
      </c>
      <c r="B3505" s="5" t="s">
        <v>9724</v>
      </c>
      <c r="C3505" s="1" t="s">
        <v>9725</v>
      </c>
      <c r="D3505" s="1" t="s">
        <v>9726</v>
      </c>
      <c r="E3505" s="7">
        <v>485</v>
      </c>
    </row>
    <row r="3506" spans="1:5" x14ac:dyDescent="0.25">
      <c r="A3506" s="5" t="s">
        <v>6</v>
      </c>
      <c r="B3506" s="5" t="s">
        <v>9727</v>
      </c>
      <c r="C3506" s="1" t="s">
        <v>9728</v>
      </c>
      <c r="D3506" s="1" t="s">
        <v>9729</v>
      </c>
      <c r="E3506" s="7">
        <v>569</v>
      </c>
    </row>
    <row r="3507" spans="1:5" x14ac:dyDescent="0.25">
      <c r="A3507" s="5" t="s">
        <v>6</v>
      </c>
      <c r="B3507" s="5" t="s">
        <v>9730</v>
      </c>
      <c r="C3507" s="1" t="s">
        <v>9731</v>
      </c>
      <c r="D3507" s="1" t="s">
        <v>9732</v>
      </c>
      <c r="E3507" s="7">
        <v>707</v>
      </c>
    </row>
    <row r="3508" spans="1:5" x14ac:dyDescent="0.25">
      <c r="A3508" s="5" t="s">
        <v>6</v>
      </c>
      <c r="B3508" s="5" t="s">
        <v>9733</v>
      </c>
      <c r="C3508" s="1" t="s">
        <v>9734</v>
      </c>
      <c r="D3508" s="1" t="s">
        <v>9735</v>
      </c>
      <c r="E3508" s="7">
        <v>203</v>
      </c>
    </row>
    <row r="3509" spans="1:5" x14ac:dyDescent="0.25">
      <c r="A3509" s="5" t="s">
        <v>6</v>
      </c>
      <c r="B3509" s="5" t="s">
        <v>9736</v>
      </c>
      <c r="C3509" s="1" t="s">
        <v>9737</v>
      </c>
      <c r="D3509" s="1" t="s">
        <v>9738</v>
      </c>
      <c r="E3509" s="7">
        <v>342</v>
      </c>
    </row>
    <row r="3510" spans="1:5" x14ac:dyDescent="0.25">
      <c r="A3510" s="5" t="s">
        <v>6</v>
      </c>
      <c r="B3510" s="5" t="s">
        <v>9739</v>
      </c>
      <c r="C3510" s="1" t="s">
        <v>9740</v>
      </c>
      <c r="D3510" s="1" t="s">
        <v>9741</v>
      </c>
      <c r="E3510" s="7">
        <v>217</v>
      </c>
    </row>
    <row r="3511" spans="1:5" x14ac:dyDescent="0.25">
      <c r="A3511" s="5" t="s">
        <v>6</v>
      </c>
      <c r="B3511" s="5" t="s">
        <v>9742</v>
      </c>
      <c r="C3511" s="1" t="s">
        <v>9743</v>
      </c>
      <c r="D3511" s="1" t="s">
        <v>9744</v>
      </c>
      <c r="E3511" s="7">
        <v>5260</v>
      </c>
    </row>
    <row r="3512" spans="1:5" x14ac:dyDescent="0.25">
      <c r="A3512" s="5" t="s">
        <v>6</v>
      </c>
      <c r="B3512" s="5" t="s">
        <v>9745</v>
      </c>
      <c r="C3512" s="1" t="s">
        <v>9746</v>
      </c>
      <c r="D3512" s="1" t="s">
        <v>9747</v>
      </c>
      <c r="E3512" s="7">
        <v>194</v>
      </c>
    </row>
    <row r="3513" spans="1:5" x14ac:dyDescent="0.25">
      <c r="A3513" s="5" t="s">
        <v>6</v>
      </c>
      <c r="B3513" s="5" t="s">
        <v>9748</v>
      </c>
      <c r="C3513" s="1" t="s">
        <v>9749</v>
      </c>
      <c r="D3513" s="1" t="s">
        <v>9750</v>
      </c>
      <c r="E3513" s="7">
        <v>415</v>
      </c>
    </row>
    <row r="3514" spans="1:5" x14ac:dyDescent="0.25">
      <c r="A3514" s="5" t="s">
        <v>6</v>
      </c>
      <c r="B3514" s="5" t="s">
        <v>9751</v>
      </c>
      <c r="C3514" s="1" t="s">
        <v>9752</v>
      </c>
      <c r="D3514" s="1" t="s">
        <v>9753</v>
      </c>
      <c r="E3514" s="7">
        <v>442</v>
      </c>
    </row>
    <row r="3515" spans="1:5" x14ac:dyDescent="0.25">
      <c r="A3515" s="5" t="s">
        <v>6</v>
      </c>
      <c r="B3515" s="5" t="s">
        <v>9754</v>
      </c>
      <c r="C3515" s="1" t="s">
        <v>9755</v>
      </c>
      <c r="D3515" s="1" t="s">
        <v>9756</v>
      </c>
      <c r="E3515" s="7">
        <v>310</v>
      </c>
    </row>
    <row r="3516" spans="1:5" x14ac:dyDescent="0.25">
      <c r="A3516" s="5" t="s">
        <v>6</v>
      </c>
      <c r="B3516" s="5" t="s">
        <v>9757</v>
      </c>
      <c r="C3516" s="1" t="s">
        <v>9758</v>
      </c>
      <c r="D3516" s="1" t="s">
        <v>9759</v>
      </c>
      <c r="E3516" s="7">
        <v>205</v>
      </c>
    </row>
    <row r="3517" spans="1:5" x14ac:dyDescent="0.25">
      <c r="A3517" s="5" t="s">
        <v>6</v>
      </c>
      <c r="B3517" s="5" t="s">
        <v>9760</v>
      </c>
      <c r="C3517" s="1" t="s">
        <v>9761</v>
      </c>
      <c r="D3517" s="1" t="s">
        <v>9762</v>
      </c>
      <c r="E3517" s="7">
        <v>235</v>
      </c>
    </row>
    <row r="3518" spans="1:5" x14ac:dyDescent="0.25">
      <c r="A3518" s="5" t="s">
        <v>6</v>
      </c>
      <c r="B3518" s="5" t="s">
        <v>9763</v>
      </c>
      <c r="C3518" s="1" t="s">
        <v>9764</v>
      </c>
      <c r="D3518" s="1" t="s">
        <v>9765</v>
      </c>
      <c r="E3518" s="7">
        <v>118</v>
      </c>
    </row>
    <row r="3519" spans="1:5" x14ac:dyDescent="0.25">
      <c r="A3519" s="5" t="s">
        <v>6</v>
      </c>
      <c r="B3519" s="5" t="s">
        <v>9766</v>
      </c>
      <c r="C3519" s="1" t="s">
        <v>9767</v>
      </c>
      <c r="D3519" s="1" t="s">
        <v>9768</v>
      </c>
      <c r="E3519" s="7">
        <v>227</v>
      </c>
    </row>
    <row r="3520" spans="1:5" x14ac:dyDescent="0.25">
      <c r="A3520" s="5" t="s">
        <v>6</v>
      </c>
      <c r="B3520" s="5" t="s">
        <v>9769</v>
      </c>
      <c r="C3520" s="1" t="s">
        <v>9770</v>
      </c>
      <c r="D3520" s="1" t="s">
        <v>9771</v>
      </c>
      <c r="E3520" s="7">
        <v>1052</v>
      </c>
    </row>
    <row r="3521" spans="1:5" x14ac:dyDescent="0.25">
      <c r="A3521" s="5" t="s">
        <v>6</v>
      </c>
      <c r="B3521" s="5" t="s">
        <v>9772</v>
      </c>
      <c r="C3521" s="1" t="s">
        <v>9773</v>
      </c>
      <c r="D3521" s="1" t="s">
        <v>9774</v>
      </c>
      <c r="E3521" s="7">
        <v>748</v>
      </c>
    </row>
    <row r="3522" spans="1:5" x14ac:dyDescent="0.25">
      <c r="A3522" s="5" t="s">
        <v>6</v>
      </c>
      <c r="B3522" s="5" t="s">
        <v>9775</v>
      </c>
      <c r="C3522" s="1" t="s">
        <v>9776</v>
      </c>
      <c r="D3522" s="1" t="s">
        <v>9777</v>
      </c>
      <c r="E3522" s="7">
        <v>129</v>
      </c>
    </row>
    <row r="3523" spans="1:5" x14ac:dyDescent="0.25">
      <c r="A3523" s="5" t="s">
        <v>6</v>
      </c>
      <c r="B3523" s="5" t="s">
        <v>9778</v>
      </c>
      <c r="C3523" s="1" t="s">
        <v>9779</v>
      </c>
      <c r="D3523" s="1" t="s">
        <v>9780</v>
      </c>
      <c r="E3523" s="7">
        <v>37</v>
      </c>
    </row>
    <row r="3524" spans="1:5" x14ac:dyDescent="0.25">
      <c r="A3524" s="5" t="s">
        <v>6</v>
      </c>
      <c r="B3524" s="5" t="s">
        <v>9781</v>
      </c>
      <c r="C3524" s="1" t="s">
        <v>9782</v>
      </c>
      <c r="D3524" s="1" t="s">
        <v>9783</v>
      </c>
      <c r="E3524" s="7">
        <v>120</v>
      </c>
    </row>
    <row r="3525" spans="1:5" x14ac:dyDescent="0.25">
      <c r="A3525" s="5" t="s">
        <v>6</v>
      </c>
      <c r="B3525" s="5" t="s">
        <v>9784</v>
      </c>
      <c r="C3525" s="1" t="s">
        <v>9785</v>
      </c>
      <c r="D3525" s="1" t="s">
        <v>9786</v>
      </c>
      <c r="E3525" s="7">
        <v>10</v>
      </c>
    </row>
    <row r="3526" spans="1:5" x14ac:dyDescent="0.25">
      <c r="A3526" s="5" t="s">
        <v>6</v>
      </c>
      <c r="B3526" s="5" t="s">
        <v>9787</v>
      </c>
      <c r="C3526" s="1" t="s">
        <v>9788</v>
      </c>
      <c r="D3526" s="1" t="s">
        <v>9789</v>
      </c>
      <c r="E3526" s="7">
        <v>571</v>
      </c>
    </row>
    <row r="3527" spans="1:5" x14ac:dyDescent="0.25">
      <c r="A3527" s="5" t="s">
        <v>6</v>
      </c>
      <c r="B3527" s="5" t="s">
        <v>9790</v>
      </c>
      <c r="C3527" s="1" t="s">
        <v>9791</v>
      </c>
      <c r="D3527" s="1" t="s">
        <v>9792</v>
      </c>
      <c r="E3527" s="7">
        <v>1217</v>
      </c>
    </row>
    <row r="3528" spans="1:5" x14ac:dyDescent="0.25">
      <c r="A3528" s="5" t="s">
        <v>6</v>
      </c>
      <c r="B3528" s="5" t="s">
        <v>9793</v>
      </c>
      <c r="C3528" s="1" t="s">
        <v>9794</v>
      </c>
      <c r="D3528" s="1" t="s">
        <v>9795</v>
      </c>
      <c r="E3528" s="7">
        <v>3180</v>
      </c>
    </row>
    <row r="3529" spans="1:5" x14ac:dyDescent="0.25">
      <c r="A3529" s="5" t="s">
        <v>6</v>
      </c>
      <c r="B3529" s="5" t="s">
        <v>9796</v>
      </c>
      <c r="C3529" s="1" t="s">
        <v>9797</v>
      </c>
      <c r="D3529" s="1" t="s">
        <v>9792</v>
      </c>
      <c r="E3529" s="7">
        <v>2897</v>
      </c>
    </row>
    <row r="3530" spans="1:5" x14ac:dyDescent="0.25">
      <c r="A3530" s="5" t="s">
        <v>6</v>
      </c>
      <c r="B3530" s="5" t="s">
        <v>9798</v>
      </c>
      <c r="C3530" s="1" t="s">
        <v>9799</v>
      </c>
      <c r="D3530" s="1" t="s">
        <v>9800</v>
      </c>
      <c r="E3530" s="7">
        <v>577</v>
      </c>
    </row>
    <row r="3531" spans="1:5" x14ac:dyDescent="0.25">
      <c r="A3531" s="5" t="s">
        <v>6</v>
      </c>
      <c r="B3531" s="5" t="s">
        <v>9801</v>
      </c>
      <c r="C3531" s="1" t="s">
        <v>9802</v>
      </c>
      <c r="D3531" s="1" t="s">
        <v>9803</v>
      </c>
      <c r="E3531" s="7">
        <v>347</v>
      </c>
    </row>
    <row r="3532" spans="1:5" x14ac:dyDescent="0.25">
      <c r="A3532" s="5" t="s">
        <v>6</v>
      </c>
      <c r="B3532" s="5" t="s">
        <v>9804</v>
      </c>
      <c r="C3532" s="1" t="s">
        <v>9805</v>
      </c>
      <c r="D3532" s="1" t="s">
        <v>9806</v>
      </c>
      <c r="E3532" s="7">
        <v>2178</v>
      </c>
    </row>
    <row r="3533" spans="1:5" x14ac:dyDescent="0.25">
      <c r="A3533" s="5" t="s">
        <v>6</v>
      </c>
      <c r="B3533" s="5" t="s">
        <v>9807</v>
      </c>
      <c r="C3533" s="1" t="s">
        <v>9808</v>
      </c>
      <c r="D3533" s="1" t="s">
        <v>9809</v>
      </c>
      <c r="E3533" s="7">
        <v>379</v>
      </c>
    </row>
    <row r="3534" spans="1:5" x14ac:dyDescent="0.25">
      <c r="A3534" s="5" t="s">
        <v>6</v>
      </c>
      <c r="B3534" s="5" t="s">
        <v>9810</v>
      </c>
      <c r="C3534" s="1" t="s">
        <v>9811</v>
      </c>
      <c r="D3534" s="1" t="s">
        <v>9812</v>
      </c>
      <c r="E3534" s="7">
        <v>79</v>
      </c>
    </row>
    <row r="3535" spans="1:5" x14ac:dyDescent="0.25">
      <c r="A3535" s="5" t="s">
        <v>6</v>
      </c>
      <c r="B3535" s="5" t="s">
        <v>9813</v>
      </c>
      <c r="C3535" s="1" t="s">
        <v>9814</v>
      </c>
      <c r="D3535" s="1" t="s">
        <v>9815</v>
      </c>
      <c r="E3535" s="7">
        <v>14</v>
      </c>
    </row>
    <row r="3536" spans="1:5" x14ac:dyDescent="0.25">
      <c r="A3536" s="5" t="s">
        <v>6</v>
      </c>
      <c r="B3536" s="5" t="s">
        <v>9816</v>
      </c>
      <c r="C3536" s="1" t="s">
        <v>9817</v>
      </c>
      <c r="D3536" s="1" t="s">
        <v>9818</v>
      </c>
      <c r="E3536" s="7">
        <v>554</v>
      </c>
    </row>
    <row r="3537" spans="1:5" x14ac:dyDescent="0.25">
      <c r="A3537" s="5" t="s">
        <v>6</v>
      </c>
      <c r="B3537" s="5" t="s">
        <v>9819</v>
      </c>
      <c r="C3537" s="1" t="s">
        <v>9820</v>
      </c>
      <c r="D3537" s="1" t="s">
        <v>9821</v>
      </c>
      <c r="E3537" s="7">
        <v>140</v>
      </c>
    </row>
    <row r="3538" spans="1:5" x14ac:dyDescent="0.25">
      <c r="A3538" s="5" t="s">
        <v>6</v>
      </c>
      <c r="B3538" s="5" t="s">
        <v>9822</v>
      </c>
      <c r="C3538" s="1" t="s">
        <v>9823</v>
      </c>
      <c r="D3538" s="1" t="s">
        <v>9824</v>
      </c>
      <c r="E3538" s="7">
        <v>66</v>
      </c>
    </row>
    <row r="3539" spans="1:5" x14ac:dyDescent="0.25">
      <c r="A3539" s="5" t="s">
        <v>6</v>
      </c>
      <c r="B3539" s="5" t="s">
        <v>9825</v>
      </c>
      <c r="C3539" s="1" t="s">
        <v>9826</v>
      </c>
      <c r="D3539" s="1" t="s">
        <v>9827</v>
      </c>
      <c r="E3539" s="7">
        <v>5</v>
      </c>
    </row>
    <row r="3540" spans="1:5" x14ac:dyDescent="0.25">
      <c r="A3540" s="5" t="s">
        <v>6</v>
      </c>
      <c r="B3540" s="5" t="s">
        <v>9828</v>
      </c>
      <c r="C3540" s="1" t="s">
        <v>9829</v>
      </c>
      <c r="D3540" s="1" t="s">
        <v>9830</v>
      </c>
      <c r="E3540" s="7">
        <v>12</v>
      </c>
    </row>
    <row r="3541" spans="1:5" x14ac:dyDescent="0.25">
      <c r="A3541" s="5" t="s">
        <v>6</v>
      </c>
      <c r="B3541" s="5" t="s">
        <v>9831</v>
      </c>
      <c r="C3541" s="1" t="s">
        <v>9832</v>
      </c>
      <c r="D3541" s="1" t="s">
        <v>9833</v>
      </c>
      <c r="E3541" s="7">
        <v>102</v>
      </c>
    </row>
    <row r="3542" spans="1:5" x14ac:dyDescent="0.25">
      <c r="A3542" s="5" t="s">
        <v>6</v>
      </c>
      <c r="B3542" s="5" t="s">
        <v>9834</v>
      </c>
      <c r="C3542" s="1" t="s">
        <v>9835</v>
      </c>
      <c r="D3542" s="1" t="s">
        <v>9836</v>
      </c>
      <c r="E3542" s="7">
        <v>153</v>
      </c>
    </row>
    <row r="3543" spans="1:5" x14ac:dyDescent="0.25">
      <c r="A3543" s="5" t="s">
        <v>6</v>
      </c>
      <c r="B3543" s="5" t="s">
        <v>9837</v>
      </c>
      <c r="C3543" s="1" t="s">
        <v>9838</v>
      </c>
      <c r="D3543" s="1" t="s">
        <v>9839</v>
      </c>
      <c r="E3543" s="7">
        <v>475</v>
      </c>
    </row>
    <row r="3544" spans="1:5" x14ac:dyDescent="0.25">
      <c r="A3544" s="5" t="s">
        <v>6</v>
      </c>
      <c r="B3544" s="5" t="s">
        <v>9840</v>
      </c>
      <c r="C3544" s="1" t="s">
        <v>9841</v>
      </c>
      <c r="D3544" s="1" t="s">
        <v>9842</v>
      </c>
      <c r="E3544" s="7">
        <v>32</v>
      </c>
    </row>
    <row r="3545" spans="1:5" x14ac:dyDescent="0.25">
      <c r="A3545" s="5" t="s">
        <v>6</v>
      </c>
      <c r="B3545" s="5" t="s">
        <v>9843</v>
      </c>
      <c r="C3545" s="1" t="s">
        <v>9844</v>
      </c>
      <c r="D3545" s="1" t="s">
        <v>9845</v>
      </c>
      <c r="E3545" s="7">
        <v>65</v>
      </c>
    </row>
    <row r="3546" spans="1:5" x14ac:dyDescent="0.25">
      <c r="A3546" s="5" t="s">
        <v>6</v>
      </c>
      <c r="B3546" s="5" t="s">
        <v>9846</v>
      </c>
      <c r="C3546" s="1" t="s">
        <v>9847</v>
      </c>
      <c r="D3546" s="1" t="s">
        <v>9848</v>
      </c>
      <c r="E3546" s="7">
        <v>2</v>
      </c>
    </row>
    <row r="3547" spans="1:5" x14ac:dyDescent="0.25">
      <c r="A3547" s="5" t="s">
        <v>6</v>
      </c>
      <c r="B3547" s="5" t="s">
        <v>9849</v>
      </c>
      <c r="C3547" s="1" t="s">
        <v>9850</v>
      </c>
      <c r="D3547" s="1" t="s">
        <v>9851</v>
      </c>
      <c r="E3547" s="7">
        <v>31</v>
      </c>
    </row>
    <row r="3548" spans="1:5" x14ac:dyDescent="0.25">
      <c r="A3548" s="5" t="s">
        <v>6</v>
      </c>
      <c r="B3548" s="5" t="s">
        <v>9852</v>
      </c>
      <c r="C3548" s="1" t="s">
        <v>9853</v>
      </c>
      <c r="D3548" s="1" t="s">
        <v>9854</v>
      </c>
      <c r="E3548" s="7">
        <v>352</v>
      </c>
    </row>
    <row r="3549" spans="1:5" x14ac:dyDescent="0.25">
      <c r="A3549" s="5" t="s">
        <v>6</v>
      </c>
      <c r="B3549" s="5" t="s">
        <v>9855</v>
      </c>
      <c r="C3549" s="1" t="s">
        <v>9856</v>
      </c>
      <c r="D3549" s="1" t="s">
        <v>9857</v>
      </c>
      <c r="E3549" s="7">
        <v>435</v>
      </c>
    </row>
    <row r="3550" spans="1:5" x14ac:dyDescent="0.25">
      <c r="A3550" s="5" t="s">
        <v>6</v>
      </c>
      <c r="B3550" s="5" t="s">
        <v>9858</v>
      </c>
      <c r="C3550" s="1" t="s">
        <v>9859</v>
      </c>
      <c r="D3550" s="1" t="s">
        <v>9860</v>
      </c>
      <c r="E3550" s="7">
        <v>181</v>
      </c>
    </row>
    <row r="3551" spans="1:5" x14ac:dyDescent="0.25">
      <c r="A3551" s="5" t="s">
        <v>6</v>
      </c>
      <c r="B3551" s="5" t="s">
        <v>9861</v>
      </c>
      <c r="C3551" s="1" t="s">
        <v>9862</v>
      </c>
      <c r="D3551" s="1" t="s">
        <v>9863</v>
      </c>
      <c r="E3551" s="7">
        <v>4.5</v>
      </c>
    </row>
    <row r="3552" spans="1:5" x14ac:dyDescent="0.25">
      <c r="A3552" s="5" t="s">
        <v>6</v>
      </c>
      <c r="B3552" s="5" t="s">
        <v>9864</v>
      </c>
      <c r="C3552" s="1" t="s">
        <v>9865</v>
      </c>
      <c r="D3552" s="1" t="s">
        <v>9866</v>
      </c>
      <c r="E3552" s="7">
        <v>205</v>
      </c>
    </row>
    <row r="3553" spans="1:5" x14ac:dyDescent="0.25">
      <c r="A3553" s="5" t="s">
        <v>6</v>
      </c>
      <c r="B3553" s="5" t="s">
        <v>9867</v>
      </c>
      <c r="C3553" s="1" t="s">
        <v>9868</v>
      </c>
      <c r="D3553" s="1" t="s">
        <v>9869</v>
      </c>
      <c r="E3553" s="7">
        <v>255</v>
      </c>
    </row>
    <row r="3554" spans="1:5" x14ac:dyDescent="0.25">
      <c r="A3554" s="5" t="s">
        <v>6</v>
      </c>
      <c r="B3554" s="5" t="s">
        <v>9870</v>
      </c>
      <c r="C3554" s="1" t="s">
        <v>9871</v>
      </c>
      <c r="D3554" s="1" t="s">
        <v>9872</v>
      </c>
      <c r="E3554" s="7">
        <v>540</v>
      </c>
    </row>
    <row r="3555" spans="1:5" x14ac:dyDescent="0.25">
      <c r="A3555" s="5" t="s">
        <v>6</v>
      </c>
      <c r="B3555" s="5" t="s">
        <v>9873</v>
      </c>
      <c r="C3555" s="1" t="s">
        <v>9874</v>
      </c>
      <c r="D3555" s="1" t="s">
        <v>9875</v>
      </c>
      <c r="E3555" s="7">
        <v>1503</v>
      </c>
    </row>
    <row r="3556" spans="1:5" x14ac:dyDescent="0.25">
      <c r="A3556" s="5" t="s">
        <v>6</v>
      </c>
      <c r="B3556" s="5" t="s">
        <v>9876</v>
      </c>
      <c r="C3556" s="1" t="s">
        <v>9877</v>
      </c>
      <c r="D3556" s="1" t="s">
        <v>9878</v>
      </c>
      <c r="E3556" s="7">
        <v>19592</v>
      </c>
    </row>
    <row r="3557" spans="1:5" x14ac:dyDescent="0.25">
      <c r="A3557" s="5" t="s">
        <v>6</v>
      </c>
      <c r="B3557" s="5" t="s">
        <v>9879</v>
      </c>
      <c r="C3557" s="1" t="s">
        <v>9880</v>
      </c>
      <c r="D3557" s="1" t="s">
        <v>9881</v>
      </c>
      <c r="E3557" s="7">
        <v>44</v>
      </c>
    </row>
    <row r="3558" spans="1:5" x14ac:dyDescent="0.25">
      <c r="A3558" s="5" t="s">
        <v>6</v>
      </c>
      <c r="B3558" s="5" t="s">
        <v>9882</v>
      </c>
      <c r="C3558" s="1" t="s">
        <v>9883</v>
      </c>
      <c r="D3558" s="1" t="s">
        <v>9884</v>
      </c>
      <c r="E3558" s="7">
        <v>421</v>
      </c>
    </row>
    <row r="3559" spans="1:5" x14ac:dyDescent="0.25">
      <c r="A3559" s="5" t="s">
        <v>6</v>
      </c>
      <c r="B3559" s="5" t="s">
        <v>9885</v>
      </c>
      <c r="C3559" s="1" t="s">
        <v>9886</v>
      </c>
      <c r="D3559" s="1" t="s">
        <v>9887</v>
      </c>
      <c r="E3559" s="7">
        <v>29</v>
      </c>
    </row>
    <row r="3560" spans="1:5" x14ac:dyDescent="0.25">
      <c r="A3560" s="5" t="s">
        <v>6</v>
      </c>
      <c r="B3560" s="5" t="s">
        <v>9888</v>
      </c>
      <c r="C3560" s="1" t="s">
        <v>9889</v>
      </c>
      <c r="D3560" s="1" t="s">
        <v>9890</v>
      </c>
      <c r="E3560" s="7">
        <v>11</v>
      </c>
    </row>
    <row r="3561" spans="1:5" x14ac:dyDescent="0.25">
      <c r="A3561" s="5" t="s">
        <v>6</v>
      </c>
      <c r="B3561" s="5" t="s">
        <v>9891</v>
      </c>
      <c r="C3561" s="1" t="s">
        <v>9892</v>
      </c>
      <c r="D3561" s="1" t="s">
        <v>9893</v>
      </c>
      <c r="E3561" s="7">
        <v>413</v>
      </c>
    </row>
    <row r="3562" spans="1:5" x14ac:dyDescent="0.25">
      <c r="A3562" s="5" t="s">
        <v>6</v>
      </c>
      <c r="B3562" s="5" t="s">
        <v>9894</v>
      </c>
      <c r="C3562" s="1" t="s">
        <v>9895</v>
      </c>
      <c r="D3562" s="1" t="s">
        <v>9896</v>
      </c>
      <c r="E3562" s="7">
        <v>1007</v>
      </c>
    </row>
    <row r="3563" spans="1:5" x14ac:dyDescent="0.25">
      <c r="A3563" s="5" t="s">
        <v>6</v>
      </c>
      <c r="B3563" s="5" t="s">
        <v>9897</v>
      </c>
      <c r="C3563" s="1" t="s">
        <v>9898</v>
      </c>
      <c r="D3563" s="1" t="s">
        <v>9899</v>
      </c>
      <c r="E3563" s="7">
        <v>251</v>
      </c>
    </row>
    <row r="3564" spans="1:5" x14ac:dyDescent="0.25">
      <c r="A3564" s="5" t="s">
        <v>6</v>
      </c>
      <c r="B3564" s="5" t="s">
        <v>9900</v>
      </c>
      <c r="C3564" s="1" t="s">
        <v>9901</v>
      </c>
      <c r="D3564" s="1" t="s">
        <v>9902</v>
      </c>
      <c r="E3564" s="7">
        <v>904</v>
      </c>
    </row>
    <row r="3565" spans="1:5" x14ac:dyDescent="0.25">
      <c r="A3565" s="5" t="s">
        <v>6</v>
      </c>
      <c r="B3565" s="5" t="s">
        <v>9903</v>
      </c>
      <c r="C3565" s="1" t="s">
        <v>9904</v>
      </c>
      <c r="D3565" s="1" t="s">
        <v>9905</v>
      </c>
      <c r="E3565" s="7">
        <v>2468</v>
      </c>
    </row>
    <row r="3566" spans="1:5" x14ac:dyDescent="0.25">
      <c r="A3566" s="5" t="s">
        <v>6</v>
      </c>
      <c r="B3566" s="5" t="s">
        <v>9906</v>
      </c>
      <c r="C3566" s="1" t="s">
        <v>9907</v>
      </c>
      <c r="D3566" s="1" t="s">
        <v>9908</v>
      </c>
      <c r="E3566" s="7">
        <v>497</v>
      </c>
    </row>
    <row r="3567" spans="1:5" x14ac:dyDescent="0.25">
      <c r="A3567" s="5" t="s">
        <v>6</v>
      </c>
      <c r="B3567" s="5" t="s">
        <v>9909</v>
      </c>
      <c r="C3567" s="1" t="s">
        <v>9910</v>
      </c>
      <c r="D3567" s="1" t="s">
        <v>9911</v>
      </c>
      <c r="E3567" s="7">
        <v>18</v>
      </c>
    </row>
    <row r="3568" spans="1:5" x14ac:dyDescent="0.25">
      <c r="A3568" s="5" t="s">
        <v>6</v>
      </c>
      <c r="B3568" s="5" t="s">
        <v>9912</v>
      </c>
      <c r="C3568" s="1" t="s">
        <v>9913</v>
      </c>
      <c r="D3568" s="1" t="s">
        <v>9914</v>
      </c>
      <c r="E3568" s="7">
        <v>120</v>
      </c>
    </row>
    <row r="3569" spans="1:5" x14ac:dyDescent="0.25">
      <c r="A3569" s="5" t="s">
        <v>6</v>
      </c>
      <c r="B3569" s="5" t="s">
        <v>9915</v>
      </c>
      <c r="C3569" s="1" t="s">
        <v>9916</v>
      </c>
      <c r="D3569" s="1" t="s">
        <v>9917</v>
      </c>
      <c r="E3569" s="7">
        <v>333</v>
      </c>
    </row>
    <row r="3570" spans="1:5" x14ac:dyDescent="0.25">
      <c r="A3570" s="5" t="s">
        <v>6</v>
      </c>
      <c r="B3570" s="5" t="s">
        <v>9918</v>
      </c>
      <c r="C3570" s="1" t="s">
        <v>9919</v>
      </c>
      <c r="D3570" s="1" t="s">
        <v>9920</v>
      </c>
      <c r="E3570" s="7">
        <v>1611</v>
      </c>
    </row>
    <row r="3571" spans="1:5" x14ac:dyDescent="0.25">
      <c r="A3571" s="5" t="s">
        <v>6</v>
      </c>
      <c r="B3571" s="5" t="s">
        <v>9921</v>
      </c>
      <c r="C3571" s="1" t="s">
        <v>9922</v>
      </c>
      <c r="D3571" s="1" t="s">
        <v>9923</v>
      </c>
      <c r="E3571" s="7">
        <v>56</v>
      </c>
    </row>
    <row r="3572" spans="1:5" x14ac:dyDescent="0.25">
      <c r="A3572" s="5" t="s">
        <v>6</v>
      </c>
      <c r="B3572" s="5" t="s">
        <v>9924</v>
      </c>
      <c r="C3572" s="1" t="s">
        <v>9925</v>
      </c>
      <c r="D3572" s="1" t="s">
        <v>9926</v>
      </c>
      <c r="E3572" s="7">
        <v>300</v>
      </c>
    </row>
    <row r="3573" spans="1:5" x14ac:dyDescent="0.25">
      <c r="A3573" s="5" t="s">
        <v>6</v>
      </c>
      <c r="B3573" s="5" t="s">
        <v>9927</v>
      </c>
      <c r="C3573" s="1" t="s">
        <v>9928</v>
      </c>
      <c r="D3573" s="1" t="s">
        <v>9929</v>
      </c>
      <c r="E3573" s="7">
        <v>173</v>
      </c>
    </row>
    <row r="3574" spans="1:5" x14ac:dyDescent="0.25">
      <c r="A3574" s="5" t="s">
        <v>6</v>
      </c>
      <c r="B3574" s="5" t="s">
        <v>9930</v>
      </c>
      <c r="C3574" s="1" t="s">
        <v>9931</v>
      </c>
      <c r="D3574" s="1" t="s">
        <v>9932</v>
      </c>
      <c r="E3574" s="7">
        <v>37</v>
      </c>
    </row>
    <row r="3575" spans="1:5" x14ac:dyDescent="0.25">
      <c r="A3575" s="5" t="s">
        <v>6</v>
      </c>
      <c r="B3575" s="5" t="s">
        <v>9933</v>
      </c>
      <c r="C3575" s="1" t="s">
        <v>9934</v>
      </c>
      <c r="D3575" s="1" t="s">
        <v>9935</v>
      </c>
      <c r="E3575" s="7">
        <v>309</v>
      </c>
    </row>
    <row r="3576" spans="1:5" x14ac:dyDescent="0.25">
      <c r="A3576" s="5" t="s">
        <v>6</v>
      </c>
      <c r="B3576" s="5" t="s">
        <v>9936</v>
      </c>
      <c r="C3576" s="1" t="s">
        <v>9937</v>
      </c>
      <c r="D3576" s="1" t="s">
        <v>9938</v>
      </c>
      <c r="E3576" s="7">
        <v>81</v>
      </c>
    </row>
    <row r="3577" spans="1:5" x14ac:dyDescent="0.25">
      <c r="A3577" s="5" t="s">
        <v>6</v>
      </c>
      <c r="B3577" s="5" t="s">
        <v>9939</v>
      </c>
      <c r="C3577" s="1" t="s">
        <v>9940</v>
      </c>
      <c r="D3577" s="1" t="s">
        <v>9941</v>
      </c>
      <c r="E3577" s="7">
        <v>124</v>
      </c>
    </row>
    <row r="3578" spans="1:5" x14ac:dyDescent="0.25">
      <c r="A3578" s="5" t="s">
        <v>6</v>
      </c>
      <c r="B3578" s="5" t="s">
        <v>9942</v>
      </c>
      <c r="C3578" s="1" t="s">
        <v>9943</v>
      </c>
      <c r="D3578" s="1" t="s">
        <v>9944</v>
      </c>
      <c r="E3578" s="7">
        <v>4</v>
      </c>
    </row>
    <row r="3579" spans="1:5" x14ac:dyDescent="0.25">
      <c r="A3579" s="5" t="s">
        <v>6</v>
      </c>
      <c r="B3579" s="5" t="s">
        <v>9945</v>
      </c>
      <c r="C3579" s="1" t="s">
        <v>9946</v>
      </c>
      <c r="D3579" s="1" t="s">
        <v>9947</v>
      </c>
      <c r="E3579" s="7">
        <v>459</v>
      </c>
    </row>
    <row r="3580" spans="1:5" x14ac:dyDescent="0.25">
      <c r="A3580" s="5" t="s">
        <v>6</v>
      </c>
      <c r="B3580" s="5" t="s">
        <v>9948</v>
      </c>
      <c r="C3580" s="1" t="s">
        <v>9949</v>
      </c>
      <c r="D3580" s="1" t="s">
        <v>9950</v>
      </c>
      <c r="E3580" s="7">
        <v>10.91</v>
      </c>
    </row>
    <row r="3581" spans="1:5" x14ac:dyDescent="0.25">
      <c r="A3581" s="5" t="s">
        <v>6</v>
      </c>
      <c r="B3581" s="5" t="s">
        <v>9951</v>
      </c>
      <c r="C3581" s="1" t="s">
        <v>9952</v>
      </c>
      <c r="D3581" s="1" t="s">
        <v>9953</v>
      </c>
      <c r="E3581" s="7">
        <v>678</v>
      </c>
    </row>
    <row r="3582" spans="1:5" x14ac:dyDescent="0.25">
      <c r="A3582" s="5" t="s">
        <v>6</v>
      </c>
      <c r="B3582" s="5" t="s">
        <v>9954</v>
      </c>
      <c r="C3582" s="1" t="s">
        <v>9955</v>
      </c>
      <c r="D3582" s="1" t="s">
        <v>9956</v>
      </c>
      <c r="E3582" s="7">
        <v>724</v>
      </c>
    </row>
    <row r="3583" spans="1:5" x14ac:dyDescent="0.25">
      <c r="A3583" s="5" t="s">
        <v>6</v>
      </c>
      <c r="B3583" s="5" t="s">
        <v>9957</v>
      </c>
      <c r="C3583" s="1" t="s">
        <v>9958</v>
      </c>
      <c r="D3583" s="1" t="s">
        <v>9959</v>
      </c>
      <c r="E3583" s="7">
        <v>120</v>
      </c>
    </row>
    <row r="3584" spans="1:5" x14ac:dyDescent="0.25">
      <c r="A3584" s="5" t="s">
        <v>6</v>
      </c>
      <c r="B3584" s="5" t="s">
        <v>9960</v>
      </c>
      <c r="C3584" s="1" t="s">
        <v>9961</v>
      </c>
      <c r="D3584" s="1" t="s">
        <v>9962</v>
      </c>
      <c r="E3584" s="7">
        <v>329</v>
      </c>
    </row>
    <row r="3585" spans="1:5" x14ac:dyDescent="0.25">
      <c r="A3585" s="5" t="s">
        <v>6</v>
      </c>
      <c r="B3585" s="5" t="s">
        <v>9963</v>
      </c>
      <c r="C3585" s="1" t="s">
        <v>9964</v>
      </c>
      <c r="D3585" s="1" t="s">
        <v>9965</v>
      </c>
      <c r="E3585" s="7">
        <v>442</v>
      </c>
    </row>
    <row r="3586" spans="1:5" x14ac:dyDescent="0.25">
      <c r="A3586" s="5" t="s">
        <v>6</v>
      </c>
      <c r="B3586" s="5" t="s">
        <v>9966</v>
      </c>
      <c r="C3586" s="1" t="s">
        <v>9967</v>
      </c>
      <c r="D3586" s="1" t="s">
        <v>9968</v>
      </c>
      <c r="E3586" s="7">
        <v>977</v>
      </c>
    </row>
    <row r="3587" spans="1:5" x14ac:dyDescent="0.25">
      <c r="A3587" s="5" t="s">
        <v>6</v>
      </c>
      <c r="B3587" s="5" t="s">
        <v>9969</v>
      </c>
      <c r="C3587" s="1" t="s">
        <v>9970</v>
      </c>
      <c r="D3587" s="1" t="s">
        <v>9971</v>
      </c>
      <c r="E3587" s="7">
        <v>11.25</v>
      </c>
    </row>
    <row r="3588" spans="1:5" x14ac:dyDescent="0.25">
      <c r="A3588" s="5" t="s">
        <v>6</v>
      </c>
      <c r="B3588" s="5" t="s">
        <v>9972</v>
      </c>
      <c r="C3588" s="1" t="s">
        <v>9973</v>
      </c>
      <c r="D3588" s="1" t="s">
        <v>9974</v>
      </c>
      <c r="E3588" s="7">
        <v>2292</v>
      </c>
    </row>
    <row r="3589" spans="1:5" x14ac:dyDescent="0.25">
      <c r="A3589" s="5" t="s">
        <v>6</v>
      </c>
      <c r="B3589" s="5" t="s">
        <v>9975</v>
      </c>
      <c r="C3589" s="1" t="s">
        <v>9976</v>
      </c>
      <c r="D3589" s="1" t="s">
        <v>9977</v>
      </c>
      <c r="E3589" s="7">
        <v>222</v>
      </c>
    </row>
    <row r="3590" spans="1:5" x14ac:dyDescent="0.25">
      <c r="A3590" s="5" t="s">
        <v>6</v>
      </c>
      <c r="B3590" s="5" t="s">
        <v>9978</v>
      </c>
      <c r="C3590" s="1" t="s">
        <v>9979</v>
      </c>
      <c r="D3590" s="1" t="s">
        <v>9980</v>
      </c>
      <c r="E3590" s="7">
        <v>139</v>
      </c>
    </row>
    <row r="3591" spans="1:5" x14ac:dyDescent="0.25">
      <c r="A3591" s="5" t="s">
        <v>6</v>
      </c>
      <c r="B3591" s="5" t="s">
        <v>9981</v>
      </c>
      <c r="C3591" s="1" t="s">
        <v>9982</v>
      </c>
      <c r="D3591" s="1" t="s">
        <v>9983</v>
      </c>
      <c r="E3591" s="7">
        <v>0.57999999999999996</v>
      </c>
    </row>
    <row r="3592" spans="1:5" x14ac:dyDescent="0.25">
      <c r="A3592" s="5" t="s">
        <v>6</v>
      </c>
      <c r="B3592" s="5" t="s">
        <v>9984</v>
      </c>
      <c r="C3592" s="1" t="s">
        <v>9985</v>
      </c>
      <c r="D3592" s="1" t="s">
        <v>9986</v>
      </c>
      <c r="E3592" s="7">
        <v>38</v>
      </c>
    </row>
    <row r="3593" spans="1:5" x14ac:dyDescent="0.25">
      <c r="A3593" s="5" t="s">
        <v>6</v>
      </c>
      <c r="B3593" s="5" t="s">
        <v>9987</v>
      </c>
      <c r="C3593" s="1" t="s">
        <v>9988</v>
      </c>
      <c r="D3593" s="1" t="s">
        <v>9989</v>
      </c>
      <c r="E3593" s="7">
        <v>53</v>
      </c>
    </row>
    <row r="3594" spans="1:5" x14ac:dyDescent="0.25">
      <c r="A3594" s="5" t="s">
        <v>6</v>
      </c>
      <c r="B3594" s="5" t="s">
        <v>9990</v>
      </c>
      <c r="C3594" s="1" t="s">
        <v>9991</v>
      </c>
      <c r="D3594" s="1" t="s">
        <v>9992</v>
      </c>
      <c r="E3594" s="7">
        <v>1501</v>
      </c>
    </row>
    <row r="3595" spans="1:5" x14ac:dyDescent="0.25">
      <c r="A3595" s="5" t="s">
        <v>6</v>
      </c>
      <c r="B3595" s="5" t="s">
        <v>9993</v>
      </c>
      <c r="C3595" s="1" t="s">
        <v>9994</v>
      </c>
      <c r="D3595" s="1" t="s">
        <v>9995</v>
      </c>
      <c r="E3595" s="7">
        <v>1501</v>
      </c>
    </row>
    <row r="3596" spans="1:5" x14ac:dyDescent="0.25">
      <c r="A3596" s="5" t="s">
        <v>6</v>
      </c>
      <c r="B3596" s="5" t="s">
        <v>9996</v>
      </c>
      <c r="C3596" s="1" t="s">
        <v>9997</v>
      </c>
      <c r="D3596" s="1" t="s">
        <v>9998</v>
      </c>
      <c r="E3596" s="7">
        <v>337</v>
      </c>
    </row>
    <row r="3597" spans="1:5" x14ac:dyDescent="0.25">
      <c r="A3597" s="5" t="s">
        <v>6</v>
      </c>
      <c r="B3597" s="5" t="s">
        <v>9999</v>
      </c>
      <c r="C3597" s="1" t="s">
        <v>10000</v>
      </c>
      <c r="D3597" s="1" t="s">
        <v>10001</v>
      </c>
      <c r="E3597" s="7">
        <v>463</v>
      </c>
    </row>
    <row r="3598" spans="1:5" x14ac:dyDescent="0.25">
      <c r="A3598" s="5" t="s">
        <v>6</v>
      </c>
      <c r="B3598" s="5" t="s">
        <v>10002</v>
      </c>
      <c r="C3598" s="1" t="s">
        <v>10003</v>
      </c>
      <c r="D3598" s="1" t="s">
        <v>10004</v>
      </c>
      <c r="E3598" s="7">
        <v>242</v>
      </c>
    </row>
    <row r="3599" spans="1:5" x14ac:dyDescent="0.25">
      <c r="A3599" s="5" t="s">
        <v>6</v>
      </c>
      <c r="B3599" s="5" t="s">
        <v>10005</v>
      </c>
      <c r="C3599" s="1" t="s">
        <v>10006</v>
      </c>
      <c r="D3599" s="1" t="s">
        <v>10007</v>
      </c>
      <c r="E3599" s="7">
        <v>1473</v>
      </c>
    </row>
    <row r="3600" spans="1:5" x14ac:dyDescent="0.25">
      <c r="A3600" s="5" t="s">
        <v>6</v>
      </c>
      <c r="B3600" s="5" t="s">
        <v>10008</v>
      </c>
      <c r="C3600" s="1" t="s">
        <v>10009</v>
      </c>
      <c r="D3600" s="1" t="s">
        <v>10010</v>
      </c>
      <c r="E3600" s="7">
        <v>259</v>
      </c>
    </row>
    <row r="3601" spans="1:5" x14ac:dyDescent="0.25">
      <c r="A3601" s="5" t="s">
        <v>6</v>
      </c>
      <c r="B3601" s="5" t="s">
        <v>10011</v>
      </c>
      <c r="C3601" s="1" t="s">
        <v>10012</v>
      </c>
      <c r="D3601" s="1" t="s">
        <v>10013</v>
      </c>
      <c r="E3601" s="7">
        <v>78</v>
      </c>
    </row>
    <row r="3602" spans="1:5" x14ac:dyDescent="0.25">
      <c r="A3602" s="5" t="s">
        <v>6</v>
      </c>
      <c r="B3602" s="5" t="s">
        <v>10014</v>
      </c>
      <c r="C3602" s="1" t="s">
        <v>10015</v>
      </c>
      <c r="D3602" s="1" t="s">
        <v>10016</v>
      </c>
      <c r="E3602" s="7">
        <v>306</v>
      </c>
    </row>
    <row r="3603" spans="1:5" x14ac:dyDescent="0.25">
      <c r="A3603" s="5" t="s">
        <v>6</v>
      </c>
      <c r="B3603" s="5" t="s">
        <v>10017</v>
      </c>
      <c r="C3603" s="1" t="s">
        <v>10018</v>
      </c>
      <c r="D3603" s="1" t="s">
        <v>10019</v>
      </c>
      <c r="E3603" s="7">
        <v>687</v>
      </c>
    </row>
    <row r="3604" spans="1:5" x14ac:dyDescent="0.25">
      <c r="A3604" s="5" t="s">
        <v>6</v>
      </c>
      <c r="B3604" s="5" t="s">
        <v>10020</v>
      </c>
      <c r="C3604" s="1" t="s">
        <v>10021</v>
      </c>
      <c r="D3604" s="1" t="s">
        <v>10022</v>
      </c>
      <c r="E3604" s="7">
        <v>436</v>
      </c>
    </row>
    <row r="3605" spans="1:5" x14ac:dyDescent="0.25">
      <c r="A3605" s="5" t="s">
        <v>6</v>
      </c>
      <c r="B3605" s="5" t="s">
        <v>10023</v>
      </c>
      <c r="C3605" s="1" t="s">
        <v>10024</v>
      </c>
      <c r="D3605" s="1" t="s">
        <v>10025</v>
      </c>
      <c r="E3605" s="7">
        <v>282</v>
      </c>
    </row>
    <row r="3606" spans="1:5" x14ac:dyDescent="0.25">
      <c r="A3606" s="5" t="s">
        <v>6</v>
      </c>
      <c r="B3606" s="5" t="s">
        <v>10026</v>
      </c>
      <c r="C3606" s="1" t="s">
        <v>10027</v>
      </c>
      <c r="D3606" s="1" t="s">
        <v>10028</v>
      </c>
      <c r="E3606" s="7">
        <v>119</v>
      </c>
    </row>
    <row r="3607" spans="1:5" x14ac:dyDescent="0.25">
      <c r="A3607" s="5" t="s">
        <v>6</v>
      </c>
      <c r="B3607" s="5" t="s">
        <v>10029</v>
      </c>
      <c r="C3607" s="1" t="s">
        <v>10030</v>
      </c>
      <c r="D3607" s="1" t="s">
        <v>10031</v>
      </c>
      <c r="E3607" s="7">
        <v>1</v>
      </c>
    </row>
    <row r="3608" spans="1:5" x14ac:dyDescent="0.25">
      <c r="A3608" s="5" t="s">
        <v>6</v>
      </c>
      <c r="B3608" s="5" t="s">
        <v>10032</v>
      </c>
      <c r="C3608" s="1" t="s">
        <v>10033</v>
      </c>
      <c r="D3608" s="1" t="s">
        <v>10034</v>
      </c>
      <c r="E3608" s="7">
        <v>1</v>
      </c>
    </row>
    <row r="3609" spans="1:5" x14ac:dyDescent="0.25">
      <c r="A3609" s="5" t="s">
        <v>6</v>
      </c>
      <c r="B3609" s="5" t="s">
        <v>10035</v>
      </c>
      <c r="C3609" s="1" t="s">
        <v>10036</v>
      </c>
      <c r="D3609" s="1" t="s">
        <v>10037</v>
      </c>
      <c r="E3609" s="7">
        <v>4</v>
      </c>
    </row>
    <row r="3610" spans="1:5" x14ac:dyDescent="0.25">
      <c r="A3610" s="5" t="s">
        <v>6</v>
      </c>
      <c r="B3610" s="5" t="s">
        <v>10038</v>
      </c>
      <c r="C3610" s="1" t="s">
        <v>10039</v>
      </c>
      <c r="D3610" s="1" t="s">
        <v>10040</v>
      </c>
      <c r="E3610" s="7">
        <v>1</v>
      </c>
    </row>
    <row r="3611" spans="1:5" x14ac:dyDescent="0.25">
      <c r="A3611" s="5" t="s">
        <v>6</v>
      </c>
      <c r="B3611" s="5" t="s">
        <v>10041</v>
      </c>
      <c r="C3611" s="1" t="s">
        <v>10042</v>
      </c>
      <c r="D3611" s="1" t="s">
        <v>10043</v>
      </c>
      <c r="E3611" s="7">
        <v>4</v>
      </c>
    </row>
    <row r="3612" spans="1:5" x14ac:dyDescent="0.25">
      <c r="A3612" s="5" t="s">
        <v>6</v>
      </c>
      <c r="B3612" s="5" t="s">
        <v>10044</v>
      </c>
      <c r="C3612" s="1" t="s">
        <v>10045</v>
      </c>
      <c r="D3612" s="1" t="s">
        <v>10046</v>
      </c>
      <c r="E3612" s="7">
        <v>1</v>
      </c>
    </row>
    <row r="3613" spans="1:5" x14ac:dyDescent="0.25">
      <c r="A3613" s="5" t="s">
        <v>6</v>
      </c>
      <c r="B3613" s="5" t="s">
        <v>10047</v>
      </c>
      <c r="C3613" s="1" t="s">
        <v>10048</v>
      </c>
      <c r="D3613" s="1" t="s">
        <v>10049</v>
      </c>
      <c r="E3613" s="7">
        <v>131</v>
      </c>
    </row>
    <row r="3614" spans="1:5" x14ac:dyDescent="0.25">
      <c r="A3614" s="5" t="s">
        <v>6</v>
      </c>
      <c r="B3614" s="5" t="s">
        <v>10050</v>
      </c>
      <c r="C3614" s="1" t="s">
        <v>10051</v>
      </c>
      <c r="D3614" s="1" t="s">
        <v>10052</v>
      </c>
      <c r="E3614" s="7">
        <v>1</v>
      </c>
    </row>
    <row r="3615" spans="1:5" x14ac:dyDescent="0.25">
      <c r="A3615" s="5" t="s">
        <v>6</v>
      </c>
      <c r="B3615" s="5" t="s">
        <v>10053</v>
      </c>
      <c r="C3615" s="1" t="s">
        <v>10054</v>
      </c>
      <c r="D3615" s="1" t="s">
        <v>10055</v>
      </c>
      <c r="E3615" s="7">
        <v>1</v>
      </c>
    </row>
    <row r="3616" spans="1:5" x14ac:dyDescent="0.25">
      <c r="A3616" s="5" t="s">
        <v>6</v>
      </c>
      <c r="B3616" s="5" t="s">
        <v>10056</v>
      </c>
      <c r="C3616" s="1" t="s">
        <v>10057</v>
      </c>
      <c r="D3616" s="1" t="s">
        <v>10058</v>
      </c>
      <c r="E3616" s="7">
        <v>219</v>
      </c>
    </row>
    <row r="3617" spans="1:5" x14ac:dyDescent="0.25">
      <c r="A3617" s="5" t="s">
        <v>6</v>
      </c>
      <c r="B3617" s="5" t="s">
        <v>10059</v>
      </c>
      <c r="C3617" s="1" t="s">
        <v>10060</v>
      </c>
      <c r="D3617" s="1" t="s">
        <v>10061</v>
      </c>
      <c r="E3617" s="7">
        <v>16</v>
      </c>
    </row>
    <row r="3618" spans="1:5" x14ac:dyDescent="0.25">
      <c r="A3618" s="5" t="s">
        <v>6</v>
      </c>
      <c r="B3618" s="5" t="s">
        <v>10062</v>
      </c>
      <c r="C3618" s="1" t="s">
        <v>10063</v>
      </c>
      <c r="D3618" s="1" t="s">
        <v>10064</v>
      </c>
      <c r="E3618" s="7">
        <v>1782</v>
      </c>
    </row>
    <row r="3619" spans="1:5" x14ac:dyDescent="0.25">
      <c r="A3619" s="5" t="s">
        <v>6</v>
      </c>
      <c r="B3619" s="5" t="s">
        <v>10065</v>
      </c>
      <c r="C3619" s="1" t="s">
        <v>10066</v>
      </c>
      <c r="D3619" s="1" t="s">
        <v>10067</v>
      </c>
      <c r="E3619" s="7">
        <v>201</v>
      </c>
    </row>
    <row r="3620" spans="1:5" x14ac:dyDescent="0.25">
      <c r="A3620" s="5" t="s">
        <v>6</v>
      </c>
      <c r="B3620" s="5" t="s">
        <v>10068</v>
      </c>
      <c r="C3620" s="1" t="s">
        <v>10069</v>
      </c>
      <c r="D3620" s="1" t="s">
        <v>10070</v>
      </c>
      <c r="E3620" s="7">
        <v>4168</v>
      </c>
    </row>
    <row r="3621" spans="1:5" x14ac:dyDescent="0.25">
      <c r="A3621" s="5" t="s">
        <v>6</v>
      </c>
      <c r="B3621" s="5" t="s">
        <v>10071</v>
      </c>
      <c r="C3621" s="1" t="s">
        <v>10072</v>
      </c>
      <c r="D3621" s="1" t="s">
        <v>10073</v>
      </c>
      <c r="E3621" s="7">
        <v>1724</v>
      </c>
    </row>
    <row r="3622" spans="1:5" x14ac:dyDescent="0.25">
      <c r="A3622" s="5" t="s">
        <v>6</v>
      </c>
      <c r="B3622" s="5" t="s">
        <v>10074</v>
      </c>
      <c r="C3622" s="1" t="s">
        <v>10075</v>
      </c>
      <c r="D3622" s="1" t="s">
        <v>10076</v>
      </c>
      <c r="E3622" s="7">
        <v>397</v>
      </c>
    </row>
    <row r="3623" spans="1:5" x14ac:dyDescent="0.25">
      <c r="A3623" s="5" t="s">
        <v>6</v>
      </c>
      <c r="B3623" s="5" t="s">
        <v>10077</v>
      </c>
      <c r="C3623" s="1" t="s">
        <v>10078</v>
      </c>
      <c r="D3623" s="1" t="s">
        <v>10079</v>
      </c>
      <c r="E3623" s="7">
        <v>330</v>
      </c>
    </row>
    <row r="3624" spans="1:5" x14ac:dyDescent="0.25">
      <c r="A3624" s="5" t="s">
        <v>6</v>
      </c>
      <c r="B3624" s="5" t="s">
        <v>10080</v>
      </c>
      <c r="C3624" s="1" t="s">
        <v>10081</v>
      </c>
      <c r="D3624" s="1" t="s">
        <v>10082</v>
      </c>
      <c r="E3624" s="7">
        <v>381</v>
      </c>
    </row>
    <row r="3625" spans="1:5" x14ac:dyDescent="0.25">
      <c r="A3625" s="5" t="s">
        <v>6</v>
      </c>
      <c r="B3625" s="5" t="s">
        <v>10083</v>
      </c>
      <c r="C3625" s="1" t="s">
        <v>10084</v>
      </c>
      <c r="D3625" s="1" t="s">
        <v>10085</v>
      </c>
      <c r="E3625" s="7">
        <v>160</v>
      </c>
    </row>
    <row r="3626" spans="1:5" x14ac:dyDescent="0.25">
      <c r="A3626" s="5" t="s">
        <v>6</v>
      </c>
      <c r="B3626" s="5" t="s">
        <v>10086</v>
      </c>
      <c r="C3626" s="1" t="s">
        <v>10087</v>
      </c>
      <c r="D3626" s="1" t="s">
        <v>10088</v>
      </c>
      <c r="E3626" s="7">
        <v>861</v>
      </c>
    </row>
    <row r="3627" spans="1:5" x14ac:dyDescent="0.25">
      <c r="A3627" s="5" t="s">
        <v>6</v>
      </c>
      <c r="B3627" s="5" t="s">
        <v>10089</v>
      </c>
      <c r="C3627" s="1" t="s">
        <v>10090</v>
      </c>
      <c r="D3627" s="1" t="s">
        <v>10091</v>
      </c>
      <c r="E3627" s="7">
        <v>694</v>
      </c>
    </row>
    <row r="3628" spans="1:5" x14ac:dyDescent="0.25">
      <c r="A3628" s="5" t="s">
        <v>6</v>
      </c>
      <c r="B3628" s="5" t="s">
        <v>10092</v>
      </c>
      <c r="C3628" s="1" t="s">
        <v>10093</v>
      </c>
      <c r="D3628" s="1" t="s">
        <v>10094</v>
      </c>
      <c r="E3628" s="7">
        <v>180</v>
      </c>
    </row>
    <row r="3629" spans="1:5" x14ac:dyDescent="0.25">
      <c r="A3629" s="5" t="s">
        <v>6</v>
      </c>
      <c r="B3629" s="5" t="s">
        <v>10095</v>
      </c>
      <c r="C3629" s="1" t="s">
        <v>10096</v>
      </c>
      <c r="D3629" s="1" t="s">
        <v>10097</v>
      </c>
      <c r="E3629" s="7">
        <v>392</v>
      </c>
    </row>
    <row r="3630" spans="1:5" x14ac:dyDescent="0.25">
      <c r="A3630" s="5" t="s">
        <v>6</v>
      </c>
      <c r="B3630" s="5" t="s">
        <v>10098</v>
      </c>
      <c r="C3630" s="1" t="s">
        <v>10099</v>
      </c>
      <c r="D3630" s="1" t="s">
        <v>10100</v>
      </c>
      <c r="E3630" s="7">
        <v>474</v>
      </c>
    </row>
    <row r="3631" spans="1:5" x14ac:dyDescent="0.25">
      <c r="A3631" s="5" t="s">
        <v>6</v>
      </c>
      <c r="B3631" s="5" t="s">
        <v>10101</v>
      </c>
      <c r="C3631" s="1" t="s">
        <v>10102</v>
      </c>
      <c r="D3631" s="1" t="s">
        <v>10103</v>
      </c>
      <c r="E3631" s="7">
        <v>1</v>
      </c>
    </row>
    <row r="3632" spans="1:5" x14ac:dyDescent="0.25">
      <c r="A3632" s="5" t="s">
        <v>6</v>
      </c>
      <c r="B3632" s="5" t="s">
        <v>10104</v>
      </c>
      <c r="C3632" s="1" t="s">
        <v>10105</v>
      </c>
      <c r="D3632" s="1" t="s">
        <v>10106</v>
      </c>
      <c r="E3632" s="7">
        <v>275</v>
      </c>
    </row>
    <row r="3633" spans="1:5" x14ac:dyDescent="0.25">
      <c r="A3633" s="5" t="s">
        <v>6</v>
      </c>
      <c r="B3633" s="5" t="s">
        <v>10107</v>
      </c>
      <c r="C3633" s="1" t="s">
        <v>10108</v>
      </c>
      <c r="D3633" s="1" t="s">
        <v>10109</v>
      </c>
      <c r="E3633" s="7">
        <v>1</v>
      </c>
    </row>
    <row r="3634" spans="1:5" x14ac:dyDescent="0.25">
      <c r="A3634" s="5" t="s">
        <v>6</v>
      </c>
      <c r="B3634" s="5" t="s">
        <v>10110</v>
      </c>
      <c r="C3634" s="1" t="s">
        <v>10111</v>
      </c>
      <c r="D3634" s="1" t="s">
        <v>10112</v>
      </c>
      <c r="E3634" s="7">
        <v>265</v>
      </c>
    </row>
    <row r="3635" spans="1:5" x14ac:dyDescent="0.25">
      <c r="A3635" s="5" t="s">
        <v>6</v>
      </c>
      <c r="B3635" s="5" t="s">
        <v>10113</v>
      </c>
      <c r="C3635" s="1" t="s">
        <v>10114</v>
      </c>
      <c r="D3635" s="1" t="s">
        <v>10115</v>
      </c>
      <c r="E3635" s="7">
        <v>432</v>
      </c>
    </row>
    <row r="3636" spans="1:5" x14ac:dyDescent="0.25">
      <c r="A3636" s="5" t="s">
        <v>6</v>
      </c>
      <c r="B3636" s="5" t="s">
        <v>10116</v>
      </c>
      <c r="C3636" s="1" t="s">
        <v>10117</v>
      </c>
      <c r="D3636" s="1" t="s">
        <v>10118</v>
      </c>
      <c r="E3636" s="7">
        <v>418</v>
      </c>
    </row>
    <row r="3637" spans="1:5" x14ac:dyDescent="0.25">
      <c r="A3637" s="5" t="s">
        <v>6</v>
      </c>
      <c r="B3637" s="5" t="s">
        <v>10119</v>
      </c>
      <c r="C3637" s="1" t="s">
        <v>10120</v>
      </c>
      <c r="D3637" s="1" t="s">
        <v>10121</v>
      </c>
      <c r="E3637" s="7">
        <v>240</v>
      </c>
    </row>
    <row r="3638" spans="1:5" x14ac:dyDescent="0.25">
      <c r="A3638" s="5" t="s">
        <v>6</v>
      </c>
      <c r="B3638" s="5" t="s">
        <v>10122</v>
      </c>
      <c r="C3638" s="1" t="s">
        <v>10123</v>
      </c>
      <c r="D3638" s="1" t="s">
        <v>10124</v>
      </c>
      <c r="E3638" s="7">
        <v>259</v>
      </c>
    </row>
    <row r="3639" spans="1:5" x14ac:dyDescent="0.25">
      <c r="A3639" s="5" t="s">
        <v>6</v>
      </c>
      <c r="B3639" s="5" t="s">
        <v>10125</v>
      </c>
      <c r="C3639" s="1" t="s">
        <v>10126</v>
      </c>
      <c r="D3639" s="1" t="s">
        <v>10127</v>
      </c>
      <c r="E3639" s="7">
        <v>210</v>
      </c>
    </row>
    <row r="3640" spans="1:5" x14ac:dyDescent="0.25">
      <c r="A3640" s="5" t="s">
        <v>6</v>
      </c>
      <c r="B3640" s="5" t="s">
        <v>10128</v>
      </c>
      <c r="C3640" s="1" t="s">
        <v>10129</v>
      </c>
      <c r="D3640" s="1" t="s">
        <v>10130</v>
      </c>
      <c r="E3640" s="7">
        <v>598</v>
      </c>
    </row>
    <row r="3641" spans="1:5" x14ac:dyDescent="0.25">
      <c r="A3641" s="5" t="s">
        <v>6</v>
      </c>
      <c r="B3641" s="5" t="s">
        <v>10131</v>
      </c>
      <c r="C3641" s="1" t="s">
        <v>10132</v>
      </c>
      <c r="D3641" s="1" t="s">
        <v>10133</v>
      </c>
      <c r="E3641" s="7">
        <v>214</v>
      </c>
    </row>
    <row r="3642" spans="1:5" x14ac:dyDescent="0.25">
      <c r="A3642" s="5" t="s">
        <v>6</v>
      </c>
      <c r="B3642" s="5" t="s">
        <v>10134</v>
      </c>
      <c r="C3642" s="1" t="s">
        <v>10135</v>
      </c>
      <c r="D3642" s="1" t="s">
        <v>10136</v>
      </c>
      <c r="E3642" s="7">
        <v>249</v>
      </c>
    </row>
    <row r="3643" spans="1:5" x14ac:dyDescent="0.25">
      <c r="A3643" s="5" t="s">
        <v>6</v>
      </c>
      <c r="B3643" s="5" t="s">
        <v>10137</v>
      </c>
      <c r="C3643" s="1" t="s">
        <v>10138</v>
      </c>
      <c r="D3643" s="1" t="s">
        <v>10139</v>
      </c>
      <c r="E3643" s="7">
        <v>606</v>
      </c>
    </row>
    <row r="3644" spans="1:5" x14ac:dyDescent="0.25">
      <c r="A3644" s="5" t="s">
        <v>6</v>
      </c>
      <c r="B3644" s="5" t="s">
        <v>10140</v>
      </c>
      <c r="C3644" s="1" t="s">
        <v>10141</v>
      </c>
      <c r="D3644" s="1" t="s">
        <v>10142</v>
      </c>
      <c r="E3644" s="7">
        <v>246</v>
      </c>
    </row>
    <row r="3645" spans="1:5" x14ac:dyDescent="0.25">
      <c r="A3645" s="5" t="s">
        <v>6</v>
      </c>
      <c r="B3645" s="5" t="s">
        <v>10143</v>
      </c>
      <c r="C3645" s="1" t="s">
        <v>10144</v>
      </c>
      <c r="D3645" s="1" t="s">
        <v>10145</v>
      </c>
      <c r="E3645" s="7">
        <v>119</v>
      </c>
    </row>
    <row r="3646" spans="1:5" x14ac:dyDescent="0.25">
      <c r="A3646" s="5" t="s">
        <v>6</v>
      </c>
      <c r="B3646" s="5" t="s">
        <v>10146</v>
      </c>
      <c r="C3646" s="1" t="s">
        <v>10147</v>
      </c>
      <c r="D3646" s="1" t="s">
        <v>10148</v>
      </c>
      <c r="E3646" s="7">
        <v>98</v>
      </c>
    </row>
    <row r="3647" spans="1:5" x14ac:dyDescent="0.25">
      <c r="A3647" s="5" t="s">
        <v>6</v>
      </c>
      <c r="B3647" s="5" t="s">
        <v>10149</v>
      </c>
      <c r="C3647" s="1" t="s">
        <v>10150</v>
      </c>
      <c r="D3647" s="1" t="s">
        <v>10151</v>
      </c>
      <c r="E3647" s="7">
        <v>1188</v>
      </c>
    </row>
    <row r="3648" spans="1:5" x14ac:dyDescent="0.25">
      <c r="A3648" s="5" t="s">
        <v>6</v>
      </c>
      <c r="B3648" s="5" t="s">
        <v>10152</v>
      </c>
      <c r="C3648" s="1" t="s">
        <v>10153</v>
      </c>
      <c r="D3648" s="1" t="s">
        <v>10154</v>
      </c>
      <c r="E3648" s="7">
        <v>333</v>
      </c>
    </row>
    <row r="3649" spans="1:5" x14ac:dyDescent="0.25">
      <c r="A3649" s="5" t="s">
        <v>6</v>
      </c>
      <c r="B3649" s="5" t="s">
        <v>10155</v>
      </c>
      <c r="C3649" s="1" t="s">
        <v>10156</v>
      </c>
      <c r="D3649" s="1" t="s">
        <v>10157</v>
      </c>
      <c r="E3649" s="7">
        <v>1</v>
      </c>
    </row>
    <row r="3650" spans="1:5" x14ac:dyDescent="0.25">
      <c r="A3650" s="5" t="s">
        <v>6</v>
      </c>
      <c r="B3650" s="5" t="s">
        <v>10158</v>
      </c>
      <c r="C3650" s="1" t="s">
        <v>10159</v>
      </c>
      <c r="D3650" s="1" t="s">
        <v>10160</v>
      </c>
      <c r="E3650" s="7">
        <v>2</v>
      </c>
    </row>
    <row r="3651" spans="1:5" x14ac:dyDescent="0.25">
      <c r="A3651" s="5" t="s">
        <v>6</v>
      </c>
      <c r="B3651" s="5" t="s">
        <v>10161</v>
      </c>
      <c r="C3651" s="1" t="s">
        <v>10162</v>
      </c>
      <c r="D3651" s="1" t="s">
        <v>10163</v>
      </c>
      <c r="E3651" s="7">
        <v>243</v>
      </c>
    </row>
    <row r="3652" spans="1:5" x14ac:dyDescent="0.25">
      <c r="A3652" s="5" t="s">
        <v>6</v>
      </c>
      <c r="B3652" s="5" t="s">
        <v>10164</v>
      </c>
      <c r="C3652" s="1" t="s">
        <v>10165</v>
      </c>
      <c r="D3652" s="1" t="s">
        <v>10166</v>
      </c>
      <c r="E3652" s="7">
        <v>7292</v>
      </c>
    </row>
    <row r="3653" spans="1:5" x14ac:dyDescent="0.25">
      <c r="A3653" s="5" t="s">
        <v>6</v>
      </c>
      <c r="B3653" s="5" t="s">
        <v>10167</v>
      </c>
      <c r="C3653" s="1" t="s">
        <v>10168</v>
      </c>
      <c r="D3653" s="1" t="s">
        <v>10169</v>
      </c>
      <c r="E3653" s="7">
        <v>589</v>
      </c>
    </row>
    <row r="3654" spans="1:5" x14ac:dyDescent="0.25">
      <c r="A3654" s="5" t="s">
        <v>6</v>
      </c>
      <c r="B3654" s="5" t="s">
        <v>10170</v>
      </c>
      <c r="C3654" s="1" t="s">
        <v>10171</v>
      </c>
      <c r="D3654" s="1" t="s">
        <v>10172</v>
      </c>
      <c r="E3654" s="7">
        <v>678</v>
      </c>
    </row>
    <row r="3655" spans="1:5" x14ac:dyDescent="0.25">
      <c r="A3655" s="5" t="s">
        <v>6</v>
      </c>
      <c r="B3655" s="5" t="s">
        <v>10173</v>
      </c>
      <c r="C3655" s="1" t="s">
        <v>10174</v>
      </c>
      <c r="D3655" s="1" t="s">
        <v>10175</v>
      </c>
      <c r="E3655" s="7">
        <v>122</v>
      </c>
    </row>
    <row r="3656" spans="1:5" x14ac:dyDescent="0.25">
      <c r="A3656" s="5" t="s">
        <v>6</v>
      </c>
      <c r="B3656" s="5" t="s">
        <v>10176</v>
      </c>
      <c r="C3656" s="1" t="s">
        <v>10177</v>
      </c>
      <c r="D3656" s="1" t="s">
        <v>10178</v>
      </c>
      <c r="E3656" s="7">
        <v>509</v>
      </c>
    </row>
    <row r="3657" spans="1:5" x14ac:dyDescent="0.25">
      <c r="A3657" s="5" t="s">
        <v>6</v>
      </c>
      <c r="B3657" s="5" t="s">
        <v>10179</v>
      </c>
      <c r="C3657" s="1" t="s">
        <v>10180</v>
      </c>
      <c r="D3657" s="1" t="s">
        <v>10181</v>
      </c>
      <c r="E3657" s="7">
        <v>678</v>
      </c>
    </row>
    <row r="3658" spans="1:5" x14ac:dyDescent="0.25">
      <c r="A3658" s="5" t="s">
        <v>6</v>
      </c>
      <c r="B3658" s="5" t="s">
        <v>10182</v>
      </c>
      <c r="C3658" s="1" t="s">
        <v>10183</v>
      </c>
      <c r="D3658" s="1" t="s">
        <v>10184</v>
      </c>
      <c r="E3658" s="7">
        <v>185</v>
      </c>
    </row>
    <row r="3659" spans="1:5" x14ac:dyDescent="0.25">
      <c r="A3659" s="5" t="s">
        <v>6</v>
      </c>
      <c r="B3659" s="5" t="s">
        <v>10185</v>
      </c>
      <c r="C3659" s="1" t="s">
        <v>10186</v>
      </c>
      <c r="D3659" s="1" t="s">
        <v>10187</v>
      </c>
      <c r="E3659" s="7">
        <v>120</v>
      </c>
    </row>
    <row r="3660" spans="1:5" x14ac:dyDescent="0.25">
      <c r="A3660" s="5" t="s">
        <v>6</v>
      </c>
      <c r="B3660" s="5" t="s">
        <v>10188</v>
      </c>
      <c r="C3660" s="1" t="s">
        <v>10189</v>
      </c>
      <c r="D3660" s="1" t="s">
        <v>10189</v>
      </c>
      <c r="E3660" s="7">
        <v>16</v>
      </c>
    </row>
    <row r="3661" spans="1:5" x14ac:dyDescent="0.25">
      <c r="A3661" s="5" t="s">
        <v>6</v>
      </c>
      <c r="B3661" s="5" t="s">
        <v>10190</v>
      </c>
      <c r="C3661" s="1" t="s">
        <v>10191</v>
      </c>
      <c r="D3661" s="1" t="s">
        <v>10192</v>
      </c>
      <c r="E3661" s="7">
        <v>96</v>
      </c>
    </row>
    <row r="3662" spans="1:5" x14ac:dyDescent="0.25">
      <c r="A3662" s="5" t="s">
        <v>6</v>
      </c>
      <c r="B3662" s="5" t="s">
        <v>10193</v>
      </c>
      <c r="C3662" s="1" t="s">
        <v>10194</v>
      </c>
      <c r="D3662" s="1" t="s">
        <v>10195</v>
      </c>
      <c r="E3662" s="7">
        <v>553</v>
      </c>
    </row>
    <row r="3663" spans="1:5" x14ac:dyDescent="0.25">
      <c r="A3663" s="5" t="s">
        <v>6</v>
      </c>
      <c r="B3663" s="5" t="s">
        <v>10196</v>
      </c>
      <c r="C3663" s="1" t="s">
        <v>10197</v>
      </c>
      <c r="D3663" s="1" t="s">
        <v>10198</v>
      </c>
      <c r="E3663" s="7">
        <v>68</v>
      </c>
    </row>
    <row r="3664" spans="1:5" x14ac:dyDescent="0.25">
      <c r="A3664" s="5" t="s">
        <v>6</v>
      </c>
      <c r="B3664" s="5" t="s">
        <v>10199</v>
      </c>
      <c r="C3664" s="1" t="s">
        <v>10200</v>
      </c>
      <c r="D3664" s="1" t="s">
        <v>10201</v>
      </c>
      <c r="E3664" s="7">
        <v>66</v>
      </c>
    </row>
    <row r="3665" spans="1:5" x14ac:dyDescent="0.25">
      <c r="A3665" s="5" t="s">
        <v>6</v>
      </c>
      <c r="B3665" s="5" t="s">
        <v>10202</v>
      </c>
      <c r="C3665" s="1" t="s">
        <v>10203</v>
      </c>
      <c r="D3665" s="1" t="s">
        <v>10204</v>
      </c>
      <c r="E3665" s="7">
        <v>1419</v>
      </c>
    </row>
    <row r="3666" spans="1:5" x14ac:dyDescent="0.25">
      <c r="A3666" s="5" t="s">
        <v>6</v>
      </c>
      <c r="B3666" s="5" t="s">
        <v>10205</v>
      </c>
      <c r="C3666" s="1" t="s">
        <v>10206</v>
      </c>
      <c r="D3666" s="1" t="s">
        <v>10207</v>
      </c>
      <c r="E3666" s="7">
        <v>19</v>
      </c>
    </row>
    <row r="3667" spans="1:5" x14ac:dyDescent="0.25">
      <c r="A3667" s="5" t="s">
        <v>6</v>
      </c>
      <c r="B3667" s="5" t="s">
        <v>10208</v>
      </c>
      <c r="C3667" s="1" t="s">
        <v>10209</v>
      </c>
      <c r="D3667" s="1" t="s">
        <v>10210</v>
      </c>
      <c r="E3667" s="7">
        <v>1</v>
      </c>
    </row>
    <row r="3668" spans="1:5" x14ac:dyDescent="0.25">
      <c r="A3668" s="5" t="s">
        <v>6</v>
      </c>
      <c r="B3668" s="5" t="s">
        <v>10211</v>
      </c>
      <c r="C3668" s="1" t="s">
        <v>10212</v>
      </c>
      <c r="D3668" s="1" t="s">
        <v>10213</v>
      </c>
      <c r="E3668" s="7">
        <v>5329</v>
      </c>
    </row>
    <row r="3669" spans="1:5" x14ac:dyDescent="0.25">
      <c r="A3669" s="5" t="s">
        <v>6</v>
      </c>
      <c r="B3669" s="5" t="s">
        <v>10214</v>
      </c>
      <c r="C3669" s="1" t="s">
        <v>10215</v>
      </c>
      <c r="D3669" s="1" t="s">
        <v>10216</v>
      </c>
      <c r="E3669" s="7">
        <v>5669</v>
      </c>
    </row>
    <row r="3670" spans="1:5" x14ac:dyDescent="0.25">
      <c r="A3670" s="5" t="s">
        <v>6</v>
      </c>
      <c r="B3670" s="5" t="s">
        <v>10217</v>
      </c>
      <c r="C3670" s="1" t="s">
        <v>10218</v>
      </c>
      <c r="D3670" s="1" t="s">
        <v>10219</v>
      </c>
      <c r="E3670" s="7">
        <v>14.56</v>
      </c>
    </row>
    <row r="3671" spans="1:5" x14ac:dyDescent="0.25">
      <c r="A3671" s="5" t="s">
        <v>6</v>
      </c>
      <c r="B3671" s="5" t="s">
        <v>10220</v>
      </c>
      <c r="C3671" s="1" t="s">
        <v>10221</v>
      </c>
      <c r="D3671" s="1" t="s">
        <v>10222</v>
      </c>
      <c r="E3671" s="7">
        <v>10</v>
      </c>
    </row>
    <row r="3672" spans="1:5" x14ac:dyDescent="0.25">
      <c r="A3672" s="5" t="s">
        <v>6</v>
      </c>
      <c r="B3672" s="5" t="s">
        <v>10223</v>
      </c>
      <c r="C3672" s="1" t="s">
        <v>10224</v>
      </c>
      <c r="D3672" s="1" t="s">
        <v>10225</v>
      </c>
      <c r="E3672" s="7">
        <v>3</v>
      </c>
    </row>
    <row r="3673" spans="1:5" x14ac:dyDescent="0.25">
      <c r="A3673" s="5" t="s">
        <v>6</v>
      </c>
      <c r="B3673" s="5" t="s">
        <v>10226</v>
      </c>
      <c r="C3673" s="1" t="s">
        <v>10227</v>
      </c>
      <c r="D3673" s="1" t="s">
        <v>10228</v>
      </c>
      <c r="E3673" s="7">
        <v>342</v>
      </c>
    </row>
    <row r="3674" spans="1:5" x14ac:dyDescent="0.25">
      <c r="A3674" s="5" t="s">
        <v>6</v>
      </c>
      <c r="B3674" s="5" t="s">
        <v>10229</v>
      </c>
      <c r="C3674" s="1" t="s">
        <v>10230</v>
      </c>
      <c r="D3674" s="1" t="s">
        <v>10231</v>
      </c>
      <c r="E3674" s="7">
        <v>569</v>
      </c>
    </row>
    <row r="3675" spans="1:5" x14ac:dyDescent="0.25">
      <c r="A3675" s="5" t="s">
        <v>6</v>
      </c>
      <c r="B3675" s="5" t="s">
        <v>10232</v>
      </c>
      <c r="C3675" s="1" t="s">
        <v>10233</v>
      </c>
      <c r="D3675" s="1" t="s">
        <v>10234</v>
      </c>
      <c r="E3675" s="7">
        <v>16</v>
      </c>
    </row>
    <row r="3676" spans="1:5" x14ac:dyDescent="0.25">
      <c r="A3676" s="5" t="s">
        <v>6</v>
      </c>
      <c r="B3676" s="5" t="s">
        <v>10235</v>
      </c>
      <c r="C3676" s="1" t="s">
        <v>10236</v>
      </c>
      <c r="D3676" s="1" t="s">
        <v>10237</v>
      </c>
      <c r="E3676" s="7">
        <v>3</v>
      </c>
    </row>
    <row r="3677" spans="1:5" x14ac:dyDescent="0.25">
      <c r="A3677" s="5" t="s">
        <v>6</v>
      </c>
      <c r="B3677" s="5" t="s">
        <v>10238</v>
      </c>
      <c r="C3677" s="1" t="s">
        <v>10239</v>
      </c>
      <c r="D3677" s="1" t="s">
        <v>10240</v>
      </c>
      <c r="E3677" s="7">
        <v>197</v>
      </c>
    </row>
    <row r="3678" spans="1:5" x14ac:dyDescent="0.25">
      <c r="A3678" s="5" t="s">
        <v>6</v>
      </c>
      <c r="B3678" s="5" t="s">
        <v>10241</v>
      </c>
      <c r="C3678" s="1" t="s">
        <v>10242</v>
      </c>
      <c r="D3678" s="1" t="s">
        <v>10243</v>
      </c>
      <c r="E3678" s="7">
        <v>81</v>
      </c>
    </row>
    <row r="3679" spans="1:5" x14ac:dyDescent="0.25">
      <c r="A3679" s="5" t="s">
        <v>6</v>
      </c>
      <c r="B3679" s="5" t="s">
        <v>10244</v>
      </c>
      <c r="C3679" s="1" t="s">
        <v>10245</v>
      </c>
      <c r="D3679" s="1" t="s">
        <v>10246</v>
      </c>
      <c r="E3679" s="7">
        <v>154</v>
      </c>
    </row>
    <row r="3680" spans="1:5" x14ac:dyDescent="0.25">
      <c r="A3680" s="5" t="s">
        <v>6</v>
      </c>
      <c r="B3680" s="5" t="s">
        <v>10247</v>
      </c>
      <c r="C3680" s="1" t="s">
        <v>10248</v>
      </c>
      <c r="D3680" s="1" t="s">
        <v>10249</v>
      </c>
      <c r="E3680" s="7">
        <v>80</v>
      </c>
    </row>
    <row r="3681" spans="1:5" x14ac:dyDescent="0.25">
      <c r="A3681" s="5" t="s">
        <v>6</v>
      </c>
      <c r="B3681" s="5" t="s">
        <v>10250</v>
      </c>
      <c r="C3681" s="1" t="s">
        <v>10251</v>
      </c>
      <c r="D3681" s="1" t="s">
        <v>10252</v>
      </c>
      <c r="E3681" s="7">
        <v>383</v>
      </c>
    </row>
    <row r="3682" spans="1:5" x14ac:dyDescent="0.25">
      <c r="A3682" s="5" t="s">
        <v>6</v>
      </c>
      <c r="B3682" s="5" t="s">
        <v>10253</v>
      </c>
      <c r="C3682" s="1" t="s">
        <v>10254</v>
      </c>
      <c r="D3682" s="1" t="s">
        <v>10255</v>
      </c>
      <c r="E3682" s="7">
        <v>244</v>
      </c>
    </row>
    <row r="3683" spans="1:5" x14ac:dyDescent="0.25">
      <c r="A3683" s="5" t="s">
        <v>6</v>
      </c>
      <c r="B3683" s="5" t="s">
        <v>10256</v>
      </c>
      <c r="C3683" s="1" t="s">
        <v>10257</v>
      </c>
      <c r="D3683" s="1" t="s">
        <v>10258</v>
      </c>
      <c r="E3683" s="7">
        <v>94</v>
      </c>
    </row>
    <row r="3684" spans="1:5" x14ac:dyDescent="0.25">
      <c r="A3684" s="5" t="s">
        <v>6</v>
      </c>
      <c r="B3684" s="5" t="s">
        <v>10259</v>
      </c>
      <c r="C3684" s="1" t="s">
        <v>10260</v>
      </c>
      <c r="D3684" s="1" t="s">
        <v>10261</v>
      </c>
      <c r="E3684" s="7">
        <v>197</v>
      </c>
    </row>
    <row r="3685" spans="1:5" x14ac:dyDescent="0.25">
      <c r="A3685" s="5" t="s">
        <v>6</v>
      </c>
      <c r="B3685" s="5" t="s">
        <v>10262</v>
      </c>
      <c r="C3685" s="1" t="s">
        <v>10263</v>
      </c>
      <c r="D3685" s="1" t="s">
        <v>10264</v>
      </c>
      <c r="E3685" s="7">
        <v>302</v>
      </c>
    </row>
    <row r="3686" spans="1:5" x14ac:dyDescent="0.25">
      <c r="A3686" s="5" t="s">
        <v>6</v>
      </c>
      <c r="B3686" s="5" t="s">
        <v>10265</v>
      </c>
      <c r="C3686" s="1" t="s">
        <v>10266</v>
      </c>
      <c r="D3686" s="1" t="s">
        <v>10267</v>
      </c>
      <c r="E3686" s="7">
        <v>383</v>
      </c>
    </row>
    <row r="3687" spans="1:5" x14ac:dyDescent="0.25">
      <c r="A3687" s="5" t="s">
        <v>6</v>
      </c>
      <c r="B3687" s="5" t="s">
        <v>10268</v>
      </c>
      <c r="C3687" s="1" t="s">
        <v>10269</v>
      </c>
      <c r="D3687" s="1" t="s">
        <v>10270</v>
      </c>
      <c r="E3687" s="7">
        <v>252</v>
      </c>
    </row>
    <row r="3688" spans="1:5" x14ac:dyDescent="0.25">
      <c r="A3688" s="5" t="s">
        <v>6</v>
      </c>
      <c r="B3688" s="5" t="s">
        <v>10271</v>
      </c>
      <c r="C3688" s="1" t="s">
        <v>10272</v>
      </c>
      <c r="D3688" s="1" t="s">
        <v>10273</v>
      </c>
      <c r="E3688" s="7">
        <v>186</v>
      </c>
    </row>
    <row r="3689" spans="1:5" x14ac:dyDescent="0.25">
      <c r="A3689" s="5" t="s">
        <v>6</v>
      </c>
      <c r="B3689" s="5" t="s">
        <v>10274</v>
      </c>
      <c r="C3689" s="1" t="s">
        <v>10275</v>
      </c>
      <c r="D3689" s="1" t="s">
        <v>10276</v>
      </c>
      <c r="E3689" s="7">
        <v>94</v>
      </c>
    </row>
    <row r="3690" spans="1:5" x14ac:dyDescent="0.25">
      <c r="A3690" s="5" t="s">
        <v>6</v>
      </c>
      <c r="B3690" s="5" t="s">
        <v>10277</v>
      </c>
      <c r="C3690" s="1" t="s">
        <v>10278</v>
      </c>
      <c r="D3690" s="1" t="s">
        <v>10279</v>
      </c>
      <c r="E3690" s="7">
        <v>203</v>
      </c>
    </row>
    <row r="3691" spans="1:5" x14ac:dyDescent="0.25">
      <c r="A3691" s="5" t="s">
        <v>6</v>
      </c>
      <c r="B3691" s="5" t="s">
        <v>10280</v>
      </c>
      <c r="C3691" s="1" t="s">
        <v>10281</v>
      </c>
      <c r="D3691" s="1" t="s">
        <v>10282</v>
      </c>
      <c r="E3691" s="7">
        <v>140</v>
      </c>
    </row>
    <row r="3692" spans="1:5" x14ac:dyDescent="0.25">
      <c r="A3692" s="5" t="s">
        <v>6</v>
      </c>
      <c r="B3692" s="5" t="s">
        <v>10283</v>
      </c>
      <c r="C3692" s="1" t="s">
        <v>10284</v>
      </c>
      <c r="D3692" s="1" t="s">
        <v>10285</v>
      </c>
      <c r="E3692" s="7">
        <v>355</v>
      </c>
    </row>
    <row r="3693" spans="1:5" x14ac:dyDescent="0.25">
      <c r="A3693" s="5" t="s">
        <v>6</v>
      </c>
      <c r="B3693" s="5" t="s">
        <v>10286</v>
      </c>
      <c r="C3693" s="1" t="s">
        <v>10287</v>
      </c>
      <c r="D3693" s="1" t="s">
        <v>10276</v>
      </c>
      <c r="E3693" s="7">
        <v>63</v>
      </c>
    </row>
    <row r="3694" spans="1:5" x14ac:dyDescent="0.25">
      <c r="A3694" s="5" t="s">
        <v>6</v>
      </c>
      <c r="B3694" s="5" t="s">
        <v>10288</v>
      </c>
      <c r="C3694" s="1" t="s">
        <v>10289</v>
      </c>
      <c r="D3694" s="1" t="s">
        <v>10290</v>
      </c>
      <c r="E3694" s="7">
        <v>45</v>
      </c>
    </row>
    <row r="3695" spans="1:5" x14ac:dyDescent="0.25">
      <c r="A3695" s="5" t="s">
        <v>6</v>
      </c>
      <c r="B3695" s="5" t="s">
        <v>10291</v>
      </c>
      <c r="C3695" s="1" t="s">
        <v>10292</v>
      </c>
      <c r="D3695" s="1" t="s">
        <v>10293</v>
      </c>
      <c r="E3695" s="7">
        <v>203</v>
      </c>
    </row>
    <row r="3696" spans="1:5" x14ac:dyDescent="0.25">
      <c r="A3696" s="5" t="s">
        <v>6</v>
      </c>
      <c r="B3696" s="5" t="s">
        <v>10294</v>
      </c>
      <c r="C3696" s="1" t="s">
        <v>10295</v>
      </c>
      <c r="D3696" s="1" t="s">
        <v>10296</v>
      </c>
      <c r="E3696" s="7">
        <v>383</v>
      </c>
    </row>
    <row r="3697" spans="1:5" x14ac:dyDescent="0.25">
      <c r="A3697" s="5" t="s">
        <v>6</v>
      </c>
      <c r="B3697" s="5" t="s">
        <v>10297</v>
      </c>
      <c r="C3697" s="1" t="s">
        <v>10298</v>
      </c>
      <c r="D3697" s="1" t="s">
        <v>10299</v>
      </c>
      <c r="E3697" s="7">
        <v>197</v>
      </c>
    </row>
    <row r="3698" spans="1:5" x14ac:dyDescent="0.25">
      <c r="A3698" s="5" t="s">
        <v>6</v>
      </c>
      <c r="B3698" s="5" t="s">
        <v>10300</v>
      </c>
      <c r="C3698" s="1" t="s">
        <v>10301</v>
      </c>
      <c r="D3698" s="1" t="s">
        <v>10302</v>
      </c>
      <c r="E3698" s="7">
        <v>12</v>
      </c>
    </row>
    <row r="3699" spans="1:5" x14ac:dyDescent="0.25">
      <c r="A3699" s="5" t="s">
        <v>6</v>
      </c>
      <c r="B3699" s="5" t="s">
        <v>10303</v>
      </c>
      <c r="C3699" s="1" t="s">
        <v>10304</v>
      </c>
      <c r="D3699" s="1" t="s">
        <v>10279</v>
      </c>
      <c r="E3699" s="7">
        <v>203</v>
      </c>
    </row>
    <row r="3700" spans="1:5" x14ac:dyDescent="0.25">
      <c r="A3700" s="5" t="s">
        <v>6</v>
      </c>
      <c r="B3700" s="5" t="s">
        <v>10305</v>
      </c>
      <c r="C3700" s="1" t="s">
        <v>10306</v>
      </c>
      <c r="D3700" s="1" t="s">
        <v>10279</v>
      </c>
      <c r="E3700" s="7">
        <v>59</v>
      </c>
    </row>
    <row r="3701" spans="1:5" x14ac:dyDescent="0.25">
      <c r="A3701" s="5" t="s">
        <v>6</v>
      </c>
      <c r="B3701" s="5" t="s">
        <v>10307</v>
      </c>
      <c r="C3701" s="1" t="s">
        <v>10308</v>
      </c>
      <c r="D3701" s="1" t="s">
        <v>10309</v>
      </c>
      <c r="E3701" s="7">
        <v>383</v>
      </c>
    </row>
    <row r="3702" spans="1:5" x14ac:dyDescent="0.25">
      <c r="A3702" s="5" t="s">
        <v>6</v>
      </c>
      <c r="B3702" s="5" t="s">
        <v>10310</v>
      </c>
      <c r="C3702" s="1" t="s">
        <v>10311</v>
      </c>
      <c r="D3702" s="1" t="s">
        <v>10312</v>
      </c>
      <c r="E3702" s="7">
        <v>474</v>
      </c>
    </row>
    <row r="3703" spans="1:5" x14ac:dyDescent="0.25">
      <c r="A3703" s="5" t="s">
        <v>6</v>
      </c>
      <c r="B3703" s="5" t="s">
        <v>10313</v>
      </c>
      <c r="C3703" s="1" t="s">
        <v>10314</v>
      </c>
      <c r="D3703" s="1" t="s">
        <v>10315</v>
      </c>
      <c r="E3703" s="7">
        <v>137</v>
      </c>
    </row>
    <row r="3704" spans="1:5" x14ac:dyDescent="0.25">
      <c r="A3704" s="5" t="s">
        <v>6</v>
      </c>
      <c r="B3704" s="5" t="s">
        <v>10316</v>
      </c>
      <c r="C3704" s="1" t="s">
        <v>10317</v>
      </c>
      <c r="D3704" s="1" t="s">
        <v>10318</v>
      </c>
      <c r="E3704" s="7">
        <v>5</v>
      </c>
    </row>
    <row r="3705" spans="1:5" x14ac:dyDescent="0.25">
      <c r="A3705" s="5" t="s">
        <v>6</v>
      </c>
      <c r="B3705" s="5" t="s">
        <v>10319</v>
      </c>
      <c r="C3705" s="1" t="s">
        <v>10320</v>
      </c>
      <c r="D3705" s="1" t="s">
        <v>10321</v>
      </c>
      <c r="E3705" s="7">
        <v>402</v>
      </c>
    </row>
    <row r="3706" spans="1:5" x14ac:dyDescent="0.25">
      <c r="A3706" s="5" t="s">
        <v>6</v>
      </c>
      <c r="B3706" s="5" t="s">
        <v>10322</v>
      </c>
      <c r="C3706" s="1" t="s">
        <v>10323</v>
      </c>
      <c r="D3706" s="1" t="s">
        <v>10324</v>
      </c>
      <c r="E3706" s="7">
        <v>383</v>
      </c>
    </row>
    <row r="3707" spans="1:5" x14ac:dyDescent="0.25">
      <c r="A3707" s="5" t="s">
        <v>6</v>
      </c>
      <c r="B3707" s="5" t="s">
        <v>10325</v>
      </c>
      <c r="C3707" s="1" t="s">
        <v>10326</v>
      </c>
      <c r="D3707" s="1" t="s">
        <v>10327</v>
      </c>
      <c r="E3707" s="7">
        <v>105</v>
      </c>
    </row>
    <row r="3708" spans="1:5" x14ac:dyDescent="0.25">
      <c r="A3708" s="5" t="s">
        <v>6</v>
      </c>
      <c r="B3708" s="5" t="s">
        <v>10328</v>
      </c>
      <c r="C3708" s="1" t="s">
        <v>10329</v>
      </c>
      <c r="D3708" s="1" t="s">
        <v>10327</v>
      </c>
      <c r="E3708" s="7">
        <v>18</v>
      </c>
    </row>
    <row r="3709" spans="1:5" x14ac:dyDescent="0.25">
      <c r="A3709" s="5" t="s">
        <v>6</v>
      </c>
      <c r="B3709" s="5" t="s">
        <v>10330</v>
      </c>
      <c r="C3709" s="1" t="s">
        <v>10331</v>
      </c>
      <c r="D3709" s="1" t="s">
        <v>10332</v>
      </c>
      <c r="E3709" s="7">
        <v>402</v>
      </c>
    </row>
    <row r="3710" spans="1:5" x14ac:dyDescent="0.25">
      <c r="A3710" s="5" t="s">
        <v>6</v>
      </c>
      <c r="B3710" s="5" t="s">
        <v>10333</v>
      </c>
      <c r="C3710" s="1" t="s">
        <v>10334</v>
      </c>
      <c r="D3710" s="1" t="s">
        <v>10335</v>
      </c>
      <c r="E3710" s="7">
        <v>336</v>
      </c>
    </row>
    <row r="3711" spans="1:5" x14ac:dyDescent="0.25">
      <c r="A3711" s="5" t="s">
        <v>6</v>
      </c>
      <c r="B3711" s="5" t="s">
        <v>10336</v>
      </c>
      <c r="C3711" s="1" t="s">
        <v>10337</v>
      </c>
      <c r="D3711" s="1" t="s">
        <v>10338</v>
      </c>
      <c r="E3711" s="7">
        <v>1</v>
      </c>
    </row>
    <row r="3712" spans="1:5" x14ac:dyDescent="0.25">
      <c r="A3712" s="5" t="s">
        <v>6</v>
      </c>
      <c r="B3712" s="5" t="s">
        <v>10339</v>
      </c>
      <c r="C3712" s="1" t="s">
        <v>10340</v>
      </c>
      <c r="D3712" s="1" t="s">
        <v>10341</v>
      </c>
      <c r="E3712" s="7">
        <v>269</v>
      </c>
    </row>
    <row r="3713" spans="1:5" x14ac:dyDescent="0.25">
      <c r="A3713" s="5" t="s">
        <v>6</v>
      </c>
      <c r="B3713" s="5" t="s">
        <v>10342</v>
      </c>
      <c r="C3713" s="1" t="s">
        <v>10343</v>
      </c>
      <c r="D3713" s="1" t="s">
        <v>10344</v>
      </c>
      <c r="E3713" s="7">
        <v>45</v>
      </c>
    </row>
    <row r="3714" spans="1:5" x14ac:dyDescent="0.25">
      <c r="A3714" s="5" t="s">
        <v>6</v>
      </c>
      <c r="B3714" s="5" t="s">
        <v>10345</v>
      </c>
      <c r="C3714" s="1" t="s">
        <v>10346</v>
      </c>
      <c r="D3714" s="1" t="s">
        <v>10347</v>
      </c>
      <c r="E3714" s="7">
        <v>436</v>
      </c>
    </row>
    <row r="3715" spans="1:5" x14ac:dyDescent="0.25">
      <c r="A3715" s="5" t="s">
        <v>6</v>
      </c>
      <c r="B3715" s="5" t="s">
        <v>10348</v>
      </c>
      <c r="C3715" s="1" t="s">
        <v>10349</v>
      </c>
      <c r="D3715" s="1" t="s">
        <v>10350</v>
      </c>
      <c r="E3715" s="7">
        <v>284</v>
      </c>
    </row>
    <row r="3716" spans="1:5" x14ac:dyDescent="0.25">
      <c r="A3716" s="5" t="s">
        <v>6</v>
      </c>
      <c r="B3716" s="5" t="s">
        <v>10351</v>
      </c>
      <c r="C3716" s="1" t="s">
        <v>10352</v>
      </c>
      <c r="D3716" s="1" t="s">
        <v>10353</v>
      </c>
      <c r="E3716" s="7">
        <v>460</v>
      </c>
    </row>
    <row r="3717" spans="1:5" x14ac:dyDescent="0.25">
      <c r="A3717" s="5" t="s">
        <v>6</v>
      </c>
      <c r="B3717" s="5" t="s">
        <v>10354</v>
      </c>
      <c r="C3717" s="1" t="s">
        <v>10355</v>
      </c>
      <c r="D3717" s="1" t="s">
        <v>10356</v>
      </c>
      <c r="E3717" s="7">
        <v>214</v>
      </c>
    </row>
    <row r="3718" spans="1:5" x14ac:dyDescent="0.25">
      <c r="A3718" s="5" t="s">
        <v>6</v>
      </c>
      <c r="B3718" s="5" t="s">
        <v>10357</v>
      </c>
      <c r="C3718" s="1" t="s">
        <v>10358</v>
      </c>
      <c r="D3718" s="1" t="s">
        <v>10359</v>
      </c>
      <c r="E3718" s="7">
        <v>2</v>
      </c>
    </row>
    <row r="3719" spans="1:5" x14ac:dyDescent="0.25">
      <c r="A3719" s="5" t="s">
        <v>6</v>
      </c>
      <c r="B3719" s="5" t="s">
        <v>10360</v>
      </c>
      <c r="C3719" s="1" t="s">
        <v>10361</v>
      </c>
      <c r="D3719" s="1" t="s">
        <v>10362</v>
      </c>
      <c r="E3719" s="7">
        <v>402</v>
      </c>
    </row>
    <row r="3720" spans="1:5" x14ac:dyDescent="0.25">
      <c r="A3720" s="5" t="s">
        <v>6</v>
      </c>
      <c r="B3720" s="5" t="s">
        <v>10363</v>
      </c>
      <c r="C3720" s="1" t="s">
        <v>10364</v>
      </c>
      <c r="D3720" s="1" t="s">
        <v>10365</v>
      </c>
      <c r="E3720" s="7">
        <v>278</v>
      </c>
    </row>
    <row r="3721" spans="1:5" x14ac:dyDescent="0.25">
      <c r="A3721" s="5" t="s">
        <v>6</v>
      </c>
      <c r="B3721" s="5" t="s">
        <v>10366</v>
      </c>
      <c r="C3721" s="1" t="s">
        <v>10367</v>
      </c>
      <c r="D3721" s="1" t="s">
        <v>10368</v>
      </c>
      <c r="E3721" s="7">
        <v>0.97</v>
      </c>
    </row>
    <row r="3722" spans="1:5" x14ac:dyDescent="0.25">
      <c r="A3722" s="5" t="s">
        <v>6</v>
      </c>
      <c r="B3722" s="5" t="s">
        <v>10369</v>
      </c>
      <c r="C3722" s="1" t="s">
        <v>10370</v>
      </c>
      <c r="D3722" s="1" t="s">
        <v>10371</v>
      </c>
      <c r="E3722" s="7">
        <v>14</v>
      </c>
    </row>
    <row r="3723" spans="1:5" x14ac:dyDescent="0.25">
      <c r="A3723" s="5" t="s">
        <v>6</v>
      </c>
      <c r="B3723" s="5" t="s">
        <v>10372</v>
      </c>
      <c r="C3723" s="1" t="s">
        <v>10373</v>
      </c>
      <c r="D3723" s="1" t="s">
        <v>10374</v>
      </c>
      <c r="E3723" s="7">
        <v>624</v>
      </c>
    </row>
    <row r="3724" spans="1:5" x14ac:dyDescent="0.25">
      <c r="A3724" s="5" t="s">
        <v>6</v>
      </c>
      <c r="B3724" s="5" t="s">
        <v>10375</v>
      </c>
      <c r="C3724" s="1" t="s">
        <v>10376</v>
      </c>
      <c r="D3724" s="1" t="s">
        <v>10377</v>
      </c>
      <c r="E3724" s="7">
        <v>63</v>
      </c>
    </row>
    <row r="3725" spans="1:5" x14ac:dyDescent="0.25">
      <c r="A3725" s="5" t="s">
        <v>6</v>
      </c>
      <c r="B3725" s="5" t="s">
        <v>10378</v>
      </c>
      <c r="C3725" s="1" t="s">
        <v>10379</v>
      </c>
      <c r="D3725" s="1" t="s">
        <v>10380</v>
      </c>
      <c r="E3725" s="7">
        <v>52</v>
      </c>
    </row>
    <row r="3726" spans="1:5" x14ac:dyDescent="0.25">
      <c r="A3726" s="5" t="s">
        <v>6</v>
      </c>
      <c r="B3726" s="5" t="s">
        <v>10381</v>
      </c>
      <c r="C3726" s="1" t="s">
        <v>10382</v>
      </c>
      <c r="D3726" s="1" t="s">
        <v>10383</v>
      </c>
      <c r="E3726" s="7">
        <v>11</v>
      </c>
    </row>
    <row r="3727" spans="1:5" x14ac:dyDescent="0.25">
      <c r="A3727" s="5" t="s">
        <v>6</v>
      </c>
      <c r="B3727" s="5" t="s">
        <v>10384</v>
      </c>
      <c r="C3727" s="1" t="s">
        <v>10385</v>
      </c>
      <c r="D3727" s="1" t="s">
        <v>10386</v>
      </c>
      <c r="E3727" s="7">
        <v>1678</v>
      </c>
    </row>
    <row r="3728" spans="1:5" x14ac:dyDescent="0.25">
      <c r="A3728" s="5" t="s">
        <v>6</v>
      </c>
      <c r="B3728" s="5" t="s">
        <v>10387</v>
      </c>
      <c r="C3728" s="1" t="s">
        <v>10388</v>
      </c>
      <c r="D3728" s="1" t="s">
        <v>10389</v>
      </c>
      <c r="E3728" s="7">
        <v>156</v>
      </c>
    </row>
    <row r="3729" spans="1:5" x14ac:dyDescent="0.25">
      <c r="A3729" s="5" t="s">
        <v>6</v>
      </c>
      <c r="B3729" s="5" t="s">
        <v>10390</v>
      </c>
      <c r="C3729" s="1" t="s">
        <v>10391</v>
      </c>
      <c r="D3729" s="1" t="s">
        <v>10392</v>
      </c>
      <c r="E3729" s="7">
        <v>421</v>
      </c>
    </row>
    <row r="3730" spans="1:5" x14ac:dyDescent="0.25">
      <c r="A3730" s="5" t="s">
        <v>6</v>
      </c>
      <c r="B3730" s="5" t="s">
        <v>10393</v>
      </c>
      <c r="C3730" s="1" t="s">
        <v>10394</v>
      </c>
      <c r="D3730" s="1" t="s">
        <v>10394</v>
      </c>
      <c r="E3730" s="7">
        <v>254</v>
      </c>
    </row>
    <row r="3731" spans="1:5" x14ac:dyDescent="0.25">
      <c r="A3731" s="5" t="s">
        <v>6</v>
      </c>
      <c r="B3731" s="5" t="s">
        <v>10395</v>
      </c>
      <c r="C3731" s="1" t="s">
        <v>10396</v>
      </c>
      <c r="D3731" s="1" t="s">
        <v>10397</v>
      </c>
      <c r="E3731" s="7">
        <v>197</v>
      </c>
    </row>
    <row r="3732" spans="1:5" x14ac:dyDescent="0.25">
      <c r="A3732" s="5" t="s">
        <v>6</v>
      </c>
      <c r="B3732" s="5" t="s">
        <v>10398</v>
      </c>
      <c r="C3732" s="1" t="s">
        <v>10399</v>
      </c>
      <c r="D3732" s="1" t="s">
        <v>10400</v>
      </c>
      <c r="E3732" s="7">
        <v>330</v>
      </c>
    </row>
    <row r="3733" spans="1:5" x14ac:dyDescent="0.25">
      <c r="A3733" s="5" t="s">
        <v>6</v>
      </c>
      <c r="B3733" s="5" t="s">
        <v>10401</v>
      </c>
      <c r="C3733" s="1" t="s">
        <v>10402</v>
      </c>
      <c r="D3733" s="1" t="s">
        <v>10403</v>
      </c>
      <c r="E3733" s="7">
        <v>306</v>
      </c>
    </row>
    <row r="3734" spans="1:5" x14ac:dyDescent="0.25">
      <c r="A3734" s="5" t="s">
        <v>6</v>
      </c>
      <c r="B3734" s="5" t="s">
        <v>10404</v>
      </c>
      <c r="C3734" s="1" t="s">
        <v>10405</v>
      </c>
      <c r="D3734" s="1" t="s">
        <v>10406</v>
      </c>
      <c r="E3734" s="7">
        <v>684</v>
      </c>
    </row>
    <row r="3735" spans="1:5" x14ac:dyDescent="0.25">
      <c r="A3735" s="5" t="s">
        <v>6</v>
      </c>
      <c r="B3735" s="5" t="s">
        <v>10407</v>
      </c>
      <c r="C3735" s="1" t="s">
        <v>10408</v>
      </c>
      <c r="D3735" s="1" t="s">
        <v>10409</v>
      </c>
      <c r="E3735" s="7">
        <v>72</v>
      </c>
    </row>
    <row r="3736" spans="1:5" x14ac:dyDescent="0.25">
      <c r="A3736" s="5" t="s">
        <v>6</v>
      </c>
      <c r="B3736" s="5" t="s">
        <v>10410</v>
      </c>
      <c r="C3736" s="1" t="s">
        <v>10411</v>
      </c>
      <c r="D3736" s="1" t="s">
        <v>10412</v>
      </c>
      <c r="E3736" s="7">
        <v>122</v>
      </c>
    </row>
    <row r="3737" spans="1:5" x14ac:dyDescent="0.25">
      <c r="A3737" s="5" t="s">
        <v>6</v>
      </c>
      <c r="B3737" s="5" t="s">
        <v>10413</v>
      </c>
      <c r="C3737" s="1" t="s">
        <v>10414</v>
      </c>
      <c r="D3737" s="1" t="s">
        <v>10415</v>
      </c>
      <c r="E3737" s="7">
        <v>205</v>
      </c>
    </row>
    <row r="3738" spans="1:5" x14ac:dyDescent="0.25">
      <c r="A3738" s="5" t="s">
        <v>6</v>
      </c>
      <c r="B3738" s="5" t="s">
        <v>10416</v>
      </c>
      <c r="C3738" s="1" t="s">
        <v>10417</v>
      </c>
      <c r="D3738" s="1" t="s">
        <v>10418</v>
      </c>
      <c r="E3738" s="7">
        <v>387</v>
      </c>
    </row>
    <row r="3739" spans="1:5" x14ac:dyDescent="0.25">
      <c r="A3739" s="5" t="s">
        <v>6</v>
      </c>
      <c r="B3739" s="5" t="s">
        <v>10419</v>
      </c>
      <c r="C3739" s="1" t="s">
        <v>10420</v>
      </c>
      <c r="D3739" s="1" t="s">
        <v>10421</v>
      </c>
      <c r="E3739" s="7">
        <v>46</v>
      </c>
    </row>
    <row r="3740" spans="1:5" x14ac:dyDescent="0.25">
      <c r="A3740" s="5" t="s">
        <v>6</v>
      </c>
      <c r="B3740" s="5" t="s">
        <v>10422</v>
      </c>
      <c r="C3740" s="1" t="s">
        <v>10423</v>
      </c>
      <c r="D3740" s="1" t="s">
        <v>10424</v>
      </c>
      <c r="E3740" s="7">
        <v>19</v>
      </c>
    </row>
    <row r="3741" spans="1:5" x14ac:dyDescent="0.25">
      <c r="A3741" s="5" t="s">
        <v>6</v>
      </c>
      <c r="B3741" s="5" t="s">
        <v>10425</v>
      </c>
      <c r="C3741" s="1" t="s">
        <v>10426</v>
      </c>
      <c r="D3741" s="1" t="s">
        <v>10427</v>
      </c>
      <c r="E3741" s="7">
        <v>299</v>
      </c>
    </row>
    <row r="3742" spans="1:5" x14ac:dyDescent="0.25">
      <c r="A3742" s="5" t="s">
        <v>6</v>
      </c>
      <c r="B3742" s="5" t="s">
        <v>10428</v>
      </c>
      <c r="C3742" s="1" t="s">
        <v>10429</v>
      </c>
      <c r="D3742" s="1" t="s">
        <v>10430</v>
      </c>
      <c r="E3742" s="7">
        <v>29</v>
      </c>
    </row>
    <row r="3743" spans="1:5" x14ac:dyDescent="0.25">
      <c r="A3743" s="5" t="s">
        <v>6</v>
      </c>
      <c r="B3743" s="5" t="s">
        <v>10431</v>
      </c>
      <c r="C3743" s="1" t="s">
        <v>10432</v>
      </c>
      <c r="D3743" s="1" t="s">
        <v>10433</v>
      </c>
      <c r="E3743" s="7">
        <v>3099</v>
      </c>
    </row>
    <row r="3744" spans="1:5" x14ac:dyDescent="0.25">
      <c r="A3744" s="5" t="s">
        <v>6</v>
      </c>
      <c r="B3744" s="5" t="s">
        <v>10434</v>
      </c>
      <c r="C3744" s="1" t="s">
        <v>10435</v>
      </c>
      <c r="D3744" s="1" t="s">
        <v>10436</v>
      </c>
      <c r="E3744" s="7">
        <v>0.34</v>
      </c>
    </row>
    <row r="3745" spans="1:5" x14ac:dyDescent="0.25">
      <c r="A3745" s="5" t="s">
        <v>6</v>
      </c>
      <c r="B3745" s="5" t="s">
        <v>10437</v>
      </c>
      <c r="C3745" s="1" t="s">
        <v>10438</v>
      </c>
      <c r="D3745" s="1" t="s">
        <v>10439</v>
      </c>
      <c r="E3745" s="7">
        <v>126</v>
      </c>
    </row>
    <row r="3746" spans="1:5" x14ac:dyDescent="0.25">
      <c r="A3746" s="5" t="s">
        <v>6</v>
      </c>
      <c r="B3746" s="5" t="s">
        <v>10440</v>
      </c>
      <c r="C3746" s="1" t="s">
        <v>10441</v>
      </c>
      <c r="D3746" s="1" t="s">
        <v>10442</v>
      </c>
      <c r="E3746" s="7">
        <v>109</v>
      </c>
    </row>
    <row r="3747" spans="1:5" x14ac:dyDescent="0.25">
      <c r="A3747" s="5" t="s">
        <v>6</v>
      </c>
      <c r="B3747" s="5" t="s">
        <v>10443</v>
      </c>
      <c r="C3747" s="1" t="s">
        <v>10444</v>
      </c>
      <c r="D3747" s="1" t="s">
        <v>10445</v>
      </c>
      <c r="E3747" s="7">
        <v>98</v>
      </c>
    </row>
    <row r="3748" spans="1:5" x14ac:dyDescent="0.25">
      <c r="A3748" s="5" t="s">
        <v>6</v>
      </c>
      <c r="B3748" s="5" t="s">
        <v>10446</v>
      </c>
      <c r="C3748" s="1" t="s">
        <v>10447</v>
      </c>
      <c r="D3748" s="1" t="s">
        <v>10448</v>
      </c>
      <c r="E3748" s="7">
        <v>856</v>
      </c>
    </row>
    <row r="3749" spans="1:5" x14ac:dyDescent="0.25">
      <c r="A3749" s="5" t="s">
        <v>6</v>
      </c>
      <c r="B3749" s="5" t="s">
        <v>10449</v>
      </c>
      <c r="C3749" s="1" t="s">
        <v>10450</v>
      </c>
      <c r="D3749" s="1" t="s">
        <v>10451</v>
      </c>
      <c r="E3749" s="7">
        <v>3820</v>
      </c>
    </row>
    <row r="3750" spans="1:5" x14ac:dyDescent="0.25">
      <c r="A3750" s="5" t="s">
        <v>6</v>
      </c>
      <c r="B3750" s="5" t="s">
        <v>10452</v>
      </c>
      <c r="C3750" s="1" t="s">
        <v>10453</v>
      </c>
      <c r="D3750" s="1" t="s">
        <v>10454</v>
      </c>
      <c r="E3750" s="7">
        <v>96</v>
      </c>
    </row>
    <row r="3751" spans="1:5" x14ac:dyDescent="0.25">
      <c r="A3751" s="5" t="s">
        <v>6</v>
      </c>
      <c r="B3751" s="5" t="s">
        <v>10455</v>
      </c>
      <c r="C3751" s="1" t="s">
        <v>10456</v>
      </c>
      <c r="D3751" s="1" t="s">
        <v>10457</v>
      </c>
      <c r="E3751" s="7">
        <v>205</v>
      </c>
    </row>
    <row r="3752" spans="1:5" x14ac:dyDescent="0.25">
      <c r="A3752" s="5" t="s">
        <v>6</v>
      </c>
      <c r="B3752" s="5" t="s">
        <v>10458</v>
      </c>
      <c r="C3752" s="1" t="s">
        <v>10459</v>
      </c>
      <c r="D3752" s="1" t="s">
        <v>10445</v>
      </c>
      <c r="E3752" s="7">
        <v>13</v>
      </c>
    </row>
    <row r="3753" spans="1:5" x14ac:dyDescent="0.25">
      <c r="A3753" s="5" t="s">
        <v>6</v>
      </c>
      <c r="B3753" s="5" t="s">
        <v>10460</v>
      </c>
      <c r="C3753" s="1" t="s">
        <v>10461</v>
      </c>
      <c r="D3753" s="1" t="s">
        <v>10462</v>
      </c>
      <c r="E3753" s="7">
        <v>6.08</v>
      </c>
    </row>
    <row r="3754" spans="1:5" x14ac:dyDescent="0.25">
      <c r="A3754" s="5" t="s">
        <v>6</v>
      </c>
      <c r="B3754" s="5" t="s">
        <v>10463</v>
      </c>
      <c r="C3754" s="1" t="s">
        <v>10464</v>
      </c>
      <c r="D3754" s="1" t="s">
        <v>10465</v>
      </c>
      <c r="E3754" s="7">
        <v>81</v>
      </c>
    </row>
    <row r="3755" spans="1:5" x14ac:dyDescent="0.25">
      <c r="A3755" s="5" t="s">
        <v>6</v>
      </c>
      <c r="B3755" s="5" t="s">
        <v>10466</v>
      </c>
      <c r="C3755" s="1" t="s">
        <v>10467</v>
      </c>
      <c r="D3755" s="1" t="s">
        <v>10468</v>
      </c>
      <c r="E3755" s="7">
        <v>242</v>
      </c>
    </row>
    <row r="3756" spans="1:5" x14ac:dyDescent="0.25">
      <c r="A3756" s="5" t="s">
        <v>6</v>
      </c>
      <c r="B3756" s="5" t="s">
        <v>10469</v>
      </c>
      <c r="C3756" s="1" t="s">
        <v>10470</v>
      </c>
      <c r="D3756" s="1" t="s">
        <v>10471</v>
      </c>
      <c r="E3756" s="7">
        <v>83</v>
      </c>
    </row>
    <row r="3757" spans="1:5" x14ac:dyDescent="0.25">
      <c r="A3757" s="5" t="s">
        <v>6</v>
      </c>
      <c r="B3757" s="5" t="s">
        <v>10472</v>
      </c>
      <c r="C3757" s="1" t="s">
        <v>10473</v>
      </c>
      <c r="D3757" s="1" t="s">
        <v>10474</v>
      </c>
      <c r="E3757" s="7">
        <v>133</v>
      </c>
    </row>
    <row r="3758" spans="1:5" x14ac:dyDescent="0.25">
      <c r="A3758" s="5" t="s">
        <v>6</v>
      </c>
      <c r="B3758" s="5" t="s">
        <v>10475</v>
      </c>
      <c r="C3758" s="1" t="s">
        <v>10476</v>
      </c>
      <c r="D3758" s="1" t="s">
        <v>10477</v>
      </c>
      <c r="E3758" s="7">
        <v>2548</v>
      </c>
    </row>
    <row r="3759" spans="1:5" x14ac:dyDescent="0.25">
      <c r="A3759" s="5" t="s">
        <v>6</v>
      </c>
      <c r="B3759" s="5" t="s">
        <v>10478</v>
      </c>
      <c r="C3759" s="1" t="s">
        <v>10479</v>
      </c>
      <c r="D3759" s="1" t="s">
        <v>10480</v>
      </c>
      <c r="E3759" s="7">
        <v>141</v>
      </c>
    </row>
    <row r="3760" spans="1:5" x14ac:dyDescent="0.25">
      <c r="A3760" s="5" t="s">
        <v>6</v>
      </c>
      <c r="B3760" s="5" t="s">
        <v>10481</v>
      </c>
      <c r="C3760" s="1" t="s">
        <v>10482</v>
      </c>
      <c r="D3760" s="1" t="s">
        <v>10483</v>
      </c>
      <c r="E3760" s="7">
        <v>318</v>
      </c>
    </row>
    <row r="3761" spans="1:5" x14ac:dyDescent="0.25">
      <c r="A3761" s="5" t="s">
        <v>6</v>
      </c>
      <c r="B3761" s="5" t="s">
        <v>10484</v>
      </c>
      <c r="C3761" s="1" t="s">
        <v>10485</v>
      </c>
      <c r="D3761" s="1" t="s">
        <v>10486</v>
      </c>
      <c r="E3761" s="7">
        <v>295</v>
      </c>
    </row>
    <row r="3762" spans="1:5" x14ac:dyDescent="0.25">
      <c r="A3762" s="5" t="s">
        <v>6</v>
      </c>
      <c r="B3762" s="5" t="s">
        <v>10487</v>
      </c>
      <c r="C3762" s="1" t="s">
        <v>10488</v>
      </c>
      <c r="D3762" s="1" t="s">
        <v>10489</v>
      </c>
      <c r="E3762" s="7">
        <v>199</v>
      </c>
    </row>
    <row r="3763" spans="1:5" x14ac:dyDescent="0.25">
      <c r="A3763" s="5" t="s">
        <v>6</v>
      </c>
      <c r="B3763" s="5" t="s">
        <v>10490</v>
      </c>
      <c r="C3763" s="1" t="s">
        <v>10491</v>
      </c>
      <c r="D3763" s="1" t="s">
        <v>10492</v>
      </c>
      <c r="E3763" s="7">
        <v>81</v>
      </c>
    </row>
    <row r="3764" spans="1:5" x14ac:dyDescent="0.25">
      <c r="A3764" s="5" t="s">
        <v>6</v>
      </c>
      <c r="B3764" s="5" t="s">
        <v>10493</v>
      </c>
      <c r="C3764" s="1" t="s">
        <v>10494</v>
      </c>
      <c r="D3764" s="1" t="s">
        <v>10495</v>
      </c>
      <c r="E3764" s="7">
        <v>361</v>
      </c>
    </row>
    <row r="3765" spans="1:5" x14ac:dyDescent="0.25">
      <c r="A3765" s="5" t="s">
        <v>6</v>
      </c>
      <c r="B3765" s="5" t="s">
        <v>10496</v>
      </c>
      <c r="C3765" s="1" t="s">
        <v>10497</v>
      </c>
      <c r="D3765" s="1" t="s">
        <v>10498</v>
      </c>
      <c r="E3765" s="7">
        <v>240</v>
      </c>
    </row>
    <row r="3766" spans="1:5" x14ac:dyDescent="0.25">
      <c r="A3766" s="5" t="s">
        <v>6</v>
      </c>
      <c r="B3766" s="5" t="s">
        <v>10499</v>
      </c>
      <c r="C3766" s="1" t="s">
        <v>10500</v>
      </c>
      <c r="D3766" s="1" t="s">
        <v>10501</v>
      </c>
      <c r="E3766" s="7">
        <v>28</v>
      </c>
    </row>
    <row r="3767" spans="1:5" x14ac:dyDescent="0.25">
      <c r="A3767" s="5" t="s">
        <v>6</v>
      </c>
      <c r="B3767" s="5" t="s">
        <v>10502</v>
      </c>
      <c r="C3767" s="1" t="s">
        <v>10503</v>
      </c>
      <c r="D3767" s="1" t="s">
        <v>10504</v>
      </c>
      <c r="E3767" s="7">
        <v>58</v>
      </c>
    </row>
    <row r="3768" spans="1:5" x14ac:dyDescent="0.25">
      <c r="A3768" s="5" t="s">
        <v>6</v>
      </c>
      <c r="B3768" s="5" t="s">
        <v>10505</v>
      </c>
      <c r="C3768" s="1" t="s">
        <v>10506</v>
      </c>
      <c r="D3768" s="1" t="s">
        <v>10507</v>
      </c>
      <c r="E3768" s="7">
        <v>324</v>
      </c>
    </row>
    <row r="3769" spans="1:5" x14ac:dyDescent="0.25">
      <c r="A3769" s="5" t="s">
        <v>6</v>
      </c>
      <c r="B3769" s="5" t="s">
        <v>10508</v>
      </c>
      <c r="C3769" s="1" t="s">
        <v>10509</v>
      </c>
      <c r="D3769" s="1" t="s">
        <v>10510</v>
      </c>
      <c r="E3769" s="7">
        <v>284</v>
      </c>
    </row>
    <row r="3770" spans="1:5" x14ac:dyDescent="0.25">
      <c r="A3770" s="5" t="s">
        <v>6</v>
      </c>
      <c r="B3770" s="5" t="s">
        <v>10511</v>
      </c>
      <c r="C3770" s="1" t="s">
        <v>10512</v>
      </c>
      <c r="D3770" s="1" t="s">
        <v>10513</v>
      </c>
      <c r="E3770" s="7">
        <v>2430</v>
      </c>
    </row>
    <row r="3771" spans="1:5" x14ac:dyDescent="0.25">
      <c r="A3771" s="5" t="s">
        <v>6</v>
      </c>
      <c r="B3771" s="5" t="s">
        <v>10514</v>
      </c>
      <c r="C3771" s="1" t="s">
        <v>10515</v>
      </c>
      <c r="D3771" s="1" t="s">
        <v>10516</v>
      </c>
      <c r="E3771" s="7">
        <v>529</v>
      </c>
    </row>
    <row r="3772" spans="1:5" x14ac:dyDescent="0.25">
      <c r="A3772" s="5" t="s">
        <v>6</v>
      </c>
      <c r="B3772" s="5" t="s">
        <v>10517</v>
      </c>
      <c r="C3772" s="1" t="s">
        <v>10518</v>
      </c>
      <c r="D3772" s="1" t="s">
        <v>10519</v>
      </c>
      <c r="E3772" s="7">
        <v>0.1</v>
      </c>
    </row>
    <row r="3773" spans="1:5" x14ac:dyDescent="0.25">
      <c r="A3773" s="5" t="s">
        <v>6</v>
      </c>
      <c r="B3773" s="5" t="s">
        <v>10520</v>
      </c>
      <c r="C3773" s="1" t="s">
        <v>10521</v>
      </c>
      <c r="D3773" s="1" t="s">
        <v>10522</v>
      </c>
      <c r="E3773" s="7">
        <v>1.18</v>
      </c>
    </row>
    <row r="3774" spans="1:5" x14ac:dyDescent="0.25">
      <c r="A3774" s="5" t="s">
        <v>6</v>
      </c>
      <c r="B3774" s="5" t="s">
        <v>10523</v>
      </c>
      <c r="C3774" s="1" t="s">
        <v>10524</v>
      </c>
      <c r="D3774" s="1" t="s">
        <v>10525</v>
      </c>
      <c r="E3774" s="7">
        <v>118</v>
      </c>
    </row>
    <row r="3775" spans="1:5" x14ac:dyDescent="0.25">
      <c r="A3775" s="5" t="s">
        <v>6</v>
      </c>
      <c r="B3775" s="5" t="s">
        <v>10526</v>
      </c>
      <c r="C3775" s="1" t="s">
        <v>10527</v>
      </c>
      <c r="D3775" s="1" t="s">
        <v>10528</v>
      </c>
      <c r="E3775" s="7">
        <v>218</v>
      </c>
    </row>
    <row r="3776" spans="1:5" x14ac:dyDescent="0.25">
      <c r="A3776" s="5" t="s">
        <v>6</v>
      </c>
      <c r="B3776" s="5" t="s">
        <v>10529</v>
      </c>
      <c r="C3776" s="1" t="s">
        <v>10530</v>
      </c>
      <c r="D3776" s="1" t="s">
        <v>10531</v>
      </c>
      <c r="E3776" s="7">
        <v>5</v>
      </c>
    </row>
    <row r="3777" spans="1:5" x14ac:dyDescent="0.25">
      <c r="A3777" s="5" t="s">
        <v>6</v>
      </c>
      <c r="B3777" s="5" t="s">
        <v>10532</v>
      </c>
      <c r="C3777" s="1" t="s">
        <v>10533</v>
      </c>
      <c r="D3777" s="1" t="s">
        <v>10534</v>
      </c>
      <c r="E3777" s="7">
        <v>23</v>
      </c>
    </row>
    <row r="3778" spans="1:5" x14ac:dyDescent="0.25">
      <c r="A3778" s="5" t="s">
        <v>6</v>
      </c>
      <c r="B3778" s="5" t="s">
        <v>10535</v>
      </c>
      <c r="C3778" s="1" t="s">
        <v>10536</v>
      </c>
      <c r="D3778" s="1" t="s">
        <v>10537</v>
      </c>
      <c r="E3778" s="7">
        <v>615</v>
      </c>
    </row>
    <row r="3779" spans="1:5" x14ac:dyDescent="0.25">
      <c r="A3779" s="5" t="s">
        <v>6</v>
      </c>
      <c r="B3779" s="5" t="s">
        <v>10538</v>
      </c>
      <c r="C3779" s="1" t="s">
        <v>10539</v>
      </c>
      <c r="D3779" s="1" t="s">
        <v>10540</v>
      </c>
      <c r="E3779" s="7">
        <v>773</v>
      </c>
    </row>
    <row r="3780" spans="1:5" x14ac:dyDescent="0.25">
      <c r="A3780" s="5" t="s">
        <v>6</v>
      </c>
      <c r="B3780" s="5" t="s">
        <v>10541</v>
      </c>
      <c r="C3780" s="1" t="s">
        <v>10542</v>
      </c>
      <c r="D3780" s="1" t="s">
        <v>10543</v>
      </c>
      <c r="E3780" s="7">
        <v>962</v>
      </c>
    </row>
    <row r="3781" spans="1:5" x14ac:dyDescent="0.25">
      <c r="A3781" s="5" t="s">
        <v>6</v>
      </c>
      <c r="B3781" s="5" t="s">
        <v>10544</v>
      </c>
      <c r="C3781" s="1" t="s">
        <v>10545</v>
      </c>
      <c r="D3781" s="1" t="s">
        <v>10546</v>
      </c>
      <c r="E3781" s="7">
        <v>139</v>
      </c>
    </row>
    <row r="3782" spans="1:5" x14ac:dyDescent="0.25">
      <c r="A3782" s="5" t="s">
        <v>6</v>
      </c>
      <c r="B3782" s="5" t="s">
        <v>10547</v>
      </c>
      <c r="C3782" s="1" t="s">
        <v>10548</v>
      </c>
      <c r="D3782" s="1" t="s">
        <v>10549</v>
      </c>
      <c r="E3782" s="7">
        <v>105</v>
      </c>
    </row>
    <row r="3783" spans="1:5" x14ac:dyDescent="0.25">
      <c r="A3783" s="5" t="s">
        <v>6</v>
      </c>
      <c r="B3783" s="5" t="s">
        <v>10550</v>
      </c>
      <c r="C3783" s="1" t="s">
        <v>10551</v>
      </c>
      <c r="D3783" s="1" t="s">
        <v>10546</v>
      </c>
      <c r="E3783" s="7">
        <v>90</v>
      </c>
    </row>
    <row r="3784" spans="1:5" x14ac:dyDescent="0.25">
      <c r="A3784" s="5" t="s">
        <v>6</v>
      </c>
      <c r="B3784" s="5" t="s">
        <v>10552</v>
      </c>
      <c r="C3784" s="1" t="s">
        <v>10553</v>
      </c>
      <c r="D3784" s="1" t="s">
        <v>10554</v>
      </c>
      <c r="E3784" s="7">
        <v>400</v>
      </c>
    </row>
    <row r="3785" spans="1:5" x14ac:dyDescent="0.25">
      <c r="A3785" s="5" t="s">
        <v>6</v>
      </c>
      <c r="B3785" s="5" t="s">
        <v>10555</v>
      </c>
      <c r="C3785" s="1" t="s">
        <v>10556</v>
      </c>
      <c r="D3785" s="1" t="s">
        <v>10557</v>
      </c>
      <c r="E3785" s="7">
        <v>16994</v>
      </c>
    </row>
    <row r="3786" spans="1:5" x14ac:dyDescent="0.25">
      <c r="A3786" s="5" t="s">
        <v>6</v>
      </c>
      <c r="B3786" s="5" t="s">
        <v>10558</v>
      </c>
      <c r="C3786" s="1" t="s">
        <v>10559</v>
      </c>
      <c r="D3786" s="1" t="s">
        <v>10560</v>
      </c>
      <c r="E3786" s="7">
        <v>330</v>
      </c>
    </row>
    <row r="3787" spans="1:5" x14ac:dyDescent="0.25">
      <c r="A3787" s="5" t="s">
        <v>6</v>
      </c>
      <c r="B3787" s="5" t="s">
        <v>10561</v>
      </c>
      <c r="C3787" s="1" t="s">
        <v>10562</v>
      </c>
      <c r="D3787" s="1" t="s">
        <v>10563</v>
      </c>
      <c r="E3787" s="7">
        <v>383</v>
      </c>
    </row>
    <row r="3788" spans="1:5" x14ac:dyDescent="0.25">
      <c r="A3788" s="5" t="s">
        <v>6</v>
      </c>
      <c r="B3788" s="5" t="s">
        <v>10564</v>
      </c>
      <c r="C3788" s="1" t="s">
        <v>10565</v>
      </c>
      <c r="D3788" s="1" t="s">
        <v>10566</v>
      </c>
      <c r="E3788" s="7">
        <v>338</v>
      </c>
    </row>
    <row r="3789" spans="1:5" x14ac:dyDescent="0.25">
      <c r="A3789" s="5" t="s">
        <v>6</v>
      </c>
      <c r="B3789" s="5" t="s">
        <v>10567</v>
      </c>
      <c r="C3789" s="1" t="s">
        <v>10568</v>
      </c>
      <c r="D3789" s="1" t="s">
        <v>10569</v>
      </c>
      <c r="E3789" s="7">
        <v>197</v>
      </c>
    </row>
    <row r="3790" spans="1:5" x14ac:dyDescent="0.25">
      <c r="A3790" s="5" t="s">
        <v>6</v>
      </c>
      <c r="B3790" s="5" t="s">
        <v>10570</v>
      </c>
      <c r="C3790" s="1" t="s">
        <v>10571</v>
      </c>
      <c r="D3790" s="1" t="s">
        <v>10572</v>
      </c>
      <c r="E3790" s="7">
        <v>41</v>
      </c>
    </row>
    <row r="3791" spans="1:5" x14ac:dyDescent="0.25">
      <c r="A3791" s="5" t="s">
        <v>6</v>
      </c>
      <c r="B3791" s="5" t="s">
        <v>10573</v>
      </c>
      <c r="C3791" s="1" t="s">
        <v>10574</v>
      </c>
      <c r="D3791" s="1" t="s">
        <v>10575</v>
      </c>
      <c r="E3791" s="7">
        <v>609</v>
      </c>
    </row>
    <row r="3792" spans="1:5" x14ac:dyDescent="0.25">
      <c r="A3792" s="5" t="s">
        <v>6</v>
      </c>
      <c r="B3792" s="5" t="s">
        <v>10576</v>
      </c>
      <c r="C3792" s="1" t="s">
        <v>10577</v>
      </c>
      <c r="D3792" s="1" t="s">
        <v>10578</v>
      </c>
      <c r="E3792" s="7">
        <v>218</v>
      </c>
    </row>
    <row r="3793" spans="1:5" x14ac:dyDescent="0.25">
      <c r="A3793" s="5" t="s">
        <v>6</v>
      </c>
      <c r="B3793" s="5" t="s">
        <v>10579</v>
      </c>
      <c r="C3793" s="1" t="s">
        <v>10580</v>
      </c>
      <c r="D3793" s="1" t="s">
        <v>10581</v>
      </c>
      <c r="E3793" s="7">
        <v>680</v>
      </c>
    </row>
    <row r="3794" spans="1:5" x14ac:dyDescent="0.25">
      <c r="A3794" s="5" t="s">
        <v>6</v>
      </c>
      <c r="B3794" s="5" t="s">
        <v>10582</v>
      </c>
      <c r="C3794" s="1" t="s">
        <v>10583</v>
      </c>
      <c r="D3794" s="1" t="s">
        <v>10584</v>
      </c>
      <c r="E3794" s="7">
        <v>140</v>
      </c>
    </row>
    <row r="3795" spans="1:5" x14ac:dyDescent="0.25">
      <c r="A3795" s="5" t="s">
        <v>6</v>
      </c>
      <c r="B3795" s="5" t="s">
        <v>10585</v>
      </c>
      <c r="C3795" s="1" t="s">
        <v>10586</v>
      </c>
      <c r="D3795" s="1" t="s">
        <v>10587</v>
      </c>
      <c r="E3795" s="7">
        <v>249</v>
      </c>
    </row>
    <row r="3796" spans="1:5" x14ac:dyDescent="0.25">
      <c r="A3796" s="5" t="s">
        <v>6</v>
      </c>
      <c r="B3796" s="5" t="s">
        <v>10588</v>
      </c>
      <c r="C3796" s="1" t="s">
        <v>10589</v>
      </c>
      <c r="D3796" s="1" t="s">
        <v>10590</v>
      </c>
      <c r="E3796" s="7">
        <v>258</v>
      </c>
    </row>
    <row r="3797" spans="1:5" x14ac:dyDescent="0.25">
      <c r="A3797" s="5" t="s">
        <v>6</v>
      </c>
      <c r="B3797" s="5" t="s">
        <v>10591</v>
      </c>
      <c r="C3797" s="1" t="s">
        <v>10592</v>
      </c>
      <c r="D3797" s="1" t="s">
        <v>10593</v>
      </c>
      <c r="E3797" s="7">
        <v>230</v>
      </c>
    </row>
    <row r="3798" spans="1:5" x14ac:dyDescent="0.25">
      <c r="A3798" s="5" t="s">
        <v>6</v>
      </c>
      <c r="B3798" s="5" t="s">
        <v>10594</v>
      </c>
      <c r="C3798" s="1" t="s">
        <v>10595</v>
      </c>
      <c r="D3798" s="1" t="s">
        <v>10596</v>
      </c>
      <c r="E3798" s="7">
        <v>342</v>
      </c>
    </row>
    <row r="3799" spans="1:5" x14ac:dyDescent="0.25">
      <c r="A3799" s="5" t="s">
        <v>6</v>
      </c>
      <c r="B3799" s="5" t="s">
        <v>10597</v>
      </c>
      <c r="C3799" s="1" t="s">
        <v>10598</v>
      </c>
      <c r="D3799" s="1" t="s">
        <v>10599</v>
      </c>
      <c r="E3799" s="7">
        <v>14</v>
      </c>
    </row>
    <row r="3800" spans="1:5" x14ac:dyDescent="0.25">
      <c r="A3800" s="5" t="s">
        <v>6</v>
      </c>
      <c r="B3800" s="5" t="s">
        <v>10600</v>
      </c>
      <c r="C3800" s="1" t="s">
        <v>10601</v>
      </c>
      <c r="D3800" s="1" t="s">
        <v>10602</v>
      </c>
      <c r="E3800" s="7">
        <v>14</v>
      </c>
    </row>
    <row r="3801" spans="1:5" x14ac:dyDescent="0.25">
      <c r="A3801" s="5" t="s">
        <v>6</v>
      </c>
      <c r="B3801" s="5" t="s">
        <v>10603</v>
      </c>
      <c r="C3801" s="1" t="s">
        <v>10604</v>
      </c>
      <c r="D3801" s="1" t="s">
        <v>10605</v>
      </c>
      <c r="E3801" s="7">
        <v>3</v>
      </c>
    </row>
    <row r="3802" spans="1:5" x14ac:dyDescent="0.25">
      <c r="A3802" s="5" t="s">
        <v>6</v>
      </c>
      <c r="B3802" s="5" t="s">
        <v>10606</v>
      </c>
      <c r="C3802" s="1" t="s">
        <v>10607</v>
      </c>
      <c r="D3802" s="1" t="s">
        <v>10605</v>
      </c>
      <c r="E3802" s="7">
        <v>4.3099999999999996</v>
      </c>
    </row>
    <row r="3803" spans="1:5" x14ac:dyDescent="0.25">
      <c r="A3803" s="5" t="s">
        <v>6</v>
      </c>
      <c r="B3803" s="5" t="s">
        <v>10608</v>
      </c>
      <c r="C3803" s="1" t="s">
        <v>10609</v>
      </c>
      <c r="D3803" s="1" t="s">
        <v>10610</v>
      </c>
      <c r="E3803" s="7">
        <v>306</v>
      </c>
    </row>
    <row r="3804" spans="1:5" x14ac:dyDescent="0.25">
      <c r="A3804" s="5" t="s">
        <v>6</v>
      </c>
      <c r="B3804" s="5" t="s">
        <v>10611</v>
      </c>
      <c r="C3804" s="1" t="s">
        <v>10612</v>
      </c>
      <c r="D3804" s="1" t="s">
        <v>10613</v>
      </c>
      <c r="E3804" s="7">
        <v>170</v>
      </c>
    </row>
    <row r="3805" spans="1:5" x14ac:dyDescent="0.25">
      <c r="A3805" s="5" t="s">
        <v>6</v>
      </c>
      <c r="B3805" s="5" t="s">
        <v>10614</v>
      </c>
      <c r="C3805" s="1" t="s">
        <v>10615</v>
      </c>
      <c r="D3805" s="1" t="s">
        <v>10616</v>
      </c>
      <c r="E3805" s="7">
        <v>1540</v>
      </c>
    </row>
    <row r="3806" spans="1:5" x14ac:dyDescent="0.25">
      <c r="A3806" s="5" t="s">
        <v>6</v>
      </c>
      <c r="B3806" s="5" t="s">
        <v>10617</v>
      </c>
      <c r="C3806" s="1" t="s">
        <v>10618</v>
      </c>
      <c r="D3806" s="1" t="s">
        <v>10619</v>
      </c>
      <c r="E3806" s="7">
        <v>1420</v>
      </c>
    </row>
    <row r="3807" spans="1:5" x14ac:dyDescent="0.25">
      <c r="A3807" s="5" t="s">
        <v>6</v>
      </c>
      <c r="B3807" s="5" t="s">
        <v>10620</v>
      </c>
      <c r="C3807" s="1" t="s">
        <v>10621</v>
      </c>
      <c r="D3807" s="1" t="s">
        <v>10622</v>
      </c>
      <c r="E3807" s="7">
        <v>20981</v>
      </c>
    </row>
    <row r="3808" spans="1:5" x14ac:dyDescent="0.25">
      <c r="A3808" s="5" t="s">
        <v>6</v>
      </c>
      <c r="B3808" s="5" t="s">
        <v>10623</v>
      </c>
      <c r="C3808" s="1" t="s">
        <v>10624</v>
      </c>
      <c r="D3808" s="1" t="s">
        <v>10625</v>
      </c>
      <c r="E3808" s="7">
        <v>319</v>
      </c>
    </row>
    <row r="3809" spans="1:5" x14ac:dyDescent="0.25">
      <c r="A3809" s="5" t="s">
        <v>6</v>
      </c>
      <c r="B3809" s="5" t="s">
        <v>10626</v>
      </c>
      <c r="C3809" s="1" t="s">
        <v>10627</v>
      </c>
      <c r="D3809" s="1" t="s">
        <v>10628</v>
      </c>
      <c r="E3809" s="7">
        <v>5629</v>
      </c>
    </row>
    <row r="3810" spans="1:5" x14ac:dyDescent="0.25">
      <c r="A3810" s="5" t="s">
        <v>6</v>
      </c>
      <c r="B3810" s="5" t="s">
        <v>10629</v>
      </c>
      <c r="C3810" s="1" t="s">
        <v>10630</v>
      </c>
      <c r="D3810" s="1" t="s">
        <v>10631</v>
      </c>
      <c r="E3810" s="7">
        <v>39.47</v>
      </c>
    </row>
    <row r="3811" spans="1:5" x14ac:dyDescent="0.25">
      <c r="A3811" s="5" t="s">
        <v>6</v>
      </c>
      <c r="B3811" s="5" t="s">
        <v>10632</v>
      </c>
      <c r="C3811" s="1" t="s">
        <v>10633</v>
      </c>
      <c r="D3811" s="1" t="s">
        <v>10634</v>
      </c>
      <c r="E3811" s="7">
        <v>267</v>
      </c>
    </row>
    <row r="3812" spans="1:5" x14ac:dyDescent="0.25">
      <c r="A3812" s="5" t="s">
        <v>6</v>
      </c>
      <c r="B3812" s="5" t="s">
        <v>10635</v>
      </c>
      <c r="C3812" s="1" t="s">
        <v>10636</v>
      </c>
      <c r="D3812" s="1" t="s">
        <v>10637</v>
      </c>
      <c r="E3812" s="7">
        <v>338</v>
      </c>
    </row>
    <row r="3813" spans="1:5" x14ac:dyDescent="0.25">
      <c r="A3813" s="5" t="s">
        <v>6</v>
      </c>
      <c r="B3813" s="5" t="s">
        <v>10638</v>
      </c>
      <c r="C3813" s="1" t="s">
        <v>10639</v>
      </c>
      <c r="D3813" s="1" t="s">
        <v>10640</v>
      </c>
      <c r="E3813" s="7">
        <v>1040</v>
      </c>
    </row>
    <row r="3814" spans="1:5" x14ac:dyDescent="0.25">
      <c r="A3814" s="5" t="s">
        <v>6</v>
      </c>
      <c r="B3814" s="5" t="s">
        <v>10641</v>
      </c>
      <c r="C3814" s="1" t="s">
        <v>10642</v>
      </c>
      <c r="D3814" s="1" t="s">
        <v>10643</v>
      </c>
      <c r="E3814" s="7">
        <v>815</v>
      </c>
    </row>
    <row r="3815" spans="1:5" x14ac:dyDescent="0.25">
      <c r="A3815" s="5" t="s">
        <v>6</v>
      </c>
      <c r="B3815" s="5" t="s">
        <v>10644</v>
      </c>
      <c r="C3815" s="1" t="s">
        <v>10645</v>
      </c>
      <c r="D3815" s="1" t="s">
        <v>10646</v>
      </c>
      <c r="E3815" s="7">
        <v>1075</v>
      </c>
    </row>
    <row r="3816" spans="1:5" x14ac:dyDescent="0.25">
      <c r="A3816" s="5" t="s">
        <v>6</v>
      </c>
      <c r="B3816" s="5" t="s">
        <v>10647</v>
      </c>
      <c r="C3816" s="1" t="s">
        <v>10648</v>
      </c>
      <c r="D3816" s="1" t="s">
        <v>10649</v>
      </c>
      <c r="E3816" s="7">
        <v>108</v>
      </c>
    </row>
    <row r="3817" spans="1:5" x14ac:dyDescent="0.25">
      <c r="A3817" s="5" t="s">
        <v>6</v>
      </c>
      <c r="B3817" s="5" t="s">
        <v>10650</v>
      </c>
      <c r="C3817" s="1" t="s">
        <v>10651</v>
      </c>
      <c r="D3817" s="1" t="s">
        <v>10652</v>
      </c>
      <c r="E3817" s="7">
        <v>585</v>
      </c>
    </row>
    <row r="3818" spans="1:5" x14ac:dyDescent="0.25">
      <c r="A3818" s="5" t="s">
        <v>6</v>
      </c>
      <c r="B3818" s="5" t="s">
        <v>10653</v>
      </c>
      <c r="C3818" s="1" t="s">
        <v>10654</v>
      </c>
      <c r="D3818" s="1" t="s">
        <v>10655</v>
      </c>
      <c r="E3818" s="7">
        <v>343</v>
      </c>
    </row>
    <row r="3819" spans="1:5" x14ac:dyDescent="0.25">
      <c r="A3819" s="5" t="s">
        <v>6</v>
      </c>
      <c r="B3819" s="5" t="s">
        <v>10656</v>
      </c>
      <c r="C3819" s="1" t="s">
        <v>10657</v>
      </c>
      <c r="D3819" s="1" t="s">
        <v>10658</v>
      </c>
      <c r="E3819" s="7">
        <v>1914</v>
      </c>
    </row>
    <row r="3820" spans="1:5" x14ac:dyDescent="0.25">
      <c r="A3820" s="5" t="s">
        <v>6</v>
      </c>
      <c r="B3820" s="5" t="s">
        <v>10659</v>
      </c>
      <c r="C3820" s="1" t="s">
        <v>10660</v>
      </c>
      <c r="D3820" s="1" t="s">
        <v>10661</v>
      </c>
      <c r="E3820" s="7">
        <v>2</v>
      </c>
    </row>
    <row r="3821" spans="1:5" x14ac:dyDescent="0.25">
      <c r="A3821" s="5" t="s">
        <v>6</v>
      </c>
      <c r="B3821" s="5" t="s">
        <v>10662</v>
      </c>
      <c r="C3821" s="1" t="s">
        <v>10663</v>
      </c>
      <c r="D3821" s="1" t="s">
        <v>10664</v>
      </c>
      <c r="E3821" s="7">
        <v>1</v>
      </c>
    </row>
    <row r="3822" spans="1:5" x14ac:dyDescent="0.25">
      <c r="A3822" s="5" t="s">
        <v>6</v>
      </c>
      <c r="B3822" s="5" t="s">
        <v>10665</v>
      </c>
      <c r="C3822" s="1" t="s">
        <v>10666</v>
      </c>
      <c r="D3822" s="1" t="s">
        <v>10667</v>
      </c>
      <c r="E3822" s="7">
        <v>254</v>
      </c>
    </row>
    <row r="3823" spans="1:5" x14ac:dyDescent="0.25">
      <c r="A3823" s="5" t="s">
        <v>6</v>
      </c>
      <c r="B3823" s="5" t="s">
        <v>10668</v>
      </c>
      <c r="C3823" s="1" t="s">
        <v>10669</v>
      </c>
      <c r="D3823" s="1" t="s">
        <v>10670</v>
      </c>
      <c r="E3823" s="7">
        <v>229</v>
      </c>
    </row>
    <row r="3824" spans="1:5" x14ac:dyDescent="0.25">
      <c r="A3824" s="5" t="s">
        <v>6</v>
      </c>
      <c r="B3824" s="5" t="s">
        <v>10671</v>
      </c>
      <c r="C3824" s="1" t="s">
        <v>10672</v>
      </c>
      <c r="D3824" s="1" t="s">
        <v>10673</v>
      </c>
      <c r="E3824" s="7">
        <v>401</v>
      </c>
    </row>
    <row r="3825" spans="1:5" x14ac:dyDescent="0.25">
      <c r="A3825" s="5" t="s">
        <v>6</v>
      </c>
      <c r="B3825" s="5" t="s">
        <v>10674</v>
      </c>
      <c r="C3825" s="1" t="s">
        <v>10675</v>
      </c>
      <c r="D3825" s="1" t="s">
        <v>10676</v>
      </c>
      <c r="E3825" s="7">
        <v>376</v>
      </c>
    </row>
    <row r="3826" spans="1:5" x14ac:dyDescent="0.25">
      <c r="A3826" s="5" t="s">
        <v>6</v>
      </c>
      <c r="B3826" s="5" t="s">
        <v>10677</v>
      </c>
      <c r="C3826" s="1" t="s">
        <v>10678</v>
      </c>
      <c r="D3826" s="1" t="s">
        <v>10679</v>
      </c>
      <c r="E3826" s="7">
        <v>541</v>
      </c>
    </row>
    <row r="3827" spans="1:5" x14ac:dyDescent="0.25">
      <c r="A3827" s="5" t="s">
        <v>6</v>
      </c>
      <c r="B3827" s="5" t="s">
        <v>10680</v>
      </c>
      <c r="C3827" s="1" t="s">
        <v>10681</v>
      </c>
      <c r="D3827" s="1" t="s">
        <v>10682</v>
      </c>
      <c r="E3827" s="7">
        <v>569</v>
      </c>
    </row>
    <row r="3828" spans="1:5" x14ac:dyDescent="0.25">
      <c r="A3828" s="5" t="s">
        <v>6</v>
      </c>
      <c r="B3828" s="5" t="s">
        <v>10683</v>
      </c>
      <c r="C3828" s="1" t="s">
        <v>10684</v>
      </c>
      <c r="D3828" s="1" t="s">
        <v>10685</v>
      </c>
      <c r="E3828" s="7">
        <v>200</v>
      </c>
    </row>
    <row r="3829" spans="1:5" x14ac:dyDescent="0.25">
      <c r="A3829" s="5" t="s">
        <v>6</v>
      </c>
      <c r="B3829" s="5" t="s">
        <v>10686</v>
      </c>
      <c r="C3829" s="1" t="s">
        <v>10687</v>
      </c>
      <c r="D3829" s="1" t="s">
        <v>10688</v>
      </c>
      <c r="E3829" s="7">
        <v>431</v>
      </c>
    </row>
    <row r="3830" spans="1:5" x14ac:dyDescent="0.25">
      <c r="A3830" s="5" t="s">
        <v>6</v>
      </c>
      <c r="B3830" s="5" t="s">
        <v>10689</v>
      </c>
      <c r="C3830" s="1" t="s">
        <v>10690</v>
      </c>
      <c r="D3830" s="1" t="s">
        <v>10685</v>
      </c>
      <c r="E3830" s="7">
        <v>227</v>
      </c>
    </row>
    <row r="3831" spans="1:5" x14ac:dyDescent="0.25">
      <c r="A3831" s="5" t="s">
        <v>6</v>
      </c>
      <c r="B3831" s="5" t="s">
        <v>10691</v>
      </c>
      <c r="C3831" s="1" t="s">
        <v>10692</v>
      </c>
      <c r="D3831" s="1" t="s">
        <v>10693</v>
      </c>
      <c r="E3831" s="7">
        <v>0.57999999999999996</v>
      </c>
    </row>
    <row r="3832" spans="1:5" x14ac:dyDescent="0.25">
      <c r="A3832" s="5" t="s">
        <v>6</v>
      </c>
      <c r="B3832" s="5" t="s">
        <v>10694</v>
      </c>
      <c r="C3832" s="1" t="s">
        <v>10695</v>
      </c>
      <c r="D3832" s="1" t="s">
        <v>10696</v>
      </c>
      <c r="E3832" s="7">
        <v>1</v>
      </c>
    </row>
    <row r="3833" spans="1:5" x14ac:dyDescent="0.25">
      <c r="A3833" s="5" t="s">
        <v>6</v>
      </c>
      <c r="B3833" s="5" t="s">
        <v>10697</v>
      </c>
      <c r="C3833" s="1" t="s">
        <v>10698</v>
      </c>
      <c r="D3833" s="1" t="s">
        <v>10699</v>
      </c>
      <c r="E3833" s="7">
        <v>2</v>
      </c>
    </row>
    <row r="3834" spans="1:5" x14ac:dyDescent="0.25">
      <c r="A3834" s="5" t="s">
        <v>6</v>
      </c>
      <c r="B3834" s="5" t="s">
        <v>10700</v>
      </c>
      <c r="C3834" s="1" t="s">
        <v>10701</v>
      </c>
      <c r="D3834" s="1" t="s">
        <v>10702</v>
      </c>
      <c r="E3834" s="7">
        <v>112</v>
      </c>
    </row>
    <row r="3835" spans="1:5" x14ac:dyDescent="0.25">
      <c r="A3835" s="5" t="s">
        <v>6</v>
      </c>
      <c r="B3835" s="5" t="s">
        <v>10703</v>
      </c>
      <c r="C3835" s="1" t="s">
        <v>10704</v>
      </c>
      <c r="D3835" s="1" t="s">
        <v>10705</v>
      </c>
      <c r="E3835" s="7">
        <v>215</v>
      </c>
    </row>
    <row r="3836" spans="1:5" x14ac:dyDescent="0.25">
      <c r="A3836" s="5" t="s">
        <v>6</v>
      </c>
      <c r="B3836" s="5" t="s">
        <v>10706</v>
      </c>
      <c r="C3836" s="1" t="s">
        <v>10707</v>
      </c>
      <c r="D3836" s="1" t="s">
        <v>10708</v>
      </c>
      <c r="E3836" s="7">
        <v>181</v>
      </c>
    </row>
    <row r="3837" spans="1:5" x14ac:dyDescent="0.25">
      <c r="A3837" s="5" t="s">
        <v>6</v>
      </c>
      <c r="B3837" s="5" t="s">
        <v>10709</v>
      </c>
      <c r="C3837" s="1" t="s">
        <v>10710</v>
      </c>
      <c r="D3837" s="1" t="s">
        <v>10711</v>
      </c>
      <c r="E3837" s="7">
        <v>291</v>
      </c>
    </row>
    <row r="3838" spans="1:5" x14ac:dyDescent="0.25">
      <c r="A3838" s="5" t="s">
        <v>6</v>
      </c>
      <c r="B3838" s="5" t="s">
        <v>10712</v>
      </c>
      <c r="C3838" s="1" t="s">
        <v>10713</v>
      </c>
      <c r="D3838" s="1" t="s">
        <v>10714</v>
      </c>
      <c r="E3838" s="7">
        <v>10</v>
      </c>
    </row>
    <row r="3839" spans="1:5" x14ac:dyDescent="0.25">
      <c r="A3839" s="5" t="s">
        <v>6</v>
      </c>
      <c r="B3839" s="5" t="s">
        <v>10715</v>
      </c>
      <c r="C3839" s="1" t="s">
        <v>10716</v>
      </c>
      <c r="D3839" s="1" t="s">
        <v>10717</v>
      </c>
      <c r="E3839" s="7">
        <v>1025</v>
      </c>
    </row>
    <row r="3840" spans="1:5" x14ac:dyDescent="0.25">
      <c r="A3840" s="5" t="s">
        <v>6</v>
      </c>
      <c r="B3840" s="5" t="s">
        <v>10718</v>
      </c>
      <c r="C3840" s="1" t="s">
        <v>10719</v>
      </c>
      <c r="D3840" s="1" t="s">
        <v>10720</v>
      </c>
      <c r="E3840" s="7">
        <v>465</v>
      </c>
    </row>
    <row r="3841" spans="1:5" x14ac:dyDescent="0.25">
      <c r="A3841" s="5" t="s">
        <v>6</v>
      </c>
      <c r="B3841" s="5" t="s">
        <v>10721</v>
      </c>
      <c r="C3841" s="1" t="s">
        <v>10722</v>
      </c>
      <c r="D3841" s="1" t="s">
        <v>10723</v>
      </c>
      <c r="E3841" s="7">
        <v>638</v>
      </c>
    </row>
    <row r="3842" spans="1:5" x14ac:dyDescent="0.25">
      <c r="A3842" s="5" t="s">
        <v>6</v>
      </c>
      <c r="B3842" s="5" t="s">
        <v>10724</v>
      </c>
      <c r="C3842" s="1" t="s">
        <v>10725</v>
      </c>
      <c r="D3842" s="1" t="s">
        <v>10726</v>
      </c>
      <c r="E3842" s="7">
        <v>752</v>
      </c>
    </row>
    <row r="3843" spans="1:5" x14ac:dyDescent="0.25">
      <c r="A3843" s="5" t="s">
        <v>6</v>
      </c>
      <c r="B3843" s="5" t="s">
        <v>10727</v>
      </c>
      <c r="C3843" s="1" t="s">
        <v>10728</v>
      </c>
      <c r="D3843" s="1" t="s">
        <v>10729</v>
      </c>
      <c r="E3843" s="7">
        <v>342</v>
      </c>
    </row>
    <row r="3844" spans="1:5" x14ac:dyDescent="0.25">
      <c r="A3844" s="5" t="s">
        <v>6</v>
      </c>
      <c r="B3844" s="5" t="s">
        <v>10730</v>
      </c>
      <c r="C3844" s="1" t="s">
        <v>10731</v>
      </c>
      <c r="D3844" s="1" t="s">
        <v>10732</v>
      </c>
      <c r="E3844" s="7">
        <v>588</v>
      </c>
    </row>
    <row r="3845" spans="1:5" x14ac:dyDescent="0.25">
      <c r="A3845" s="5" t="s">
        <v>6</v>
      </c>
      <c r="B3845" s="5" t="s">
        <v>10733</v>
      </c>
      <c r="C3845" s="1" t="s">
        <v>10734</v>
      </c>
      <c r="D3845" s="1" t="s">
        <v>10735</v>
      </c>
      <c r="E3845" s="7">
        <v>3</v>
      </c>
    </row>
    <row r="3846" spans="1:5" x14ac:dyDescent="0.25">
      <c r="A3846" s="5" t="s">
        <v>6</v>
      </c>
      <c r="B3846" s="5" t="s">
        <v>10736</v>
      </c>
      <c r="C3846" s="1" t="s">
        <v>10737</v>
      </c>
      <c r="D3846" s="1" t="s">
        <v>10738</v>
      </c>
      <c r="E3846" s="7">
        <v>1</v>
      </c>
    </row>
    <row r="3847" spans="1:5" x14ac:dyDescent="0.25">
      <c r="A3847" s="5" t="s">
        <v>6</v>
      </c>
      <c r="B3847" s="5" t="s">
        <v>10739</v>
      </c>
      <c r="C3847" s="1" t="s">
        <v>10740</v>
      </c>
      <c r="D3847" s="1" t="s">
        <v>10741</v>
      </c>
      <c r="E3847" s="7">
        <v>721</v>
      </c>
    </row>
    <row r="3848" spans="1:5" x14ac:dyDescent="0.25">
      <c r="A3848" s="5" t="s">
        <v>6</v>
      </c>
      <c r="B3848" s="5" t="s">
        <v>10742</v>
      </c>
      <c r="C3848" s="1" t="s">
        <v>10743</v>
      </c>
      <c r="D3848" s="1" t="s">
        <v>10744</v>
      </c>
      <c r="E3848" s="7">
        <v>408</v>
      </c>
    </row>
    <row r="3849" spans="1:5" x14ac:dyDescent="0.25">
      <c r="A3849" s="5" t="s">
        <v>6</v>
      </c>
      <c r="B3849" s="5" t="s">
        <v>10745</v>
      </c>
      <c r="C3849" s="1" t="s">
        <v>10746</v>
      </c>
      <c r="D3849" s="1" t="s">
        <v>10747</v>
      </c>
      <c r="E3849" s="7">
        <v>257</v>
      </c>
    </row>
    <row r="3850" spans="1:5" x14ac:dyDescent="0.25">
      <c r="A3850" s="5" t="s">
        <v>6</v>
      </c>
      <c r="B3850" s="5" t="s">
        <v>10748</v>
      </c>
      <c r="C3850" s="1" t="s">
        <v>10749</v>
      </c>
      <c r="D3850" s="1" t="s">
        <v>10750</v>
      </c>
      <c r="E3850" s="7">
        <v>615</v>
      </c>
    </row>
    <row r="3851" spans="1:5" x14ac:dyDescent="0.25">
      <c r="A3851" s="5" t="s">
        <v>6</v>
      </c>
      <c r="B3851" s="5" t="s">
        <v>10751</v>
      </c>
      <c r="C3851" s="1" t="s">
        <v>10752</v>
      </c>
      <c r="D3851" s="1" t="s">
        <v>10753</v>
      </c>
      <c r="E3851" s="7">
        <v>13</v>
      </c>
    </row>
    <row r="3852" spans="1:5" x14ac:dyDescent="0.25">
      <c r="A3852" s="5" t="s">
        <v>6</v>
      </c>
      <c r="B3852" s="5" t="s">
        <v>10754</v>
      </c>
      <c r="C3852" s="1" t="s">
        <v>10755</v>
      </c>
      <c r="D3852" s="1" t="s">
        <v>10756</v>
      </c>
      <c r="E3852" s="7">
        <v>80</v>
      </c>
    </row>
    <row r="3853" spans="1:5" x14ac:dyDescent="0.25">
      <c r="A3853" s="5" t="s">
        <v>6</v>
      </c>
      <c r="B3853" s="5" t="s">
        <v>10757</v>
      </c>
      <c r="C3853" s="1" t="s">
        <v>10758</v>
      </c>
      <c r="D3853" s="1" t="s">
        <v>10759</v>
      </c>
      <c r="E3853" s="7">
        <v>653</v>
      </c>
    </row>
    <row r="3854" spans="1:5" x14ac:dyDescent="0.25">
      <c r="A3854" s="5" t="s">
        <v>6</v>
      </c>
      <c r="B3854" s="5" t="s">
        <v>10760</v>
      </c>
      <c r="C3854" s="1" t="s">
        <v>10761</v>
      </c>
      <c r="D3854" s="1" t="s">
        <v>10762</v>
      </c>
      <c r="E3854" s="7">
        <v>70</v>
      </c>
    </row>
    <row r="3855" spans="1:5" x14ac:dyDescent="0.25">
      <c r="A3855" s="5" t="s">
        <v>6</v>
      </c>
      <c r="B3855" s="5" t="s">
        <v>10763</v>
      </c>
      <c r="C3855" s="1" t="s">
        <v>10764</v>
      </c>
      <c r="D3855" s="1" t="s">
        <v>10765</v>
      </c>
      <c r="E3855" s="7">
        <v>22</v>
      </c>
    </row>
    <row r="3856" spans="1:5" x14ac:dyDescent="0.25">
      <c r="A3856" s="5" t="s">
        <v>6</v>
      </c>
      <c r="B3856" s="5" t="s">
        <v>10766</v>
      </c>
      <c r="C3856" s="1" t="s">
        <v>10767</v>
      </c>
      <c r="D3856" s="1" t="s">
        <v>10768</v>
      </c>
      <c r="E3856" s="7">
        <v>327</v>
      </c>
    </row>
    <row r="3857" spans="1:5" x14ac:dyDescent="0.25">
      <c r="A3857" s="5" t="s">
        <v>6</v>
      </c>
      <c r="B3857" s="5" t="s">
        <v>10769</v>
      </c>
      <c r="C3857" s="1" t="s">
        <v>10770</v>
      </c>
      <c r="D3857" s="1" t="s">
        <v>10771</v>
      </c>
      <c r="E3857" s="7">
        <v>327</v>
      </c>
    </row>
    <row r="3858" spans="1:5" x14ac:dyDescent="0.25">
      <c r="A3858" s="5" t="s">
        <v>6</v>
      </c>
      <c r="B3858" s="5" t="s">
        <v>10772</v>
      </c>
      <c r="C3858" s="1" t="s">
        <v>10773</v>
      </c>
      <c r="D3858" s="1" t="s">
        <v>10774</v>
      </c>
      <c r="E3858" s="7">
        <v>10</v>
      </c>
    </row>
    <row r="3859" spans="1:5" x14ac:dyDescent="0.25">
      <c r="A3859" s="5" t="s">
        <v>6</v>
      </c>
      <c r="B3859" s="5" t="s">
        <v>10775</v>
      </c>
      <c r="C3859" s="1" t="s">
        <v>10776</v>
      </c>
      <c r="D3859" s="1" t="s">
        <v>10777</v>
      </c>
      <c r="E3859" s="7">
        <v>383</v>
      </c>
    </row>
    <row r="3860" spans="1:5" x14ac:dyDescent="0.25">
      <c r="A3860" s="5" t="s">
        <v>6</v>
      </c>
      <c r="B3860" s="5" t="s">
        <v>10778</v>
      </c>
      <c r="C3860" s="1" t="s">
        <v>10779</v>
      </c>
      <c r="D3860" s="1" t="s">
        <v>10780</v>
      </c>
      <c r="E3860" s="7">
        <v>32</v>
      </c>
    </row>
    <row r="3861" spans="1:5" x14ac:dyDescent="0.25">
      <c r="A3861" s="5" t="s">
        <v>6</v>
      </c>
      <c r="B3861" s="5" t="s">
        <v>10781</v>
      </c>
      <c r="C3861" s="1" t="s">
        <v>10782</v>
      </c>
      <c r="D3861" s="1" t="s">
        <v>10783</v>
      </c>
      <c r="E3861" s="7">
        <v>158</v>
      </c>
    </row>
    <row r="3862" spans="1:5" x14ac:dyDescent="0.25">
      <c r="A3862" s="5" t="s">
        <v>6</v>
      </c>
      <c r="B3862" s="5" t="s">
        <v>10784</v>
      </c>
      <c r="C3862" s="1" t="s">
        <v>10785</v>
      </c>
      <c r="D3862" s="1" t="s">
        <v>10786</v>
      </c>
      <c r="E3862" s="7">
        <v>502</v>
      </c>
    </row>
    <row r="3863" spans="1:5" x14ac:dyDescent="0.25">
      <c r="A3863" s="5" t="s">
        <v>6</v>
      </c>
      <c r="B3863" s="5" t="s">
        <v>10787</v>
      </c>
      <c r="C3863" s="1" t="s">
        <v>10788</v>
      </c>
      <c r="D3863" s="1" t="s">
        <v>10789</v>
      </c>
      <c r="E3863" s="7">
        <v>42</v>
      </c>
    </row>
    <row r="3864" spans="1:5" x14ac:dyDescent="0.25">
      <c r="A3864" s="5" t="s">
        <v>6</v>
      </c>
      <c r="B3864" s="5" t="s">
        <v>10790</v>
      </c>
      <c r="C3864" s="1" t="s">
        <v>10791</v>
      </c>
      <c r="D3864" s="1" t="s">
        <v>10792</v>
      </c>
      <c r="E3864" s="7">
        <v>197</v>
      </c>
    </row>
    <row r="3865" spans="1:5" x14ac:dyDescent="0.25">
      <c r="A3865" s="5" t="s">
        <v>6</v>
      </c>
      <c r="B3865" s="5" t="s">
        <v>10793</v>
      </c>
      <c r="C3865" s="1" t="s">
        <v>10794</v>
      </c>
      <c r="D3865" s="1" t="s">
        <v>10795</v>
      </c>
      <c r="E3865" s="7">
        <v>347</v>
      </c>
    </row>
    <row r="3866" spans="1:5" x14ac:dyDescent="0.25">
      <c r="A3866" s="5" t="s">
        <v>6</v>
      </c>
      <c r="B3866" s="5" t="s">
        <v>10796</v>
      </c>
      <c r="C3866" s="1" t="s">
        <v>10797</v>
      </c>
      <c r="D3866" s="1" t="s">
        <v>10798</v>
      </c>
      <c r="E3866" s="7">
        <v>1985</v>
      </c>
    </row>
    <row r="3867" spans="1:5" x14ac:dyDescent="0.25">
      <c r="A3867" s="5" t="s">
        <v>6</v>
      </c>
      <c r="B3867" s="5" t="s">
        <v>10799</v>
      </c>
      <c r="C3867" s="1" t="s">
        <v>10800</v>
      </c>
      <c r="D3867" s="1" t="s">
        <v>10801</v>
      </c>
      <c r="E3867" s="7">
        <v>165</v>
      </c>
    </row>
    <row r="3868" spans="1:5" x14ac:dyDescent="0.25">
      <c r="A3868" s="5" t="s">
        <v>6</v>
      </c>
      <c r="B3868" s="5" t="s">
        <v>10802</v>
      </c>
      <c r="C3868" s="1" t="s">
        <v>10803</v>
      </c>
      <c r="D3868" s="1" t="s">
        <v>10804</v>
      </c>
      <c r="E3868" s="7">
        <v>474</v>
      </c>
    </row>
    <row r="3869" spans="1:5" x14ac:dyDescent="0.25">
      <c r="A3869" s="5" t="s">
        <v>6</v>
      </c>
      <c r="B3869" s="5" t="s">
        <v>10805</v>
      </c>
      <c r="C3869" s="1" t="s">
        <v>10806</v>
      </c>
      <c r="D3869" s="1" t="s">
        <v>10807</v>
      </c>
      <c r="E3869" s="7">
        <v>246</v>
      </c>
    </row>
    <row r="3870" spans="1:5" x14ac:dyDescent="0.25">
      <c r="A3870" s="5" t="s">
        <v>6</v>
      </c>
      <c r="B3870" s="5" t="s">
        <v>10808</v>
      </c>
      <c r="C3870" s="1" t="s">
        <v>10809</v>
      </c>
      <c r="D3870" s="1" t="s">
        <v>10810</v>
      </c>
      <c r="E3870" s="7">
        <v>124</v>
      </c>
    </row>
    <row r="3871" spans="1:5" x14ac:dyDescent="0.25">
      <c r="A3871" s="5" t="s">
        <v>6</v>
      </c>
      <c r="B3871" s="5" t="s">
        <v>10811</v>
      </c>
      <c r="C3871" s="1" t="s">
        <v>10812</v>
      </c>
      <c r="D3871" s="1" t="s">
        <v>10813</v>
      </c>
      <c r="E3871" s="7">
        <v>153</v>
      </c>
    </row>
    <row r="3872" spans="1:5" x14ac:dyDescent="0.25">
      <c r="A3872" s="5" t="s">
        <v>6</v>
      </c>
      <c r="B3872" s="5" t="s">
        <v>10814</v>
      </c>
      <c r="C3872" s="1" t="s">
        <v>10815</v>
      </c>
      <c r="D3872" s="1" t="s">
        <v>10816</v>
      </c>
      <c r="E3872" s="7">
        <v>180</v>
      </c>
    </row>
    <row r="3873" spans="1:5" x14ac:dyDescent="0.25">
      <c r="A3873" s="5" t="s">
        <v>6</v>
      </c>
      <c r="B3873" s="5" t="s">
        <v>10817</v>
      </c>
      <c r="C3873" s="1" t="s">
        <v>10818</v>
      </c>
      <c r="D3873" s="1" t="s">
        <v>10819</v>
      </c>
      <c r="E3873" s="7">
        <v>5.07</v>
      </c>
    </row>
    <row r="3874" spans="1:5" x14ac:dyDescent="0.25">
      <c r="A3874" s="5" t="s">
        <v>6</v>
      </c>
      <c r="B3874" s="5" t="s">
        <v>10820</v>
      </c>
      <c r="C3874" s="1" t="s">
        <v>10821</v>
      </c>
      <c r="D3874" s="1" t="s">
        <v>10822</v>
      </c>
      <c r="E3874" s="7">
        <v>795</v>
      </c>
    </row>
    <row r="3875" spans="1:5" x14ac:dyDescent="0.25">
      <c r="A3875" s="5" t="s">
        <v>6</v>
      </c>
      <c r="B3875" s="5" t="s">
        <v>10823</v>
      </c>
      <c r="C3875" s="1" t="s">
        <v>10824</v>
      </c>
      <c r="D3875" s="1" t="s">
        <v>10825</v>
      </c>
      <c r="E3875" s="7">
        <v>106</v>
      </c>
    </row>
    <row r="3876" spans="1:5" x14ac:dyDescent="0.25">
      <c r="A3876" s="5" t="s">
        <v>6</v>
      </c>
      <c r="B3876" s="5" t="s">
        <v>10826</v>
      </c>
      <c r="C3876" s="1" t="s">
        <v>10827</v>
      </c>
      <c r="D3876" s="1" t="s">
        <v>10828</v>
      </c>
      <c r="E3876" s="7">
        <v>657</v>
      </c>
    </row>
    <row r="3877" spans="1:5" x14ac:dyDescent="0.25">
      <c r="A3877" s="5" t="s">
        <v>6</v>
      </c>
      <c r="B3877" s="5" t="s">
        <v>10829</v>
      </c>
      <c r="C3877" s="1" t="s">
        <v>10830</v>
      </c>
      <c r="D3877" s="1" t="s">
        <v>10831</v>
      </c>
      <c r="E3877" s="7">
        <v>33</v>
      </c>
    </row>
    <row r="3878" spans="1:5" x14ac:dyDescent="0.25">
      <c r="A3878" s="5" t="s">
        <v>6</v>
      </c>
      <c r="B3878" s="5" t="s">
        <v>10832</v>
      </c>
      <c r="C3878" s="1" t="s">
        <v>10833</v>
      </c>
      <c r="D3878" s="1" t="s">
        <v>10834</v>
      </c>
      <c r="E3878" s="7">
        <v>1362</v>
      </c>
    </row>
    <row r="3879" spans="1:5" x14ac:dyDescent="0.25">
      <c r="A3879" s="5" t="s">
        <v>6</v>
      </c>
      <c r="B3879" s="5" t="s">
        <v>10835</v>
      </c>
      <c r="C3879" s="1" t="s">
        <v>10836</v>
      </c>
      <c r="D3879" s="1" t="s">
        <v>10837</v>
      </c>
      <c r="E3879" s="7">
        <v>863</v>
      </c>
    </row>
    <row r="3880" spans="1:5" x14ac:dyDescent="0.25">
      <c r="A3880" s="5" t="s">
        <v>6</v>
      </c>
      <c r="B3880" s="5" t="s">
        <v>10838</v>
      </c>
      <c r="C3880" s="1" t="s">
        <v>10839</v>
      </c>
      <c r="D3880" s="1" t="s">
        <v>10840</v>
      </c>
      <c r="E3880" s="7">
        <v>29</v>
      </c>
    </row>
    <row r="3881" spans="1:5" x14ac:dyDescent="0.25">
      <c r="A3881" s="5" t="s">
        <v>6</v>
      </c>
      <c r="B3881" s="5" t="s">
        <v>10841</v>
      </c>
      <c r="C3881" s="1" t="s">
        <v>10842</v>
      </c>
      <c r="D3881" s="1" t="s">
        <v>10843</v>
      </c>
      <c r="E3881" s="7">
        <v>4</v>
      </c>
    </row>
    <row r="3882" spans="1:5" x14ac:dyDescent="0.25">
      <c r="A3882" s="5" t="s">
        <v>6</v>
      </c>
      <c r="B3882" s="5" t="s">
        <v>10844</v>
      </c>
      <c r="C3882" s="1" t="s">
        <v>10845</v>
      </c>
      <c r="D3882" s="1" t="s">
        <v>10846</v>
      </c>
      <c r="E3882" s="7">
        <v>199</v>
      </c>
    </row>
    <row r="3883" spans="1:5" x14ac:dyDescent="0.25">
      <c r="A3883" s="5" t="s">
        <v>6</v>
      </c>
      <c r="B3883" s="5" t="s">
        <v>10847</v>
      </c>
      <c r="C3883" s="1" t="s">
        <v>10848</v>
      </c>
      <c r="D3883" s="1" t="s">
        <v>10849</v>
      </c>
      <c r="E3883" s="7">
        <v>203</v>
      </c>
    </row>
    <row r="3884" spans="1:5" x14ac:dyDescent="0.25">
      <c r="A3884" s="5" t="s">
        <v>6</v>
      </c>
      <c r="B3884" s="5" t="s">
        <v>10850</v>
      </c>
      <c r="C3884" s="1" t="s">
        <v>10851</v>
      </c>
      <c r="D3884" s="1" t="s">
        <v>10852</v>
      </c>
      <c r="E3884" s="7">
        <v>159</v>
      </c>
    </row>
    <row r="3885" spans="1:5" x14ac:dyDescent="0.25">
      <c r="A3885" s="5" t="s">
        <v>6</v>
      </c>
      <c r="B3885" s="5" t="s">
        <v>10853</v>
      </c>
      <c r="C3885" s="1" t="s">
        <v>10854</v>
      </c>
      <c r="D3885" s="1" t="s">
        <v>10855</v>
      </c>
      <c r="E3885" s="7">
        <v>91</v>
      </c>
    </row>
    <row r="3886" spans="1:5" x14ac:dyDescent="0.25">
      <c r="A3886" s="5" t="s">
        <v>6</v>
      </c>
      <c r="B3886" s="5" t="s">
        <v>10856</v>
      </c>
      <c r="C3886" s="1" t="s">
        <v>10857</v>
      </c>
      <c r="D3886" s="1" t="s">
        <v>10858</v>
      </c>
      <c r="E3886" s="7">
        <v>292</v>
      </c>
    </row>
    <row r="3887" spans="1:5" x14ac:dyDescent="0.25">
      <c r="A3887" s="5" t="s">
        <v>6</v>
      </c>
      <c r="B3887" s="5" t="s">
        <v>10859</v>
      </c>
      <c r="C3887" s="1" t="s">
        <v>10860</v>
      </c>
      <c r="D3887" s="1" t="s">
        <v>10861</v>
      </c>
      <c r="E3887" s="7">
        <v>40</v>
      </c>
    </row>
    <row r="3888" spans="1:5" x14ac:dyDescent="0.25">
      <c r="A3888" s="5" t="s">
        <v>6</v>
      </c>
      <c r="B3888" s="5" t="s">
        <v>10862</v>
      </c>
      <c r="C3888" s="1" t="s">
        <v>10863</v>
      </c>
      <c r="D3888" s="1" t="s">
        <v>10864</v>
      </c>
      <c r="E3888" s="7">
        <v>40</v>
      </c>
    </row>
    <row r="3889" spans="1:5" x14ac:dyDescent="0.25">
      <c r="A3889" s="5" t="s">
        <v>6</v>
      </c>
      <c r="B3889" s="5" t="s">
        <v>10865</v>
      </c>
      <c r="C3889" s="1" t="s">
        <v>10866</v>
      </c>
      <c r="D3889" s="1" t="s">
        <v>10867</v>
      </c>
      <c r="E3889" s="7">
        <v>40</v>
      </c>
    </row>
    <row r="3890" spans="1:5" x14ac:dyDescent="0.25">
      <c r="A3890" s="5" t="s">
        <v>6</v>
      </c>
      <c r="B3890" s="5" t="s">
        <v>10868</v>
      </c>
      <c r="C3890" s="1" t="s">
        <v>10869</v>
      </c>
      <c r="D3890" s="1" t="s">
        <v>10870</v>
      </c>
      <c r="E3890" s="7">
        <v>37</v>
      </c>
    </row>
    <row r="3891" spans="1:5" x14ac:dyDescent="0.25">
      <c r="A3891" s="5" t="s">
        <v>6</v>
      </c>
      <c r="B3891" s="5" t="s">
        <v>10871</v>
      </c>
      <c r="C3891" s="1" t="s">
        <v>10872</v>
      </c>
      <c r="D3891" s="1" t="s">
        <v>10873</v>
      </c>
      <c r="E3891" s="7">
        <v>5</v>
      </c>
    </row>
    <row r="3892" spans="1:5" x14ac:dyDescent="0.25">
      <c r="A3892" s="5" t="s">
        <v>6</v>
      </c>
      <c r="B3892" s="5" t="s">
        <v>10874</v>
      </c>
      <c r="C3892" s="1" t="s">
        <v>10875</v>
      </c>
      <c r="D3892" s="1" t="s">
        <v>10876</v>
      </c>
      <c r="E3892" s="7">
        <v>37</v>
      </c>
    </row>
    <row r="3893" spans="1:5" x14ac:dyDescent="0.25">
      <c r="A3893" s="5" t="s">
        <v>6</v>
      </c>
      <c r="B3893" s="5" t="s">
        <v>10877</v>
      </c>
      <c r="C3893" s="1" t="s">
        <v>10878</v>
      </c>
      <c r="D3893" s="1" t="s">
        <v>10879</v>
      </c>
      <c r="E3893" s="7">
        <v>33</v>
      </c>
    </row>
    <row r="3894" spans="1:5" x14ac:dyDescent="0.25">
      <c r="A3894" s="5" t="s">
        <v>6</v>
      </c>
      <c r="B3894" s="5" t="s">
        <v>10880</v>
      </c>
      <c r="C3894" s="1" t="s">
        <v>10881</v>
      </c>
      <c r="D3894" s="1" t="s">
        <v>10882</v>
      </c>
      <c r="E3894" s="7">
        <v>40</v>
      </c>
    </row>
    <row r="3895" spans="1:5" x14ac:dyDescent="0.25">
      <c r="A3895" s="5" t="s">
        <v>6</v>
      </c>
      <c r="B3895" s="5" t="s">
        <v>10883</v>
      </c>
      <c r="C3895" s="1" t="s">
        <v>10884</v>
      </c>
      <c r="D3895" s="1" t="s">
        <v>10885</v>
      </c>
      <c r="E3895" s="7">
        <v>40</v>
      </c>
    </row>
    <row r="3896" spans="1:5" x14ac:dyDescent="0.25">
      <c r="A3896" s="5" t="s">
        <v>6</v>
      </c>
      <c r="B3896" s="5" t="s">
        <v>10886</v>
      </c>
      <c r="C3896" s="1" t="s">
        <v>10887</v>
      </c>
      <c r="D3896" s="1" t="s">
        <v>10888</v>
      </c>
      <c r="E3896" s="7">
        <v>585</v>
      </c>
    </row>
    <row r="3897" spans="1:5" x14ac:dyDescent="0.25">
      <c r="A3897" s="5" t="s">
        <v>6</v>
      </c>
      <c r="B3897" s="5" t="s">
        <v>10889</v>
      </c>
      <c r="C3897" s="1" t="s">
        <v>10890</v>
      </c>
      <c r="D3897" s="1" t="s">
        <v>10890</v>
      </c>
      <c r="E3897" s="7">
        <v>2</v>
      </c>
    </row>
    <row r="3898" spans="1:5" x14ac:dyDescent="0.25">
      <c r="A3898" s="5" t="s">
        <v>6</v>
      </c>
      <c r="B3898" s="5" t="s">
        <v>10891</v>
      </c>
      <c r="C3898" s="1" t="s">
        <v>10892</v>
      </c>
      <c r="D3898" s="1" t="s">
        <v>10893</v>
      </c>
      <c r="E3898" s="7">
        <v>37</v>
      </c>
    </row>
    <row r="3899" spans="1:5" x14ac:dyDescent="0.25">
      <c r="A3899" s="5" t="s">
        <v>6</v>
      </c>
      <c r="B3899" s="5" t="s">
        <v>10894</v>
      </c>
      <c r="C3899" s="1" t="s">
        <v>10895</v>
      </c>
      <c r="D3899" s="1" t="s">
        <v>10896</v>
      </c>
      <c r="E3899" s="7">
        <v>42</v>
      </c>
    </row>
    <row r="3900" spans="1:5" x14ac:dyDescent="0.25">
      <c r="A3900" s="5" t="s">
        <v>6</v>
      </c>
      <c r="B3900" s="5" t="s">
        <v>10897</v>
      </c>
      <c r="C3900" s="1" t="s">
        <v>10898</v>
      </c>
      <c r="D3900" s="1" t="s">
        <v>10899</v>
      </c>
      <c r="E3900" s="7">
        <v>24.53</v>
      </c>
    </row>
    <row r="3901" spans="1:5" x14ac:dyDescent="0.25">
      <c r="A3901" s="5" t="s">
        <v>6</v>
      </c>
      <c r="B3901" s="5" t="s">
        <v>10900</v>
      </c>
      <c r="C3901" s="1" t="s">
        <v>10901</v>
      </c>
      <c r="D3901" s="1" t="s">
        <v>10902</v>
      </c>
      <c r="E3901" s="7">
        <v>329</v>
      </c>
    </row>
    <row r="3902" spans="1:5" x14ac:dyDescent="0.25">
      <c r="A3902" s="5" t="s">
        <v>6</v>
      </c>
      <c r="B3902" s="5" t="s">
        <v>10903</v>
      </c>
      <c r="C3902" s="1" t="s">
        <v>10904</v>
      </c>
      <c r="D3902" s="1" t="s">
        <v>10905</v>
      </c>
      <c r="E3902" s="7">
        <v>58</v>
      </c>
    </row>
    <row r="3903" spans="1:5" x14ac:dyDescent="0.25">
      <c r="A3903" s="5" t="s">
        <v>6</v>
      </c>
      <c r="B3903" s="5" t="s">
        <v>10906</v>
      </c>
      <c r="C3903" s="1" t="s">
        <v>10907</v>
      </c>
      <c r="D3903" s="1" t="s">
        <v>10908</v>
      </c>
      <c r="E3903" s="7">
        <v>357</v>
      </c>
    </row>
    <row r="3904" spans="1:5" x14ac:dyDescent="0.25">
      <c r="A3904" s="5" t="s">
        <v>6</v>
      </c>
      <c r="B3904" s="5" t="s">
        <v>10909</v>
      </c>
      <c r="C3904" s="1" t="s">
        <v>10910</v>
      </c>
      <c r="D3904" s="1" t="s">
        <v>10911</v>
      </c>
      <c r="E3904" s="7">
        <v>497</v>
      </c>
    </row>
    <row r="3905" spans="1:5" x14ac:dyDescent="0.25">
      <c r="A3905" s="5" t="s">
        <v>6</v>
      </c>
      <c r="B3905" s="5" t="s">
        <v>10912</v>
      </c>
      <c r="C3905" s="1" t="s">
        <v>10913</v>
      </c>
      <c r="D3905" s="1" t="s">
        <v>10914</v>
      </c>
      <c r="E3905" s="7">
        <v>588</v>
      </c>
    </row>
    <row r="3906" spans="1:5" x14ac:dyDescent="0.25">
      <c r="A3906" s="5" t="s">
        <v>6</v>
      </c>
      <c r="B3906" s="5" t="s">
        <v>10915</v>
      </c>
      <c r="C3906" s="1" t="s">
        <v>10916</v>
      </c>
      <c r="D3906" s="1" t="s">
        <v>10917</v>
      </c>
      <c r="E3906" s="7">
        <v>669</v>
      </c>
    </row>
    <row r="3907" spans="1:5" x14ac:dyDescent="0.25">
      <c r="A3907" s="5" t="s">
        <v>6</v>
      </c>
      <c r="B3907" s="5" t="s">
        <v>10918</v>
      </c>
      <c r="C3907" s="1" t="s">
        <v>10919</v>
      </c>
      <c r="D3907" s="1" t="s">
        <v>10920</v>
      </c>
      <c r="E3907" s="7">
        <v>28</v>
      </c>
    </row>
    <row r="3908" spans="1:5" x14ac:dyDescent="0.25">
      <c r="A3908" s="5" t="s">
        <v>6</v>
      </c>
      <c r="B3908" s="5" t="s">
        <v>10921</v>
      </c>
      <c r="C3908" s="1" t="s">
        <v>10922</v>
      </c>
      <c r="D3908" s="1" t="s">
        <v>10923</v>
      </c>
      <c r="E3908" s="7">
        <v>40</v>
      </c>
    </row>
    <row r="3909" spans="1:5" x14ac:dyDescent="0.25">
      <c r="A3909" s="5" t="s">
        <v>6</v>
      </c>
      <c r="B3909" s="5" t="s">
        <v>10924</v>
      </c>
      <c r="C3909" s="1" t="s">
        <v>10925</v>
      </c>
      <c r="D3909" s="1" t="s">
        <v>10926</v>
      </c>
      <c r="E3909" s="7">
        <v>19</v>
      </c>
    </row>
    <row r="3910" spans="1:5" x14ac:dyDescent="0.25">
      <c r="A3910" s="5" t="s">
        <v>6</v>
      </c>
      <c r="B3910" s="5" t="s">
        <v>10927</v>
      </c>
      <c r="C3910" s="1" t="s">
        <v>10928</v>
      </c>
      <c r="D3910" s="1" t="s">
        <v>10929</v>
      </c>
      <c r="E3910" s="7">
        <v>14</v>
      </c>
    </row>
    <row r="3911" spans="1:5" x14ac:dyDescent="0.25">
      <c r="A3911" s="5" t="s">
        <v>6</v>
      </c>
      <c r="B3911" s="5" t="s">
        <v>10930</v>
      </c>
      <c r="C3911" s="1" t="s">
        <v>10931</v>
      </c>
      <c r="D3911" s="1" t="s">
        <v>10932</v>
      </c>
      <c r="E3911" s="7">
        <v>33</v>
      </c>
    </row>
    <row r="3912" spans="1:5" x14ac:dyDescent="0.25">
      <c r="A3912" s="5" t="s">
        <v>6</v>
      </c>
      <c r="B3912" s="5" t="s">
        <v>10933</v>
      </c>
      <c r="C3912" s="1" t="s">
        <v>10934</v>
      </c>
      <c r="D3912" s="1" t="s">
        <v>10935</v>
      </c>
      <c r="E3912" s="7">
        <v>25</v>
      </c>
    </row>
    <row r="3913" spans="1:5" x14ac:dyDescent="0.25">
      <c r="A3913" s="5" t="s">
        <v>6</v>
      </c>
      <c r="B3913" s="5" t="s">
        <v>10936</v>
      </c>
      <c r="C3913" s="1" t="s">
        <v>10937</v>
      </c>
      <c r="D3913" s="1" t="s">
        <v>10938</v>
      </c>
      <c r="E3913" s="7">
        <v>26</v>
      </c>
    </row>
    <row r="3914" spans="1:5" x14ac:dyDescent="0.25">
      <c r="A3914" s="5" t="s">
        <v>6</v>
      </c>
      <c r="B3914" s="5" t="s">
        <v>10939</v>
      </c>
      <c r="C3914" s="1" t="s">
        <v>10940</v>
      </c>
      <c r="D3914" s="1" t="s">
        <v>10941</v>
      </c>
      <c r="E3914" s="7">
        <v>44</v>
      </c>
    </row>
    <row r="3915" spans="1:5" x14ac:dyDescent="0.25">
      <c r="A3915" s="5" t="s">
        <v>6</v>
      </c>
      <c r="B3915" s="5" t="s">
        <v>10942</v>
      </c>
      <c r="C3915" s="1" t="s">
        <v>10943</v>
      </c>
      <c r="D3915" s="1" t="s">
        <v>10944</v>
      </c>
      <c r="E3915" s="7">
        <v>40</v>
      </c>
    </row>
    <row r="3916" spans="1:5" x14ac:dyDescent="0.25">
      <c r="A3916" s="5" t="s">
        <v>6</v>
      </c>
      <c r="B3916" s="5" t="s">
        <v>10945</v>
      </c>
      <c r="C3916" s="1" t="s">
        <v>10946</v>
      </c>
      <c r="D3916" s="1" t="s">
        <v>10947</v>
      </c>
      <c r="E3916" s="7">
        <v>3</v>
      </c>
    </row>
    <row r="3917" spans="1:5" x14ac:dyDescent="0.25">
      <c r="A3917" s="5" t="s">
        <v>6</v>
      </c>
      <c r="B3917" s="5" t="s">
        <v>10948</v>
      </c>
      <c r="C3917" s="1" t="s">
        <v>10949</v>
      </c>
      <c r="D3917" s="1" t="s">
        <v>10950</v>
      </c>
      <c r="E3917" s="7">
        <v>40</v>
      </c>
    </row>
    <row r="3918" spans="1:5" x14ac:dyDescent="0.25">
      <c r="A3918" s="5" t="s">
        <v>6</v>
      </c>
      <c r="B3918" s="5" t="s">
        <v>10951</v>
      </c>
      <c r="C3918" s="1" t="s">
        <v>10952</v>
      </c>
      <c r="D3918" s="1" t="s">
        <v>10953</v>
      </c>
      <c r="E3918" s="7">
        <v>402</v>
      </c>
    </row>
    <row r="3919" spans="1:5" x14ac:dyDescent="0.25">
      <c r="A3919" s="5" t="s">
        <v>6</v>
      </c>
      <c r="B3919" s="5" t="s">
        <v>10954</v>
      </c>
      <c r="C3919" s="1" t="s">
        <v>10955</v>
      </c>
      <c r="D3919" s="1" t="s">
        <v>10956</v>
      </c>
      <c r="E3919" s="7">
        <v>40</v>
      </c>
    </row>
    <row r="3920" spans="1:5" x14ac:dyDescent="0.25">
      <c r="A3920" s="5" t="s">
        <v>6</v>
      </c>
      <c r="B3920" s="5" t="s">
        <v>10957</v>
      </c>
      <c r="C3920" s="1" t="s">
        <v>10958</v>
      </c>
      <c r="D3920" s="1" t="s">
        <v>10959</v>
      </c>
      <c r="E3920" s="7">
        <v>31</v>
      </c>
    </row>
    <row r="3921" spans="1:5" x14ac:dyDescent="0.25">
      <c r="A3921" s="5" t="s">
        <v>6</v>
      </c>
      <c r="B3921" s="5" t="s">
        <v>10960</v>
      </c>
      <c r="C3921" s="1" t="s">
        <v>10961</v>
      </c>
      <c r="D3921" s="1" t="s">
        <v>10962</v>
      </c>
      <c r="E3921" s="7">
        <v>427</v>
      </c>
    </row>
    <row r="3922" spans="1:5" x14ac:dyDescent="0.25">
      <c r="A3922" s="5" t="s">
        <v>6</v>
      </c>
      <c r="B3922" s="5" t="s">
        <v>10963</v>
      </c>
      <c r="C3922" s="1" t="s">
        <v>10964</v>
      </c>
      <c r="D3922" s="1" t="s">
        <v>10965</v>
      </c>
      <c r="E3922" s="7">
        <v>40</v>
      </c>
    </row>
    <row r="3923" spans="1:5" x14ac:dyDescent="0.25">
      <c r="A3923" s="5" t="s">
        <v>6</v>
      </c>
      <c r="B3923" s="5" t="s">
        <v>10966</v>
      </c>
      <c r="C3923" s="1" t="s">
        <v>10967</v>
      </c>
      <c r="D3923" s="1" t="s">
        <v>10968</v>
      </c>
      <c r="E3923" s="7">
        <v>249</v>
      </c>
    </row>
    <row r="3924" spans="1:5" x14ac:dyDescent="0.25">
      <c r="A3924" s="5" t="s">
        <v>6</v>
      </c>
      <c r="B3924" s="5" t="s">
        <v>10969</v>
      </c>
      <c r="C3924" s="1" t="s">
        <v>10970</v>
      </c>
      <c r="D3924" s="1" t="s">
        <v>10971</v>
      </c>
      <c r="E3924" s="7">
        <v>2</v>
      </c>
    </row>
    <row r="3925" spans="1:5" x14ac:dyDescent="0.25">
      <c r="A3925" s="5" t="s">
        <v>6</v>
      </c>
      <c r="B3925" s="5" t="s">
        <v>10972</v>
      </c>
      <c r="C3925" s="1" t="s">
        <v>10973</v>
      </c>
      <c r="D3925" s="1" t="s">
        <v>10974</v>
      </c>
      <c r="E3925" s="7">
        <v>29</v>
      </c>
    </row>
    <row r="3926" spans="1:5" x14ac:dyDescent="0.25">
      <c r="A3926" s="5" t="s">
        <v>6</v>
      </c>
      <c r="B3926" s="5" t="s">
        <v>10975</v>
      </c>
      <c r="C3926" s="1" t="s">
        <v>10976</v>
      </c>
      <c r="D3926" s="1" t="s">
        <v>10977</v>
      </c>
      <c r="E3926" s="7">
        <v>33</v>
      </c>
    </row>
    <row r="3927" spans="1:5" x14ac:dyDescent="0.25">
      <c r="A3927" s="5" t="s">
        <v>6</v>
      </c>
      <c r="B3927" s="5" t="s">
        <v>10978</v>
      </c>
      <c r="C3927" s="1" t="s">
        <v>10979</v>
      </c>
      <c r="D3927" s="1" t="s">
        <v>10980</v>
      </c>
      <c r="E3927" s="7">
        <v>29</v>
      </c>
    </row>
    <row r="3928" spans="1:5" x14ac:dyDescent="0.25">
      <c r="A3928" s="5" t="s">
        <v>6</v>
      </c>
      <c r="B3928" s="5" t="s">
        <v>10981</v>
      </c>
      <c r="C3928" s="1" t="s">
        <v>10982</v>
      </c>
      <c r="D3928" s="1" t="s">
        <v>10983</v>
      </c>
      <c r="E3928" s="7">
        <v>25</v>
      </c>
    </row>
    <row r="3929" spans="1:5" x14ac:dyDescent="0.25">
      <c r="A3929" s="5" t="s">
        <v>6</v>
      </c>
      <c r="B3929" s="5" t="s">
        <v>10984</v>
      </c>
      <c r="C3929" s="1" t="s">
        <v>10985</v>
      </c>
      <c r="D3929" s="1" t="s">
        <v>10986</v>
      </c>
      <c r="E3929" s="7">
        <v>69</v>
      </c>
    </row>
    <row r="3930" spans="1:5" x14ac:dyDescent="0.25">
      <c r="A3930" s="5" t="s">
        <v>6</v>
      </c>
      <c r="B3930" s="5" t="s">
        <v>10987</v>
      </c>
      <c r="C3930" s="1" t="s">
        <v>10988</v>
      </c>
      <c r="D3930" s="1" t="s">
        <v>10989</v>
      </c>
      <c r="E3930" s="7">
        <v>272</v>
      </c>
    </row>
    <row r="3931" spans="1:5" x14ac:dyDescent="0.25">
      <c r="A3931" s="5" t="s">
        <v>6</v>
      </c>
      <c r="B3931" s="5" t="s">
        <v>10990</v>
      </c>
      <c r="C3931" s="1" t="s">
        <v>10991</v>
      </c>
      <c r="D3931" s="1" t="s">
        <v>10992</v>
      </c>
      <c r="E3931" s="7">
        <v>73</v>
      </c>
    </row>
    <row r="3932" spans="1:5" x14ac:dyDescent="0.25">
      <c r="A3932" s="5" t="s">
        <v>6</v>
      </c>
      <c r="B3932" s="5" t="s">
        <v>10993</v>
      </c>
      <c r="C3932" s="1" t="s">
        <v>10994</v>
      </c>
      <c r="D3932" s="1" t="s">
        <v>10995</v>
      </c>
      <c r="E3932" s="7">
        <v>23</v>
      </c>
    </row>
    <row r="3933" spans="1:5" x14ac:dyDescent="0.25">
      <c r="A3933" s="5" t="s">
        <v>6</v>
      </c>
      <c r="B3933" s="5" t="s">
        <v>10996</v>
      </c>
      <c r="C3933" s="1" t="s">
        <v>10997</v>
      </c>
      <c r="D3933" s="1" t="s">
        <v>10998</v>
      </c>
      <c r="E3933" s="7">
        <v>33</v>
      </c>
    </row>
    <row r="3934" spans="1:5" x14ac:dyDescent="0.25">
      <c r="A3934" s="5" t="s">
        <v>6</v>
      </c>
      <c r="B3934" s="5" t="s">
        <v>10999</v>
      </c>
      <c r="C3934" s="1" t="s">
        <v>11000</v>
      </c>
      <c r="D3934" s="1" t="s">
        <v>11001</v>
      </c>
      <c r="E3934" s="7">
        <v>15</v>
      </c>
    </row>
    <row r="3935" spans="1:5" x14ac:dyDescent="0.25">
      <c r="A3935" s="5" t="s">
        <v>6</v>
      </c>
      <c r="B3935" s="5" t="s">
        <v>11002</v>
      </c>
      <c r="C3935" s="1" t="s">
        <v>11003</v>
      </c>
      <c r="D3935" s="1" t="s">
        <v>11004</v>
      </c>
      <c r="E3935" s="7">
        <v>436</v>
      </c>
    </row>
    <row r="3936" spans="1:5" x14ac:dyDescent="0.25">
      <c r="A3936" s="5" t="s">
        <v>6</v>
      </c>
      <c r="B3936" s="5" t="s">
        <v>11005</v>
      </c>
      <c r="C3936" s="1" t="s">
        <v>11006</v>
      </c>
      <c r="D3936" s="1" t="s">
        <v>11007</v>
      </c>
      <c r="E3936" s="7">
        <v>1</v>
      </c>
    </row>
    <row r="3937" spans="1:5" x14ac:dyDescent="0.25">
      <c r="A3937" s="5" t="s">
        <v>6</v>
      </c>
      <c r="B3937" s="5" t="s">
        <v>11008</v>
      </c>
      <c r="C3937" s="1" t="s">
        <v>11009</v>
      </c>
      <c r="D3937" s="1" t="s">
        <v>11010</v>
      </c>
      <c r="E3937" s="7">
        <v>44</v>
      </c>
    </row>
    <row r="3938" spans="1:5" x14ac:dyDescent="0.25">
      <c r="A3938" s="5" t="s">
        <v>6</v>
      </c>
      <c r="B3938" s="5" t="s">
        <v>11011</v>
      </c>
      <c r="C3938" s="1" t="s">
        <v>11012</v>
      </c>
      <c r="D3938" s="1" t="s">
        <v>11013</v>
      </c>
      <c r="E3938" s="7">
        <v>65</v>
      </c>
    </row>
    <row r="3939" spans="1:5" x14ac:dyDescent="0.25">
      <c r="A3939" s="5" t="s">
        <v>6</v>
      </c>
      <c r="B3939" s="5" t="s">
        <v>11014</v>
      </c>
      <c r="C3939" s="1" t="s">
        <v>11015</v>
      </c>
      <c r="D3939" s="1" t="s">
        <v>11016</v>
      </c>
      <c r="E3939" s="7">
        <v>33</v>
      </c>
    </row>
    <row r="3940" spans="1:5" x14ac:dyDescent="0.25">
      <c r="A3940" s="5" t="s">
        <v>6</v>
      </c>
      <c r="B3940" s="5" t="s">
        <v>11017</v>
      </c>
      <c r="C3940" s="1" t="s">
        <v>11018</v>
      </c>
      <c r="D3940" s="1" t="s">
        <v>11019</v>
      </c>
      <c r="E3940" s="7">
        <v>40</v>
      </c>
    </row>
    <row r="3941" spans="1:5" x14ac:dyDescent="0.25">
      <c r="A3941" s="5" t="s">
        <v>6</v>
      </c>
      <c r="B3941" s="5" t="s">
        <v>11020</v>
      </c>
      <c r="C3941" s="1" t="s">
        <v>11021</v>
      </c>
      <c r="D3941" s="1" t="s">
        <v>11022</v>
      </c>
      <c r="E3941" s="7">
        <v>2</v>
      </c>
    </row>
    <row r="3942" spans="1:5" x14ac:dyDescent="0.25">
      <c r="A3942" s="5" t="s">
        <v>6</v>
      </c>
      <c r="B3942" s="5" t="s">
        <v>11023</v>
      </c>
      <c r="C3942" s="1" t="s">
        <v>11024</v>
      </c>
      <c r="D3942" s="1" t="s">
        <v>11025</v>
      </c>
      <c r="E3942" s="7">
        <v>40</v>
      </c>
    </row>
    <row r="3943" spans="1:5" x14ac:dyDescent="0.25">
      <c r="A3943" s="5" t="s">
        <v>6</v>
      </c>
      <c r="B3943" s="5" t="s">
        <v>11026</v>
      </c>
      <c r="C3943" s="1" t="s">
        <v>11027</v>
      </c>
      <c r="D3943" s="1" t="s">
        <v>11028</v>
      </c>
      <c r="E3943" s="7">
        <v>51</v>
      </c>
    </row>
    <row r="3944" spans="1:5" x14ac:dyDescent="0.25">
      <c r="A3944" s="5" t="s">
        <v>6</v>
      </c>
      <c r="B3944" s="5" t="s">
        <v>11029</v>
      </c>
      <c r="C3944" s="1" t="s">
        <v>11030</v>
      </c>
      <c r="D3944" s="1" t="s">
        <v>11031</v>
      </c>
      <c r="E3944" s="7">
        <v>32</v>
      </c>
    </row>
    <row r="3945" spans="1:5" x14ac:dyDescent="0.25">
      <c r="A3945" s="5" t="s">
        <v>6</v>
      </c>
      <c r="B3945" s="5" t="s">
        <v>11032</v>
      </c>
      <c r="C3945" s="1" t="s">
        <v>11033</v>
      </c>
      <c r="D3945" s="1" t="s">
        <v>11034</v>
      </c>
      <c r="E3945" s="7">
        <v>40</v>
      </c>
    </row>
    <row r="3946" spans="1:5" x14ac:dyDescent="0.25">
      <c r="A3946" s="5" t="s">
        <v>6</v>
      </c>
      <c r="B3946" s="5" t="s">
        <v>11035</v>
      </c>
      <c r="C3946" s="1" t="s">
        <v>11036</v>
      </c>
      <c r="D3946" s="1" t="s">
        <v>11037</v>
      </c>
      <c r="E3946" s="7">
        <v>40</v>
      </c>
    </row>
    <row r="3947" spans="1:5" x14ac:dyDescent="0.25">
      <c r="A3947" s="5" t="s">
        <v>6</v>
      </c>
      <c r="B3947" s="5" t="s">
        <v>11038</v>
      </c>
      <c r="C3947" s="1" t="s">
        <v>11039</v>
      </c>
      <c r="D3947" s="1" t="s">
        <v>11040</v>
      </c>
      <c r="E3947" s="7">
        <v>38</v>
      </c>
    </row>
    <row r="3948" spans="1:5" x14ac:dyDescent="0.25">
      <c r="A3948" s="5" t="s">
        <v>6</v>
      </c>
      <c r="B3948" s="5" t="s">
        <v>11041</v>
      </c>
      <c r="C3948" s="1" t="s">
        <v>11042</v>
      </c>
      <c r="D3948" s="1" t="s">
        <v>11043</v>
      </c>
      <c r="E3948" s="7">
        <v>111</v>
      </c>
    </row>
    <row r="3949" spans="1:5" x14ac:dyDescent="0.25">
      <c r="A3949" s="5" t="s">
        <v>6</v>
      </c>
      <c r="B3949" s="5" t="s">
        <v>11044</v>
      </c>
      <c r="C3949" s="1" t="s">
        <v>11045</v>
      </c>
      <c r="D3949" s="1" t="s">
        <v>11046</v>
      </c>
      <c r="E3949" s="7">
        <v>91</v>
      </c>
    </row>
    <row r="3950" spans="1:5" x14ac:dyDescent="0.25">
      <c r="A3950" s="5" t="s">
        <v>6</v>
      </c>
      <c r="B3950" s="5" t="s">
        <v>11047</v>
      </c>
      <c r="C3950" s="1" t="s">
        <v>11048</v>
      </c>
      <c r="D3950" s="1" t="s">
        <v>11049</v>
      </c>
      <c r="E3950" s="7">
        <v>38</v>
      </c>
    </row>
    <row r="3951" spans="1:5" x14ac:dyDescent="0.25">
      <c r="A3951" s="5" t="s">
        <v>6</v>
      </c>
      <c r="B3951" s="5" t="s">
        <v>11050</v>
      </c>
      <c r="C3951" s="1" t="s">
        <v>11051</v>
      </c>
      <c r="D3951" s="1" t="s">
        <v>11052</v>
      </c>
      <c r="E3951" s="7">
        <v>18</v>
      </c>
    </row>
    <row r="3952" spans="1:5" x14ac:dyDescent="0.25">
      <c r="A3952" s="5" t="s">
        <v>6</v>
      </c>
      <c r="B3952" s="5" t="s">
        <v>11053</v>
      </c>
      <c r="C3952" s="1" t="s">
        <v>11054</v>
      </c>
      <c r="D3952" s="1" t="s">
        <v>11055</v>
      </c>
      <c r="E3952" s="7">
        <v>37</v>
      </c>
    </row>
    <row r="3953" spans="1:5" x14ac:dyDescent="0.25">
      <c r="A3953" s="5" t="s">
        <v>6</v>
      </c>
      <c r="B3953" s="5" t="s">
        <v>11056</v>
      </c>
      <c r="C3953" s="1" t="s">
        <v>11057</v>
      </c>
      <c r="D3953" s="1" t="s">
        <v>11058</v>
      </c>
      <c r="E3953" s="7">
        <v>40</v>
      </c>
    </row>
    <row r="3954" spans="1:5" x14ac:dyDescent="0.25">
      <c r="A3954" s="5" t="s">
        <v>6</v>
      </c>
      <c r="B3954" s="5" t="s">
        <v>11059</v>
      </c>
      <c r="C3954" s="1" t="s">
        <v>11060</v>
      </c>
      <c r="D3954" s="1" t="s">
        <v>11061</v>
      </c>
      <c r="E3954" s="7">
        <v>13</v>
      </c>
    </row>
    <row r="3955" spans="1:5" x14ac:dyDescent="0.25">
      <c r="A3955" s="5" t="s">
        <v>6</v>
      </c>
      <c r="B3955" s="5" t="s">
        <v>11062</v>
      </c>
      <c r="C3955" s="1" t="s">
        <v>11063</v>
      </c>
      <c r="D3955" s="1" t="s">
        <v>11064</v>
      </c>
      <c r="E3955" s="7">
        <v>32</v>
      </c>
    </row>
    <row r="3956" spans="1:5" x14ac:dyDescent="0.25">
      <c r="A3956" s="5" t="s">
        <v>6</v>
      </c>
      <c r="B3956" s="5" t="s">
        <v>11065</v>
      </c>
      <c r="C3956" s="1" t="s">
        <v>11066</v>
      </c>
      <c r="D3956" s="1" t="s">
        <v>11067</v>
      </c>
      <c r="E3956" s="7">
        <v>49</v>
      </c>
    </row>
    <row r="3957" spans="1:5" x14ac:dyDescent="0.25">
      <c r="A3957" s="5" t="s">
        <v>6</v>
      </c>
      <c r="B3957" s="5" t="s">
        <v>11068</v>
      </c>
      <c r="C3957" s="1" t="s">
        <v>11069</v>
      </c>
      <c r="D3957" s="1" t="s">
        <v>11070</v>
      </c>
      <c r="E3957" s="7">
        <v>91</v>
      </c>
    </row>
    <row r="3958" spans="1:5" x14ac:dyDescent="0.25">
      <c r="A3958" s="5" t="s">
        <v>6</v>
      </c>
      <c r="B3958" s="5" t="s">
        <v>11071</v>
      </c>
      <c r="C3958" s="1" t="s">
        <v>11072</v>
      </c>
      <c r="D3958" s="1" t="s">
        <v>11073</v>
      </c>
      <c r="E3958" s="7">
        <v>13</v>
      </c>
    </row>
    <row r="3959" spans="1:5" x14ac:dyDescent="0.25">
      <c r="A3959" s="5" t="s">
        <v>6</v>
      </c>
      <c r="B3959" s="5" t="s">
        <v>11074</v>
      </c>
      <c r="C3959" s="1" t="s">
        <v>11075</v>
      </c>
      <c r="D3959" s="1" t="s">
        <v>11076</v>
      </c>
      <c r="E3959" s="7">
        <v>40</v>
      </c>
    </row>
    <row r="3960" spans="1:5" x14ac:dyDescent="0.25">
      <c r="A3960" s="5" t="s">
        <v>6</v>
      </c>
      <c r="B3960" s="5" t="s">
        <v>11077</v>
      </c>
      <c r="C3960" s="1" t="s">
        <v>11078</v>
      </c>
      <c r="D3960" s="1" t="s">
        <v>11079</v>
      </c>
      <c r="E3960" s="7">
        <v>31</v>
      </c>
    </row>
    <row r="3961" spans="1:5" x14ac:dyDescent="0.25">
      <c r="A3961" s="5" t="s">
        <v>6</v>
      </c>
      <c r="B3961" s="5" t="s">
        <v>11080</v>
      </c>
      <c r="C3961" s="1" t="s">
        <v>11081</v>
      </c>
      <c r="D3961" s="1" t="s">
        <v>11082</v>
      </c>
      <c r="E3961" s="7">
        <v>10</v>
      </c>
    </row>
    <row r="3962" spans="1:5" x14ac:dyDescent="0.25">
      <c r="A3962" s="5" t="s">
        <v>6</v>
      </c>
      <c r="B3962" s="5" t="s">
        <v>11083</v>
      </c>
      <c r="C3962" s="1" t="s">
        <v>11084</v>
      </c>
      <c r="D3962" s="1" t="s">
        <v>11085</v>
      </c>
      <c r="E3962" s="7">
        <v>37</v>
      </c>
    </row>
    <row r="3963" spans="1:5" x14ac:dyDescent="0.25">
      <c r="A3963" s="5" t="s">
        <v>6</v>
      </c>
      <c r="B3963" s="5" t="s">
        <v>11086</v>
      </c>
      <c r="C3963" s="1" t="s">
        <v>11087</v>
      </c>
      <c r="D3963" s="1" t="s">
        <v>11088</v>
      </c>
      <c r="E3963" s="7">
        <v>189</v>
      </c>
    </row>
    <row r="3964" spans="1:5" x14ac:dyDescent="0.25">
      <c r="A3964" s="5" t="s">
        <v>6</v>
      </c>
      <c r="B3964" s="5" t="s">
        <v>11089</v>
      </c>
      <c r="C3964" s="1" t="s">
        <v>11090</v>
      </c>
      <c r="D3964" s="1" t="s">
        <v>11091</v>
      </c>
      <c r="E3964" s="7">
        <v>214</v>
      </c>
    </row>
    <row r="3965" spans="1:5" x14ac:dyDescent="0.25">
      <c r="A3965" s="5" t="s">
        <v>6</v>
      </c>
      <c r="B3965" s="5" t="s">
        <v>11092</v>
      </c>
      <c r="C3965" s="1" t="s">
        <v>11093</v>
      </c>
      <c r="D3965" s="1" t="s">
        <v>11094</v>
      </c>
      <c r="E3965" s="7">
        <v>12</v>
      </c>
    </row>
    <row r="3966" spans="1:5" x14ac:dyDescent="0.25">
      <c r="A3966" s="5" t="s">
        <v>6</v>
      </c>
      <c r="B3966" s="5" t="s">
        <v>11095</v>
      </c>
      <c r="C3966" s="1" t="s">
        <v>11096</v>
      </c>
      <c r="D3966" s="1" t="s">
        <v>11097</v>
      </c>
      <c r="E3966" s="7">
        <v>40</v>
      </c>
    </row>
    <row r="3967" spans="1:5" x14ac:dyDescent="0.25">
      <c r="A3967" s="5" t="s">
        <v>6</v>
      </c>
      <c r="B3967" s="5" t="s">
        <v>11098</v>
      </c>
      <c r="C3967" s="1" t="s">
        <v>11099</v>
      </c>
      <c r="D3967" s="1" t="s">
        <v>11100</v>
      </c>
      <c r="E3967" s="7">
        <v>40</v>
      </c>
    </row>
    <row r="3968" spans="1:5" x14ac:dyDescent="0.25">
      <c r="A3968" s="5" t="s">
        <v>6</v>
      </c>
      <c r="B3968" s="5" t="s">
        <v>11101</v>
      </c>
      <c r="C3968" s="1" t="s">
        <v>11102</v>
      </c>
      <c r="D3968" s="1" t="s">
        <v>11103</v>
      </c>
      <c r="E3968" s="7">
        <v>252</v>
      </c>
    </row>
    <row r="3969" spans="1:5" x14ac:dyDescent="0.25">
      <c r="A3969" s="5" t="s">
        <v>6</v>
      </c>
      <c r="B3969" s="5" t="s">
        <v>11104</v>
      </c>
      <c r="C3969" s="1" t="s">
        <v>11105</v>
      </c>
      <c r="D3969" s="1" t="s">
        <v>11106</v>
      </c>
      <c r="E3969" s="7">
        <v>124</v>
      </c>
    </row>
    <row r="3970" spans="1:5" x14ac:dyDescent="0.25">
      <c r="A3970" s="5" t="s">
        <v>6</v>
      </c>
      <c r="B3970" s="5" t="s">
        <v>11107</v>
      </c>
      <c r="C3970" s="1" t="s">
        <v>11108</v>
      </c>
      <c r="D3970" s="1" t="s">
        <v>11109</v>
      </c>
      <c r="E3970" s="7">
        <v>488</v>
      </c>
    </row>
    <row r="3971" spans="1:5" x14ac:dyDescent="0.25">
      <c r="A3971" s="5" t="s">
        <v>6</v>
      </c>
      <c r="B3971" s="5" t="s">
        <v>11110</v>
      </c>
      <c r="C3971" s="1" t="s">
        <v>11111</v>
      </c>
      <c r="D3971" s="1" t="s">
        <v>11112</v>
      </c>
      <c r="E3971" s="7">
        <v>794</v>
      </c>
    </row>
    <row r="3972" spans="1:5" x14ac:dyDescent="0.25">
      <c r="A3972" s="5" t="s">
        <v>6</v>
      </c>
      <c r="B3972" s="5" t="s">
        <v>11113</v>
      </c>
      <c r="C3972" s="1" t="s">
        <v>11114</v>
      </c>
      <c r="D3972" s="1" t="s">
        <v>11115</v>
      </c>
      <c r="E3972" s="7">
        <v>25</v>
      </c>
    </row>
    <row r="3973" spans="1:5" x14ac:dyDescent="0.25">
      <c r="A3973" s="5" t="s">
        <v>6</v>
      </c>
      <c r="B3973" s="5" t="s">
        <v>11116</v>
      </c>
      <c r="C3973" s="1" t="s">
        <v>11117</v>
      </c>
      <c r="D3973" s="1" t="s">
        <v>11118</v>
      </c>
      <c r="E3973" s="7">
        <v>288</v>
      </c>
    </row>
    <row r="3974" spans="1:5" x14ac:dyDescent="0.25">
      <c r="A3974" s="5" t="s">
        <v>6</v>
      </c>
      <c r="B3974" s="5" t="s">
        <v>11119</v>
      </c>
      <c r="C3974" s="1" t="s">
        <v>11120</v>
      </c>
      <c r="D3974" s="1" t="s">
        <v>11121</v>
      </c>
      <c r="E3974" s="7">
        <v>90</v>
      </c>
    </row>
    <row r="3975" spans="1:5" x14ac:dyDescent="0.25">
      <c r="A3975" s="5" t="s">
        <v>6</v>
      </c>
      <c r="B3975" s="5" t="s">
        <v>11122</v>
      </c>
      <c r="C3975" s="1" t="s">
        <v>11123</v>
      </c>
      <c r="D3975" s="1" t="s">
        <v>11124</v>
      </c>
      <c r="E3975" s="7">
        <v>364</v>
      </c>
    </row>
    <row r="3976" spans="1:5" x14ac:dyDescent="0.25">
      <c r="A3976" s="5" t="s">
        <v>6</v>
      </c>
      <c r="B3976" s="5" t="s">
        <v>11125</v>
      </c>
      <c r="C3976" s="1" t="s">
        <v>11126</v>
      </c>
      <c r="D3976" s="1" t="s">
        <v>11127</v>
      </c>
      <c r="E3976" s="7">
        <v>296</v>
      </c>
    </row>
    <row r="3977" spans="1:5" x14ac:dyDescent="0.25">
      <c r="A3977" s="5" t="s">
        <v>6</v>
      </c>
      <c r="B3977" s="5" t="s">
        <v>11128</v>
      </c>
      <c r="C3977" s="1" t="s">
        <v>11129</v>
      </c>
      <c r="D3977" s="1" t="s">
        <v>11130</v>
      </c>
      <c r="E3977" s="7">
        <v>500</v>
      </c>
    </row>
    <row r="3978" spans="1:5" x14ac:dyDescent="0.25">
      <c r="A3978" s="5" t="s">
        <v>6</v>
      </c>
      <c r="B3978" s="5" t="s">
        <v>11131</v>
      </c>
      <c r="C3978" s="1" t="s">
        <v>11132</v>
      </c>
      <c r="D3978" s="1" t="s">
        <v>11133</v>
      </c>
      <c r="E3978" s="7">
        <v>73</v>
      </c>
    </row>
    <row r="3979" spans="1:5" x14ac:dyDescent="0.25">
      <c r="A3979" s="5" t="s">
        <v>6</v>
      </c>
      <c r="B3979" s="5" t="s">
        <v>11134</v>
      </c>
      <c r="C3979" s="1" t="s">
        <v>11135</v>
      </c>
      <c r="D3979" s="1" t="s">
        <v>11136</v>
      </c>
      <c r="E3979" s="7">
        <v>83</v>
      </c>
    </row>
    <row r="3980" spans="1:5" x14ac:dyDescent="0.25">
      <c r="A3980" s="5" t="s">
        <v>6</v>
      </c>
      <c r="B3980" s="5" t="s">
        <v>11137</v>
      </c>
      <c r="C3980" s="1" t="s">
        <v>11138</v>
      </c>
      <c r="D3980" s="1" t="s">
        <v>11139</v>
      </c>
      <c r="E3980" s="7">
        <v>640</v>
      </c>
    </row>
    <row r="3981" spans="1:5" x14ac:dyDescent="0.25">
      <c r="A3981" s="5" t="s">
        <v>6</v>
      </c>
      <c r="B3981" s="5" t="s">
        <v>11140</v>
      </c>
      <c r="C3981" s="1" t="s">
        <v>11141</v>
      </c>
      <c r="D3981" s="1" t="s">
        <v>11133</v>
      </c>
      <c r="E3981" s="7">
        <v>43</v>
      </c>
    </row>
    <row r="3982" spans="1:5" x14ac:dyDescent="0.25">
      <c r="A3982" s="5" t="s">
        <v>6</v>
      </c>
      <c r="B3982" s="5" t="s">
        <v>11142</v>
      </c>
      <c r="C3982" s="1" t="s">
        <v>11143</v>
      </c>
      <c r="D3982" s="1" t="s">
        <v>11139</v>
      </c>
      <c r="E3982" s="7">
        <v>672</v>
      </c>
    </row>
    <row r="3983" spans="1:5" x14ac:dyDescent="0.25">
      <c r="A3983" s="5" t="s">
        <v>6</v>
      </c>
      <c r="B3983" s="5" t="s">
        <v>11144</v>
      </c>
      <c r="C3983" s="1" t="s">
        <v>11145</v>
      </c>
      <c r="D3983" s="1" t="s">
        <v>11146</v>
      </c>
      <c r="E3983" s="7">
        <v>294</v>
      </c>
    </row>
    <row r="3984" spans="1:5" x14ac:dyDescent="0.25">
      <c r="A3984" s="5" t="s">
        <v>6</v>
      </c>
      <c r="B3984" s="5" t="s">
        <v>11147</v>
      </c>
      <c r="C3984" s="1" t="s">
        <v>11148</v>
      </c>
      <c r="D3984" s="1" t="s">
        <v>11149</v>
      </c>
      <c r="E3984" s="7">
        <v>78</v>
      </c>
    </row>
    <row r="3985" spans="1:5" x14ac:dyDescent="0.25">
      <c r="A3985" s="5" t="s">
        <v>6</v>
      </c>
      <c r="B3985" s="5" t="s">
        <v>11150</v>
      </c>
      <c r="C3985" s="1" t="s">
        <v>11151</v>
      </c>
      <c r="D3985" s="1" t="s">
        <v>11152</v>
      </c>
      <c r="E3985" s="7">
        <v>49.05</v>
      </c>
    </row>
    <row r="3986" spans="1:5" x14ac:dyDescent="0.25">
      <c r="A3986" s="5" t="s">
        <v>6</v>
      </c>
      <c r="B3986" s="5" t="s">
        <v>11153</v>
      </c>
      <c r="C3986" s="1" t="s">
        <v>11154</v>
      </c>
      <c r="D3986" s="1" t="s">
        <v>11155</v>
      </c>
      <c r="E3986" s="7">
        <v>38</v>
      </c>
    </row>
    <row r="3987" spans="1:5" x14ac:dyDescent="0.25">
      <c r="A3987" s="5" t="s">
        <v>6</v>
      </c>
      <c r="B3987" s="5" t="s">
        <v>11156</v>
      </c>
      <c r="C3987" s="1" t="s">
        <v>11157</v>
      </c>
      <c r="D3987" s="1" t="s">
        <v>11158</v>
      </c>
      <c r="E3987" s="7">
        <v>17</v>
      </c>
    </row>
    <row r="3988" spans="1:5" x14ac:dyDescent="0.25">
      <c r="A3988" s="5" t="s">
        <v>6</v>
      </c>
      <c r="B3988" s="5" t="s">
        <v>11159</v>
      </c>
      <c r="C3988" s="1" t="s">
        <v>11160</v>
      </c>
      <c r="D3988" s="1" t="s">
        <v>11161</v>
      </c>
      <c r="E3988" s="7">
        <v>78</v>
      </c>
    </row>
    <row r="3989" spans="1:5" x14ac:dyDescent="0.25">
      <c r="A3989" s="5" t="s">
        <v>6</v>
      </c>
      <c r="B3989" s="5" t="s">
        <v>11162</v>
      </c>
      <c r="C3989" s="1" t="s">
        <v>11163</v>
      </c>
      <c r="D3989" s="1" t="s">
        <v>11164</v>
      </c>
      <c r="E3989" s="7">
        <v>87</v>
      </c>
    </row>
    <row r="3990" spans="1:5" x14ac:dyDescent="0.25">
      <c r="A3990" s="5" t="s">
        <v>6</v>
      </c>
      <c r="B3990" s="5" t="s">
        <v>11165</v>
      </c>
      <c r="C3990" s="1" t="s">
        <v>11166</v>
      </c>
      <c r="D3990" s="1" t="s">
        <v>11167</v>
      </c>
      <c r="E3990" s="7">
        <v>354</v>
      </c>
    </row>
    <row r="3991" spans="1:5" x14ac:dyDescent="0.25">
      <c r="A3991" s="5" t="s">
        <v>6</v>
      </c>
      <c r="B3991" s="5" t="s">
        <v>11168</v>
      </c>
      <c r="C3991" s="1" t="s">
        <v>11169</v>
      </c>
      <c r="D3991" s="1" t="s">
        <v>11170</v>
      </c>
      <c r="E3991" s="7">
        <v>252</v>
      </c>
    </row>
    <row r="3992" spans="1:5" x14ac:dyDescent="0.25">
      <c r="A3992" s="5" t="s">
        <v>6</v>
      </c>
      <c r="B3992" s="5" t="s">
        <v>11171</v>
      </c>
      <c r="C3992" s="1" t="s">
        <v>11172</v>
      </c>
      <c r="D3992" s="1" t="s">
        <v>11173</v>
      </c>
      <c r="E3992" s="7">
        <v>45</v>
      </c>
    </row>
    <row r="3993" spans="1:5" x14ac:dyDescent="0.25">
      <c r="A3993" s="5" t="s">
        <v>6</v>
      </c>
      <c r="B3993" s="5" t="s">
        <v>11174</v>
      </c>
      <c r="C3993" s="1" t="s">
        <v>11175</v>
      </c>
      <c r="D3993" s="1" t="s">
        <v>11176</v>
      </c>
      <c r="E3993" s="7">
        <v>32</v>
      </c>
    </row>
    <row r="3994" spans="1:5" x14ac:dyDescent="0.25">
      <c r="A3994" s="5" t="s">
        <v>6</v>
      </c>
      <c r="B3994" s="5" t="s">
        <v>11177</v>
      </c>
      <c r="C3994" s="1" t="s">
        <v>11178</v>
      </c>
      <c r="D3994" s="1" t="s">
        <v>11179</v>
      </c>
      <c r="E3994" s="7">
        <v>175</v>
      </c>
    </row>
    <row r="3995" spans="1:5" x14ac:dyDescent="0.25">
      <c r="A3995" s="5" t="s">
        <v>6</v>
      </c>
      <c r="B3995" s="5" t="s">
        <v>11180</v>
      </c>
      <c r="C3995" s="1" t="s">
        <v>11181</v>
      </c>
      <c r="D3995" s="1" t="s">
        <v>11182</v>
      </c>
      <c r="E3995" s="7">
        <v>76</v>
      </c>
    </row>
    <row r="3996" spans="1:5" x14ac:dyDescent="0.25">
      <c r="A3996" s="5" t="s">
        <v>6</v>
      </c>
      <c r="B3996" s="5" t="s">
        <v>11183</v>
      </c>
      <c r="C3996" s="1" t="s">
        <v>11184</v>
      </c>
      <c r="D3996" s="1" t="s">
        <v>11185</v>
      </c>
      <c r="E3996" s="7">
        <v>68</v>
      </c>
    </row>
    <row r="3997" spans="1:5" x14ac:dyDescent="0.25">
      <c r="A3997" s="5" t="s">
        <v>6</v>
      </c>
      <c r="B3997" s="5" t="s">
        <v>11186</v>
      </c>
      <c r="C3997" s="1" t="s">
        <v>11187</v>
      </c>
      <c r="D3997" s="1" t="s">
        <v>11188</v>
      </c>
      <c r="E3997" s="7">
        <v>120</v>
      </c>
    </row>
    <row r="3998" spans="1:5" x14ac:dyDescent="0.25">
      <c r="A3998" s="5" t="s">
        <v>6</v>
      </c>
      <c r="B3998" s="5" t="s">
        <v>11189</v>
      </c>
      <c r="C3998" s="1" t="s">
        <v>11190</v>
      </c>
      <c r="D3998" s="1" t="s">
        <v>11191</v>
      </c>
      <c r="E3998" s="7">
        <v>219</v>
      </c>
    </row>
    <row r="3999" spans="1:5" x14ac:dyDescent="0.25">
      <c r="A3999" s="5" t="s">
        <v>6</v>
      </c>
      <c r="B3999" s="5" t="s">
        <v>11192</v>
      </c>
      <c r="C3999" s="1" t="s">
        <v>11193</v>
      </c>
      <c r="D3999" s="1" t="s">
        <v>11194</v>
      </c>
      <c r="E3999" s="7">
        <v>516</v>
      </c>
    </row>
    <row r="4000" spans="1:5" x14ac:dyDescent="0.25">
      <c r="A4000" s="5" t="s">
        <v>6</v>
      </c>
      <c r="B4000" s="5" t="s">
        <v>11195</v>
      </c>
      <c r="C4000" s="1" t="s">
        <v>11196</v>
      </c>
      <c r="D4000" s="1" t="s">
        <v>11197</v>
      </c>
      <c r="E4000" s="7">
        <v>51</v>
      </c>
    </row>
    <row r="4001" spans="1:5" x14ac:dyDescent="0.25">
      <c r="A4001" s="5" t="s">
        <v>6</v>
      </c>
      <c r="B4001" s="5" t="s">
        <v>11198</v>
      </c>
      <c r="C4001" s="1" t="s">
        <v>11199</v>
      </c>
      <c r="D4001" s="1" t="s">
        <v>11200</v>
      </c>
      <c r="E4001" s="7">
        <v>66</v>
      </c>
    </row>
    <row r="4002" spans="1:5" x14ac:dyDescent="0.25">
      <c r="A4002" s="5" t="s">
        <v>6</v>
      </c>
      <c r="B4002" s="5" t="s">
        <v>11201</v>
      </c>
      <c r="C4002" s="1" t="s">
        <v>11202</v>
      </c>
      <c r="D4002" s="1" t="s">
        <v>11203</v>
      </c>
      <c r="E4002" s="7">
        <v>394</v>
      </c>
    </row>
    <row r="4003" spans="1:5" x14ac:dyDescent="0.25">
      <c r="A4003" s="5" t="s">
        <v>6</v>
      </c>
      <c r="B4003" s="5" t="s">
        <v>11204</v>
      </c>
      <c r="C4003" s="1" t="s">
        <v>11205</v>
      </c>
      <c r="D4003" s="1" t="s">
        <v>11206</v>
      </c>
      <c r="E4003" s="7">
        <v>353</v>
      </c>
    </row>
    <row r="4004" spans="1:5" x14ac:dyDescent="0.25">
      <c r="A4004" s="5" t="s">
        <v>6</v>
      </c>
      <c r="B4004" s="5" t="s">
        <v>11207</v>
      </c>
      <c r="C4004" s="1" t="s">
        <v>11208</v>
      </c>
      <c r="D4004" s="1" t="s">
        <v>11209</v>
      </c>
      <c r="E4004" s="7">
        <v>527</v>
      </c>
    </row>
    <row r="4005" spans="1:5" x14ac:dyDescent="0.25">
      <c r="A4005" s="5" t="s">
        <v>6</v>
      </c>
      <c r="B4005" s="5" t="s">
        <v>11210</v>
      </c>
      <c r="C4005" s="1" t="s">
        <v>11211</v>
      </c>
      <c r="D4005" s="1" t="s">
        <v>11209</v>
      </c>
      <c r="E4005" s="7">
        <v>417</v>
      </c>
    </row>
    <row r="4006" spans="1:5" x14ac:dyDescent="0.25">
      <c r="A4006" s="5" t="s">
        <v>6</v>
      </c>
      <c r="B4006" s="5" t="s">
        <v>11212</v>
      </c>
      <c r="C4006" s="1" t="s">
        <v>11213</v>
      </c>
      <c r="D4006" s="1" t="s">
        <v>11214</v>
      </c>
      <c r="E4006" s="7">
        <v>118</v>
      </c>
    </row>
    <row r="4007" spans="1:5" x14ac:dyDescent="0.25">
      <c r="A4007" s="5" t="s">
        <v>6</v>
      </c>
      <c r="B4007" s="5" t="s">
        <v>11215</v>
      </c>
      <c r="C4007" s="1" t="s">
        <v>11216</v>
      </c>
      <c r="D4007" s="1" t="s">
        <v>11217</v>
      </c>
      <c r="E4007" s="7">
        <v>369</v>
      </c>
    </row>
    <row r="4008" spans="1:5" x14ac:dyDescent="0.25">
      <c r="A4008" s="5" t="s">
        <v>6</v>
      </c>
      <c r="B4008" s="5" t="s">
        <v>11218</v>
      </c>
      <c r="C4008" s="1" t="s">
        <v>11219</v>
      </c>
      <c r="D4008" s="1" t="s">
        <v>11220</v>
      </c>
      <c r="E4008" s="7">
        <v>351</v>
      </c>
    </row>
    <row r="4009" spans="1:5" x14ac:dyDescent="0.25">
      <c r="A4009" s="5" t="s">
        <v>6</v>
      </c>
      <c r="B4009" s="5" t="s">
        <v>11221</v>
      </c>
      <c r="C4009" s="1" t="s">
        <v>11222</v>
      </c>
      <c r="D4009" s="1" t="s">
        <v>11223</v>
      </c>
      <c r="E4009" s="7">
        <v>422</v>
      </c>
    </row>
    <row r="4010" spans="1:5" x14ac:dyDescent="0.25">
      <c r="A4010" s="5" t="s">
        <v>6</v>
      </c>
      <c r="B4010" s="5" t="s">
        <v>11224</v>
      </c>
      <c r="C4010" s="1" t="s">
        <v>11225</v>
      </c>
      <c r="D4010" s="1" t="s">
        <v>11226</v>
      </c>
      <c r="E4010" s="7">
        <v>480</v>
      </c>
    </row>
    <row r="4011" spans="1:5" x14ac:dyDescent="0.25">
      <c r="A4011" s="5" t="s">
        <v>6</v>
      </c>
      <c r="B4011" s="5" t="s">
        <v>11227</v>
      </c>
      <c r="C4011" s="1" t="s">
        <v>11228</v>
      </c>
      <c r="D4011" s="1" t="s">
        <v>11229</v>
      </c>
      <c r="E4011" s="7">
        <v>33</v>
      </c>
    </row>
    <row r="4012" spans="1:5" x14ac:dyDescent="0.25">
      <c r="A4012" s="5" t="s">
        <v>6</v>
      </c>
      <c r="B4012" s="5" t="s">
        <v>11230</v>
      </c>
      <c r="C4012" s="1" t="s">
        <v>11231</v>
      </c>
      <c r="D4012" s="1" t="s">
        <v>11232</v>
      </c>
      <c r="E4012" s="7">
        <v>327</v>
      </c>
    </row>
    <row r="4013" spans="1:5" x14ac:dyDescent="0.25">
      <c r="A4013" s="5" t="s">
        <v>6</v>
      </c>
      <c r="B4013" s="5" t="s">
        <v>11233</v>
      </c>
      <c r="C4013" s="1" t="s">
        <v>11234</v>
      </c>
      <c r="D4013" s="1" t="s">
        <v>11226</v>
      </c>
      <c r="E4013" s="7">
        <v>393</v>
      </c>
    </row>
    <row r="4014" spans="1:5" x14ac:dyDescent="0.25">
      <c r="A4014" s="5" t="s">
        <v>6</v>
      </c>
      <c r="B4014" s="5" t="s">
        <v>11235</v>
      </c>
      <c r="C4014" s="1" t="s">
        <v>11236</v>
      </c>
      <c r="D4014" s="1" t="s">
        <v>11237</v>
      </c>
      <c r="E4014" s="7">
        <v>179</v>
      </c>
    </row>
    <row r="4015" spans="1:5" x14ac:dyDescent="0.25">
      <c r="A4015" s="5" t="s">
        <v>6</v>
      </c>
      <c r="B4015" s="5" t="s">
        <v>11238</v>
      </c>
      <c r="C4015" s="1" t="s">
        <v>11239</v>
      </c>
      <c r="D4015" s="1" t="s">
        <v>11240</v>
      </c>
      <c r="E4015" s="7">
        <v>609</v>
      </c>
    </row>
    <row r="4016" spans="1:5" x14ac:dyDescent="0.25">
      <c r="A4016" s="5" t="s">
        <v>6</v>
      </c>
      <c r="B4016" s="5" t="s">
        <v>11241</v>
      </c>
      <c r="C4016" s="1" t="s">
        <v>11242</v>
      </c>
      <c r="D4016" s="1" t="s">
        <v>11243</v>
      </c>
      <c r="E4016" s="7">
        <v>330</v>
      </c>
    </row>
    <row r="4017" spans="1:5" x14ac:dyDescent="0.25">
      <c r="A4017" s="5" t="s">
        <v>6</v>
      </c>
      <c r="B4017" s="5" t="s">
        <v>11244</v>
      </c>
      <c r="C4017" s="1" t="s">
        <v>11245</v>
      </c>
      <c r="D4017" s="1" t="s">
        <v>11229</v>
      </c>
      <c r="E4017" s="7">
        <v>40</v>
      </c>
    </row>
    <row r="4018" spans="1:5" x14ac:dyDescent="0.25">
      <c r="A4018" s="5" t="s">
        <v>6</v>
      </c>
      <c r="B4018" s="5" t="s">
        <v>11246</v>
      </c>
      <c r="C4018" s="1" t="s">
        <v>11247</v>
      </c>
      <c r="D4018" s="1" t="s">
        <v>11248</v>
      </c>
      <c r="E4018" s="7">
        <v>538</v>
      </c>
    </row>
    <row r="4019" spans="1:5" x14ac:dyDescent="0.25">
      <c r="A4019" s="5" t="s">
        <v>6</v>
      </c>
      <c r="B4019" s="5" t="s">
        <v>11249</v>
      </c>
      <c r="C4019" s="1" t="s">
        <v>11250</v>
      </c>
      <c r="D4019" s="1" t="s">
        <v>11226</v>
      </c>
      <c r="E4019" s="7">
        <v>269</v>
      </c>
    </row>
    <row r="4020" spans="1:5" x14ac:dyDescent="0.25">
      <c r="A4020" s="5" t="s">
        <v>6</v>
      </c>
      <c r="B4020" s="5" t="s">
        <v>11251</v>
      </c>
      <c r="C4020" s="1" t="s">
        <v>11252</v>
      </c>
      <c r="D4020" s="1" t="s">
        <v>11253</v>
      </c>
      <c r="E4020" s="7">
        <v>862</v>
      </c>
    </row>
    <row r="4021" spans="1:5" x14ac:dyDescent="0.25">
      <c r="A4021" s="5" t="s">
        <v>6</v>
      </c>
      <c r="B4021" s="5" t="s">
        <v>11254</v>
      </c>
      <c r="C4021" s="1" t="s">
        <v>11255</v>
      </c>
      <c r="D4021" s="1" t="s">
        <v>11256</v>
      </c>
      <c r="E4021" s="7">
        <v>686</v>
      </c>
    </row>
    <row r="4022" spans="1:5" x14ac:dyDescent="0.25">
      <c r="A4022" s="5" t="s">
        <v>6</v>
      </c>
      <c r="B4022" s="5" t="s">
        <v>11257</v>
      </c>
      <c r="C4022" s="1" t="s">
        <v>11258</v>
      </c>
      <c r="D4022" s="1" t="s">
        <v>11256</v>
      </c>
      <c r="E4022" s="7">
        <v>686</v>
      </c>
    </row>
    <row r="4023" spans="1:5" x14ac:dyDescent="0.25">
      <c r="A4023" s="5" t="s">
        <v>6</v>
      </c>
      <c r="B4023" s="5" t="s">
        <v>11259</v>
      </c>
      <c r="C4023" s="1" t="s">
        <v>11260</v>
      </c>
      <c r="D4023" s="1" t="s">
        <v>11261</v>
      </c>
      <c r="E4023" s="7">
        <v>347</v>
      </c>
    </row>
    <row r="4024" spans="1:5" x14ac:dyDescent="0.25">
      <c r="A4024" s="5" t="s">
        <v>6</v>
      </c>
      <c r="B4024" s="5" t="s">
        <v>11262</v>
      </c>
      <c r="C4024" s="1" t="s">
        <v>11263</v>
      </c>
      <c r="D4024" s="1" t="s">
        <v>11264</v>
      </c>
      <c r="E4024" s="7">
        <v>119</v>
      </c>
    </row>
    <row r="4025" spans="1:5" x14ac:dyDescent="0.25">
      <c r="A4025" s="5" t="s">
        <v>6</v>
      </c>
      <c r="B4025" s="5" t="s">
        <v>11265</v>
      </c>
      <c r="C4025" s="1" t="s">
        <v>11266</v>
      </c>
      <c r="D4025" s="1" t="s">
        <v>11267</v>
      </c>
      <c r="E4025" s="7">
        <v>674</v>
      </c>
    </row>
    <row r="4026" spans="1:5" x14ac:dyDescent="0.25">
      <c r="A4026" s="5" t="s">
        <v>6</v>
      </c>
      <c r="B4026" s="5" t="s">
        <v>11268</v>
      </c>
      <c r="C4026" s="1" t="s">
        <v>11269</v>
      </c>
      <c r="D4026" s="1" t="s">
        <v>11270</v>
      </c>
      <c r="E4026" s="7">
        <v>311</v>
      </c>
    </row>
    <row r="4027" spans="1:5" x14ac:dyDescent="0.25">
      <c r="A4027" s="5" t="s">
        <v>6</v>
      </c>
      <c r="B4027" s="5" t="s">
        <v>11271</v>
      </c>
      <c r="C4027" s="1" t="s">
        <v>11272</v>
      </c>
      <c r="D4027" s="1" t="s">
        <v>11273</v>
      </c>
      <c r="E4027" s="7">
        <v>422</v>
      </c>
    </row>
    <row r="4028" spans="1:5" x14ac:dyDescent="0.25">
      <c r="A4028" s="5" t="s">
        <v>6</v>
      </c>
      <c r="B4028" s="5" t="s">
        <v>11274</v>
      </c>
      <c r="C4028" s="1" t="s">
        <v>11275</v>
      </c>
      <c r="D4028" s="1" t="s">
        <v>11276</v>
      </c>
      <c r="E4028" s="7">
        <v>38</v>
      </c>
    </row>
    <row r="4029" spans="1:5" x14ac:dyDescent="0.25">
      <c r="A4029" s="5" t="s">
        <v>6</v>
      </c>
      <c r="B4029" s="5" t="s">
        <v>11277</v>
      </c>
      <c r="C4029" s="1" t="s">
        <v>11278</v>
      </c>
      <c r="D4029" s="1" t="s">
        <v>11279</v>
      </c>
      <c r="E4029" s="7">
        <v>233</v>
      </c>
    </row>
    <row r="4030" spans="1:5" x14ac:dyDescent="0.25">
      <c r="A4030" s="5" t="s">
        <v>6</v>
      </c>
      <c r="B4030" s="5" t="s">
        <v>11280</v>
      </c>
      <c r="C4030" s="1" t="s">
        <v>11281</v>
      </c>
      <c r="D4030" s="1" t="s">
        <v>11282</v>
      </c>
      <c r="E4030" s="7">
        <v>779</v>
      </c>
    </row>
    <row r="4031" spans="1:5" x14ac:dyDescent="0.25">
      <c r="A4031" s="5" t="s">
        <v>6</v>
      </c>
      <c r="B4031" s="5" t="s">
        <v>11283</v>
      </c>
      <c r="C4031" s="1" t="s">
        <v>11284</v>
      </c>
      <c r="D4031" s="1" t="s">
        <v>11285</v>
      </c>
      <c r="E4031" s="7">
        <v>127</v>
      </c>
    </row>
    <row r="4032" spans="1:5" x14ac:dyDescent="0.25">
      <c r="A4032" s="5" t="s">
        <v>6</v>
      </c>
      <c r="B4032" s="5" t="s">
        <v>11286</v>
      </c>
      <c r="C4032" s="1" t="s">
        <v>11287</v>
      </c>
      <c r="D4032" s="1" t="s">
        <v>11288</v>
      </c>
      <c r="E4032" s="7">
        <v>237</v>
      </c>
    </row>
    <row r="4033" spans="1:5" x14ac:dyDescent="0.25">
      <c r="A4033" s="5" t="s">
        <v>6</v>
      </c>
      <c r="B4033" s="5" t="s">
        <v>11289</v>
      </c>
      <c r="C4033" s="1" t="s">
        <v>11290</v>
      </c>
      <c r="D4033" s="1" t="s">
        <v>11291</v>
      </c>
      <c r="E4033" s="7">
        <v>38</v>
      </c>
    </row>
    <row r="4034" spans="1:5" x14ac:dyDescent="0.25">
      <c r="A4034" s="5" t="s">
        <v>6</v>
      </c>
      <c r="B4034" s="5" t="s">
        <v>11292</v>
      </c>
      <c r="C4034" s="1" t="s">
        <v>11293</v>
      </c>
      <c r="D4034" s="1" t="s">
        <v>11294</v>
      </c>
      <c r="E4034" s="7">
        <v>800</v>
      </c>
    </row>
    <row r="4035" spans="1:5" x14ac:dyDescent="0.25">
      <c r="A4035" s="5" t="s">
        <v>6</v>
      </c>
      <c r="B4035" s="5" t="s">
        <v>11295</v>
      </c>
      <c r="C4035" s="1" t="s">
        <v>11296</v>
      </c>
      <c r="D4035" s="1" t="s">
        <v>11297</v>
      </c>
      <c r="E4035" s="7">
        <v>175</v>
      </c>
    </row>
    <row r="4036" spans="1:5" x14ac:dyDescent="0.25">
      <c r="A4036" s="5" t="s">
        <v>6</v>
      </c>
      <c r="B4036" s="5" t="s">
        <v>11298</v>
      </c>
      <c r="C4036" s="1" t="s">
        <v>11299</v>
      </c>
      <c r="D4036" s="1" t="s">
        <v>11300</v>
      </c>
      <c r="E4036" s="7">
        <v>49</v>
      </c>
    </row>
    <row r="4037" spans="1:5" x14ac:dyDescent="0.25">
      <c r="A4037" s="5" t="s">
        <v>6</v>
      </c>
      <c r="B4037" s="5" t="s">
        <v>11301</v>
      </c>
      <c r="C4037" s="1" t="s">
        <v>11302</v>
      </c>
      <c r="D4037" s="1" t="s">
        <v>11303</v>
      </c>
      <c r="E4037" s="7">
        <v>199</v>
      </c>
    </row>
    <row r="4038" spans="1:5" x14ac:dyDescent="0.25">
      <c r="A4038" s="5" t="s">
        <v>6</v>
      </c>
      <c r="B4038" s="5" t="s">
        <v>11304</v>
      </c>
      <c r="C4038" s="1" t="s">
        <v>11305</v>
      </c>
      <c r="D4038" s="1" t="s">
        <v>11306</v>
      </c>
      <c r="E4038" s="7">
        <v>200</v>
      </c>
    </row>
    <row r="4039" spans="1:5" x14ac:dyDescent="0.25">
      <c r="A4039" s="5" t="s">
        <v>6</v>
      </c>
      <c r="B4039" s="5" t="s">
        <v>11307</v>
      </c>
      <c r="C4039" s="1" t="s">
        <v>11308</v>
      </c>
      <c r="D4039" s="1" t="s">
        <v>11309</v>
      </c>
      <c r="E4039" s="7">
        <v>81</v>
      </c>
    </row>
    <row r="4040" spans="1:5" x14ac:dyDescent="0.25">
      <c r="A4040" s="5" t="s">
        <v>6</v>
      </c>
      <c r="B4040" s="5" t="s">
        <v>11310</v>
      </c>
      <c r="C4040" s="1" t="s">
        <v>11311</v>
      </c>
      <c r="D4040" s="1" t="s">
        <v>11312</v>
      </c>
      <c r="E4040" s="7">
        <v>204</v>
      </c>
    </row>
    <row r="4041" spans="1:5" x14ac:dyDescent="0.25">
      <c r="A4041" s="5" t="s">
        <v>6</v>
      </c>
      <c r="B4041" s="5" t="s">
        <v>11313</v>
      </c>
      <c r="C4041" s="1" t="s">
        <v>11314</v>
      </c>
      <c r="D4041" s="1" t="s">
        <v>11315</v>
      </c>
      <c r="E4041" s="7">
        <v>259</v>
      </c>
    </row>
    <row r="4042" spans="1:5" x14ac:dyDescent="0.25">
      <c r="A4042" s="5" t="s">
        <v>6</v>
      </c>
      <c r="B4042" s="5" t="s">
        <v>11316</v>
      </c>
      <c r="C4042" s="1" t="s">
        <v>11317</v>
      </c>
      <c r="D4042" s="1" t="s">
        <v>11318</v>
      </c>
      <c r="E4042" s="7">
        <v>56</v>
      </c>
    </row>
    <row r="4043" spans="1:5" x14ac:dyDescent="0.25">
      <c r="A4043" s="5" t="s">
        <v>6</v>
      </c>
      <c r="B4043" s="5" t="s">
        <v>11319</v>
      </c>
      <c r="C4043" s="1" t="s">
        <v>11320</v>
      </c>
      <c r="D4043" s="1" t="s">
        <v>11321</v>
      </c>
      <c r="E4043" s="7">
        <v>390</v>
      </c>
    </row>
    <row r="4044" spans="1:5" x14ac:dyDescent="0.25">
      <c r="A4044" s="5" t="s">
        <v>6</v>
      </c>
      <c r="B4044" s="5" t="s">
        <v>11322</v>
      </c>
      <c r="C4044" s="1" t="s">
        <v>11323</v>
      </c>
      <c r="D4044" s="1" t="s">
        <v>11324</v>
      </c>
      <c r="E4044" s="7">
        <v>59</v>
      </c>
    </row>
    <row r="4045" spans="1:5" x14ac:dyDescent="0.25">
      <c r="A4045" s="5" t="s">
        <v>6</v>
      </c>
      <c r="B4045" s="5" t="s">
        <v>11325</v>
      </c>
      <c r="C4045" s="1" t="s">
        <v>11326</v>
      </c>
      <c r="D4045" s="1" t="s">
        <v>11327</v>
      </c>
      <c r="E4045" s="7">
        <v>29</v>
      </c>
    </row>
    <row r="4046" spans="1:5" x14ac:dyDescent="0.25">
      <c r="A4046" s="5" t="s">
        <v>6</v>
      </c>
      <c r="B4046" s="5" t="s">
        <v>11328</v>
      </c>
      <c r="C4046" s="1" t="s">
        <v>11329</v>
      </c>
      <c r="D4046" s="1" t="s">
        <v>11330</v>
      </c>
      <c r="E4046" s="7">
        <v>379</v>
      </c>
    </row>
    <row r="4047" spans="1:5" x14ac:dyDescent="0.25">
      <c r="A4047" s="5" t="s">
        <v>6</v>
      </c>
      <c r="B4047" s="5" t="s">
        <v>11331</v>
      </c>
      <c r="C4047" s="1" t="s">
        <v>11332</v>
      </c>
      <c r="D4047" s="1" t="s">
        <v>11333</v>
      </c>
      <c r="E4047" s="7">
        <v>38</v>
      </c>
    </row>
    <row r="4048" spans="1:5" x14ac:dyDescent="0.25">
      <c r="A4048" s="5" t="s">
        <v>6</v>
      </c>
      <c r="B4048" s="5" t="s">
        <v>11334</v>
      </c>
      <c r="C4048" s="1" t="s">
        <v>11335</v>
      </c>
      <c r="D4048" s="1" t="s">
        <v>11336</v>
      </c>
      <c r="E4048" s="7">
        <v>38</v>
      </c>
    </row>
    <row r="4049" spans="1:5" x14ac:dyDescent="0.25">
      <c r="A4049" s="5" t="s">
        <v>6</v>
      </c>
      <c r="B4049" s="5" t="s">
        <v>11337</v>
      </c>
      <c r="C4049" s="1" t="s">
        <v>11338</v>
      </c>
      <c r="D4049" s="1" t="s">
        <v>11339</v>
      </c>
      <c r="E4049" s="7">
        <v>70</v>
      </c>
    </row>
    <row r="4050" spans="1:5" x14ac:dyDescent="0.25">
      <c r="A4050" s="5" t="s">
        <v>6</v>
      </c>
      <c r="B4050" s="5" t="s">
        <v>11340</v>
      </c>
      <c r="C4050" s="1" t="s">
        <v>11341</v>
      </c>
      <c r="D4050" s="1" t="s">
        <v>11342</v>
      </c>
      <c r="E4050" s="7">
        <v>52</v>
      </c>
    </row>
    <row r="4051" spans="1:5" x14ac:dyDescent="0.25">
      <c r="A4051" s="5" t="s">
        <v>6</v>
      </c>
      <c r="B4051" s="5" t="s">
        <v>11343</v>
      </c>
      <c r="C4051" s="1" t="s">
        <v>11344</v>
      </c>
      <c r="D4051" s="1" t="s">
        <v>11345</v>
      </c>
      <c r="E4051" s="7">
        <v>407</v>
      </c>
    </row>
    <row r="4052" spans="1:5" x14ac:dyDescent="0.25">
      <c r="A4052" s="5" t="s">
        <v>6</v>
      </c>
      <c r="B4052" s="5" t="s">
        <v>11346</v>
      </c>
      <c r="C4052" s="1" t="s">
        <v>11347</v>
      </c>
      <c r="D4052" s="1" t="s">
        <v>11348</v>
      </c>
      <c r="E4052" s="7">
        <v>167</v>
      </c>
    </row>
    <row r="4053" spans="1:5" x14ac:dyDescent="0.25">
      <c r="A4053" s="5" t="s">
        <v>6</v>
      </c>
      <c r="B4053" s="5" t="s">
        <v>11349</v>
      </c>
      <c r="C4053" s="1" t="s">
        <v>11350</v>
      </c>
      <c r="D4053" s="1" t="s">
        <v>11351</v>
      </c>
      <c r="E4053" s="7">
        <v>42</v>
      </c>
    </row>
    <row r="4054" spans="1:5" x14ac:dyDescent="0.25">
      <c r="A4054" s="5" t="s">
        <v>6</v>
      </c>
      <c r="B4054" s="5" t="s">
        <v>11352</v>
      </c>
      <c r="C4054" s="1" t="s">
        <v>11353</v>
      </c>
      <c r="D4054" s="1" t="s">
        <v>11354</v>
      </c>
      <c r="E4054" s="7">
        <v>219</v>
      </c>
    </row>
    <row r="4055" spans="1:5" x14ac:dyDescent="0.25">
      <c r="A4055" s="5" t="s">
        <v>6</v>
      </c>
      <c r="B4055" s="5" t="s">
        <v>11355</v>
      </c>
      <c r="C4055" s="1" t="s">
        <v>11356</v>
      </c>
      <c r="D4055" s="1" t="s">
        <v>11357</v>
      </c>
      <c r="E4055" s="7">
        <v>108</v>
      </c>
    </row>
    <row r="4056" spans="1:5" x14ac:dyDescent="0.25">
      <c r="A4056" s="5" t="s">
        <v>6</v>
      </c>
      <c r="B4056" s="5" t="s">
        <v>11358</v>
      </c>
      <c r="C4056" s="1" t="s">
        <v>11359</v>
      </c>
      <c r="D4056" s="1" t="s">
        <v>11360</v>
      </c>
      <c r="E4056" s="7">
        <v>557</v>
      </c>
    </row>
    <row r="4057" spans="1:5" x14ac:dyDescent="0.25">
      <c r="A4057" s="5" t="s">
        <v>6</v>
      </c>
      <c r="B4057" s="5" t="s">
        <v>11361</v>
      </c>
      <c r="C4057" s="1" t="s">
        <v>11362</v>
      </c>
      <c r="D4057" s="1" t="s">
        <v>11363</v>
      </c>
      <c r="E4057" s="7">
        <v>19</v>
      </c>
    </row>
    <row r="4058" spans="1:5" x14ac:dyDescent="0.25">
      <c r="A4058" s="5" t="s">
        <v>6</v>
      </c>
      <c r="B4058" s="5" t="s">
        <v>11364</v>
      </c>
      <c r="C4058" s="1" t="s">
        <v>11365</v>
      </c>
      <c r="D4058" s="1" t="s">
        <v>11360</v>
      </c>
      <c r="E4058" s="7">
        <v>110</v>
      </c>
    </row>
    <row r="4059" spans="1:5" x14ac:dyDescent="0.25">
      <c r="A4059" s="5" t="s">
        <v>6</v>
      </c>
      <c r="B4059" s="5" t="s">
        <v>11366</v>
      </c>
      <c r="C4059" s="1" t="s">
        <v>11367</v>
      </c>
      <c r="D4059" s="1" t="s">
        <v>11368</v>
      </c>
      <c r="E4059" s="7">
        <v>172</v>
      </c>
    </row>
    <row r="4060" spans="1:5" x14ac:dyDescent="0.25">
      <c r="A4060" s="5" t="s">
        <v>6</v>
      </c>
      <c r="B4060" s="5" t="s">
        <v>11369</v>
      </c>
      <c r="C4060" s="1" t="s">
        <v>11370</v>
      </c>
      <c r="D4060" s="1" t="s">
        <v>11371</v>
      </c>
      <c r="E4060" s="7">
        <v>438</v>
      </c>
    </row>
    <row r="4061" spans="1:5" x14ac:dyDescent="0.25">
      <c r="A4061" s="5" t="s">
        <v>6</v>
      </c>
      <c r="B4061" s="5" t="s">
        <v>11372</v>
      </c>
      <c r="C4061" s="1" t="s">
        <v>11373</v>
      </c>
      <c r="D4061" s="1" t="s">
        <v>11374</v>
      </c>
      <c r="E4061" s="7">
        <v>497</v>
      </c>
    </row>
    <row r="4062" spans="1:5" x14ac:dyDescent="0.25">
      <c r="A4062" s="5" t="s">
        <v>6</v>
      </c>
      <c r="B4062" s="5" t="s">
        <v>11375</v>
      </c>
      <c r="C4062" s="1" t="s">
        <v>11376</v>
      </c>
      <c r="D4062" s="1" t="s">
        <v>11374</v>
      </c>
      <c r="E4062" s="7">
        <v>577</v>
      </c>
    </row>
    <row r="4063" spans="1:5" x14ac:dyDescent="0.25">
      <c r="A4063" s="5" t="s">
        <v>6</v>
      </c>
      <c r="B4063" s="5" t="s">
        <v>11377</v>
      </c>
      <c r="C4063" s="1" t="s">
        <v>11378</v>
      </c>
      <c r="D4063" s="1" t="s">
        <v>11374</v>
      </c>
      <c r="E4063" s="7">
        <v>892</v>
      </c>
    </row>
    <row r="4064" spans="1:5" x14ac:dyDescent="0.25">
      <c r="A4064" s="5" t="s">
        <v>6</v>
      </c>
      <c r="B4064" s="5" t="s">
        <v>11379</v>
      </c>
      <c r="C4064" s="1" t="s">
        <v>11380</v>
      </c>
      <c r="D4064" s="1" t="s">
        <v>11381</v>
      </c>
      <c r="E4064" s="7">
        <v>30</v>
      </c>
    </row>
    <row r="4065" spans="1:5" x14ac:dyDescent="0.25">
      <c r="A4065" s="5" t="s">
        <v>6</v>
      </c>
      <c r="B4065" s="5" t="s">
        <v>11382</v>
      </c>
      <c r="C4065" s="1" t="s">
        <v>11383</v>
      </c>
      <c r="D4065" s="1" t="s">
        <v>11384</v>
      </c>
      <c r="E4065" s="7">
        <v>27</v>
      </c>
    </row>
    <row r="4066" spans="1:5" x14ac:dyDescent="0.25">
      <c r="A4066" s="5" t="s">
        <v>6</v>
      </c>
      <c r="B4066" s="5" t="s">
        <v>11385</v>
      </c>
      <c r="C4066" s="1" t="s">
        <v>11386</v>
      </c>
      <c r="D4066" s="1" t="s">
        <v>11387</v>
      </c>
      <c r="E4066" s="7">
        <v>92</v>
      </c>
    </row>
    <row r="4067" spans="1:5" x14ac:dyDescent="0.25">
      <c r="A4067" s="5" t="s">
        <v>6</v>
      </c>
      <c r="B4067" s="5" t="s">
        <v>11388</v>
      </c>
      <c r="C4067" s="1" t="s">
        <v>11389</v>
      </c>
      <c r="D4067" s="1" t="s">
        <v>11390</v>
      </c>
      <c r="E4067" s="7">
        <v>92</v>
      </c>
    </row>
    <row r="4068" spans="1:5" x14ac:dyDescent="0.25">
      <c r="A4068" s="5" t="s">
        <v>6</v>
      </c>
      <c r="B4068" s="5" t="s">
        <v>11391</v>
      </c>
      <c r="C4068" s="1" t="s">
        <v>11392</v>
      </c>
      <c r="D4068" s="1" t="s">
        <v>11393</v>
      </c>
      <c r="E4068" s="7">
        <v>76</v>
      </c>
    </row>
    <row r="4069" spans="1:5" x14ac:dyDescent="0.25">
      <c r="A4069" s="5" t="s">
        <v>6</v>
      </c>
      <c r="B4069" s="5" t="s">
        <v>11394</v>
      </c>
      <c r="C4069" s="1" t="s">
        <v>11395</v>
      </c>
      <c r="D4069" s="1" t="s">
        <v>11396</v>
      </c>
      <c r="E4069" s="7">
        <v>168</v>
      </c>
    </row>
    <row r="4070" spans="1:5" x14ac:dyDescent="0.25">
      <c r="A4070" s="5" t="s">
        <v>6</v>
      </c>
      <c r="B4070" s="5" t="s">
        <v>11397</v>
      </c>
      <c r="C4070" s="1" t="s">
        <v>11398</v>
      </c>
      <c r="D4070" s="1" t="s">
        <v>11399</v>
      </c>
      <c r="E4070" s="7">
        <v>2236</v>
      </c>
    </row>
    <row r="4071" spans="1:5" x14ac:dyDescent="0.25">
      <c r="A4071" s="5" t="s">
        <v>6</v>
      </c>
      <c r="B4071" s="5" t="s">
        <v>11400</v>
      </c>
      <c r="C4071" s="1" t="s">
        <v>11401</v>
      </c>
      <c r="D4071" s="1" t="s">
        <v>11402</v>
      </c>
      <c r="E4071" s="7">
        <v>1732</v>
      </c>
    </row>
    <row r="4072" spans="1:5" x14ac:dyDescent="0.25">
      <c r="A4072" s="5" t="s">
        <v>6</v>
      </c>
      <c r="B4072" s="5" t="s">
        <v>11403</v>
      </c>
      <c r="C4072" s="1" t="s">
        <v>11404</v>
      </c>
      <c r="D4072" s="1" t="s">
        <v>11405</v>
      </c>
      <c r="E4072" s="7">
        <v>382</v>
      </c>
    </row>
    <row r="4073" spans="1:5" x14ac:dyDescent="0.25">
      <c r="A4073" s="5" t="s">
        <v>6</v>
      </c>
      <c r="B4073" s="5" t="s">
        <v>11406</v>
      </c>
      <c r="C4073" s="1" t="s">
        <v>11407</v>
      </c>
      <c r="D4073" s="1" t="s">
        <v>11408</v>
      </c>
      <c r="E4073" s="7">
        <v>281</v>
      </c>
    </row>
    <row r="4074" spans="1:5" x14ac:dyDescent="0.25">
      <c r="A4074" s="5" t="s">
        <v>6</v>
      </c>
      <c r="B4074" s="5" t="s">
        <v>11409</v>
      </c>
      <c r="C4074" s="1" t="s">
        <v>11410</v>
      </c>
      <c r="D4074" s="1" t="s">
        <v>11411</v>
      </c>
      <c r="E4074" s="7">
        <v>13</v>
      </c>
    </row>
    <row r="4075" spans="1:5" x14ac:dyDescent="0.25">
      <c r="A4075" s="5" t="s">
        <v>6</v>
      </c>
      <c r="B4075" s="5" t="s">
        <v>11412</v>
      </c>
      <c r="C4075" s="1" t="s">
        <v>11413</v>
      </c>
      <c r="D4075" s="1" t="s">
        <v>11414</v>
      </c>
      <c r="E4075" s="7">
        <v>18</v>
      </c>
    </row>
    <row r="4076" spans="1:5" x14ac:dyDescent="0.25">
      <c r="A4076" s="5" t="s">
        <v>6</v>
      </c>
      <c r="B4076" s="5" t="s">
        <v>11415</v>
      </c>
      <c r="C4076" s="1" t="s">
        <v>11416</v>
      </c>
      <c r="D4076" s="1" t="s">
        <v>11417</v>
      </c>
      <c r="E4076" s="7">
        <v>95</v>
      </c>
    </row>
    <row r="4077" spans="1:5" x14ac:dyDescent="0.25">
      <c r="A4077" s="5" t="s">
        <v>6</v>
      </c>
      <c r="B4077" s="5" t="s">
        <v>11418</v>
      </c>
      <c r="C4077" s="1" t="s">
        <v>11419</v>
      </c>
      <c r="D4077" s="1" t="s">
        <v>11420</v>
      </c>
      <c r="E4077" s="7">
        <v>268</v>
      </c>
    </row>
    <row r="4078" spans="1:5" x14ac:dyDescent="0.25">
      <c r="A4078" s="5" t="s">
        <v>6</v>
      </c>
      <c r="B4078" s="5" t="s">
        <v>11421</v>
      </c>
      <c r="C4078" s="1" t="s">
        <v>11422</v>
      </c>
      <c r="D4078" s="1" t="s">
        <v>11423</v>
      </c>
      <c r="E4078" s="7">
        <v>190</v>
      </c>
    </row>
    <row r="4079" spans="1:5" x14ac:dyDescent="0.25">
      <c r="A4079" s="5" t="s">
        <v>6</v>
      </c>
      <c r="B4079" s="5" t="s">
        <v>11424</v>
      </c>
      <c r="C4079" s="1" t="s">
        <v>11425</v>
      </c>
      <c r="D4079" s="1" t="s">
        <v>11426</v>
      </c>
      <c r="E4079" s="7">
        <v>949</v>
      </c>
    </row>
    <row r="4080" spans="1:5" x14ac:dyDescent="0.25">
      <c r="A4080" s="5" t="s">
        <v>6</v>
      </c>
      <c r="B4080" s="5" t="s">
        <v>11427</v>
      </c>
      <c r="C4080" s="1" t="s">
        <v>11428</v>
      </c>
      <c r="D4080" s="1" t="s">
        <v>11429</v>
      </c>
      <c r="E4080" s="7">
        <v>1009</v>
      </c>
    </row>
    <row r="4081" spans="1:5" x14ac:dyDescent="0.25">
      <c r="A4081" s="5" t="s">
        <v>6</v>
      </c>
      <c r="B4081" s="5" t="s">
        <v>11430</v>
      </c>
      <c r="C4081" s="1" t="s">
        <v>11431</v>
      </c>
      <c r="D4081" s="1" t="s">
        <v>11432</v>
      </c>
      <c r="E4081" s="7">
        <v>129</v>
      </c>
    </row>
    <row r="4082" spans="1:5" x14ac:dyDescent="0.25">
      <c r="A4082" s="5" t="s">
        <v>6</v>
      </c>
      <c r="B4082" s="5" t="s">
        <v>11433</v>
      </c>
      <c r="C4082" s="1" t="s">
        <v>11434</v>
      </c>
      <c r="D4082" s="1" t="s">
        <v>11435</v>
      </c>
      <c r="E4082" s="7">
        <v>195</v>
      </c>
    </row>
    <row r="4083" spans="1:5" x14ac:dyDescent="0.25">
      <c r="A4083" s="5" t="s">
        <v>6</v>
      </c>
      <c r="B4083" s="5" t="s">
        <v>11436</v>
      </c>
      <c r="C4083" s="1" t="s">
        <v>11437</v>
      </c>
      <c r="D4083" s="1" t="s">
        <v>11438</v>
      </c>
      <c r="E4083" s="7">
        <v>261</v>
      </c>
    </row>
    <row r="4084" spans="1:5" x14ac:dyDescent="0.25">
      <c r="A4084" s="5" t="s">
        <v>6</v>
      </c>
      <c r="B4084" s="5" t="s">
        <v>11439</v>
      </c>
      <c r="C4084" s="1" t="s">
        <v>11440</v>
      </c>
      <c r="D4084" s="1" t="s">
        <v>11441</v>
      </c>
      <c r="E4084" s="7">
        <v>237</v>
      </c>
    </row>
    <row r="4085" spans="1:5" x14ac:dyDescent="0.25">
      <c r="A4085" s="5" t="s">
        <v>6</v>
      </c>
      <c r="B4085" s="5" t="s">
        <v>11442</v>
      </c>
      <c r="C4085" s="1" t="s">
        <v>11443</v>
      </c>
      <c r="D4085" s="1" t="s">
        <v>11444</v>
      </c>
      <c r="E4085" s="7">
        <v>33</v>
      </c>
    </row>
    <row r="4086" spans="1:5" x14ac:dyDescent="0.25">
      <c r="A4086" s="5" t="s">
        <v>6</v>
      </c>
      <c r="B4086" s="5" t="s">
        <v>11445</v>
      </c>
      <c r="C4086" s="1" t="s">
        <v>11446</v>
      </c>
      <c r="D4086" s="1" t="s">
        <v>11447</v>
      </c>
      <c r="E4086" s="7">
        <v>393</v>
      </c>
    </row>
    <row r="4087" spans="1:5" x14ac:dyDescent="0.25">
      <c r="A4087" s="5" t="s">
        <v>6</v>
      </c>
      <c r="B4087" s="5" t="s">
        <v>11448</v>
      </c>
      <c r="C4087" s="1" t="s">
        <v>11449</v>
      </c>
      <c r="D4087" s="1" t="s">
        <v>11450</v>
      </c>
      <c r="E4087" s="7">
        <v>231</v>
      </c>
    </row>
    <row r="4088" spans="1:5" x14ac:dyDescent="0.25">
      <c r="A4088" s="5" t="s">
        <v>6</v>
      </c>
      <c r="B4088" s="5" t="s">
        <v>11451</v>
      </c>
      <c r="C4088" s="1" t="s">
        <v>11452</v>
      </c>
      <c r="D4088" s="1" t="s">
        <v>11453</v>
      </c>
      <c r="E4088" s="7">
        <v>53</v>
      </c>
    </row>
    <row r="4089" spans="1:5" x14ac:dyDescent="0.25">
      <c r="A4089" s="5" t="s">
        <v>6</v>
      </c>
      <c r="B4089" s="5" t="s">
        <v>11454</v>
      </c>
      <c r="C4089" s="1" t="s">
        <v>11455</v>
      </c>
      <c r="D4089" s="1" t="s">
        <v>11456</v>
      </c>
      <c r="E4089" s="7">
        <v>28</v>
      </c>
    </row>
    <row r="4090" spans="1:5" x14ac:dyDescent="0.25">
      <c r="A4090" s="5" t="s">
        <v>6</v>
      </c>
      <c r="B4090" s="5" t="s">
        <v>11457</v>
      </c>
      <c r="C4090" s="1" t="s">
        <v>11458</v>
      </c>
      <c r="D4090" s="1" t="s">
        <v>11456</v>
      </c>
      <c r="E4090" s="7">
        <v>53</v>
      </c>
    </row>
    <row r="4091" spans="1:5" x14ac:dyDescent="0.25">
      <c r="A4091" s="5" t="s">
        <v>6</v>
      </c>
      <c r="B4091" s="5" t="s">
        <v>11459</v>
      </c>
      <c r="C4091" s="1" t="s">
        <v>11460</v>
      </c>
      <c r="D4091" s="1" t="s">
        <v>11461</v>
      </c>
      <c r="E4091" s="7">
        <v>78</v>
      </c>
    </row>
    <row r="4092" spans="1:5" x14ac:dyDescent="0.25">
      <c r="A4092" s="5" t="s">
        <v>6</v>
      </c>
      <c r="B4092" s="5" t="s">
        <v>11462</v>
      </c>
      <c r="C4092" s="1" t="s">
        <v>11463</v>
      </c>
      <c r="D4092" s="1" t="s">
        <v>11464</v>
      </c>
      <c r="E4092" s="7">
        <v>55</v>
      </c>
    </row>
    <row r="4093" spans="1:5" x14ac:dyDescent="0.25">
      <c r="A4093" s="5" t="s">
        <v>6</v>
      </c>
      <c r="B4093" s="5" t="s">
        <v>11465</v>
      </c>
      <c r="C4093" s="1" t="s">
        <v>11466</v>
      </c>
      <c r="D4093" s="1" t="s">
        <v>11467</v>
      </c>
      <c r="E4093" s="7">
        <v>113</v>
      </c>
    </row>
    <row r="4094" spans="1:5" x14ac:dyDescent="0.25">
      <c r="A4094" s="5" t="s">
        <v>6</v>
      </c>
      <c r="B4094" s="5" t="s">
        <v>11468</v>
      </c>
      <c r="C4094" s="1" t="s">
        <v>11469</v>
      </c>
      <c r="D4094" s="1" t="s">
        <v>11470</v>
      </c>
      <c r="E4094" s="7">
        <v>168</v>
      </c>
    </row>
    <row r="4095" spans="1:5" x14ac:dyDescent="0.25">
      <c r="A4095" s="5" t="s">
        <v>6</v>
      </c>
      <c r="B4095" s="5" t="s">
        <v>11471</v>
      </c>
      <c r="C4095" s="1" t="s">
        <v>11472</v>
      </c>
      <c r="D4095" s="1" t="s">
        <v>11473</v>
      </c>
      <c r="E4095" s="7">
        <v>451</v>
      </c>
    </row>
    <row r="4096" spans="1:5" x14ac:dyDescent="0.25">
      <c r="A4096" s="5" t="s">
        <v>6</v>
      </c>
      <c r="B4096" s="5" t="s">
        <v>11474</v>
      </c>
      <c r="C4096" s="1" t="s">
        <v>11475</v>
      </c>
      <c r="D4096" s="1" t="s">
        <v>11476</v>
      </c>
      <c r="E4096" s="7">
        <v>308</v>
      </c>
    </row>
    <row r="4097" spans="1:5" x14ac:dyDescent="0.25">
      <c r="A4097" s="5" t="s">
        <v>6</v>
      </c>
      <c r="B4097" s="5" t="s">
        <v>11477</v>
      </c>
      <c r="C4097" s="1" t="s">
        <v>11478</v>
      </c>
      <c r="D4097" s="1" t="s">
        <v>11479</v>
      </c>
      <c r="E4097" s="7">
        <v>850</v>
      </c>
    </row>
    <row r="4098" spans="1:5" x14ac:dyDescent="0.25">
      <c r="A4098" s="5" t="s">
        <v>6</v>
      </c>
      <c r="B4098" s="5" t="s">
        <v>11480</v>
      </c>
      <c r="C4098" s="1" t="s">
        <v>11481</v>
      </c>
      <c r="D4098" s="1" t="s">
        <v>11482</v>
      </c>
      <c r="E4098" s="7">
        <v>92</v>
      </c>
    </row>
    <row r="4099" spans="1:5" x14ac:dyDescent="0.25">
      <c r="A4099" s="5" t="s">
        <v>6</v>
      </c>
      <c r="B4099" s="5" t="s">
        <v>11483</v>
      </c>
      <c r="C4099" s="1" t="s">
        <v>11484</v>
      </c>
      <c r="D4099" s="1" t="s">
        <v>11485</v>
      </c>
      <c r="E4099" s="7">
        <v>496</v>
      </c>
    </row>
    <row r="4100" spans="1:5" x14ac:dyDescent="0.25">
      <c r="A4100" s="5" t="s">
        <v>6</v>
      </c>
      <c r="B4100" s="5" t="s">
        <v>11486</v>
      </c>
      <c r="C4100" s="1" t="s">
        <v>11487</v>
      </c>
      <c r="D4100" s="1" t="s">
        <v>11482</v>
      </c>
      <c r="E4100" s="7">
        <v>189</v>
      </c>
    </row>
    <row r="4101" spans="1:5" x14ac:dyDescent="0.25">
      <c r="A4101" s="5" t="s">
        <v>6</v>
      </c>
      <c r="B4101" s="5" t="s">
        <v>11488</v>
      </c>
      <c r="C4101" s="1" t="s">
        <v>11489</v>
      </c>
      <c r="D4101" s="1" t="s">
        <v>11490</v>
      </c>
      <c r="E4101" s="7">
        <v>120</v>
      </c>
    </row>
    <row r="4102" spans="1:5" x14ac:dyDescent="0.25">
      <c r="A4102" s="5" t="s">
        <v>6</v>
      </c>
      <c r="B4102" s="5" t="s">
        <v>11491</v>
      </c>
      <c r="C4102" s="1" t="s">
        <v>11492</v>
      </c>
      <c r="D4102" s="1" t="s">
        <v>11493</v>
      </c>
      <c r="E4102" s="7">
        <v>204</v>
      </c>
    </row>
    <row r="4103" spans="1:5" x14ac:dyDescent="0.25">
      <c r="A4103" s="5" t="s">
        <v>6</v>
      </c>
      <c r="B4103" s="5" t="s">
        <v>11494</v>
      </c>
      <c r="C4103" s="1" t="s">
        <v>11495</v>
      </c>
      <c r="D4103" s="1" t="s">
        <v>11496</v>
      </c>
      <c r="E4103" s="7">
        <v>314</v>
      </c>
    </row>
    <row r="4104" spans="1:5" x14ac:dyDescent="0.25">
      <c r="A4104" s="5" t="s">
        <v>6</v>
      </c>
      <c r="B4104" s="5" t="s">
        <v>11497</v>
      </c>
      <c r="C4104" s="1" t="s">
        <v>11498</v>
      </c>
      <c r="D4104" s="1" t="s">
        <v>11499</v>
      </c>
      <c r="E4104" s="7">
        <v>175</v>
      </c>
    </row>
    <row r="4105" spans="1:5" x14ac:dyDescent="0.25">
      <c r="A4105" s="5" t="s">
        <v>6</v>
      </c>
      <c r="B4105" s="5" t="s">
        <v>11500</v>
      </c>
      <c r="C4105" s="1" t="s">
        <v>11501</v>
      </c>
      <c r="D4105" s="1" t="s">
        <v>11502</v>
      </c>
      <c r="E4105" s="7">
        <v>189</v>
      </c>
    </row>
    <row r="4106" spans="1:5" x14ac:dyDescent="0.25">
      <c r="A4106" s="5" t="s">
        <v>6</v>
      </c>
      <c r="B4106" s="5" t="s">
        <v>11503</v>
      </c>
      <c r="C4106" s="1" t="s">
        <v>11504</v>
      </c>
      <c r="D4106" s="1" t="s">
        <v>11505</v>
      </c>
      <c r="E4106" s="7">
        <v>336</v>
      </c>
    </row>
    <row r="4107" spans="1:5" x14ac:dyDescent="0.25">
      <c r="A4107" s="5" t="s">
        <v>6</v>
      </c>
      <c r="B4107" s="5" t="s">
        <v>11506</v>
      </c>
      <c r="C4107" s="1" t="s">
        <v>11507</v>
      </c>
      <c r="D4107" s="1" t="s">
        <v>11508</v>
      </c>
      <c r="E4107" s="7">
        <v>57</v>
      </c>
    </row>
    <row r="4108" spans="1:5" x14ac:dyDescent="0.25">
      <c r="A4108" s="5" t="s">
        <v>6</v>
      </c>
      <c r="B4108" s="5" t="s">
        <v>11509</v>
      </c>
      <c r="C4108" s="1" t="s">
        <v>11510</v>
      </c>
      <c r="D4108" s="1" t="s">
        <v>11511</v>
      </c>
      <c r="E4108" s="7">
        <v>126</v>
      </c>
    </row>
    <row r="4109" spans="1:5" x14ac:dyDescent="0.25">
      <c r="A4109" s="5" t="s">
        <v>6</v>
      </c>
      <c r="B4109" s="5" t="s">
        <v>11512</v>
      </c>
      <c r="C4109" s="1" t="s">
        <v>11513</v>
      </c>
      <c r="D4109" s="1" t="s">
        <v>11514</v>
      </c>
      <c r="E4109" s="7">
        <v>296</v>
      </c>
    </row>
    <row r="4110" spans="1:5" x14ac:dyDescent="0.25">
      <c r="A4110" s="5" t="s">
        <v>6</v>
      </c>
      <c r="B4110" s="5" t="s">
        <v>11515</v>
      </c>
      <c r="C4110" s="1" t="s">
        <v>11516</v>
      </c>
      <c r="D4110" s="1" t="s">
        <v>11517</v>
      </c>
      <c r="E4110" s="7">
        <v>536</v>
      </c>
    </row>
    <row r="4111" spans="1:5" x14ac:dyDescent="0.25">
      <c r="A4111" s="5" t="s">
        <v>6</v>
      </c>
      <c r="B4111" s="5" t="s">
        <v>11518</v>
      </c>
      <c r="C4111" s="1" t="s">
        <v>11519</v>
      </c>
      <c r="D4111" s="1" t="s">
        <v>11520</v>
      </c>
      <c r="E4111" s="7">
        <v>30</v>
      </c>
    </row>
    <row r="4112" spans="1:5" x14ac:dyDescent="0.25">
      <c r="A4112" s="5" t="s">
        <v>6</v>
      </c>
      <c r="B4112" s="5" t="s">
        <v>11521</v>
      </c>
      <c r="C4112" s="1" t="s">
        <v>11522</v>
      </c>
      <c r="D4112" s="1" t="s">
        <v>11523</v>
      </c>
      <c r="E4112" s="7">
        <v>102</v>
      </c>
    </row>
    <row r="4113" spans="1:5" x14ac:dyDescent="0.25">
      <c r="A4113" s="5" t="s">
        <v>6</v>
      </c>
      <c r="B4113" s="5" t="s">
        <v>11524</v>
      </c>
      <c r="C4113" s="1" t="s">
        <v>11525</v>
      </c>
      <c r="D4113" s="1" t="s">
        <v>11526</v>
      </c>
      <c r="E4113" s="7">
        <v>41</v>
      </c>
    </row>
    <row r="4114" spans="1:5" x14ac:dyDescent="0.25">
      <c r="A4114" s="5" t="s">
        <v>6</v>
      </c>
      <c r="B4114" s="5" t="s">
        <v>11527</v>
      </c>
      <c r="C4114" s="1" t="s">
        <v>11528</v>
      </c>
      <c r="D4114" s="1" t="s">
        <v>11529</v>
      </c>
      <c r="E4114" s="7">
        <v>87</v>
      </c>
    </row>
    <row r="4115" spans="1:5" x14ac:dyDescent="0.25">
      <c r="A4115" s="5" t="s">
        <v>6</v>
      </c>
      <c r="B4115" s="5" t="s">
        <v>11530</v>
      </c>
      <c r="C4115" s="1" t="s">
        <v>11531</v>
      </c>
      <c r="D4115" s="1" t="s">
        <v>11532</v>
      </c>
      <c r="E4115" s="7">
        <v>87</v>
      </c>
    </row>
    <row r="4116" spans="1:5" x14ac:dyDescent="0.25">
      <c r="A4116" s="5" t="s">
        <v>6</v>
      </c>
      <c r="B4116" s="5" t="s">
        <v>11533</v>
      </c>
      <c r="C4116" s="1" t="s">
        <v>11534</v>
      </c>
      <c r="D4116" s="1" t="s">
        <v>11535</v>
      </c>
      <c r="E4116" s="7">
        <v>37</v>
      </c>
    </row>
    <row r="4117" spans="1:5" x14ac:dyDescent="0.25">
      <c r="A4117" s="5" t="s">
        <v>6</v>
      </c>
      <c r="B4117" s="5" t="s">
        <v>11536</v>
      </c>
      <c r="C4117" s="1" t="s">
        <v>11537</v>
      </c>
      <c r="D4117" s="1" t="s">
        <v>11538</v>
      </c>
      <c r="E4117" s="7">
        <v>102</v>
      </c>
    </row>
    <row r="4118" spans="1:5" x14ac:dyDescent="0.25">
      <c r="A4118" s="5" t="s">
        <v>6</v>
      </c>
      <c r="B4118" s="5" t="s">
        <v>11539</v>
      </c>
      <c r="C4118" s="1" t="s">
        <v>11540</v>
      </c>
      <c r="D4118" s="1" t="s">
        <v>11541</v>
      </c>
      <c r="E4118" s="7">
        <v>92</v>
      </c>
    </row>
    <row r="4119" spans="1:5" x14ac:dyDescent="0.25">
      <c r="A4119" s="5" t="s">
        <v>6</v>
      </c>
      <c r="B4119" s="5" t="s">
        <v>11542</v>
      </c>
      <c r="C4119" s="1" t="s">
        <v>11543</v>
      </c>
      <c r="D4119" s="1" t="s">
        <v>11532</v>
      </c>
      <c r="E4119" s="7">
        <v>102</v>
      </c>
    </row>
    <row r="4120" spans="1:5" x14ac:dyDescent="0.25">
      <c r="A4120" s="5" t="s">
        <v>6</v>
      </c>
      <c r="B4120" s="5" t="s">
        <v>11544</v>
      </c>
      <c r="C4120" s="1" t="s">
        <v>11545</v>
      </c>
      <c r="D4120" s="1" t="s">
        <v>11535</v>
      </c>
      <c r="E4120" s="7">
        <v>91</v>
      </c>
    </row>
    <row r="4121" spans="1:5" x14ac:dyDescent="0.25">
      <c r="A4121" s="5" t="s">
        <v>6</v>
      </c>
      <c r="B4121" s="5" t="s">
        <v>11546</v>
      </c>
      <c r="C4121" s="1" t="s">
        <v>11547</v>
      </c>
      <c r="D4121" s="1" t="s">
        <v>11548</v>
      </c>
      <c r="E4121" s="7">
        <v>164</v>
      </c>
    </row>
    <row r="4122" spans="1:5" x14ac:dyDescent="0.25">
      <c r="A4122" s="5" t="s">
        <v>6</v>
      </c>
      <c r="B4122" s="5" t="s">
        <v>11549</v>
      </c>
      <c r="C4122" s="1" t="s">
        <v>11550</v>
      </c>
      <c r="D4122" s="1" t="s">
        <v>11551</v>
      </c>
      <c r="E4122" s="7">
        <v>46</v>
      </c>
    </row>
    <row r="4123" spans="1:5" x14ac:dyDescent="0.25">
      <c r="A4123" s="5" t="s">
        <v>6</v>
      </c>
      <c r="B4123" s="5" t="s">
        <v>11552</v>
      </c>
      <c r="C4123" s="1" t="s">
        <v>11553</v>
      </c>
      <c r="D4123" s="1" t="s">
        <v>11554</v>
      </c>
      <c r="E4123" s="7">
        <v>148</v>
      </c>
    </row>
    <row r="4124" spans="1:5" x14ac:dyDescent="0.25">
      <c r="A4124" s="5" t="s">
        <v>6</v>
      </c>
      <c r="B4124" s="5" t="s">
        <v>11555</v>
      </c>
      <c r="C4124" s="1" t="s">
        <v>11556</v>
      </c>
      <c r="D4124" s="1" t="s">
        <v>11557</v>
      </c>
      <c r="E4124" s="7">
        <v>40</v>
      </c>
    </row>
    <row r="4125" spans="1:5" x14ac:dyDescent="0.25">
      <c r="A4125" s="5" t="s">
        <v>6</v>
      </c>
      <c r="B4125" s="5" t="s">
        <v>11558</v>
      </c>
      <c r="C4125" s="1" t="s">
        <v>11559</v>
      </c>
      <c r="D4125" s="1" t="s">
        <v>11560</v>
      </c>
      <c r="E4125" s="7">
        <v>186</v>
      </c>
    </row>
    <row r="4126" spans="1:5" x14ac:dyDescent="0.25">
      <c r="A4126" s="5" t="s">
        <v>6</v>
      </c>
      <c r="B4126" s="5" t="s">
        <v>11561</v>
      </c>
      <c r="C4126" s="1" t="s">
        <v>11562</v>
      </c>
      <c r="D4126" s="1" t="s">
        <v>11563</v>
      </c>
      <c r="E4126" s="7">
        <v>189</v>
      </c>
    </row>
    <row r="4127" spans="1:5" x14ac:dyDescent="0.25">
      <c r="A4127" s="5" t="s">
        <v>6</v>
      </c>
      <c r="B4127" s="5" t="s">
        <v>11564</v>
      </c>
      <c r="C4127" s="1" t="s">
        <v>11565</v>
      </c>
      <c r="D4127" s="1" t="s">
        <v>11563</v>
      </c>
      <c r="E4127" s="7">
        <v>175</v>
      </c>
    </row>
    <row r="4128" spans="1:5" x14ac:dyDescent="0.25">
      <c r="A4128" s="5" t="s">
        <v>6</v>
      </c>
      <c r="B4128" s="5" t="s">
        <v>11566</v>
      </c>
      <c r="C4128" s="1" t="s">
        <v>11567</v>
      </c>
      <c r="D4128" s="1" t="s">
        <v>11563</v>
      </c>
      <c r="E4128" s="7">
        <v>175</v>
      </c>
    </row>
    <row r="4129" spans="1:5" x14ac:dyDescent="0.25">
      <c r="A4129" s="5" t="s">
        <v>6</v>
      </c>
      <c r="B4129" s="5" t="s">
        <v>11568</v>
      </c>
      <c r="C4129" s="1" t="s">
        <v>11569</v>
      </c>
      <c r="D4129" s="1" t="s">
        <v>11570</v>
      </c>
      <c r="E4129" s="7">
        <v>70</v>
      </c>
    </row>
    <row r="4130" spans="1:5" x14ac:dyDescent="0.25">
      <c r="A4130" s="5" t="s">
        <v>6</v>
      </c>
      <c r="B4130" s="5" t="s">
        <v>11571</v>
      </c>
      <c r="C4130" s="1" t="s">
        <v>11572</v>
      </c>
      <c r="D4130" s="1" t="s">
        <v>11563</v>
      </c>
      <c r="E4130" s="7">
        <v>189</v>
      </c>
    </row>
    <row r="4131" spans="1:5" x14ac:dyDescent="0.25">
      <c r="A4131" s="5" t="s">
        <v>6</v>
      </c>
      <c r="B4131" s="5" t="s">
        <v>11573</v>
      </c>
      <c r="C4131" s="1" t="s">
        <v>11574</v>
      </c>
      <c r="D4131" s="1" t="s">
        <v>11563</v>
      </c>
      <c r="E4131" s="7">
        <v>189</v>
      </c>
    </row>
    <row r="4132" spans="1:5" x14ac:dyDescent="0.25">
      <c r="A4132" s="5" t="s">
        <v>6</v>
      </c>
      <c r="B4132" s="5" t="s">
        <v>11575</v>
      </c>
      <c r="C4132" s="1" t="s">
        <v>11576</v>
      </c>
      <c r="D4132" s="1" t="s">
        <v>11577</v>
      </c>
      <c r="E4132" s="7">
        <v>330</v>
      </c>
    </row>
    <row r="4133" spans="1:5" x14ac:dyDescent="0.25">
      <c r="A4133" s="5" t="s">
        <v>6</v>
      </c>
      <c r="B4133" s="5" t="s">
        <v>11578</v>
      </c>
      <c r="C4133" s="1" t="s">
        <v>11579</v>
      </c>
      <c r="D4133" s="1" t="s">
        <v>11580</v>
      </c>
      <c r="E4133" s="7">
        <v>76</v>
      </c>
    </row>
    <row r="4134" spans="1:5" x14ac:dyDescent="0.25">
      <c r="A4134" s="5" t="s">
        <v>6</v>
      </c>
      <c r="B4134" s="5" t="s">
        <v>11581</v>
      </c>
      <c r="C4134" s="1" t="s">
        <v>11582</v>
      </c>
      <c r="D4134" s="1" t="s">
        <v>11583</v>
      </c>
      <c r="E4134" s="7">
        <v>63</v>
      </c>
    </row>
    <row r="4135" spans="1:5" x14ac:dyDescent="0.25">
      <c r="A4135" s="5" t="s">
        <v>6</v>
      </c>
      <c r="B4135" s="5" t="s">
        <v>11584</v>
      </c>
      <c r="C4135" s="1" t="s">
        <v>11585</v>
      </c>
      <c r="D4135" s="1" t="s">
        <v>11586</v>
      </c>
      <c r="E4135" s="7">
        <v>42</v>
      </c>
    </row>
    <row r="4136" spans="1:5" x14ac:dyDescent="0.25">
      <c r="A4136" s="5" t="s">
        <v>6</v>
      </c>
      <c r="B4136" s="5" t="s">
        <v>11587</v>
      </c>
      <c r="C4136" s="1" t="s">
        <v>11588</v>
      </c>
      <c r="D4136" s="1" t="s">
        <v>11586</v>
      </c>
      <c r="E4136" s="7">
        <v>819</v>
      </c>
    </row>
    <row r="4137" spans="1:5" x14ac:dyDescent="0.25">
      <c r="A4137" s="5" t="s">
        <v>6</v>
      </c>
      <c r="B4137" s="5" t="s">
        <v>11589</v>
      </c>
      <c r="C4137" s="1" t="s">
        <v>11590</v>
      </c>
      <c r="D4137" s="1" t="s">
        <v>11586</v>
      </c>
      <c r="E4137" s="7">
        <v>464</v>
      </c>
    </row>
    <row r="4138" spans="1:5" x14ac:dyDescent="0.25">
      <c r="A4138" s="5" t="s">
        <v>6</v>
      </c>
      <c r="B4138" s="5" t="s">
        <v>11591</v>
      </c>
      <c r="C4138" s="1" t="s">
        <v>11592</v>
      </c>
      <c r="D4138" s="1" t="s">
        <v>11593</v>
      </c>
      <c r="E4138" s="7">
        <v>330</v>
      </c>
    </row>
    <row r="4139" spans="1:5" x14ac:dyDescent="0.25">
      <c r="A4139" s="5" t="s">
        <v>6</v>
      </c>
      <c r="B4139" s="5" t="s">
        <v>11594</v>
      </c>
      <c r="C4139" s="1" t="s">
        <v>11595</v>
      </c>
      <c r="D4139" s="1" t="s">
        <v>11596</v>
      </c>
      <c r="E4139" s="7">
        <v>1</v>
      </c>
    </row>
    <row r="4140" spans="1:5" x14ac:dyDescent="0.25">
      <c r="A4140" s="5" t="s">
        <v>6</v>
      </c>
      <c r="B4140" s="5" t="s">
        <v>11597</v>
      </c>
      <c r="C4140" s="1" t="s">
        <v>11598</v>
      </c>
      <c r="D4140" s="1" t="s">
        <v>11599</v>
      </c>
      <c r="E4140" s="7">
        <v>201</v>
      </c>
    </row>
    <row r="4141" spans="1:5" x14ac:dyDescent="0.25">
      <c r="A4141" s="5" t="s">
        <v>6</v>
      </c>
      <c r="B4141" s="5" t="s">
        <v>11600</v>
      </c>
      <c r="C4141" s="1" t="s">
        <v>11601</v>
      </c>
      <c r="D4141" s="1" t="s">
        <v>11179</v>
      </c>
      <c r="E4141" s="7">
        <v>28</v>
      </c>
    </row>
    <row r="4142" spans="1:5" x14ac:dyDescent="0.25">
      <c r="A4142" s="5" t="s">
        <v>6</v>
      </c>
      <c r="B4142" s="5" t="s">
        <v>11602</v>
      </c>
      <c r="C4142" s="1" t="s">
        <v>11603</v>
      </c>
      <c r="D4142" s="1" t="s">
        <v>11604</v>
      </c>
      <c r="E4142" s="7">
        <v>73</v>
      </c>
    </row>
    <row r="4143" spans="1:5" x14ac:dyDescent="0.25">
      <c r="A4143" s="5" t="s">
        <v>6</v>
      </c>
      <c r="B4143" s="5" t="s">
        <v>11605</v>
      </c>
      <c r="C4143" s="1" t="s">
        <v>11606</v>
      </c>
      <c r="D4143" s="1" t="s">
        <v>11607</v>
      </c>
      <c r="E4143" s="7">
        <v>204</v>
      </c>
    </row>
    <row r="4144" spans="1:5" x14ac:dyDescent="0.25">
      <c r="A4144" s="5" t="s">
        <v>6</v>
      </c>
      <c r="B4144" s="5" t="s">
        <v>11608</v>
      </c>
      <c r="C4144" s="1" t="s">
        <v>11609</v>
      </c>
      <c r="D4144" s="1" t="s">
        <v>11610</v>
      </c>
      <c r="E4144" s="7">
        <v>148</v>
      </c>
    </row>
    <row r="4145" spans="1:5" x14ac:dyDescent="0.25">
      <c r="A4145" s="5" t="s">
        <v>6</v>
      </c>
      <c r="B4145" s="5" t="s">
        <v>11611</v>
      </c>
      <c r="C4145" s="1" t="s">
        <v>11612</v>
      </c>
      <c r="D4145" s="1" t="s">
        <v>11610</v>
      </c>
      <c r="E4145" s="7">
        <v>156</v>
      </c>
    </row>
    <row r="4146" spans="1:5" x14ac:dyDescent="0.25">
      <c r="A4146" s="5" t="s">
        <v>6</v>
      </c>
      <c r="B4146" s="5" t="s">
        <v>11613</v>
      </c>
      <c r="C4146" s="1" t="s">
        <v>11614</v>
      </c>
      <c r="D4146" s="1" t="s">
        <v>11615</v>
      </c>
      <c r="E4146" s="7">
        <v>261</v>
      </c>
    </row>
    <row r="4147" spans="1:5" x14ac:dyDescent="0.25">
      <c r="A4147" s="5" t="s">
        <v>6</v>
      </c>
      <c r="B4147" s="5" t="s">
        <v>11616</v>
      </c>
      <c r="C4147" s="1" t="s">
        <v>11617</v>
      </c>
      <c r="D4147" s="1" t="s">
        <v>11618</v>
      </c>
      <c r="E4147" s="7">
        <v>219</v>
      </c>
    </row>
    <row r="4148" spans="1:5" x14ac:dyDescent="0.25">
      <c r="A4148" s="5" t="s">
        <v>6</v>
      </c>
      <c r="B4148" s="5" t="s">
        <v>11619</v>
      </c>
      <c r="C4148" s="1" t="s">
        <v>11620</v>
      </c>
      <c r="D4148" s="1" t="s">
        <v>11621</v>
      </c>
      <c r="E4148" s="7">
        <v>345</v>
      </c>
    </row>
    <row r="4149" spans="1:5" x14ac:dyDescent="0.25">
      <c r="A4149" s="5" t="s">
        <v>6</v>
      </c>
      <c r="B4149" s="5" t="s">
        <v>11622</v>
      </c>
      <c r="C4149" s="1" t="s">
        <v>11623</v>
      </c>
      <c r="D4149" s="1" t="s">
        <v>11624</v>
      </c>
      <c r="E4149" s="7">
        <v>217</v>
      </c>
    </row>
    <row r="4150" spans="1:5" x14ac:dyDescent="0.25">
      <c r="A4150" s="5" t="s">
        <v>6</v>
      </c>
      <c r="B4150" s="5" t="s">
        <v>11625</v>
      </c>
      <c r="C4150" s="1" t="s">
        <v>11626</v>
      </c>
      <c r="D4150" s="1" t="s">
        <v>11627</v>
      </c>
      <c r="E4150" s="7">
        <v>369</v>
      </c>
    </row>
    <row r="4151" spans="1:5" x14ac:dyDescent="0.25">
      <c r="A4151" s="5" t="s">
        <v>6</v>
      </c>
      <c r="B4151" s="5" t="s">
        <v>11628</v>
      </c>
      <c r="C4151" s="1" t="s">
        <v>11629</v>
      </c>
      <c r="D4151" s="1" t="s">
        <v>11630</v>
      </c>
      <c r="E4151" s="7">
        <v>19</v>
      </c>
    </row>
    <row r="4152" spans="1:5" x14ac:dyDescent="0.25">
      <c r="A4152" s="5" t="s">
        <v>6</v>
      </c>
      <c r="B4152" s="5" t="s">
        <v>11631</v>
      </c>
      <c r="C4152" s="1" t="s">
        <v>11632</v>
      </c>
      <c r="D4152" s="1" t="s">
        <v>11633</v>
      </c>
      <c r="E4152" s="7">
        <v>570</v>
      </c>
    </row>
    <row r="4153" spans="1:5" x14ac:dyDescent="0.25">
      <c r="A4153" s="5" t="s">
        <v>6</v>
      </c>
      <c r="B4153" s="5" t="s">
        <v>11634</v>
      </c>
      <c r="C4153" s="1" t="s">
        <v>11635</v>
      </c>
      <c r="D4153" s="1" t="s">
        <v>11633</v>
      </c>
      <c r="E4153" s="7">
        <v>710</v>
      </c>
    </row>
    <row r="4154" spans="1:5" x14ac:dyDescent="0.25">
      <c r="A4154" s="5" t="s">
        <v>6</v>
      </c>
      <c r="B4154" s="5" t="s">
        <v>11636</v>
      </c>
      <c r="C4154" s="1" t="s">
        <v>11637</v>
      </c>
      <c r="D4154" s="1" t="s">
        <v>11633</v>
      </c>
      <c r="E4154" s="7">
        <v>999</v>
      </c>
    </row>
    <row r="4155" spans="1:5" x14ac:dyDescent="0.25">
      <c r="A4155" s="5" t="s">
        <v>6</v>
      </c>
      <c r="B4155" s="5" t="s">
        <v>11638</v>
      </c>
      <c r="C4155" s="1" t="s">
        <v>11639</v>
      </c>
      <c r="D4155" s="1" t="s">
        <v>11640</v>
      </c>
      <c r="E4155" s="7">
        <v>124</v>
      </c>
    </row>
    <row r="4156" spans="1:5" x14ac:dyDescent="0.25">
      <c r="A4156" s="5" t="s">
        <v>6</v>
      </c>
      <c r="B4156" s="5" t="s">
        <v>11641</v>
      </c>
      <c r="C4156" s="1" t="s">
        <v>11642</v>
      </c>
      <c r="D4156" s="1" t="s">
        <v>11642</v>
      </c>
      <c r="E4156" s="7">
        <v>12</v>
      </c>
    </row>
    <row r="4157" spans="1:5" x14ac:dyDescent="0.25">
      <c r="A4157" s="5" t="s">
        <v>6</v>
      </c>
      <c r="B4157" s="5" t="s">
        <v>11643</v>
      </c>
      <c r="C4157" s="1" t="s">
        <v>11644</v>
      </c>
      <c r="D4157" s="1" t="s">
        <v>11645</v>
      </c>
      <c r="E4157" s="7">
        <v>141</v>
      </c>
    </row>
    <row r="4158" spans="1:5" x14ac:dyDescent="0.25">
      <c r="A4158" s="5" t="s">
        <v>6</v>
      </c>
      <c r="B4158" s="5" t="s">
        <v>11646</v>
      </c>
      <c r="C4158" s="1" t="s">
        <v>11647</v>
      </c>
      <c r="D4158" s="1" t="s">
        <v>11648</v>
      </c>
      <c r="E4158" s="7">
        <v>25</v>
      </c>
    </row>
    <row r="4159" spans="1:5" x14ac:dyDescent="0.25">
      <c r="A4159" s="5" t="s">
        <v>6</v>
      </c>
      <c r="B4159" s="5" t="s">
        <v>11649</v>
      </c>
      <c r="C4159" s="1" t="s">
        <v>11650</v>
      </c>
      <c r="D4159" s="1" t="s">
        <v>11650</v>
      </c>
      <c r="E4159" s="7">
        <v>25</v>
      </c>
    </row>
    <row r="4160" spans="1:5" x14ac:dyDescent="0.25">
      <c r="A4160" s="5" t="s">
        <v>6</v>
      </c>
      <c r="B4160" s="5" t="s">
        <v>11651</v>
      </c>
      <c r="C4160" s="1" t="s">
        <v>11652</v>
      </c>
      <c r="D4160" s="1" t="s">
        <v>11653</v>
      </c>
      <c r="E4160" s="7">
        <v>202</v>
      </c>
    </row>
    <row r="4161" spans="1:5" x14ac:dyDescent="0.25">
      <c r="A4161" s="5" t="s">
        <v>6</v>
      </c>
      <c r="B4161" s="5" t="s">
        <v>11654</v>
      </c>
      <c r="C4161" s="1" t="s">
        <v>11655</v>
      </c>
      <c r="D4161" s="1" t="s">
        <v>11656</v>
      </c>
      <c r="E4161" s="7">
        <v>145</v>
      </c>
    </row>
    <row r="4162" spans="1:5" x14ac:dyDescent="0.25">
      <c r="A4162" s="5" t="s">
        <v>6</v>
      </c>
      <c r="B4162" s="5" t="s">
        <v>11657</v>
      </c>
      <c r="C4162" s="1" t="s">
        <v>11658</v>
      </c>
      <c r="D4162" s="1" t="s">
        <v>11659</v>
      </c>
      <c r="E4162" s="7">
        <v>195</v>
      </c>
    </row>
    <row r="4163" spans="1:5" x14ac:dyDescent="0.25">
      <c r="A4163" s="5" t="s">
        <v>6</v>
      </c>
      <c r="B4163" s="5" t="s">
        <v>11660</v>
      </c>
      <c r="C4163" s="1" t="s">
        <v>11661</v>
      </c>
      <c r="D4163" s="1" t="s">
        <v>11662</v>
      </c>
      <c r="E4163" s="7">
        <v>205</v>
      </c>
    </row>
    <row r="4164" spans="1:5" x14ac:dyDescent="0.25">
      <c r="A4164" s="5" t="s">
        <v>6</v>
      </c>
      <c r="B4164" s="5" t="s">
        <v>11663</v>
      </c>
      <c r="C4164" s="1" t="s">
        <v>11664</v>
      </c>
      <c r="D4164" s="1" t="s">
        <v>11665</v>
      </c>
      <c r="E4164" s="7">
        <v>2091</v>
      </c>
    </row>
    <row r="4165" spans="1:5" x14ac:dyDescent="0.25">
      <c r="A4165" s="5" t="s">
        <v>6</v>
      </c>
      <c r="B4165" s="5" t="s">
        <v>11666</v>
      </c>
      <c r="C4165" s="1" t="s">
        <v>11667</v>
      </c>
      <c r="D4165" s="1" t="s">
        <v>11668</v>
      </c>
      <c r="E4165" s="7">
        <v>175</v>
      </c>
    </row>
    <row r="4166" spans="1:5" x14ac:dyDescent="0.25">
      <c r="A4166" s="5" t="s">
        <v>6</v>
      </c>
      <c r="B4166" s="5" t="s">
        <v>11669</v>
      </c>
      <c r="C4166" s="1" t="s">
        <v>11670</v>
      </c>
      <c r="D4166" s="1" t="s">
        <v>11671</v>
      </c>
      <c r="E4166" s="7">
        <v>219</v>
      </c>
    </row>
    <row r="4167" spans="1:5" x14ac:dyDescent="0.25">
      <c r="A4167" s="5" t="s">
        <v>6</v>
      </c>
      <c r="B4167" s="5" t="s">
        <v>11672</v>
      </c>
      <c r="C4167" s="1" t="s">
        <v>11673</v>
      </c>
      <c r="D4167" s="1" t="s">
        <v>11674</v>
      </c>
      <c r="E4167" s="7">
        <v>189</v>
      </c>
    </row>
    <row r="4168" spans="1:5" x14ac:dyDescent="0.25">
      <c r="A4168" s="5" t="s">
        <v>6</v>
      </c>
      <c r="B4168" s="5" t="s">
        <v>11675</v>
      </c>
      <c r="C4168" s="1" t="s">
        <v>11676</v>
      </c>
      <c r="D4168" s="1" t="s">
        <v>11677</v>
      </c>
      <c r="E4168" s="7">
        <v>68</v>
      </c>
    </row>
    <row r="4169" spans="1:5" x14ac:dyDescent="0.25">
      <c r="A4169" s="5" t="s">
        <v>6</v>
      </c>
      <c r="B4169" s="5" t="s">
        <v>11678</v>
      </c>
      <c r="C4169" s="1" t="s">
        <v>11679</v>
      </c>
      <c r="D4169" s="1" t="s">
        <v>11680</v>
      </c>
      <c r="E4169" s="7">
        <v>111</v>
      </c>
    </row>
    <row r="4170" spans="1:5" x14ac:dyDescent="0.25">
      <c r="A4170" s="5" t="s">
        <v>6</v>
      </c>
      <c r="B4170" s="5" t="s">
        <v>11681</v>
      </c>
      <c r="C4170" s="1" t="s">
        <v>11682</v>
      </c>
      <c r="D4170" s="1" t="s">
        <v>11683</v>
      </c>
      <c r="E4170" s="7">
        <v>53</v>
      </c>
    </row>
    <row r="4171" spans="1:5" x14ac:dyDescent="0.25">
      <c r="A4171" s="5" t="s">
        <v>6</v>
      </c>
      <c r="B4171" s="5" t="s">
        <v>11684</v>
      </c>
      <c r="C4171" s="1" t="s">
        <v>11685</v>
      </c>
      <c r="D4171" s="1" t="s">
        <v>11683</v>
      </c>
      <c r="E4171" s="7">
        <v>59</v>
      </c>
    </row>
    <row r="4172" spans="1:5" x14ac:dyDescent="0.25">
      <c r="A4172" s="5" t="s">
        <v>6</v>
      </c>
      <c r="B4172" s="5" t="s">
        <v>11686</v>
      </c>
      <c r="C4172" s="1" t="s">
        <v>11687</v>
      </c>
      <c r="D4172" s="1" t="s">
        <v>11688</v>
      </c>
      <c r="E4172" s="7">
        <v>31</v>
      </c>
    </row>
    <row r="4173" spans="1:5" x14ac:dyDescent="0.25">
      <c r="A4173" s="5" t="s">
        <v>6</v>
      </c>
      <c r="B4173" s="5" t="s">
        <v>11689</v>
      </c>
      <c r="C4173" s="1" t="s">
        <v>11690</v>
      </c>
      <c r="D4173" s="1" t="s">
        <v>11691</v>
      </c>
      <c r="E4173" s="7">
        <v>324</v>
      </c>
    </row>
    <row r="4174" spans="1:5" x14ac:dyDescent="0.25">
      <c r="A4174" s="5" t="s">
        <v>6</v>
      </c>
      <c r="B4174" s="5" t="s">
        <v>11692</v>
      </c>
      <c r="C4174" s="1" t="s">
        <v>11693</v>
      </c>
      <c r="D4174" s="1" t="s">
        <v>11694</v>
      </c>
      <c r="E4174" s="7">
        <v>249</v>
      </c>
    </row>
    <row r="4175" spans="1:5" x14ac:dyDescent="0.25">
      <c r="A4175" s="5" t="s">
        <v>6</v>
      </c>
      <c r="B4175" s="5" t="s">
        <v>11695</v>
      </c>
      <c r="C4175" s="1" t="s">
        <v>11696</v>
      </c>
      <c r="D4175" s="1" t="s">
        <v>11697</v>
      </c>
      <c r="E4175" s="7">
        <v>192</v>
      </c>
    </row>
    <row r="4176" spans="1:5" x14ac:dyDescent="0.25">
      <c r="A4176" s="5" t="s">
        <v>6</v>
      </c>
      <c r="B4176" s="5" t="s">
        <v>11698</v>
      </c>
      <c r="C4176" s="1" t="s">
        <v>11699</v>
      </c>
      <c r="D4176" s="1" t="s">
        <v>11694</v>
      </c>
      <c r="E4176" s="7">
        <v>30</v>
      </c>
    </row>
    <row r="4177" spans="1:5" x14ac:dyDescent="0.25">
      <c r="A4177" s="5" t="s">
        <v>6</v>
      </c>
      <c r="B4177" s="5" t="s">
        <v>11700</v>
      </c>
      <c r="C4177" s="1" t="s">
        <v>11701</v>
      </c>
      <c r="D4177" s="1" t="s">
        <v>11702</v>
      </c>
      <c r="E4177" s="7">
        <v>409</v>
      </c>
    </row>
    <row r="4178" spans="1:5" x14ac:dyDescent="0.25">
      <c r="A4178" s="5" t="s">
        <v>6</v>
      </c>
      <c r="B4178" s="5" t="s">
        <v>11703</v>
      </c>
      <c r="C4178" s="1" t="s">
        <v>11704</v>
      </c>
      <c r="D4178" s="1" t="s">
        <v>11705</v>
      </c>
      <c r="E4178" s="7">
        <v>364</v>
      </c>
    </row>
    <row r="4179" spans="1:5" x14ac:dyDescent="0.25">
      <c r="A4179" s="5" t="s">
        <v>6</v>
      </c>
      <c r="B4179" s="5" t="s">
        <v>11706</v>
      </c>
      <c r="C4179" s="1" t="s">
        <v>11707</v>
      </c>
      <c r="D4179" s="1" t="s">
        <v>11708</v>
      </c>
      <c r="E4179" s="7">
        <v>57</v>
      </c>
    </row>
    <row r="4180" spans="1:5" x14ac:dyDescent="0.25">
      <c r="A4180" s="5" t="s">
        <v>6</v>
      </c>
      <c r="B4180" s="5" t="s">
        <v>11709</v>
      </c>
      <c r="C4180" s="1" t="s">
        <v>11710</v>
      </c>
      <c r="D4180" s="1" t="s">
        <v>11711</v>
      </c>
      <c r="E4180" s="7">
        <v>185</v>
      </c>
    </row>
    <row r="4181" spans="1:5" x14ac:dyDescent="0.25">
      <c r="A4181" s="5" t="s">
        <v>6</v>
      </c>
      <c r="B4181" s="5" t="s">
        <v>11712</v>
      </c>
      <c r="C4181" s="1" t="s">
        <v>11713</v>
      </c>
      <c r="D4181" s="1" t="s">
        <v>11714</v>
      </c>
      <c r="E4181" s="7">
        <v>203</v>
      </c>
    </row>
    <row r="4182" spans="1:5" x14ac:dyDescent="0.25">
      <c r="A4182" s="5" t="s">
        <v>6</v>
      </c>
      <c r="B4182" s="5" t="s">
        <v>11715</v>
      </c>
      <c r="C4182" s="1" t="s">
        <v>11716</v>
      </c>
      <c r="D4182" s="1" t="s">
        <v>11717</v>
      </c>
      <c r="E4182" s="7">
        <v>219</v>
      </c>
    </row>
    <row r="4183" spans="1:5" x14ac:dyDescent="0.25">
      <c r="A4183" s="5" t="s">
        <v>6</v>
      </c>
      <c r="B4183" s="5" t="s">
        <v>11718</v>
      </c>
      <c r="C4183" s="1" t="s">
        <v>11719</v>
      </c>
      <c r="D4183" s="1" t="s">
        <v>11720</v>
      </c>
      <c r="E4183" s="7">
        <v>499</v>
      </c>
    </row>
    <row r="4184" spans="1:5" x14ac:dyDescent="0.25">
      <c r="A4184" s="5" t="s">
        <v>6</v>
      </c>
      <c r="B4184" s="5" t="s">
        <v>11721</v>
      </c>
      <c r="C4184" s="1" t="s">
        <v>11722</v>
      </c>
      <c r="D4184" s="1" t="s">
        <v>11723</v>
      </c>
      <c r="E4184" s="7">
        <v>39.380000000000003</v>
      </c>
    </row>
    <row r="4185" spans="1:5" x14ac:dyDescent="0.25">
      <c r="A4185" s="5" t="s">
        <v>6</v>
      </c>
      <c r="B4185" s="5" t="s">
        <v>11724</v>
      </c>
      <c r="C4185" s="1" t="s">
        <v>11725</v>
      </c>
      <c r="D4185" s="1" t="s">
        <v>11726</v>
      </c>
      <c r="E4185" s="7">
        <v>540</v>
      </c>
    </row>
    <row r="4186" spans="1:5" x14ac:dyDescent="0.25">
      <c r="A4186" s="5" t="s">
        <v>6</v>
      </c>
      <c r="B4186" s="5" t="s">
        <v>11727</v>
      </c>
      <c r="C4186" s="1" t="s">
        <v>11728</v>
      </c>
      <c r="D4186" s="1" t="s">
        <v>11729</v>
      </c>
      <c r="E4186" s="7">
        <v>409</v>
      </c>
    </row>
    <row r="4187" spans="1:5" x14ac:dyDescent="0.25">
      <c r="A4187" s="5" t="s">
        <v>6</v>
      </c>
      <c r="B4187" s="5" t="s">
        <v>11730</v>
      </c>
      <c r="C4187" s="1" t="s">
        <v>11731</v>
      </c>
      <c r="D4187" s="1" t="s">
        <v>11732</v>
      </c>
      <c r="E4187" s="7">
        <v>319</v>
      </c>
    </row>
    <row r="4188" spans="1:5" x14ac:dyDescent="0.25">
      <c r="A4188" s="5" t="s">
        <v>6</v>
      </c>
      <c r="B4188" s="5" t="s">
        <v>11733</v>
      </c>
      <c r="C4188" s="1" t="s">
        <v>11734</v>
      </c>
      <c r="D4188" s="1" t="s">
        <v>11735</v>
      </c>
      <c r="E4188" s="7">
        <v>343</v>
      </c>
    </row>
    <row r="4189" spans="1:5" x14ac:dyDescent="0.25">
      <c r="A4189" s="5" t="s">
        <v>6</v>
      </c>
      <c r="B4189" s="5" t="s">
        <v>11736</v>
      </c>
      <c r="C4189" s="1" t="s">
        <v>11737</v>
      </c>
      <c r="D4189" s="1" t="s">
        <v>11738</v>
      </c>
      <c r="E4189" s="7">
        <v>650</v>
      </c>
    </row>
    <row r="4190" spans="1:5" x14ac:dyDescent="0.25">
      <c r="A4190" s="5" t="s">
        <v>6</v>
      </c>
      <c r="B4190" s="5" t="s">
        <v>11739</v>
      </c>
      <c r="C4190" s="1" t="s">
        <v>11740</v>
      </c>
      <c r="D4190" s="1" t="s">
        <v>11741</v>
      </c>
      <c r="E4190" s="7">
        <v>402</v>
      </c>
    </row>
    <row r="4191" spans="1:5" x14ac:dyDescent="0.25">
      <c r="A4191" s="5" t="s">
        <v>6</v>
      </c>
      <c r="B4191" s="5" t="s">
        <v>11742</v>
      </c>
      <c r="C4191" s="1" t="s">
        <v>11743</v>
      </c>
      <c r="D4191" s="1" t="s">
        <v>11744</v>
      </c>
      <c r="E4191" s="7">
        <v>404</v>
      </c>
    </row>
    <row r="4192" spans="1:5" x14ac:dyDescent="0.25">
      <c r="A4192" s="5" t="s">
        <v>6</v>
      </c>
      <c r="B4192" s="5" t="s">
        <v>11745</v>
      </c>
      <c r="C4192" s="1" t="s">
        <v>11746</v>
      </c>
      <c r="D4192" s="1" t="s">
        <v>11747</v>
      </c>
      <c r="E4192" s="7">
        <v>195</v>
      </c>
    </row>
    <row r="4193" spans="1:5" x14ac:dyDescent="0.25">
      <c r="A4193" s="5" t="s">
        <v>6</v>
      </c>
      <c r="B4193" s="5" t="s">
        <v>11748</v>
      </c>
      <c r="C4193" s="1" t="s">
        <v>11749</v>
      </c>
      <c r="D4193" s="1" t="s">
        <v>11750</v>
      </c>
      <c r="E4193" s="7">
        <v>303</v>
      </c>
    </row>
    <row r="4194" spans="1:5" x14ac:dyDescent="0.25">
      <c r="A4194" s="5" t="s">
        <v>6</v>
      </c>
      <c r="B4194" s="5" t="s">
        <v>11751</v>
      </c>
      <c r="C4194" s="1" t="s">
        <v>11752</v>
      </c>
      <c r="D4194" s="1" t="s">
        <v>11750</v>
      </c>
      <c r="E4194" s="7">
        <v>418</v>
      </c>
    </row>
    <row r="4195" spans="1:5" x14ac:dyDescent="0.25">
      <c r="A4195" s="5" t="s">
        <v>6</v>
      </c>
      <c r="B4195" s="5" t="s">
        <v>11753</v>
      </c>
      <c r="C4195" s="1" t="s">
        <v>11754</v>
      </c>
      <c r="D4195" s="1" t="s">
        <v>11755</v>
      </c>
      <c r="E4195" s="7">
        <v>341</v>
      </c>
    </row>
    <row r="4196" spans="1:5" x14ac:dyDescent="0.25">
      <c r="A4196" s="5" t="s">
        <v>6</v>
      </c>
      <c r="B4196" s="5" t="s">
        <v>11756</v>
      </c>
      <c r="C4196" s="1" t="s">
        <v>11757</v>
      </c>
      <c r="D4196" s="1" t="s">
        <v>11758</v>
      </c>
      <c r="E4196" s="7">
        <v>265</v>
      </c>
    </row>
    <row r="4197" spans="1:5" x14ac:dyDescent="0.25">
      <c r="A4197" s="5" t="s">
        <v>6</v>
      </c>
      <c r="B4197" s="5" t="s">
        <v>11759</v>
      </c>
      <c r="C4197" s="1" t="s">
        <v>11760</v>
      </c>
      <c r="D4197" s="1" t="s">
        <v>11761</v>
      </c>
      <c r="E4197" s="7">
        <v>436</v>
      </c>
    </row>
    <row r="4198" spans="1:5" x14ac:dyDescent="0.25">
      <c r="A4198" s="5" t="s">
        <v>6</v>
      </c>
      <c r="B4198" s="5" t="s">
        <v>11762</v>
      </c>
      <c r="C4198" s="1" t="s">
        <v>11763</v>
      </c>
      <c r="D4198" s="1" t="s">
        <v>11764</v>
      </c>
      <c r="E4198" s="7">
        <v>1672</v>
      </c>
    </row>
    <row r="4199" spans="1:5" x14ac:dyDescent="0.25">
      <c r="A4199" s="5" t="s">
        <v>6</v>
      </c>
      <c r="B4199" s="5" t="s">
        <v>11765</v>
      </c>
      <c r="C4199" s="1" t="s">
        <v>11766</v>
      </c>
      <c r="D4199" s="1" t="s">
        <v>11767</v>
      </c>
      <c r="E4199" s="7">
        <v>42</v>
      </c>
    </row>
    <row r="4200" spans="1:5" x14ac:dyDescent="0.25">
      <c r="A4200" s="5" t="s">
        <v>6</v>
      </c>
      <c r="B4200" s="5" t="s">
        <v>11768</v>
      </c>
      <c r="C4200" s="1" t="s">
        <v>11769</v>
      </c>
      <c r="D4200" s="1" t="s">
        <v>11770</v>
      </c>
      <c r="E4200" s="7">
        <v>110</v>
      </c>
    </row>
    <row r="4201" spans="1:5" x14ac:dyDescent="0.25">
      <c r="A4201" s="5" t="s">
        <v>6</v>
      </c>
      <c r="B4201" s="5" t="s">
        <v>11771</v>
      </c>
      <c r="C4201" s="1" t="s">
        <v>11772</v>
      </c>
      <c r="D4201" s="1" t="s">
        <v>11773</v>
      </c>
      <c r="E4201" s="7">
        <v>59</v>
      </c>
    </row>
    <row r="4202" spans="1:5" x14ac:dyDescent="0.25">
      <c r="A4202" s="5" t="s">
        <v>6</v>
      </c>
      <c r="B4202" s="5" t="s">
        <v>11774</v>
      </c>
      <c r="C4202" s="1" t="s">
        <v>11775</v>
      </c>
      <c r="D4202" s="1" t="s">
        <v>11776</v>
      </c>
      <c r="E4202" s="7">
        <v>53</v>
      </c>
    </row>
    <row r="4203" spans="1:5" x14ac:dyDescent="0.25">
      <c r="A4203" s="5" t="s">
        <v>6</v>
      </c>
      <c r="B4203" s="5" t="s">
        <v>11777</v>
      </c>
      <c r="C4203" s="1" t="s">
        <v>11778</v>
      </c>
      <c r="D4203" s="1" t="s">
        <v>11779</v>
      </c>
      <c r="E4203" s="7">
        <v>32</v>
      </c>
    </row>
    <row r="4204" spans="1:5" x14ac:dyDescent="0.25">
      <c r="A4204" s="5" t="s">
        <v>6</v>
      </c>
      <c r="B4204" s="5" t="s">
        <v>11780</v>
      </c>
      <c r="C4204" s="1" t="s">
        <v>11781</v>
      </c>
      <c r="D4204" s="1" t="s">
        <v>11782</v>
      </c>
      <c r="E4204" s="7">
        <v>124</v>
      </c>
    </row>
    <row r="4205" spans="1:5" x14ac:dyDescent="0.25">
      <c r="A4205" s="5" t="s">
        <v>6</v>
      </c>
      <c r="B4205" s="5" t="s">
        <v>11783</v>
      </c>
      <c r="C4205" s="1" t="s">
        <v>11784</v>
      </c>
      <c r="D4205" s="1" t="s">
        <v>11785</v>
      </c>
      <c r="E4205" s="7">
        <v>154</v>
      </c>
    </row>
    <row r="4206" spans="1:5" x14ac:dyDescent="0.25">
      <c r="A4206" s="5" t="s">
        <v>6</v>
      </c>
      <c r="B4206" s="5" t="s">
        <v>11786</v>
      </c>
      <c r="C4206" s="1" t="s">
        <v>11787</v>
      </c>
      <c r="D4206" s="1" t="s">
        <v>11788</v>
      </c>
      <c r="E4206" s="7">
        <v>120</v>
      </c>
    </row>
    <row r="4207" spans="1:5" x14ac:dyDescent="0.25">
      <c r="A4207" s="5" t="s">
        <v>6</v>
      </c>
      <c r="B4207" s="5" t="s">
        <v>11789</v>
      </c>
      <c r="C4207" s="1" t="s">
        <v>11790</v>
      </c>
      <c r="D4207" s="1" t="s">
        <v>11791</v>
      </c>
      <c r="E4207" s="7">
        <v>32</v>
      </c>
    </row>
    <row r="4208" spans="1:5" x14ac:dyDescent="0.25">
      <c r="A4208" s="5" t="s">
        <v>6</v>
      </c>
      <c r="B4208" s="5" t="s">
        <v>11792</v>
      </c>
      <c r="C4208" s="1" t="s">
        <v>11793</v>
      </c>
      <c r="D4208" s="1" t="s">
        <v>11794</v>
      </c>
      <c r="E4208" s="7">
        <v>72</v>
      </c>
    </row>
    <row r="4209" spans="1:5" x14ac:dyDescent="0.25">
      <c r="A4209" s="5" t="s">
        <v>6</v>
      </c>
      <c r="B4209" s="5" t="s">
        <v>11795</v>
      </c>
      <c r="C4209" s="1" t="s">
        <v>11796</v>
      </c>
      <c r="D4209" s="1" t="s">
        <v>11797</v>
      </c>
      <c r="E4209" s="7">
        <v>364</v>
      </c>
    </row>
    <row r="4210" spans="1:5" x14ac:dyDescent="0.25">
      <c r="A4210" s="5" t="s">
        <v>6</v>
      </c>
      <c r="B4210" s="5" t="s">
        <v>11798</v>
      </c>
      <c r="C4210" s="1" t="s">
        <v>11799</v>
      </c>
      <c r="D4210" s="1" t="s">
        <v>11800</v>
      </c>
      <c r="E4210" s="7">
        <v>278</v>
      </c>
    </row>
    <row r="4211" spans="1:5" x14ac:dyDescent="0.25">
      <c r="A4211" s="5" t="s">
        <v>6</v>
      </c>
      <c r="B4211" s="5" t="s">
        <v>11801</v>
      </c>
      <c r="C4211" s="1" t="s">
        <v>11802</v>
      </c>
      <c r="D4211" s="1" t="s">
        <v>11803</v>
      </c>
      <c r="E4211" s="7">
        <v>40</v>
      </c>
    </row>
    <row r="4212" spans="1:5" x14ac:dyDescent="0.25">
      <c r="A4212" s="5" t="s">
        <v>6</v>
      </c>
      <c r="B4212" s="5" t="s">
        <v>11804</v>
      </c>
      <c r="C4212" s="1" t="s">
        <v>11805</v>
      </c>
      <c r="D4212" s="1" t="s">
        <v>11806</v>
      </c>
      <c r="E4212" s="7">
        <v>99</v>
      </c>
    </row>
    <row r="4213" spans="1:5" x14ac:dyDescent="0.25">
      <c r="A4213" s="5" t="s">
        <v>6</v>
      </c>
      <c r="B4213" s="5" t="s">
        <v>11807</v>
      </c>
      <c r="C4213" s="1" t="s">
        <v>11808</v>
      </c>
      <c r="D4213" s="1" t="s">
        <v>11809</v>
      </c>
      <c r="E4213" s="7">
        <v>114</v>
      </c>
    </row>
    <row r="4214" spans="1:5" x14ac:dyDescent="0.25">
      <c r="A4214" s="5" t="s">
        <v>6</v>
      </c>
      <c r="B4214" s="5" t="s">
        <v>11810</v>
      </c>
      <c r="C4214" s="1" t="s">
        <v>11811</v>
      </c>
      <c r="D4214" s="1" t="s">
        <v>11812</v>
      </c>
      <c r="E4214" s="7">
        <v>145</v>
      </c>
    </row>
    <row r="4215" spans="1:5" x14ac:dyDescent="0.25">
      <c r="A4215" s="5" t="s">
        <v>6</v>
      </c>
      <c r="B4215" s="5" t="s">
        <v>11813</v>
      </c>
      <c r="C4215" s="1" t="s">
        <v>11814</v>
      </c>
      <c r="D4215" s="1" t="s">
        <v>11815</v>
      </c>
      <c r="E4215" s="7">
        <v>306</v>
      </c>
    </row>
    <row r="4216" spans="1:5" x14ac:dyDescent="0.25">
      <c r="A4216" s="5" t="s">
        <v>6</v>
      </c>
      <c r="B4216" s="5" t="s">
        <v>11816</v>
      </c>
      <c r="C4216" s="1" t="s">
        <v>11817</v>
      </c>
      <c r="D4216" s="1" t="s">
        <v>11818</v>
      </c>
      <c r="E4216" s="7">
        <v>374</v>
      </c>
    </row>
    <row r="4217" spans="1:5" x14ac:dyDescent="0.25">
      <c r="A4217" s="5" t="s">
        <v>6</v>
      </c>
      <c r="B4217" s="5" t="s">
        <v>11819</v>
      </c>
      <c r="C4217" s="1" t="s">
        <v>11820</v>
      </c>
      <c r="D4217" s="1" t="s">
        <v>11815</v>
      </c>
      <c r="E4217" s="7">
        <v>203</v>
      </c>
    </row>
    <row r="4218" spans="1:5" x14ac:dyDescent="0.25">
      <c r="A4218" s="5" t="s">
        <v>6</v>
      </c>
      <c r="B4218" s="5" t="s">
        <v>11821</v>
      </c>
      <c r="C4218" s="1" t="s">
        <v>11822</v>
      </c>
      <c r="D4218" s="1" t="s">
        <v>11818</v>
      </c>
      <c r="E4218" s="7">
        <v>203</v>
      </c>
    </row>
    <row r="4219" spans="1:5" x14ac:dyDescent="0.25">
      <c r="A4219" s="5" t="s">
        <v>6</v>
      </c>
      <c r="B4219" s="5" t="s">
        <v>11823</v>
      </c>
      <c r="C4219" s="1" t="s">
        <v>11824</v>
      </c>
      <c r="D4219" s="1" t="s">
        <v>11825</v>
      </c>
      <c r="E4219" s="7">
        <v>394</v>
      </c>
    </row>
    <row r="4220" spans="1:5" x14ac:dyDescent="0.25">
      <c r="A4220" s="5" t="s">
        <v>6</v>
      </c>
      <c r="B4220" s="5" t="s">
        <v>11826</v>
      </c>
      <c r="C4220" s="1" t="s">
        <v>11827</v>
      </c>
      <c r="D4220" s="1" t="s">
        <v>11828</v>
      </c>
      <c r="E4220" s="7">
        <v>367</v>
      </c>
    </row>
    <row r="4221" spans="1:5" x14ac:dyDescent="0.25">
      <c r="A4221" s="5" t="s">
        <v>6</v>
      </c>
      <c r="B4221" s="5" t="s">
        <v>11829</v>
      </c>
      <c r="C4221" s="1" t="s">
        <v>11830</v>
      </c>
      <c r="D4221" s="1" t="s">
        <v>11831</v>
      </c>
      <c r="E4221" s="7">
        <v>249</v>
      </c>
    </row>
    <row r="4222" spans="1:5" x14ac:dyDescent="0.25">
      <c r="A4222" s="5" t="s">
        <v>6</v>
      </c>
      <c r="B4222" s="5" t="s">
        <v>11832</v>
      </c>
      <c r="C4222" s="1" t="s">
        <v>11833</v>
      </c>
      <c r="D4222" s="1" t="s">
        <v>11834</v>
      </c>
      <c r="E4222" s="7">
        <v>80</v>
      </c>
    </row>
    <row r="4223" spans="1:5" x14ac:dyDescent="0.25">
      <c r="A4223" s="5" t="s">
        <v>6</v>
      </c>
      <c r="B4223" s="5" t="s">
        <v>11835</v>
      </c>
      <c r="C4223" s="1" t="s">
        <v>11836</v>
      </c>
      <c r="D4223" s="1" t="s">
        <v>11837</v>
      </c>
      <c r="E4223" s="7">
        <v>502</v>
      </c>
    </row>
    <row r="4224" spans="1:5" x14ac:dyDescent="0.25">
      <c r="A4224" s="5" t="s">
        <v>6</v>
      </c>
      <c r="B4224" s="5" t="s">
        <v>11838</v>
      </c>
      <c r="C4224" s="1" t="s">
        <v>11839</v>
      </c>
      <c r="D4224" s="1" t="s">
        <v>11840</v>
      </c>
      <c r="E4224" s="7">
        <v>19</v>
      </c>
    </row>
    <row r="4225" spans="1:5" x14ac:dyDescent="0.25">
      <c r="A4225" s="5" t="s">
        <v>6</v>
      </c>
      <c r="B4225" s="5" t="s">
        <v>11841</v>
      </c>
      <c r="C4225" s="1" t="s">
        <v>11842</v>
      </c>
      <c r="D4225" s="1" t="s">
        <v>11843</v>
      </c>
      <c r="E4225" s="7">
        <v>56</v>
      </c>
    </row>
    <row r="4226" spans="1:5" x14ac:dyDescent="0.25">
      <c r="A4226" s="5" t="s">
        <v>6</v>
      </c>
      <c r="B4226" s="5" t="s">
        <v>11844</v>
      </c>
      <c r="C4226" s="1" t="s">
        <v>11845</v>
      </c>
      <c r="D4226" s="1" t="s">
        <v>11846</v>
      </c>
      <c r="E4226" s="7">
        <v>1232</v>
      </c>
    </row>
    <row r="4227" spans="1:5" x14ac:dyDescent="0.25">
      <c r="A4227" s="5" t="s">
        <v>6</v>
      </c>
      <c r="B4227" s="5" t="s">
        <v>11847</v>
      </c>
      <c r="C4227" s="1" t="s">
        <v>11848</v>
      </c>
      <c r="D4227" s="1" t="s">
        <v>11849</v>
      </c>
      <c r="E4227" s="7">
        <v>44</v>
      </c>
    </row>
    <row r="4228" spans="1:5" x14ac:dyDescent="0.25">
      <c r="A4228" s="5" t="s">
        <v>6</v>
      </c>
      <c r="B4228" s="5" t="s">
        <v>11850</v>
      </c>
      <c r="C4228" s="1" t="s">
        <v>11851</v>
      </c>
      <c r="D4228" s="1" t="s">
        <v>11852</v>
      </c>
      <c r="E4228" s="7">
        <v>37</v>
      </c>
    </row>
    <row r="4229" spans="1:5" x14ac:dyDescent="0.25">
      <c r="A4229" s="5" t="s">
        <v>6</v>
      </c>
      <c r="B4229" s="5" t="s">
        <v>11853</v>
      </c>
      <c r="C4229" s="1" t="s">
        <v>11854</v>
      </c>
      <c r="D4229" s="1" t="s">
        <v>11855</v>
      </c>
      <c r="E4229" s="7">
        <v>151</v>
      </c>
    </row>
    <row r="4230" spans="1:5" x14ac:dyDescent="0.25">
      <c r="A4230" s="5" t="s">
        <v>6</v>
      </c>
      <c r="B4230" s="5" t="s">
        <v>11856</v>
      </c>
      <c r="C4230" s="1" t="s">
        <v>11857</v>
      </c>
      <c r="D4230" s="1" t="s">
        <v>11858</v>
      </c>
      <c r="E4230" s="7">
        <v>30</v>
      </c>
    </row>
    <row r="4231" spans="1:5" x14ac:dyDescent="0.25">
      <c r="A4231" s="5" t="s">
        <v>6</v>
      </c>
      <c r="B4231" s="5" t="s">
        <v>11859</v>
      </c>
      <c r="C4231" s="1" t="s">
        <v>11860</v>
      </c>
      <c r="D4231" s="1" t="s">
        <v>11861</v>
      </c>
      <c r="E4231" s="7">
        <v>577</v>
      </c>
    </row>
    <row r="4232" spans="1:5" x14ac:dyDescent="0.25">
      <c r="A4232" s="5" t="s">
        <v>6</v>
      </c>
      <c r="B4232" s="5" t="s">
        <v>11862</v>
      </c>
      <c r="C4232" s="1" t="s">
        <v>11863</v>
      </c>
      <c r="D4232" s="1" t="s">
        <v>11864</v>
      </c>
      <c r="E4232" s="7">
        <v>942</v>
      </c>
    </row>
    <row r="4233" spans="1:5" x14ac:dyDescent="0.25">
      <c r="A4233" s="5" t="s">
        <v>6</v>
      </c>
      <c r="B4233" s="5" t="s">
        <v>11865</v>
      </c>
      <c r="C4233" s="1" t="s">
        <v>11866</v>
      </c>
      <c r="D4233" s="1" t="s">
        <v>11858</v>
      </c>
      <c r="E4233" s="7">
        <v>827</v>
      </c>
    </row>
    <row r="4234" spans="1:5" x14ac:dyDescent="0.25">
      <c r="A4234" s="5" t="s">
        <v>6</v>
      </c>
      <c r="B4234" s="5" t="s">
        <v>11867</v>
      </c>
      <c r="C4234" s="1" t="s">
        <v>11868</v>
      </c>
      <c r="D4234" s="1" t="s">
        <v>11869</v>
      </c>
      <c r="E4234" s="7">
        <v>102</v>
      </c>
    </row>
    <row r="4235" spans="1:5" x14ac:dyDescent="0.25">
      <c r="A4235" s="5" t="s">
        <v>6</v>
      </c>
      <c r="B4235" s="5" t="s">
        <v>11870</v>
      </c>
      <c r="C4235" s="1" t="s">
        <v>11871</v>
      </c>
      <c r="D4235" s="1" t="s">
        <v>11872</v>
      </c>
      <c r="E4235" s="7">
        <v>119</v>
      </c>
    </row>
    <row r="4236" spans="1:5" x14ac:dyDescent="0.25">
      <c r="A4236" s="5" t="s">
        <v>6</v>
      </c>
      <c r="B4236" s="5" t="s">
        <v>11873</v>
      </c>
      <c r="C4236" s="1" t="s">
        <v>11874</v>
      </c>
      <c r="D4236" s="1" t="s">
        <v>11875</v>
      </c>
      <c r="E4236" s="7">
        <v>192</v>
      </c>
    </row>
    <row r="4237" spans="1:5" x14ac:dyDescent="0.25">
      <c r="A4237" s="5" t="s">
        <v>6</v>
      </c>
      <c r="B4237" s="5" t="s">
        <v>11876</v>
      </c>
      <c r="C4237" s="1" t="s">
        <v>11877</v>
      </c>
      <c r="D4237" s="1" t="s">
        <v>11878</v>
      </c>
      <c r="E4237" s="7">
        <v>170</v>
      </c>
    </row>
    <row r="4238" spans="1:5" x14ac:dyDescent="0.25">
      <c r="A4238" s="5" t="s">
        <v>6</v>
      </c>
      <c r="B4238" s="5" t="s">
        <v>11879</v>
      </c>
      <c r="C4238" s="1" t="s">
        <v>11880</v>
      </c>
      <c r="D4238" s="1" t="s">
        <v>11881</v>
      </c>
      <c r="E4238" s="7">
        <v>67</v>
      </c>
    </row>
    <row r="4239" spans="1:5" x14ac:dyDescent="0.25">
      <c r="A4239" s="5" t="s">
        <v>6</v>
      </c>
      <c r="B4239" s="5" t="s">
        <v>11882</v>
      </c>
      <c r="C4239" s="1" t="s">
        <v>11883</v>
      </c>
      <c r="D4239" s="1" t="s">
        <v>11884</v>
      </c>
      <c r="E4239" s="7">
        <v>423</v>
      </c>
    </row>
    <row r="4240" spans="1:5" x14ac:dyDescent="0.25">
      <c r="A4240" s="5" t="s">
        <v>6</v>
      </c>
      <c r="B4240" s="5" t="s">
        <v>11885</v>
      </c>
      <c r="C4240" s="1" t="s">
        <v>11886</v>
      </c>
      <c r="D4240" s="1" t="s">
        <v>11887</v>
      </c>
      <c r="E4240" s="7">
        <v>237</v>
      </c>
    </row>
    <row r="4241" spans="1:5" x14ac:dyDescent="0.25">
      <c r="A4241" s="5" t="s">
        <v>6</v>
      </c>
      <c r="B4241" s="5" t="s">
        <v>11888</v>
      </c>
      <c r="C4241" s="1" t="s">
        <v>11889</v>
      </c>
      <c r="D4241" s="1" t="s">
        <v>11890</v>
      </c>
      <c r="E4241" s="7">
        <v>300</v>
      </c>
    </row>
    <row r="4242" spans="1:5" x14ac:dyDescent="0.25">
      <c r="A4242" s="5" t="s">
        <v>6</v>
      </c>
      <c r="B4242" s="5" t="s">
        <v>11891</v>
      </c>
      <c r="C4242" s="1" t="s">
        <v>11892</v>
      </c>
      <c r="D4242" s="1" t="s">
        <v>11893</v>
      </c>
      <c r="E4242" s="7">
        <v>294</v>
      </c>
    </row>
    <row r="4243" spans="1:5" x14ac:dyDescent="0.25">
      <c r="A4243" s="5" t="s">
        <v>6</v>
      </c>
      <c r="B4243" s="5" t="s">
        <v>11894</v>
      </c>
      <c r="C4243" s="1" t="s">
        <v>11895</v>
      </c>
      <c r="D4243" s="1" t="s">
        <v>11896</v>
      </c>
      <c r="E4243" s="7">
        <v>175</v>
      </c>
    </row>
    <row r="4244" spans="1:5" x14ac:dyDescent="0.25">
      <c r="A4244" s="5" t="s">
        <v>6</v>
      </c>
      <c r="B4244" s="5" t="s">
        <v>11897</v>
      </c>
      <c r="C4244" s="1" t="s">
        <v>11898</v>
      </c>
      <c r="D4244" s="1" t="s">
        <v>11899</v>
      </c>
      <c r="E4244" s="7">
        <v>258</v>
      </c>
    </row>
    <row r="4245" spans="1:5" x14ac:dyDescent="0.25">
      <c r="A4245" s="5" t="s">
        <v>6</v>
      </c>
      <c r="B4245" s="5" t="s">
        <v>11900</v>
      </c>
      <c r="C4245" s="1" t="s">
        <v>11901</v>
      </c>
      <c r="D4245" s="1" t="s">
        <v>11902</v>
      </c>
      <c r="E4245" s="7">
        <v>148</v>
      </c>
    </row>
    <row r="4246" spans="1:5" x14ac:dyDescent="0.25">
      <c r="A4246" s="5" t="s">
        <v>6</v>
      </c>
      <c r="B4246" s="5" t="s">
        <v>11903</v>
      </c>
      <c r="C4246" s="1" t="s">
        <v>11904</v>
      </c>
      <c r="D4246" s="1" t="s">
        <v>11905</v>
      </c>
      <c r="E4246" s="7">
        <v>308</v>
      </c>
    </row>
    <row r="4247" spans="1:5" x14ac:dyDescent="0.25">
      <c r="A4247" s="5" t="s">
        <v>6</v>
      </c>
      <c r="B4247" s="5" t="s">
        <v>11906</v>
      </c>
      <c r="C4247" s="1" t="s">
        <v>11907</v>
      </c>
      <c r="D4247" s="1" t="s">
        <v>11908</v>
      </c>
      <c r="E4247" s="7">
        <v>237</v>
      </c>
    </row>
    <row r="4248" spans="1:5" x14ac:dyDescent="0.25">
      <c r="A4248" s="5" t="s">
        <v>6</v>
      </c>
      <c r="B4248" s="5" t="s">
        <v>11909</v>
      </c>
      <c r="C4248" s="1" t="s">
        <v>11910</v>
      </c>
      <c r="D4248" s="1" t="s">
        <v>11911</v>
      </c>
      <c r="E4248" s="7">
        <v>190</v>
      </c>
    </row>
    <row r="4249" spans="1:5" x14ac:dyDescent="0.25">
      <c r="A4249" s="5" t="s">
        <v>6</v>
      </c>
      <c r="B4249" s="5" t="s">
        <v>11912</v>
      </c>
      <c r="C4249" s="1" t="s">
        <v>11913</v>
      </c>
      <c r="D4249" s="1" t="s">
        <v>11914</v>
      </c>
      <c r="E4249" s="7">
        <v>357</v>
      </c>
    </row>
    <row r="4250" spans="1:5" x14ac:dyDescent="0.25">
      <c r="A4250" s="5" t="s">
        <v>6</v>
      </c>
      <c r="B4250" s="5" t="s">
        <v>11915</v>
      </c>
      <c r="C4250" s="1" t="s">
        <v>11916</v>
      </c>
      <c r="D4250" s="1" t="s">
        <v>11917</v>
      </c>
      <c r="E4250" s="7">
        <v>92</v>
      </c>
    </row>
    <row r="4251" spans="1:5" x14ac:dyDescent="0.25">
      <c r="A4251" s="5" t="s">
        <v>6</v>
      </c>
      <c r="B4251" s="5" t="s">
        <v>11918</v>
      </c>
      <c r="C4251" s="1" t="s">
        <v>11919</v>
      </c>
      <c r="D4251" s="1" t="s">
        <v>11920</v>
      </c>
      <c r="E4251" s="7">
        <v>168</v>
      </c>
    </row>
    <row r="4252" spans="1:5" x14ac:dyDescent="0.25">
      <c r="A4252" s="5" t="s">
        <v>6</v>
      </c>
      <c r="B4252" s="5" t="s">
        <v>11921</v>
      </c>
      <c r="C4252" s="1" t="s">
        <v>11922</v>
      </c>
      <c r="D4252" s="1" t="s">
        <v>11923</v>
      </c>
      <c r="E4252" s="7">
        <v>227</v>
      </c>
    </row>
    <row r="4253" spans="1:5" x14ac:dyDescent="0.25">
      <c r="A4253" s="5" t="s">
        <v>6</v>
      </c>
      <c r="B4253" s="5" t="s">
        <v>11924</v>
      </c>
      <c r="C4253" s="1" t="s">
        <v>11925</v>
      </c>
      <c r="D4253" s="1" t="s">
        <v>11926</v>
      </c>
      <c r="E4253" s="7">
        <v>76</v>
      </c>
    </row>
    <row r="4254" spans="1:5" x14ac:dyDescent="0.25">
      <c r="A4254" s="5" t="s">
        <v>6</v>
      </c>
      <c r="B4254" s="5" t="s">
        <v>11927</v>
      </c>
      <c r="C4254" s="1" t="s">
        <v>11928</v>
      </c>
      <c r="D4254" s="1" t="s">
        <v>11929</v>
      </c>
      <c r="E4254" s="7">
        <v>41</v>
      </c>
    </row>
    <row r="4255" spans="1:5" x14ac:dyDescent="0.25">
      <c r="A4255" s="5" t="s">
        <v>6</v>
      </c>
      <c r="B4255" s="5" t="s">
        <v>11930</v>
      </c>
      <c r="C4255" s="1" t="s">
        <v>11931</v>
      </c>
      <c r="D4255" s="1" t="s">
        <v>11932</v>
      </c>
      <c r="E4255" s="7">
        <v>553</v>
      </c>
    </row>
    <row r="4256" spans="1:5" x14ac:dyDescent="0.25">
      <c r="A4256" s="5" t="s">
        <v>6</v>
      </c>
      <c r="B4256" s="5" t="s">
        <v>11933</v>
      </c>
      <c r="C4256" s="1" t="s">
        <v>11934</v>
      </c>
      <c r="D4256" s="1" t="s">
        <v>11935</v>
      </c>
      <c r="E4256" s="7">
        <v>1176</v>
      </c>
    </row>
    <row r="4257" spans="1:5" x14ac:dyDescent="0.25">
      <c r="A4257" s="5" t="s">
        <v>6</v>
      </c>
      <c r="B4257" s="5" t="s">
        <v>11936</v>
      </c>
      <c r="C4257" s="1" t="s">
        <v>11937</v>
      </c>
      <c r="D4257" s="1" t="s">
        <v>11938</v>
      </c>
      <c r="E4257" s="7">
        <v>224</v>
      </c>
    </row>
    <row r="4258" spans="1:5" x14ac:dyDescent="0.25">
      <c r="A4258" s="5" t="s">
        <v>6</v>
      </c>
      <c r="B4258" s="5" t="s">
        <v>11939</v>
      </c>
      <c r="C4258" s="1" t="s">
        <v>11940</v>
      </c>
      <c r="D4258" s="1" t="s">
        <v>11941</v>
      </c>
      <c r="E4258" s="7">
        <v>66</v>
      </c>
    </row>
    <row r="4259" spans="1:5" x14ac:dyDescent="0.25">
      <c r="A4259" s="5" t="s">
        <v>6</v>
      </c>
      <c r="B4259" s="5" t="s">
        <v>11942</v>
      </c>
      <c r="C4259" s="1" t="s">
        <v>11943</v>
      </c>
      <c r="D4259" s="1" t="s">
        <v>11944</v>
      </c>
      <c r="E4259" s="7">
        <v>189</v>
      </c>
    </row>
    <row r="4260" spans="1:5" x14ac:dyDescent="0.25">
      <c r="A4260" s="5" t="s">
        <v>6</v>
      </c>
      <c r="B4260" s="5" t="s">
        <v>11945</v>
      </c>
      <c r="C4260" s="1" t="s">
        <v>11946</v>
      </c>
      <c r="D4260" s="1" t="s">
        <v>11947</v>
      </c>
      <c r="E4260" s="7">
        <v>404</v>
      </c>
    </row>
    <row r="4261" spans="1:5" x14ac:dyDescent="0.25">
      <c r="A4261" s="5" t="s">
        <v>6</v>
      </c>
      <c r="B4261" s="5" t="s">
        <v>11948</v>
      </c>
      <c r="C4261" s="1" t="s">
        <v>11949</v>
      </c>
      <c r="D4261" s="1" t="s">
        <v>11944</v>
      </c>
      <c r="E4261" s="7">
        <v>270</v>
      </c>
    </row>
    <row r="4262" spans="1:5" x14ac:dyDescent="0.25">
      <c r="A4262" s="5" t="s">
        <v>6</v>
      </c>
      <c r="B4262" s="5" t="s">
        <v>11950</v>
      </c>
      <c r="C4262" s="1" t="s">
        <v>11951</v>
      </c>
      <c r="D4262" s="1" t="s">
        <v>11952</v>
      </c>
      <c r="E4262" s="7">
        <v>59</v>
      </c>
    </row>
    <row r="4263" spans="1:5" x14ac:dyDescent="0.25">
      <c r="A4263" s="5" t="s">
        <v>6</v>
      </c>
      <c r="B4263" s="5" t="s">
        <v>11953</v>
      </c>
      <c r="C4263" s="1" t="s">
        <v>11954</v>
      </c>
      <c r="D4263" s="1" t="s">
        <v>11955</v>
      </c>
      <c r="E4263" s="7">
        <v>231</v>
      </c>
    </row>
    <row r="4264" spans="1:5" x14ac:dyDescent="0.25">
      <c r="A4264" s="5" t="s">
        <v>6</v>
      </c>
      <c r="B4264" s="5" t="s">
        <v>11956</v>
      </c>
      <c r="C4264" s="1" t="s">
        <v>11957</v>
      </c>
      <c r="D4264" s="1" t="s">
        <v>11958</v>
      </c>
      <c r="E4264" s="7">
        <v>129</v>
      </c>
    </row>
    <row r="4265" spans="1:5" x14ac:dyDescent="0.25">
      <c r="A4265" s="5" t="s">
        <v>6</v>
      </c>
      <c r="B4265" s="5" t="s">
        <v>11959</v>
      </c>
      <c r="C4265" s="1" t="s">
        <v>11960</v>
      </c>
      <c r="D4265" s="1" t="s">
        <v>11961</v>
      </c>
      <c r="E4265" s="7">
        <v>160</v>
      </c>
    </row>
    <row r="4266" spans="1:5" x14ac:dyDescent="0.25">
      <c r="A4266" s="5" t="s">
        <v>6</v>
      </c>
      <c r="B4266" s="5" t="s">
        <v>11962</v>
      </c>
      <c r="C4266" s="1" t="s">
        <v>11963</v>
      </c>
      <c r="D4266" s="1" t="s">
        <v>11964</v>
      </c>
      <c r="E4266" s="7">
        <v>81</v>
      </c>
    </row>
    <row r="4267" spans="1:5" x14ac:dyDescent="0.25">
      <c r="A4267" s="5" t="s">
        <v>6</v>
      </c>
      <c r="B4267" s="5" t="s">
        <v>11965</v>
      </c>
      <c r="C4267" s="1" t="s">
        <v>11966</v>
      </c>
      <c r="D4267" s="1" t="s">
        <v>11967</v>
      </c>
      <c r="E4267" s="7">
        <v>175</v>
      </c>
    </row>
    <row r="4268" spans="1:5" x14ac:dyDescent="0.25">
      <c r="A4268" s="5" t="s">
        <v>6</v>
      </c>
      <c r="B4268" s="5" t="s">
        <v>11968</v>
      </c>
      <c r="C4268" s="1" t="s">
        <v>11969</v>
      </c>
      <c r="D4268" s="1" t="s">
        <v>11970</v>
      </c>
      <c r="E4268" s="7">
        <v>97</v>
      </c>
    </row>
    <row r="4269" spans="1:5" x14ac:dyDescent="0.25">
      <c r="A4269" s="5" t="s">
        <v>6</v>
      </c>
      <c r="B4269" s="5" t="s">
        <v>11971</v>
      </c>
      <c r="C4269" s="1" t="s">
        <v>11972</v>
      </c>
      <c r="D4269" s="1" t="s">
        <v>11973</v>
      </c>
      <c r="E4269" s="7">
        <v>133</v>
      </c>
    </row>
    <row r="4270" spans="1:5" x14ac:dyDescent="0.25">
      <c r="A4270" s="5" t="s">
        <v>6</v>
      </c>
      <c r="B4270" s="5" t="s">
        <v>11974</v>
      </c>
      <c r="C4270" s="1" t="s">
        <v>11975</v>
      </c>
      <c r="D4270" s="1" t="s">
        <v>11976</v>
      </c>
      <c r="E4270" s="7">
        <v>138</v>
      </c>
    </row>
    <row r="4271" spans="1:5" x14ac:dyDescent="0.25">
      <c r="A4271" s="5" t="s">
        <v>6</v>
      </c>
      <c r="B4271" s="5" t="s">
        <v>11977</v>
      </c>
      <c r="C4271" s="1" t="s">
        <v>11978</v>
      </c>
      <c r="D4271" s="1" t="s">
        <v>11979</v>
      </c>
      <c r="E4271" s="7">
        <v>17</v>
      </c>
    </row>
    <row r="4272" spans="1:5" x14ac:dyDescent="0.25">
      <c r="A4272" s="5" t="s">
        <v>6</v>
      </c>
      <c r="B4272" s="5" t="s">
        <v>11980</v>
      </c>
      <c r="C4272" s="1" t="s">
        <v>11981</v>
      </c>
      <c r="D4272" s="1" t="s">
        <v>11982</v>
      </c>
      <c r="E4272" s="7">
        <v>32</v>
      </c>
    </row>
    <row r="4273" spans="1:5" x14ac:dyDescent="0.25">
      <c r="A4273" s="5" t="s">
        <v>6</v>
      </c>
      <c r="B4273" s="5" t="s">
        <v>11983</v>
      </c>
      <c r="C4273" s="1" t="s">
        <v>11984</v>
      </c>
      <c r="D4273" s="1" t="s">
        <v>11985</v>
      </c>
      <c r="E4273" s="7">
        <v>2644</v>
      </c>
    </row>
    <row r="4274" spans="1:5" x14ac:dyDescent="0.25">
      <c r="A4274" s="5" t="s">
        <v>6</v>
      </c>
      <c r="B4274" s="5" t="s">
        <v>11986</v>
      </c>
      <c r="C4274" s="1" t="s">
        <v>11987</v>
      </c>
      <c r="D4274" s="1" t="s">
        <v>11988</v>
      </c>
      <c r="E4274" s="7">
        <v>2168</v>
      </c>
    </row>
    <row r="4275" spans="1:5" x14ac:dyDescent="0.25">
      <c r="A4275" s="5" t="s">
        <v>6</v>
      </c>
      <c r="B4275" s="5" t="s">
        <v>11989</v>
      </c>
      <c r="C4275" s="1" t="s">
        <v>11990</v>
      </c>
      <c r="D4275" s="1" t="s">
        <v>11991</v>
      </c>
      <c r="E4275" s="7">
        <v>470</v>
      </c>
    </row>
    <row r="4276" spans="1:5" x14ac:dyDescent="0.25">
      <c r="A4276" s="5" t="s">
        <v>6</v>
      </c>
      <c r="B4276" s="5" t="s">
        <v>11992</v>
      </c>
      <c r="C4276" s="1" t="s">
        <v>11993</v>
      </c>
      <c r="D4276" s="1" t="s">
        <v>11994</v>
      </c>
      <c r="E4276" s="7">
        <v>3791</v>
      </c>
    </row>
    <row r="4277" spans="1:5" x14ac:dyDescent="0.25">
      <c r="A4277" s="5" t="s">
        <v>6</v>
      </c>
      <c r="B4277" s="5" t="s">
        <v>11995</v>
      </c>
      <c r="C4277" s="1" t="s">
        <v>11996</v>
      </c>
      <c r="D4277" s="1" t="s">
        <v>11997</v>
      </c>
      <c r="E4277" s="7">
        <v>175</v>
      </c>
    </row>
    <row r="4278" spans="1:5" x14ac:dyDescent="0.25">
      <c r="A4278" s="5" t="s">
        <v>6</v>
      </c>
      <c r="B4278" s="5" t="s">
        <v>11998</v>
      </c>
      <c r="C4278" s="1" t="s">
        <v>11999</v>
      </c>
      <c r="D4278" s="1" t="s">
        <v>12000</v>
      </c>
      <c r="E4278" s="7">
        <v>180</v>
      </c>
    </row>
    <row r="4279" spans="1:5" x14ac:dyDescent="0.25">
      <c r="A4279" s="5" t="s">
        <v>6</v>
      </c>
      <c r="B4279" s="5" t="s">
        <v>12001</v>
      </c>
      <c r="C4279" s="1" t="s">
        <v>12002</v>
      </c>
      <c r="D4279" s="1" t="s">
        <v>12003</v>
      </c>
      <c r="E4279" s="7">
        <v>204</v>
      </c>
    </row>
    <row r="4280" spans="1:5" x14ac:dyDescent="0.25">
      <c r="A4280" s="5" t="s">
        <v>6</v>
      </c>
      <c r="B4280" s="5" t="s">
        <v>12004</v>
      </c>
      <c r="C4280" s="1" t="s">
        <v>12005</v>
      </c>
      <c r="D4280" s="1" t="s">
        <v>12006</v>
      </c>
      <c r="E4280" s="7">
        <v>437</v>
      </c>
    </row>
    <row r="4281" spans="1:5" x14ac:dyDescent="0.25">
      <c r="A4281" s="5" t="s">
        <v>6</v>
      </c>
      <c r="B4281" s="5" t="s">
        <v>12007</v>
      </c>
      <c r="C4281" s="1" t="s">
        <v>12008</v>
      </c>
      <c r="D4281" s="1" t="s">
        <v>12009</v>
      </c>
      <c r="E4281" s="7">
        <v>272</v>
      </c>
    </row>
    <row r="4282" spans="1:5" x14ac:dyDescent="0.25">
      <c r="A4282" s="5" t="s">
        <v>6</v>
      </c>
      <c r="B4282" s="5" t="s">
        <v>12010</v>
      </c>
      <c r="C4282" s="1" t="s">
        <v>12011</v>
      </c>
      <c r="D4282" s="1" t="s">
        <v>12012</v>
      </c>
      <c r="E4282" s="7">
        <v>303</v>
      </c>
    </row>
    <row r="4283" spans="1:5" x14ac:dyDescent="0.25">
      <c r="A4283" s="5" t="s">
        <v>6</v>
      </c>
      <c r="B4283" s="5" t="s">
        <v>12013</v>
      </c>
      <c r="C4283" s="1" t="s">
        <v>12014</v>
      </c>
      <c r="D4283" s="1" t="s">
        <v>12015</v>
      </c>
      <c r="E4283" s="7">
        <v>308</v>
      </c>
    </row>
    <row r="4284" spans="1:5" x14ac:dyDescent="0.25">
      <c r="A4284" s="5" t="s">
        <v>6</v>
      </c>
      <c r="B4284" s="5" t="s">
        <v>12016</v>
      </c>
      <c r="C4284" s="1" t="s">
        <v>12017</v>
      </c>
      <c r="D4284" s="1" t="s">
        <v>12018</v>
      </c>
      <c r="E4284" s="7">
        <v>423</v>
      </c>
    </row>
    <row r="4285" spans="1:5" x14ac:dyDescent="0.25">
      <c r="A4285" s="5" t="s">
        <v>6</v>
      </c>
      <c r="B4285" s="5" t="s">
        <v>12019</v>
      </c>
      <c r="C4285" s="1" t="s">
        <v>12020</v>
      </c>
      <c r="D4285" s="1" t="s">
        <v>12021</v>
      </c>
      <c r="E4285" s="7">
        <v>240</v>
      </c>
    </row>
    <row r="4286" spans="1:5" x14ac:dyDescent="0.25">
      <c r="A4286" s="5" t="s">
        <v>6</v>
      </c>
      <c r="B4286" s="5" t="s">
        <v>12022</v>
      </c>
      <c r="C4286" s="1" t="s">
        <v>12023</v>
      </c>
      <c r="D4286" s="1" t="s">
        <v>12024</v>
      </c>
      <c r="E4286" s="7">
        <v>423</v>
      </c>
    </row>
    <row r="4287" spans="1:5" x14ac:dyDescent="0.25">
      <c r="A4287" s="5" t="s">
        <v>6</v>
      </c>
      <c r="B4287" s="5" t="s">
        <v>12025</v>
      </c>
      <c r="C4287" s="1" t="s">
        <v>12026</v>
      </c>
      <c r="D4287" s="1" t="s">
        <v>12027</v>
      </c>
      <c r="E4287" s="7">
        <v>76</v>
      </c>
    </row>
    <row r="4288" spans="1:5" x14ac:dyDescent="0.25">
      <c r="A4288" s="5" t="s">
        <v>6</v>
      </c>
      <c r="B4288" s="5" t="s">
        <v>12028</v>
      </c>
      <c r="C4288" s="1" t="s">
        <v>12029</v>
      </c>
      <c r="D4288" s="1" t="s">
        <v>12030</v>
      </c>
      <c r="E4288" s="7">
        <v>65</v>
      </c>
    </row>
    <row r="4289" spans="1:5" x14ac:dyDescent="0.25">
      <c r="A4289" s="5" t="s">
        <v>6</v>
      </c>
      <c r="B4289" s="5" t="s">
        <v>12031</v>
      </c>
      <c r="C4289" s="1" t="s">
        <v>12032</v>
      </c>
      <c r="D4289" s="1" t="s">
        <v>12033</v>
      </c>
      <c r="E4289" s="7">
        <v>203</v>
      </c>
    </row>
    <row r="4290" spans="1:5" x14ac:dyDescent="0.25">
      <c r="A4290" s="5" t="s">
        <v>6</v>
      </c>
      <c r="B4290" s="5" t="s">
        <v>12034</v>
      </c>
      <c r="C4290" s="1" t="s">
        <v>12035</v>
      </c>
      <c r="D4290" s="1" t="s">
        <v>12036</v>
      </c>
      <c r="E4290" s="7">
        <v>1215</v>
      </c>
    </row>
    <row r="4291" spans="1:5" x14ac:dyDescent="0.25">
      <c r="A4291" s="5" t="s">
        <v>6</v>
      </c>
      <c r="B4291" s="5" t="s">
        <v>12037</v>
      </c>
      <c r="C4291" s="1" t="s">
        <v>12038</v>
      </c>
      <c r="D4291" s="1" t="s">
        <v>12039</v>
      </c>
      <c r="E4291" s="7">
        <v>1286</v>
      </c>
    </row>
    <row r="4292" spans="1:5" x14ac:dyDescent="0.25">
      <c r="A4292" s="5" t="s">
        <v>6</v>
      </c>
      <c r="B4292" s="5" t="s">
        <v>12040</v>
      </c>
      <c r="C4292" s="1" t="s">
        <v>12041</v>
      </c>
      <c r="D4292" s="1" t="s">
        <v>12042</v>
      </c>
      <c r="E4292" s="7">
        <v>497</v>
      </c>
    </row>
    <row r="4293" spans="1:5" x14ac:dyDescent="0.25">
      <c r="A4293" s="5" t="s">
        <v>6</v>
      </c>
      <c r="B4293" s="5" t="s">
        <v>12043</v>
      </c>
      <c r="C4293" s="1" t="s">
        <v>12044</v>
      </c>
      <c r="D4293" s="1" t="s">
        <v>12045</v>
      </c>
      <c r="E4293" s="7">
        <v>145</v>
      </c>
    </row>
    <row r="4294" spans="1:5" x14ac:dyDescent="0.25">
      <c r="A4294" s="5" t="s">
        <v>6</v>
      </c>
      <c r="B4294" s="5" t="s">
        <v>12046</v>
      </c>
      <c r="C4294" s="1" t="s">
        <v>12047</v>
      </c>
      <c r="D4294" s="1" t="s">
        <v>12048</v>
      </c>
      <c r="E4294" s="7">
        <v>68</v>
      </c>
    </row>
    <row r="4295" spans="1:5" x14ac:dyDescent="0.25">
      <c r="A4295" s="5" t="s">
        <v>6</v>
      </c>
      <c r="B4295" s="5" t="s">
        <v>12049</v>
      </c>
      <c r="C4295" s="1" t="s">
        <v>12050</v>
      </c>
      <c r="D4295" s="1" t="s">
        <v>12051</v>
      </c>
      <c r="E4295" s="7">
        <v>258</v>
      </c>
    </row>
    <row r="4296" spans="1:5" x14ac:dyDescent="0.25">
      <c r="A4296" s="5" t="s">
        <v>6</v>
      </c>
      <c r="B4296" s="5" t="s">
        <v>12052</v>
      </c>
      <c r="C4296" s="1" t="s">
        <v>12053</v>
      </c>
      <c r="D4296" s="1" t="s">
        <v>12054</v>
      </c>
      <c r="E4296" s="7">
        <v>38</v>
      </c>
    </row>
    <row r="4297" spans="1:5" x14ac:dyDescent="0.25">
      <c r="A4297" s="5" t="s">
        <v>6</v>
      </c>
      <c r="B4297" s="5" t="s">
        <v>12055</v>
      </c>
      <c r="C4297" s="1" t="s">
        <v>12056</v>
      </c>
      <c r="D4297" s="1" t="s">
        <v>12057</v>
      </c>
      <c r="E4297" s="7">
        <v>97</v>
      </c>
    </row>
    <row r="4298" spans="1:5" x14ac:dyDescent="0.25">
      <c r="A4298" s="5" t="s">
        <v>6</v>
      </c>
      <c r="B4298" s="5" t="s">
        <v>12058</v>
      </c>
      <c r="C4298" s="1" t="s">
        <v>12059</v>
      </c>
      <c r="D4298" s="1" t="s">
        <v>12060</v>
      </c>
      <c r="E4298" s="7">
        <v>145</v>
      </c>
    </row>
    <row r="4299" spans="1:5" x14ac:dyDescent="0.25">
      <c r="A4299" s="5" t="s">
        <v>6</v>
      </c>
      <c r="B4299" s="5" t="s">
        <v>12061</v>
      </c>
      <c r="C4299" s="1" t="s">
        <v>12062</v>
      </c>
      <c r="D4299" s="1" t="s">
        <v>12048</v>
      </c>
      <c r="E4299" s="7">
        <v>119</v>
      </c>
    </row>
    <row r="4300" spans="1:5" x14ac:dyDescent="0.25">
      <c r="A4300" s="5" t="s">
        <v>6</v>
      </c>
      <c r="B4300" s="5" t="s">
        <v>12063</v>
      </c>
      <c r="C4300" s="1" t="s">
        <v>12064</v>
      </c>
      <c r="D4300" s="1" t="s">
        <v>12048</v>
      </c>
      <c r="E4300" s="7">
        <v>189</v>
      </c>
    </row>
    <row r="4301" spans="1:5" x14ac:dyDescent="0.25">
      <c r="A4301" s="5" t="s">
        <v>6</v>
      </c>
      <c r="B4301" s="5" t="s">
        <v>12065</v>
      </c>
      <c r="C4301" s="1" t="s">
        <v>12066</v>
      </c>
      <c r="D4301" s="1" t="s">
        <v>12067</v>
      </c>
      <c r="E4301" s="7">
        <v>154</v>
      </c>
    </row>
    <row r="4302" spans="1:5" x14ac:dyDescent="0.25">
      <c r="A4302" s="5" t="s">
        <v>6</v>
      </c>
      <c r="B4302" s="5" t="s">
        <v>12068</v>
      </c>
      <c r="C4302" s="1" t="s">
        <v>12069</v>
      </c>
      <c r="D4302" s="1" t="s">
        <v>12070</v>
      </c>
      <c r="E4302" s="7">
        <v>129</v>
      </c>
    </row>
    <row r="4303" spans="1:5" x14ac:dyDescent="0.25">
      <c r="A4303" s="5" t="s">
        <v>6</v>
      </c>
      <c r="B4303" s="5" t="s">
        <v>12071</v>
      </c>
      <c r="C4303" s="1" t="s">
        <v>12072</v>
      </c>
      <c r="D4303" s="1" t="s">
        <v>12073</v>
      </c>
      <c r="E4303" s="7">
        <v>295</v>
      </c>
    </row>
    <row r="4304" spans="1:5" x14ac:dyDescent="0.25">
      <c r="A4304" s="5" t="s">
        <v>6</v>
      </c>
      <c r="B4304" s="5" t="s">
        <v>12074</v>
      </c>
      <c r="C4304" s="1" t="s">
        <v>12075</v>
      </c>
      <c r="D4304" s="1" t="s">
        <v>12076</v>
      </c>
      <c r="E4304" s="7">
        <v>60</v>
      </c>
    </row>
    <row r="4305" spans="1:5" x14ac:dyDescent="0.25">
      <c r="A4305" s="5" t="s">
        <v>6</v>
      </c>
      <c r="B4305" s="5" t="s">
        <v>12077</v>
      </c>
      <c r="C4305" s="1" t="s">
        <v>12078</v>
      </c>
      <c r="D4305" s="1" t="s">
        <v>12079</v>
      </c>
      <c r="E4305" s="7">
        <v>284</v>
      </c>
    </row>
    <row r="4306" spans="1:5" x14ac:dyDescent="0.25">
      <c r="A4306" s="5" t="s">
        <v>6</v>
      </c>
      <c r="B4306" s="5" t="s">
        <v>12080</v>
      </c>
      <c r="C4306" s="1" t="s">
        <v>12081</v>
      </c>
      <c r="D4306" s="1" t="s">
        <v>12082</v>
      </c>
      <c r="E4306" s="7">
        <v>145</v>
      </c>
    </row>
    <row r="4307" spans="1:5" x14ac:dyDescent="0.25">
      <c r="A4307" s="5" t="s">
        <v>6</v>
      </c>
      <c r="B4307" s="5" t="s">
        <v>12083</v>
      </c>
      <c r="C4307" s="1" t="s">
        <v>12084</v>
      </c>
      <c r="D4307" s="1" t="s">
        <v>12085</v>
      </c>
      <c r="E4307" s="7">
        <v>186</v>
      </c>
    </row>
    <row r="4308" spans="1:5" x14ac:dyDescent="0.25">
      <c r="A4308" s="5" t="s">
        <v>6</v>
      </c>
      <c r="B4308" s="5" t="s">
        <v>12086</v>
      </c>
      <c r="C4308" s="1" t="s">
        <v>12087</v>
      </c>
      <c r="D4308" s="1" t="s">
        <v>12088</v>
      </c>
      <c r="E4308" s="7">
        <v>41</v>
      </c>
    </row>
    <row r="4309" spans="1:5" x14ac:dyDescent="0.25">
      <c r="A4309" s="5" t="s">
        <v>6</v>
      </c>
      <c r="B4309" s="5" t="s">
        <v>12089</v>
      </c>
      <c r="C4309" s="1" t="s">
        <v>12090</v>
      </c>
      <c r="D4309" s="1" t="s">
        <v>12091</v>
      </c>
      <c r="E4309" s="7">
        <v>124</v>
      </c>
    </row>
    <row r="4310" spans="1:5" x14ac:dyDescent="0.25">
      <c r="A4310" s="5" t="s">
        <v>6</v>
      </c>
      <c r="B4310" s="5" t="s">
        <v>12092</v>
      </c>
      <c r="C4310" s="1" t="s">
        <v>12093</v>
      </c>
      <c r="D4310" s="1" t="s">
        <v>12094</v>
      </c>
      <c r="E4310" s="7">
        <v>125</v>
      </c>
    </row>
    <row r="4311" spans="1:5" x14ac:dyDescent="0.25">
      <c r="A4311" s="5" t="s">
        <v>6</v>
      </c>
      <c r="B4311" s="5" t="s">
        <v>12095</v>
      </c>
      <c r="C4311" s="1" t="s">
        <v>12096</v>
      </c>
      <c r="D4311" s="1" t="s">
        <v>12097</v>
      </c>
      <c r="E4311" s="7">
        <v>183</v>
      </c>
    </row>
    <row r="4312" spans="1:5" x14ac:dyDescent="0.25">
      <c r="A4312" s="5" t="s">
        <v>6</v>
      </c>
      <c r="B4312" s="5" t="s">
        <v>12098</v>
      </c>
      <c r="C4312" s="1" t="s">
        <v>12099</v>
      </c>
      <c r="D4312" s="1" t="s">
        <v>12100</v>
      </c>
      <c r="E4312" s="7">
        <v>179</v>
      </c>
    </row>
    <row r="4313" spans="1:5" x14ac:dyDescent="0.25">
      <c r="A4313" s="5" t="s">
        <v>6</v>
      </c>
      <c r="B4313" s="5" t="s">
        <v>12101</v>
      </c>
      <c r="C4313" s="1" t="s">
        <v>12102</v>
      </c>
      <c r="D4313" s="1" t="s">
        <v>12094</v>
      </c>
      <c r="E4313" s="7">
        <v>976</v>
      </c>
    </row>
    <row r="4314" spans="1:5" x14ac:dyDescent="0.25">
      <c r="A4314" s="5" t="s">
        <v>6</v>
      </c>
      <c r="B4314" s="5" t="s">
        <v>12103</v>
      </c>
      <c r="C4314" s="1" t="s">
        <v>12104</v>
      </c>
      <c r="D4314" s="1" t="s">
        <v>12105</v>
      </c>
      <c r="E4314" s="7">
        <v>94</v>
      </c>
    </row>
    <row r="4315" spans="1:5" x14ac:dyDescent="0.25">
      <c r="A4315" s="5" t="s">
        <v>6</v>
      </c>
      <c r="B4315" s="5" t="s">
        <v>12106</v>
      </c>
      <c r="C4315" s="1" t="s">
        <v>12107</v>
      </c>
      <c r="D4315" s="1" t="s">
        <v>12108</v>
      </c>
      <c r="E4315" s="7">
        <v>401</v>
      </c>
    </row>
    <row r="4316" spans="1:5" x14ac:dyDescent="0.25">
      <c r="A4316" s="5" t="s">
        <v>6</v>
      </c>
      <c r="B4316" s="5" t="s">
        <v>12109</v>
      </c>
      <c r="C4316" s="1" t="s">
        <v>12110</v>
      </c>
      <c r="D4316" s="1" t="s">
        <v>12111</v>
      </c>
      <c r="E4316" s="7">
        <v>30</v>
      </c>
    </row>
    <row r="4317" spans="1:5" x14ac:dyDescent="0.25">
      <c r="A4317" s="5" t="s">
        <v>6</v>
      </c>
      <c r="B4317" s="5" t="s">
        <v>12112</v>
      </c>
      <c r="C4317" s="1" t="s">
        <v>12113</v>
      </c>
      <c r="D4317" s="1" t="s">
        <v>12114</v>
      </c>
      <c r="E4317" s="7">
        <v>10</v>
      </c>
    </row>
    <row r="4318" spans="1:5" x14ac:dyDescent="0.25">
      <c r="A4318" s="5" t="s">
        <v>6</v>
      </c>
      <c r="B4318" s="5" t="s">
        <v>12115</v>
      </c>
      <c r="C4318" s="1" t="s">
        <v>12116</v>
      </c>
      <c r="D4318" s="1" t="s">
        <v>12117</v>
      </c>
      <c r="E4318" s="7">
        <v>15</v>
      </c>
    </row>
    <row r="4319" spans="1:5" x14ac:dyDescent="0.25">
      <c r="A4319" s="5" t="s">
        <v>6</v>
      </c>
      <c r="B4319" s="5" t="s">
        <v>12118</v>
      </c>
      <c r="C4319" s="1" t="s">
        <v>12119</v>
      </c>
      <c r="D4319" s="1" t="s">
        <v>12120</v>
      </c>
      <c r="E4319" s="7">
        <v>91</v>
      </c>
    </row>
    <row r="4320" spans="1:5" x14ac:dyDescent="0.25">
      <c r="A4320" s="5" t="s">
        <v>6</v>
      </c>
      <c r="B4320" s="5" t="s">
        <v>12121</v>
      </c>
      <c r="C4320" s="1" t="s">
        <v>12122</v>
      </c>
      <c r="D4320" s="1" t="s">
        <v>12123</v>
      </c>
      <c r="E4320" s="7">
        <v>70</v>
      </c>
    </row>
    <row r="4321" spans="1:5" x14ac:dyDescent="0.25">
      <c r="A4321" s="5" t="s">
        <v>6</v>
      </c>
      <c r="B4321" s="5" t="s">
        <v>12124</v>
      </c>
      <c r="C4321" s="1" t="s">
        <v>12125</v>
      </c>
      <c r="D4321" s="1" t="s">
        <v>12126</v>
      </c>
      <c r="E4321" s="7">
        <v>40</v>
      </c>
    </row>
    <row r="4322" spans="1:5" x14ac:dyDescent="0.25">
      <c r="A4322" s="5" t="s">
        <v>6</v>
      </c>
      <c r="B4322" s="5" t="s">
        <v>12127</v>
      </c>
      <c r="C4322" s="1" t="s">
        <v>12128</v>
      </c>
      <c r="D4322" s="1" t="s">
        <v>12129</v>
      </c>
      <c r="E4322" s="7">
        <v>224</v>
      </c>
    </row>
    <row r="4323" spans="1:5" x14ac:dyDescent="0.25">
      <c r="A4323" s="5" t="s">
        <v>6</v>
      </c>
      <c r="B4323" s="5" t="s">
        <v>12130</v>
      </c>
      <c r="C4323" s="1" t="s">
        <v>12131</v>
      </c>
      <c r="D4323" s="1" t="s">
        <v>12132</v>
      </c>
      <c r="E4323" s="7">
        <v>322</v>
      </c>
    </row>
    <row r="4324" spans="1:5" x14ac:dyDescent="0.25">
      <c r="A4324" s="5" t="s">
        <v>6</v>
      </c>
      <c r="B4324" s="5" t="s">
        <v>12133</v>
      </c>
      <c r="C4324" s="1" t="s">
        <v>12134</v>
      </c>
      <c r="D4324" s="1" t="s">
        <v>12135</v>
      </c>
      <c r="E4324" s="7">
        <v>308</v>
      </c>
    </row>
    <row r="4325" spans="1:5" x14ac:dyDescent="0.25">
      <c r="A4325" s="5" t="s">
        <v>6</v>
      </c>
      <c r="B4325" s="5" t="s">
        <v>12136</v>
      </c>
      <c r="C4325" s="1" t="s">
        <v>12137</v>
      </c>
      <c r="D4325" s="1" t="s">
        <v>12138</v>
      </c>
      <c r="E4325" s="7">
        <v>33</v>
      </c>
    </row>
    <row r="4326" spans="1:5" x14ac:dyDescent="0.25">
      <c r="A4326" s="5" t="s">
        <v>6</v>
      </c>
      <c r="B4326" s="5" t="s">
        <v>12139</v>
      </c>
      <c r="C4326" s="1" t="s">
        <v>12140</v>
      </c>
      <c r="D4326" s="1" t="s">
        <v>12141</v>
      </c>
      <c r="E4326" s="7">
        <v>156</v>
      </c>
    </row>
    <row r="4327" spans="1:5" x14ac:dyDescent="0.25">
      <c r="A4327" s="5" t="s">
        <v>6</v>
      </c>
      <c r="B4327" s="5" t="s">
        <v>12142</v>
      </c>
      <c r="C4327" s="1" t="s">
        <v>12143</v>
      </c>
      <c r="D4327" s="1" t="s">
        <v>12144</v>
      </c>
      <c r="E4327" s="7">
        <v>40</v>
      </c>
    </row>
    <row r="4328" spans="1:5" x14ac:dyDescent="0.25">
      <c r="A4328" s="5" t="s">
        <v>6</v>
      </c>
      <c r="B4328" s="5" t="s">
        <v>12145</v>
      </c>
      <c r="C4328" s="1" t="s">
        <v>12146</v>
      </c>
      <c r="D4328" s="1" t="s">
        <v>12147</v>
      </c>
      <c r="E4328" s="7">
        <v>2706</v>
      </c>
    </row>
    <row r="4329" spans="1:5" x14ac:dyDescent="0.25">
      <c r="A4329" s="5" t="s">
        <v>6</v>
      </c>
      <c r="B4329" s="5" t="s">
        <v>12148</v>
      </c>
      <c r="C4329" s="1" t="s">
        <v>12149</v>
      </c>
      <c r="D4329" s="1" t="s">
        <v>12150</v>
      </c>
      <c r="E4329" s="7">
        <v>6429</v>
      </c>
    </row>
    <row r="4330" spans="1:5" x14ac:dyDescent="0.25">
      <c r="A4330" s="5" t="s">
        <v>6</v>
      </c>
      <c r="B4330" s="5" t="s">
        <v>12151</v>
      </c>
      <c r="C4330" s="1" t="s">
        <v>12152</v>
      </c>
      <c r="D4330" s="1" t="s">
        <v>12153</v>
      </c>
      <c r="E4330" s="7">
        <v>55</v>
      </c>
    </row>
    <row r="4331" spans="1:5" x14ac:dyDescent="0.25">
      <c r="A4331" s="5" t="s">
        <v>6</v>
      </c>
      <c r="B4331" s="5" t="s">
        <v>12154</v>
      </c>
      <c r="C4331" s="1" t="s">
        <v>12155</v>
      </c>
      <c r="D4331" s="1" t="s">
        <v>12156</v>
      </c>
      <c r="E4331" s="7">
        <v>70</v>
      </c>
    </row>
    <row r="4332" spans="1:5" x14ac:dyDescent="0.25">
      <c r="A4332" s="5" t="s">
        <v>6</v>
      </c>
      <c r="B4332" s="5" t="s">
        <v>12157</v>
      </c>
      <c r="C4332" s="1" t="s">
        <v>12158</v>
      </c>
      <c r="D4332" s="1" t="s">
        <v>12159</v>
      </c>
      <c r="E4332" s="7">
        <v>215</v>
      </c>
    </row>
    <row r="4333" spans="1:5" x14ac:dyDescent="0.25">
      <c r="A4333" s="5" t="s">
        <v>6</v>
      </c>
      <c r="B4333" s="5" t="s">
        <v>12160</v>
      </c>
      <c r="C4333" s="1" t="s">
        <v>12161</v>
      </c>
      <c r="D4333" s="1" t="s">
        <v>12162</v>
      </c>
      <c r="E4333" s="7">
        <v>417</v>
      </c>
    </row>
    <row r="4334" spans="1:5" x14ac:dyDescent="0.25">
      <c r="A4334" s="5" t="s">
        <v>6</v>
      </c>
      <c r="B4334" s="5" t="s">
        <v>12163</v>
      </c>
      <c r="C4334" s="1" t="s">
        <v>12164</v>
      </c>
      <c r="D4334" s="1" t="s">
        <v>12165</v>
      </c>
      <c r="E4334" s="7">
        <v>715</v>
      </c>
    </row>
    <row r="4335" spans="1:5" x14ac:dyDescent="0.25">
      <c r="A4335" s="5" t="s">
        <v>6</v>
      </c>
      <c r="B4335" s="5" t="s">
        <v>12166</v>
      </c>
      <c r="C4335" s="1" t="s">
        <v>12167</v>
      </c>
      <c r="D4335" s="1" t="s">
        <v>12168</v>
      </c>
      <c r="E4335" s="7">
        <v>46</v>
      </c>
    </row>
    <row r="4336" spans="1:5" x14ac:dyDescent="0.25">
      <c r="A4336" s="5" t="s">
        <v>6</v>
      </c>
      <c r="B4336" s="5" t="s">
        <v>12169</v>
      </c>
      <c r="C4336" s="1" t="s">
        <v>12170</v>
      </c>
      <c r="D4336" s="1" t="s">
        <v>12171</v>
      </c>
      <c r="E4336" s="7">
        <v>192</v>
      </c>
    </row>
    <row r="4337" spans="1:5" x14ac:dyDescent="0.25">
      <c r="A4337" s="5" t="s">
        <v>6</v>
      </c>
      <c r="B4337" s="5" t="s">
        <v>12172</v>
      </c>
      <c r="C4337" s="1" t="s">
        <v>12173</v>
      </c>
      <c r="D4337" s="1" t="s">
        <v>12174</v>
      </c>
      <c r="E4337" s="7">
        <v>129</v>
      </c>
    </row>
    <row r="4338" spans="1:5" x14ac:dyDescent="0.25">
      <c r="A4338" s="5" t="s">
        <v>6</v>
      </c>
      <c r="B4338" s="5" t="s">
        <v>12175</v>
      </c>
      <c r="C4338" s="1" t="s">
        <v>12176</v>
      </c>
      <c r="D4338" s="1" t="s">
        <v>12177</v>
      </c>
      <c r="E4338" s="7">
        <v>102</v>
      </c>
    </row>
    <row r="4339" spans="1:5" x14ac:dyDescent="0.25">
      <c r="A4339" s="5" t="s">
        <v>6</v>
      </c>
      <c r="B4339" s="5" t="s">
        <v>12178</v>
      </c>
      <c r="C4339" s="1" t="s">
        <v>12179</v>
      </c>
      <c r="D4339" s="1" t="s">
        <v>12180</v>
      </c>
      <c r="E4339" s="7">
        <v>28</v>
      </c>
    </row>
    <row r="4340" spans="1:5" x14ac:dyDescent="0.25">
      <c r="A4340" s="5" t="s">
        <v>6</v>
      </c>
      <c r="B4340" s="5" t="s">
        <v>12181</v>
      </c>
      <c r="C4340" s="1" t="s">
        <v>12182</v>
      </c>
      <c r="D4340" s="1" t="s">
        <v>12183</v>
      </c>
      <c r="E4340" s="7">
        <v>125</v>
      </c>
    </row>
    <row r="4341" spans="1:5" x14ac:dyDescent="0.25">
      <c r="A4341" s="5" t="s">
        <v>6</v>
      </c>
      <c r="B4341" s="5" t="s">
        <v>12184</v>
      </c>
      <c r="C4341" s="1" t="s">
        <v>12185</v>
      </c>
      <c r="D4341" s="1" t="s">
        <v>12186</v>
      </c>
      <c r="E4341" s="7">
        <v>131</v>
      </c>
    </row>
    <row r="4342" spans="1:5" x14ac:dyDescent="0.25">
      <c r="A4342" s="5" t="s">
        <v>6</v>
      </c>
      <c r="B4342" s="5" t="s">
        <v>12187</v>
      </c>
      <c r="C4342" s="1" t="s">
        <v>12188</v>
      </c>
      <c r="D4342" s="1" t="s">
        <v>12189</v>
      </c>
      <c r="E4342" s="7">
        <v>133</v>
      </c>
    </row>
    <row r="4343" spans="1:5" x14ac:dyDescent="0.25">
      <c r="A4343" s="5" t="s">
        <v>6</v>
      </c>
      <c r="B4343" s="5" t="s">
        <v>12190</v>
      </c>
      <c r="C4343" s="1" t="s">
        <v>12191</v>
      </c>
      <c r="D4343" s="1" t="s">
        <v>12192</v>
      </c>
      <c r="E4343" s="7">
        <v>136</v>
      </c>
    </row>
    <row r="4344" spans="1:5" x14ac:dyDescent="0.25">
      <c r="A4344" s="5" t="s">
        <v>6</v>
      </c>
      <c r="B4344" s="5" t="s">
        <v>12193</v>
      </c>
      <c r="C4344" s="1" t="s">
        <v>12194</v>
      </c>
      <c r="D4344" s="1" t="s">
        <v>12195</v>
      </c>
      <c r="E4344" s="7">
        <v>52</v>
      </c>
    </row>
    <row r="4345" spans="1:5" x14ac:dyDescent="0.25">
      <c r="A4345" s="5" t="s">
        <v>6</v>
      </c>
      <c r="B4345" s="5" t="s">
        <v>12196</v>
      </c>
      <c r="C4345" s="1" t="s">
        <v>12197</v>
      </c>
      <c r="D4345" s="1" t="s">
        <v>12198</v>
      </c>
      <c r="E4345" s="7">
        <v>68</v>
      </c>
    </row>
    <row r="4346" spans="1:5" x14ac:dyDescent="0.25">
      <c r="A4346" s="5" t="s">
        <v>6</v>
      </c>
      <c r="B4346" s="5" t="s">
        <v>12199</v>
      </c>
      <c r="C4346" s="1" t="s">
        <v>12200</v>
      </c>
      <c r="D4346" s="1" t="s">
        <v>12201</v>
      </c>
      <c r="E4346" s="7">
        <v>68</v>
      </c>
    </row>
    <row r="4347" spans="1:5" x14ac:dyDescent="0.25">
      <c r="A4347" s="5" t="s">
        <v>6</v>
      </c>
      <c r="B4347" s="5" t="s">
        <v>12202</v>
      </c>
      <c r="C4347" s="1" t="s">
        <v>12203</v>
      </c>
      <c r="D4347" s="1" t="s">
        <v>12204</v>
      </c>
      <c r="E4347" s="7">
        <v>68</v>
      </c>
    </row>
    <row r="4348" spans="1:5" x14ac:dyDescent="0.25">
      <c r="A4348" s="5" t="s">
        <v>6</v>
      </c>
      <c r="B4348" s="5" t="s">
        <v>12205</v>
      </c>
      <c r="C4348" s="1" t="s">
        <v>12206</v>
      </c>
      <c r="D4348" s="1" t="s">
        <v>12207</v>
      </c>
      <c r="E4348" s="7">
        <v>70</v>
      </c>
    </row>
    <row r="4349" spans="1:5" x14ac:dyDescent="0.25">
      <c r="A4349" s="5" t="s">
        <v>6</v>
      </c>
      <c r="B4349" s="5" t="s">
        <v>12208</v>
      </c>
      <c r="C4349" s="1" t="s">
        <v>12209</v>
      </c>
      <c r="D4349" s="1" t="s">
        <v>12210</v>
      </c>
      <c r="E4349" s="7">
        <v>183</v>
      </c>
    </row>
    <row r="4350" spans="1:5" x14ac:dyDescent="0.25">
      <c r="A4350" s="5" t="s">
        <v>6</v>
      </c>
      <c r="B4350" s="5" t="s">
        <v>12211</v>
      </c>
      <c r="C4350" s="1" t="s">
        <v>12212</v>
      </c>
      <c r="D4350" s="1" t="s">
        <v>12213</v>
      </c>
      <c r="E4350" s="7">
        <v>73</v>
      </c>
    </row>
    <row r="4351" spans="1:5" x14ac:dyDescent="0.25">
      <c r="A4351" s="5" t="s">
        <v>6</v>
      </c>
      <c r="B4351" s="5" t="s">
        <v>12214</v>
      </c>
      <c r="C4351" s="1" t="s">
        <v>12215</v>
      </c>
      <c r="D4351" s="1" t="s">
        <v>12216</v>
      </c>
      <c r="E4351" s="7">
        <v>199</v>
      </c>
    </row>
    <row r="4352" spans="1:5" x14ac:dyDescent="0.25">
      <c r="A4352" s="5" t="s">
        <v>6</v>
      </c>
      <c r="B4352" s="5" t="s">
        <v>12217</v>
      </c>
      <c r="C4352" s="1" t="s">
        <v>12218</v>
      </c>
      <c r="D4352" s="1" t="s">
        <v>12219</v>
      </c>
      <c r="E4352" s="7">
        <v>336</v>
      </c>
    </row>
    <row r="4353" spans="1:5" x14ac:dyDescent="0.25">
      <c r="A4353" s="5" t="s">
        <v>6</v>
      </c>
      <c r="B4353" s="5" t="s">
        <v>12220</v>
      </c>
      <c r="C4353" s="1" t="s">
        <v>12221</v>
      </c>
      <c r="D4353" s="1" t="s">
        <v>12222</v>
      </c>
      <c r="E4353" s="7">
        <v>300</v>
      </c>
    </row>
    <row r="4354" spans="1:5" x14ac:dyDescent="0.25">
      <c r="A4354" s="5" t="s">
        <v>6</v>
      </c>
      <c r="B4354" s="5" t="s">
        <v>12223</v>
      </c>
      <c r="C4354" s="1" t="s">
        <v>12224</v>
      </c>
      <c r="D4354" s="1" t="s">
        <v>12225</v>
      </c>
      <c r="E4354" s="7">
        <v>325</v>
      </c>
    </row>
    <row r="4355" spans="1:5" x14ac:dyDescent="0.25">
      <c r="A4355" s="5" t="s">
        <v>6</v>
      </c>
      <c r="B4355" s="5" t="s">
        <v>12226</v>
      </c>
      <c r="C4355" s="1" t="s">
        <v>12227</v>
      </c>
      <c r="D4355" s="1" t="s">
        <v>12228</v>
      </c>
      <c r="E4355" s="7">
        <v>30</v>
      </c>
    </row>
    <row r="4356" spans="1:5" x14ac:dyDescent="0.25">
      <c r="A4356" s="5" t="s">
        <v>6</v>
      </c>
      <c r="B4356" s="5" t="s">
        <v>12229</v>
      </c>
      <c r="C4356" s="1" t="s">
        <v>12230</v>
      </c>
      <c r="D4356" s="1" t="s">
        <v>12231</v>
      </c>
      <c r="E4356" s="7">
        <v>557</v>
      </c>
    </row>
    <row r="4357" spans="1:5" x14ac:dyDescent="0.25">
      <c r="A4357" s="5" t="s">
        <v>6</v>
      </c>
      <c r="B4357" s="5" t="s">
        <v>12232</v>
      </c>
      <c r="C4357" s="1" t="s">
        <v>12233</v>
      </c>
      <c r="D4357" s="1" t="s">
        <v>12234</v>
      </c>
      <c r="E4357" s="7">
        <v>374</v>
      </c>
    </row>
    <row r="4358" spans="1:5" x14ac:dyDescent="0.25">
      <c r="A4358" s="5" t="s">
        <v>6</v>
      </c>
      <c r="B4358" s="5" t="s">
        <v>12235</v>
      </c>
      <c r="C4358" s="1" t="s">
        <v>12236</v>
      </c>
      <c r="D4358" s="1" t="s">
        <v>12237</v>
      </c>
      <c r="E4358" s="7">
        <v>133</v>
      </c>
    </row>
    <row r="4359" spans="1:5" x14ac:dyDescent="0.25">
      <c r="A4359" s="5" t="s">
        <v>6</v>
      </c>
      <c r="B4359" s="5" t="s">
        <v>12238</v>
      </c>
      <c r="C4359" s="1" t="s">
        <v>12239</v>
      </c>
      <c r="D4359" s="1" t="s">
        <v>12240</v>
      </c>
      <c r="E4359" s="7">
        <v>323</v>
      </c>
    </row>
    <row r="4360" spans="1:5" x14ac:dyDescent="0.25">
      <c r="A4360" s="5" t="s">
        <v>6</v>
      </c>
      <c r="B4360" s="5" t="s">
        <v>12241</v>
      </c>
      <c r="C4360" s="1" t="s">
        <v>12242</v>
      </c>
      <c r="D4360" s="1" t="s">
        <v>12243</v>
      </c>
      <c r="E4360" s="7">
        <v>187</v>
      </c>
    </row>
    <row r="4361" spans="1:5" x14ac:dyDescent="0.25">
      <c r="A4361" s="5" t="s">
        <v>6</v>
      </c>
      <c r="B4361" s="5" t="s">
        <v>12244</v>
      </c>
      <c r="C4361" s="1" t="s">
        <v>12245</v>
      </c>
      <c r="D4361" s="1" t="s">
        <v>12246</v>
      </c>
      <c r="E4361" s="7">
        <v>28</v>
      </c>
    </row>
    <row r="4362" spans="1:5" x14ac:dyDescent="0.25">
      <c r="A4362" s="5" t="s">
        <v>6</v>
      </c>
      <c r="B4362" s="5" t="s">
        <v>12247</v>
      </c>
      <c r="C4362" s="1" t="s">
        <v>12248</v>
      </c>
      <c r="D4362" s="1" t="s">
        <v>12249</v>
      </c>
      <c r="E4362" s="7">
        <v>2</v>
      </c>
    </row>
    <row r="4363" spans="1:5" x14ac:dyDescent="0.25">
      <c r="A4363" s="5" t="s">
        <v>6</v>
      </c>
      <c r="B4363" s="5" t="s">
        <v>12250</v>
      </c>
      <c r="C4363" s="1" t="s">
        <v>12251</v>
      </c>
      <c r="D4363" s="1" t="s">
        <v>12252</v>
      </c>
      <c r="E4363" s="7">
        <v>102</v>
      </c>
    </row>
    <row r="4364" spans="1:5" x14ac:dyDescent="0.25">
      <c r="A4364" s="5" t="s">
        <v>6</v>
      </c>
      <c r="B4364" s="5" t="s">
        <v>12253</v>
      </c>
      <c r="C4364" s="1" t="s">
        <v>12254</v>
      </c>
      <c r="D4364" s="1" t="s">
        <v>12255</v>
      </c>
      <c r="E4364" s="7">
        <v>38</v>
      </c>
    </row>
    <row r="4365" spans="1:5" x14ac:dyDescent="0.25">
      <c r="A4365" s="5" t="s">
        <v>6</v>
      </c>
      <c r="B4365" s="5" t="s">
        <v>12256</v>
      </c>
      <c r="C4365" s="1" t="s">
        <v>12257</v>
      </c>
      <c r="D4365" s="1" t="s">
        <v>12258</v>
      </c>
      <c r="E4365" s="7">
        <v>217</v>
      </c>
    </row>
    <row r="4366" spans="1:5" x14ac:dyDescent="0.25">
      <c r="A4366" s="5" t="s">
        <v>6</v>
      </c>
      <c r="B4366" s="5" t="s">
        <v>12259</v>
      </c>
      <c r="C4366" s="1" t="s">
        <v>12260</v>
      </c>
      <c r="D4366" s="1" t="s">
        <v>12261</v>
      </c>
      <c r="E4366" s="7">
        <v>26</v>
      </c>
    </row>
    <row r="4367" spans="1:5" x14ac:dyDescent="0.25">
      <c r="A4367" s="5" t="s">
        <v>6</v>
      </c>
      <c r="B4367" s="5" t="s">
        <v>12262</v>
      </c>
      <c r="C4367" s="1" t="s">
        <v>12263</v>
      </c>
      <c r="D4367" s="1" t="s">
        <v>12264</v>
      </c>
      <c r="E4367" s="7">
        <v>124</v>
      </c>
    </row>
    <row r="4368" spans="1:5" x14ac:dyDescent="0.25">
      <c r="A4368" s="5" t="s">
        <v>6</v>
      </c>
      <c r="B4368" s="5" t="s">
        <v>12265</v>
      </c>
      <c r="C4368" s="1" t="s">
        <v>12266</v>
      </c>
      <c r="D4368" s="1" t="s">
        <v>12267</v>
      </c>
      <c r="E4368" s="7">
        <v>145</v>
      </c>
    </row>
    <row r="4369" spans="1:5" x14ac:dyDescent="0.25">
      <c r="A4369" s="5" t="s">
        <v>6</v>
      </c>
      <c r="B4369" s="5" t="s">
        <v>12268</v>
      </c>
      <c r="C4369" s="1" t="s">
        <v>12269</v>
      </c>
      <c r="D4369" s="1" t="s">
        <v>12270</v>
      </c>
      <c r="E4369" s="7">
        <v>160</v>
      </c>
    </row>
    <row r="4370" spans="1:5" x14ac:dyDescent="0.25">
      <c r="A4370" s="5" t="s">
        <v>6</v>
      </c>
      <c r="B4370" s="5" t="s">
        <v>12271</v>
      </c>
      <c r="C4370" s="1" t="s">
        <v>12272</v>
      </c>
      <c r="D4370" s="1" t="s">
        <v>12273</v>
      </c>
      <c r="E4370" s="7">
        <v>237</v>
      </c>
    </row>
    <row r="4371" spans="1:5" x14ac:dyDescent="0.25">
      <c r="A4371" s="5" t="s">
        <v>6</v>
      </c>
      <c r="B4371" s="5" t="s">
        <v>12274</v>
      </c>
      <c r="C4371" s="1" t="s">
        <v>12275</v>
      </c>
      <c r="D4371" s="1" t="s">
        <v>12276</v>
      </c>
      <c r="E4371" s="7">
        <v>102</v>
      </c>
    </row>
    <row r="4372" spans="1:5" x14ac:dyDescent="0.25">
      <c r="A4372" s="5" t="s">
        <v>6</v>
      </c>
      <c r="B4372" s="5" t="s">
        <v>12277</v>
      </c>
      <c r="C4372" s="1" t="s">
        <v>12278</v>
      </c>
      <c r="D4372" s="1" t="s">
        <v>12279</v>
      </c>
      <c r="E4372" s="7">
        <v>174</v>
      </c>
    </row>
    <row r="4373" spans="1:5" x14ac:dyDescent="0.25">
      <c r="A4373" s="5" t="s">
        <v>6</v>
      </c>
      <c r="B4373" s="5" t="s">
        <v>12280</v>
      </c>
      <c r="C4373" s="1" t="s">
        <v>12281</v>
      </c>
      <c r="D4373" s="1" t="s">
        <v>12282</v>
      </c>
      <c r="E4373" s="7">
        <v>119</v>
      </c>
    </row>
    <row r="4374" spans="1:5" x14ac:dyDescent="0.25">
      <c r="A4374" s="5" t="s">
        <v>6</v>
      </c>
      <c r="B4374" s="5" t="s">
        <v>12283</v>
      </c>
      <c r="C4374" s="1" t="s">
        <v>12284</v>
      </c>
      <c r="D4374" s="1" t="s">
        <v>12285</v>
      </c>
      <c r="E4374" s="7">
        <v>143</v>
      </c>
    </row>
    <row r="4375" spans="1:5" x14ac:dyDescent="0.25">
      <c r="A4375" s="5" t="s">
        <v>6</v>
      </c>
      <c r="B4375" s="5" t="s">
        <v>12286</v>
      </c>
      <c r="C4375" s="1" t="s">
        <v>12287</v>
      </c>
      <c r="D4375" s="1" t="s">
        <v>12288</v>
      </c>
      <c r="E4375" s="7">
        <v>56</v>
      </c>
    </row>
    <row r="4376" spans="1:5" x14ac:dyDescent="0.25">
      <c r="A4376" s="5" t="s">
        <v>6</v>
      </c>
      <c r="B4376" s="5" t="s">
        <v>12289</v>
      </c>
      <c r="C4376" s="1" t="s">
        <v>12290</v>
      </c>
      <c r="D4376" s="1" t="s">
        <v>12291</v>
      </c>
      <c r="E4376" s="7">
        <v>219</v>
      </c>
    </row>
    <row r="4377" spans="1:5" x14ac:dyDescent="0.25">
      <c r="A4377" s="5" t="s">
        <v>6</v>
      </c>
      <c r="B4377" s="5" t="s">
        <v>12292</v>
      </c>
      <c r="C4377" s="1" t="s">
        <v>12293</v>
      </c>
      <c r="D4377" s="1" t="s">
        <v>12294</v>
      </c>
      <c r="E4377" s="7">
        <v>756</v>
      </c>
    </row>
    <row r="4378" spans="1:5" x14ac:dyDescent="0.25">
      <c r="A4378" s="5" t="s">
        <v>6</v>
      </c>
      <c r="B4378" s="5" t="s">
        <v>12295</v>
      </c>
      <c r="C4378" s="1" t="s">
        <v>12296</v>
      </c>
      <c r="D4378" s="1" t="s">
        <v>12297</v>
      </c>
      <c r="E4378" s="7">
        <v>108</v>
      </c>
    </row>
    <row r="4379" spans="1:5" x14ac:dyDescent="0.25">
      <c r="A4379" s="5" t="s">
        <v>6</v>
      </c>
      <c r="B4379" s="5" t="s">
        <v>12298</v>
      </c>
      <c r="C4379" s="1" t="s">
        <v>12299</v>
      </c>
      <c r="D4379" s="1" t="s">
        <v>12300</v>
      </c>
      <c r="E4379" s="7">
        <v>49</v>
      </c>
    </row>
    <row r="4380" spans="1:5" x14ac:dyDescent="0.25">
      <c r="A4380" s="5" t="s">
        <v>6</v>
      </c>
      <c r="B4380" s="5" t="s">
        <v>12301</v>
      </c>
      <c r="C4380" s="1" t="s">
        <v>12302</v>
      </c>
      <c r="D4380" s="1" t="s">
        <v>11875</v>
      </c>
      <c r="E4380" s="7">
        <v>66</v>
      </c>
    </row>
    <row r="4381" spans="1:5" x14ac:dyDescent="0.25">
      <c r="A4381" s="5" t="s">
        <v>6</v>
      </c>
      <c r="B4381" s="5" t="s">
        <v>12303</v>
      </c>
      <c r="C4381" s="1" t="s">
        <v>12304</v>
      </c>
      <c r="D4381" s="1" t="s">
        <v>11875</v>
      </c>
      <c r="E4381" s="7">
        <v>68</v>
      </c>
    </row>
    <row r="4382" spans="1:5" x14ac:dyDescent="0.25">
      <c r="A4382" s="5" t="s">
        <v>6</v>
      </c>
      <c r="B4382" s="5" t="s">
        <v>12305</v>
      </c>
      <c r="C4382" s="1" t="s">
        <v>12306</v>
      </c>
      <c r="D4382" s="1" t="s">
        <v>12307</v>
      </c>
      <c r="E4382" s="7">
        <v>704</v>
      </c>
    </row>
    <row r="4383" spans="1:5" x14ac:dyDescent="0.25">
      <c r="A4383" s="5" t="s">
        <v>6</v>
      </c>
      <c r="B4383" s="5" t="s">
        <v>12308</v>
      </c>
      <c r="C4383" s="1" t="s">
        <v>12309</v>
      </c>
      <c r="D4383" s="1" t="s">
        <v>12310</v>
      </c>
      <c r="E4383" s="7">
        <v>896</v>
      </c>
    </row>
    <row r="4384" spans="1:5" x14ac:dyDescent="0.25">
      <c r="A4384" s="5" t="s">
        <v>6</v>
      </c>
      <c r="B4384" s="5" t="s">
        <v>12311</v>
      </c>
      <c r="C4384" s="1" t="s">
        <v>12312</v>
      </c>
      <c r="D4384" s="1" t="s">
        <v>12313</v>
      </c>
      <c r="E4384" s="7">
        <v>791</v>
      </c>
    </row>
    <row r="4385" spans="1:5" x14ac:dyDescent="0.25">
      <c r="A4385" s="5" t="s">
        <v>6</v>
      </c>
      <c r="B4385" s="5" t="s">
        <v>12314</v>
      </c>
      <c r="C4385" s="1" t="s">
        <v>12315</v>
      </c>
      <c r="D4385" s="1" t="s">
        <v>12316</v>
      </c>
      <c r="E4385" s="7">
        <v>404</v>
      </c>
    </row>
    <row r="4386" spans="1:5" x14ac:dyDescent="0.25">
      <c r="A4386" s="5" t="s">
        <v>6</v>
      </c>
      <c r="B4386" s="5" t="s">
        <v>12317</v>
      </c>
      <c r="C4386" s="1" t="s">
        <v>12318</v>
      </c>
      <c r="D4386" s="1" t="s">
        <v>12319</v>
      </c>
      <c r="E4386" s="7">
        <v>152</v>
      </c>
    </row>
    <row r="4387" spans="1:5" x14ac:dyDescent="0.25">
      <c r="A4387" s="5" t="s">
        <v>6</v>
      </c>
      <c r="B4387" s="5" t="s">
        <v>12320</v>
      </c>
      <c r="C4387" s="1" t="s">
        <v>12321</v>
      </c>
      <c r="D4387" s="1" t="s">
        <v>12322</v>
      </c>
      <c r="E4387" s="7">
        <v>672</v>
      </c>
    </row>
    <row r="4388" spans="1:5" x14ac:dyDescent="0.25">
      <c r="A4388" s="5" t="s">
        <v>6</v>
      </c>
      <c r="B4388" s="5" t="s">
        <v>12323</v>
      </c>
      <c r="C4388" s="1" t="s">
        <v>12324</v>
      </c>
      <c r="D4388" s="1" t="s">
        <v>12325</v>
      </c>
      <c r="E4388" s="7">
        <v>5</v>
      </c>
    </row>
    <row r="4389" spans="1:5" x14ac:dyDescent="0.25">
      <c r="A4389" s="5" t="s">
        <v>6</v>
      </c>
      <c r="B4389" s="5" t="s">
        <v>12326</v>
      </c>
      <c r="C4389" s="1" t="s">
        <v>12327</v>
      </c>
      <c r="D4389" s="1" t="s">
        <v>12328</v>
      </c>
      <c r="E4389" s="7">
        <v>411</v>
      </c>
    </row>
    <row r="4390" spans="1:5" x14ac:dyDescent="0.25">
      <c r="A4390" s="5" t="s">
        <v>6</v>
      </c>
      <c r="B4390" s="5" t="s">
        <v>12329</v>
      </c>
      <c r="C4390" s="1" t="s">
        <v>12330</v>
      </c>
      <c r="D4390" s="1" t="s">
        <v>12331</v>
      </c>
      <c r="E4390" s="7">
        <v>505</v>
      </c>
    </row>
    <row r="4391" spans="1:5" x14ac:dyDescent="0.25">
      <c r="A4391" s="5" t="s">
        <v>6</v>
      </c>
      <c r="B4391" s="5" t="s">
        <v>12332</v>
      </c>
      <c r="C4391" s="1" t="s">
        <v>12333</v>
      </c>
      <c r="D4391" s="1" t="s">
        <v>12334</v>
      </c>
      <c r="E4391" s="7">
        <v>259</v>
      </c>
    </row>
    <row r="4392" spans="1:5" x14ac:dyDescent="0.25">
      <c r="A4392" s="5" t="s">
        <v>6</v>
      </c>
      <c r="B4392" s="5" t="s">
        <v>12335</v>
      </c>
      <c r="C4392" s="1" t="s">
        <v>12336</v>
      </c>
      <c r="D4392" s="1" t="s">
        <v>12337</v>
      </c>
      <c r="E4392" s="7">
        <v>67</v>
      </c>
    </row>
    <row r="4393" spans="1:5" x14ac:dyDescent="0.25">
      <c r="A4393" s="5" t="s">
        <v>6</v>
      </c>
      <c r="B4393" s="5" t="s">
        <v>12338</v>
      </c>
      <c r="C4393" s="1" t="s">
        <v>12339</v>
      </c>
      <c r="D4393" s="1" t="s">
        <v>12340</v>
      </c>
      <c r="E4393" s="7">
        <v>80</v>
      </c>
    </row>
    <row r="4394" spans="1:5" x14ac:dyDescent="0.25">
      <c r="A4394" s="5" t="s">
        <v>6</v>
      </c>
      <c r="B4394" s="5" t="s">
        <v>12341</v>
      </c>
      <c r="C4394" s="1" t="s">
        <v>12342</v>
      </c>
      <c r="D4394" s="1" t="s">
        <v>12343</v>
      </c>
      <c r="E4394" s="7">
        <v>63</v>
      </c>
    </row>
    <row r="4395" spans="1:5" x14ac:dyDescent="0.25">
      <c r="A4395" s="5" t="s">
        <v>6</v>
      </c>
      <c r="B4395" s="5" t="s">
        <v>12344</v>
      </c>
      <c r="C4395" s="1" t="s">
        <v>12345</v>
      </c>
      <c r="D4395" s="1" t="s">
        <v>12346</v>
      </c>
      <c r="E4395" s="7">
        <v>249</v>
      </c>
    </row>
    <row r="4396" spans="1:5" x14ac:dyDescent="0.25">
      <c r="A4396" s="5" t="s">
        <v>6</v>
      </c>
      <c r="B4396" s="5" t="s">
        <v>12347</v>
      </c>
      <c r="C4396" s="1" t="s">
        <v>12348</v>
      </c>
      <c r="D4396" s="1" t="s">
        <v>12349</v>
      </c>
      <c r="E4396" s="7">
        <v>437</v>
      </c>
    </row>
    <row r="4397" spans="1:5" x14ac:dyDescent="0.25">
      <c r="A4397" s="5" t="s">
        <v>6</v>
      </c>
      <c r="B4397" s="5" t="s">
        <v>12350</v>
      </c>
      <c r="C4397" s="1" t="s">
        <v>12351</v>
      </c>
      <c r="D4397" s="1" t="s">
        <v>12352</v>
      </c>
      <c r="E4397" s="7">
        <v>954</v>
      </c>
    </row>
    <row r="4398" spans="1:5" x14ac:dyDescent="0.25">
      <c r="A4398" s="5" t="s">
        <v>6</v>
      </c>
      <c r="B4398" s="5" t="s">
        <v>12353</v>
      </c>
      <c r="C4398" s="1" t="s">
        <v>12354</v>
      </c>
      <c r="D4398" s="1" t="s">
        <v>12355</v>
      </c>
      <c r="E4398" s="7">
        <v>1174</v>
      </c>
    </row>
    <row r="4399" spans="1:5" x14ac:dyDescent="0.25">
      <c r="A4399" s="5" t="s">
        <v>6</v>
      </c>
      <c r="B4399" s="5" t="s">
        <v>12356</v>
      </c>
      <c r="C4399" s="1" t="s">
        <v>12357</v>
      </c>
      <c r="D4399" s="1" t="s">
        <v>12358</v>
      </c>
      <c r="E4399" s="7">
        <v>2332</v>
      </c>
    </row>
    <row r="4400" spans="1:5" x14ac:dyDescent="0.25">
      <c r="A4400" s="5" t="s">
        <v>6</v>
      </c>
      <c r="B4400" s="5" t="s">
        <v>12359</v>
      </c>
      <c r="C4400" s="1" t="s">
        <v>12360</v>
      </c>
      <c r="D4400" s="1" t="s">
        <v>12361</v>
      </c>
      <c r="E4400" s="7">
        <v>120</v>
      </c>
    </row>
    <row r="4401" spans="1:5" x14ac:dyDescent="0.25">
      <c r="A4401" s="5" t="s">
        <v>6</v>
      </c>
      <c r="B4401" s="5" t="s">
        <v>12362</v>
      </c>
      <c r="C4401" s="1" t="s">
        <v>12363</v>
      </c>
      <c r="D4401" s="1" t="s">
        <v>12364</v>
      </c>
      <c r="E4401" s="7">
        <v>435</v>
      </c>
    </row>
    <row r="4402" spans="1:5" x14ac:dyDescent="0.25">
      <c r="A4402" s="5" t="s">
        <v>6</v>
      </c>
      <c r="B4402" s="5" t="s">
        <v>12365</v>
      </c>
      <c r="C4402" s="1" t="s">
        <v>12366</v>
      </c>
      <c r="D4402" s="1" t="s">
        <v>12367</v>
      </c>
      <c r="E4402" s="7">
        <v>119</v>
      </c>
    </row>
    <row r="4403" spans="1:5" x14ac:dyDescent="0.25">
      <c r="A4403" s="5" t="s">
        <v>6</v>
      </c>
      <c r="B4403" s="5" t="s">
        <v>12368</v>
      </c>
      <c r="C4403" s="1" t="s">
        <v>12369</v>
      </c>
      <c r="D4403" s="1" t="s">
        <v>12370</v>
      </c>
      <c r="E4403" s="7">
        <v>129</v>
      </c>
    </row>
    <row r="4404" spans="1:5" x14ac:dyDescent="0.25">
      <c r="A4404" s="5" t="s">
        <v>6</v>
      </c>
      <c r="B4404" s="5" t="s">
        <v>12371</v>
      </c>
      <c r="C4404" s="1" t="s">
        <v>12372</v>
      </c>
      <c r="D4404" s="1" t="s">
        <v>12373</v>
      </c>
      <c r="E4404" s="7">
        <v>394</v>
      </c>
    </row>
    <row r="4405" spans="1:5" x14ac:dyDescent="0.25">
      <c r="A4405" s="5" t="s">
        <v>6</v>
      </c>
      <c r="B4405" s="5" t="s">
        <v>12374</v>
      </c>
      <c r="C4405" s="1" t="s">
        <v>12375</v>
      </c>
      <c r="D4405" s="1" t="s">
        <v>12376</v>
      </c>
      <c r="E4405" s="7">
        <v>394</v>
      </c>
    </row>
    <row r="4406" spans="1:5" x14ac:dyDescent="0.25">
      <c r="A4406" s="5" t="s">
        <v>6</v>
      </c>
      <c r="B4406" s="5" t="s">
        <v>12377</v>
      </c>
      <c r="C4406" s="1" t="s">
        <v>12378</v>
      </c>
      <c r="D4406" s="1" t="s">
        <v>12367</v>
      </c>
      <c r="E4406" s="7">
        <v>219</v>
      </c>
    </row>
    <row r="4407" spans="1:5" x14ac:dyDescent="0.25">
      <c r="A4407" s="5" t="s">
        <v>6</v>
      </c>
      <c r="B4407" s="5" t="s">
        <v>12379</v>
      </c>
      <c r="C4407" s="1" t="s">
        <v>12380</v>
      </c>
      <c r="D4407" s="1" t="s">
        <v>12370</v>
      </c>
      <c r="E4407" s="7">
        <v>199</v>
      </c>
    </row>
    <row r="4408" spans="1:5" x14ac:dyDescent="0.25">
      <c r="A4408" s="5" t="s">
        <v>6</v>
      </c>
      <c r="B4408" s="5" t="s">
        <v>12381</v>
      </c>
      <c r="C4408" s="1" t="s">
        <v>12382</v>
      </c>
      <c r="D4408" s="1" t="s">
        <v>12383</v>
      </c>
      <c r="E4408" s="7">
        <v>118</v>
      </c>
    </row>
    <row r="4409" spans="1:5" x14ac:dyDescent="0.25">
      <c r="A4409" s="5" t="s">
        <v>6</v>
      </c>
      <c r="B4409" s="5" t="s">
        <v>12384</v>
      </c>
      <c r="C4409" s="1" t="s">
        <v>12385</v>
      </c>
      <c r="D4409" s="1" t="s">
        <v>12373</v>
      </c>
      <c r="E4409" s="7">
        <v>510</v>
      </c>
    </row>
    <row r="4410" spans="1:5" x14ac:dyDescent="0.25">
      <c r="A4410" s="5" t="s">
        <v>6</v>
      </c>
      <c r="B4410" s="5" t="s">
        <v>12386</v>
      </c>
      <c r="C4410" s="1" t="s">
        <v>12387</v>
      </c>
      <c r="D4410" s="1" t="s">
        <v>12388</v>
      </c>
      <c r="E4410" s="7">
        <v>510</v>
      </c>
    </row>
    <row r="4411" spans="1:5" x14ac:dyDescent="0.25">
      <c r="A4411" s="5" t="s">
        <v>6</v>
      </c>
      <c r="B4411" s="5" t="s">
        <v>12389</v>
      </c>
      <c r="C4411" s="1" t="s">
        <v>12390</v>
      </c>
      <c r="D4411" s="1" t="s">
        <v>12367</v>
      </c>
      <c r="E4411" s="7">
        <v>230</v>
      </c>
    </row>
    <row r="4412" spans="1:5" x14ac:dyDescent="0.25">
      <c r="A4412" s="5" t="s">
        <v>6</v>
      </c>
      <c r="B4412" s="5" t="s">
        <v>12391</v>
      </c>
      <c r="C4412" s="1" t="s">
        <v>12392</v>
      </c>
      <c r="D4412" s="1" t="s">
        <v>12370</v>
      </c>
      <c r="E4412" s="7">
        <v>51</v>
      </c>
    </row>
    <row r="4413" spans="1:5" x14ac:dyDescent="0.25">
      <c r="A4413" s="5" t="s">
        <v>6</v>
      </c>
      <c r="B4413" s="5" t="s">
        <v>12393</v>
      </c>
      <c r="C4413" s="1" t="s">
        <v>12394</v>
      </c>
      <c r="D4413" s="1" t="s">
        <v>12395</v>
      </c>
      <c r="E4413" s="7">
        <v>346</v>
      </c>
    </row>
    <row r="4414" spans="1:5" x14ac:dyDescent="0.25">
      <c r="A4414" s="5" t="s">
        <v>6</v>
      </c>
      <c r="B4414" s="5" t="s">
        <v>12396</v>
      </c>
      <c r="C4414" s="1" t="s">
        <v>12397</v>
      </c>
      <c r="D4414" s="1" t="s">
        <v>12398</v>
      </c>
      <c r="E4414" s="7">
        <v>195</v>
      </c>
    </row>
    <row r="4415" spans="1:5" x14ac:dyDescent="0.25">
      <c r="A4415" s="5" t="s">
        <v>6</v>
      </c>
      <c r="B4415" s="5" t="s">
        <v>12399</v>
      </c>
      <c r="C4415" s="1" t="s">
        <v>12400</v>
      </c>
      <c r="D4415" s="1" t="s">
        <v>12401</v>
      </c>
      <c r="E4415" s="7">
        <v>189</v>
      </c>
    </row>
    <row r="4416" spans="1:5" x14ac:dyDescent="0.25">
      <c r="A4416" s="5" t="s">
        <v>6</v>
      </c>
      <c r="B4416" s="5" t="s">
        <v>12402</v>
      </c>
      <c r="C4416" s="1" t="s">
        <v>12403</v>
      </c>
      <c r="D4416" s="1" t="s">
        <v>12404</v>
      </c>
      <c r="E4416" s="7">
        <v>49</v>
      </c>
    </row>
    <row r="4417" spans="1:5" x14ac:dyDescent="0.25">
      <c r="A4417" s="5" t="s">
        <v>6</v>
      </c>
      <c r="B4417" s="5" t="s">
        <v>12405</v>
      </c>
      <c r="C4417" s="1" t="s">
        <v>12406</v>
      </c>
      <c r="D4417" s="1" t="s">
        <v>12407</v>
      </c>
      <c r="E4417" s="7">
        <v>73</v>
      </c>
    </row>
    <row r="4418" spans="1:5" x14ac:dyDescent="0.25">
      <c r="A4418" s="5" t="s">
        <v>6</v>
      </c>
      <c r="B4418" s="5" t="s">
        <v>12408</v>
      </c>
      <c r="C4418" s="1" t="s">
        <v>12409</v>
      </c>
      <c r="D4418" s="1" t="s">
        <v>12410</v>
      </c>
      <c r="E4418" s="7">
        <v>346</v>
      </c>
    </row>
    <row r="4419" spans="1:5" x14ac:dyDescent="0.25">
      <c r="A4419" s="5" t="s">
        <v>6</v>
      </c>
      <c r="B4419" s="5" t="s">
        <v>12411</v>
      </c>
      <c r="C4419" s="1" t="s">
        <v>12412</v>
      </c>
      <c r="D4419" s="1" t="s">
        <v>12413</v>
      </c>
      <c r="E4419" s="7">
        <v>65</v>
      </c>
    </row>
    <row r="4420" spans="1:5" x14ac:dyDescent="0.25">
      <c r="A4420" s="5" t="s">
        <v>6</v>
      </c>
      <c r="B4420" s="5" t="s">
        <v>12414</v>
      </c>
      <c r="C4420" s="1" t="s">
        <v>12415</v>
      </c>
      <c r="D4420" s="1" t="s">
        <v>12415</v>
      </c>
      <c r="E4420" s="7">
        <v>11</v>
      </c>
    </row>
    <row r="4421" spans="1:5" x14ac:dyDescent="0.25">
      <c r="A4421" s="5" t="s">
        <v>6</v>
      </c>
      <c r="B4421" s="5" t="s">
        <v>12416</v>
      </c>
      <c r="C4421" s="1" t="s">
        <v>12417</v>
      </c>
      <c r="D4421" s="1" t="s">
        <v>12418</v>
      </c>
      <c r="E4421" s="7">
        <v>40</v>
      </c>
    </row>
    <row r="4422" spans="1:5" x14ac:dyDescent="0.25">
      <c r="A4422" s="5" t="s">
        <v>6</v>
      </c>
      <c r="B4422" s="5" t="s">
        <v>12419</v>
      </c>
      <c r="C4422" s="1" t="s">
        <v>12420</v>
      </c>
      <c r="D4422" s="1" t="s">
        <v>12421</v>
      </c>
      <c r="E4422" s="7">
        <v>31</v>
      </c>
    </row>
    <row r="4423" spans="1:5" x14ac:dyDescent="0.25">
      <c r="A4423" s="5" t="s">
        <v>6</v>
      </c>
      <c r="B4423" s="5" t="s">
        <v>12422</v>
      </c>
      <c r="C4423" s="1" t="s">
        <v>12423</v>
      </c>
      <c r="D4423" s="1" t="s">
        <v>12424</v>
      </c>
      <c r="E4423" s="7">
        <v>77</v>
      </c>
    </row>
    <row r="4424" spans="1:5" x14ac:dyDescent="0.25">
      <c r="A4424" s="5" t="s">
        <v>6</v>
      </c>
      <c r="B4424" s="5" t="s">
        <v>12425</v>
      </c>
      <c r="C4424" s="1" t="s">
        <v>12426</v>
      </c>
      <c r="D4424" s="1" t="s">
        <v>12427</v>
      </c>
      <c r="E4424" s="7">
        <v>40</v>
      </c>
    </row>
    <row r="4425" spans="1:5" x14ac:dyDescent="0.25">
      <c r="A4425" s="5" t="s">
        <v>6</v>
      </c>
      <c r="B4425" s="5" t="s">
        <v>12428</v>
      </c>
      <c r="C4425" s="1" t="s">
        <v>12429</v>
      </c>
      <c r="D4425" s="1" t="s">
        <v>12429</v>
      </c>
      <c r="E4425" s="7">
        <v>28</v>
      </c>
    </row>
    <row r="4426" spans="1:5" x14ac:dyDescent="0.25">
      <c r="A4426" s="5" t="s">
        <v>6</v>
      </c>
      <c r="B4426" s="5" t="s">
        <v>12430</v>
      </c>
      <c r="C4426" s="1" t="s">
        <v>12431</v>
      </c>
      <c r="D4426" s="1" t="s">
        <v>12431</v>
      </c>
      <c r="E4426" s="7">
        <v>28</v>
      </c>
    </row>
    <row r="4427" spans="1:5" x14ac:dyDescent="0.25">
      <c r="A4427" s="5" t="s">
        <v>6</v>
      </c>
      <c r="B4427" s="5" t="s">
        <v>12432</v>
      </c>
      <c r="C4427" s="1" t="s">
        <v>12433</v>
      </c>
      <c r="D4427" s="1" t="s">
        <v>12433</v>
      </c>
      <c r="E4427" s="7">
        <v>28</v>
      </c>
    </row>
    <row r="4428" spans="1:5" x14ac:dyDescent="0.25">
      <c r="A4428" s="5" t="s">
        <v>6</v>
      </c>
      <c r="B4428" s="5" t="s">
        <v>12434</v>
      </c>
      <c r="C4428" s="1" t="s">
        <v>12435</v>
      </c>
      <c r="D4428" s="1" t="s">
        <v>12435</v>
      </c>
      <c r="E4428" s="7">
        <v>28</v>
      </c>
    </row>
    <row r="4429" spans="1:5" x14ac:dyDescent="0.25">
      <c r="A4429" s="5" t="s">
        <v>6</v>
      </c>
      <c r="B4429" s="5" t="s">
        <v>12436</v>
      </c>
      <c r="C4429" s="1" t="s">
        <v>12437</v>
      </c>
      <c r="D4429" s="1" t="s">
        <v>12437</v>
      </c>
      <c r="E4429" s="7">
        <v>28</v>
      </c>
    </row>
    <row r="4430" spans="1:5" x14ac:dyDescent="0.25">
      <c r="A4430" s="5" t="s">
        <v>6</v>
      </c>
      <c r="B4430" s="5" t="s">
        <v>12438</v>
      </c>
      <c r="C4430" s="1" t="s">
        <v>12439</v>
      </c>
      <c r="D4430" s="1" t="s">
        <v>12440</v>
      </c>
      <c r="E4430" s="7">
        <v>28</v>
      </c>
    </row>
    <row r="4431" spans="1:5" x14ac:dyDescent="0.25">
      <c r="A4431" s="5" t="s">
        <v>6</v>
      </c>
      <c r="B4431" s="5" t="s">
        <v>12441</v>
      </c>
      <c r="C4431" s="1" t="s">
        <v>12442</v>
      </c>
      <c r="D4431" s="1" t="s">
        <v>12442</v>
      </c>
      <c r="E4431" s="7">
        <v>30</v>
      </c>
    </row>
    <row r="4432" spans="1:5" x14ac:dyDescent="0.25">
      <c r="A4432" s="5" t="s">
        <v>6</v>
      </c>
      <c r="B4432" s="5" t="s">
        <v>12443</v>
      </c>
      <c r="C4432" s="1" t="s">
        <v>12444</v>
      </c>
      <c r="D4432" s="1" t="s">
        <v>12445</v>
      </c>
      <c r="E4432" s="7">
        <v>278</v>
      </c>
    </row>
    <row r="4433" spans="1:5" x14ac:dyDescent="0.25">
      <c r="A4433" s="5" t="s">
        <v>6</v>
      </c>
      <c r="B4433" s="5" t="s">
        <v>12446</v>
      </c>
      <c r="C4433" s="1" t="s">
        <v>12447</v>
      </c>
      <c r="D4433" s="1" t="s">
        <v>12448</v>
      </c>
      <c r="E4433" s="7">
        <v>23.47</v>
      </c>
    </row>
    <row r="4434" spans="1:5" x14ac:dyDescent="0.25">
      <c r="A4434" s="5" t="s">
        <v>6</v>
      </c>
      <c r="B4434" s="5" t="s">
        <v>12449</v>
      </c>
      <c r="C4434" s="1" t="s">
        <v>12450</v>
      </c>
      <c r="D4434" s="1" t="s">
        <v>12451</v>
      </c>
      <c r="E4434" s="7">
        <v>2375</v>
      </c>
    </row>
    <row r="4435" spans="1:5" x14ac:dyDescent="0.25">
      <c r="A4435" s="5" t="s">
        <v>6</v>
      </c>
      <c r="B4435" s="5" t="s">
        <v>12452</v>
      </c>
      <c r="C4435" s="1" t="s">
        <v>12453</v>
      </c>
      <c r="D4435" s="1" t="s">
        <v>12454</v>
      </c>
      <c r="E4435" s="7">
        <v>19</v>
      </c>
    </row>
    <row r="4436" spans="1:5" x14ac:dyDescent="0.25">
      <c r="A4436" s="5" t="s">
        <v>6</v>
      </c>
      <c r="B4436" s="5" t="s">
        <v>12455</v>
      </c>
      <c r="C4436" s="1" t="s">
        <v>12456</v>
      </c>
      <c r="D4436" s="1" t="s">
        <v>12457</v>
      </c>
      <c r="E4436" s="7">
        <v>28</v>
      </c>
    </row>
    <row r="4437" spans="1:5" x14ac:dyDescent="0.25">
      <c r="A4437" s="5" t="s">
        <v>6</v>
      </c>
      <c r="B4437" s="5" t="s">
        <v>12458</v>
      </c>
      <c r="C4437" s="1" t="s">
        <v>12459</v>
      </c>
      <c r="D4437" s="1" t="s">
        <v>12459</v>
      </c>
      <c r="E4437" s="7">
        <v>249</v>
      </c>
    </row>
    <row r="4438" spans="1:5" x14ac:dyDescent="0.25">
      <c r="A4438" s="5" t="s">
        <v>6</v>
      </c>
      <c r="B4438" s="5" t="s">
        <v>12460</v>
      </c>
      <c r="C4438" s="1" t="s">
        <v>12461</v>
      </c>
      <c r="D4438" s="1" t="s">
        <v>12462</v>
      </c>
      <c r="E4438" s="7">
        <v>56</v>
      </c>
    </row>
    <row r="4439" spans="1:5" x14ac:dyDescent="0.25">
      <c r="A4439" s="5" t="s">
        <v>6</v>
      </c>
      <c r="B4439" s="5" t="s">
        <v>12463</v>
      </c>
      <c r="C4439" s="1" t="s">
        <v>12464</v>
      </c>
      <c r="D4439" s="1" t="s">
        <v>12465</v>
      </c>
      <c r="E4439" s="7">
        <v>179</v>
      </c>
    </row>
    <row r="4440" spans="1:5" x14ac:dyDescent="0.25">
      <c r="A4440" s="5" t="s">
        <v>6</v>
      </c>
      <c r="B4440" s="5" t="s">
        <v>12466</v>
      </c>
      <c r="C4440" s="1" t="s">
        <v>12467</v>
      </c>
      <c r="D4440" s="1" t="s">
        <v>12467</v>
      </c>
      <c r="E4440" s="7">
        <v>4</v>
      </c>
    </row>
    <row r="4441" spans="1:5" x14ac:dyDescent="0.25">
      <c r="A4441" s="5" t="s">
        <v>6</v>
      </c>
      <c r="B4441" s="5" t="s">
        <v>12468</v>
      </c>
      <c r="C4441" s="1" t="s">
        <v>12469</v>
      </c>
      <c r="D4441" s="1" t="s">
        <v>12470</v>
      </c>
      <c r="E4441" s="7">
        <v>1172</v>
      </c>
    </row>
    <row r="4442" spans="1:5" x14ac:dyDescent="0.25">
      <c r="A4442" s="5" t="s">
        <v>6</v>
      </c>
      <c r="B4442" s="5" t="s">
        <v>12471</v>
      </c>
      <c r="C4442" s="1" t="s">
        <v>12472</v>
      </c>
      <c r="D4442" s="1" t="s">
        <v>12473</v>
      </c>
      <c r="E4442" s="7">
        <v>197</v>
      </c>
    </row>
    <row r="4443" spans="1:5" x14ac:dyDescent="0.25">
      <c r="A4443" s="5" t="s">
        <v>6</v>
      </c>
      <c r="B4443" s="5" t="s">
        <v>12474</v>
      </c>
      <c r="C4443" s="1" t="s">
        <v>12475</v>
      </c>
      <c r="D4443" s="1" t="s">
        <v>12476</v>
      </c>
      <c r="E4443" s="7">
        <v>51</v>
      </c>
    </row>
    <row r="4444" spans="1:5" x14ac:dyDescent="0.25">
      <c r="A4444" s="5" t="s">
        <v>6</v>
      </c>
      <c r="B4444" s="5" t="s">
        <v>12477</v>
      </c>
      <c r="C4444" s="1" t="s">
        <v>12478</v>
      </c>
      <c r="D4444" s="1" t="s">
        <v>12479</v>
      </c>
      <c r="E4444" s="7">
        <v>40</v>
      </c>
    </row>
    <row r="4445" spans="1:5" x14ac:dyDescent="0.25">
      <c r="A4445" s="5" t="s">
        <v>6</v>
      </c>
      <c r="B4445" s="5" t="s">
        <v>12480</v>
      </c>
      <c r="C4445" s="1" t="s">
        <v>12481</v>
      </c>
      <c r="D4445" s="1" t="s">
        <v>12482</v>
      </c>
      <c r="E4445" s="7">
        <v>30</v>
      </c>
    </row>
    <row r="4446" spans="1:5" x14ac:dyDescent="0.25">
      <c r="A4446" s="5" t="s">
        <v>6</v>
      </c>
      <c r="B4446" s="5" t="s">
        <v>12483</v>
      </c>
      <c r="C4446" s="1" t="s">
        <v>12484</v>
      </c>
      <c r="D4446" s="1" t="s">
        <v>12485</v>
      </c>
      <c r="E4446" s="7">
        <v>292</v>
      </c>
    </row>
    <row r="4447" spans="1:5" x14ac:dyDescent="0.25">
      <c r="A4447" s="5" t="s">
        <v>6</v>
      </c>
      <c r="B4447" s="5" t="s">
        <v>12486</v>
      </c>
      <c r="C4447" s="1" t="s">
        <v>12487</v>
      </c>
      <c r="D4447" s="1" t="s">
        <v>12488</v>
      </c>
      <c r="E4447" s="7">
        <v>318</v>
      </c>
    </row>
    <row r="4448" spans="1:5" x14ac:dyDescent="0.25">
      <c r="A4448" s="5" t="s">
        <v>6</v>
      </c>
      <c r="B4448" s="5" t="s">
        <v>12489</v>
      </c>
      <c r="C4448" s="1" t="s">
        <v>12490</v>
      </c>
      <c r="D4448" s="1" t="s">
        <v>12491</v>
      </c>
      <c r="E4448" s="7">
        <v>219</v>
      </c>
    </row>
    <row r="4449" spans="1:5" x14ac:dyDescent="0.25">
      <c r="A4449" s="5" t="s">
        <v>6</v>
      </c>
      <c r="B4449" s="5" t="s">
        <v>12492</v>
      </c>
      <c r="C4449" s="1" t="s">
        <v>12493</v>
      </c>
      <c r="D4449" s="1" t="s">
        <v>12494</v>
      </c>
      <c r="E4449" s="7">
        <v>95</v>
      </c>
    </row>
    <row r="4450" spans="1:5" x14ac:dyDescent="0.25">
      <c r="A4450" s="5" t="s">
        <v>6</v>
      </c>
      <c r="B4450" s="5" t="s">
        <v>12495</v>
      </c>
      <c r="C4450" s="1" t="s">
        <v>12496</v>
      </c>
      <c r="D4450" s="1" t="s">
        <v>12497</v>
      </c>
      <c r="E4450" s="7">
        <v>83</v>
      </c>
    </row>
    <row r="4451" spans="1:5" x14ac:dyDescent="0.25">
      <c r="A4451" s="5" t="s">
        <v>6</v>
      </c>
      <c r="B4451" s="5" t="s">
        <v>12498</v>
      </c>
      <c r="C4451" s="1" t="s">
        <v>12499</v>
      </c>
      <c r="D4451" s="1" t="s">
        <v>12500</v>
      </c>
      <c r="E4451" s="7">
        <v>30</v>
      </c>
    </row>
    <row r="4452" spans="1:5" x14ac:dyDescent="0.25">
      <c r="A4452" s="5" t="s">
        <v>6</v>
      </c>
      <c r="B4452" s="5" t="s">
        <v>12501</v>
      </c>
      <c r="C4452" s="1" t="s">
        <v>12502</v>
      </c>
      <c r="D4452" s="1" t="s">
        <v>12503</v>
      </c>
      <c r="E4452" s="7">
        <v>28</v>
      </c>
    </row>
    <row r="4453" spans="1:5" x14ac:dyDescent="0.25">
      <c r="A4453" s="5" t="s">
        <v>6</v>
      </c>
      <c r="B4453" s="5" t="s">
        <v>12504</v>
      </c>
      <c r="C4453" s="1" t="s">
        <v>12505</v>
      </c>
      <c r="D4453" s="1" t="s">
        <v>12506</v>
      </c>
      <c r="E4453" s="7">
        <v>30</v>
      </c>
    </row>
    <row r="4454" spans="1:5" x14ac:dyDescent="0.25">
      <c r="A4454" s="5" t="s">
        <v>6</v>
      </c>
      <c r="B4454" s="5" t="s">
        <v>12507</v>
      </c>
      <c r="C4454" s="1" t="s">
        <v>12508</v>
      </c>
      <c r="D4454" s="1" t="s">
        <v>12509</v>
      </c>
      <c r="E4454" s="7">
        <v>28</v>
      </c>
    </row>
    <row r="4455" spans="1:5" x14ac:dyDescent="0.25">
      <c r="A4455" s="5" t="s">
        <v>6</v>
      </c>
      <c r="B4455" s="5" t="s">
        <v>12510</v>
      </c>
      <c r="C4455" s="1" t="s">
        <v>12511</v>
      </c>
      <c r="D4455" s="1" t="s">
        <v>12512</v>
      </c>
      <c r="E4455" s="7">
        <v>40</v>
      </c>
    </row>
    <row r="4456" spans="1:5" x14ac:dyDescent="0.25">
      <c r="A4456" s="5" t="s">
        <v>6</v>
      </c>
      <c r="B4456" s="5" t="s">
        <v>12513</v>
      </c>
      <c r="C4456" s="1" t="s">
        <v>12514</v>
      </c>
      <c r="D4456" s="1" t="s">
        <v>12515</v>
      </c>
      <c r="E4456" s="7">
        <v>298</v>
      </c>
    </row>
    <row r="4457" spans="1:5" x14ac:dyDescent="0.25">
      <c r="A4457" s="5" t="s">
        <v>6</v>
      </c>
      <c r="B4457" s="5" t="s">
        <v>12516</v>
      </c>
      <c r="C4457" s="1" t="s">
        <v>12517</v>
      </c>
      <c r="D4457" s="1" t="s">
        <v>12518</v>
      </c>
      <c r="E4457" s="7">
        <v>27</v>
      </c>
    </row>
    <row r="4458" spans="1:5" x14ac:dyDescent="0.25">
      <c r="A4458" s="5" t="s">
        <v>6</v>
      </c>
      <c r="B4458" s="5" t="s">
        <v>12519</v>
      </c>
      <c r="C4458" s="1" t="s">
        <v>12520</v>
      </c>
      <c r="D4458" s="1" t="s">
        <v>12521</v>
      </c>
      <c r="E4458" s="7">
        <v>429</v>
      </c>
    </row>
    <row r="4459" spans="1:5" x14ac:dyDescent="0.25">
      <c r="A4459" s="5" t="s">
        <v>6</v>
      </c>
      <c r="B4459" s="5" t="s">
        <v>12522</v>
      </c>
      <c r="C4459" s="1" t="s">
        <v>12523</v>
      </c>
      <c r="D4459" s="1" t="s">
        <v>12524</v>
      </c>
      <c r="E4459" s="7">
        <v>724</v>
      </c>
    </row>
    <row r="4460" spans="1:5" x14ac:dyDescent="0.25">
      <c r="A4460" s="5" t="s">
        <v>6</v>
      </c>
      <c r="B4460" s="5" t="s">
        <v>12525</v>
      </c>
      <c r="C4460" s="1" t="s">
        <v>12526</v>
      </c>
      <c r="D4460" s="1" t="s">
        <v>12527</v>
      </c>
      <c r="E4460" s="7">
        <v>5456</v>
      </c>
    </row>
    <row r="4461" spans="1:5" x14ac:dyDescent="0.25">
      <c r="A4461" s="5" t="s">
        <v>6</v>
      </c>
      <c r="B4461" s="5" t="s">
        <v>12528</v>
      </c>
      <c r="C4461" s="1" t="s">
        <v>12529</v>
      </c>
      <c r="D4461" s="1" t="s">
        <v>12530</v>
      </c>
      <c r="E4461" s="7">
        <v>2</v>
      </c>
    </row>
    <row r="4462" spans="1:5" x14ac:dyDescent="0.25">
      <c r="A4462" s="5" t="s">
        <v>6</v>
      </c>
      <c r="B4462" s="5" t="s">
        <v>12531</v>
      </c>
      <c r="C4462" s="1" t="s">
        <v>12532</v>
      </c>
      <c r="D4462" s="1" t="s">
        <v>12533</v>
      </c>
      <c r="E4462" s="7">
        <v>0.84</v>
      </c>
    </row>
    <row r="4463" spans="1:5" x14ac:dyDescent="0.25">
      <c r="A4463" s="5" t="s">
        <v>6</v>
      </c>
      <c r="B4463" s="5" t="s">
        <v>12534</v>
      </c>
      <c r="C4463" s="1" t="s">
        <v>12535</v>
      </c>
      <c r="D4463" s="1" t="s">
        <v>12536</v>
      </c>
      <c r="E4463" s="7">
        <v>187</v>
      </c>
    </row>
    <row r="4464" spans="1:5" x14ac:dyDescent="0.25">
      <c r="A4464" s="5" t="s">
        <v>6</v>
      </c>
      <c r="B4464" s="5" t="s">
        <v>12537</v>
      </c>
      <c r="C4464" s="1" t="s">
        <v>12538</v>
      </c>
      <c r="D4464" s="1" t="s">
        <v>12539</v>
      </c>
      <c r="E4464" s="7">
        <v>63</v>
      </c>
    </row>
    <row r="4465" spans="1:5" x14ac:dyDescent="0.25">
      <c r="A4465" s="5" t="s">
        <v>6</v>
      </c>
      <c r="B4465" s="5" t="s">
        <v>12540</v>
      </c>
      <c r="C4465" s="1" t="s">
        <v>12541</v>
      </c>
      <c r="D4465" s="1" t="s">
        <v>12542</v>
      </c>
      <c r="E4465" s="7">
        <v>2</v>
      </c>
    </row>
    <row r="4466" spans="1:5" x14ac:dyDescent="0.25">
      <c r="A4466" s="5" t="s">
        <v>6</v>
      </c>
      <c r="B4466" s="5" t="s">
        <v>12543</v>
      </c>
      <c r="C4466" s="1" t="s">
        <v>12544</v>
      </c>
      <c r="D4466" s="1" t="s">
        <v>12542</v>
      </c>
      <c r="E4466" s="7">
        <v>4</v>
      </c>
    </row>
    <row r="4467" spans="1:5" x14ac:dyDescent="0.25">
      <c r="A4467" s="5" t="s">
        <v>6</v>
      </c>
      <c r="B4467" s="5" t="s">
        <v>12545</v>
      </c>
      <c r="C4467" s="1" t="s">
        <v>12546</v>
      </c>
      <c r="D4467" s="1" t="s">
        <v>12542</v>
      </c>
      <c r="E4467" s="7">
        <v>5</v>
      </c>
    </row>
    <row r="4468" spans="1:5" x14ac:dyDescent="0.25">
      <c r="A4468" s="5" t="s">
        <v>6</v>
      </c>
      <c r="B4468" s="5" t="s">
        <v>12547</v>
      </c>
      <c r="C4468" s="1" t="s">
        <v>12548</v>
      </c>
      <c r="D4468" s="1" t="s">
        <v>12549</v>
      </c>
      <c r="E4468" s="7">
        <v>5</v>
      </c>
    </row>
    <row r="4469" spans="1:5" x14ac:dyDescent="0.25">
      <c r="A4469" s="5" t="s">
        <v>6</v>
      </c>
      <c r="B4469" s="5" t="s">
        <v>12550</v>
      </c>
      <c r="C4469" s="1" t="s">
        <v>12551</v>
      </c>
      <c r="D4469" s="1" t="s">
        <v>12552</v>
      </c>
      <c r="E4469" s="7">
        <v>95</v>
      </c>
    </row>
    <row r="4470" spans="1:5" x14ac:dyDescent="0.25">
      <c r="A4470" s="5" t="s">
        <v>6</v>
      </c>
      <c r="B4470" s="5" t="s">
        <v>12553</v>
      </c>
      <c r="C4470" s="1" t="s">
        <v>12554</v>
      </c>
      <c r="D4470" s="1" t="s">
        <v>12555</v>
      </c>
      <c r="E4470" s="7">
        <v>10</v>
      </c>
    </row>
    <row r="4471" spans="1:5" x14ac:dyDescent="0.25">
      <c r="A4471" s="5" t="s">
        <v>6</v>
      </c>
      <c r="B4471" s="5" t="s">
        <v>12556</v>
      </c>
      <c r="C4471" s="1" t="s">
        <v>12557</v>
      </c>
      <c r="D4471" s="1" t="s">
        <v>12555</v>
      </c>
      <c r="E4471" s="7">
        <v>13</v>
      </c>
    </row>
    <row r="4472" spans="1:5" x14ac:dyDescent="0.25">
      <c r="A4472" s="5" t="s">
        <v>6</v>
      </c>
      <c r="B4472" s="5" t="s">
        <v>12558</v>
      </c>
      <c r="C4472" s="1" t="s">
        <v>12559</v>
      </c>
      <c r="D4472" s="1" t="s">
        <v>12560</v>
      </c>
      <c r="E4472" s="7">
        <v>213</v>
      </c>
    </row>
    <row r="4473" spans="1:5" x14ac:dyDescent="0.25">
      <c r="A4473" s="5" t="s">
        <v>6</v>
      </c>
      <c r="B4473" s="5" t="s">
        <v>12561</v>
      </c>
      <c r="C4473" s="1" t="s">
        <v>12562</v>
      </c>
      <c r="D4473" s="1" t="s">
        <v>12563</v>
      </c>
      <c r="E4473" s="7">
        <v>125</v>
      </c>
    </row>
    <row r="4474" spans="1:5" x14ac:dyDescent="0.25">
      <c r="A4474" s="5" t="s">
        <v>6</v>
      </c>
      <c r="B4474" s="5" t="s">
        <v>12564</v>
      </c>
      <c r="C4474" s="1" t="s">
        <v>12565</v>
      </c>
      <c r="D4474" s="1" t="s">
        <v>12565</v>
      </c>
      <c r="E4474" s="7">
        <v>421</v>
      </c>
    </row>
    <row r="4475" spans="1:5" x14ac:dyDescent="0.25">
      <c r="A4475" s="5" t="s">
        <v>6</v>
      </c>
      <c r="B4475" s="5" t="s">
        <v>12566</v>
      </c>
      <c r="C4475" s="1" t="s">
        <v>9702</v>
      </c>
      <c r="D4475" s="1" t="s">
        <v>9703</v>
      </c>
      <c r="E4475" s="7">
        <v>94</v>
      </c>
    </row>
    <row r="4476" spans="1:5" x14ac:dyDescent="0.25">
      <c r="A4476" s="5" t="s">
        <v>6</v>
      </c>
      <c r="B4476" s="5" t="s">
        <v>12567</v>
      </c>
      <c r="C4476" s="1" t="s">
        <v>9826</v>
      </c>
      <c r="D4476" s="1" t="s">
        <v>9827</v>
      </c>
      <c r="E4476" s="7">
        <v>10</v>
      </c>
    </row>
    <row r="4477" spans="1:5" x14ac:dyDescent="0.25">
      <c r="A4477" s="5" t="s">
        <v>6</v>
      </c>
      <c r="B4477" s="5" t="s">
        <v>12568</v>
      </c>
      <c r="C4477" s="1" t="s">
        <v>12569</v>
      </c>
      <c r="D4477" s="1" t="s">
        <v>12570</v>
      </c>
      <c r="E4477" s="7">
        <v>444</v>
      </c>
    </row>
    <row r="4478" spans="1:5" x14ac:dyDescent="0.25">
      <c r="A4478" s="5" t="s">
        <v>6</v>
      </c>
      <c r="B4478" s="5" t="s">
        <v>12571</v>
      </c>
      <c r="C4478" s="1" t="s">
        <v>12572</v>
      </c>
      <c r="D4478" s="1" t="s">
        <v>12573</v>
      </c>
      <c r="E4478" s="7">
        <v>421</v>
      </c>
    </row>
    <row r="4479" spans="1:5" x14ac:dyDescent="0.25">
      <c r="A4479" s="5" t="s">
        <v>6</v>
      </c>
      <c r="B4479" s="5" t="s">
        <v>12574</v>
      </c>
      <c r="C4479" s="1" t="s">
        <v>12575</v>
      </c>
      <c r="D4479" s="1" t="s">
        <v>12576</v>
      </c>
      <c r="E4479" s="7">
        <v>578</v>
      </c>
    </row>
    <row r="4480" spans="1:5" x14ac:dyDescent="0.25">
      <c r="A4480" s="5" t="s">
        <v>6</v>
      </c>
      <c r="B4480" s="5" t="s">
        <v>12577</v>
      </c>
      <c r="C4480" s="1" t="s">
        <v>12578</v>
      </c>
      <c r="D4480" s="1" t="s">
        <v>12579</v>
      </c>
      <c r="E4480" s="7">
        <v>477</v>
      </c>
    </row>
    <row r="4481" spans="1:5" x14ac:dyDescent="0.25">
      <c r="A4481" s="5" t="s">
        <v>6</v>
      </c>
      <c r="B4481" s="5" t="s">
        <v>12580</v>
      </c>
      <c r="C4481" s="1" t="s">
        <v>12581</v>
      </c>
      <c r="D4481" s="1" t="s">
        <v>12582</v>
      </c>
      <c r="E4481" s="7">
        <v>455</v>
      </c>
    </row>
    <row r="4482" spans="1:5" x14ac:dyDescent="0.25">
      <c r="A4482" s="5" t="s">
        <v>6</v>
      </c>
      <c r="B4482" s="5" t="s">
        <v>12583</v>
      </c>
      <c r="C4482" s="1" t="s">
        <v>12584</v>
      </c>
      <c r="D4482" s="1" t="s">
        <v>12585</v>
      </c>
      <c r="E4482" s="7">
        <v>477</v>
      </c>
    </row>
    <row r="4483" spans="1:5" x14ac:dyDescent="0.25">
      <c r="A4483" s="5" t="s">
        <v>6</v>
      </c>
      <c r="B4483" s="5" t="s">
        <v>12586</v>
      </c>
      <c r="C4483" s="1" t="s">
        <v>12587</v>
      </c>
      <c r="D4483" s="1" t="s">
        <v>12588</v>
      </c>
      <c r="E4483" s="7">
        <v>408</v>
      </c>
    </row>
    <row r="4484" spans="1:5" x14ac:dyDescent="0.25">
      <c r="A4484" s="5" t="s">
        <v>6</v>
      </c>
      <c r="B4484" s="5" t="s">
        <v>12589</v>
      </c>
      <c r="C4484" s="1" t="s">
        <v>12590</v>
      </c>
      <c r="D4484" s="1" t="s">
        <v>12591</v>
      </c>
      <c r="E4484" s="7">
        <v>387</v>
      </c>
    </row>
    <row r="4485" spans="1:5" x14ac:dyDescent="0.25">
      <c r="A4485" s="5" t="s">
        <v>6</v>
      </c>
      <c r="B4485" s="5" t="s">
        <v>12592</v>
      </c>
      <c r="C4485" s="1" t="s">
        <v>12593</v>
      </c>
      <c r="D4485" s="1" t="s">
        <v>12594</v>
      </c>
      <c r="E4485" s="7">
        <v>947</v>
      </c>
    </row>
    <row r="4486" spans="1:5" x14ac:dyDescent="0.25">
      <c r="A4486" s="5" t="s">
        <v>6</v>
      </c>
      <c r="B4486" s="5" t="s">
        <v>12595</v>
      </c>
      <c r="C4486" s="1" t="s">
        <v>12596</v>
      </c>
      <c r="D4486" s="1" t="s">
        <v>12597</v>
      </c>
      <c r="E4486" s="7">
        <v>360</v>
      </c>
    </row>
    <row r="4487" spans="1:5" x14ac:dyDescent="0.25">
      <c r="A4487" s="5" t="s">
        <v>6</v>
      </c>
      <c r="B4487" s="5" t="s">
        <v>12598</v>
      </c>
      <c r="C4487" s="1" t="s">
        <v>12599</v>
      </c>
      <c r="D4487" s="1" t="s">
        <v>12600</v>
      </c>
      <c r="E4487" s="7">
        <v>762</v>
      </c>
    </row>
    <row r="4488" spans="1:5" x14ac:dyDescent="0.25">
      <c r="A4488" s="5" t="s">
        <v>6</v>
      </c>
      <c r="B4488" s="5" t="s">
        <v>12601</v>
      </c>
      <c r="C4488" s="1" t="s">
        <v>12602</v>
      </c>
      <c r="D4488" s="1" t="s">
        <v>12603</v>
      </c>
      <c r="E4488" s="7">
        <v>90</v>
      </c>
    </row>
    <row r="4489" spans="1:5" x14ac:dyDescent="0.25">
      <c r="A4489" s="5" t="s">
        <v>6</v>
      </c>
      <c r="B4489" s="5" t="s">
        <v>12604</v>
      </c>
      <c r="C4489" s="1" t="s">
        <v>12605</v>
      </c>
      <c r="D4489" s="1" t="s">
        <v>12606</v>
      </c>
      <c r="E4489" s="7">
        <v>949</v>
      </c>
    </row>
    <row r="4490" spans="1:5" x14ac:dyDescent="0.25">
      <c r="A4490" s="5" t="s">
        <v>6</v>
      </c>
      <c r="B4490" s="5" t="s">
        <v>12607</v>
      </c>
      <c r="C4490" s="1" t="s">
        <v>12608</v>
      </c>
      <c r="D4490" s="1" t="s">
        <v>12609</v>
      </c>
      <c r="E4490" s="7">
        <v>723</v>
      </c>
    </row>
    <row r="4491" spans="1:5" x14ac:dyDescent="0.25">
      <c r="A4491" s="5" t="s">
        <v>6</v>
      </c>
      <c r="B4491" s="5" t="s">
        <v>12610</v>
      </c>
      <c r="C4491" s="1" t="s">
        <v>12611</v>
      </c>
      <c r="D4491" s="1" t="s">
        <v>12612</v>
      </c>
      <c r="E4491" s="7">
        <v>949</v>
      </c>
    </row>
    <row r="4492" spans="1:5" x14ac:dyDescent="0.25">
      <c r="A4492" s="5" t="s">
        <v>6</v>
      </c>
      <c r="B4492" s="5" t="s">
        <v>12613</v>
      </c>
      <c r="C4492" s="1" t="s">
        <v>12614</v>
      </c>
      <c r="D4492" s="1" t="s">
        <v>12615</v>
      </c>
      <c r="E4492" s="7">
        <v>578</v>
      </c>
    </row>
    <row r="4493" spans="1:5" x14ac:dyDescent="0.25">
      <c r="A4493" s="5" t="s">
        <v>6</v>
      </c>
      <c r="B4493" s="5" t="s">
        <v>12616</v>
      </c>
      <c r="C4493" s="1" t="s">
        <v>12617</v>
      </c>
      <c r="D4493" s="1" t="s">
        <v>12618</v>
      </c>
      <c r="E4493" s="7">
        <v>420</v>
      </c>
    </row>
    <row r="4494" spans="1:5" x14ac:dyDescent="0.25">
      <c r="A4494" s="5" t="s">
        <v>6</v>
      </c>
      <c r="B4494" s="5" t="s">
        <v>12619</v>
      </c>
      <c r="C4494" s="1" t="s">
        <v>12620</v>
      </c>
      <c r="D4494" s="1" t="s">
        <v>12621</v>
      </c>
      <c r="E4494" s="7">
        <v>949</v>
      </c>
    </row>
    <row r="4495" spans="1:5" x14ac:dyDescent="0.25">
      <c r="A4495" s="5" t="s">
        <v>6</v>
      </c>
      <c r="B4495" s="5" t="s">
        <v>12622</v>
      </c>
      <c r="C4495" s="1" t="s">
        <v>12623</v>
      </c>
      <c r="D4495" s="1" t="s">
        <v>12624</v>
      </c>
      <c r="E4495" s="7">
        <v>949</v>
      </c>
    </row>
    <row r="4496" spans="1:5" x14ac:dyDescent="0.25">
      <c r="A4496" s="5" t="s">
        <v>6</v>
      </c>
      <c r="B4496" s="5" t="s">
        <v>12625</v>
      </c>
      <c r="C4496" s="1" t="s">
        <v>12626</v>
      </c>
      <c r="D4496" s="1" t="s">
        <v>12627</v>
      </c>
      <c r="E4496" s="7">
        <v>477</v>
      </c>
    </row>
    <row r="4497" spans="1:5" x14ac:dyDescent="0.25">
      <c r="A4497" s="5" t="s">
        <v>6</v>
      </c>
      <c r="B4497" s="5" t="s">
        <v>12628</v>
      </c>
      <c r="C4497" s="1" t="s">
        <v>12629</v>
      </c>
      <c r="D4497" s="1" t="s">
        <v>12630</v>
      </c>
      <c r="E4497" s="7">
        <v>615</v>
      </c>
    </row>
    <row r="4498" spans="1:5" x14ac:dyDescent="0.25">
      <c r="A4498" s="5" t="s">
        <v>6</v>
      </c>
      <c r="B4498" s="5" t="s">
        <v>12631</v>
      </c>
      <c r="C4498" s="1" t="s">
        <v>12632</v>
      </c>
      <c r="D4498" s="1" t="s">
        <v>12633</v>
      </c>
      <c r="E4498" s="7">
        <v>454</v>
      </c>
    </row>
    <row r="4499" spans="1:5" x14ac:dyDescent="0.25">
      <c r="A4499" s="5" t="s">
        <v>6</v>
      </c>
      <c r="B4499" s="5" t="s">
        <v>12634</v>
      </c>
      <c r="C4499" s="1" t="s">
        <v>12635</v>
      </c>
      <c r="D4499" s="1" t="s">
        <v>12636</v>
      </c>
      <c r="E4499" s="7">
        <v>105</v>
      </c>
    </row>
    <row r="4500" spans="1:5" x14ac:dyDescent="0.25">
      <c r="A4500" s="5" t="s">
        <v>6</v>
      </c>
      <c r="B4500" s="5" t="s">
        <v>12637</v>
      </c>
      <c r="C4500" s="1" t="s">
        <v>12638</v>
      </c>
      <c r="D4500" s="1" t="s">
        <v>12639</v>
      </c>
      <c r="E4500" s="7">
        <v>411</v>
      </c>
    </row>
    <row r="4501" spans="1:5" x14ac:dyDescent="0.25">
      <c r="A4501" s="5" t="s">
        <v>6</v>
      </c>
      <c r="B4501" s="5" t="s">
        <v>12640</v>
      </c>
      <c r="C4501" s="1" t="s">
        <v>12641</v>
      </c>
      <c r="D4501" s="1" t="s">
        <v>12642</v>
      </c>
      <c r="E4501" s="7">
        <v>514</v>
      </c>
    </row>
    <row r="4502" spans="1:5" x14ac:dyDescent="0.25">
      <c r="A4502" s="5" t="s">
        <v>6</v>
      </c>
      <c r="B4502" s="5" t="s">
        <v>12643</v>
      </c>
      <c r="C4502" s="1" t="s">
        <v>12644</v>
      </c>
      <c r="D4502" s="1" t="s">
        <v>12644</v>
      </c>
      <c r="E4502" s="7">
        <v>454</v>
      </c>
    </row>
    <row r="4503" spans="1:5" x14ac:dyDescent="0.25">
      <c r="A4503" s="5" t="s">
        <v>6</v>
      </c>
      <c r="B4503" s="5" t="s">
        <v>12645</v>
      </c>
      <c r="C4503" s="1" t="s">
        <v>12646</v>
      </c>
      <c r="D4503" s="1" t="s">
        <v>12647</v>
      </c>
      <c r="E4503" s="7">
        <v>667</v>
      </c>
    </row>
    <row r="4504" spans="1:5" x14ac:dyDescent="0.25">
      <c r="A4504" s="5" t="s">
        <v>6</v>
      </c>
      <c r="B4504" s="5" t="s">
        <v>12648</v>
      </c>
      <c r="C4504" s="1" t="s">
        <v>12649</v>
      </c>
      <c r="D4504" s="1" t="s">
        <v>12650</v>
      </c>
      <c r="E4504" s="7">
        <v>464</v>
      </c>
    </row>
    <row r="4505" spans="1:5" x14ac:dyDescent="0.25">
      <c r="A4505" s="5" t="s">
        <v>6</v>
      </c>
      <c r="B4505" s="5" t="s">
        <v>12651</v>
      </c>
      <c r="C4505" s="1" t="s">
        <v>12652</v>
      </c>
      <c r="D4505" s="1" t="s">
        <v>12653</v>
      </c>
      <c r="E4505" s="7">
        <v>386</v>
      </c>
    </row>
    <row r="4506" spans="1:5" x14ac:dyDescent="0.25">
      <c r="A4506" s="5" t="s">
        <v>6</v>
      </c>
      <c r="B4506" s="5" t="s">
        <v>12654</v>
      </c>
      <c r="C4506" s="1" t="s">
        <v>12655</v>
      </c>
      <c r="D4506" s="1" t="s">
        <v>12656</v>
      </c>
      <c r="E4506" s="7">
        <v>45</v>
      </c>
    </row>
    <row r="4507" spans="1:5" x14ac:dyDescent="0.25">
      <c r="A4507" s="5" t="s">
        <v>6</v>
      </c>
      <c r="B4507" s="5" t="s">
        <v>12657</v>
      </c>
      <c r="C4507" s="1" t="s">
        <v>12658</v>
      </c>
      <c r="D4507" s="1" t="s">
        <v>12659</v>
      </c>
      <c r="E4507" s="7">
        <v>378</v>
      </c>
    </row>
    <row r="4508" spans="1:5" x14ac:dyDescent="0.25">
      <c r="A4508" s="5" t="s">
        <v>6</v>
      </c>
      <c r="B4508" s="5" t="s">
        <v>12660</v>
      </c>
      <c r="C4508" s="1" t="s">
        <v>12661</v>
      </c>
      <c r="D4508" s="1" t="s">
        <v>12662</v>
      </c>
      <c r="E4508" s="7">
        <v>445</v>
      </c>
    </row>
    <row r="4509" spans="1:5" x14ac:dyDescent="0.25">
      <c r="A4509" s="5" t="s">
        <v>6</v>
      </c>
      <c r="B4509" s="5" t="s">
        <v>12663</v>
      </c>
      <c r="C4509" s="1" t="s">
        <v>12664</v>
      </c>
      <c r="D4509" s="1" t="s">
        <v>12665</v>
      </c>
      <c r="E4509" s="7">
        <v>917</v>
      </c>
    </row>
    <row r="4510" spans="1:5" x14ac:dyDescent="0.25">
      <c r="A4510" s="5" t="s">
        <v>6</v>
      </c>
      <c r="B4510" s="5" t="s">
        <v>12666</v>
      </c>
      <c r="C4510" s="1" t="s">
        <v>12667</v>
      </c>
      <c r="D4510" s="1" t="s">
        <v>12668</v>
      </c>
      <c r="E4510" s="7">
        <v>436</v>
      </c>
    </row>
    <row r="4511" spans="1:5" x14ac:dyDescent="0.25">
      <c r="A4511" s="5" t="s">
        <v>6</v>
      </c>
      <c r="B4511" s="5" t="s">
        <v>12669</v>
      </c>
      <c r="C4511" s="1" t="s">
        <v>12670</v>
      </c>
      <c r="D4511" s="1" t="s">
        <v>12671</v>
      </c>
      <c r="E4511" s="7">
        <v>465</v>
      </c>
    </row>
    <row r="4512" spans="1:5" x14ac:dyDescent="0.25">
      <c r="A4512" s="5" t="s">
        <v>6</v>
      </c>
      <c r="B4512" s="5" t="s">
        <v>12672</v>
      </c>
      <c r="C4512" s="1" t="s">
        <v>12673</v>
      </c>
      <c r="D4512" s="1" t="s">
        <v>12674</v>
      </c>
      <c r="E4512" s="7">
        <v>529</v>
      </c>
    </row>
    <row r="4513" spans="1:5" x14ac:dyDescent="0.25">
      <c r="A4513" s="5" t="s">
        <v>6</v>
      </c>
      <c r="B4513" s="5" t="s">
        <v>12675</v>
      </c>
      <c r="C4513" s="1" t="s">
        <v>12676</v>
      </c>
      <c r="D4513" s="1" t="s">
        <v>12677</v>
      </c>
      <c r="E4513" s="7">
        <v>1053</v>
      </c>
    </row>
    <row r="4514" spans="1:5" x14ac:dyDescent="0.25">
      <c r="A4514" s="5" t="s">
        <v>6</v>
      </c>
      <c r="B4514" s="5" t="s">
        <v>12678</v>
      </c>
      <c r="C4514" s="1" t="s">
        <v>12679</v>
      </c>
      <c r="D4514" s="1" t="s">
        <v>12680</v>
      </c>
      <c r="E4514" s="7">
        <v>486</v>
      </c>
    </row>
    <row r="4515" spans="1:5" x14ac:dyDescent="0.25">
      <c r="A4515" s="5" t="s">
        <v>6</v>
      </c>
      <c r="B4515" s="5" t="s">
        <v>12681</v>
      </c>
      <c r="C4515" s="1" t="s">
        <v>12682</v>
      </c>
      <c r="D4515" s="1" t="s">
        <v>12683</v>
      </c>
      <c r="E4515" s="7">
        <v>11</v>
      </c>
    </row>
    <row r="4516" spans="1:5" x14ac:dyDescent="0.25">
      <c r="A4516" s="5" t="s">
        <v>6</v>
      </c>
      <c r="B4516" s="5" t="s">
        <v>12684</v>
      </c>
      <c r="C4516" s="1" t="s">
        <v>12685</v>
      </c>
      <c r="D4516" s="1" t="s">
        <v>12686</v>
      </c>
      <c r="E4516" s="7">
        <v>384</v>
      </c>
    </row>
    <row r="4517" spans="1:5" x14ac:dyDescent="0.25">
      <c r="A4517" s="5" t="s">
        <v>6</v>
      </c>
      <c r="B4517" s="5" t="s">
        <v>12687</v>
      </c>
      <c r="C4517" s="1" t="s">
        <v>12688</v>
      </c>
      <c r="D4517" s="1" t="s">
        <v>12689</v>
      </c>
      <c r="E4517" s="7">
        <v>578</v>
      </c>
    </row>
    <row r="4518" spans="1:5" x14ac:dyDescent="0.25">
      <c r="A4518" s="5" t="s">
        <v>6</v>
      </c>
      <c r="B4518" s="5" t="s">
        <v>12690</v>
      </c>
      <c r="C4518" s="1" t="s">
        <v>12691</v>
      </c>
      <c r="D4518" s="1" t="s">
        <v>12692</v>
      </c>
      <c r="E4518" s="7">
        <v>477</v>
      </c>
    </row>
    <row r="4519" spans="1:5" x14ac:dyDescent="0.25">
      <c r="A4519" s="5" t="s">
        <v>6</v>
      </c>
      <c r="B4519" s="5" t="s">
        <v>12693</v>
      </c>
      <c r="C4519" s="1" t="s">
        <v>12694</v>
      </c>
      <c r="D4519" s="1" t="s">
        <v>12695</v>
      </c>
      <c r="E4519" s="7">
        <v>82</v>
      </c>
    </row>
    <row r="4520" spans="1:5" x14ac:dyDescent="0.25">
      <c r="A4520" s="5" t="s">
        <v>6</v>
      </c>
      <c r="B4520" s="5" t="s">
        <v>12696</v>
      </c>
      <c r="C4520" s="1" t="s">
        <v>12697</v>
      </c>
      <c r="D4520" s="1" t="s">
        <v>12698</v>
      </c>
      <c r="E4520" s="7">
        <v>421</v>
      </c>
    </row>
    <row r="4521" spans="1:5" x14ac:dyDescent="0.25">
      <c r="A4521" s="5" t="s">
        <v>6</v>
      </c>
      <c r="B4521" s="5" t="s">
        <v>12699</v>
      </c>
      <c r="C4521" s="1" t="s">
        <v>12700</v>
      </c>
      <c r="D4521" s="1" t="s">
        <v>12701</v>
      </c>
      <c r="E4521" s="7">
        <v>454</v>
      </c>
    </row>
    <row r="4522" spans="1:5" x14ac:dyDescent="0.25">
      <c r="A4522" s="5" t="s">
        <v>6</v>
      </c>
      <c r="B4522" s="5" t="s">
        <v>12702</v>
      </c>
      <c r="C4522" s="1" t="s">
        <v>12703</v>
      </c>
      <c r="D4522" s="1" t="s">
        <v>12704</v>
      </c>
      <c r="E4522" s="7">
        <v>421</v>
      </c>
    </row>
    <row r="4523" spans="1:5" x14ac:dyDescent="0.25">
      <c r="A4523" s="5" t="s">
        <v>6</v>
      </c>
      <c r="B4523" s="5" t="s">
        <v>12705</v>
      </c>
      <c r="C4523" s="1" t="s">
        <v>12706</v>
      </c>
      <c r="D4523" s="1" t="s">
        <v>12707</v>
      </c>
      <c r="E4523" s="7">
        <v>411</v>
      </c>
    </row>
    <row r="4524" spans="1:5" x14ac:dyDescent="0.25">
      <c r="A4524" s="5" t="s">
        <v>6</v>
      </c>
      <c r="B4524" s="5" t="s">
        <v>12708</v>
      </c>
      <c r="C4524" s="1" t="s">
        <v>12709</v>
      </c>
      <c r="D4524" s="1" t="s">
        <v>12710</v>
      </c>
      <c r="E4524" s="7">
        <v>475</v>
      </c>
    </row>
    <row r="4525" spans="1:5" x14ac:dyDescent="0.25">
      <c r="A4525" s="5" t="s">
        <v>6</v>
      </c>
      <c r="B4525" s="5" t="s">
        <v>12711</v>
      </c>
      <c r="C4525" s="1" t="s">
        <v>12712</v>
      </c>
      <c r="D4525" s="1" t="s">
        <v>12713</v>
      </c>
      <c r="E4525" s="7">
        <v>949</v>
      </c>
    </row>
    <row r="4526" spans="1:5" x14ac:dyDescent="0.25">
      <c r="A4526" s="5" t="s">
        <v>6</v>
      </c>
      <c r="B4526" s="5" t="s">
        <v>12714</v>
      </c>
      <c r="C4526" s="1" t="s">
        <v>12715</v>
      </c>
      <c r="D4526" s="1" t="s">
        <v>12716</v>
      </c>
      <c r="E4526" s="7">
        <v>740</v>
      </c>
    </row>
    <row r="4527" spans="1:5" x14ac:dyDescent="0.25">
      <c r="A4527" s="5" t="s">
        <v>6</v>
      </c>
      <c r="B4527" s="5" t="s">
        <v>12717</v>
      </c>
      <c r="C4527" s="1" t="s">
        <v>12718</v>
      </c>
      <c r="D4527" s="1" t="s">
        <v>12719</v>
      </c>
      <c r="E4527" s="7">
        <v>427</v>
      </c>
    </row>
    <row r="4528" spans="1:5" x14ac:dyDescent="0.25">
      <c r="A4528" s="5" t="s">
        <v>6</v>
      </c>
      <c r="B4528" s="5" t="s">
        <v>12720</v>
      </c>
      <c r="C4528" s="1" t="s">
        <v>12721</v>
      </c>
      <c r="D4528" s="1" t="s">
        <v>12722</v>
      </c>
      <c r="E4528" s="7">
        <v>450</v>
      </c>
    </row>
    <row r="4529" spans="1:5" x14ac:dyDescent="0.25">
      <c r="A4529" s="5" t="s">
        <v>6</v>
      </c>
      <c r="B4529" s="5" t="s">
        <v>12723</v>
      </c>
      <c r="C4529" s="1" t="s">
        <v>12724</v>
      </c>
      <c r="D4529" s="1" t="s">
        <v>12725</v>
      </c>
      <c r="E4529" s="7">
        <v>442</v>
      </c>
    </row>
    <row r="4530" spans="1:5" x14ac:dyDescent="0.25">
      <c r="A4530" s="5" t="s">
        <v>6</v>
      </c>
      <c r="B4530" s="5" t="s">
        <v>12726</v>
      </c>
      <c r="C4530" s="1" t="s">
        <v>12727</v>
      </c>
      <c r="D4530" s="1" t="s">
        <v>12728</v>
      </c>
      <c r="E4530" s="7">
        <v>367</v>
      </c>
    </row>
    <row r="4531" spans="1:5" x14ac:dyDescent="0.25">
      <c r="A4531" s="5" t="s">
        <v>6</v>
      </c>
      <c r="B4531" s="5" t="s">
        <v>12729</v>
      </c>
      <c r="C4531" s="1" t="s">
        <v>12730</v>
      </c>
      <c r="D4531" s="1" t="s">
        <v>12731</v>
      </c>
      <c r="E4531" s="7">
        <v>378</v>
      </c>
    </row>
    <row r="4532" spans="1:5" x14ac:dyDescent="0.25">
      <c r="A4532" s="5" t="s">
        <v>6</v>
      </c>
      <c r="B4532" s="5" t="s">
        <v>12732</v>
      </c>
      <c r="C4532" s="1" t="s">
        <v>12733</v>
      </c>
      <c r="D4532" s="1" t="s">
        <v>12734</v>
      </c>
      <c r="E4532" s="7">
        <v>1511</v>
      </c>
    </row>
    <row r="4533" spans="1:5" x14ac:dyDescent="0.25">
      <c r="A4533" s="5" t="s">
        <v>6</v>
      </c>
      <c r="B4533" s="5" t="s">
        <v>12735</v>
      </c>
      <c r="C4533" s="1" t="s">
        <v>12736</v>
      </c>
      <c r="D4533" s="1" t="s">
        <v>12737</v>
      </c>
      <c r="E4533" s="7">
        <v>82</v>
      </c>
    </row>
    <row r="4534" spans="1:5" x14ac:dyDescent="0.25">
      <c r="A4534" s="5" t="s">
        <v>6</v>
      </c>
      <c r="B4534" s="5" t="s">
        <v>12738</v>
      </c>
      <c r="C4534" s="1" t="s">
        <v>12739</v>
      </c>
      <c r="D4534" s="1" t="s">
        <v>12740</v>
      </c>
      <c r="E4534" s="7">
        <v>1307</v>
      </c>
    </row>
    <row r="4535" spans="1:5" x14ac:dyDescent="0.25">
      <c r="A4535" s="5" t="s">
        <v>6</v>
      </c>
      <c r="B4535" s="5" t="s">
        <v>12741</v>
      </c>
      <c r="C4535" s="1" t="s">
        <v>12742</v>
      </c>
      <c r="D4535" s="1" t="s">
        <v>12743</v>
      </c>
      <c r="E4535" s="7">
        <v>70</v>
      </c>
    </row>
    <row r="4536" spans="1:5" x14ac:dyDescent="0.25">
      <c r="A4536" s="5" t="s">
        <v>6</v>
      </c>
      <c r="B4536" s="5" t="s">
        <v>12744</v>
      </c>
      <c r="C4536" s="1" t="s">
        <v>12745</v>
      </c>
      <c r="D4536" s="1" t="s">
        <v>12746</v>
      </c>
      <c r="E4536" s="7">
        <v>2924</v>
      </c>
    </row>
    <row r="4537" spans="1:5" x14ac:dyDescent="0.25">
      <c r="A4537" s="5" t="s">
        <v>6</v>
      </c>
      <c r="B4537" s="5" t="s">
        <v>12747</v>
      </c>
      <c r="C4537" s="1" t="s">
        <v>12748</v>
      </c>
      <c r="D4537" s="1" t="s">
        <v>12749</v>
      </c>
      <c r="E4537" s="7">
        <v>288</v>
      </c>
    </row>
    <row r="4538" spans="1:5" x14ac:dyDescent="0.25">
      <c r="A4538" s="5" t="s">
        <v>6</v>
      </c>
      <c r="B4538" s="5" t="s">
        <v>12750</v>
      </c>
      <c r="C4538" s="1" t="s">
        <v>12751</v>
      </c>
      <c r="D4538" s="1" t="s">
        <v>12752</v>
      </c>
      <c r="E4538" s="7">
        <v>445</v>
      </c>
    </row>
    <row r="4539" spans="1:5" x14ac:dyDescent="0.25">
      <c r="A4539" s="5" t="s">
        <v>6</v>
      </c>
      <c r="B4539" s="5" t="s">
        <v>12753</v>
      </c>
      <c r="C4539" s="1" t="s">
        <v>12754</v>
      </c>
      <c r="D4539" s="1" t="s">
        <v>12754</v>
      </c>
      <c r="E4539" s="7">
        <v>32</v>
      </c>
    </row>
    <row r="4540" spans="1:5" x14ac:dyDescent="0.25">
      <c r="A4540" s="5" t="s">
        <v>6</v>
      </c>
      <c r="B4540" s="5" t="s">
        <v>12755</v>
      </c>
      <c r="C4540" s="1" t="s">
        <v>12756</v>
      </c>
      <c r="D4540" s="1" t="s">
        <v>12757</v>
      </c>
      <c r="E4540" s="7">
        <v>477</v>
      </c>
    </row>
    <row r="4541" spans="1:5" x14ac:dyDescent="0.25">
      <c r="A4541" s="5" t="s">
        <v>6</v>
      </c>
      <c r="B4541" s="5" t="s">
        <v>12758</v>
      </c>
      <c r="C4541" s="1" t="s">
        <v>12759</v>
      </c>
      <c r="D4541" s="1" t="s">
        <v>12759</v>
      </c>
      <c r="E4541" s="7">
        <v>494</v>
      </c>
    </row>
    <row r="4542" spans="1:5" x14ac:dyDescent="0.25">
      <c r="A4542" s="5" t="s">
        <v>6</v>
      </c>
      <c r="B4542" s="5" t="s">
        <v>12760</v>
      </c>
      <c r="C4542" s="1" t="s">
        <v>12761</v>
      </c>
      <c r="D4542" s="1" t="s">
        <v>12761</v>
      </c>
      <c r="E4542" s="7">
        <v>501</v>
      </c>
    </row>
    <row r="4543" spans="1:5" x14ac:dyDescent="0.25">
      <c r="A4543" s="5" t="s">
        <v>6</v>
      </c>
      <c r="B4543" s="5" t="s">
        <v>12762</v>
      </c>
      <c r="C4543" s="1" t="s">
        <v>12763</v>
      </c>
      <c r="D4543" s="1" t="s">
        <v>12764</v>
      </c>
      <c r="E4543" s="7">
        <v>477</v>
      </c>
    </row>
    <row r="4544" spans="1:5" x14ac:dyDescent="0.25">
      <c r="A4544" s="5" t="s">
        <v>6</v>
      </c>
      <c r="B4544" s="5" t="s">
        <v>12765</v>
      </c>
      <c r="C4544" s="1" t="s">
        <v>12766</v>
      </c>
      <c r="D4544" s="1" t="s">
        <v>12767</v>
      </c>
      <c r="E4544" s="7">
        <v>664</v>
      </c>
    </row>
    <row r="4545" spans="1:5" x14ac:dyDescent="0.25">
      <c r="A4545" s="5" t="s">
        <v>6</v>
      </c>
      <c r="B4545" s="5" t="s">
        <v>12768</v>
      </c>
      <c r="C4545" s="1" t="s">
        <v>12769</v>
      </c>
      <c r="D4545" s="1" t="s">
        <v>12770</v>
      </c>
      <c r="E4545" s="7">
        <v>683</v>
      </c>
    </row>
    <row r="4546" spans="1:5" x14ac:dyDescent="0.25">
      <c r="A4546" s="5" t="s">
        <v>6</v>
      </c>
      <c r="B4546" s="5" t="s">
        <v>12771</v>
      </c>
      <c r="C4546" s="1" t="s">
        <v>12772</v>
      </c>
      <c r="D4546" s="1" t="s">
        <v>12773</v>
      </c>
      <c r="E4546" s="7">
        <v>537</v>
      </c>
    </row>
    <row r="4547" spans="1:5" x14ac:dyDescent="0.25">
      <c r="A4547" s="5" t="s">
        <v>6</v>
      </c>
      <c r="B4547" s="5" t="s">
        <v>12774</v>
      </c>
      <c r="C4547" s="1" t="s">
        <v>12775</v>
      </c>
      <c r="D4547" s="1" t="s">
        <v>12776</v>
      </c>
      <c r="E4547" s="7">
        <v>1040</v>
      </c>
    </row>
    <row r="4548" spans="1:5" x14ac:dyDescent="0.25">
      <c r="A4548" s="5" t="s">
        <v>6</v>
      </c>
      <c r="B4548" s="5" t="s">
        <v>12777</v>
      </c>
      <c r="C4548" s="1" t="s">
        <v>12778</v>
      </c>
      <c r="D4548" s="1" t="s">
        <v>12779</v>
      </c>
      <c r="E4548" s="7">
        <v>173</v>
      </c>
    </row>
    <row r="4549" spans="1:5" x14ac:dyDescent="0.25">
      <c r="A4549" s="5" t="s">
        <v>6</v>
      </c>
      <c r="B4549" s="5" t="s">
        <v>12780</v>
      </c>
      <c r="C4549" s="1" t="s">
        <v>12781</v>
      </c>
      <c r="D4549" s="1" t="s">
        <v>12782</v>
      </c>
      <c r="E4549" s="7">
        <v>1027</v>
      </c>
    </row>
    <row r="4550" spans="1:5" x14ac:dyDescent="0.25">
      <c r="A4550" s="5" t="s">
        <v>6</v>
      </c>
      <c r="B4550" s="5" t="s">
        <v>12783</v>
      </c>
      <c r="C4550" s="1" t="s">
        <v>12784</v>
      </c>
      <c r="D4550" s="1" t="s">
        <v>12785</v>
      </c>
      <c r="E4550" s="7">
        <v>986</v>
      </c>
    </row>
    <row r="4551" spans="1:5" x14ac:dyDescent="0.25">
      <c r="A4551" s="5" t="s">
        <v>6</v>
      </c>
      <c r="B4551" s="5" t="s">
        <v>12786</v>
      </c>
      <c r="C4551" s="1" t="s">
        <v>12787</v>
      </c>
      <c r="D4551" s="1" t="s">
        <v>12788</v>
      </c>
      <c r="E4551" s="7">
        <v>1965</v>
      </c>
    </row>
    <row r="4552" spans="1:5" x14ac:dyDescent="0.25">
      <c r="A4552" s="5" t="s">
        <v>6</v>
      </c>
      <c r="B4552" s="5" t="s">
        <v>12789</v>
      </c>
      <c r="C4552" s="1" t="s">
        <v>12790</v>
      </c>
      <c r="D4552" s="1" t="s">
        <v>12791</v>
      </c>
      <c r="E4552" s="7">
        <v>326</v>
      </c>
    </row>
    <row r="4553" spans="1:5" x14ac:dyDescent="0.25">
      <c r="A4553" s="5" t="s">
        <v>6</v>
      </c>
      <c r="B4553" s="5" t="s">
        <v>12792</v>
      </c>
      <c r="C4553" s="1" t="s">
        <v>12793</v>
      </c>
      <c r="D4553" s="1" t="s">
        <v>12794</v>
      </c>
      <c r="E4553" s="7">
        <v>496</v>
      </c>
    </row>
    <row r="4554" spans="1:5" x14ac:dyDescent="0.25">
      <c r="A4554" s="5" t="s">
        <v>6</v>
      </c>
      <c r="B4554" s="5" t="s">
        <v>12795</v>
      </c>
      <c r="C4554" s="1" t="s">
        <v>12796</v>
      </c>
      <c r="D4554" s="1" t="s">
        <v>12797</v>
      </c>
      <c r="E4554" s="7">
        <v>787</v>
      </c>
    </row>
    <row r="4555" spans="1:5" x14ac:dyDescent="0.25">
      <c r="A4555" s="5" t="s">
        <v>6</v>
      </c>
      <c r="B4555" s="5" t="s">
        <v>12798</v>
      </c>
      <c r="C4555" s="1" t="s">
        <v>12799</v>
      </c>
      <c r="D4555" s="1" t="s">
        <v>12800</v>
      </c>
      <c r="E4555" s="7">
        <v>455</v>
      </c>
    </row>
    <row r="4556" spans="1:5" x14ac:dyDescent="0.25">
      <c r="A4556" s="5" t="s">
        <v>6</v>
      </c>
      <c r="B4556" s="5" t="s">
        <v>12801</v>
      </c>
      <c r="C4556" s="1" t="s">
        <v>12802</v>
      </c>
      <c r="D4556" s="1" t="s">
        <v>12803</v>
      </c>
      <c r="E4556" s="7">
        <v>9016</v>
      </c>
    </row>
    <row r="4557" spans="1:5" x14ac:dyDescent="0.25">
      <c r="A4557" s="5" t="s">
        <v>6</v>
      </c>
      <c r="B4557" s="5" t="s">
        <v>12804</v>
      </c>
      <c r="C4557" s="1" t="s">
        <v>12805</v>
      </c>
      <c r="D4557" s="1" t="s">
        <v>12806</v>
      </c>
      <c r="E4557" s="7">
        <v>9016</v>
      </c>
    </row>
    <row r="4558" spans="1:5" x14ac:dyDescent="0.25">
      <c r="A4558" s="5" t="s">
        <v>6</v>
      </c>
      <c r="B4558" s="5" t="s">
        <v>12807</v>
      </c>
      <c r="C4558" s="1" t="s">
        <v>12808</v>
      </c>
      <c r="D4558" s="1" t="s">
        <v>12809</v>
      </c>
      <c r="E4558" s="7">
        <v>683</v>
      </c>
    </row>
    <row r="4559" spans="1:5" x14ac:dyDescent="0.25">
      <c r="A4559" s="5" t="s">
        <v>6</v>
      </c>
      <c r="B4559" s="5" t="s">
        <v>12810</v>
      </c>
      <c r="C4559" s="1" t="s">
        <v>12811</v>
      </c>
      <c r="D4559" s="1" t="s">
        <v>12812</v>
      </c>
      <c r="E4559" s="7">
        <v>540</v>
      </c>
    </row>
    <row r="4560" spans="1:5" x14ac:dyDescent="0.25">
      <c r="A4560" s="5" t="s">
        <v>6</v>
      </c>
      <c r="B4560" s="5" t="s">
        <v>12813</v>
      </c>
      <c r="C4560" s="1" t="s">
        <v>12814</v>
      </c>
      <c r="D4560" s="1" t="s">
        <v>12815</v>
      </c>
      <c r="E4560" s="7">
        <v>785</v>
      </c>
    </row>
    <row r="4561" spans="1:5" x14ac:dyDescent="0.25">
      <c r="A4561" s="5" t="s">
        <v>6</v>
      </c>
      <c r="B4561" s="5" t="s">
        <v>12816</v>
      </c>
      <c r="C4561" s="1" t="s">
        <v>12817</v>
      </c>
      <c r="D4561" s="1" t="s">
        <v>12818</v>
      </c>
      <c r="E4561" s="7">
        <v>686</v>
      </c>
    </row>
    <row r="4562" spans="1:5" x14ac:dyDescent="0.25">
      <c r="A4562" s="5" t="s">
        <v>6</v>
      </c>
      <c r="B4562" s="5" t="s">
        <v>12819</v>
      </c>
      <c r="C4562" s="1" t="s">
        <v>12820</v>
      </c>
      <c r="D4562" s="1" t="s">
        <v>12821</v>
      </c>
      <c r="E4562" s="7">
        <v>1635</v>
      </c>
    </row>
    <row r="4563" spans="1:5" x14ac:dyDescent="0.25">
      <c r="A4563" s="5" t="s">
        <v>6</v>
      </c>
      <c r="B4563" s="5" t="s">
        <v>12822</v>
      </c>
      <c r="C4563" s="1" t="s">
        <v>3937</v>
      </c>
      <c r="D4563" s="1" t="s">
        <v>3937</v>
      </c>
      <c r="E4563" s="7">
        <v>3630</v>
      </c>
    </row>
    <row r="4564" spans="1:5" x14ac:dyDescent="0.25">
      <c r="A4564" s="5" t="s">
        <v>6</v>
      </c>
      <c r="B4564" s="5" t="s">
        <v>12823</v>
      </c>
      <c r="C4564" s="1" t="s">
        <v>12824</v>
      </c>
      <c r="D4564" s="1" t="s">
        <v>12825</v>
      </c>
      <c r="E4564" s="7">
        <v>481</v>
      </c>
    </row>
    <row r="4565" spans="1:5" x14ac:dyDescent="0.25">
      <c r="A4565" s="5" t="s">
        <v>6</v>
      </c>
      <c r="B4565" s="5" t="s">
        <v>12826</v>
      </c>
      <c r="C4565" s="1" t="s">
        <v>12827</v>
      </c>
      <c r="D4565" s="1" t="s">
        <v>12828</v>
      </c>
      <c r="E4565" s="7">
        <v>281</v>
      </c>
    </row>
    <row r="4566" spans="1:5" x14ac:dyDescent="0.25">
      <c r="A4566" s="5" t="s">
        <v>6</v>
      </c>
      <c r="B4566" s="5" t="s">
        <v>12829</v>
      </c>
      <c r="C4566" s="1" t="s">
        <v>12830</v>
      </c>
      <c r="D4566" s="1" t="s">
        <v>12831</v>
      </c>
      <c r="E4566" s="7">
        <v>281</v>
      </c>
    </row>
    <row r="4567" spans="1:5" x14ac:dyDescent="0.25">
      <c r="A4567" s="5" t="s">
        <v>6</v>
      </c>
      <c r="B4567" s="5" t="s">
        <v>12832</v>
      </c>
      <c r="C4567" s="1" t="s">
        <v>12833</v>
      </c>
      <c r="D4567" s="1" t="s">
        <v>12833</v>
      </c>
      <c r="E4567" s="7">
        <v>549</v>
      </c>
    </row>
    <row r="4568" spans="1:5" x14ac:dyDescent="0.25">
      <c r="A4568" s="5" t="s">
        <v>6</v>
      </c>
      <c r="B4568" s="5" t="s">
        <v>12834</v>
      </c>
      <c r="C4568" s="1" t="s">
        <v>12835</v>
      </c>
      <c r="D4568" s="1" t="s">
        <v>12836</v>
      </c>
      <c r="E4568" s="7">
        <v>785</v>
      </c>
    </row>
    <row r="4569" spans="1:5" x14ac:dyDescent="0.25">
      <c r="A4569" s="5" t="s">
        <v>6</v>
      </c>
      <c r="B4569" s="5" t="s">
        <v>12837</v>
      </c>
      <c r="C4569" s="1" t="s">
        <v>12838</v>
      </c>
      <c r="D4569" s="1" t="s">
        <v>12838</v>
      </c>
      <c r="E4569" s="7">
        <v>9016</v>
      </c>
    </row>
    <row r="4570" spans="1:5" x14ac:dyDescent="0.25">
      <c r="A4570" s="5" t="s">
        <v>6</v>
      </c>
      <c r="B4570" s="5" t="s">
        <v>12839</v>
      </c>
      <c r="C4570" s="1" t="s">
        <v>12840</v>
      </c>
      <c r="D4570" s="1" t="s">
        <v>12841</v>
      </c>
      <c r="E4570" s="7">
        <v>13929</v>
      </c>
    </row>
    <row r="4571" spans="1:5" x14ac:dyDescent="0.25">
      <c r="A4571" s="5" t="s">
        <v>6</v>
      </c>
      <c r="B4571" s="5" t="s">
        <v>12842</v>
      </c>
      <c r="C4571" s="1" t="s">
        <v>12843</v>
      </c>
      <c r="D4571" s="1" t="s">
        <v>12844</v>
      </c>
      <c r="E4571" s="7">
        <v>11843</v>
      </c>
    </row>
    <row r="4572" spans="1:5" x14ac:dyDescent="0.25">
      <c r="A4572" s="5" t="s">
        <v>6</v>
      </c>
      <c r="B4572" s="5" t="s">
        <v>12845</v>
      </c>
      <c r="C4572" s="1" t="s">
        <v>12846</v>
      </c>
      <c r="D4572" s="1" t="s">
        <v>12847</v>
      </c>
      <c r="E4572" s="7">
        <v>2399</v>
      </c>
    </row>
    <row r="4573" spans="1:5" x14ac:dyDescent="0.25">
      <c r="A4573" s="5" t="s">
        <v>6</v>
      </c>
      <c r="B4573" s="5" t="s">
        <v>12848</v>
      </c>
      <c r="C4573" s="1" t="s">
        <v>12849</v>
      </c>
      <c r="D4573" s="1" t="s">
        <v>12850</v>
      </c>
      <c r="E4573" s="7">
        <v>2632</v>
      </c>
    </row>
    <row r="4574" spans="1:5" x14ac:dyDescent="0.25">
      <c r="A4574" s="5" t="s">
        <v>6</v>
      </c>
      <c r="B4574" s="5" t="s">
        <v>12851</v>
      </c>
      <c r="C4574" s="1" t="s">
        <v>12852</v>
      </c>
      <c r="D4574" s="1" t="s">
        <v>12853</v>
      </c>
      <c r="E4574" s="7">
        <v>761</v>
      </c>
    </row>
    <row r="4575" spans="1:5" x14ac:dyDescent="0.25">
      <c r="A4575" s="5" t="s">
        <v>6</v>
      </c>
      <c r="B4575" s="5" t="s">
        <v>12854</v>
      </c>
      <c r="C4575" s="1" t="s">
        <v>12855</v>
      </c>
      <c r="D4575" s="1" t="s">
        <v>12856</v>
      </c>
      <c r="E4575" s="7">
        <v>2318</v>
      </c>
    </row>
    <row r="4576" spans="1:5" x14ac:dyDescent="0.25">
      <c r="A4576" s="5" t="s">
        <v>6</v>
      </c>
      <c r="B4576" s="5" t="s">
        <v>12857</v>
      </c>
      <c r="C4576" s="1" t="s">
        <v>12858</v>
      </c>
      <c r="D4576" s="1" t="s">
        <v>12859</v>
      </c>
      <c r="E4576" s="7">
        <v>567</v>
      </c>
    </row>
    <row r="4577" spans="1:5" x14ac:dyDescent="0.25">
      <c r="A4577" s="5" t="s">
        <v>6</v>
      </c>
      <c r="B4577" s="5" t="s">
        <v>12860</v>
      </c>
      <c r="C4577" s="1" t="s">
        <v>12861</v>
      </c>
      <c r="D4577" s="1" t="s">
        <v>12861</v>
      </c>
      <c r="E4577" s="7">
        <v>747</v>
      </c>
    </row>
    <row r="4578" spans="1:5" x14ac:dyDescent="0.25">
      <c r="A4578" s="5" t="s">
        <v>6</v>
      </c>
      <c r="B4578" s="5" t="s">
        <v>12862</v>
      </c>
      <c r="C4578" s="1" t="s">
        <v>12863</v>
      </c>
      <c r="D4578" s="1" t="s">
        <v>12864</v>
      </c>
      <c r="E4578" s="7">
        <v>1650</v>
      </c>
    </row>
    <row r="4579" spans="1:5" x14ac:dyDescent="0.25">
      <c r="A4579" s="5" t="s">
        <v>6</v>
      </c>
      <c r="B4579" s="5" t="s">
        <v>12865</v>
      </c>
      <c r="C4579" s="1" t="s">
        <v>12866</v>
      </c>
      <c r="D4579" s="1" t="s">
        <v>12867</v>
      </c>
      <c r="E4579" s="7">
        <v>9016</v>
      </c>
    </row>
    <row r="4580" spans="1:5" x14ac:dyDescent="0.25">
      <c r="A4580" s="5" t="s">
        <v>6</v>
      </c>
      <c r="B4580" s="5" t="s">
        <v>12868</v>
      </c>
      <c r="C4580" s="1" t="s">
        <v>12869</v>
      </c>
      <c r="D4580" s="1" t="s">
        <v>12870</v>
      </c>
      <c r="E4580" s="7">
        <v>786</v>
      </c>
    </row>
    <row r="4581" spans="1:5" x14ac:dyDescent="0.25">
      <c r="A4581" s="5" t="s">
        <v>6</v>
      </c>
      <c r="B4581" s="5" t="s">
        <v>12871</v>
      </c>
      <c r="C4581" s="1" t="s">
        <v>12872</v>
      </c>
      <c r="D4581" s="1" t="s">
        <v>12872</v>
      </c>
      <c r="E4581" s="7">
        <v>481</v>
      </c>
    </row>
    <row r="4582" spans="1:5" x14ac:dyDescent="0.25">
      <c r="A4582" s="5" t="s">
        <v>6</v>
      </c>
      <c r="B4582" s="5" t="s">
        <v>12873</v>
      </c>
      <c r="C4582" s="1" t="s">
        <v>12874</v>
      </c>
      <c r="D4582" s="1" t="s">
        <v>12874</v>
      </c>
      <c r="E4582" s="7">
        <v>278</v>
      </c>
    </row>
    <row r="4583" spans="1:5" x14ac:dyDescent="0.25">
      <c r="A4583" s="5" t="s">
        <v>6</v>
      </c>
      <c r="B4583" s="5" t="s">
        <v>12875</v>
      </c>
      <c r="C4583" s="1" t="s">
        <v>12876</v>
      </c>
      <c r="D4583" s="1" t="s">
        <v>12877</v>
      </c>
      <c r="E4583" s="7">
        <v>522</v>
      </c>
    </row>
    <row r="4584" spans="1:5" x14ac:dyDescent="0.25">
      <c r="A4584" s="5" t="s">
        <v>6</v>
      </c>
      <c r="B4584" s="5" t="s">
        <v>12878</v>
      </c>
      <c r="C4584" s="1" t="s">
        <v>12879</v>
      </c>
      <c r="D4584" s="1" t="s">
        <v>12880</v>
      </c>
      <c r="E4584" s="7">
        <v>2178</v>
      </c>
    </row>
    <row r="4585" spans="1:5" x14ac:dyDescent="0.25">
      <c r="A4585" s="5" t="s">
        <v>6</v>
      </c>
      <c r="B4585" s="5" t="s">
        <v>12881</v>
      </c>
      <c r="C4585" s="1" t="s">
        <v>12882</v>
      </c>
      <c r="D4585" s="1" t="s">
        <v>12883</v>
      </c>
      <c r="E4585" s="7">
        <v>2016</v>
      </c>
    </row>
    <row r="4586" spans="1:5" x14ac:dyDescent="0.25">
      <c r="A4586" s="5" t="s">
        <v>6</v>
      </c>
      <c r="B4586" s="5" t="s">
        <v>12884</v>
      </c>
      <c r="C4586" s="1" t="s">
        <v>12885</v>
      </c>
      <c r="D4586" s="1" t="s">
        <v>12886</v>
      </c>
      <c r="E4586" s="7">
        <v>9016</v>
      </c>
    </row>
    <row r="4587" spans="1:5" x14ac:dyDescent="0.25">
      <c r="A4587" s="5" t="s">
        <v>6</v>
      </c>
      <c r="B4587" s="5" t="s">
        <v>12887</v>
      </c>
      <c r="C4587" s="1" t="s">
        <v>12888</v>
      </c>
      <c r="D4587" s="1" t="s">
        <v>12889</v>
      </c>
      <c r="E4587" s="7">
        <v>9016</v>
      </c>
    </row>
    <row r="4588" spans="1:5" x14ac:dyDescent="0.25">
      <c r="A4588" s="5" t="s">
        <v>6</v>
      </c>
      <c r="B4588" s="5" t="s">
        <v>12890</v>
      </c>
      <c r="C4588" s="1" t="s">
        <v>12891</v>
      </c>
      <c r="D4588" s="1" t="s">
        <v>12892</v>
      </c>
      <c r="E4588" s="7">
        <v>9016</v>
      </c>
    </row>
    <row r="4589" spans="1:5" x14ac:dyDescent="0.25">
      <c r="A4589" s="5" t="s">
        <v>6</v>
      </c>
      <c r="B4589" s="5" t="s">
        <v>12893</v>
      </c>
      <c r="C4589" s="1" t="s">
        <v>12894</v>
      </c>
      <c r="D4589" s="1" t="s">
        <v>12895</v>
      </c>
      <c r="E4589" s="7">
        <v>9016</v>
      </c>
    </row>
    <row r="4590" spans="1:5" x14ac:dyDescent="0.25">
      <c r="A4590" s="5" t="s">
        <v>6</v>
      </c>
      <c r="B4590" s="5" t="s">
        <v>12896</v>
      </c>
      <c r="C4590" s="1" t="s">
        <v>12897</v>
      </c>
      <c r="D4590" s="1" t="s">
        <v>12898</v>
      </c>
      <c r="E4590" s="7">
        <v>9016</v>
      </c>
    </row>
    <row r="4591" spans="1:5" x14ac:dyDescent="0.25">
      <c r="A4591" s="5" t="s">
        <v>6</v>
      </c>
      <c r="B4591" s="5" t="s">
        <v>12899</v>
      </c>
      <c r="C4591" s="1" t="s">
        <v>12900</v>
      </c>
      <c r="D4591" s="1" t="s">
        <v>12901</v>
      </c>
      <c r="E4591" s="7">
        <v>500</v>
      </c>
    </row>
    <row r="4592" spans="1:5" x14ac:dyDescent="0.25">
      <c r="A4592" s="5" t="s">
        <v>6</v>
      </c>
      <c r="B4592" s="5" t="s">
        <v>12902</v>
      </c>
      <c r="C4592" s="1" t="s">
        <v>12903</v>
      </c>
      <c r="D4592" s="1" t="s">
        <v>12901</v>
      </c>
      <c r="E4592" s="7">
        <v>500</v>
      </c>
    </row>
    <row r="4593" spans="1:5" x14ac:dyDescent="0.25">
      <c r="A4593" s="5" t="s">
        <v>6</v>
      </c>
      <c r="B4593" s="5" t="s">
        <v>12904</v>
      </c>
      <c r="C4593" s="1" t="s">
        <v>12905</v>
      </c>
      <c r="D4593" s="1" t="s">
        <v>12906</v>
      </c>
      <c r="E4593" s="7">
        <v>1055</v>
      </c>
    </row>
    <row r="4594" spans="1:5" x14ac:dyDescent="0.25">
      <c r="A4594" s="5" t="s">
        <v>6</v>
      </c>
      <c r="B4594" s="5" t="s">
        <v>12907</v>
      </c>
      <c r="C4594" s="1" t="s">
        <v>12908</v>
      </c>
      <c r="D4594" s="1" t="s">
        <v>12909</v>
      </c>
      <c r="E4594" s="7">
        <v>885</v>
      </c>
    </row>
    <row r="4595" spans="1:5" x14ac:dyDescent="0.25">
      <c r="A4595" s="5" t="s">
        <v>6</v>
      </c>
      <c r="B4595" s="5" t="s">
        <v>12910</v>
      </c>
      <c r="C4595" s="1" t="s">
        <v>12911</v>
      </c>
      <c r="D4595" s="1" t="s">
        <v>12912</v>
      </c>
      <c r="E4595" s="7">
        <v>729</v>
      </c>
    </row>
    <row r="4596" spans="1:5" x14ac:dyDescent="0.25">
      <c r="A4596" s="5" t="s">
        <v>6</v>
      </c>
      <c r="B4596" s="5" t="s">
        <v>12913</v>
      </c>
      <c r="C4596" s="1" t="s">
        <v>12914</v>
      </c>
      <c r="D4596" s="1" t="s">
        <v>12915</v>
      </c>
      <c r="E4596" s="7">
        <v>251</v>
      </c>
    </row>
    <row r="4597" spans="1:5" x14ac:dyDescent="0.25">
      <c r="A4597" s="5" t="s">
        <v>6</v>
      </c>
      <c r="B4597" s="5" t="s">
        <v>12916</v>
      </c>
      <c r="C4597" s="1" t="s">
        <v>12917</v>
      </c>
      <c r="D4597" s="1" t="s">
        <v>12918</v>
      </c>
      <c r="E4597" s="7">
        <v>1093</v>
      </c>
    </row>
    <row r="4598" spans="1:5" x14ac:dyDescent="0.25">
      <c r="A4598" s="5" t="s">
        <v>6</v>
      </c>
      <c r="B4598" s="5" t="s">
        <v>12919</v>
      </c>
      <c r="C4598" s="1" t="s">
        <v>12920</v>
      </c>
      <c r="D4598" s="1" t="s">
        <v>12918</v>
      </c>
      <c r="E4598" s="7">
        <v>1093</v>
      </c>
    </row>
    <row r="4599" spans="1:5" x14ac:dyDescent="0.25">
      <c r="A4599" s="5" t="s">
        <v>6</v>
      </c>
      <c r="B4599" s="5" t="s">
        <v>12921</v>
      </c>
      <c r="C4599" s="1" t="s">
        <v>12922</v>
      </c>
      <c r="D4599" s="1" t="s">
        <v>12922</v>
      </c>
      <c r="E4599" s="7">
        <v>2835</v>
      </c>
    </row>
    <row r="4600" spans="1:5" x14ac:dyDescent="0.25">
      <c r="A4600" s="5" t="s">
        <v>6</v>
      </c>
      <c r="B4600" s="5" t="s">
        <v>12923</v>
      </c>
      <c r="C4600" s="1" t="s">
        <v>12924</v>
      </c>
      <c r="D4600" s="1" t="s">
        <v>12924</v>
      </c>
      <c r="E4600" s="7">
        <v>2835</v>
      </c>
    </row>
    <row r="4601" spans="1:5" x14ac:dyDescent="0.25">
      <c r="A4601" s="5" t="s">
        <v>6</v>
      </c>
      <c r="B4601" s="5" t="s">
        <v>12925</v>
      </c>
      <c r="C4601" s="1" t="s">
        <v>12926</v>
      </c>
      <c r="D4601" s="1" t="s">
        <v>12926</v>
      </c>
      <c r="E4601" s="7">
        <v>1713</v>
      </c>
    </row>
    <row r="4602" spans="1:5" x14ac:dyDescent="0.25">
      <c r="A4602" s="5" t="s">
        <v>6</v>
      </c>
      <c r="B4602" s="5" t="s">
        <v>12927</v>
      </c>
      <c r="C4602" s="1" t="s">
        <v>12928</v>
      </c>
      <c r="D4602" s="1" t="s">
        <v>12929</v>
      </c>
      <c r="E4602" s="7">
        <v>4803</v>
      </c>
    </row>
    <row r="4603" spans="1:5" x14ac:dyDescent="0.25">
      <c r="A4603" s="5" t="s">
        <v>6</v>
      </c>
      <c r="B4603" s="5" t="s">
        <v>12930</v>
      </c>
      <c r="C4603" s="1" t="s">
        <v>4481</v>
      </c>
      <c r="D4603" s="1" t="s">
        <v>4482</v>
      </c>
      <c r="E4603" s="7">
        <v>726</v>
      </c>
    </row>
    <row r="4604" spans="1:5" x14ac:dyDescent="0.25">
      <c r="A4604" s="5" t="s">
        <v>6</v>
      </c>
      <c r="B4604" s="5" t="s">
        <v>12931</v>
      </c>
      <c r="C4604" s="1" t="s">
        <v>12932</v>
      </c>
      <c r="D4604" s="1" t="s">
        <v>12933</v>
      </c>
      <c r="E4604" s="7">
        <v>2835</v>
      </c>
    </row>
    <row r="4605" spans="1:5" x14ac:dyDescent="0.25">
      <c r="A4605" s="5" t="s">
        <v>6</v>
      </c>
      <c r="B4605" s="5" t="s">
        <v>12934</v>
      </c>
      <c r="C4605" s="1" t="s">
        <v>12935</v>
      </c>
      <c r="D4605" s="1" t="s">
        <v>12936</v>
      </c>
      <c r="E4605" s="7">
        <v>323</v>
      </c>
    </row>
    <row r="4606" spans="1:5" x14ac:dyDescent="0.25">
      <c r="A4606" s="5" t="s">
        <v>6</v>
      </c>
      <c r="B4606" s="5" t="s">
        <v>12937</v>
      </c>
      <c r="C4606" s="1" t="s">
        <v>12938</v>
      </c>
      <c r="D4606" s="1" t="s">
        <v>12939</v>
      </c>
      <c r="E4606" s="7">
        <v>217</v>
      </c>
    </row>
    <row r="4607" spans="1:5" x14ac:dyDescent="0.25">
      <c r="A4607" s="5" t="s">
        <v>6</v>
      </c>
      <c r="B4607" s="5" t="s">
        <v>12940</v>
      </c>
      <c r="C4607" s="1" t="s">
        <v>12941</v>
      </c>
      <c r="D4607" s="1" t="s">
        <v>12942</v>
      </c>
      <c r="E4607" s="7">
        <v>160</v>
      </c>
    </row>
    <row r="4608" spans="1:5" x14ac:dyDescent="0.25">
      <c r="A4608" s="5" t="s">
        <v>6</v>
      </c>
      <c r="B4608" s="5" t="s">
        <v>12943</v>
      </c>
      <c r="C4608" s="1" t="s">
        <v>12944</v>
      </c>
      <c r="D4608" s="1" t="s">
        <v>12945</v>
      </c>
      <c r="E4608" s="7">
        <v>386</v>
      </c>
    </row>
    <row r="4609" spans="1:5" x14ac:dyDescent="0.25">
      <c r="A4609" s="5" t="s">
        <v>6</v>
      </c>
      <c r="B4609" s="5" t="s">
        <v>12946</v>
      </c>
      <c r="C4609" s="1" t="s">
        <v>12947</v>
      </c>
      <c r="D4609" s="1" t="s">
        <v>12948</v>
      </c>
      <c r="E4609" s="7">
        <v>211</v>
      </c>
    </row>
    <row r="4610" spans="1:5" x14ac:dyDescent="0.25">
      <c r="A4610" s="5" t="s">
        <v>6</v>
      </c>
      <c r="B4610" s="5" t="s">
        <v>12949</v>
      </c>
      <c r="C4610" s="1" t="s">
        <v>12950</v>
      </c>
      <c r="D4610" s="1" t="s">
        <v>12951</v>
      </c>
      <c r="E4610" s="7">
        <v>346</v>
      </c>
    </row>
    <row r="4611" spans="1:5" x14ac:dyDescent="0.25">
      <c r="A4611" s="5" t="s">
        <v>6</v>
      </c>
      <c r="B4611" s="5" t="s">
        <v>12952</v>
      </c>
      <c r="C4611" s="1" t="s">
        <v>12953</v>
      </c>
      <c r="D4611" s="1" t="s">
        <v>12954</v>
      </c>
      <c r="E4611" s="7">
        <v>218</v>
      </c>
    </row>
    <row r="4612" spans="1:5" x14ac:dyDescent="0.25">
      <c r="A4612" s="5" t="s">
        <v>6</v>
      </c>
      <c r="B4612" s="5" t="s">
        <v>12955</v>
      </c>
      <c r="C4612" s="1" t="s">
        <v>12956</v>
      </c>
      <c r="D4612" s="1" t="s">
        <v>12957</v>
      </c>
      <c r="E4612" s="7">
        <v>356</v>
      </c>
    </row>
    <row r="4613" spans="1:5" x14ac:dyDescent="0.25">
      <c r="A4613" s="5" t="s">
        <v>6</v>
      </c>
      <c r="B4613" s="5" t="s">
        <v>12958</v>
      </c>
      <c r="C4613" s="1" t="s">
        <v>12959</v>
      </c>
      <c r="D4613" s="1" t="s">
        <v>12957</v>
      </c>
      <c r="E4613" s="7">
        <v>356</v>
      </c>
    </row>
    <row r="4614" spans="1:5" x14ac:dyDescent="0.25">
      <c r="A4614" s="5" t="s">
        <v>6</v>
      </c>
      <c r="B4614" s="5" t="s">
        <v>12960</v>
      </c>
      <c r="C4614" s="1" t="s">
        <v>12961</v>
      </c>
      <c r="D4614" s="1" t="s">
        <v>12962</v>
      </c>
      <c r="E4614" s="7">
        <v>288</v>
      </c>
    </row>
    <row r="4615" spans="1:5" x14ac:dyDescent="0.25">
      <c r="A4615" s="5" t="s">
        <v>6</v>
      </c>
      <c r="B4615" s="5" t="s">
        <v>12963</v>
      </c>
      <c r="C4615" s="1" t="s">
        <v>12964</v>
      </c>
      <c r="D4615" s="1" t="s">
        <v>12965</v>
      </c>
      <c r="E4615" s="7">
        <v>213</v>
      </c>
    </row>
    <row r="4616" spans="1:5" x14ac:dyDescent="0.25">
      <c r="A4616" s="5" t="s">
        <v>6</v>
      </c>
      <c r="B4616" s="5" t="s">
        <v>12966</v>
      </c>
      <c r="C4616" s="1" t="s">
        <v>12967</v>
      </c>
      <c r="D4616" s="1" t="s">
        <v>12968</v>
      </c>
      <c r="E4616" s="7">
        <v>197</v>
      </c>
    </row>
    <row r="4617" spans="1:5" x14ac:dyDescent="0.25">
      <c r="A4617" s="5" t="s">
        <v>6</v>
      </c>
      <c r="B4617" s="5" t="s">
        <v>12969</v>
      </c>
      <c r="C4617" s="1" t="s">
        <v>12970</v>
      </c>
      <c r="D4617" s="1" t="s">
        <v>12971</v>
      </c>
      <c r="E4617" s="7">
        <v>218</v>
      </c>
    </row>
    <row r="4618" spans="1:5" x14ac:dyDescent="0.25">
      <c r="A4618" s="5" t="s">
        <v>6</v>
      </c>
      <c r="B4618" s="5" t="s">
        <v>12972</v>
      </c>
      <c r="C4618" s="1" t="s">
        <v>12973</v>
      </c>
      <c r="D4618" s="1" t="s">
        <v>12974</v>
      </c>
      <c r="E4618" s="7">
        <v>299</v>
      </c>
    </row>
    <row r="4619" spans="1:5" x14ac:dyDescent="0.25">
      <c r="A4619" s="5" t="s">
        <v>6</v>
      </c>
      <c r="B4619" s="5" t="s">
        <v>12975</v>
      </c>
      <c r="C4619" s="1" t="s">
        <v>12976</v>
      </c>
      <c r="D4619" s="1" t="s">
        <v>12977</v>
      </c>
      <c r="E4619" s="7">
        <v>299</v>
      </c>
    </row>
    <row r="4620" spans="1:5" x14ac:dyDescent="0.25">
      <c r="A4620" s="5" t="s">
        <v>6</v>
      </c>
      <c r="B4620" s="5" t="s">
        <v>12978</v>
      </c>
      <c r="C4620" s="1" t="s">
        <v>12979</v>
      </c>
      <c r="D4620" s="1" t="s">
        <v>12980</v>
      </c>
      <c r="E4620" s="7">
        <v>299</v>
      </c>
    </row>
    <row r="4621" spans="1:5" x14ac:dyDescent="0.25">
      <c r="A4621" s="5" t="s">
        <v>6</v>
      </c>
      <c r="B4621" s="5" t="s">
        <v>12981</v>
      </c>
      <c r="C4621" s="1" t="s">
        <v>12982</v>
      </c>
      <c r="D4621" s="1" t="s">
        <v>12983</v>
      </c>
      <c r="E4621" s="7">
        <v>299</v>
      </c>
    </row>
    <row r="4622" spans="1:5" x14ac:dyDescent="0.25">
      <c r="A4622" s="5" t="s">
        <v>6</v>
      </c>
      <c r="B4622" s="5" t="s">
        <v>12984</v>
      </c>
      <c r="C4622" s="1" t="s">
        <v>12985</v>
      </c>
      <c r="D4622" s="1" t="s">
        <v>12986</v>
      </c>
      <c r="E4622" s="7">
        <v>461</v>
      </c>
    </row>
    <row r="4623" spans="1:5" x14ac:dyDescent="0.25">
      <c r="A4623" s="5" t="s">
        <v>6</v>
      </c>
      <c r="B4623" s="5" t="s">
        <v>12987</v>
      </c>
      <c r="C4623" s="1" t="s">
        <v>12988</v>
      </c>
      <c r="D4623" s="1" t="s">
        <v>12989</v>
      </c>
      <c r="E4623" s="7">
        <v>461</v>
      </c>
    </row>
    <row r="4624" spans="1:5" x14ac:dyDescent="0.25">
      <c r="A4624" s="5" t="s">
        <v>6</v>
      </c>
      <c r="B4624" s="5" t="s">
        <v>12990</v>
      </c>
      <c r="C4624" s="1" t="s">
        <v>12991</v>
      </c>
      <c r="D4624" s="1" t="s">
        <v>12992</v>
      </c>
      <c r="E4624" s="7">
        <v>243</v>
      </c>
    </row>
    <row r="4625" spans="1:5" x14ac:dyDescent="0.25">
      <c r="A4625" s="5" t="s">
        <v>6</v>
      </c>
      <c r="B4625" s="5" t="s">
        <v>12993</v>
      </c>
      <c r="C4625" s="1" t="s">
        <v>12994</v>
      </c>
      <c r="D4625" s="1" t="s">
        <v>12995</v>
      </c>
      <c r="E4625" s="7">
        <v>205</v>
      </c>
    </row>
    <row r="4626" spans="1:5" x14ac:dyDescent="0.25">
      <c r="A4626" s="5" t="s">
        <v>6</v>
      </c>
      <c r="B4626" s="5" t="s">
        <v>12996</v>
      </c>
      <c r="C4626" s="1" t="s">
        <v>12997</v>
      </c>
      <c r="D4626" s="1" t="s">
        <v>12998</v>
      </c>
      <c r="E4626" s="7">
        <v>323</v>
      </c>
    </row>
    <row r="4627" spans="1:5" x14ac:dyDescent="0.25">
      <c r="A4627" s="5" t="s">
        <v>6</v>
      </c>
      <c r="B4627" s="5" t="s">
        <v>12999</v>
      </c>
      <c r="C4627" s="1" t="s">
        <v>13000</v>
      </c>
      <c r="D4627" s="1" t="s">
        <v>13001</v>
      </c>
      <c r="E4627" s="7">
        <v>717</v>
      </c>
    </row>
    <row r="4628" spans="1:5" x14ac:dyDescent="0.25">
      <c r="A4628" s="5" t="s">
        <v>6</v>
      </c>
      <c r="B4628" s="5" t="s">
        <v>13002</v>
      </c>
      <c r="C4628" s="1" t="s">
        <v>13003</v>
      </c>
      <c r="D4628" s="1" t="s">
        <v>13004</v>
      </c>
      <c r="E4628" s="7">
        <v>800</v>
      </c>
    </row>
    <row r="4629" spans="1:5" x14ac:dyDescent="0.25">
      <c r="A4629" s="5" t="s">
        <v>6</v>
      </c>
      <c r="B4629" s="5" t="s">
        <v>13005</v>
      </c>
      <c r="C4629" s="1" t="s">
        <v>13006</v>
      </c>
      <c r="D4629" s="1" t="s">
        <v>13007</v>
      </c>
      <c r="E4629" s="7">
        <v>428</v>
      </c>
    </row>
    <row r="4630" spans="1:5" x14ac:dyDescent="0.25">
      <c r="A4630" s="5" t="s">
        <v>6</v>
      </c>
      <c r="B4630" s="5" t="s">
        <v>13008</v>
      </c>
      <c r="C4630" s="1" t="s">
        <v>13009</v>
      </c>
      <c r="D4630" s="1" t="s">
        <v>13010</v>
      </c>
      <c r="E4630" s="7">
        <v>218</v>
      </c>
    </row>
    <row r="4631" spans="1:5" x14ac:dyDescent="0.25">
      <c r="A4631" s="5" t="s">
        <v>6</v>
      </c>
      <c r="B4631" s="5" t="s">
        <v>13011</v>
      </c>
      <c r="C4631" s="1" t="s">
        <v>13012</v>
      </c>
      <c r="D4631" s="1" t="s">
        <v>13013</v>
      </c>
      <c r="E4631" s="7">
        <v>1104</v>
      </c>
    </row>
    <row r="4632" spans="1:5" x14ac:dyDescent="0.25">
      <c r="A4632" s="5" t="s">
        <v>6</v>
      </c>
      <c r="B4632" s="5" t="s">
        <v>13014</v>
      </c>
      <c r="C4632" s="1" t="s">
        <v>13015</v>
      </c>
      <c r="D4632" s="1" t="s">
        <v>13016</v>
      </c>
      <c r="E4632" s="7">
        <v>1054</v>
      </c>
    </row>
    <row r="4633" spans="1:5" x14ac:dyDescent="0.25">
      <c r="A4633" s="5" t="s">
        <v>6</v>
      </c>
      <c r="B4633" s="5" t="s">
        <v>13017</v>
      </c>
      <c r="C4633" s="1" t="s">
        <v>13018</v>
      </c>
      <c r="D4633" s="1" t="s">
        <v>13019</v>
      </c>
      <c r="E4633" s="7">
        <v>1054</v>
      </c>
    </row>
    <row r="4634" spans="1:5" x14ac:dyDescent="0.25">
      <c r="A4634" s="5" t="s">
        <v>6</v>
      </c>
      <c r="B4634" s="5" t="s">
        <v>13020</v>
      </c>
      <c r="C4634" s="1" t="s">
        <v>13021</v>
      </c>
      <c r="D4634" s="1" t="s">
        <v>13021</v>
      </c>
      <c r="E4634" s="7">
        <v>345</v>
      </c>
    </row>
    <row r="4635" spans="1:5" x14ac:dyDescent="0.25">
      <c r="A4635" s="5" t="s">
        <v>6</v>
      </c>
      <c r="B4635" s="5" t="s">
        <v>13022</v>
      </c>
      <c r="C4635" s="1" t="s">
        <v>13023</v>
      </c>
      <c r="D4635" s="1" t="s">
        <v>13024</v>
      </c>
      <c r="E4635" s="7">
        <v>160</v>
      </c>
    </row>
    <row r="4636" spans="1:5" x14ac:dyDescent="0.25">
      <c r="A4636" s="5" t="s">
        <v>6</v>
      </c>
      <c r="B4636" s="5" t="s">
        <v>13025</v>
      </c>
      <c r="C4636" s="1" t="s">
        <v>13026</v>
      </c>
      <c r="D4636" s="1" t="s">
        <v>13027</v>
      </c>
      <c r="E4636" s="7">
        <v>386</v>
      </c>
    </row>
    <row r="4637" spans="1:5" x14ac:dyDescent="0.25">
      <c r="A4637" s="5" t="s">
        <v>6</v>
      </c>
      <c r="B4637" s="5" t="s">
        <v>13028</v>
      </c>
      <c r="C4637" s="1" t="s">
        <v>13029</v>
      </c>
      <c r="D4637" s="1" t="s">
        <v>13030</v>
      </c>
      <c r="E4637" s="7">
        <v>211</v>
      </c>
    </row>
    <row r="4638" spans="1:5" x14ac:dyDescent="0.25">
      <c r="A4638" s="5" t="s">
        <v>6</v>
      </c>
      <c r="B4638" s="5" t="s">
        <v>13031</v>
      </c>
      <c r="C4638" s="1" t="s">
        <v>13032</v>
      </c>
      <c r="D4638" s="1" t="s">
        <v>13033</v>
      </c>
      <c r="E4638" s="7">
        <v>346</v>
      </c>
    </row>
    <row r="4639" spans="1:5" x14ac:dyDescent="0.25">
      <c r="A4639" s="5" t="s">
        <v>6</v>
      </c>
      <c r="B4639" s="5" t="s">
        <v>13034</v>
      </c>
      <c r="C4639" s="1" t="s">
        <v>13035</v>
      </c>
      <c r="D4639" s="1" t="s">
        <v>13036</v>
      </c>
      <c r="E4639" s="7">
        <v>218</v>
      </c>
    </row>
    <row r="4640" spans="1:5" x14ac:dyDescent="0.25">
      <c r="A4640" s="5" t="s">
        <v>6</v>
      </c>
      <c r="B4640" s="5" t="s">
        <v>13037</v>
      </c>
      <c r="C4640" s="1" t="s">
        <v>13038</v>
      </c>
      <c r="D4640" s="1" t="s">
        <v>13039</v>
      </c>
      <c r="E4640" s="7">
        <v>356</v>
      </c>
    </row>
    <row r="4641" spans="1:5" x14ac:dyDescent="0.25">
      <c r="A4641" s="5" t="s">
        <v>6</v>
      </c>
      <c r="B4641" s="5" t="s">
        <v>13040</v>
      </c>
      <c r="C4641" s="1" t="s">
        <v>13041</v>
      </c>
      <c r="D4641" s="1" t="s">
        <v>13042</v>
      </c>
      <c r="E4641" s="7">
        <v>356</v>
      </c>
    </row>
    <row r="4642" spans="1:5" x14ac:dyDescent="0.25">
      <c r="A4642" s="5" t="s">
        <v>6</v>
      </c>
      <c r="B4642" s="5" t="s">
        <v>13043</v>
      </c>
      <c r="C4642" s="1" t="s">
        <v>13044</v>
      </c>
      <c r="D4642" s="1" t="s">
        <v>13045</v>
      </c>
      <c r="E4642" s="7">
        <v>197</v>
      </c>
    </row>
    <row r="4643" spans="1:5" x14ac:dyDescent="0.25">
      <c r="A4643" s="5" t="s">
        <v>6</v>
      </c>
      <c r="B4643" s="5" t="s">
        <v>13046</v>
      </c>
      <c r="C4643" s="1" t="s">
        <v>13047</v>
      </c>
      <c r="D4643" s="1" t="s">
        <v>13048</v>
      </c>
      <c r="E4643" s="7">
        <v>461</v>
      </c>
    </row>
    <row r="4644" spans="1:5" x14ac:dyDescent="0.25">
      <c r="A4644" s="5" t="s">
        <v>6</v>
      </c>
      <c r="B4644" s="5" t="s">
        <v>13049</v>
      </c>
      <c r="C4644" s="1" t="s">
        <v>13050</v>
      </c>
      <c r="D4644" s="1" t="s">
        <v>13051</v>
      </c>
      <c r="E4644" s="7">
        <v>461</v>
      </c>
    </row>
    <row r="4645" spans="1:5" x14ac:dyDescent="0.25">
      <c r="A4645" s="5" t="s">
        <v>6</v>
      </c>
      <c r="B4645" s="5" t="s">
        <v>13052</v>
      </c>
      <c r="C4645" s="1" t="s">
        <v>13053</v>
      </c>
      <c r="D4645" s="1" t="s">
        <v>13054</v>
      </c>
      <c r="E4645" s="7">
        <v>243</v>
      </c>
    </row>
    <row r="4646" spans="1:5" x14ac:dyDescent="0.25">
      <c r="A4646" s="5" t="s">
        <v>6</v>
      </c>
      <c r="B4646" s="5" t="s">
        <v>13055</v>
      </c>
      <c r="C4646" s="1" t="s">
        <v>13056</v>
      </c>
      <c r="D4646" s="1" t="s">
        <v>13057</v>
      </c>
      <c r="E4646" s="7">
        <v>299</v>
      </c>
    </row>
    <row r="4647" spans="1:5" x14ac:dyDescent="0.25">
      <c r="A4647" s="5" t="s">
        <v>6</v>
      </c>
      <c r="B4647" s="5" t="s">
        <v>13058</v>
      </c>
      <c r="C4647" s="1" t="s">
        <v>13059</v>
      </c>
      <c r="D4647" s="1" t="s">
        <v>13060</v>
      </c>
      <c r="E4647" s="7">
        <v>299</v>
      </c>
    </row>
    <row r="4648" spans="1:5" x14ac:dyDescent="0.25">
      <c r="A4648" s="5" t="s">
        <v>6</v>
      </c>
      <c r="B4648" s="5" t="s">
        <v>13061</v>
      </c>
      <c r="C4648" s="1" t="s">
        <v>13062</v>
      </c>
      <c r="D4648" s="1" t="s">
        <v>13060</v>
      </c>
      <c r="E4648" s="7">
        <v>299</v>
      </c>
    </row>
    <row r="4649" spans="1:5" x14ac:dyDescent="0.25">
      <c r="A4649" s="5" t="s">
        <v>6</v>
      </c>
      <c r="B4649" s="5" t="s">
        <v>13063</v>
      </c>
      <c r="C4649" s="1" t="s">
        <v>13064</v>
      </c>
      <c r="D4649" s="1" t="s">
        <v>13060</v>
      </c>
      <c r="E4649" s="7">
        <v>299</v>
      </c>
    </row>
    <row r="4650" spans="1:5" x14ac:dyDescent="0.25">
      <c r="A4650" s="5" t="s">
        <v>6</v>
      </c>
      <c r="B4650" s="5" t="s">
        <v>13065</v>
      </c>
      <c r="C4650" s="1" t="s">
        <v>13066</v>
      </c>
      <c r="D4650" s="1" t="s">
        <v>13067</v>
      </c>
      <c r="E4650" s="7">
        <v>708</v>
      </c>
    </row>
    <row r="4651" spans="1:5" x14ac:dyDescent="0.25">
      <c r="A4651" s="5" t="s">
        <v>6</v>
      </c>
      <c r="B4651" s="5" t="s">
        <v>13068</v>
      </c>
      <c r="C4651" s="1" t="s">
        <v>13069</v>
      </c>
      <c r="D4651" s="1" t="s">
        <v>13070</v>
      </c>
      <c r="E4651" s="7">
        <v>347</v>
      </c>
    </row>
    <row r="4652" spans="1:5" x14ac:dyDescent="0.25">
      <c r="A4652" s="5" t="s">
        <v>6</v>
      </c>
      <c r="B4652" s="5" t="s">
        <v>13071</v>
      </c>
      <c r="C4652" s="1" t="s">
        <v>13072</v>
      </c>
      <c r="D4652" s="1" t="s">
        <v>13073</v>
      </c>
      <c r="E4652" s="7">
        <v>217</v>
      </c>
    </row>
    <row r="4653" spans="1:5" x14ac:dyDescent="0.25">
      <c r="A4653" s="5" t="s">
        <v>6</v>
      </c>
      <c r="B4653" s="5" t="s">
        <v>13074</v>
      </c>
      <c r="C4653" s="1" t="s">
        <v>13075</v>
      </c>
      <c r="D4653" s="1" t="s">
        <v>13076</v>
      </c>
      <c r="E4653" s="7">
        <v>288</v>
      </c>
    </row>
    <row r="4654" spans="1:5" x14ac:dyDescent="0.25">
      <c r="A4654" s="5" t="s">
        <v>6</v>
      </c>
      <c r="B4654" s="5" t="s">
        <v>13077</v>
      </c>
      <c r="C4654" s="1" t="s">
        <v>13078</v>
      </c>
      <c r="D4654" s="1" t="s">
        <v>13079</v>
      </c>
      <c r="E4654" s="7">
        <v>213</v>
      </c>
    </row>
    <row r="4655" spans="1:5" x14ac:dyDescent="0.25">
      <c r="A4655" s="5" t="s">
        <v>6</v>
      </c>
      <c r="B4655" s="5" t="s">
        <v>13080</v>
      </c>
      <c r="C4655" s="1" t="s">
        <v>13081</v>
      </c>
      <c r="D4655" s="1" t="s">
        <v>13082</v>
      </c>
      <c r="E4655" s="7">
        <v>205</v>
      </c>
    </row>
    <row r="4656" spans="1:5" x14ac:dyDescent="0.25">
      <c r="A4656" s="5" t="s">
        <v>6</v>
      </c>
      <c r="B4656" s="5" t="s">
        <v>13083</v>
      </c>
      <c r="C4656" s="1" t="s">
        <v>13084</v>
      </c>
      <c r="D4656" s="1" t="s">
        <v>13085</v>
      </c>
      <c r="E4656" s="7">
        <v>346</v>
      </c>
    </row>
    <row r="4657" spans="1:5" x14ac:dyDescent="0.25">
      <c r="A4657" s="5" t="s">
        <v>6</v>
      </c>
      <c r="B4657" s="5" t="s">
        <v>13086</v>
      </c>
      <c r="C4657" s="1" t="s">
        <v>13087</v>
      </c>
      <c r="D4657" s="1" t="s">
        <v>13088</v>
      </c>
      <c r="E4657" s="7">
        <v>356</v>
      </c>
    </row>
    <row r="4658" spans="1:5" x14ac:dyDescent="0.25">
      <c r="A4658" s="5" t="s">
        <v>6</v>
      </c>
      <c r="B4658" s="5" t="s">
        <v>13089</v>
      </c>
      <c r="C4658" s="1" t="s">
        <v>13090</v>
      </c>
      <c r="D4658" s="1" t="s">
        <v>13091</v>
      </c>
      <c r="E4658" s="7">
        <v>288</v>
      </c>
    </row>
    <row r="4659" spans="1:5" x14ac:dyDescent="0.25">
      <c r="A4659" s="5" t="s">
        <v>6</v>
      </c>
      <c r="B4659" s="5" t="s">
        <v>13092</v>
      </c>
      <c r="C4659" s="1" t="s">
        <v>13093</v>
      </c>
      <c r="D4659" s="1" t="s">
        <v>13094</v>
      </c>
      <c r="E4659" s="7">
        <v>1104</v>
      </c>
    </row>
    <row r="4660" spans="1:5" x14ac:dyDescent="0.25">
      <c r="A4660" s="5" t="s">
        <v>6</v>
      </c>
      <c r="B4660" s="5" t="s">
        <v>13095</v>
      </c>
      <c r="C4660" s="1" t="s">
        <v>13096</v>
      </c>
      <c r="D4660" s="1" t="s">
        <v>13097</v>
      </c>
      <c r="E4660" s="7">
        <v>1054</v>
      </c>
    </row>
    <row r="4661" spans="1:5" x14ac:dyDescent="0.25">
      <c r="A4661" s="5" t="s">
        <v>6</v>
      </c>
      <c r="B4661" s="5" t="s">
        <v>13098</v>
      </c>
      <c r="C4661" s="1" t="s">
        <v>13099</v>
      </c>
      <c r="D4661" s="1" t="s">
        <v>13100</v>
      </c>
      <c r="E4661" s="7">
        <v>345</v>
      </c>
    </row>
    <row r="4662" spans="1:5" x14ac:dyDescent="0.25">
      <c r="A4662" s="5" t="s">
        <v>6</v>
      </c>
      <c r="B4662" s="5" t="s">
        <v>13101</v>
      </c>
      <c r="C4662" s="1" t="s">
        <v>13102</v>
      </c>
      <c r="D4662" s="1" t="s">
        <v>13103</v>
      </c>
      <c r="E4662" s="7">
        <v>461</v>
      </c>
    </row>
    <row r="4663" spans="1:5" x14ac:dyDescent="0.25">
      <c r="A4663" s="5" t="s">
        <v>6</v>
      </c>
      <c r="B4663" s="5" t="s">
        <v>13104</v>
      </c>
      <c r="C4663" s="1" t="s">
        <v>13105</v>
      </c>
      <c r="D4663" s="1" t="s">
        <v>13106</v>
      </c>
      <c r="E4663" s="7">
        <v>205</v>
      </c>
    </row>
    <row r="4664" spans="1:5" x14ac:dyDescent="0.25">
      <c r="A4664" s="5" t="s">
        <v>6</v>
      </c>
      <c r="B4664" s="5" t="s">
        <v>13107</v>
      </c>
      <c r="C4664" s="1" t="s">
        <v>13108</v>
      </c>
      <c r="D4664" s="1" t="s">
        <v>13109</v>
      </c>
      <c r="E4664" s="7">
        <v>393</v>
      </c>
    </row>
    <row r="4665" spans="1:5" x14ac:dyDescent="0.25">
      <c r="A4665" s="5" t="s">
        <v>6</v>
      </c>
      <c r="B4665" s="5" t="s">
        <v>13110</v>
      </c>
      <c r="C4665" s="1" t="s">
        <v>13111</v>
      </c>
      <c r="D4665" s="1" t="s">
        <v>13112</v>
      </c>
      <c r="E4665" s="7">
        <v>393</v>
      </c>
    </row>
    <row r="4666" spans="1:5" x14ac:dyDescent="0.25">
      <c r="A4666" s="5" t="s">
        <v>6</v>
      </c>
      <c r="B4666" s="5" t="s">
        <v>13113</v>
      </c>
      <c r="C4666" s="1" t="s">
        <v>13114</v>
      </c>
      <c r="D4666" s="1" t="s">
        <v>13115</v>
      </c>
      <c r="E4666" s="7">
        <v>255</v>
      </c>
    </row>
    <row r="4667" spans="1:5" x14ac:dyDescent="0.25">
      <c r="A4667" s="5" t="s">
        <v>6</v>
      </c>
      <c r="B4667" s="5" t="s">
        <v>13116</v>
      </c>
      <c r="C4667" s="1" t="s">
        <v>13117</v>
      </c>
      <c r="D4667" s="1" t="s">
        <v>13118</v>
      </c>
      <c r="E4667" s="7">
        <v>199</v>
      </c>
    </row>
    <row r="4668" spans="1:5" x14ac:dyDescent="0.25">
      <c r="A4668" s="5" t="s">
        <v>6</v>
      </c>
      <c r="B4668" s="5" t="s">
        <v>13119</v>
      </c>
      <c r="C4668" s="1" t="s">
        <v>13120</v>
      </c>
      <c r="D4668" s="1" t="s">
        <v>13121</v>
      </c>
      <c r="E4668" s="7">
        <v>390</v>
      </c>
    </row>
    <row r="4669" spans="1:5" x14ac:dyDescent="0.25">
      <c r="A4669" s="5" t="s">
        <v>6</v>
      </c>
      <c r="B4669" s="5" t="s">
        <v>13122</v>
      </c>
      <c r="C4669" s="1" t="s">
        <v>13123</v>
      </c>
      <c r="D4669" s="1" t="s">
        <v>13124</v>
      </c>
      <c r="E4669" s="7">
        <v>199</v>
      </c>
    </row>
    <row r="4670" spans="1:5" x14ac:dyDescent="0.25">
      <c r="A4670" s="5" t="s">
        <v>6</v>
      </c>
      <c r="B4670" s="5" t="s">
        <v>13125</v>
      </c>
      <c r="C4670" s="1" t="s">
        <v>13126</v>
      </c>
      <c r="D4670" s="1" t="s">
        <v>13127</v>
      </c>
      <c r="E4670" s="7">
        <v>289</v>
      </c>
    </row>
    <row r="4671" spans="1:5" x14ac:dyDescent="0.25">
      <c r="A4671" s="5" t="s">
        <v>6</v>
      </c>
      <c r="B4671" s="5" t="s">
        <v>13128</v>
      </c>
      <c r="C4671" s="1" t="s">
        <v>13129</v>
      </c>
      <c r="D4671" s="1" t="s">
        <v>13130</v>
      </c>
      <c r="E4671" s="7">
        <v>254</v>
      </c>
    </row>
    <row r="4672" spans="1:5" x14ac:dyDescent="0.25">
      <c r="A4672" s="5" t="s">
        <v>6</v>
      </c>
      <c r="B4672" s="5" t="s">
        <v>13131</v>
      </c>
      <c r="C4672" s="1" t="s">
        <v>13132</v>
      </c>
      <c r="D4672" s="1" t="s">
        <v>13133</v>
      </c>
      <c r="E4672" s="7">
        <v>341</v>
      </c>
    </row>
    <row r="4673" spans="1:5" x14ac:dyDescent="0.25">
      <c r="A4673" s="5" t="s">
        <v>6</v>
      </c>
      <c r="B4673" s="5" t="s">
        <v>13134</v>
      </c>
      <c r="C4673" s="1" t="s">
        <v>13135</v>
      </c>
      <c r="D4673" s="1" t="s">
        <v>13136</v>
      </c>
      <c r="E4673" s="7">
        <v>388</v>
      </c>
    </row>
    <row r="4674" spans="1:5" x14ac:dyDescent="0.25">
      <c r="A4674" s="5" t="s">
        <v>6</v>
      </c>
      <c r="B4674" s="5" t="s">
        <v>13137</v>
      </c>
      <c r="C4674" s="1" t="s">
        <v>13138</v>
      </c>
      <c r="D4674" s="1" t="s">
        <v>13139</v>
      </c>
      <c r="E4674" s="7">
        <v>243</v>
      </c>
    </row>
    <row r="4675" spans="1:5" x14ac:dyDescent="0.25">
      <c r="A4675" s="5" t="s">
        <v>6</v>
      </c>
      <c r="B4675" s="5" t="s">
        <v>13140</v>
      </c>
      <c r="C4675" s="1" t="s">
        <v>13141</v>
      </c>
      <c r="D4675" s="1" t="s">
        <v>13142</v>
      </c>
      <c r="E4675" s="7">
        <v>455</v>
      </c>
    </row>
    <row r="4676" spans="1:5" x14ac:dyDescent="0.25">
      <c r="A4676" s="5" t="s">
        <v>6</v>
      </c>
      <c r="B4676" s="5" t="s">
        <v>13143</v>
      </c>
      <c r="C4676" s="1" t="s">
        <v>13144</v>
      </c>
      <c r="D4676" s="1" t="s">
        <v>13142</v>
      </c>
      <c r="E4676" s="7">
        <v>455</v>
      </c>
    </row>
    <row r="4677" spans="1:5" x14ac:dyDescent="0.25">
      <c r="A4677" s="5" t="s">
        <v>6</v>
      </c>
      <c r="B4677" s="5" t="s">
        <v>13145</v>
      </c>
      <c r="C4677" s="1" t="s">
        <v>13146</v>
      </c>
      <c r="D4677" s="1" t="s">
        <v>13147</v>
      </c>
      <c r="E4677" s="7">
        <v>424</v>
      </c>
    </row>
    <row r="4678" spans="1:5" x14ac:dyDescent="0.25">
      <c r="A4678" s="5" t="s">
        <v>6</v>
      </c>
      <c r="B4678" s="5" t="s">
        <v>13148</v>
      </c>
      <c r="C4678" s="1" t="s">
        <v>13149</v>
      </c>
      <c r="D4678" s="1" t="s">
        <v>13150</v>
      </c>
      <c r="E4678" s="7">
        <v>424</v>
      </c>
    </row>
    <row r="4679" spans="1:5" x14ac:dyDescent="0.25">
      <c r="A4679" s="5" t="s">
        <v>6</v>
      </c>
      <c r="B4679" s="5" t="s">
        <v>13151</v>
      </c>
      <c r="C4679" s="1" t="s">
        <v>13152</v>
      </c>
      <c r="D4679" s="1" t="s">
        <v>13153</v>
      </c>
      <c r="E4679" s="7">
        <v>243</v>
      </c>
    </row>
    <row r="4680" spans="1:5" x14ac:dyDescent="0.25">
      <c r="A4680" s="5" t="s">
        <v>6</v>
      </c>
      <c r="B4680" s="5" t="s">
        <v>13154</v>
      </c>
      <c r="C4680" s="1" t="s">
        <v>13155</v>
      </c>
      <c r="D4680" s="1" t="s">
        <v>13156</v>
      </c>
      <c r="E4680" s="7">
        <v>273</v>
      </c>
    </row>
    <row r="4681" spans="1:5" x14ac:dyDescent="0.25">
      <c r="A4681" s="5" t="s">
        <v>6</v>
      </c>
      <c r="B4681" s="5" t="s">
        <v>13157</v>
      </c>
      <c r="C4681" s="1" t="s">
        <v>13158</v>
      </c>
      <c r="D4681" s="1" t="s">
        <v>13159</v>
      </c>
      <c r="E4681" s="7">
        <v>273</v>
      </c>
    </row>
    <row r="4682" spans="1:5" x14ac:dyDescent="0.25">
      <c r="A4682" s="5" t="s">
        <v>6</v>
      </c>
      <c r="B4682" s="5" t="s">
        <v>13160</v>
      </c>
      <c r="C4682" s="1" t="s">
        <v>13161</v>
      </c>
      <c r="D4682" s="1" t="s">
        <v>13162</v>
      </c>
      <c r="E4682" s="7">
        <v>1178</v>
      </c>
    </row>
    <row r="4683" spans="1:5" x14ac:dyDescent="0.25">
      <c r="A4683" s="5" t="s">
        <v>6</v>
      </c>
      <c r="B4683" s="5" t="s">
        <v>13163</v>
      </c>
      <c r="C4683" s="1" t="s">
        <v>13164</v>
      </c>
      <c r="D4683" s="1" t="s">
        <v>13165</v>
      </c>
      <c r="E4683" s="7">
        <v>589</v>
      </c>
    </row>
    <row r="4684" spans="1:5" x14ac:dyDescent="0.25">
      <c r="A4684" s="5" t="s">
        <v>6</v>
      </c>
      <c r="B4684" s="5" t="s">
        <v>13166</v>
      </c>
      <c r="C4684" s="1" t="s">
        <v>13167</v>
      </c>
      <c r="D4684" s="1" t="s">
        <v>13168</v>
      </c>
      <c r="E4684" s="7">
        <v>463</v>
      </c>
    </row>
    <row r="4685" spans="1:5" x14ac:dyDescent="0.25">
      <c r="A4685" s="5" t="s">
        <v>6</v>
      </c>
      <c r="B4685" s="5" t="s">
        <v>13169</v>
      </c>
      <c r="C4685" s="1" t="s">
        <v>13170</v>
      </c>
      <c r="D4685" s="1" t="s">
        <v>13171</v>
      </c>
      <c r="E4685" s="7">
        <v>230</v>
      </c>
    </row>
    <row r="4686" spans="1:5" x14ac:dyDescent="0.25">
      <c r="A4686" s="5" t="s">
        <v>6</v>
      </c>
      <c r="B4686" s="5" t="s">
        <v>13172</v>
      </c>
      <c r="C4686" s="1" t="s">
        <v>13173</v>
      </c>
      <c r="D4686" s="1" t="s">
        <v>13174</v>
      </c>
      <c r="E4686" s="7">
        <v>273</v>
      </c>
    </row>
    <row r="4687" spans="1:5" x14ac:dyDescent="0.25">
      <c r="A4687" s="5" t="s">
        <v>6</v>
      </c>
      <c r="B4687" s="5" t="s">
        <v>13175</v>
      </c>
      <c r="C4687" s="1" t="s">
        <v>13176</v>
      </c>
      <c r="D4687" s="1" t="s">
        <v>13174</v>
      </c>
      <c r="E4687" s="7">
        <v>273</v>
      </c>
    </row>
    <row r="4688" spans="1:5" x14ac:dyDescent="0.25">
      <c r="A4688" s="5" t="s">
        <v>6</v>
      </c>
      <c r="B4688" s="5" t="s">
        <v>13177</v>
      </c>
      <c r="C4688" s="1" t="s">
        <v>13178</v>
      </c>
      <c r="D4688" s="1" t="s">
        <v>13179</v>
      </c>
      <c r="E4688" s="7">
        <v>865</v>
      </c>
    </row>
    <row r="4689" spans="1:5" x14ac:dyDescent="0.25">
      <c r="A4689" s="5" t="s">
        <v>6</v>
      </c>
      <c r="B4689" s="5" t="s">
        <v>13180</v>
      </c>
      <c r="C4689" s="1" t="s">
        <v>13181</v>
      </c>
      <c r="D4689" s="1" t="s">
        <v>13182</v>
      </c>
      <c r="E4689" s="7">
        <v>1064</v>
      </c>
    </row>
    <row r="4690" spans="1:5" x14ac:dyDescent="0.25">
      <c r="A4690" s="5" t="s">
        <v>6</v>
      </c>
      <c r="B4690" s="5" t="s">
        <v>13183</v>
      </c>
      <c r="C4690" s="1" t="s">
        <v>13184</v>
      </c>
      <c r="D4690" s="1" t="s">
        <v>13010</v>
      </c>
      <c r="E4690" s="7">
        <v>255</v>
      </c>
    </row>
    <row r="4691" spans="1:5" x14ac:dyDescent="0.25">
      <c r="A4691" s="5" t="s">
        <v>6</v>
      </c>
      <c r="B4691" s="5" t="s">
        <v>13185</v>
      </c>
      <c r="C4691" s="1" t="s">
        <v>13186</v>
      </c>
      <c r="D4691" s="1" t="s">
        <v>13187</v>
      </c>
      <c r="E4691" s="7">
        <v>598</v>
      </c>
    </row>
    <row r="4692" spans="1:5" x14ac:dyDescent="0.25">
      <c r="A4692" s="5" t="s">
        <v>6</v>
      </c>
      <c r="B4692" s="5" t="s">
        <v>13188</v>
      </c>
      <c r="C4692" s="1" t="s">
        <v>13189</v>
      </c>
      <c r="D4692" s="1" t="s">
        <v>13190</v>
      </c>
      <c r="E4692" s="7">
        <v>613</v>
      </c>
    </row>
    <row r="4693" spans="1:5" x14ac:dyDescent="0.25">
      <c r="A4693" s="5" t="s">
        <v>6</v>
      </c>
      <c r="B4693" s="5" t="s">
        <v>13191</v>
      </c>
      <c r="C4693" s="1" t="s">
        <v>13192</v>
      </c>
      <c r="D4693" s="1" t="s">
        <v>13193</v>
      </c>
      <c r="E4693" s="7">
        <v>516</v>
      </c>
    </row>
    <row r="4694" spans="1:5" x14ac:dyDescent="0.25">
      <c r="A4694" s="5" t="s">
        <v>6</v>
      </c>
      <c r="B4694" s="5" t="s">
        <v>13194</v>
      </c>
      <c r="C4694" s="1" t="s">
        <v>13195</v>
      </c>
      <c r="D4694" s="1" t="s">
        <v>13195</v>
      </c>
      <c r="E4694" s="7">
        <v>275</v>
      </c>
    </row>
    <row r="4695" spans="1:5" x14ac:dyDescent="0.25">
      <c r="A4695" s="5" t="s">
        <v>6</v>
      </c>
      <c r="B4695" s="5" t="s">
        <v>13196</v>
      </c>
      <c r="C4695" s="1" t="s">
        <v>13197</v>
      </c>
      <c r="D4695" s="1" t="s">
        <v>13198</v>
      </c>
      <c r="E4695" s="7">
        <v>199</v>
      </c>
    </row>
    <row r="4696" spans="1:5" x14ac:dyDescent="0.25">
      <c r="A4696" s="5" t="s">
        <v>6</v>
      </c>
      <c r="B4696" s="5" t="s">
        <v>13199</v>
      </c>
      <c r="C4696" s="1" t="s">
        <v>13200</v>
      </c>
      <c r="D4696" s="1" t="s">
        <v>13201</v>
      </c>
      <c r="E4696" s="7">
        <v>390</v>
      </c>
    </row>
    <row r="4697" spans="1:5" x14ac:dyDescent="0.25">
      <c r="A4697" s="5" t="s">
        <v>6</v>
      </c>
      <c r="B4697" s="5" t="s">
        <v>13202</v>
      </c>
      <c r="C4697" s="1" t="s">
        <v>13203</v>
      </c>
      <c r="D4697" s="1" t="s">
        <v>13204</v>
      </c>
      <c r="E4697" s="7">
        <v>199</v>
      </c>
    </row>
    <row r="4698" spans="1:5" x14ac:dyDescent="0.25">
      <c r="A4698" s="5" t="s">
        <v>6</v>
      </c>
      <c r="B4698" s="5" t="s">
        <v>13205</v>
      </c>
      <c r="C4698" s="1" t="s">
        <v>13206</v>
      </c>
      <c r="D4698" s="1" t="s">
        <v>13207</v>
      </c>
      <c r="E4698" s="7">
        <v>289</v>
      </c>
    </row>
    <row r="4699" spans="1:5" x14ac:dyDescent="0.25">
      <c r="A4699" s="5" t="s">
        <v>6</v>
      </c>
      <c r="B4699" s="5" t="s">
        <v>13208</v>
      </c>
      <c r="C4699" s="1" t="s">
        <v>13209</v>
      </c>
      <c r="D4699" s="1" t="s">
        <v>13210</v>
      </c>
      <c r="E4699" s="7">
        <v>254</v>
      </c>
    </row>
    <row r="4700" spans="1:5" x14ac:dyDescent="0.25">
      <c r="A4700" s="5" t="s">
        <v>6</v>
      </c>
      <c r="B4700" s="5" t="s">
        <v>13211</v>
      </c>
      <c r="C4700" s="1" t="s">
        <v>13212</v>
      </c>
      <c r="D4700" s="1" t="s">
        <v>13213</v>
      </c>
      <c r="E4700" s="7">
        <v>341</v>
      </c>
    </row>
    <row r="4701" spans="1:5" x14ac:dyDescent="0.25">
      <c r="A4701" s="5" t="s">
        <v>6</v>
      </c>
      <c r="B4701" s="5" t="s">
        <v>13214</v>
      </c>
      <c r="C4701" s="1" t="s">
        <v>13215</v>
      </c>
      <c r="D4701" s="1" t="s">
        <v>13216</v>
      </c>
      <c r="E4701" s="7">
        <v>388</v>
      </c>
    </row>
    <row r="4702" spans="1:5" x14ac:dyDescent="0.25">
      <c r="A4702" s="5" t="s">
        <v>6</v>
      </c>
      <c r="B4702" s="5" t="s">
        <v>13217</v>
      </c>
      <c r="C4702" s="1" t="s">
        <v>13218</v>
      </c>
      <c r="D4702" s="1" t="s">
        <v>13219</v>
      </c>
      <c r="E4702" s="7">
        <v>243</v>
      </c>
    </row>
    <row r="4703" spans="1:5" x14ac:dyDescent="0.25">
      <c r="A4703" s="5" t="s">
        <v>6</v>
      </c>
      <c r="B4703" s="5" t="s">
        <v>13220</v>
      </c>
      <c r="C4703" s="1" t="s">
        <v>13221</v>
      </c>
      <c r="D4703" s="1" t="s">
        <v>13222</v>
      </c>
      <c r="E4703" s="7">
        <v>455</v>
      </c>
    </row>
    <row r="4704" spans="1:5" x14ac:dyDescent="0.25">
      <c r="A4704" s="5" t="s">
        <v>6</v>
      </c>
      <c r="B4704" s="5" t="s">
        <v>13223</v>
      </c>
      <c r="C4704" s="1" t="s">
        <v>13224</v>
      </c>
      <c r="D4704" s="1" t="s">
        <v>13225</v>
      </c>
      <c r="E4704" s="7">
        <v>455</v>
      </c>
    </row>
    <row r="4705" spans="1:5" x14ac:dyDescent="0.25">
      <c r="A4705" s="5" t="s">
        <v>6</v>
      </c>
      <c r="B4705" s="5" t="s">
        <v>13226</v>
      </c>
      <c r="C4705" s="1" t="s">
        <v>13227</v>
      </c>
      <c r="D4705" s="1" t="s">
        <v>13228</v>
      </c>
      <c r="E4705" s="7">
        <v>424</v>
      </c>
    </row>
    <row r="4706" spans="1:5" x14ac:dyDescent="0.25">
      <c r="A4706" s="5" t="s">
        <v>6</v>
      </c>
      <c r="B4706" s="5" t="s">
        <v>13229</v>
      </c>
      <c r="C4706" s="1" t="s">
        <v>13230</v>
      </c>
      <c r="D4706" s="1" t="s">
        <v>13231</v>
      </c>
      <c r="E4706" s="7">
        <v>424</v>
      </c>
    </row>
    <row r="4707" spans="1:5" x14ac:dyDescent="0.25">
      <c r="A4707" s="5" t="s">
        <v>6</v>
      </c>
      <c r="B4707" s="5" t="s">
        <v>13232</v>
      </c>
      <c r="C4707" s="1" t="s">
        <v>13233</v>
      </c>
      <c r="D4707" s="1" t="s">
        <v>13054</v>
      </c>
      <c r="E4707" s="7">
        <v>243</v>
      </c>
    </row>
    <row r="4708" spans="1:5" x14ac:dyDescent="0.25">
      <c r="A4708" s="5" t="s">
        <v>6</v>
      </c>
      <c r="B4708" s="5" t="s">
        <v>13234</v>
      </c>
      <c r="C4708" s="1" t="s">
        <v>13235</v>
      </c>
      <c r="D4708" s="1" t="s">
        <v>13174</v>
      </c>
      <c r="E4708" s="7">
        <v>273</v>
      </c>
    </row>
    <row r="4709" spans="1:5" x14ac:dyDescent="0.25">
      <c r="A4709" s="5" t="s">
        <v>6</v>
      </c>
      <c r="B4709" s="5" t="s">
        <v>13236</v>
      </c>
      <c r="C4709" s="1" t="s">
        <v>13237</v>
      </c>
      <c r="D4709" s="1" t="s">
        <v>13238</v>
      </c>
      <c r="E4709" s="7">
        <v>289</v>
      </c>
    </row>
    <row r="4710" spans="1:5" x14ac:dyDescent="0.25">
      <c r="A4710" s="5" t="s">
        <v>6</v>
      </c>
      <c r="B4710" s="5" t="s">
        <v>13239</v>
      </c>
      <c r="C4710" s="1" t="s">
        <v>13240</v>
      </c>
      <c r="D4710" s="1" t="s">
        <v>13241</v>
      </c>
      <c r="E4710" s="7">
        <v>341</v>
      </c>
    </row>
    <row r="4711" spans="1:5" x14ac:dyDescent="0.25">
      <c r="A4711" s="5" t="s">
        <v>6</v>
      </c>
      <c r="B4711" s="5" t="s">
        <v>13242</v>
      </c>
      <c r="C4711" s="1" t="s">
        <v>13243</v>
      </c>
      <c r="D4711" s="1" t="s">
        <v>13159</v>
      </c>
      <c r="E4711" s="7">
        <v>273</v>
      </c>
    </row>
    <row r="4712" spans="1:5" x14ac:dyDescent="0.25">
      <c r="A4712" s="5" t="s">
        <v>6</v>
      </c>
      <c r="B4712" s="5" t="s">
        <v>13244</v>
      </c>
      <c r="C4712" s="1" t="s">
        <v>13245</v>
      </c>
      <c r="D4712" s="1" t="s">
        <v>13246</v>
      </c>
      <c r="E4712" s="7">
        <v>598</v>
      </c>
    </row>
    <row r="4713" spans="1:5" x14ac:dyDescent="0.25">
      <c r="A4713" s="5" t="s">
        <v>6</v>
      </c>
      <c r="B4713" s="5" t="s">
        <v>13247</v>
      </c>
      <c r="C4713" s="1" t="s">
        <v>13248</v>
      </c>
      <c r="D4713" s="1" t="s">
        <v>13249</v>
      </c>
      <c r="E4713" s="7">
        <v>613</v>
      </c>
    </row>
    <row r="4714" spans="1:5" x14ac:dyDescent="0.25">
      <c r="A4714" s="5" t="s">
        <v>6</v>
      </c>
      <c r="B4714" s="5" t="s">
        <v>13250</v>
      </c>
      <c r="C4714" s="1" t="s">
        <v>13251</v>
      </c>
      <c r="D4714" s="1" t="s">
        <v>13252</v>
      </c>
      <c r="E4714" s="7">
        <v>275</v>
      </c>
    </row>
    <row r="4715" spans="1:5" x14ac:dyDescent="0.25">
      <c r="A4715" s="5" t="s">
        <v>6</v>
      </c>
      <c r="B4715" s="5" t="s">
        <v>13253</v>
      </c>
      <c r="C4715" s="1" t="s">
        <v>13254</v>
      </c>
      <c r="D4715" s="1" t="s">
        <v>13255</v>
      </c>
      <c r="E4715" s="7">
        <v>455</v>
      </c>
    </row>
    <row r="4716" spans="1:5" x14ac:dyDescent="0.25">
      <c r="A4716" s="5" t="s">
        <v>6</v>
      </c>
      <c r="B4716" s="5" t="s">
        <v>13256</v>
      </c>
      <c r="C4716" s="1" t="s">
        <v>13257</v>
      </c>
      <c r="D4716" s="1" t="s">
        <v>13258</v>
      </c>
      <c r="E4716" s="7">
        <v>424</v>
      </c>
    </row>
    <row r="4717" spans="1:5" x14ac:dyDescent="0.25">
      <c r="A4717" s="5" t="s">
        <v>6</v>
      </c>
      <c r="B4717" s="5" t="s">
        <v>13259</v>
      </c>
      <c r="C4717" s="1" t="s">
        <v>13260</v>
      </c>
      <c r="D4717" s="1" t="s">
        <v>13261</v>
      </c>
      <c r="E4717" s="7">
        <v>428</v>
      </c>
    </row>
    <row r="4718" spans="1:5" x14ac:dyDescent="0.25">
      <c r="A4718" s="5" t="s">
        <v>6</v>
      </c>
      <c r="B4718" s="5" t="s">
        <v>13262</v>
      </c>
      <c r="C4718" s="1" t="s">
        <v>13263</v>
      </c>
      <c r="D4718" s="1" t="s">
        <v>13264</v>
      </c>
      <c r="E4718" s="7">
        <v>428</v>
      </c>
    </row>
    <row r="4719" spans="1:5" x14ac:dyDescent="0.25">
      <c r="A4719" s="5" t="s">
        <v>6</v>
      </c>
      <c r="B4719" s="5" t="s">
        <v>13265</v>
      </c>
      <c r="C4719" s="1" t="s">
        <v>13266</v>
      </c>
      <c r="D4719" s="1" t="s">
        <v>13267</v>
      </c>
      <c r="E4719" s="7">
        <v>957</v>
      </c>
    </row>
    <row r="4720" spans="1:5" x14ac:dyDescent="0.25">
      <c r="A4720" s="5" t="s">
        <v>6</v>
      </c>
      <c r="B4720" s="5" t="s">
        <v>13268</v>
      </c>
      <c r="C4720" s="1" t="s">
        <v>13269</v>
      </c>
      <c r="D4720" s="1" t="s">
        <v>13267</v>
      </c>
      <c r="E4720" s="7">
        <v>957</v>
      </c>
    </row>
    <row r="4721" spans="1:5" x14ac:dyDescent="0.25">
      <c r="A4721" s="5" t="s">
        <v>6</v>
      </c>
      <c r="B4721" s="5" t="s">
        <v>13270</v>
      </c>
      <c r="C4721" s="1" t="s">
        <v>13271</v>
      </c>
      <c r="D4721" s="1" t="s">
        <v>13272</v>
      </c>
      <c r="E4721" s="7">
        <v>806</v>
      </c>
    </row>
    <row r="4722" spans="1:5" x14ac:dyDescent="0.25">
      <c r="A4722" s="5" t="s">
        <v>6</v>
      </c>
      <c r="B4722" s="5" t="s">
        <v>13273</v>
      </c>
      <c r="C4722" s="1" t="s">
        <v>13274</v>
      </c>
      <c r="D4722" s="1" t="s">
        <v>13275</v>
      </c>
      <c r="E4722" s="7">
        <v>523</v>
      </c>
    </row>
    <row r="4723" spans="1:5" x14ac:dyDescent="0.25">
      <c r="A4723" s="5" t="s">
        <v>6</v>
      </c>
      <c r="B4723" s="5" t="s">
        <v>13276</v>
      </c>
      <c r="C4723" s="1" t="s">
        <v>13277</v>
      </c>
      <c r="D4723" s="1" t="s">
        <v>13278</v>
      </c>
      <c r="E4723" s="7">
        <v>523</v>
      </c>
    </row>
    <row r="4724" spans="1:5" x14ac:dyDescent="0.25">
      <c r="A4724" s="5" t="s">
        <v>6</v>
      </c>
      <c r="B4724" s="5" t="s">
        <v>13279</v>
      </c>
      <c r="C4724" s="1" t="s">
        <v>13280</v>
      </c>
      <c r="D4724" s="1" t="s">
        <v>13281</v>
      </c>
      <c r="E4724" s="7">
        <v>523</v>
      </c>
    </row>
    <row r="4725" spans="1:5" x14ac:dyDescent="0.25">
      <c r="A4725" s="5" t="s">
        <v>6</v>
      </c>
      <c r="B4725" s="5" t="s">
        <v>13282</v>
      </c>
      <c r="C4725" s="1" t="s">
        <v>13283</v>
      </c>
      <c r="D4725" s="1" t="s">
        <v>13284</v>
      </c>
      <c r="E4725" s="7">
        <v>713</v>
      </c>
    </row>
    <row r="4726" spans="1:5" x14ac:dyDescent="0.25">
      <c r="A4726" s="5" t="s">
        <v>6</v>
      </c>
      <c r="B4726" s="5" t="s">
        <v>13285</v>
      </c>
      <c r="C4726" s="1" t="s">
        <v>13286</v>
      </c>
      <c r="D4726" s="1" t="s">
        <v>13287</v>
      </c>
      <c r="E4726" s="7">
        <v>713</v>
      </c>
    </row>
    <row r="4727" spans="1:5" x14ac:dyDescent="0.25">
      <c r="A4727" s="5" t="s">
        <v>6</v>
      </c>
      <c r="B4727" s="5" t="s">
        <v>13288</v>
      </c>
      <c r="C4727" s="1" t="s">
        <v>13289</v>
      </c>
      <c r="D4727" s="1" t="s">
        <v>13290</v>
      </c>
      <c r="E4727" s="7">
        <v>713</v>
      </c>
    </row>
    <row r="4728" spans="1:5" x14ac:dyDescent="0.25">
      <c r="A4728" s="5" t="s">
        <v>6</v>
      </c>
      <c r="B4728" s="5" t="s">
        <v>13291</v>
      </c>
      <c r="C4728" s="1" t="s">
        <v>13292</v>
      </c>
      <c r="D4728" s="1" t="s">
        <v>13293</v>
      </c>
      <c r="E4728" s="7">
        <v>568</v>
      </c>
    </row>
    <row r="4729" spans="1:5" x14ac:dyDescent="0.25">
      <c r="A4729" s="5" t="s">
        <v>6</v>
      </c>
      <c r="B4729" s="5" t="s">
        <v>13294</v>
      </c>
      <c r="C4729" s="1" t="s">
        <v>13295</v>
      </c>
      <c r="D4729" s="1" t="s">
        <v>13296</v>
      </c>
      <c r="E4729" s="7">
        <v>568</v>
      </c>
    </row>
    <row r="4730" spans="1:5" x14ac:dyDescent="0.25">
      <c r="A4730" s="5" t="s">
        <v>6</v>
      </c>
      <c r="B4730" s="5" t="s">
        <v>13297</v>
      </c>
      <c r="C4730" s="1" t="s">
        <v>13298</v>
      </c>
      <c r="D4730" s="1" t="s">
        <v>13299</v>
      </c>
      <c r="E4730" s="7">
        <v>568</v>
      </c>
    </row>
    <row r="4731" spans="1:5" x14ac:dyDescent="0.25">
      <c r="A4731" s="5" t="s">
        <v>6</v>
      </c>
      <c r="B4731" s="5" t="s">
        <v>13300</v>
      </c>
      <c r="C4731" s="1" t="s">
        <v>13301</v>
      </c>
      <c r="D4731" s="1" t="s">
        <v>13302</v>
      </c>
      <c r="E4731" s="7">
        <v>523</v>
      </c>
    </row>
    <row r="4732" spans="1:5" x14ac:dyDescent="0.25">
      <c r="A4732" s="5" t="s">
        <v>6</v>
      </c>
      <c r="B4732" s="5" t="s">
        <v>13303</v>
      </c>
      <c r="C4732" s="1" t="s">
        <v>13304</v>
      </c>
      <c r="D4732" s="1" t="s">
        <v>13305</v>
      </c>
      <c r="E4732" s="7">
        <v>957</v>
      </c>
    </row>
    <row r="4733" spans="1:5" x14ac:dyDescent="0.25">
      <c r="A4733" s="5" t="s">
        <v>6</v>
      </c>
      <c r="B4733" s="5" t="s">
        <v>13306</v>
      </c>
      <c r="C4733" s="1" t="s">
        <v>13307</v>
      </c>
      <c r="D4733" s="1" t="s">
        <v>13308</v>
      </c>
      <c r="E4733" s="7">
        <v>1135</v>
      </c>
    </row>
    <row r="4734" spans="1:5" x14ac:dyDescent="0.25">
      <c r="A4734" s="5" t="s">
        <v>6</v>
      </c>
      <c r="B4734" s="5" t="s">
        <v>13309</v>
      </c>
      <c r="C4734" s="1" t="s">
        <v>13310</v>
      </c>
      <c r="D4734" s="1" t="s">
        <v>13311</v>
      </c>
      <c r="E4734" s="7">
        <v>957</v>
      </c>
    </row>
    <row r="4735" spans="1:5" x14ac:dyDescent="0.25">
      <c r="A4735" s="5" t="s">
        <v>6</v>
      </c>
      <c r="B4735" s="5" t="s">
        <v>13312</v>
      </c>
      <c r="C4735" s="1" t="s">
        <v>13313</v>
      </c>
      <c r="D4735" s="1" t="s">
        <v>13272</v>
      </c>
      <c r="E4735" s="7">
        <v>806</v>
      </c>
    </row>
    <row r="4736" spans="1:5" x14ac:dyDescent="0.25">
      <c r="A4736" s="5" t="s">
        <v>6</v>
      </c>
      <c r="B4736" s="5" t="s">
        <v>13314</v>
      </c>
      <c r="C4736" s="1" t="s">
        <v>13315</v>
      </c>
      <c r="D4736" s="1" t="s">
        <v>13316</v>
      </c>
      <c r="E4736" s="7">
        <v>2136</v>
      </c>
    </row>
    <row r="4737" spans="1:5" x14ac:dyDescent="0.25">
      <c r="A4737" s="5" t="s">
        <v>6</v>
      </c>
      <c r="B4737" s="5" t="s">
        <v>13317</v>
      </c>
      <c r="C4737" s="1" t="s">
        <v>13318</v>
      </c>
      <c r="D4737" s="1" t="s">
        <v>13319</v>
      </c>
      <c r="E4737" s="7">
        <v>926</v>
      </c>
    </row>
    <row r="4738" spans="1:5" x14ac:dyDescent="0.25">
      <c r="A4738" s="5" t="s">
        <v>6</v>
      </c>
      <c r="B4738" s="5" t="s">
        <v>13320</v>
      </c>
      <c r="C4738" s="1" t="s">
        <v>13321</v>
      </c>
      <c r="D4738" s="1" t="s">
        <v>13322</v>
      </c>
      <c r="E4738" s="7">
        <v>1820</v>
      </c>
    </row>
    <row r="4739" spans="1:5" x14ac:dyDescent="0.25">
      <c r="A4739" s="5" t="s">
        <v>6</v>
      </c>
      <c r="B4739" s="5" t="s">
        <v>13323</v>
      </c>
      <c r="C4739" s="1" t="s">
        <v>13324</v>
      </c>
      <c r="D4739" s="1" t="s">
        <v>13325</v>
      </c>
      <c r="E4739" s="7">
        <v>1820</v>
      </c>
    </row>
    <row r="4740" spans="1:5" x14ac:dyDescent="0.25">
      <c r="A4740" s="5" t="s">
        <v>6</v>
      </c>
      <c r="B4740" s="5" t="s">
        <v>13326</v>
      </c>
      <c r="C4740" s="1" t="s">
        <v>13327</v>
      </c>
      <c r="D4740" s="1" t="s">
        <v>13328</v>
      </c>
      <c r="E4740" s="7">
        <v>926</v>
      </c>
    </row>
    <row r="4741" spans="1:5" x14ac:dyDescent="0.25">
      <c r="A4741" s="5" t="s">
        <v>6</v>
      </c>
      <c r="B4741" s="5" t="s">
        <v>13329</v>
      </c>
      <c r="C4741" s="1" t="s">
        <v>13330</v>
      </c>
      <c r="D4741" s="1" t="s">
        <v>13328</v>
      </c>
      <c r="E4741" s="7">
        <v>926</v>
      </c>
    </row>
    <row r="4742" spans="1:5" x14ac:dyDescent="0.25">
      <c r="A4742" s="5" t="s">
        <v>6</v>
      </c>
      <c r="B4742" s="5" t="s">
        <v>13331</v>
      </c>
      <c r="C4742" s="1" t="s">
        <v>13332</v>
      </c>
      <c r="D4742" s="1" t="s">
        <v>13333</v>
      </c>
      <c r="E4742" s="7">
        <v>761</v>
      </c>
    </row>
    <row r="4743" spans="1:5" x14ac:dyDescent="0.25">
      <c r="A4743" s="5" t="s">
        <v>6</v>
      </c>
      <c r="B4743" s="5" t="s">
        <v>13334</v>
      </c>
      <c r="C4743" s="1" t="s">
        <v>13335</v>
      </c>
      <c r="D4743" s="1" t="s">
        <v>13336</v>
      </c>
      <c r="E4743" s="7">
        <v>761</v>
      </c>
    </row>
    <row r="4744" spans="1:5" x14ac:dyDescent="0.25">
      <c r="A4744" s="5" t="s">
        <v>6</v>
      </c>
      <c r="B4744" s="5" t="s">
        <v>13337</v>
      </c>
      <c r="C4744" s="1" t="s">
        <v>13338</v>
      </c>
      <c r="D4744" s="1" t="s">
        <v>13339</v>
      </c>
      <c r="E4744" s="7">
        <v>1615</v>
      </c>
    </row>
    <row r="4745" spans="1:5" x14ac:dyDescent="0.25">
      <c r="A4745" s="5" t="s">
        <v>6</v>
      </c>
      <c r="B4745" s="5" t="s">
        <v>13340</v>
      </c>
      <c r="C4745" s="1" t="s">
        <v>13341</v>
      </c>
      <c r="D4745" s="1" t="s">
        <v>13342</v>
      </c>
      <c r="E4745" s="7">
        <v>227</v>
      </c>
    </row>
    <row r="4746" spans="1:5" x14ac:dyDescent="0.25">
      <c r="A4746" s="5" t="s">
        <v>6</v>
      </c>
      <c r="B4746" s="5" t="s">
        <v>13343</v>
      </c>
      <c r="C4746" s="1" t="s">
        <v>13344</v>
      </c>
      <c r="D4746" s="1" t="s">
        <v>13345</v>
      </c>
      <c r="E4746" s="7">
        <v>287</v>
      </c>
    </row>
    <row r="4747" spans="1:5" x14ac:dyDescent="0.25">
      <c r="A4747" s="5" t="s">
        <v>6</v>
      </c>
      <c r="B4747" s="5" t="s">
        <v>13346</v>
      </c>
      <c r="C4747" s="1" t="s">
        <v>13347</v>
      </c>
      <c r="D4747" s="1" t="s">
        <v>13348</v>
      </c>
      <c r="E4747" s="7">
        <v>2642</v>
      </c>
    </row>
    <row r="4748" spans="1:5" x14ac:dyDescent="0.25">
      <c r="A4748" s="5" t="s">
        <v>6</v>
      </c>
      <c r="B4748" s="5" t="s">
        <v>13349</v>
      </c>
      <c r="C4748" s="1" t="s">
        <v>13350</v>
      </c>
      <c r="D4748" s="1" t="s">
        <v>13348</v>
      </c>
      <c r="E4748" s="7">
        <v>2642</v>
      </c>
    </row>
    <row r="4749" spans="1:5" x14ac:dyDescent="0.25">
      <c r="A4749" s="5" t="s">
        <v>6</v>
      </c>
      <c r="B4749" s="5" t="s">
        <v>13351</v>
      </c>
      <c r="C4749" s="1" t="s">
        <v>13352</v>
      </c>
      <c r="D4749" s="1" t="s">
        <v>13353</v>
      </c>
      <c r="E4749" s="7">
        <v>595</v>
      </c>
    </row>
    <row r="4750" spans="1:5" x14ac:dyDescent="0.25">
      <c r="A4750" s="5" t="s">
        <v>6</v>
      </c>
      <c r="B4750" s="5" t="s">
        <v>13354</v>
      </c>
      <c r="C4750" s="1" t="s">
        <v>13355</v>
      </c>
      <c r="D4750" s="1" t="s">
        <v>13356</v>
      </c>
      <c r="E4750" s="7">
        <v>1199</v>
      </c>
    </row>
    <row r="4751" spans="1:5" x14ac:dyDescent="0.25">
      <c r="A4751" s="5" t="s">
        <v>6</v>
      </c>
      <c r="B4751" s="5" t="s">
        <v>13357</v>
      </c>
      <c r="C4751" s="1" t="s">
        <v>13358</v>
      </c>
      <c r="D4751" s="1" t="s">
        <v>13359</v>
      </c>
      <c r="E4751" s="7">
        <v>2401</v>
      </c>
    </row>
    <row r="4752" spans="1:5" x14ac:dyDescent="0.25">
      <c r="A4752" s="5" t="s">
        <v>6</v>
      </c>
      <c r="B4752" s="5" t="s">
        <v>13362</v>
      </c>
      <c r="C4752" s="1" t="s">
        <v>13363</v>
      </c>
      <c r="D4752" s="1" t="s">
        <v>13363</v>
      </c>
      <c r="E4752" s="7">
        <v>694</v>
      </c>
    </row>
    <row r="4753" spans="1:5" x14ac:dyDescent="0.25">
      <c r="A4753" s="5" t="s">
        <v>6</v>
      </c>
      <c r="B4753" s="5" t="s">
        <v>13364</v>
      </c>
      <c r="C4753" s="1" t="s">
        <v>13365</v>
      </c>
      <c r="D4753" s="1" t="s">
        <v>13366</v>
      </c>
      <c r="E4753" s="7">
        <v>8111</v>
      </c>
    </row>
    <row r="4754" spans="1:5" x14ac:dyDescent="0.25">
      <c r="A4754" s="5" t="s">
        <v>6</v>
      </c>
      <c r="B4754" s="5" t="s">
        <v>13367</v>
      </c>
      <c r="C4754" s="1" t="s">
        <v>13368</v>
      </c>
      <c r="D4754" s="1" t="s">
        <v>13368</v>
      </c>
      <c r="E4754" s="7">
        <v>1751</v>
      </c>
    </row>
    <row r="4755" spans="1:5" x14ac:dyDescent="0.25">
      <c r="A4755" s="5" t="s">
        <v>6</v>
      </c>
      <c r="B4755" s="5" t="s">
        <v>13369</v>
      </c>
      <c r="C4755" s="1" t="s">
        <v>13370</v>
      </c>
      <c r="D4755" s="1" t="s">
        <v>13371</v>
      </c>
      <c r="E4755" s="7">
        <v>2913</v>
      </c>
    </row>
    <row r="4756" spans="1:5" x14ac:dyDescent="0.25">
      <c r="A4756" s="5" t="s">
        <v>6</v>
      </c>
      <c r="B4756" s="5" t="s">
        <v>13372</v>
      </c>
      <c r="C4756" s="1" t="s">
        <v>13373</v>
      </c>
      <c r="D4756" s="1" t="s">
        <v>13373</v>
      </c>
      <c r="E4756" s="7">
        <v>4869</v>
      </c>
    </row>
    <row r="4757" spans="1:5" x14ac:dyDescent="0.25">
      <c r="A4757" s="5" t="s">
        <v>6</v>
      </c>
      <c r="B4757" s="5" t="s">
        <v>13374</v>
      </c>
      <c r="C4757" s="1" t="s">
        <v>13375</v>
      </c>
      <c r="D4757" s="1" t="s">
        <v>13375</v>
      </c>
      <c r="E4757" s="7">
        <v>6020</v>
      </c>
    </row>
    <row r="4758" spans="1:5" x14ac:dyDescent="0.25">
      <c r="A4758" s="5" t="s">
        <v>6</v>
      </c>
      <c r="B4758" s="5" t="s">
        <v>13376</v>
      </c>
      <c r="C4758" s="1" t="s">
        <v>13377</v>
      </c>
      <c r="D4758" s="1" t="s">
        <v>13378</v>
      </c>
      <c r="E4758" s="7">
        <v>4481</v>
      </c>
    </row>
    <row r="4759" spans="1:5" x14ac:dyDescent="0.25">
      <c r="A4759" s="5" t="s">
        <v>6</v>
      </c>
      <c r="B4759" s="5" t="s">
        <v>13379</v>
      </c>
      <c r="C4759" s="1" t="s">
        <v>13380</v>
      </c>
      <c r="D4759" s="1" t="s">
        <v>13381</v>
      </c>
      <c r="E4759" s="7">
        <v>68</v>
      </c>
    </row>
    <row r="4760" spans="1:5" x14ac:dyDescent="0.25">
      <c r="A4760" s="5" t="s">
        <v>6</v>
      </c>
      <c r="B4760" s="5" t="s">
        <v>13382</v>
      </c>
      <c r="C4760" s="1" t="s">
        <v>13383</v>
      </c>
      <c r="D4760" s="1" t="s">
        <v>13384</v>
      </c>
      <c r="E4760" s="7">
        <v>1614</v>
      </c>
    </row>
    <row r="4761" spans="1:5" x14ac:dyDescent="0.25">
      <c r="A4761" s="5" t="s">
        <v>6</v>
      </c>
      <c r="B4761" s="5" t="s">
        <v>13385</v>
      </c>
      <c r="C4761" s="1" t="s">
        <v>218</v>
      </c>
      <c r="D4761" s="1" t="s">
        <v>219</v>
      </c>
      <c r="E4761" s="7">
        <v>2070</v>
      </c>
    </row>
    <row r="4762" spans="1:5" x14ac:dyDescent="0.25">
      <c r="A4762" s="5" t="s">
        <v>6</v>
      </c>
      <c r="B4762" s="5" t="s">
        <v>13386</v>
      </c>
      <c r="C4762" s="1" t="s">
        <v>13387</v>
      </c>
      <c r="D4762" s="1" t="s">
        <v>13388</v>
      </c>
      <c r="E4762" s="7">
        <v>549</v>
      </c>
    </row>
    <row r="4763" spans="1:5" x14ac:dyDescent="0.25">
      <c r="A4763" s="5" t="s">
        <v>6</v>
      </c>
      <c r="B4763" s="5" t="s">
        <v>13389</v>
      </c>
      <c r="C4763" s="1" t="s">
        <v>221</v>
      </c>
      <c r="D4763" s="1" t="s">
        <v>222</v>
      </c>
      <c r="E4763" s="7">
        <v>2070</v>
      </c>
    </row>
    <row r="4764" spans="1:5" x14ac:dyDescent="0.25">
      <c r="A4764" s="5" t="s">
        <v>6</v>
      </c>
      <c r="B4764" s="5" t="s">
        <v>13390</v>
      </c>
      <c r="C4764" s="1" t="s">
        <v>224</v>
      </c>
      <c r="D4764" s="1" t="s">
        <v>225</v>
      </c>
      <c r="E4764" s="7">
        <v>670</v>
      </c>
    </row>
    <row r="4765" spans="1:5" x14ac:dyDescent="0.25">
      <c r="A4765" s="5" t="s">
        <v>6</v>
      </c>
      <c r="B4765" s="5" t="s">
        <v>13391</v>
      </c>
      <c r="C4765" s="1" t="s">
        <v>13392</v>
      </c>
      <c r="D4765" s="1" t="s">
        <v>13393</v>
      </c>
      <c r="E4765" s="7">
        <v>768</v>
      </c>
    </row>
    <row r="4766" spans="1:5" x14ac:dyDescent="0.25">
      <c r="A4766" s="5" t="s">
        <v>6</v>
      </c>
      <c r="B4766" s="5" t="s">
        <v>13394</v>
      </c>
      <c r="C4766" s="1" t="s">
        <v>13395</v>
      </c>
      <c r="D4766" s="1" t="s">
        <v>13396</v>
      </c>
      <c r="E4766" s="7">
        <v>541</v>
      </c>
    </row>
    <row r="4767" spans="1:5" x14ac:dyDescent="0.25">
      <c r="A4767" s="5" t="s">
        <v>6</v>
      </c>
      <c r="B4767" s="5" t="s">
        <v>13397</v>
      </c>
      <c r="C4767" s="1" t="s">
        <v>227</v>
      </c>
      <c r="D4767" s="1" t="s">
        <v>228</v>
      </c>
      <c r="E4767" s="7">
        <v>659</v>
      </c>
    </row>
    <row r="4768" spans="1:5" x14ac:dyDescent="0.25">
      <c r="A4768" s="5" t="s">
        <v>6</v>
      </c>
      <c r="B4768" s="5" t="s">
        <v>13398</v>
      </c>
      <c r="C4768" s="1" t="s">
        <v>230</v>
      </c>
      <c r="D4768" s="1" t="s">
        <v>231</v>
      </c>
      <c r="E4768" s="7">
        <v>602</v>
      </c>
    </row>
    <row r="4769" spans="1:5" x14ac:dyDescent="0.25">
      <c r="A4769" s="5" t="s">
        <v>6</v>
      </c>
      <c r="B4769" s="5" t="s">
        <v>13399</v>
      </c>
      <c r="C4769" s="1" t="s">
        <v>13400</v>
      </c>
      <c r="D4769" s="1" t="s">
        <v>13401</v>
      </c>
      <c r="E4769" s="7">
        <v>573</v>
      </c>
    </row>
    <row r="4770" spans="1:5" x14ac:dyDescent="0.25">
      <c r="A4770" s="5" t="s">
        <v>6</v>
      </c>
      <c r="B4770" s="5" t="s">
        <v>13402</v>
      </c>
      <c r="C4770" s="1" t="s">
        <v>236</v>
      </c>
      <c r="D4770" s="1" t="s">
        <v>237</v>
      </c>
      <c r="E4770" s="7">
        <v>477</v>
      </c>
    </row>
    <row r="4771" spans="1:5" x14ac:dyDescent="0.25">
      <c r="A4771" s="5" t="s">
        <v>6</v>
      </c>
      <c r="B4771" s="5" t="s">
        <v>13403</v>
      </c>
      <c r="C4771" s="1" t="s">
        <v>13404</v>
      </c>
      <c r="D4771" s="1" t="s">
        <v>13405</v>
      </c>
      <c r="E4771" s="7">
        <v>5144</v>
      </c>
    </row>
    <row r="4772" spans="1:5" x14ac:dyDescent="0.25">
      <c r="A4772" s="5" t="s">
        <v>6</v>
      </c>
      <c r="B4772" s="5" t="s">
        <v>13406</v>
      </c>
      <c r="C4772" s="1" t="s">
        <v>3610</v>
      </c>
      <c r="D4772" s="1" t="s">
        <v>3611</v>
      </c>
      <c r="E4772" s="7">
        <v>6926</v>
      </c>
    </row>
    <row r="4773" spans="1:5" x14ac:dyDescent="0.25">
      <c r="A4773" s="5" t="s">
        <v>6</v>
      </c>
      <c r="B4773" s="5" t="s">
        <v>13407</v>
      </c>
      <c r="C4773" s="1" t="s">
        <v>13408</v>
      </c>
      <c r="D4773" s="1" t="s">
        <v>13409</v>
      </c>
      <c r="E4773" s="7">
        <v>1987</v>
      </c>
    </row>
    <row r="4774" spans="1:5" x14ac:dyDescent="0.25">
      <c r="A4774" s="5" t="s">
        <v>6</v>
      </c>
      <c r="B4774" s="5" t="s">
        <v>13410</v>
      </c>
      <c r="C4774" s="1" t="s">
        <v>13411</v>
      </c>
      <c r="D4774" s="1" t="s">
        <v>13412</v>
      </c>
      <c r="E4774" s="7">
        <v>4060</v>
      </c>
    </row>
    <row r="4775" spans="1:5" x14ac:dyDescent="0.25">
      <c r="A4775" s="5" t="s">
        <v>6</v>
      </c>
      <c r="B4775" s="5" t="s">
        <v>13413</v>
      </c>
      <c r="C4775" s="1" t="s">
        <v>13414</v>
      </c>
      <c r="D4775" s="1" t="s">
        <v>13415</v>
      </c>
      <c r="E4775" s="7">
        <v>267</v>
      </c>
    </row>
    <row r="4776" spans="1:5" x14ac:dyDescent="0.25">
      <c r="A4776" s="5" t="s">
        <v>6</v>
      </c>
      <c r="B4776" s="5" t="s">
        <v>13416</v>
      </c>
      <c r="C4776" s="1" t="s">
        <v>13417</v>
      </c>
      <c r="D4776" s="1" t="s">
        <v>13418</v>
      </c>
      <c r="E4776" s="7">
        <v>265</v>
      </c>
    </row>
    <row r="4777" spans="1:5" x14ac:dyDescent="0.25">
      <c r="A4777" s="5" t="s">
        <v>6</v>
      </c>
      <c r="B4777" s="5" t="s">
        <v>13419</v>
      </c>
      <c r="C4777" s="1" t="s">
        <v>13420</v>
      </c>
      <c r="D4777" s="1" t="s">
        <v>246</v>
      </c>
      <c r="E4777" s="7">
        <v>485</v>
      </c>
    </row>
    <row r="4778" spans="1:5" x14ac:dyDescent="0.25">
      <c r="A4778" s="5" t="s">
        <v>6</v>
      </c>
      <c r="B4778" s="5" t="s">
        <v>13421</v>
      </c>
      <c r="C4778" s="1" t="s">
        <v>245</v>
      </c>
      <c r="D4778" s="1" t="s">
        <v>246</v>
      </c>
      <c r="E4778" s="7">
        <v>485</v>
      </c>
    </row>
    <row r="4779" spans="1:5" x14ac:dyDescent="0.25">
      <c r="A4779" s="5" t="s">
        <v>6</v>
      </c>
      <c r="B4779" s="5" t="s">
        <v>13422</v>
      </c>
      <c r="C4779" s="1" t="s">
        <v>248</v>
      </c>
      <c r="D4779" s="1" t="s">
        <v>249</v>
      </c>
      <c r="E4779" s="7">
        <v>417</v>
      </c>
    </row>
    <row r="4780" spans="1:5" x14ac:dyDescent="0.25">
      <c r="A4780" s="5" t="s">
        <v>6</v>
      </c>
      <c r="B4780" s="5" t="s">
        <v>13423</v>
      </c>
      <c r="C4780" s="1" t="s">
        <v>13424</v>
      </c>
      <c r="D4780" s="1" t="s">
        <v>246</v>
      </c>
      <c r="E4780" s="7">
        <v>485</v>
      </c>
    </row>
    <row r="4781" spans="1:5" x14ac:dyDescent="0.25">
      <c r="A4781" s="5" t="s">
        <v>6</v>
      </c>
      <c r="B4781" s="5" t="s">
        <v>13425</v>
      </c>
      <c r="C4781" s="1" t="s">
        <v>13426</v>
      </c>
      <c r="D4781" s="1" t="s">
        <v>246</v>
      </c>
      <c r="E4781" s="7">
        <v>485</v>
      </c>
    </row>
    <row r="4782" spans="1:5" x14ac:dyDescent="0.25">
      <c r="A4782" s="5" t="s">
        <v>6</v>
      </c>
      <c r="B4782" s="5" t="s">
        <v>13427</v>
      </c>
      <c r="C4782" s="1" t="s">
        <v>13428</v>
      </c>
      <c r="D4782" s="1" t="s">
        <v>249</v>
      </c>
      <c r="E4782" s="7">
        <v>417</v>
      </c>
    </row>
    <row r="4783" spans="1:5" x14ac:dyDescent="0.25">
      <c r="A4783" s="5" t="s">
        <v>6</v>
      </c>
      <c r="B4783" s="5" t="s">
        <v>13429</v>
      </c>
      <c r="C4783" s="1" t="s">
        <v>13430</v>
      </c>
      <c r="D4783" s="1" t="s">
        <v>13431</v>
      </c>
      <c r="E4783" s="7">
        <v>1570</v>
      </c>
    </row>
    <row r="4784" spans="1:5" x14ac:dyDescent="0.25">
      <c r="A4784" s="5" t="s">
        <v>6</v>
      </c>
      <c r="B4784" s="5" t="s">
        <v>13432</v>
      </c>
      <c r="C4784" s="1" t="s">
        <v>13433</v>
      </c>
      <c r="D4784" s="1" t="s">
        <v>13434</v>
      </c>
      <c r="E4784" s="7">
        <v>631</v>
      </c>
    </row>
    <row r="4785" spans="1:5" x14ac:dyDescent="0.25">
      <c r="A4785" s="5" t="s">
        <v>6</v>
      </c>
      <c r="B4785" s="5" t="s">
        <v>13435</v>
      </c>
      <c r="C4785" s="1" t="s">
        <v>13436</v>
      </c>
      <c r="D4785" s="1" t="s">
        <v>13437</v>
      </c>
      <c r="E4785" s="7">
        <v>631</v>
      </c>
    </row>
    <row r="4786" spans="1:5" x14ac:dyDescent="0.25">
      <c r="A4786" s="5" t="s">
        <v>6</v>
      </c>
      <c r="B4786" s="5" t="s">
        <v>13438</v>
      </c>
      <c r="C4786" s="1" t="s">
        <v>13439</v>
      </c>
      <c r="D4786" s="1" t="s">
        <v>13440</v>
      </c>
      <c r="E4786" s="7">
        <v>192</v>
      </c>
    </row>
    <row r="4787" spans="1:5" x14ac:dyDescent="0.25">
      <c r="A4787" s="5" t="s">
        <v>6</v>
      </c>
      <c r="B4787" s="5" t="s">
        <v>13441</v>
      </c>
      <c r="C4787" s="1" t="s">
        <v>13442</v>
      </c>
      <c r="D4787" s="1" t="s">
        <v>13443</v>
      </c>
      <c r="E4787" s="7">
        <v>192</v>
      </c>
    </row>
    <row r="4788" spans="1:5" x14ac:dyDescent="0.25">
      <c r="A4788" s="5" t="s">
        <v>6</v>
      </c>
      <c r="B4788" s="5" t="s">
        <v>13444</v>
      </c>
      <c r="C4788" s="1" t="s">
        <v>13445</v>
      </c>
      <c r="D4788" s="1" t="s">
        <v>13446</v>
      </c>
      <c r="E4788" s="7">
        <v>408</v>
      </c>
    </row>
    <row r="4789" spans="1:5" x14ac:dyDescent="0.25">
      <c r="A4789" s="5" t="s">
        <v>6</v>
      </c>
      <c r="B4789" s="5" t="s">
        <v>13447</v>
      </c>
      <c r="C4789" s="1" t="s">
        <v>13448</v>
      </c>
      <c r="D4789" s="1" t="s">
        <v>13449</v>
      </c>
      <c r="E4789" s="7">
        <v>388</v>
      </c>
    </row>
    <row r="4790" spans="1:5" x14ac:dyDescent="0.25">
      <c r="A4790" s="5" t="s">
        <v>6</v>
      </c>
      <c r="B4790" s="5" t="s">
        <v>13450</v>
      </c>
      <c r="C4790" s="1" t="s">
        <v>13451</v>
      </c>
      <c r="D4790" s="1" t="s">
        <v>13452</v>
      </c>
      <c r="E4790" s="7">
        <v>408</v>
      </c>
    </row>
    <row r="4791" spans="1:5" x14ac:dyDescent="0.25">
      <c r="A4791" s="5" t="s">
        <v>6</v>
      </c>
      <c r="B4791" s="5" t="s">
        <v>13453</v>
      </c>
      <c r="C4791" s="1" t="s">
        <v>13454</v>
      </c>
      <c r="D4791" s="1" t="s">
        <v>13455</v>
      </c>
      <c r="E4791" s="7">
        <v>388</v>
      </c>
    </row>
    <row r="4792" spans="1:5" x14ac:dyDescent="0.25">
      <c r="A4792" s="5" t="s">
        <v>6</v>
      </c>
      <c r="B4792" s="5" t="s">
        <v>13456</v>
      </c>
      <c r="C4792" s="1" t="s">
        <v>13457</v>
      </c>
      <c r="D4792" s="1" t="s">
        <v>13458</v>
      </c>
      <c r="E4792" s="7">
        <v>408</v>
      </c>
    </row>
    <row r="4793" spans="1:5" x14ac:dyDescent="0.25">
      <c r="A4793" s="5" t="s">
        <v>6</v>
      </c>
      <c r="B4793" s="5" t="s">
        <v>13459</v>
      </c>
      <c r="C4793" s="1" t="s">
        <v>13460</v>
      </c>
      <c r="D4793" s="1" t="s">
        <v>13461</v>
      </c>
      <c r="E4793" s="7">
        <v>388</v>
      </c>
    </row>
    <row r="4794" spans="1:5" x14ac:dyDescent="0.25">
      <c r="A4794" s="5" t="s">
        <v>6</v>
      </c>
      <c r="B4794" s="5" t="s">
        <v>13462</v>
      </c>
      <c r="C4794" s="1" t="s">
        <v>13463</v>
      </c>
      <c r="D4794" s="1" t="s">
        <v>13464</v>
      </c>
      <c r="E4794" s="7">
        <v>408</v>
      </c>
    </row>
    <row r="4795" spans="1:5" x14ac:dyDescent="0.25">
      <c r="A4795" s="5" t="s">
        <v>6</v>
      </c>
      <c r="B4795" s="5" t="s">
        <v>13465</v>
      </c>
      <c r="C4795" s="1" t="s">
        <v>13466</v>
      </c>
      <c r="D4795" s="1" t="s">
        <v>13467</v>
      </c>
      <c r="E4795" s="7">
        <v>455</v>
      </c>
    </row>
    <row r="4796" spans="1:5" x14ac:dyDescent="0.25">
      <c r="A4796" s="5" t="s">
        <v>6</v>
      </c>
      <c r="B4796" s="5" t="s">
        <v>13468</v>
      </c>
      <c r="C4796" s="1" t="s">
        <v>13469</v>
      </c>
      <c r="D4796" s="1" t="s">
        <v>13470</v>
      </c>
      <c r="E4796" s="7">
        <v>455</v>
      </c>
    </row>
    <row r="4797" spans="1:5" x14ac:dyDescent="0.25">
      <c r="A4797" s="5" t="s">
        <v>6</v>
      </c>
      <c r="B4797" s="5" t="s">
        <v>13471</v>
      </c>
      <c r="C4797" s="1" t="s">
        <v>13472</v>
      </c>
      <c r="D4797" s="1" t="s">
        <v>13473</v>
      </c>
      <c r="E4797" s="7">
        <v>388</v>
      </c>
    </row>
    <row r="4798" spans="1:5" x14ac:dyDescent="0.25">
      <c r="A4798" s="5" t="s">
        <v>6</v>
      </c>
      <c r="B4798" s="5" t="s">
        <v>13474</v>
      </c>
      <c r="C4798" s="1" t="s">
        <v>13475</v>
      </c>
      <c r="D4798" s="1" t="s">
        <v>13476</v>
      </c>
      <c r="E4798" s="7">
        <v>408</v>
      </c>
    </row>
    <row r="4799" spans="1:5" x14ac:dyDescent="0.25">
      <c r="A4799" s="5" t="s">
        <v>6</v>
      </c>
      <c r="B4799" s="5" t="s">
        <v>13477</v>
      </c>
      <c r="C4799" s="1" t="s">
        <v>13341</v>
      </c>
      <c r="D4799" s="1" t="s">
        <v>13342</v>
      </c>
      <c r="E4799" s="7">
        <v>287</v>
      </c>
    </row>
    <row r="4800" spans="1:5" x14ac:dyDescent="0.25">
      <c r="A4800" s="5" t="s">
        <v>6</v>
      </c>
      <c r="B4800" s="5" t="s">
        <v>13478</v>
      </c>
      <c r="C4800" s="1" t="s">
        <v>13479</v>
      </c>
      <c r="D4800" s="1" t="s">
        <v>13480</v>
      </c>
      <c r="E4800" s="7">
        <v>287</v>
      </c>
    </row>
    <row r="4801" spans="1:5" x14ac:dyDescent="0.25">
      <c r="A4801" s="5" t="s">
        <v>6</v>
      </c>
      <c r="B4801" s="5" t="s">
        <v>13481</v>
      </c>
      <c r="C4801" s="1" t="s">
        <v>13344</v>
      </c>
      <c r="D4801" s="1" t="s">
        <v>13482</v>
      </c>
      <c r="E4801" s="7">
        <v>287</v>
      </c>
    </row>
    <row r="4802" spans="1:5" x14ac:dyDescent="0.25">
      <c r="A4802" s="5" t="s">
        <v>6</v>
      </c>
      <c r="B4802" s="5" t="s">
        <v>13483</v>
      </c>
      <c r="C4802" s="1" t="s">
        <v>13484</v>
      </c>
      <c r="D4802" s="1" t="s">
        <v>13485</v>
      </c>
      <c r="E4802" s="7">
        <v>2672</v>
      </c>
    </row>
    <row r="4803" spans="1:5" x14ac:dyDescent="0.25">
      <c r="A4803" s="5" t="s">
        <v>6</v>
      </c>
      <c r="B4803" s="5" t="s">
        <v>13486</v>
      </c>
      <c r="C4803" s="1" t="s">
        <v>13487</v>
      </c>
      <c r="D4803" s="1" t="s">
        <v>13488</v>
      </c>
      <c r="E4803" s="7">
        <v>2845</v>
      </c>
    </row>
    <row r="4804" spans="1:5" x14ac:dyDescent="0.25">
      <c r="A4804" s="5" t="s">
        <v>6</v>
      </c>
      <c r="B4804" s="5" t="s">
        <v>13489</v>
      </c>
      <c r="C4804" s="1" t="s">
        <v>13490</v>
      </c>
      <c r="D4804" s="1" t="s">
        <v>13491</v>
      </c>
      <c r="E4804" s="7">
        <v>2845</v>
      </c>
    </row>
    <row r="4805" spans="1:5" x14ac:dyDescent="0.25">
      <c r="A4805" s="5" t="s">
        <v>6</v>
      </c>
      <c r="B4805" s="5" t="s">
        <v>13492</v>
      </c>
      <c r="C4805" s="1" t="s">
        <v>13493</v>
      </c>
      <c r="D4805" s="1" t="s">
        <v>13494</v>
      </c>
      <c r="E4805" s="7">
        <v>2845</v>
      </c>
    </row>
    <row r="4806" spans="1:5" x14ac:dyDescent="0.25">
      <c r="A4806" s="5" t="s">
        <v>6</v>
      </c>
      <c r="B4806" s="5" t="s">
        <v>13495</v>
      </c>
      <c r="C4806" s="1" t="s">
        <v>13496</v>
      </c>
      <c r="D4806" s="1" t="s">
        <v>13497</v>
      </c>
      <c r="E4806" s="7">
        <v>2845</v>
      </c>
    </row>
    <row r="4807" spans="1:5" x14ac:dyDescent="0.25">
      <c r="A4807" s="5" t="s">
        <v>6</v>
      </c>
      <c r="B4807" s="5" t="s">
        <v>13498</v>
      </c>
      <c r="C4807" s="1" t="s">
        <v>13499</v>
      </c>
      <c r="D4807" s="1" t="s">
        <v>13500</v>
      </c>
      <c r="E4807" s="7">
        <v>2845</v>
      </c>
    </row>
    <row r="4808" spans="1:5" x14ac:dyDescent="0.25">
      <c r="A4808" s="5" t="s">
        <v>6</v>
      </c>
      <c r="B4808" s="5" t="s">
        <v>13501</v>
      </c>
      <c r="C4808" s="1" t="s">
        <v>13347</v>
      </c>
      <c r="D4808" s="1" t="s">
        <v>13348</v>
      </c>
      <c r="E4808" s="7">
        <v>2642</v>
      </c>
    </row>
    <row r="4809" spans="1:5" x14ac:dyDescent="0.25">
      <c r="A4809" s="5" t="s">
        <v>6</v>
      </c>
      <c r="B4809" s="5" t="s">
        <v>13502</v>
      </c>
      <c r="C4809" s="1" t="s">
        <v>13350</v>
      </c>
      <c r="D4809" s="1" t="s">
        <v>13348</v>
      </c>
      <c r="E4809" s="7">
        <v>2642</v>
      </c>
    </row>
    <row r="4810" spans="1:5" x14ac:dyDescent="0.25">
      <c r="A4810" s="5" t="s">
        <v>6</v>
      </c>
      <c r="B4810" s="5" t="s">
        <v>13503</v>
      </c>
      <c r="C4810" s="1" t="s">
        <v>13504</v>
      </c>
      <c r="D4810" s="1" t="s">
        <v>13505</v>
      </c>
      <c r="E4810" s="7">
        <v>4225</v>
      </c>
    </row>
    <row r="4811" spans="1:5" x14ac:dyDescent="0.25">
      <c r="A4811" s="5" t="s">
        <v>6</v>
      </c>
      <c r="B4811" s="5" t="s">
        <v>13506</v>
      </c>
      <c r="C4811" s="1" t="s">
        <v>13414</v>
      </c>
      <c r="D4811" s="1" t="s">
        <v>13415</v>
      </c>
      <c r="E4811" s="7">
        <v>244</v>
      </c>
    </row>
    <row r="4812" spans="1:5" x14ac:dyDescent="0.25">
      <c r="A4812" s="5" t="s">
        <v>6</v>
      </c>
      <c r="B4812" s="5" t="s">
        <v>13507</v>
      </c>
      <c r="C4812" s="1" t="s">
        <v>13417</v>
      </c>
      <c r="D4812" s="1" t="s">
        <v>13418</v>
      </c>
      <c r="E4812" s="7">
        <v>265</v>
      </c>
    </row>
    <row r="4813" spans="1:5" x14ac:dyDescent="0.25">
      <c r="A4813" s="5" t="s">
        <v>6</v>
      </c>
      <c r="B4813" s="5" t="s">
        <v>13508</v>
      </c>
      <c r="C4813" s="1" t="s">
        <v>218</v>
      </c>
      <c r="D4813" s="1" t="s">
        <v>219</v>
      </c>
      <c r="E4813" s="7">
        <v>1704</v>
      </c>
    </row>
    <row r="4814" spans="1:5" x14ac:dyDescent="0.25">
      <c r="A4814" s="5" t="s">
        <v>6</v>
      </c>
      <c r="B4814" s="5" t="s">
        <v>13509</v>
      </c>
      <c r="C4814" s="1" t="s">
        <v>13387</v>
      </c>
      <c r="D4814" s="1" t="s">
        <v>13388</v>
      </c>
      <c r="E4814" s="7">
        <v>468</v>
      </c>
    </row>
    <row r="4815" spans="1:5" x14ac:dyDescent="0.25">
      <c r="A4815" s="5" t="s">
        <v>6</v>
      </c>
      <c r="B4815" s="5" t="s">
        <v>13510</v>
      </c>
      <c r="C4815" s="1" t="s">
        <v>221</v>
      </c>
      <c r="D4815" s="1" t="s">
        <v>222</v>
      </c>
      <c r="E4815" s="7">
        <v>1704</v>
      </c>
    </row>
    <row r="4816" spans="1:5" x14ac:dyDescent="0.25">
      <c r="A4816" s="5" t="s">
        <v>6</v>
      </c>
      <c r="B4816" s="5" t="s">
        <v>13511</v>
      </c>
      <c r="C4816" s="1" t="s">
        <v>224</v>
      </c>
      <c r="D4816" s="1" t="s">
        <v>225</v>
      </c>
      <c r="E4816" s="7">
        <v>468</v>
      </c>
    </row>
    <row r="4817" spans="1:5" x14ac:dyDescent="0.25">
      <c r="A4817" s="5" t="s">
        <v>6</v>
      </c>
      <c r="B4817" s="5" t="s">
        <v>13512</v>
      </c>
      <c r="C4817" s="1" t="s">
        <v>13392</v>
      </c>
      <c r="D4817" s="1" t="s">
        <v>13393</v>
      </c>
      <c r="E4817" s="7">
        <v>468</v>
      </c>
    </row>
    <row r="4818" spans="1:5" x14ac:dyDescent="0.25">
      <c r="A4818" s="5" t="s">
        <v>6</v>
      </c>
      <c r="B4818" s="5" t="s">
        <v>13513</v>
      </c>
      <c r="C4818" s="1" t="s">
        <v>13395</v>
      </c>
      <c r="D4818" s="1" t="s">
        <v>13396</v>
      </c>
      <c r="E4818" s="7">
        <v>482</v>
      </c>
    </row>
    <row r="4819" spans="1:5" x14ac:dyDescent="0.25">
      <c r="A4819" s="5" t="s">
        <v>6</v>
      </c>
      <c r="B4819" s="5" t="s">
        <v>13514</v>
      </c>
      <c r="C4819" s="1" t="s">
        <v>227</v>
      </c>
      <c r="D4819" s="1" t="s">
        <v>228</v>
      </c>
      <c r="E4819" s="7">
        <v>468</v>
      </c>
    </row>
    <row r="4820" spans="1:5" x14ac:dyDescent="0.25">
      <c r="A4820" s="5" t="s">
        <v>6</v>
      </c>
      <c r="B4820" s="5" t="s">
        <v>13515</v>
      </c>
      <c r="C4820" s="1" t="s">
        <v>230</v>
      </c>
      <c r="D4820" s="1" t="s">
        <v>231</v>
      </c>
      <c r="E4820" s="7">
        <v>468</v>
      </c>
    </row>
    <row r="4821" spans="1:5" x14ac:dyDescent="0.25">
      <c r="A4821" s="5" t="s">
        <v>6</v>
      </c>
      <c r="B4821" s="5" t="s">
        <v>13516</v>
      </c>
      <c r="C4821" s="1" t="s">
        <v>13400</v>
      </c>
      <c r="D4821" s="1" t="s">
        <v>13401</v>
      </c>
      <c r="E4821" s="7">
        <v>446</v>
      </c>
    </row>
    <row r="4822" spans="1:5" x14ac:dyDescent="0.25">
      <c r="A4822" s="5" t="s">
        <v>6</v>
      </c>
      <c r="B4822" s="5" t="s">
        <v>13517</v>
      </c>
      <c r="C4822" s="1" t="s">
        <v>236</v>
      </c>
      <c r="D4822" s="1" t="s">
        <v>237</v>
      </c>
      <c r="E4822" s="7">
        <v>424</v>
      </c>
    </row>
    <row r="4823" spans="1:5" x14ac:dyDescent="0.25">
      <c r="A4823" s="5" t="s">
        <v>6</v>
      </c>
      <c r="B4823" s="5" t="s">
        <v>13518</v>
      </c>
      <c r="C4823" s="1" t="s">
        <v>13519</v>
      </c>
      <c r="D4823" s="1" t="s">
        <v>13519</v>
      </c>
      <c r="E4823" s="7">
        <v>337</v>
      </c>
    </row>
    <row r="4824" spans="1:5" x14ac:dyDescent="0.25">
      <c r="A4824" s="5" t="s">
        <v>6</v>
      </c>
      <c r="B4824" s="5" t="s">
        <v>13520</v>
      </c>
      <c r="C4824" s="1" t="s">
        <v>13521</v>
      </c>
      <c r="D4824" s="1" t="s">
        <v>13521</v>
      </c>
      <c r="E4824" s="7">
        <v>920</v>
      </c>
    </row>
    <row r="4825" spans="1:5" x14ac:dyDescent="0.25">
      <c r="A4825" s="5" t="s">
        <v>6</v>
      </c>
      <c r="B4825" s="5" t="s">
        <v>13522</v>
      </c>
      <c r="C4825" s="1" t="s">
        <v>13523</v>
      </c>
      <c r="D4825" s="1" t="s">
        <v>13523</v>
      </c>
      <c r="E4825" s="7">
        <v>1502</v>
      </c>
    </row>
    <row r="4826" spans="1:5" x14ac:dyDescent="0.25">
      <c r="A4826" s="5" t="s">
        <v>6</v>
      </c>
      <c r="B4826" s="5" t="s">
        <v>13524</v>
      </c>
      <c r="C4826" s="1" t="s">
        <v>13525</v>
      </c>
      <c r="D4826" s="1" t="s">
        <v>13526</v>
      </c>
      <c r="E4826" s="7">
        <v>1704</v>
      </c>
    </row>
    <row r="4827" spans="1:5" x14ac:dyDescent="0.25">
      <c r="A4827" s="5" t="s">
        <v>6</v>
      </c>
      <c r="B4827" s="5" t="s">
        <v>13527</v>
      </c>
      <c r="C4827" s="1" t="s">
        <v>13528</v>
      </c>
      <c r="D4827" s="1" t="s">
        <v>13529</v>
      </c>
      <c r="E4827" s="7">
        <v>468</v>
      </c>
    </row>
    <row r="4828" spans="1:5" x14ac:dyDescent="0.25">
      <c r="A4828" s="5" t="s">
        <v>6</v>
      </c>
      <c r="B4828" s="5" t="s">
        <v>13530</v>
      </c>
      <c r="C4828" s="1" t="s">
        <v>4630</v>
      </c>
      <c r="D4828" s="1" t="s">
        <v>4631</v>
      </c>
      <c r="E4828" s="7">
        <v>5443</v>
      </c>
    </row>
    <row r="4829" spans="1:5" x14ac:dyDescent="0.25">
      <c r="A4829" s="5" t="s">
        <v>6</v>
      </c>
      <c r="B4829" s="5" t="s">
        <v>13533</v>
      </c>
      <c r="C4829" s="1" t="s">
        <v>13534</v>
      </c>
      <c r="D4829" s="1" t="s">
        <v>13535</v>
      </c>
      <c r="E4829" s="7">
        <v>88.44</v>
      </c>
    </row>
    <row r="4830" spans="1:5" x14ac:dyDescent="0.25">
      <c r="A4830" s="5" t="s">
        <v>6</v>
      </c>
      <c r="B4830" s="5" t="s">
        <v>13536</v>
      </c>
      <c r="C4830" s="1" t="s">
        <v>13537</v>
      </c>
      <c r="D4830" s="1" t="s">
        <v>13537</v>
      </c>
      <c r="E4830" s="7">
        <v>26.45</v>
      </c>
    </row>
    <row r="4831" spans="1:5" x14ac:dyDescent="0.25">
      <c r="A4831" s="5" t="s">
        <v>6</v>
      </c>
      <c r="B4831" s="5" t="s">
        <v>13538</v>
      </c>
      <c r="C4831" s="1" t="s">
        <v>13539</v>
      </c>
      <c r="D4831" s="1" t="s">
        <v>13540</v>
      </c>
      <c r="E4831" s="7">
        <v>101.81</v>
      </c>
    </row>
    <row r="4832" spans="1:5" x14ac:dyDescent="0.25">
      <c r="A4832" s="5" t="s">
        <v>6</v>
      </c>
      <c r="B4832" s="5" t="s">
        <v>13541</v>
      </c>
      <c r="C4832" s="1" t="s">
        <v>13542</v>
      </c>
      <c r="D4832" s="1" t="s">
        <v>13543</v>
      </c>
      <c r="E4832" s="7">
        <v>86.34</v>
      </c>
    </row>
    <row r="4833" spans="1:5" x14ac:dyDescent="0.25">
      <c r="A4833" s="5" t="s">
        <v>6</v>
      </c>
      <c r="B4833" s="5" t="s">
        <v>13544</v>
      </c>
      <c r="C4833" s="1" t="s">
        <v>13545</v>
      </c>
      <c r="D4833" s="1" t="s">
        <v>13546</v>
      </c>
      <c r="E4833" s="7">
        <v>16.53</v>
      </c>
    </row>
    <row r="4834" spans="1:5" x14ac:dyDescent="0.25">
      <c r="A4834" s="5" t="s">
        <v>6</v>
      </c>
      <c r="B4834" s="5" t="s">
        <v>13547</v>
      </c>
      <c r="C4834" s="1" t="s">
        <v>13548</v>
      </c>
      <c r="D4834" s="1" t="s">
        <v>13549</v>
      </c>
      <c r="E4834" s="7">
        <v>12.55</v>
      </c>
    </row>
    <row r="4835" spans="1:5" x14ac:dyDescent="0.25">
      <c r="A4835" s="5" t="s">
        <v>6</v>
      </c>
      <c r="B4835" s="5" t="s">
        <v>13550</v>
      </c>
      <c r="C4835" s="1" t="s">
        <v>13551</v>
      </c>
      <c r="D4835" s="1" t="s">
        <v>13551</v>
      </c>
      <c r="E4835" s="7">
        <v>100</v>
      </c>
    </row>
    <row r="4836" spans="1:5" x14ac:dyDescent="0.25">
      <c r="A4836" s="5" t="s">
        <v>6</v>
      </c>
      <c r="B4836" s="5" t="s">
        <v>13552</v>
      </c>
      <c r="C4836" s="1" t="s">
        <v>3233</v>
      </c>
      <c r="D4836" s="1" t="s">
        <v>3234</v>
      </c>
      <c r="E4836" s="7">
        <v>66.150000000000006</v>
      </c>
    </row>
    <row r="4837" spans="1:5" x14ac:dyDescent="0.25">
      <c r="A4837" s="5" t="s">
        <v>6</v>
      </c>
      <c r="B4837" s="5" t="s">
        <v>13553</v>
      </c>
      <c r="C4837" s="1" t="s">
        <v>13554</v>
      </c>
      <c r="D4837" s="1" t="s">
        <v>13554</v>
      </c>
      <c r="E4837" s="7">
        <v>40</v>
      </c>
    </row>
    <row r="4838" spans="1:5" x14ac:dyDescent="0.25">
      <c r="A4838" s="5" t="s">
        <v>6</v>
      </c>
      <c r="B4838" s="5" t="s">
        <v>13555</v>
      </c>
      <c r="C4838" s="1" t="s">
        <v>13537</v>
      </c>
      <c r="D4838" s="1" t="s">
        <v>13537</v>
      </c>
      <c r="E4838" s="7">
        <v>45</v>
      </c>
    </row>
    <row r="4839" spans="1:5" x14ac:dyDescent="0.25">
      <c r="A4839" s="5" t="s">
        <v>6</v>
      </c>
      <c r="B4839" s="5" t="s">
        <v>13556</v>
      </c>
      <c r="C4839" s="1" t="s">
        <v>2799</v>
      </c>
      <c r="D4839" s="1" t="s">
        <v>2799</v>
      </c>
      <c r="E4839" s="7">
        <v>20</v>
      </c>
    </row>
    <row r="4840" spans="1:5" x14ac:dyDescent="0.25">
      <c r="A4840" s="5" t="s">
        <v>6</v>
      </c>
      <c r="B4840" s="5" t="s">
        <v>13557</v>
      </c>
      <c r="C4840" s="1" t="s">
        <v>13558</v>
      </c>
      <c r="D4840" s="1" t="s">
        <v>13558</v>
      </c>
      <c r="E4840" s="7">
        <v>55</v>
      </c>
    </row>
    <row r="4841" spans="1:5" x14ac:dyDescent="0.25">
      <c r="A4841" s="5" t="s">
        <v>6</v>
      </c>
      <c r="B4841" s="5" t="s">
        <v>13559</v>
      </c>
      <c r="C4841" s="1" t="s">
        <v>13560</v>
      </c>
      <c r="D4841" s="1" t="s">
        <v>13561</v>
      </c>
      <c r="E4841" s="7">
        <v>708.7</v>
      </c>
    </row>
    <row r="4842" spans="1:5" x14ac:dyDescent="0.25">
      <c r="A4842" s="5" t="s">
        <v>6</v>
      </c>
      <c r="B4842" s="5" t="s">
        <v>13562</v>
      </c>
      <c r="C4842" s="1" t="s">
        <v>13563</v>
      </c>
      <c r="D4842" s="1" t="s">
        <v>13564</v>
      </c>
      <c r="E4842" s="7">
        <v>510.8</v>
      </c>
    </row>
    <row r="4843" spans="1:5" x14ac:dyDescent="0.25">
      <c r="A4843" s="5" t="s">
        <v>6</v>
      </c>
      <c r="B4843" s="5" t="s">
        <v>13565</v>
      </c>
      <c r="C4843" s="1" t="s">
        <v>3282</v>
      </c>
      <c r="D4843" s="1" t="s">
        <v>3283</v>
      </c>
      <c r="E4843" s="7">
        <v>300</v>
      </c>
    </row>
    <row r="4844" spans="1:5" x14ac:dyDescent="0.25">
      <c r="A4844" s="5" t="s">
        <v>6</v>
      </c>
      <c r="B4844" s="5" t="s">
        <v>13566</v>
      </c>
      <c r="C4844" s="1" t="s">
        <v>13567</v>
      </c>
      <c r="D4844" s="1" t="s">
        <v>13568</v>
      </c>
      <c r="E4844" s="7">
        <v>75</v>
      </c>
    </row>
    <row r="4845" spans="1:5" x14ac:dyDescent="0.25">
      <c r="A4845" s="5" t="s">
        <v>6</v>
      </c>
      <c r="B4845" s="5" t="s">
        <v>13569</v>
      </c>
      <c r="C4845" s="1" t="s">
        <v>3328</v>
      </c>
      <c r="D4845" s="1" t="s">
        <v>3329</v>
      </c>
      <c r="E4845" s="7">
        <v>674.89</v>
      </c>
    </row>
    <row r="4846" spans="1:5" x14ac:dyDescent="0.25">
      <c r="A4846" s="5" t="s">
        <v>6</v>
      </c>
      <c r="B4846" s="5" t="s">
        <v>13570</v>
      </c>
      <c r="C4846" s="1" t="s">
        <v>13571</v>
      </c>
      <c r="D4846" s="1" t="s">
        <v>13572</v>
      </c>
      <c r="E4846" s="7">
        <v>195</v>
      </c>
    </row>
    <row r="4847" spans="1:5" x14ac:dyDescent="0.25">
      <c r="A4847" s="5" t="s">
        <v>6</v>
      </c>
      <c r="B4847" s="5" t="s">
        <v>13573</v>
      </c>
      <c r="C4847" s="1" t="s">
        <v>13574</v>
      </c>
      <c r="D4847" s="1" t="s">
        <v>13575</v>
      </c>
      <c r="E4847" s="7">
        <v>230.57</v>
      </c>
    </row>
    <row r="4848" spans="1:5" x14ac:dyDescent="0.25">
      <c r="A4848" s="5" t="s">
        <v>6</v>
      </c>
      <c r="B4848" s="5" t="s">
        <v>13576</v>
      </c>
      <c r="C4848" s="1" t="s">
        <v>3325</v>
      </c>
      <c r="D4848" s="1" t="s">
        <v>3326</v>
      </c>
      <c r="E4848" s="7">
        <v>242.1</v>
      </c>
    </row>
    <row r="4849" spans="1:5" x14ac:dyDescent="0.25">
      <c r="A4849" s="5" t="s">
        <v>6</v>
      </c>
      <c r="B4849" s="5" t="s">
        <v>13577</v>
      </c>
      <c r="C4849" s="1" t="s">
        <v>13578</v>
      </c>
      <c r="D4849" s="1" t="s">
        <v>13579</v>
      </c>
      <c r="E4849" s="7">
        <v>242.1</v>
      </c>
    </row>
    <row r="4850" spans="1:5" x14ac:dyDescent="0.25">
      <c r="A4850" s="5" t="s">
        <v>6</v>
      </c>
      <c r="B4850" s="5" t="s">
        <v>13580</v>
      </c>
      <c r="C4850" s="1" t="s">
        <v>13581</v>
      </c>
      <c r="D4850" s="1" t="s">
        <v>13582</v>
      </c>
      <c r="E4850" s="7">
        <v>627</v>
      </c>
    </row>
    <row r="4851" spans="1:5" x14ac:dyDescent="0.25">
      <c r="A4851" s="5" t="s">
        <v>6</v>
      </c>
      <c r="B4851" s="5" t="s">
        <v>13583</v>
      </c>
      <c r="C4851" s="1" t="s">
        <v>13584</v>
      </c>
      <c r="D4851" s="1" t="s">
        <v>13585</v>
      </c>
      <c r="E4851" s="7">
        <v>674.89</v>
      </c>
    </row>
    <row r="4852" spans="1:5" x14ac:dyDescent="0.25">
      <c r="A4852" s="5" t="s">
        <v>6</v>
      </c>
      <c r="B4852" s="5" t="s">
        <v>13586</v>
      </c>
      <c r="C4852" s="1" t="s">
        <v>13587</v>
      </c>
      <c r="D4852" s="1" t="s">
        <v>13588</v>
      </c>
      <c r="E4852" s="7">
        <v>48</v>
      </c>
    </row>
    <row r="4853" spans="1:5" x14ac:dyDescent="0.25">
      <c r="A4853" s="5" t="s">
        <v>6</v>
      </c>
      <c r="B4853" s="5" t="s">
        <v>13589</v>
      </c>
      <c r="C4853" s="1" t="s">
        <v>3168</v>
      </c>
      <c r="D4853" s="1" t="s">
        <v>3169</v>
      </c>
      <c r="E4853" s="7">
        <v>102</v>
      </c>
    </row>
    <row r="4854" spans="1:5" x14ac:dyDescent="0.25">
      <c r="A4854" s="5" t="s">
        <v>6</v>
      </c>
      <c r="B4854" s="5" t="s">
        <v>13590</v>
      </c>
      <c r="C4854" s="1" t="s">
        <v>13591</v>
      </c>
      <c r="D4854" s="1" t="s">
        <v>3176</v>
      </c>
      <c r="E4854" s="7">
        <v>204</v>
      </c>
    </row>
    <row r="4855" spans="1:5" x14ac:dyDescent="0.25">
      <c r="A4855" s="5" t="s">
        <v>6</v>
      </c>
      <c r="B4855" s="5" t="s">
        <v>13592</v>
      </c>
      <c r="C4855" s="1" t="s">
        <v>13593</v>
      </c>
      <c r="D4855" s="1" t="s">
        <v>3176</v>
      </c>
      <c r="E4855" s="7">
        <v>47</v>
      </c>
    </row>
    <row r="4856" spans="1:5" x14ac:dyDescent="0.25">
      <c r="A4856" s="5" t="s">
        <v>6</v>
      </c>
      <c r="B4856" s="5" t="s">
        <v>13594</v>
      </c>
      <c r="C4856" s="1" t="s">
        <v>3175</v>
      </c>
      <c r="D4856" s="1" t="s">
        <v>3176</v>
      </c>
      <c r="E4856" s="7">
        <v>168</v>
      </c>
    </row>
    <row r="4857" spans="1:5" x14ac:dyDescent="0.25">
      <c r="A4857" s="5" t="s">
        <v>6</v>
      </c>
      <c r="B4857" s="5" t="s">
        <v>13595</v>
      </c>
      <c r="C4857" s="1" t="s">
        <v>13596</v>
      </c>
      <c r="D4857" s="1" t="s">
        <v>3176</v>
      </c>
      <c r="E4857" s="7">
        <v>88</v>
      </c>
    </row>
    <row r="4858" spans="1:5" x14ac:dyDescent="0.25">
      <c r="A4858" s="5" t="s">
        <v>6</v>
      </c>
      <c r="B4858" s="5" t="s">
        <v>13597</v>
      </c>
      <c r="C4858" s="1" t="s">
        <v>13551</v>
      </c>
      <c r="D4858" s="1" t="s">
        <v>13551</v>
      </c>
      <c r="E4858" s="7">
        <v>100</v>
      </c>
    </row>
    <row r="4859" spans="1:5" x14ac:dyDescent="0.25">
      <c r="A4859" s="5" t="s">
        <v>6</v>
      </c>
      <c r="B4859" s="5" t="s">
        <v>13598</v>
      </c>
      <c r="C4859" s="1" t="s">
        <v>3233</v>
      </c>
      <c r="D4859" s="1" t="s">
        <v>3234</v>
      </c>
      <c r="E4859" s="7">
        <v>87</v>
      </c>
    </row>
    <row r="4860" spans="1:5" x14ac:dyDescent="0.25">
      <c r="A4860" s="5" t="s">
        <v>6</v>
      </c>
      <c r="B4860" s="5" t="s">
        <v>13599</v>
      </c>
      <c r="C4860" s="1" t="s">
        <v>13558</v>
      </c>
      <c r="D4860" s="1" t="s">
        <v>13558</v>
      </c>
      <c r="E4860" s="7">
        <v>55</v>
      </c>
    </row>
    <row r="4861" spans="1:5" x14ac:dyDescent="0.25">
      <c r="A4861" s="5" t="s">
        <v>6</v>
      </c>
      <c r="B4861" s="5" t="s">
        <v>13600</v>
      </c>
      <c r="C4861" s="1" t="s">
        <v>2799</v>
      </c>
      <c r="D4861" s="1" t="s">
        <v>2799</v>
      </c>
      <c r="E4861" s="7">
        <v>20</v>
      </c>
    </row>
    <row r="4862" spans="1:5" x14ac:dyDescent="0.25">
      <c r="A4862" s="5" t="s">
        <v>6</v>
      </c>
      <c r="B4862" s="5" t="s">
        <v>13601</v>
      </c>
      <c r="C4862" s="1" t="s">
        <v>13554</v>
      </c>
      <c r="D4862" s="1" t="s">
        <v>13554</v>
      </c>
      <c r="E4862" s="7">
        <v>40</v>
      </c>
    </row>
    <row r="4863" spans="1:5" x14ac:dyDescent="0.25">
      <c r="A4863" s="5" t="s">
        <v>6</v>
      </c>
      <c r="B4863" s="5" t="s">
        <v>13602</v>
      </c>
      <c r="C4863" s="1" t="s">
        <v>13537</v>
      </c>
      <c r="D4863" s="1" t="s">
        <v>13537</v>
      </c>
      <c r="E4863" s="7">
        <v>45</v>
      </c>
    </row>
    <row r="4864" spans="1:5" x14ac:dyDescent="0.25">
      <c r="A4864" s="5" t="s">
        <v>6</v>
      </c>
      <c r="B4864" s="5" t="s">
        <v>13603</v>
      </c>
      <c r="C4864" s="1" t="s">
        <v>2811</v>
      </c>
      <c r="D4864" s="1" t="s">
        <v>2812</v>
      </c>
      <c r="E4864" s="7">
        <v>27.21</v>
      </c>
    </row>
    <row r="4865" spans="1:5" x14ac:dyDescent="0.25">
      <c r="A4865" s="5" t="s">
        <v>6</v>
      </c>
      <c r="B4865" s="5" t="s">
        <v>13604</v>
      </c>
      <c r="C4865" s="1" t="s">
        <v>2814</v>
      </c>
      <c r="D4865" s="1" t="s">
        <v>2815</v>
      </c>
      <c r="E4865" s="7">
        <v>28.05</v>
      </c>
    </row>
    <row r="4866" spans="1:5" x14ac:dyDescent="0.25">
      <c r="A4866" s="5" t="s">
        <v>6</v>
      </c>
      <c r="B4866" s="5" t="s">
        <v>13605</v>
      </c>
      <c r="C4866" s="1" t="s">
        <v>13567</v>
      </c>
      <c r="D4866" s="1" t="s">
        <v>13568</v>
      </c>
      <c r="E4866" s="7">
        <v>75</v>
      </c>
    </row>
    <row r="4867" spans="1:5" x14ac:dyDescent="0.25">
      <c r="A4867" s="5" t="s">
        <v>6</v>
      </c>
      <c r="B4867" s="5" t="s">
        <v>13606</v>
      </c>
      <c r="C4867" s="1" t="s">
        <v>13607</v>
      </c>
      <c r="D4867" s="1" t="s">
        <v>13608</v>
      </c>
      <c r="E4867" s="7">
        <v>40.700000000000003</v>
      </c>
    </row>
    <row r="4868" spans="1:5" x14ac:dyDescent="0.25">
      <c r="A4868" s="5" t="s">
        <v>6</v>
      </c>
      <c r="B4868" s="5" t="s">
        <v>13609</v>
      </c>
      <c r="C4868" s="1" t="s">
        <v>13574</v>
      </c>
      <c r="D4868" s="1" t="s">
        <v>13575</v>
      </c>
      <c r="E4868" s="7">
        <v>20.75</v>
      </c>
    </row>
    <row r="4869" spans="1:5" x14ac:dyDescent="0.25">
      <c r="A4869" s="5" t="s">
        <v>6</v>
      </c>
      <c r="B4869" s="5" t="s">
        <v>13610</v>
      </c>
      <c r="C4869" s="1" t="s">
        <v>3325</v>
      </c>
      <c r="D4869" s="1" t="s">
        <v>3326</v>
      </c>
      <c r="E4869" s="7">
        <v>160</v>
      </c>
    </row>
    <row r="4870" spans="1:5" x14ac:dyDescent="0.25">
      <c r="A4870" s="5" t="s">
        <v>6</v>
      </c>
      <c r="B4870" s="5" t="s">
        <v>13611</v>
      </c>
      <c r="C4870" s="1" t="s">
        <v>3343</v>
      </c>
      <c r="D4870" s="1" t="s">
        <v>3344</v>
      </c>
      <c r="E4870" s="7">
        <v>750</v>
      </c>
    </row>
    <row r="4871" spans="1:5" x14ac:dyDescent="0.25">
      <c r="A4871" s="5" t="s">
        <v>6</v>
      </c>
      <c r="B4871" s="5" t="s">
        <v>13612</v>
      </c>
      <c r="C4871" s="1" t="s">
        <v>13578</v>
      </c>
      <c r="D4871" s="1" t="s">
        <v>13579</v>
      </c>
      <c r="E4871" s="7">
        <v>114</v>
      </c>
    </row>
    <row r="4872" spans="1:5" x14ac:dyDescent="0.25">
      <c r="A4872" s="5" t="s">
        <v>6</v>
      </c>
      <c r="B4872" s="5" t="s">
        <v>13613</v>
      </c>
      <c r="C4872" s="1" t="s">
        <v>3282</v>
      </c>
      <c r="D4872" s="1" t="s">
        <v>3283</v>
      </c>
      <c r="E4872" s="7">
        <v>300</v>
      </c>
    </row>
    <row r="4873" spans="1:5" x14ac:dyDescent="0.25">
      <c r="A4873" s="5" t="s">
        <v>6</v>
      </c>
      <c r="B4873" s="5" t="s">
        <v>13614</v>
      </c>
      <c r="C4873" s="1" t="s">
        <v>13615</v>
      </c>
      <c r="D4873" s="1" t="s">
        <v>13615</v>
      </c>
      <c r="E4873" s="7">
        <v>0.01</v>
      </c>
    </row>
    <row r="4874" spans="1:5" x14ac:dyDescent="0.25">
      <c r="A4874" s="5" t="s">
        <v>6</v>
      </c>
      <c r="B4874" s="5" t="s">
        <v>13616</v>
      </c>
      <c r="C4874" s="1" t="s">
        <v>2973</v>
      </c>
      <c r="D4874" s="1" t="s">
        <v>2974</v>
      </c>
      <c r="E4874" s="7">
        <v>29.53</v>
      </c>
    </row>
    <row r="4875" spans="1:5" x14ac:dyDescent="0.25">
      <c r="A4875" s="5" t="s">
        <v>6</v>
      </c>
      <c r="B4875" s="5" t="s">
        <v>13617</v>
      </c>
      <c r="C4875" s="1" t="s">
        <v>3041</v>
      </c>
      <c r="D4875" s="1" t="s">
        <v>3042</v>
      </c>
      <c r="E4875" s="7">
        <v>43</v>
      </c>
    </row>
    <row r="4876" spans="1:5" x14ac:dyDescent="0.25">
      <c r="A4876" s="5" t="s">
        <v>6</v>
      </c>
      <c r="B4876" s="5" t="s">
        <v>13618</v>
      </c>
      <c r="C4876" s="1" t="s">
        <v>13619</v>
      </c>
      <c r="D4876" s="1" t="s">
        <v>13620</v>
      </c>
      <c r="E4876" s="7">
        <v>16.3</v>
      </c>
    </row>
    <row r="4877" spans="1:5" x14ac:dyDescent="0.25">
      <c r="A4877" s="5" t="s">
        <v>6</v>
      </c>
      <c r="B4877" s="5" t="s">
        <v>13621</v>
      </c>
      <c r="C4877" s="1" t="s">
        <v>13622</v>
      </c>
      <c r="D4877" s="1" t="s">
        <v>13623</v>
      </c>
      <c r="E4877" s="7">
        <v>400</v>
      </c>
    </row>
    <row r="4878" spans="1:5" x14ac:dyDescent="0.25">
      <c r="A4878" s="5" t="s">
        <v>6</v>
      </c>
      <c r="B4878" s="5" t="s">
        <v>13624</v>
      </c>
      <c r="C4878" s="1" t="s">
        <v>3325</v>
      </c>
      <c r="D4878" s="1" t="s">
        <v>3326</v>
      </c>
      <c r="E4878" s="7">
        <v>45</v>
      </c>
    </row>
    <row r="4879" spans="1:5" x14ac:dyDescent="0.25">
      <c r="A4879" s="5" t="s">
        <v>6</v>
      </c>
      <c r="B4879" s="5" t="s">
        <v>13625</v>
      </c>
      <c r="C4879" s="1" t="s">
        <v>13578</v>
      </c>
      <c r="D4879" s="1" t="s">
        <v>13579</v>
      </c>
      <c r="E4879" s="7">
        <v>45</v>
      </c>
    </row>
    <row r="4880" spans="1:5" x14ac:dyDescent="0.25">
      <c r="A4880" s="5" t="s">
        <v>6</v>
      </c>
      <c r="B4880" s="5" t="s">
        <v>13626</v>
      </c>
      <c r="C4880" s="1" t="s">
        <v>13627</v>
      </c>
      <c r="D4880" s="1" t="s">
        <v>13628</v>
      </c>
      <c r="E4880" s="7">
        <v>78</v>
      </c>
    </row>
    <row r="4881" spans="1:5" x14ac:dyDescent="0.25">
      <c r="A4881" s="5" t="s">
        <v>6</v>
      </c>
      <c r="B4881" s="5" t="s">
        <v>13629</v>
      </c>
      <c r="C4881" s="1" t="s">
        <v>13630</v>
      </c>
      <c r="D4881" s="1" t="s">
        <v>13631</v>
      </c>
      <c r="E4881" s="7">
        <v>110</v>
      </c>
    </row>
    <row r="4882" spans="1:5" x14ac:dyDescent="0.25">
      <c r="A4882" s="5" t="s">
        <v>6</v>
      </c>
      <c r="B4882" s="5" t="s">
        <v>13632</v>
      </c>
      <c r="C4882" s="1" t="s">
        <v>13581</v>
      </c>
      <c r="D4882" s="1" t="s">
        <v>13582</v>
      </c>
      <c r="E4882" s="7">
        <v>110</v>
      </c>
    </row>
    <row r="4883" spans="1:5" x14ac:dyDescent="0.25">
      <c r="A4883" s="5" t="s">
        <v>6</v>
      </c>
      <c r="B4883" s="5" t="s">
        <v>13633</v>
      </c>
      <c r="C4883" s="1" t="s">
        <v>13634</v>
      </c>
      <c r="D4883" s="1" t="s">
        <v>13635</v>
      </c>
      <c r="E4883" s="7">
        <v>280</v>
      </c>
    </row>
    <row r="4884" spans="1:5" x14ac:dyDescent="0.25">
      <c r="A4884" s="5" t="s">
        <v>6</v>
      </c>
      <c r="B4884" s="5" t="s">
        <v>13636</v>
      </c>
      <c r="C4884" s="1" t="s">
        <v>13637</v>
      </c>
      <c r="D4884" s="1" t="s">
        <v>13638</v>
      </c>
      <c r="E4884" s="7">
        <v>280</v>
      </c>
    </row>
    <row r="4885" spans="1:5" x14ac:dyDescent="0.25">
      <c r="A4885" s="5" t="s">
        <v>6</v>
      </c>
      <c r="B4885" s="5" t="s">
        <v>13639</v>
      </c>
      <c r="C4885" s="1" t="s">
        <v>3291</v>
      </c>
      <c r="D4885" s="1" t="s">
        <v>3292</v>
      </c>
      <c r="E4885" s="7">
        <v>24.73</v>
      </c>
    </row>
    <row r="4886" spans="1:5" x14ac:dyDescent="0.25">
      <c r="A4886" s="5" t="s">
        <v>6</v>
      </c>
      <c r="B4886" s="5" t="s">
        <v>13640</v>
      </c>
      <c r="C4886" s="1" t="s">
        <v>3282</v>
      </c>
      <c r="D4886" s="1" t="s">
        <v>3283</v>
      </c>
      <c r="E4886" s="7">
        <v>21.92</v>
      </c>
    </row>
    <row r="4887" spans="1:5" x14ac:dyDescent="0.25">
      <c r="A4887" s="5" t="s">
        <v>6</v>
      </c>
      <c r="B4887" s="5" t="s">
        <v>13641</v>
      </c>
      <c r="C4887" s="1" t="s">
        <v>3328</v>
      </c>
      <c r="D4887" s="1" t="s">
        <v>3329</v>
      </c>
      <c r="E4887" s="7">
        <v>125</v>
      </c>
    </row>
    <row r="4888" spans="1:5" x14ac:dyDescent="0.25">
      <c r="A4888" s="5" t="s">
        <v>6</v>
      </c>
      <c r="B4888" s="5" t="s">
        <v>13642</v>
      </c>
      <c r="C4888" s="1" t="s">
        <v>13571</v>
      </c>
      <c r="D4888" s="1" t="s">
        <v>13572</v>
      </c>
      <c r="E4888" s="7">
        <v>24.27</v>
      </c>
    </row>
    <row r="4889" spans="1:5" x14ac:dyDescent="0.25">
      <c r="A4889" s="5" t="s">
        <v>6</v>
      </c>
      <c r="B4889" s="5" t="s">
        <v>13643</v>
      </c>
      <c r="C4889" s="1" t="s">
        <v>13574</v>
      </c>
      <c r="D4889" s="1" t="s">
        <v>13575</v>
      </c>
      <c r="E4889" s="7">
        <v>25</v>
      </c>
    </row>
    <row r="4890" spans="1:5" x14ac:dyDescent="0.25">
      <c r="A4890" s="5" t="s">
        <v>6</v>
      </c>
      <c r="B4890" s="5" t="s">
        <v>13644</v>
      </c>
      <c r="C4890" s="1" t="s">
        <v>3325</v>
      </c>
      <c r="D4890" s="1" t="s">
        <v>3326</v>
      </c>
      <c r="E4890" s="7">
        <v>45</v>
      </c>
    </row>
    <row r="4891" spans="1:5" x14ac:dyDescent="0.25">
      <c r="A4891" s="5" t="s">
        <v>6</v>
      </c>
      <c r="B4891" s="5" t="s">
        <v>13645</v>
      </c>
      <c r="C4891" s="1" t="s">
        <v>13646</v>
      </c>
      <c r="D4891" s="1" t="s">
        <v>13647</v>
      </c>
      <c r="E4891" s="7">
        <v>45</v>
      </c>
    </row>
    <row r="4892" spans="1:5" x14ac:dyDescent="0.25">
      <c r="A4892" s="5" t="s">
        <v>6</v>
      </c>
      <c r="B4892" s="5" t="s">
        <v>13648</v>
      </c>
      <c r="C4892" s="1" t="s">
        <v>13563</v>
      </c>
      <c r="D4892" s="1" t="s">
        <v>13564</v>
      </c>
      <c r="E4892" s="7">
        <v>60</v>
      </c>
    </row>
    <row r="4893" spans="1:5" x14ac:dyDescent="0.25">
      <c r="A4893" s="5" t="s">
        <v>6</v>
      </c>
      <c r="B4893" s="5" t="s">
        <v>13649</v>
      </c>
      <c r="C4893" s="1" t="s">
        <v>13630</v>
      </c>
      <c r="D4893" s="1" t="s">
        <v>13631</v>
      </c>
      <c r="E4893" s="7">
        <v>125</v>
      </c>
    </row>
    <row r="4894" spans="1:5" x14ac:dyDescent="0.25">
      <c r="A4894" s="5" t="s">
        <v>6</v>
      </c>
      <c r="B4894" s="5" t="s">
        <v>13650</v>
      </c>
      <c r="C4894" s="1" t="s">
        <v>13581</v>
      </c>
      <c r="D4894" s="1" t="s">
        <v>13582</v>
      </c>
      <c r="E4894" s="7">
        <v>125</v>
      </c>
    </row>
    <row r="4895" spans="1:5" x14ac:dyDescent="0.25">
      <c r="A4895" s="5" t="s">
        <v>6</v>
      </c>
      <c r="B4895" s="5" t="s">
        <v>13651</v>
      </c>
      <c r="C4895" s="1" t="s">
        <v>13578</v>
      </c>
      <c r="D4895" s="1" t="s">
        <v>13579</v>
      </c>
      <c r="E4895" s="7">
        <v>45</v>
      </c>
    </row>
    <row r="4896" spans="1:5" x14ac:dyDescent="0.25">
      <c r="A4896" s="5" t="s">
        <v>6</v>
      </c>
      <c r="B4896" s="5" t="s">
        <v>13652</v>
      </c>
      <c r="C4896" s="1" t="s">
        <v>13653</v>
      </c>
      <c r="D4896" s="1" t="s">
        <v>3283</v>
      </c>
      <c r="E4896" s="7">
        <v>52.15</v>
      </c>
    </row>
    <row r="4897" spans="1:5" x14ac:dyDescent="0.25">
      <c r="A4897" s="5" t="s">
        <v>6</v>
      </c>
      <c r="B4897" s="5" t="s">
        <v>13654</v>
      </c>
      <c r="C4897" s="1" t="s">
        <v>13571</v>
      </c>
      <c r="D4897" s="1" t="s">
        <v>13572</v>
      </c>
      <c r="E4897" s="7">
        <v>52.15</v>
      </c>
    </row>
    <row r="4898" spans="1:5" x14ac:dyDescent="0.25">
      <c r="A4898" s="5" t="s">
        <v>6</v>
      </c>
      <c r="B4898" s="5" t="s">
        <v>13655</v>
      </c>
      <c r="C4898" s="1" t="s">
        <v>13574</v>
      </c>
      <c r="D4898" s="1" t="s">
        <v>13575</v>
      </c>
      <c r="E4898" s="7">
        <v>37.1</v>
      </c>
    </row>
    <row r="4899" spans="1:5" x14ac:dyDescent="0.25">
      <c r="A4899" s="5" t="s">
        <v>6</v>
      </c>
      <c r="B4899" s="5" t="s">
        <v>13656</v>
      </c>
      <c r="C4899" s="1" t="s">
        <v>13560</v>
      </c>
      <c r="D4899" s="1" t="s">
        <v>13561</v>
      </c>
      <c r="E4899" s="7">
        <v>160</v>
      </c>
    </row>
    <row r="4900" spans="1:5" x14ac:dyDescent="0.25">
      <c r="A4900" s="5" t="s">
        <v>6</v>
      </c>
      <c r="B4900" s="5" t="s">
        <v>13657</v>
      </c>
      <c r="C4900" s="1" t="s">
        <v>13578</v>
      </c>
      <c r="D4900" s="1" t="s">
        <v>13579</v>
      </c>
      <c r="E4900" s="7">
        <v>61</v>
      </c>
    </row>
    <row r="4901" spans="1:5" x14ac:dyDescent="0.25">
      <c r="A4901" s="5" t="s">
        <v>6</v>
      </c>
      <c r="B4901" s="5" t="s">
        <v>13658</v>
      </c>
      <c r="C4901" s="1" t="s">
        <v>3340</v>
      </c>
      <c r="D4901" s="1" t="s">
        <v>3341</v>
      </c>
      <c r="E4901" s="7">
        <v>101</v>
      </c>
    </row>
    <row r="4902" spans="1:5" x14ac:dyDescent="0.25">
      <c r="A4902" s="5" t="s">
        <v>6</v>
      </c>
      <c r="B4902" s="5" t="s">
        <v>13659</v>
      </c>
      <c r="C4902" s="1" t="s">
        <v>13660</v>
      </c>
      <c r="D4902" s="1" t="s">
        <v>3341</v>
      </c>
      <c r="E4902" s="7">
        <v>251.34</v>
      </c>
    </row>
    <row r="4903" spans="1:5" x14ac:dyDescent="0.25">
      <c r="A4903" s="5" t="s">
        <v>6</v>
      </c>
      <c r="B4903" s="5" t="s">
        <v>13661</v>
      </c>
      <c r="C4903" s="1" t="s">
        <v>13662</v>
      </c>
      <c r="D4903" s="1" t="s">
        <v>13663</v>
      </c>
      <c r="E4903" s="7">
        <v>51</v>
      </c>
    </row>
    <row r="4904" spans="1:5" x14ac:dyDescent="0.25">
      <c r="A4904" s="5" t="s">
        <v>6</v>
      </c>
      <c r="B4904" s="5" t="s">
        <v>13664</v>
      </c>
      <c r="C4904" s="1" t="s">
        <v>3343</v>
      </c>
      <c r="D4904" s="1" t="s">
        <v>3344</v>
      </c>
      <c r="E4904" s="7">
        <v>631.13</v>
      </c>
    </row>
    <row r="4905" spans="1:5" x14ac:dyDescent="0.25">
      <c r="A4905" s="5" t="s">
        <v>6</v>
      </c>
      <c r="B4905" s="5" t="s">
        <v>13665</v>
      </c>
      <c r="C4905" s="1" t="s">
        <v>3325</v>
      </c>
      <c r="D4905" s="1" t="s">
        <v>3326</v>
      </c>
      <c r="E4905" s="7">
        <v>251.34</v>
      </c>
    </row>
    <row r="4906" spans="1:5" x14ac:dyDescent="0.25">
      <c r="A4906" s="5" t="s">
        <v>6</v>
      </c>
      <c r="B4906" s="5" t="s">
        <v>13666</v>
      </c>
      <c r="C4906" s="1" t="s">
        <v>13563</v>
      </c>
      <c r="D4906" s="1" t="s">
        <v>13564</v>
      </c>
      <c r="E4906" s="7">
        <v>248</v>
      </c>
    </row>
    <row r="4907" spans="1:5" x14ac:dyDescent="0.25">
      <c r="A4907" s="5" t="s">
        <v>6</v>
      </c>
      <c r="B4907" s="5" t="s">
        <v>13667</v>
      </c>
      <c r="C4907" s="1" t="s">
        <v>13581</v>
      </c>
      <c r="D4907" s="1" t="s">
        <v>13582</v>
      </c>
      <c r="E4907" s="7">
        <v>121</v>
      </c>
    </row>
    <row r="4908" spans="1:5" x14ac:dyDescent="0.25">
      <c r="A4908" s="5" t="s">
        <v>6</v>
      </c>
      <c r="B4908" s="5" t="s">
        <v>13668</v>
      </c>
      <c r="C4908" s="1" t="s">
        <v>3328</v>
      </c>
      <c r="D4908" s="1" t="s">
        <v>3329</v>
      </c>
      <c r="E4908" s="7">
        <v>140</v>
      </c>
    </row>
    <row r="4909" spans="1:5" x14ac:dyDescent="0.25">
      <c r="A4909" s="5" t="s">
        <v>6</v>
      </c>
      <c r="B4909" s="5" t="s">
        <v>13669</v>
      </c>
      <c r="C4909" s="1" t="s">
        <v>13584</v>
      </c>
      <c r="D4909" s="1" t="s">
        <v>13585</v>
      </c>
      <c r="E4909" s="7">
        <v>345</v>
      </c>
    </row>
    <row r="4910" spans="1:5" x14ac:dyDescent="0.25">
      <c r="A4910" s="5" t="s">
        <v>6</v>
      </c>
      <c r="B4910" s="5" t="s">
        <v>13670</v>
      </c>
      <c r="C4910" s="1" t="s">
        <v>3282</v>
      </c>
      <c r="D4910" s="1" t="s">
        <v>3283</v>
      </c>
      <c r="E4910" s="7">
        <v>105</v>
      </c>
    </row>
    <row r="4911" spans="1:5" x14ac:dyDescent="0.25">
      <c r="A4911" s="5" t="s">
        <v>6</v>
      </c>
      <c r="B4911" s="5" t="s">
        <v>13671</v>
      </c>
      <c r="C4911" s="1" t="s">
        <v>13672</v>
      </c>
      <c r="D4911" s="1" t="s">
        <v>13673</v>
      </c>
      <c r="E4911" s="7">
        <v>32.58</v>
      </c>
    </row>
    <row r="4912" spans="1:5" x14ac:dyDescent="0.25">
      <c r="A4912" s="5" t="s">
        <v>6</v>
      </c>
      <c r="B4912" s="5" t="s">
        <v>13674</v>
      </c>
      <c r="C4912" s="1" t="s">
        <v>13675</v>
      </c>
      <c r="D4912" s="1" t="s">
        <v>13675</v>
      </c>
      <c r="E4912" s="7">
        <v>10.59</v>
      </c>
    </row>
    <row r="4913" spans="1:5" x14ac:dyDescent="0.25">
      <c r="A4913" s="5" t="s">
        <v>6</v>
      </c>
      <c r="B4913" s="5" t="s">
        <v>13676</v>
      </c>
      <c r="C4913" s="1" t="s">
        <v>13677</v>
      </c>
      <c r="D4913" s="1" t="s">
        <v>13678</v>
      </c>
      <c r="E4913" s="7">
        <v>68.73</v>
      </c>
    </row>
    <row r="4914" spans="1:5" x14ac:dyDescent="0.25">
      <c r="A4914" s="5" t="s">
        <v>6</v>
      </c>
      <c r="B4914" s="5" t="s">
        <v>13679</v>
      </c>
      <c r="C4914" s="1" t="s">
        <v>13680</v>
      </c>
      <c r="D4914" s="1" t="s">
        <v>13681</v>
      </c>
      <c r="E4914" s="7">
        <v>900</v>
      </c>
    </row>
    <row r="4915" spans="1:5" x14ac:dyDescent="0.25">
      <c r="A4915" s="5" t="s">
        <v>6</v>
      </c>
      <c r="B4915" s="5" t="s">
        <v>13682</v>
      </c>
      <c r="C4915" s="1" t="s">
        <v>13683</v>
      </c>
      <c r="D4915" s="1" t="s">
        <v>13683</v>
      </c>
      <c r="E4915" s="7">
        <v>90</v>
      </c>
    </row>
    <row r="4916" spans="1:5" x14ac:dyDescent="0.25">
      <c r="A4916" s="5" t="s">
        <v>6</v>
      </c>
      <c r="B4916" s="5" t="s">
        <v>13684</v>
      </c>
      <c r="C4916" s="1" t="s">
        <v>13685</v>
      </c>
      <c r="D4916" s="1" t="s">
        <v>13686</v>
      </c>
      <c r="E4916" s="7">
        <v>8.9600000000000009</v>
      </c>
    </row>
    <row r="4917" spans="1:5" x14ac:dyDescent="0.25">
      <c r="A4917" s="5" t="s">
        <v>6</v>
      </c>
      <c r="B4917" s="5" t="s">
        <v>13687</v>
      </c>
      <c r="C4917" s="1" t="s">
        <v>2593</v>
      </c>
      <c r="D4917" s="1" t="s">
        <v>2593</v>
      </c>
      <c r="E4917" s="7">
        <v>51.31</v>
      </c>
    </row>
    <row r="4918" spans="1:5" x14ac:dyDescent="0.25">
      <c r="A4918" s="5" t="s">
        <v>6</v>
      </c>
      <c r="B4918" s="5" t="s">
        <v>13688</v>
      </c>
      <c r="C4918" s="1" t="s">
        <v>13689</v>
      </c>
      <c r="D4918" s="1" t="s">
        <v>13690</v>
      </c>
      <c r="E4918" s="7">
        <v>42.13</v>
      </c>
    </row>
    <row r="4919" spans="1:5" x14ac:dyDescent="0.25">
      <c r="A4919" s="5" t="s">
        <v>6</v>
      </c>
      <c r="B4919" s="5" t="s">
        <v>13691</v>
      </c>
      <c r="C4919" s="1" t="s">
        <v>13692</v>
      </c>
      <c r="D4919" s="1" t="s">
        <v>13693</v>
      </c>
      <c r="E4919" s="7">
        <v>46</v>
      </c>
    </row>
    <row r="4920" spans="1:5" x14ac:dyDescent="0.25">
      <c r="A4920" s="5" t="s">
        <v>6</v>
      </c>
      <c r="B4920" s="5" t="s">
        <v>13694</v>
      </c>
      <c r="C4920" s="1" t="s">
        <v>13695</v>
      </c>
      <c r="D4920" s="1" t="s">
        <v>13695</v>
      </c>
      <c r="E4920" s="7">
        <v>39.25</v>
      </c>
    </row>
    <row r="4921" spans="1:5" x14ac:dyDescent="0.25">
      <c r="A4921" s="5" t="s">
        <v>6</v>
      </c>
      <c r="B4921" s="5" t="s">
        <v>13696</v>
      </c>
      <c r="C4921" s="1" t="s">
        <v>13697</v>
      </c>
      <c r="D4921" s="1" t="s">
        <v>13690</v>
      </c>
      <c r="E4921" s="7">
        <v>42.13</v>
      </c>
    </row>
    <row r="4922" spans="1:5" x14ac:dyDescent="0.25">
      <c r="A4922" s="5" t="s">
        <v>6</v>
      </c>
      <c r="B4922" s="5" t="s">
        <v>13698</v>
      </c>
      <c r="C4922" s="1" t="s">
        <v>13699</v>
      </c>
      <c r="D4922" s="1" t="s">
        <v>13690</v>
      </c>
      <c r="E4922" s="7">
        <v>42.13</v>
      </c>
    </row>
    <row r="4923" spans="1:5" x14ac:dyDescent="0.25">
      <c r="A4923" s="5" t="s">
        <v>6</v>
      </c>
      <c r="B4923" s="5" t="s">
        <v>13700</v>
      </c>
      <c r="C4923" s="1" t="s">
        <v>13701</v>
      </c>
      <c r="D4923" s="1" t="s">
        <v>13702</v>
      </c>
      <c r="E4923" s="7">
        <v>15.74</v>
      </c>
    </row>
    <row r="4924" spans="1:5" x14ac:dyDescent="0.25">
      <c r="A4924" s="5" t="s">
        <v>6</v>
      </c>
      <c r="B4924" s="5" t="s">
        <v>13703</v>
      </c>
      <c r="C4924" s="1" t="s">
        <v>13704</v>
      </c>
      <c r="D4924" s="1" t="s">
        <v>13704</v>
      </c>
      <c r="E4924" s="7">
        <v>12.22</v>
      </c>
    </row>
    <row r="4925" spans="1:5" x14ac:dyDescent="0.25">
      <c r="A4925" s="5" t="s">
        <v>6</v>
      </c>
      <c r="B4925" s="5" t="s">
        <v>13705</v>
      </c>
      <c r="C4925" s="1" t="s">
        <v>13706</v>
      </c>
      <c r="D4925" s="1" t="s">
        <v>13706</v>
      </c>
      <c r="E4925" s="7">
        <v>4.88</v>
      </c>
    </row>
    <row r="4926" spans="1:5" x14ac:dyDescent="0.25">
      <c r="A4926" s="5" t="s">
        <v>6</v>
      </c>
      <c r="B4926" s="5" t="s">
        <v>13707</v>
      </c>
      <c r="C4926" s="1" t="s">
        <v>2581</v>
      </c>
      <c r="D4926" s="1" t="s">
        <v>2582</v>
      </c>
      <c r="E4926" s="7">
        <v>7.8</v>
      </c>
    </row>
    <row r="4927" spans="1:5" x14ac:dyDescent="0.25">
      <c r="A4927" s="5" t="s">
        <v>6</v>
      </c>
      <c r="B4927" s="5" t="s">
        <v>13708</v>
      </c>
      <c r="C4927" s="1" t="s">
        <v>13709</v>
      </c>
      <c r="D4927" s="1" t="s">
        <v>13710</v>
      </c>
      <c r="E4927" s="7">
        <v>107.92</v>
      </c>
    </row>
    <row r="4928" spans="1:5" x14ac:dyDescent="0.25">
      <c r="A4928" s="5" t="s">
        <v>6</v>
      </c>
      <c r="B4928" s="5" t="s">
        <v>13711</v>
      </c>
      <c r="C4928" s="1" t="s">
        <v>13712</v>
      </c>
      <c r="D4928" s="1" t="s">
        <v>13712</v>
      </c>
      <c r="E4928" s="7">
        <v>4.88</v>
      </c>
    </row>
    <row r="4929" spans="1:5" x14ac:dyDescent="0.25">
      <c r="A4929" s="5" t="s">
        <v>6</v>
      </c>
      <c r="B4929" s="5" t="s">
        <v>13713</v>
      </c>
      <c r="C4929" s="1" t="s">
        <v>13714</v>
      </c>
      <c r="D4929" s="1" t="s">
        <v>13715</v>
      </c>
      <c r="E4929" s="7">
        <v>18.98</v>
      </c>
    </row>
    <row r="4930" spans="1:5" x14ac:dyDescent="0.25">
      <c r="A4930" s="5" t="s">
        <v>6</v>
      </c>
      <c r="B4930" s="5" t="s">
        <v>13716</v>
      </c>
      <c r="C4930" s="1" t="s">
        <v>13717</v>
      </c>
      <c r="D4930" s="1" t="s">
        <v>13717</v>
      </c>
      <c r="E4930" s="7">
        <v>3.67</v>
      </c>
    </row>
    <row r="4931" spans="1:5" x14ac:dyDescent="0.25">
      <c r="A4931" s="5" t="s">
        <v>6</v>
      </c>
      <c r="B4931" s="5" t="s">
        <v>13718</v>
      </c>
      <c r="C4931" s="1" t="s">
        <v>13719</v>
      </c>
      <c r="D4931" s="1" t="s">
        <v>13720</v>
      </c>
      <c r="E4931" s="7">
        <v>32.25</v>
      </c>
    </row>
    <row r="4932" spans="1:5" x14ac:dyDescent="0.25">
      <c r="A4932" s="5" t="s">
        <v>6</v>
      </c>
      <c r="B4932" s="5" t="s">
        <v>13721</v>
      </c>
      <c r="C4932" s="1" t="s">
        <v>13722</v>
      </c>
      <c r="D4932" s="1" t="s">
        <v>13723</v>
      </c>
      <c r="E4932" s="7">
        <v>32.25</v>
      </c>
    </row>
    <row r="4933" spans="1:5" x14ac:dyDescent="0.25">
      <c r="A4933" s="5" t="s">
        <v>6</v>
      </c>
      <c r="B4933" s="5" t="s">
        <v>13724</v>
      </c>
      <c r="C4933" s="1" t="s">
        <v>13725</v>
      </c>
      <c r="D4933" s="1" t="s">
        <v>13726</v>
      </c>
      <c r="E4933" s="7">
        <v>32.25</v>
      </c>
    </row>
    <row r="4934" spans="1:5" x14ac:dyDescent="0.25">
      <c r="A4934" s="5" t="s">
        <v>6</v>
      </c>
      <c r="B4934" s="5" t="s">
        <v>13727</v>
      </c>
      <c r="C4934" s="1" t="s">
        <v>2590</v>
      </c>
      <c r="D4934" s="1" t="s">
        <v>2591</v>
      </c>
      <c r="E4934" s="7">
        <v>35.33</v>
      </c>
    </row>
    <row r="4935" spans="1:5" x14ac:dyDescent="0.25">
      <c r="A4935" s="5" t="s">
        <v>6</v>
      </c>
      <c r="B4935" s="5" t="s">
        <v>13728</v>
      </c>
      <c r="C4935" s="1" t="s">
        <v>13729</v>
      </c>
      <c r="D4935" s="1" t="s">
        <v>13729</v>
      </c>
      <c r="E4935" s="7">
        <v>24.23</v>
      </c>
    </row>
    <row r="4936" spans="1:5" x14ac:dyDescent="0.25">
      <c r="A4936" s="5" t="s">
        <v>6</v>
      </c>
      <c r="B4936" s="5" t="s">
        <v>13730</v>
      </c>
      <c r="C4936" s="1" t="s">
        <v>13731</v>
      </c>
      <c r="D4936" s="1" t="s">
        <v>13732</v>
      </c>
      <c r="E4936" s="7">
        <v>32.25</v>
      </c>
    </row>
    <row r="4937" spans="1:5" x14ac:dyDescent="0.25">
      <c r="A4937" s="5" t="s">
        <v>6</v>
      </c>
      <c r="B4937" s="5" t="s">
        <v>13733</v>
      </c>
      <c r="C4937" s="1" t="s">
        <v>13734</v>
      </c>
      <c r="D4937" s="1" t="s">
        <v>13732</v>
      </c>
      <c r="E4937" s="7">
        <v>315</v>
      </c>
    </row>
    <row r="4938" spans="1:5" x14ac:dyDescent="0.25">
      <c r="A4938" s="5" t="s">
        <v>6</v>
      </c>
      <c r="B4938" s="5" t="s">
        <v>13735</v>
      </c>
      <c r="C4938" s="1" t="s">
        <v>13736</v>
      </c>
      <c r="D4938" s="1" t="s">
        <v>13732</v>
      </c>
      <c r="E4938" s="7">
        <v>315</v>
      </c>
    </row>
    <row r="4939" spans="1:5" x14ac:dyDescent="0.25">
      <c r="A4939" s="5" t="s">
        <v>6</v>
      </c>
      <c r="B4939" s="5" t="s">
        <v>13737</v>
      </c>
      <c r="C4939" s="1" t="s">
        <v>13738</v>
      </c>
      <c r="D4939" s="1" t="s">
        <v>13732</v>
      </c>
      <c r="E4939" s="7">
        <v>58</v>
      </c>
    </row>
    <row r="4940" spans="1:5" x14ac:dyDescent="0.25">
      <c r="A4940" s="5" t="s">
        <v>6</v>
      </c>
      <c r="B4940" s="5" t="s">
        <v>13739</v>
      </c>
      <c r="C4940" s="1" t="s">
        <v>13740</v>
      </c>
      <c r="D4940" s="1" t="s">
        <v>13740</v>
      </c>
      <c r="E4940" s="7">
        <v>24.23</v>
      </c>
    </row>
    <row r="4941" spans="1:5" x14ac:dyDescent="0.25">
      <c r="A4941" s="5" t="s">
        <v>6</v>
      </c>
      <c r="B4941" s="5" t="s">
        <v>13741</v>
      </c>
      <c r="C4941" s="1" t="s">
        <v>13742</v>
      </c>
      <c r="D4941" s="1" t="s">
        <v>13742</v>
      </c>
      <c r="E4941" s="7">
        <v>8.15</v>
      </c>
    </row>
    <row r="4942" spans="1:5" x14ac:dyDescent="0.25">
      <c r="A4942" s="5" t="s">
        <v>6</v>
      </c>
      <c r="B4942" s="5" t="s">
        <v>13743</v>
      </c>
      <c r="C4942" s="1" t="s">
        <v>13744</v>
      </c>
      <c r="D4942" s="1" t="s">
        <v>13744</v>
      </c>
      <c r="E4942" s="7">
        <v>16.86</v>
      </c>
    </row>
    <row r="4943" spans="1:5" x14ac:dyDescent="0.25">
      <c r="A4943" s="5" t="s">
        <v>6</v>
      </c>
      <c r="B4943" s="5" t="s">
        <v>13745</v>
      </c>
      <c r="C4943" s="1" t="s">
        <v>13746</v>
      </c>
      <c r="D4943" s="1" t="s">
        <v>13746</v>
      </c>
      <c r="E4943" s="7">
        <v>8.15</v>
      </c>
    </row>
    <row r="4944" spans="1:5" x14ac:dyDescent="0.25">
      <c r="A4944" s="5" t="s">
        <v>6</v>
      </c>
      <c r="B4944" s="5" t="s">
        <v>13747</v>
      </c>
      <c r="C4944" s="1" t="s">
        <v>13748</v>
      </c>
      <c r="D4944" s="1" t="s">
        <v>13749</v>
      </c>
      <c r="E4944" s="7">
        <v>11.54</v>
      </c>
    </row>
    <row r="4945" spans="1:5" x14ac:dyDescent="0.25">
      <c r="A4945" s="5" t="s">
        <v>6</v>
      </c>
      <c r="B4945" s="5" t="s">
        <v>13750</v>
      </c>
      <c r="C4945" s="1" t="s">
        <v>13751</v>
      </c>
      <c r="D4945" s="1" t="s">
        <v>2577</v>
      </c>
      <c r="E4945" s="7">
        <v>107.59</v>
      </c>
    </row>
    <row r="4946" spans="1:5" x14ac:dyDescent="0.25">
      <c r="A4946" s="5" t="s">
        <v>6</v>
      </c>
      <c r="B4946" s="5" t="s">
        <v>13752</v>
      </c>
      <c r="C4946" s="1" t="s">
        <v>2867</v>
      </c>
      <c r="D4946" s="1" t="s">
        <v>2577</v>
      </c>
      <c r="E4946" s="7">
        <v>230</v>
      </c>
    </row>
    <row r="4947" spans="1:5" x14ac:dyDescent="0.25">
      <c r="A4947" s="5" t="s">
        <v>6</v>
      </c>
      <c r="B4947" s="5" t="s">
        <v>13753</v>
      </c>
      <c r="C4947" s="1" t="s">
        <v>13754</v>
      </c>
      <c r="D4947" s="1" t="s">
        <v>13754</v>
      </c>
      <c r="E4947" s="7">
        <v>6.52</v>
      </c>
    </row>
    <row r="4948" spans="1:5" x14ac:dyDescent="0.25">
      <c r="A4948" s="5" t="s">
        <v>6</v>
      </c>
      <c r="B4948" s="5" t="s">
        <v>13755</v>
      </c>
      <c r="C4948" s="1" t="s">
        <v>13756</v>
      </c>
      <c r="D4948" s="1" t="s">
        <v>13756</v>
      </c>
      <c r="E4948" s="7">
        <v>6</v>
      </c>
    </row>
    <row r="4949" spans="1:5" x14ac:dyDescent="0.25">
      <c r="A4949" s="5" t="s">
        <v>6</v>
      </c>
      <c r="B4949" s="5" t="s">
        <v>13757</v>
      </c>
      <c r="C4949" s="1" t="s">
        <v>13758</v>
      </c>
      <c r="D4949" s="1" t="s">
        <v>2577</v>
      </c>
      <c r="E4949" s="7">
        <v>17.5</v>
      </c>
    </row>
    <row r="4950" spans="1:5" x14ac:dyDescent="0.25">
      <c r="A4950" s="5" t="s">
        <v>6</v>
      </c>
      <c r="B4950" s="5" t="s">
        <v>13759</v>
      </c>
      <c r="C4950" s="1" t="s">
        <v>13760</v>
      </c>
      <c r="D4950" s="1" t="s">
        <v>13761</v>
      </c>
      <c r="E4950" s="7">
        <v>21</v>
      </c>
    </row>
    <row r="4951" spans="1:5" x14ac:dyDescent="0.25">
      <c r="A4951" s="5" t="s">
        <v>6</v>
      </c>
      <c r="B4951" s="5" t="s">
        <v>13762</v>
      </c>
      <c r="C4951" s="1" t="s">
        <v>13763</v>
      </c>
      <c r="D4951" s="1" t="s">
        <v>13763</v>
      </c>
      <c r="E4951" s="7">
        <v>29.38</v>
      </c>
    </row>
    <row r="4952" spans="1:5" x14ac:dyDescent="0.25">
      <c r="A4952" s="5" t="s">
        <v>6</v>
      </c>
      <c r="B4952" s="5" t="s">
        <v>13764</v>
      </c>
      <c r="C4952" s="1" t="s">
        <v>13765</v>
      </c>
      <c r="D4952" s="1" t="s">
        <v>13766</v>
      </c>
      <c r="E4952" s="7">
        <v>10.5</v>
      </c>
    </row>
    <row r="4953" spans="1:5" x14ac:dyDescent="0.25">
      <c r="A4953" s="5" t="s">
        <v>6</v>
      </c>
      <c r="B4953" s="5" t="s">
        <v>13767</v>
      </c>
      <c r="C4953" s="1" t="s">
        <v>13768</v>
      </c>
      <c r="D4953" s="1" t="s">
        <v>13769</v>
      </c>
      <c r="E4953" s="7">
        <v>10.5</v>
      </c>
    </row>
    <row r="4954" spans="1:5" x14ac:dyDescent="0.25">
      <c r="A4954" s="5" t="s">
        <v>6</v>
      </c>
      <c r="B4954" s="5" t="s">
        <v>13770</v>
      </c>
      <c r="C4954" s="1" t="s">
        <v>13771</v>
      </c>
      <c r="D4954" s="1" t="s">
        <v>13772</v>
      </c>
      <c r="E4954" s="7">
        <v>100</v>
      </c>
    </row>
    <row r="4955" spans="1:5" x14ac:dyDescent="0.25">
      <c r="A4955" s="5" t="s">
        <v>6</v>
      </c>
      <c r="B4955" s="5" t="s">
        <v>13773</v>
      </c>
      <c r="C4955" s="1" t="s">
        <v>13774</v>
      </c>
      <c r="D4955" s="1" t="s">
        <v>13775</v>
      </c>
      <c r="E4955" s="7">
        <v>21</v>
      </c>
    </row>
    <row r="4956" spans="1:5" x14ac:dyDescent="0.25">
      <c r="A4956" s="5" t="s">
        <v>6</v>
      </c>
      <c r="B4956" s="5" t="s">
        <v>13776</v>
      </c>
      <c r="C4956" s="1" t="s">
        <v>13777</v>
      </c>
      <c r="D4956" s="1" t="s">
        <v>13777</v>
      </c>
      <c r="E4956" s="7">
        <v>550</v>
      </c>
    </row>
    <row r="4957" spans="1:5" x14ac:dyDescent="0.25">
      <c r="A4957" s="5" t="s">
        <v>6</v>
      </c>
      <c r="B4957" s="5" t="s">
        <v>13778</v>
      </c>
      <c r="C4957" s="1" t="s">
        <v>13779</v>
      </c>
      <c r="D4957" s="1" t="s">
        <v>13779</v>
      </c>
      <c r="E4957" s="7">
        <v>285</v>
      </c>
    </row>
    <row r="4958" spans="1:5" x14ac:dyDescent="0.25">
      <c r="A4958" s="5" t="s">
        <v>6</v>
      </c>
      <c r="B4958" s="5" t="s">
        <v>13780</v>
      </c>
      <c r="C4958" s="1" t="s">
        <v>13781</v>
      </c>
      <c r="D4958" s="1" t="s">
        <v>13781</v>
      </c>
      <c r="E4958" s="7">
        <v>285</v>
      </c>
    </row>
    <row r="4959" spans="1:5" x14ac:dyDescent="0.25">
      <c r="A4959" s="5" t="s">
        <v>6</v>
      </c>
      <c r="B4959" s="5" t="s">
        <v>13782</v>
      </c>
      <c r="C4959" s="1" t="s">
        <v>13783</v>
      </c>
      <c r="D4959" s="1" t="s">
        <v>13784</v>
      </c>
      <c r="E4959" s="7">
        <v>42.13</v>
      </c>
    </row>
    <row r="4960" spans="1:5" x14ac:dyDescent="0.25">
      <c r="A4960" s="5" t="s">
        <v>6</v>
      </c>
      <c r="B4960" s="5" t="s">
        <v>13785</v>
      </c>
      <c r="C4960" s="1" t="s">
        <v>13786</v>
      </c>
      <c r="D4960" s="1" t="s">
        <v>13787</v>
      </c>
      <c r="E4960" s="7">
        <v>77</v>
      </c>
    </row>
    <row r="4961" spans="1:5" x14ac:dyDescent="0.25">
      <c r="A4961" s="5" t="s">
        <v>6</v>
      </c>
      <c r="B4961" s="5" t="s">
        <v>13788</v>
      </c>
      <c r="C4961" s="1" t="s">
        <v>13789</v>
      </c>
      <c r="D4961" s="1" t="s">
        <v>13789</v>
      </c>
      <c r="E4961" s="7">
        <v>32.25</v>
      </c>
    </row>
    <row r="4962" spans="1:5" x14ac:dyDescent="0.25">
      <c r="A4962" s="5" t="s">
        <v>6</v>
      </c>
      <c r="B4962" s="5" t="s">
        <v>13790</v>
      </c>
      <c r="C4962" s="1" t="s">
        <v>13791</v>
      </c>
      <c r="D4962" s="1" t="s">
        <v>13791</v>
      </c>
      <c r="E4962" s="7">
        <v>32.25</v>
      </c>
    </row>
    <row r="4963" spans="1:5" x14ac:dyDescent="0.25">
      <c r="A4963" s="5" t="s">
        <v>6</v>
      </c>
      <c r="B4963" s="5" t="s">
        <v>13792</v>
      </c>
      <c r="C4963" s="1" t="s">
        <v>13793</v>
      </c>
      <c r="D4963" s="1" t="s">
        <v>13793</v>
      </c>
      <c r="E4963" s="7">
        <v>32.25</v>
      </c>
    </row>
    <row r="4964" spans="1:5" x14ac:dyDescent="0.25">
      <c r="A4964" s="5" t="s">
        <v>6</v>
      </c>
      <c r="B4964" s="5" t="s">
        <v>13794</v>
      </c>
      <c r="C4964" s="1" t="s">
        <v>13795</v>
      </c>
      <c r="D4964" s="1" t="s">
        <v>13795</v>
      </c>
      <c r="E4964" s="7">
        <v>32.25</v>
      </c>
    </row>
    <row r="4965" spans="1:5" x14ac:dyDescent="0.25">
      <c r="A4965" s="5" t="s">
        <v>6</v>
      </c>
      <c r="B4965" s="5" t="s">
        <v>13796</v>
      </c>
      <c r="C4965" s="1" t="s">
        <v>13797</v>
      </c>
      <c r="D4965" s="1" t="s">
        <v>13797</v>
      </c>
      <c r="E4965" s="7">
        <v>32.25</v>
      </c>
    </row>
    <row r="4966" spans="1:5" x14ac:dyDescent="0.25">
      <c r="A4966" s="5" t="s">
        <v>6</v>
      </c>
      <c r="B4966" s="5" t="s">
        <v>13798</v>
      </c>
      <c r="C4966" s="1" t="s">
        <v>13799</v>
      </c>
      <c r="D4966" s="1" t="s">
        <v>13799</v>
      </c>
      <c r="E4966" s="7">
        <v>32.25</v>
      </c>
    </row>
    <row r="4967" spans="1:5" x14ac:dyDescent="0.25">
      <c r="A4967" s="5" t="s">
        <v>6</v>
      </c>
      <c r="B4967" s="5" t="s">
        <v>13800</v>
      </c>
      <c r="C4967" s="1" t="s">
        <v>13801</v>
      </c>
      <c r="D4967" s="1" t="s">
        <v>13802</v>
      </c>
      <c r="E4967" s="7">
        <v>5.29</v>
      </c>
    </row>
    <row r="4968" spans="1:5" x14ac:dyDescent="0.25">
      <c r="A4968" s="5" t="s">
        <v>6</v>
      </c>
      <c r="B4968" s="5" t="s">
        <v>13803</v>
      </c>
      <c r="C4968" s="1" t="s">
        <v>13804</v>
      </c>
      <c r="D4968" s="1" t="s">
        <v>13805</v>
      </c>
      <c r="E4968" s="7">
        <v>2.35</v>
      </c>
    </row>
    <row r="4969" spans="1:5" x14ac:dyDescent="0.25">
      <c r="A4969" s="5" t="s">
        <v>6</v>
      </c>
      <c r="B4969" s="5" t="s">
        <v>13806</v>
      </c>
      <c r="C4969" s="1" t="s">
        <v>13807</v>
      </c>
      <c r="D4969" s="1" t="s">
        <v>13808</v>
      </c>
      <c r="E4969" s="7">
        <v>175</v>
      </c>
    </row>
    <row r="4970" spans="1:5" x14ac:dyDescent="0.25">
      <c r="A4970" s="5" t="s">
        <v>6</v>
      </c>
      <c r="B4970" s="5" t="s">
        <v>13809</v>
      </c>
      <c r="C4970" s="1" t="s">
        <v>13810</v>
      </c>
      <c r="D4970" s="1" t="s">
        <v>13810</v>
      </c>
      <c r="E4970" s="7">
        <v>8.99</v>
      </c>
    </row>
    <row r="4971" spans="1:5" x14ac:dyDescent="0.25">
      <c r="A4971" s="5" t="s">
        <v>6</v>
      </c>
      <c r="B4971" s="5" t="s">
        <v>13811</v>
      </c>
      <c r="C4971" s="1" t="s">
        <v>13812</v>
      </c>
      <c r="D4971" s="1" t="s">
        <v>13813</v>
      </c>
      <c r="E4971" s="7">
        <v>225</v>
      </c>
    </row>
    <row r="4972" spans="1:5" x14ac:dyDescent="0.25">
      <c r="A4972" s="5" t="s">
        <v>6</v>
      </c>
      <c r="B4972" s="5" t="s">
        <v>13814</v>
      </c>
      <c r="C4972" s="1" t="s">
        <v>13815</v>
      </c>
      <c r="D4972" s="1" t="s">
        <v>13816</v>
      </c>
      <c r="E4972" s="7">
        <v>225</v>
      </c>
    </row>
    <row r="4973" spans="1:5" x14ac:dyDescent="0.25">
      <c r="A4973" s="5" t="s">
        <v>6</v>
      </c>
      <c r="B4973" s="5" t="s">
        <v>13817</v>
      </c>
      <c r="C4973" s="1" t="s">
        <v>13818</v>
      </c>
      <c r="D4973" s="1" t="s">
        <v>13819</v>
      </c>
      <c r="E4973" s="7">
        <v>225</v>
      </c>
    </row>
    <row r="4974" spans="1:5" x14ac:dyDescent="0.25">
      <c r="A4974" s="5" t="s">
        <v>6</v>
      </c>
      <c r="B4974" s="5" t="s">
        <v>13820</v>
      </c>
      <c r="C4974" s="1" t="s">
        <v>13821</v>
      </c>
      <c r="D4974" s="1" t="s">
        <v>13822</v>
      </c>
      <c r="E4974" s="7">
        <v>225</v>
      </c>
    </row>
    <row r="4975" spans="1:5" x14ac:dyDescent="0.25">
      <c r="A4975" s="5" t="s">
        <v>6</v>
      </c>
      <c r="B4975" s="5" t="s">
        <v>13823</v>
      </c>
      <c r="C4975" s="1" t="s">
        <v>13824</v>
      </c>
      <c r="D4975" s="1" t="s">
        <v>13825</v>
      </c>
      <c r="E4975" s="7">
        <v>225</v>
      </c>
    </row>
    <row r="4976" spans="1:5" x14ac:dyDescent="0.25">
      <c r="A4976" s="5" t="s">
        <v>6</v>
      </c>
      <c r="B4976" s="5" t="s">
        <v>13826</v>
      </c>
      <c r="C4976" s="1" t="s">
        <v>13827</v>
      </c>
      <c r="D4976" s="1" t="s">
        <v>13828</v>
      </c>
      <c r="E4976" s="7">
        <v>225</v>
      </c>
    </row>
    <row r="4977" spans="1:5" x14ac:dyDescent="0.25">
      <c r="A4977" s="5" t="s">
        <v>6</v>
      </c>
      <c r="B4977" s="5" t="s">
        <v>13829</v>
      </c>
      <c r="C4977" s="1" t="s">
        <v>13830</v>
      </c>
      <c r="D4977" s="1" t="s">
        <v>13831</v>
      </c>
      <c r="E4977" s="7">
        <v>225</v>
      </c>
    </row>
    <row r="4978" spans="1:5" x14ac:dyDescent="0.25">
      <c r="A4978" s="5" t="s">
        <v>6</v>
      </c>
      <c r="B4978" s="5" t="s">
        <v>13832</v>
      </c>
      <c r="C4978" s="1" t="s">
        <v>13833</v>
      </c>
      <c r="D4978" s="1" t="s">
        <v>13834</v>
      </c>
      <c r="E4978" s="7">
        <v>225</v>
      </c>
    </row>
    <row r="4979" spans="1:5" x14ac:dyDescent="0.25">
      <c r="A4979" s="5" t="s">
        <v>6</v>
      </c>
      <c r="B4979" s="5" t="s">
        <v>13835</v>
      </c>
      <c r="C4979" s="1" t="s">
        <v>13836</v>
      </c>
      <c r="D4979" s="1" t="s">
        <v>13837</v>
      </c>
      <c r="E4979" s="7">
        <v>10</v>
      </c>
    </row>
    <row r="4980" spans="1:5" x14ac:dyDescent="0.25">
      <c r="A4980" s="5" t="s">
        <v>6</v>
      </c>
      <c r="B4980" s="5" t="s">
        <v>13838</v>
      </c>
      <c r="C4980" s="1" t="s">
        <v>13839</v>
      </c>
      <c r="D4980" s="1" t="s">
        <v>13840</v>
      </c>
      <c r="E4980" s="7">
        <v>244.35</v>
      </c>
    </row>
    <row r="4981" spans="1:5" x14ac:dyDescent="0.25">
      <c r="A4981" s="5" t="s">
        <v>6</v>
      </c>
      <c r="B4981" s="5" t="s">
        <v>13841</v>
      </c>
      <c r="C4981" s="1" t="s">
        <v>13842</v>
      </c>
      <c r="D4981" s="1" t="s">
        <v>13843</v>
      </c>
      <c r="E4981" s="7">
        <v>225</v>
      </c>
    </row>
    <row r="4982" spans="1:5" x14ac:dyDescent="0.25">
      <c r="A4982" s="5" t="s">
        <v>6</v>
      </c>
      <c r="B4982" s="5" t="s">
        <v>13844</v>
      </c>
      <c r="C4982" s="1" t="s">
        <v>13845</v>
      </c>
      <c r="D4982" s="1" t="s">
        <v>13846</v>
      </c>
      <c r="E4982" s="7">
        <v>1050</v>
      </c>
    </row>
    <row r="4983" spans="1:5" x14ac:dyDescent="0.25">
      <c r="A4983" s="5" t="s">
        <v>6</v>
      </c>
      <c r="B4983" s="5" t="s">
        <v>13847</v>
      </c>
      <c r="C4983" s="1" t="s">
        <v>13848</v>
      </c>
      <c r="D4983" s="1" t="s">
        <v>13849</v>
      </c>
      <c r="E4983" s="7">
        <v>1000</v>
      </c>
    </row>
    <row r="4984" spans="1:5" x14ac:dyDescent="0.25">
      <c r="A4984" s="5" t="s">
        <v>6</v>
      </c>
      <c r="B4984" s="5" t="s">
        <v>13850</v>
      </c>
      <c r="C4984" s="1" t="s">
        <v>13851</v>
      </c>
      <c r="D4984" s="1" t="s">
        <v>13852</v>
      </c>
      <c r="E4984" s="7">
        <v>2850</v>
      </c>
    </row>
    <row r="4985" spans="1:5" x14ac:dyDescent="0.25">
      <c r="A4985" s="5" t="s">
        <v>6</v>
      </c>
      <c r="B4985" s="5" t="s">
        <v>13853</v>
      </c>
      <c r="C4985" s="1" t="s">
        <v>13854</v>
      </c>
      <c r="D4985" s="1" t="s">
        <v>13855</v>
      </c>
      <c r="E4985" s="7">
        <v>300</v>
      </c>
    </row>
    <row r="4986" spans="1:5" x14ac:dyDescent="0.25">
      <c r="A4986" s="5" t="s">
        <v>6</v>
      </c>
      <c r="B4986" s="5" t="s">
        <v>13856</v>
      </c>
      <c r="C4986" s="1" t="s">
        <v>13857</v>
      </c>
      <c r="D4986" s="1" t="s">
        <v>13858</v>
      </c>
      <c r="E4986" s="7">
        <v>1900</v>
      </c>
    </row>
    <row r="4987" spans="1:5" x14ac:dyDescent="0.25">
      <c r="A4987" s="5" t="s">
        <v>6</v>
      </c>
      <c r="B4987" s="5" t="s">
        <v>13859</v>
      </c>
      <c r="C4987" s="1" t="s">
        <v>13860</v>
      </c>
      <c r="D4987" s="1" t="s">
        <v>13861</v>
      </c>
      <c r="E4987" s="7">
        <v>90</v>
      </c>
    </row>
    <row r="4988" spans="1:5" x14ac:dyDescent="0.25">
      <c r="A4988" s="5" t="s">
        <v>6</v>
      </c>
      <c r="B4988" s="5" t="s">
        <v>13862</v>
      </c>
      <c r="C4988" s="1" t="s">
        <v>13863</v>
      </c>
      <c r="D4988" s="1" t="s">
        <v>13864</v>
      </c>
      <c r="E4988" s="7">
        <v>41.65</v>
      </c>
    </row>
    <row r="4989" spans="1:5" x14ac:dyDescent="0.25">
      <c r="A4989" s="5" t="s">
        <v>6</v>
      </c>
      <c r="B4989" s="5" t="s">
        <v>13865</v>
      </c>
      <c r="C4989" s="1" t="s">
        <v>13866</v>
      </c>
      <c r="D4989" s="1" t="s">
        <v>13866</v>
      </c>
      <c r="E4989" s="7">
        <v>5.75</v>
      </c>
    </row>
    <row r="4990" spans="1:5" x14ac:dyDescent="0.25">
      <c r="A4990" s="5" t="s">
        <v>6</v>
      </c>
      <c r="B4990" s="5" t="s">
        <v>13867</v>
      </c>
      <c r="C4990" s="1" t="s">
        <v>13868</v>
      </c>
      <c r="D4990" s="1" t="s">
        <v>13869</v>
      </c>
      <c r="E4990" s="7">
        <v>12.22</v>
      </c>
    </row>
    <row r="4991" spans="1:5" x14ac:dyDescent="0.25">
      <c r="A4991" s="5" t="s">
        <v>6</v>
      </c>
      <c r="B4991" s="5" t="s">
        <v>13870</v>
      </c>
      <c r="C4991" s="1" t="s">
        <v>13871</v>
      </c>
      <c r="D4991" s="1" t="s">
        <v>13872</v>
      </c>
      <c r="E4991" s="7">
        <v>109.25</v>
      </c>
    </row>
    <row r="4992" spans="1:5" x14ac:dyDescent="0.25">
      <c r="A4992" s="5" t="s">
        <v>6</v>
      </c>
      <c r="B4992" s="5" t="s">
        <v>13873</v>
      </c>
      <c r="C4992" s="1" t="s">
        <v>2627</v>
      </c>
      <c r="D4992" s="1" t="s">
        <v>2627</v>
      </c>
      <c r="E4992" s="7">
        <v>12.5</v>
      </c>
    </row>
    <row r="4993" spans="1:5" x14ac:dyDescent="0.25">
      <c r="A4993" s="5" t="s">
        <v>6</v>
      </c>
      <c r="B4993" s="5" t="s">
        <v>13874</v>
      </c>
      <c r="C4993" s="1" t="s">
        <v>13875</v>
      </c>
      <c r="D4993" s="1" t="s">
        <v>13876</v>
      </c>
      <c r="E4993" s="7">
        <v>3.26</v>
      </c>
    </row>
    <row r="4994" spans="1:5" x14ac:dyDescent="0.25">
      <c r="A4994" s="5" t="s">
        <v>6</v>
      </c>
      <c r="B4994" s="5" t="s">
        <v>13877</v>
      </c>
      <c r="C4994" s="1" t="s">
        <v>13878</v>
      </c>
      <c r="D4994" s="1" t="s">
        <v>13879</v>
      </c>
      <c r="E4994" s="7">
        <v>2.6</v>
      </c>
    </row>
    <row r="4995" spans="1:5" x14ac:dyDescent="0.25">
      <c r="A4995" s="5" t="s">
        <v>6</v>
      </c>
      <c r="B4995" s="5" t="s">
        <v>13880</v>
      </c>
      <c r="C4995" s="1" t="s">
        <v>13881</v>
      </c>
      <c r="D4995" s="1" t="s">
        <v>13876</v>
      </c>
      <c r="E4995" s="7">
        <v>3.26</v>
      </c>
    </row>
    <row r="4996" spans="1:5" x14ac:dyDescent="0.25">
      <c r="A4996" s="5" t="s">
        <v>6</v>
      </c>
      <c r="B4996" s="5" t="s">
        <v>13882</v>
      </c>
      <c r="C4996" s="1" t="s">
        <v>13883</v>
      </c>
      <c r="D4996" s="1" t="s">
        <v>13883</v>
      </c>
      <c r="E4996" s="7">
        <v>10</v>
      </c>
    </row>
    <row r="4997" spans="1:5" x14ac:dyDescent="0.25">
      <c r="A4997" s="5" t="s">
        <v>6</v>
      </c>
      <c r="B4997" s="5" t="s">
        <v>13884</v>
      </c>
      <c r="C4997" s="1" t="s">
        <v>13885</v>
      </c>
      <c r="D4997" s="1" t="s">
        <v>13885</v>
      </c>
      <c r="E4997" s="7">
        <v>2</v>
      </c>
    </row>
    <row r="4998" spans="1:5" x14ac:dyDescent="0.25">
      <c r="A4998" s="5" t="s">
        <v>6</v>
      </c>
      <c r="B4998" s="5" t="s">
        <v>13886</v>
      </c>
      <c r="C4998" s="1" t="s">
        <v>13887</v>
      </c>
      <c r="D4998" s="1" t="s">
        <v>13887</v>
      </c>
      <c r="E4998" s="7">
        <v>4.2300000000000004</v>
      </c>
    </row>
    <row r="4999" spans="1:5" x14ac:dyDescent="0.25">
      <c r="A4999" s="5" t="s">
        <v>6</v>
      </c>
      <c r="B4999" s="5" t="s">
        <v>13888</v>
      </c>
      <c r="C4999" s="1" t="s">
        <v>13889</v>
      </c>
      <c r="D4999" s="1" t="s">
        <v>13889</v>
      </c>
      <c r="E4999" s="7">
        <v>10</v>
      </c>
    </row>
    <row r="5000" spans="1:5" x14ac:dyDescent="0.25">
      <c r="A5000" s="5" t="s">
        <v>6</v>
      </c>
      <c r="B5000" s="5" t="s">
        <v>13890</v>
      </c>
      <c r="C5000" s="1" t="s">
        <v>13891</v>
      </c>
      <c r="D5000" s="1" t="s">
        <v>13892</v>
      </c>
      <c r="E5000" s="7">
        <v>10.01</v>
      </c>
    </row>
    <row r="5001" spans="1:5" x14ac:dyDescent="0.25">
      <c r="A5001" s="5" t="s">
        <v>6</v>
      </c>
      <c r="B5001" s="5" t="s">
        <v>13893</v>
      </c>
      <c r="C5001" s="1" t="s">
        <v>13894</v>
      </c>
      <c r="D5001" s="1" t="s">
        <v>13894</v>
      </c>
      <c r="E5001" s="7">
        <v>13.22</v>
      </c>
    </row>
    <row r="5002" spans="1:5" x14ac:dyDescent="0.25">
      <c r="A5002" s="5" t="s">
        <v>6</v>
      </c>
      <c r="B5002" s="5" t="s">
        <v>13895</v>
      </c>
      <c r="C5002" s="1" t="s">
        <v>2636</v>
      </c>
      <c r="D5002" s="1" t="s">
        <v>2637</v>
      </c>
      <c r="E5002" s="7">
        <v>4.07</v>
      </c>
    </row>
    <row r="5003" spans="1:5" x14ac:dyDescent="0.25">
      <c r="A5003" s="5" t="s">
        <v>6</v>
      </c>
      <c r="B5003" s="5" t="s">
        <v>13896</v>
      </c>
      <c r="C5003" s="1" t="s">
        <v>2639</v>
      </c>
      <c r="D5003" s="1" t="s">
        <v>2639</v>
      </c>
      <c r="E5003" s="7">
        <v>10</v>
      </c>
    </row>
    <row r="5004" spans="1:5" x14ac:dyDescent="0.25">
      <c r="A5004" s="5" t="s">
        <v>6</v>
      </c>
      <c r="B5004" s="5" t="s">
        <v>13897</v>
      </c>
      <c r="C5004" s="1" t="s">
        <v>13898</v>
      </c>
      <c r="D5004" s="1" t="s">
        <v>13899</v>
      </c>
      <c r="E5004" s="7">
        <v>10</v>
      </c>
    </row>
    <row r="5005" spans="1:5" x14ac:dyDescent="0.25">
      <c r="A5005" s="5" t="s">
        <v>6</v>
      </c>
      <c r="B5005" s="5" t="s">
        <v>13900</v>
      </c>
      <c r="C5005" s="1" t="s">
        <v>2641</v>
      </c>
      <c r="D5005" s="1" t="s">
        <v>2641</v>
      </c>
      <c r="E5005" s="7">
        <v>5</v>
      </c>
    </row>
    <row r="5006" spans="1:5" x14ac:dyDescent="0.25">
      <c r="A5006" s="5" t="s">
        <v>6</v>
      </c>
      <c r="B5006" s="5" t="s">
        <v>13901</v>
      </c>
      <c r="C5006" s="1" t="s">
        <v>2643</v>
      </c>
      <c r="D5006" s="1" t="s">
        <v>13902</v>
      </c>
      <c r="E5006" s="7">
        <v>5</v>
      </c>
    </row>
    <row r="5007" spans="1:5" x14ac:dyDescent="0.25">
      <c r="A5007" s="5" t="s">
        <v>6</v>
      </c>
      <c r="B5007" s="5" t="s">
        <v>13903</v>
      </c>
      <c r="C5007" s="1" t="s">
        <v>13904</v>
      </c>
      <c r="D5007" s="1" t="s">
        <v>13905</v>
      </c>
      <c r="E5007" s="7">
        <v>18.75</v>
      </c>
    </row>
    <row r="5008" spans="1:5" x14ac:dyDescent="0.25">
      <c r="A5008" s="5" t="s">
        <v>6</v>
      </c>
      <c r="B5008" s="5" t="s">
        <v>13906</v>
      </c>
      <c r="C5008" s="1" t="s">
        <v>13907</v>
      </c>
      <c r="D5008" s="1" t="s">
        <v>13908</v>
      </c>
      <c r="E5008" s="7">
        <v>37.24</v>
      </c>
    </row>
    <row r="5009" spans="1:5" x14ac:dyDescent="0.25">
      <c r="A5009" s="5" t="s">
        <v>6</v>
      </c>
      <c r="B5009" s="5" t="s">
        <v>13909</v>
      </c>
      <c r="C5009" s="1" t="s">
        <v>13910</v>
      </c>
      <c r="D5009" s="1" t="s">
        <v>13911</v>
      </c>
      <c r="E5009" s="7">
        <v>10.5</v>
      </c>
    </row>
    <row r="5010" spans="1:5" x14ac:dyDescent="0.25">
      <c r="A5010" s="5" t="s">
        <v>6</v>
      </c>
      <c r="B5010" s="5" t="s">
        <v>13912</v>
      </c>
      <c r="C5010" s="1" t="s">
        <v>2649</v>
      </c>
      <c r="D5010" s="1" t="s">
        <v>2649</v>
      </c>
      <c r="E5010" s="7">
        <v>12.14</v>
      </c>
    </row>
    <row r="5011" spans="1:5" x14ac:dyDescent="0.25">
      <c r="A5011" s="5" t="s">
        <v>6</v>
      </c>
      <c r="B5011" s="5" t="s">
        <v>13913</v>
      </c>
      <c r="C5011" s="1" t="s">
        <v>13914</v>
      </c>
      <c r="D5011" s="1" t="s">
        <v>13914</v>
      </c>
      <c r="E5011" s="7">
        <v>12.14</v>
      </c>
    </row>
    <row r="5012" spans="1:5" x14ac:dyDescent="0.25">
      <c r="A5012" s="5" t="s">
        <v>6</v>
      </c>
      <c r="B5012" s="5" t="s">
        <v>13915</v>
      </c>
      <c r="C5012" s="1" t="s">
        <v>13916</v>
      </c>
      <c r="D5012" s="1" t="s">
        <v>13916</v>
      </c>
      <c r="E5012" s="7">
        <v>3.67</v>
      </c>
    </row>
    <row r="5013" spans="1:5" x14ac:dyDescent="0.25">
      <c r="A5013" s="5" t="s">
        <v>6</v>
      </c>
      <c r="B5013" s="5" t="s">
        <v>13917</v>
      </c>
      <c r="C5013" s="1" t="s">
        <v>13918</v>
      </c>
      <c r="D5013" s="1" t="s">
        <v>13919</v>
      </c>
      <c r="E5013" s="7">
        <v>3.67</v>
      </c>
    </row>
    <row r="5014" spans="1:5" x14ac:dyDescent="0.25">
      <c r="A5014" s="5" t="s">
        <v>6</v>
      </c>
      <c r="B5014" s="5" t="s">
        <v>13920</v>
      </c>
      <c r="C5014" s="1" t="s">
        <v>13921</v>
      </c>
      <c r="D5014" s="1" t="s">
        <v>13919</v>
      </c>
      <c r="E5014" s="7">
        <v>34.299999999999997</v>
      </c>
    </row>
    <row r="5015" spans="1:5" x14ac:dyDescent="0.25">
      <c r="A5015" s="5" t="s">
        <v>6</v>
      </c>
      <c r="B5015" s="5" t="s">
        <v>13922</v>
      </c>
      <c r="C5015" s="1" t="s">
        <v>13923</v>
      </c>
      <c r="D5015" s="1" t="s">
        <v>13924</v>
      </c>
      <c r="E5015" s="7">
        <v>25</v>
      </c>
    </row>
    <row r="5016" spans="1:5" x14ac:dyDescent="0.25">
      <c r="A5016" s="5" t="s">
        <v>6</v>
      </c>
      <c r="B5016" s="5" t="s">
        <v>13925</v>
      </c>
      <c r="C5016" s="1" t="s">
        <v>13926</v>
      </c>
      <c r="D5016" s="1" t="s">
        <v>13926</v>
      </c>
      <c r="E5016" s="7">
        <v>10</v>
      </c>
    </row>
    <row r="5017" spans="1:5" x14ac:dyDescent="0.25">
      <c r="A5017" s="5" t="s">
        <v>6</v>
      </c>
      <c r="B5017" s="5" t="s">
        <v>13927</v>
      </c>
      <c r="C5017" s="1" t="s">
        <v>13928</v>
      </c>
      <c r="D5017" s="1" t="s">
        <v>13924</v>
      </c>
      <c r="E5017" s="7">
        <v>6.72</v>
      </c>
    </row>
    <row r="5018" spans="1:5" x14ac:dyDescent="0.25">
      <c r="A5018" s="5" t="s">
        <v>6</v>
      </c>
      <c r="B5018" s="5" t="s">
        <v>13929</v>
      </c>
      <c r="C5018" s="1" t="s">
        <v>13930</v>
      </c>
      <c r="D5018" s="1" t="s">
        <v>13930</v>
      </c>
      <c r="E5018" s="7">
        <v>21</v>
      </c>
    </row>
    <row r="5019" spans="1:5" x14ac:dyDescent="0.25">
      <c r="A5019" s="5" t="s">
        <v>6</v>
      </c>
      <c r="B5019" s="5" t="s">
        <v>13931</v>
      </c>
      <c r="C5019" s="1" t="s">
        <v>13932</v>
      </c>
      <c r="D5019" s="1" t="s">
        <v>13933</v>
      </c>
      <c r="E5019" s="7">
        <v>8</v>
      </c>
    </row>
    <row r="5020" spans="1:5" x14ac:dyDescent="0.25">
      <c r="A5020" s="5" t="s">
        <v>6</v>
      </c>
      <c r="B5020" s="5" t="s">
        <v>13934</v>
      </c>
      <c r="C5020" s="1" t="s">
        <v>13935</v>
      </c>
      <c r="D5020" s="1" t="s">
        <v>13936</v>
      </c>
      <c r="E5020" s="7">
        <v>4</v>
      </c>
    </row>
    <row r="5021" spans="1:5" x14ac:dyDescent="0.25">
      <c r="A5021" s="5" t="s">
        <v>6</v>
      </c>
      <c r="B5021" s="5" t="s">
        <v>13937</v>
      </c>
      <c r="C5021" s="1" t="s">
        <v>13938</v>
      </c>
      <c r="D5021" s="1" t="s">
        <v>13939</v>
      </c>
      <c r="E5021" s="7">
        <v>9.9</v>
      </c>
    </row>
    <row r="5022" spans="1:5" x14ac:dyDescent="0.25">
      <c r="A5022" s="5" t="s">
        <v>6</v>
      </c>
      <c r="B5022" s="5" t="s">
        <v>13940</v>
      </c>
      <c r="C5022" s="1" t="s">
        <v>2657</v>
      </c>
      <c r="D5022" s="1" t="s">
        <v>2658</v>
      </c>
      <c r="E5022" s="7">
        <v>25</v>
      </c>
    </row>
    <row r="5023" spans="1:5" x14ac:dyDescent="0.25">
      <c r="A5023" s="5" t="s">
        <v>6</v>
      </c>
      <c r="B5023" s="5" t="s">
        <v>13941</v>
      </c>
      <c r="C5023" s="1" t="s">
        <v>13942</v>
      </c>
      <c r="D5023" s="1" t="s">
        <v>13943</v>
      </c>
      <c r="E5023" s="7">
        <v>1929.6</v>
      </c>
    </row>
    <row r="5024" spans="1:5" x14ac:dyDescent="0.25">
      <c r="A5024" s="5" t="s">
        <v>6</v>
      </c>
      <c r="B5024" s="5" t="s">
        <v>13944</v>
      </c>
      <c r="C5024" s="1" t="s">
        <v>2914</v>
      </c>
      <c r="D5024" s="1" t="s">
        <v>2915</v>
      </c>
      <c r="E5024" s="7">
        <v>28</v>
      </c>
    </row>
    <row r="5025" spans="1:5" x14ac:dyDescent="0.25">
      <c r="A5025" s="5" t="s">
        <v>6</v>
      </c>
      <c r="B5025" s="5" t="s">
        <v>13945</v>
      </c>
      <c r="C5025" s="1" t="s">
        <v>13946</v>
      </c>
      <c r="D5025" s="1" t="s">
        <v>13946</v>
      </c>
      <c r="E5025" s="7">
        <v>8</v>
      </c>
    </row>
    <row r="5026" spans="1:5" x14ac:dyDescent="0.25">
      <c r="A5026" s="5" t="s">
        <v>6</v>
      </c>
      <c r="B5026" s="5" t="s">
        <v>13947</v>
      </c>
      <c r="C5026" s="1" t="s">
        <v>2672</v>
      </c>
      <c r="D5026" s="1" t="s">
        <v>2672</v>
      </c>
      <c r="E5026" s="7">
        <v>2.25</v>
      </c>
    </row>
    <row r="5027" spans="1:5" x14ac:dyDescent="0.25">
      <c r="A5027" s="5" t="s">
        <v>6</v>
      </c>
      <c r="B5027" s="5" t="s">
        <v>13948</v>
      </c>
      <c r="C5027" s="1" t="s">
        <v>13949</v>
      </c>
      <c r="D5027" s="1" t="s">
        <v>13949</v>
      </c>
      <c r="E5027" s="7">
        <v>4.05</v>
      </c>
    </row>
    <row r="5028" spans="1:5" x14ac:dyDescent="0.25">
      <c r="A5028" s="5" t="s">
        <v>6</v>
      </c>
      <c r="B5028" s="5" t="s">
        <v>13950</v>
      </c>
      <c r="C5028" s="1" t="s">
        <v>13951</v>
      </c>
      <c r="D5028" s="1" t="s">
        <v>13952</v>
      </c>
      <c r="E5028" s="7">
        <v>7.33</v>
      </c>
    </row>
    <row r="5029" spans="1:5" x14ac:dyDescent="0.25">
      <c r="A5029" s="5" t="s">
        <v>6</v>
      </c>
      <c r="B5029" s="5" t="s">
        <v>13953</v>
      </c>
      <c r="C5029" s="1" t="s">
        <v>2674</v>
      </c>
      <c r="D5029" s="1" t="s">
        <v>2674</v>
      </c>
      <c r="E5029" s="7">
        <v>3.5</v>
      </c>
    </row>
    <row r="5030" spans="1:5" x14ac:dyDescent="0.25">
      <c r="A5030" s="5" t="s">
        <v>6</v>
      </c>
      <c r="B5030" s="5" t="s">
        <v>13954</v>
      </c>
      <c r="C5030" s="1" t="s">
        <v>13955</v>
      </c>
      <c r="D5030" s="1" t="s">
        <v>13956</v>
      </c>
      <c r="E5030" s="7">
        <v>11.79</v>
      </c>
    </row>
    <row r="5031" spans="1:5" x14ac:dyDescent="0.25">
      <c r="A5031" s="5" t="s">
        <v>6</v>
      </c>
      <c r="B5031" s="5" t="s">
        <v>13957</v>
      </c>
      <c r="C5031" s="1" t="s">
        <v>13958</v>
      </c>
      <c r="D5031" s="1" t="s">
        <v>13959</v>
      </c>
      <c r="E5031" s="7">
        <v>5</v>
      </c>
    </row>
    <row r="5032" spans="1:5" x14ac:dyDescent="0.25">
      <c r="A5032" s="5" t="s">
        <v>6</v>
      </c>
      <c r="B5032" s="5" t="s">
        <v>13960</v>
      </c>
      <c r="C5032" s="1" t="s">
        <v>3046</v>
      </c>
      <c r="D5032" s="1" t="s">
        <v>3047</v>
      </c>
      <c r="E5032" s="7">
        <v>11.28</v>
      </c>
    </row>
    <row r="5033" spans="1:5" x14ac:dyDescent="0.25">
      <c r="A5033" s="5" t="s">
        <v>6</v>
      </c>
      <c r="B5033" s="5" t="s">
        <v>13961</v>
      </c>
      <c r="C5033" s="1" t="s">
        <v>13962</v>
      </c>
      <c r="D5033" s="1" t="s">
        <v>13963</v>
      </c>
      <c r="E5033" s="7">
        <v>16</v>
      </c>
    </row>
    <row r="5034" spans="1:5" x14ac:dyDescent="0.25">
      <c r="A5034" s="5" t="s">
        <v>6</v>
      </c>
      <c r="B5034" s="5" t="s">
        <v>13964</v>
      </c>
      <c r="C5034" s="1" t="s">
        <v>13965</v>
      </c>
      <c r="D5034" s="1" t="s">
        <v>13966</v>
      </c>
      <c r="E5034" s="7">
        <v>20.36</v>
      </c>
    </row>
    <row r="5035" spans="1:5" x14ac:dyDescent="0.25">
      <c r="A5035" s="5" t="s">
        <v>6</v>
      </c>
      <c r="B5035" s="5" t="s">
        <v>13967</v>
      </c>
      <c r="C5035" s="1" t="s">
        <v>13968</v>
      </c>
      <c r="D5035" s="1" t="s">
        <v>13969</v>
      </c>
      <c r="E5035" s="7">
        <v>16.09</v>
      </c>
    </row>
    <row r="5036" spans="1:5" x14ac:dyDescent="0.25">
      <c r="A5036" s="5" t="s">
        <v>6</v>
      </c>
      <c r="B5036" s="5" t="s">
        <v>13970</v>
      </c>
      <c r="C5036" s="1" t="s">
        <v>13971</v>
      </c>
      <c r="D5036" s="1" t="s">
        <v>13972</v>
      </c>
      <c r="E5036" s="7">
        <v>16.09</v>
      </c>
    </row>
    <row r="5037" spans="1:5" x14ac:dyDescent="0.25">
      <c r="A5037" s="5" t="s">
        <v>6</v>
      </c>
      <c r="B5037" s="5" t="s">
        <v>13973</v>
      </c>
      <c r="C5037" s="1" t="s">
        <v>13974</v>
      </c>
      <c r="D5037" s="1" t="s">
        <v>13975</v>
      </c>
      <c r="E5037" s="7">
        <v>4.6900000000000004</v>
      </c>
    </row>
    <row r="5038" spans="1:5" x14ac:dyDescent="0.25">
      <c r="A5038" s="5" t="s">
        <v>6</v>
      </c>
      <c r="B5038" s="5" t="s">
        <v>13976</v>
      </c>
      <c r="C5038" s="1" t="s">
        <v>13977</v>
      </c>
      <c r="D5038" s="1" t="s">
        <v>13978</v>
      </c>
      <c r="E5038" s="7">
        <v>23.93</v>
      </c>
    </row>
    <row r="5039" spans="1:5" x14ac:dyDescent="0.25">
      <c r="A5039" s="5" t="s">
        <v>6</v>
      </c>
      <c r="B5039" s="5" t="s">
        <v>13979</v>
      </c>
      <c r="C5039" s="1" t="s">
        <v>13980</v>
      </c>
      <c r="D5039" s="1" t="s">
        <v>13978</v>
      </c>
      <c r="E5039" s="7">
        <v>90</v>
      </c>
    </row>
    <row r="5040" spans="1:5" x14ac:dyDescent="0.25">
      <c r="A5040" s="5" t="s">
        <v>6</v>
      </c>
      <c r="B5040" s="5" t="s">
        <v>13981</v>
      </c>
      <c r="C5040" s="1" t="s">
        <v>13982</v>
      </c>
      <c r="D5040" s="1" t="s">
        <v>13540</v>
      </c>
      <c r="E5040" s="7">
        <v>28</v>
      </c>
    </row>
    <row r="5041" spans="1:5" x14ac:dyDescent="0.25">
      <c r="A5041" s="5" t="s">
        <v>6</v>
      </c>
      <c r="B5041" s="5" t="s">
        <v>13983</v>
      </c>
      <c r="C5041" s="1" t="s">
        <v>2690</v>
      </c>
      <c r="D5041" s="1" t="s">
        <v>2691</v>
      </c>
      <c r="E5041" s="7">
        <v>2</v>
      </c>
    </row>
    <row r="5042" spans="1:5" x14ac:dyDescent="0.25">
      <c r="A5042" s="5" t="s">
        <v>6</v>
      </c>
      <c r="B5042" s="5" t="s">
        <v>13984</v>
      </c>
      <c r="C5042" s="1" t="s">
        <v>2695</v>
      </c>
      <c r="D5042" s="1" t="s">
        <v>2696</v>
      </c>
      <c r="E5042" s="7">
        <v>25</v>
      </c>
    </row>
    <row r="5043" spans="1:5" x14ac:dyDescent="0.25">
      <c r="A5043" s="5" t="s">
        <v>6</v>
      </c>
      <c r="B5043" s="5" t="s">
        <v>13985</v>
      </c>
      <c r="C5043" s="1" t="s">
        <v>13986</v>
      </c>
      <c r="D5043" s="1" t="s">
        <v>13987</v>
      </c>
      <c r="E5043" s="7">
        <v>2.66</v>
      </c>
    </row>
    <row r="5044" spans="1:5" x14ac:dyDescent="0.25">
      <c r="A5044" s="5" t="s">
        <v>6</v>
      </c>
      <c r="B5044" s="5" t="s">
        <v>13988</v>
      </c>
      <c r="C5044" s="1" t="s">
        <v>13989</v>
      </c>
      <c r="D5044" s="1" t="s">
        <v>13989</v>
      </c>
      <c r="E5044" s="7">
        <v>10</v>
      </c>
    </row>
    <row r="5045" spans="1:5" x14ac:dyDescent="0.25">
      <c r="A5045" s="5" t="s">
        <v>6</v>
      </c>
      <c r="B5045" s="5" t="s">
        <v>13990</v>
      </c>
      <c r="C5045" s="1" t="s">
        <v>13991</v>
      </c>
      <c r="D5045" s="1" t="s">
        <v>13991</v>
      </c>
      <c r="E5045" s="7">
        <v>21</v>
      </c>
    </row>
    <row r="5046" spans="1:5" x14ac:dyDescent="0.25">
      <c r="A5046" s="5" t="s">
        <v>6</v>
      </c>
      <c r="B5046" s="5" t="s">
        <v>13992</v>
      </c>
      <c r="C5046" s="1" t="s">
        <v>13993</v>
      </c>
      <c r="D5046" s="1" t="s">
        <v>13994</v>
      </c>
      <c r="E5046" s="7">
        <v>56.61</v>
      </c>
    </row>
    <row r="5047" spans="1:5" x14ac:dyDescent="0.25">
      <c r="A5047" s="5" t="s">
        <v>6</v>
      </c>
      <c r="B5047" s="5" t="s">
        <v>13995</v>
      </c>
      <c r="C5047" s="1" t="s">
        <v>13996</v>
      </c>
      <c r="D5047" s="1" t="s">
        <v>13994</v>
      </c>
      <c r="E5047" s="7">
        <v>13.79</v>
      </c>
    </row>
    <row r="5048" spans="1:5" x14ac:dyDescent="0.25">
      <c r="A5048" s="5" t="s">
        <v>6</v>
      </c>
      <c r="B5048" s="5" t="s">
        <v>13997</v>
      </c>
      <c r="C5048" s="1" t="s">
        <v>13998</v>
      </c>
      <c r="D5048" s="1" t="s">
        <v>13998</v>
      </c>
      <c r="E5048" s="7">
        <v>5</v>
      </c>
    </row>
    <row r="5049" spans="1:5" x14ac:dyDescent="0.25">
      <c r="A5049" s="5" t="s">
        <v>6</v>
      </c>
      <c r="B5049" s="5" t="s">
        <v>13999</v>
      </c>
      <c r="C5049" s="1" t="s">
        <v>14000</v>
      </c>
      <c r="D5049" s="1" t="s">
        <v>13994</v>
      </c>
      <c r="E5049" s="7">
        <v>26.88</v>
      </c>
    </row>
    <row r="5050" spans="1:5" x14ac:dyDescent="0.25">
      <c r="A5050" s="5" t="s">
        <v>6</v>
      </c>
      <c r="B5050" s="5" t="s">
        <v>14001</v>
      </c>
      <c r="C5050" s="1" t="s">
        <v>14002</v>
      </c>
      <c r="D5050" s="1" t="s">
        <v>14003</v>
      </c>
      <c r="E5050" s="7">
        <v>2.2799999999999998</v>
      </c>
    </row>
    <row r="5051" spans="1:5" x14ac:dyDescent="0.25">
      <c r="A5051" s="5" t="s">
        <v>6</v>
      </c>
      <c r="B5051" s="5" t="s">
        <v>14004</v>
      </c>
      <c r="C5051" s="1" t="s">
        <v>14005</v>
      </c>
      <c r="D5051" s="1" t="s">
        <v>14005</v>
      </c>
      <c r="E5051" s="7">
        <v>10.41</v>
      </c>
    </row>
    <row r="5052" spans="1:5" x14ac:dyDescent="0.25">
      <c r="A5052" s="5" t="s">
        <v>6</v>
      </c>
      <c r="B5052" s="5" t="s">
        <v>14006</v>
      </c>
      <c r="C5052" s="1" t="s">
        <v>14007</v>
      </c>
      <c r="D5052" s="1" t="s">
        <v>14008</v>
      </c>
      <c r="E5052" s="7">
        <v>30.94</v>
      </c>
    </row>
    <row r="5053" spans="1:5" x14ac:dyDescent="0.25">
      <c r="A5053" s="5" t="s">
        <v>6</v>
      </c>
      <c r="B5053" s="5" t="s">
        <v>14009</v>
      </c>
      <c r="C5053" s="1" t="s">
        <v>14010</v>
      </c>
      <c r="D5053" s="1" t="s">
        <v>13749</v>
      </c>
      <c r="E5053" s="7">
        <v>50</v>
      </c>
    </row>
    <row r="5054" spans="1:5" x14ac:dyDescent="0.25">
      <c r="A5054" s="5" t="s">
        <v>6</v>
      </c>
      <c r="B5054" s="5" t="s">
        <v>14011</v>
      </c>
      <c r="C5054" s="1" t="s">
        <v>14012</v>
      </c>
      <c r="D5054" s="1" t="s">
        <v>13872</v>
      </c>
      <c r="E5054" s="7">
        <v>96</v>
      </c>
    </row>
    <row r="5055" spans="1:5" x14ac:dyDescent="0.25">
      <c r="A5055" s="5" t="s">
        <v>6</v>
      </c>
      <c r="B5055" s="5" t="s">
        <v>14013</v>
      </c>
      <c r="C5055" s="1" t="s">
        <v>2704</v>
      </c>
      <c r="D5055" s="1" t="s">
        <v>2705</v>
      </c>
      <c r="E5055" s="7">
        <v>22.48</v>
      </c>
    </row>
    <row r="5056" spans="1:5" x14ac:dyDescent="0.25">
      <c r="A5056" s="5" t="s">
        <v>6</v>
      </c>
      <c r="B5056" s="5" t="s">
        <v>14014</v>
      </c>
      <c r="C5056" s="1" t="s">
        <v>2715</v>
      </c>
      <c r="D5056" s="1" t="s">
        <v>2713</v>
      </c>
      <c r="E5056" s="7">
        <v>1.65</v>
      </c>
    </row>
    <row r="5057" spans="1:5" x14ac:dyDescent="0.25">
      <c r="A5057" s="5" t="s">
        <v>6</v>
      </c>
      <c r="B5057" s="5" t="s">
        <v>14015</v>
      </c>
      <c r="C5057" s="1" t="s">
        <v>14016</v>
      </c>
      <c r="D5057" s="1" t="s">
        <v>2713</v>
      </c>
      <c r="E5057" s="7">
        <v>2</v>
      </c>
    </row>
    <row r="5058" spans="1:5" x14ac:dyDescent="0.25">
      <c r="A5058" s="5" t="s">
        <v>6</v>
      </c>
      <c r="B5058" s="5" t="s">
        <v>14017</v>
      </c>
      <c r="C5058" s="1" t="s">
        <v>14018</v>
      </c>
      <c r="D5058" s="1" t="s">
        <v>14019</v>
      </c>
      <c r="E5058" s="7">
        <v>10</v>
      </c>
    </row>
    <row r="5059" spans="1:5" x14ac:dyDescent="0.25">
      <c r="A5059" s="5" t="s">
        <v>6</v>
      </c>
      <c r="B5059" s="5" t="s">
        <v>14020</v>
      </c>
      <c r="C5059" s="1" t="s">
        <v>14021</v>
      </c>
      <c r="D5059" s="1" t="s">
        <v>14021</v>
      </c>
      <c r="E5059" s="7">
        <v>27</v>
      </c>
    </row>
    <row r="5060" spans="1:5" x14ac:dyDescent="0.25">
      <c r="A5060" s="5" t="s">
        <v>6</v>
      </c>
      <c r="B5060" s="5" t="s">
        <v>14022</v>
      </c>
      <c r="C5060" s="1" t="s">
        <v>14023</v>
      </c>
      <c r="D5060" s="1" t="s">
        <v>14023</v>
      </c>
      <c r="E5060" s="7">
        <v>16.649999999999999</v>
      </c>
    </row>
    <row r="5061" spans="1:5" x14ac:dyDescent="0.25">
      <c r="A5061" s="5" t="s">
        <v>6</v>
      </c>
      <c r="B5061" s="5" t="s">
        <v>14024</v>
      </c>
      <c r="C5061" s="1" t="s">
        <v>14025</v>
      </c>
      <c r="D5061" s="1" t="s">
        <v>14026</v>
      </c>
      <c r="E5061" s="7">
        <v>4.8899999999999997</v>
      </c>
    </row>
    <row r="5062" spans="1:5" x14ac:dyDescent="0.25">
      <c r="A5062" s="5" t="s">
        <v>6</v>
      </c>
      <c r="B5062" s="5" t="s">
        <v>14027</v>
      </c>
      <c r="C5062" s="1" t="s">
        <v>14028</v>
      </c>
      <c r="D5062" s="1" t="s">
        <v>14019</v>
      </c>
      <c r="E5062" s="7">
        <v>4.7</v>
      </c>
    </row>
    <row r="5063" spans="1:5" x14ac:dyDescent="0.25">
      <c r="A5063" s="5" t="s">
        <v>6</v>
      </c>
      <c r="B5063" s="5" t="s">
        <v>14029</v>
      </c>
      <c r="C5063" s="1" t="s">
        <v>14030</v>
      </c>
      <c r="D5063" s="1" t="s">
        <v>14031</v>
      </c>
      <c r="E5063" s="7">
        <v>165</v>
      </c>
    </row>
    <row r="5064" spans="1:5" x14ac:dyDescent="0.25">
      <c r="A5064" s="5" t="s">
        <v>6</v>
      </c>
      <c r="B5064" s="5" t="s">
        <v>14032</v>
      </c>
      <c r="C5064" s="1" t="s">
        <v>14033</v>
      </c>
      <c r="D5064" s="1" t="s">
        <v>13905</v>
      </c>
      <c r="E5064" s="7">
        <v>18.559999999999999</v>
      </c>
    </row>
    <row r="5065" spans="1:5" x14ac:dyDescent="0.25">
      <c r="A5065" s="5" t="s">
        <v>6</v>
      </c>
      <c r="B5065" s="5" t="s">
        <v>14034</v>
      </c>
      <c r="C5065" s="1" t="s">
        <v>2653</v>
      </c>
      <c r="D5065" s="1" t="s">
        <v>2653</v>
      </c>
      <c r="E5065" s="7">
        <v>12.14</v>
      </c>
    </row>
    <row r="5066" spans="1:5" x14ac:dyDescent="0.25">
      <c r="A5066" s="5" t="s">
        <v>6</v>
      </c>
      <c r="B5066" s="5" t="s">
        <v>14035</v>
      </c>
      <c r="C5066" s="1" t="s">
        <v>14036</v>
      </c>
      <c r="D5066" s="1" t="s">
        <v>14036</v>
      </c>
      <c r="E5066" s="7">
        <v>7.33</v>
      </c>
    </row>
    <row r="5067" spans="1:5" x14ac:dyDescent="0.25">
      <c r="A5067" s="5" t="s">
        <v>6</v>
      </c>
      <c r="B5067" s="5" t="s">
        <v>14037</v>
      </c>
      <c r="C5067" s="1" t="s">
        <v>14038</v>
      </c>
      <c r="D5067" s="1" t="s">
        <v>14038</v>
      </c>
      <c r="E5067" s="7">
        <v>5</v>
      </c>
    </row>
    <row r="5068" spans="1:5" x14ac:dyDescent="0.25">
      <c r="A5068" s="5" t="s">
        <v>6</v>
      </c>
      <c r="B5068" s="5" t="s">
        <v>14039</v>
      </c>
      <c r="C5068" s="1" t="s">
        <v>14040</v>
      </c>
      <c r="D5068" s="1" t="s">
        <v>14040</v>
      </c>
      <c r="E5068" s="7">
        <v>5.7</v>
      </c>
    </row>
    <row r="5069" spans="1:5" x14ac:dyDescent="0.25">
      <c r="A5069" s="5" t="s">
        <v>6</v>
      </c>
      <c r="B5069" s="5" t="s">
        <v>14041</v>
      </c>
      <c r="C5069" s="1" t="s">
        <v>14042</v>
      </c>
      <c r="D5069" s="1" t="s">
        <v>14042</v>
      </c>
      <c r="E5069" s="7">
        <v>12.36</v>
      </c>
    </row>
    <row r="5070" spans="1:5" x14ac:dyDescent="0.25">
      <c r="A5070" s="5" t="s">
        <v>6</v>
      </c>
      <c r="B5070" s="5" t="s">
        <v>14043</v>
      </c>
      <c r="C5070" s="1" t="s">
        <v>14044</v>
      </c>
      <c r="D5070" s="1" t="s">
        <v>14045</v>
      </c>
      <c r="E5070" s="7">
        <v>5</v>
      </c>
    </row>
    <row r="5071" spans="1:5" x14ac:dyDescent="0.25">
      <c r="A5071" s="5" t="s">
        <v>6</v>
      </c>
      <c r="B5071" s="5" t="s">
        <v>14046</v>
      </c>
      <c r="C5071" s="1" t="s">
        <v>14047</v>
      </c>
      <c r="D5071" s="1" t="s">
        <v>2993</v>
      </c>
      <c r="E5071" s="7">
        <v>16.29</v>
      </c>
    </row>
    <row r="5072" spans="1:5" x14ac:dyDescent="0.25">
      <c r="A5072" s="5" t="s">
        <v>6</v>
      </c>
      <c r="B5072" s="5" t="s">
        <v>14048</v>
      </c>
      <c r="C5072" s="1" t="s">
        <v>2731</v>
      </c>
      <c r="D5072" s="1" t="s">
        <v>2731</v>
      </c>
      <c r="E5072" s="7">
        <v>2.85</v>
      </c>
    </row>
    <row r="5073" spans="1:5" x14ac:dyDescent="0.25">
      <c r="A5073" s="5" t="s">
        <v>6</v>
      </c>
      <c r="B5073" s="5" t="s">
        <v>14049</v>
      </c>
      <c r="C5073" s="1" t="s">
        <v>14050</v>
      </c>
      <c r="D5073" s="1" t="s">
        <v>14050</v>
      </c>
      <c r="E5073" s="7">
        <v>3.1</v>
      </c>
    </row>
    <row r="5074" spans="1:5" x14ac:dyDescent="0.25">
      <c r="A5074" s="5" t="s">
        <v>6</v>
      </c>
      <c r="B5074" s="5" t="s">
        <v>14051</v>
      </c>
      <c r="C5074" s="1" t="s">
        <v>14052</v>
      </c>
      <c r="D5074" s="1" t="s">
        <v>14053</v>
      </c>
      <c r="E5074" s="7">
        <v>4</v>
      </c>
    </row>
    <row r="5075" spans="1:5" x14ac:dyDescent="0.25">
      <c r="A5075" s="5" t="s">
        <v>6</v>
      </c>
      <c r="B5075" s="5" t="s">
        <v>14054</v>
      </c>
      <c r="C5075" s="1" t="s">
        <v>14055</v>
      </c>
      <c r="D5075" s="1" t="s">
        <v>14056</v>
      </c>
      <c r="E5075" s="7">
        <v>3.23</v>
      </c>
    </row>
    <row r="5076" spans="1:5" x14ac:dyDescent="0.25">
      <c r="A5076" s="5" t="s">
        <v>6</v>
      </c>
      <c r="B5076" s="5" t="s">
        <v>14057</v>
      </c>
      <c r="C5076" s="1" t="s">
        <v>14058</v>
      </c>
      <c r="D5076" s="1" t="s">
        <v>14059</v>
      </c>
      <c r="E5076" s="7">
        <v>3.4</v>
      </c>
    </row>
    <row r="5077" spans="1:5" x14ac:dyDescent="0.25">
      <c r="A5077" s="5" t="s">
        <v>6</v>
      </c>
      <c r="B5077" s="5" t="s">
        <v>14060</v>
      </c>
      <c r="C5077" s="1" t="s">
        <v>14061</v>
      </c>
      <c r="D5077" s="1" t="s">
        <v>14062</v>
      </c>
      <c r="E5077" s="7">
        <v>4.75</v>
      </c>
    </row>
    <row r="5078" spans="1:5" x14ac:dyDescent="0.25">
      <c r="A5078" s="5" t="s">
        <v>6</v>
      </c>
      <c r="B5078" s="5" t="s">
        <v>14063</v>
      </c>
      <c r="C5078" s="1" t="s">
        <v>14064</v>
      </c>
      <c r="D5078" s="1" t="s">
        <v>14062</v>
      </c>
      <c r="E5078" s="7">
        <v>4.75</v>
      </c>
    </row>
    <row r="5079" spans="1:5" x14ac:dyDescent="0.25">
      <c r="A5079" s="5" t="s">
        <v>6</v>
      </c>
      <c r="B5079" s="5" t="s">
        <v>14065</v>
      </c>
      <c r="C5079" s="1" t="s">
        <v>14066</v>
      </c>
      <c r="D5079" s="1" t="s">
        <v>14062</v>
      </c>
      <c r="E5079" s="7">
        <v>4.75</v>
      </c>
    </row>
    <row r="5080" spans="1:5" x14ac:dyDescent="0.25">
      <c r="A5080" s="5" t="s">
        <v>6</v>
      </c>
      <c r="B5080" s="5" t="s">
        <v>14067</v>
      </c>
      <c r="C5080" s="1" t="s">
        <v>14068</v>
      </c>
      <c r="D5080" s="1" t="s">
        <v>14062</v>
      </c>
      <c r="E5080" s="7">
        <v>4.75</v>
      </c>
    </row>
    <row r="5081" spans="1:5" x14ac:dyDescent="0.25">
      <c r="A5081" s="5" t="s">
        <v>6</v>
      </c>
      <c r="B5081" s="5" t="s">
        <v>14069</v>
      </c>
      <c r="C5081" s="1" t="s">
        <v>14070</v>
      </c>
      <c r="D5081" s="1" t="s">
        <v>14070</v>
      </c>
      <c r="E5081" s="7">
        <v>8.15</v>
      </c>
    </row>
    <row r="5082" spans="1:5" x14ac:dyDescent="0.25">
      <c r="A5082" s="5" t="s">
        <v>6</v>
      </c>
      <c r="B5082" s="5" t="s">
        <v>14071</v>
      </c>
      <c r="C5082" s="1" t="s">
        <v>14072</v>
      </c>
      <c r="D5082" s="1" t="s">
        <v>14072</v>
      </c>
      <c r="E5082" s="7">
        <v>4.72</v>
      </c>
    </row>
    <row r="5083" spans="1:5" x14ac:dyDescent="0.25">
      <c r="A5083" s="5" t="s">
        <v>6</v>
      </c>
      <c r="B5083" s="5" t="s">
        <v>14073</v>
      </c>
      <c r="C5083" s="1" t="s">
        <v>2736</v>
      </c>
      <c r="D5083" s="1" t="s">
        <v>2737</v>
      </c>
      <c r="E5083" s="7">
        <v>2.25</v>
      </c>
    </row>
    <row r="5084" spans="1:5" x14ac:dyDescent="0.25">
      <c r="A5084" s="5" t="s">
        <v>6</v>
      </c>
      <c r="B5084" s="5" t="s">
        <v>14074</v>
      </c>
      <c r="C5084" s="1" t="s">
        <v>2739</v>
      </c>
      <c r="D5084" s="1" t="s">
        <v>2740</v>
      </c>
      <c r="E5084" s="7">
        <v>2</v>
      </c>
    </row>
    <row r="5085" spans="1:5" x14ac:dyDescent="0.25">
      <c r="A5085" s="5" t="s">
        <v>6</v>
      </c>
      <c r="B5085" s="5" t="s">
        <v>14075</v>
      </c>
      <c r="C5085" s="1" t="s">
        <v>14076</v>
      </c>
      <c r="D5085" s="1" t="s">
        <v>14077</v>
      </c>
      <c r="E5085" s="7">
        <v>25</v>
      </c>
    </row>
    <row r="5086" spans="1:5" x14ac:dyDescent="0.25">
      <c r="A5086" s="5" t="s">
        <v>6</v>
      </c>
      <c r="B5086" s="5" t="s">
        <v>14078</v>
      </c>
      <c r="C5086" s="1" t="s">
        <v>14079</v>
      </c>
      <c r="D5086" s="1" t="s">
        <v>14079</v>
      </c>
      <c r="E5086" s="7">
        <v>5.74</v>
      </c>
    </row>
    <row r="5087" spans="1:5" x14ac:dyDescent="0.25">
      <c r="A5087" s="5" t="s">
        <v>6</v>
      </c>
      <c r="B5087" s="5" t="s">
        <v>14080</v>
      </c>
      <c r="C5087" s="1" t="s">
        <v>2758</v>
      </c>
      <c r="D5087" s="1" t="s">
        <v>2758</v>
      </c>
      <c r="E5087" s="7">
        <v>2</v>
      </c>
    </row>
    <row r="5088" spans="1:5" x14ac:dyDescent="0.25">
      <c r="A5088" s="5" t="s">
        <v>6</v>
      </c>
      <c r="B5088" s="5" t="s">
        <v>14081</v>
      </c>
      <c r="C5088" s="1" t="s">
        <v>14082</v>
      </c>
      <c r="D5088" s="1" t="s">
        <v>14082</v>
      </c>
      <c r="E5088" s="7">
        <v>25</v>
      </c>
    </row>
    <row r="5089" spans="1:5" x14ac:dyDescent="0.25">
      <c r="A5089" s="5" t="s">
        <v>6</v>
      </c>
      <c r="B5089" s="5" t="s">
        <v>14083</v>
      </c>
      <c r="C5089" s="1" t="s">
        <v>14084</v>
      </c>
      <c r="D5089" s="1" t="s">
        <v>14085</v>
      </c>
      <c r="E5089" s="7">
        <v>4.5</v>
      </c>
    </row>
    <row r="5090" spans="1:5" x14ac:dyDescent="0.25">
      <c r="A5090" s="5" t="s">
        <v>6</v>
      </c>
      <c r="B5090" s="5" t="s">
        <v>14086</v>
      </c>
      <c r="C5090" s="1" t="s">
        <v>14087</v>
      </c>
      <c r="D5090" s="1" t="s">
        <v>14088</v>
      </c>
      <c r="E5090" s="7">
        <v>4</v>
      </c>
    </row>
    <row r="5091" spans="1:5" x14ac:dyDescent="0.25">
      <c r="A5091" s="5" t="s">
        <v>6</v>
      </c>
      <c r="B5091" s="5" t="s">
        <v>14089</v>
      </c>
      <c r="C5091" s="1" t="s">
        <v>14090</v>
      </c>
      <c r="D5091" s="1" t="s">
        <v>14091</v>
      </c>
      <c r="E5091" s="7">
        <v>3.26</v>
      </c>
    </row>
    <row r="5092" spans="1:5" x14ac:dyDescent="0.25">
      <c r="A5092" s="5" t="s">
        <v>6</v>
      </c>
      <c r="B5092" s="5" t="s">
        <v>14092</v>
      </c>
      <c r="C5092" s="1" t="s">
        <v>14093</v>
      </c>
      <c r="D5092" s="1" t="s">
        <v>14094</v>
      </c>
      <c r="E5092" s="7">
        <v>7.94</v>
      </c>
    </row>
    <row r="5093" spans="1:5" x14ac:dyDescent="0.25">
      <c r="A5093" s="5" t="s">
        <v>6</v>
      </c>
      <c r="B5093" s="5" t="s">
        <v>14095</v>
      </c>
      <c r="C5093" s="1" t="s">
        <v>14096</v>
      </c>
      <c r="D5093" s="1" t="s">
        <v>14097</v>
      </c>
      <c r="E5093" s="7">
        <v>3.67</v>
      </c>
    </row>
    <row r="5094" spans="1:5" x14ac:dyDescent="0.25">
      <c r="A5094" s="5" t="s">
        <v>6</v>
      </c>
      <c r="B5094" s="5" t="s">
        <v>14098</v>
      </c>
      <c r="C5094" s="1" t="s">
        <v>14099</v>
      </c>
      <c r="D5094" s="1" t="s">
        <v>14100</v>
      </c>
      <c r="E5094" s="7">
        <v>25</v>
      </c>
    </row>
    <row r="5095" spans="1:5" x14ac:dyDescent="0.25">
      <c r="A5095" s="5" t="s">
        <v>6</v>
      </c>
      <c r="B5095" s="5" t="s">
        <v>14101</v>
      </c>
      <c r="C5095" s="1" t="s">
        <v>14102</v>
      </c>
      <c r="D5095" s="1" t="s">
        <v>14102</v>
      </c>
      <c r="E5095" s="7">
        <v>585.20000000000005</v>
      </c>
    </row>
    <row r="5096" spans="1:5" x14ac:dyDescent="0.25">
      <c r="A5096" s="5" t="s">
        <v>6</v>
      </c>
      <c r="B5096" s="5" t="s">
        <v>14103</v>
      </c>
      <c r="C5096" s="1" t="s">
        <v>2772</v>
      </c>
      <c r="D5096" s="1" t="s">
        <v>2773</v>
      </c>
      <c r="E5096" s="7">
        <v>5</v>
      </c>
    </row>
    <row r="5097" spans="1:5" x14ac:dyDescent="0.25">
      <c r="A5097" s="5" t="s">
        <v>6</v>
      </c>
      <c r="B5097" s="5" t="s">
        <v>14104</v>
      </c>
      <c r="C5097" s="1" t="s">
        <v>14105</v>
      </c>
      <c r="D5097" s="1" t="s">
        <v>14106</v>
      </c>
      <c r="E5097" s="7">
        <v>8.2200000000000006</v>
      </c>
    </row>
    <row r="5098" spans="1:5" x14ac:dyDescent="0.25">
      <c r="A5098" s="5" t="s">
        <v>6</v>
      </c>
      <c r="B5098" s="5" t="s">
        <v>14107</v>
      </c>
      <c r="C5098" s="1" t="s">
        <v>14108</v>
      </c>
      <c r="D5098" s="1" t="s">
        <v>14109</v>
      </c>
      <c r="E5098" s="7">
        <v>9.16</v>
      </c>
    </row>
    <row r="5099" spans="1:5" x14ac:dyDescent="0.25">
      <c r="A5099" s="5" t="s">
        <v>6</v>
      </c>
      <c r="B5099" s="5" t="s">
        <v>14110</v>
      </c>
      <c r="C5099" s="1" t="s">
        <v>14111</v>
      </c>
      <c r="D5099" s="1" t="s">
        <v>14112</v>
      </c>
      <c r="E5099" s="7">
        <v>12.56</v>
      </c>
    </row>
    <row r="5100" spans="1:5" x14ac:dyDescent="0.25">
      <c r="A5100" s="5" t="s">
        <v>6</v>
      </c>
      <c r="B5100" s="5" t="s">
        <v>14113</v>
      </c>
      <c r="C5100" s="1" t="s">
        <v>14114</v>
      </c>
      <c r="D5100" s="1" t="s">
        <v>14115</v>
      </c>
      <c r="E5100" s="7">
        <v>6.79</v>
      </c>
    </row>
    <row r="5101" spans="1:5" x14ac:dyDescent="0.25">
      <c r="A5101" s="5" t="s">
        <v>6</v>
      </c>
      <c r="B5101" s="5" t="s">
        <v>14116</v>
      </c>
      <c r="C5101" s="1" t="s">
        <v>14117</v>
      </c>
      <c r="D5101" s="1" t="s">
        <v>14118</v>
      </c>
      <c r="E5101" s="7">
        <v>13.5</v>
      </c>
    </row>
    <row r="5102" spans="1:5" x14ac:dyDescent="0.25">
      <c r="A5102" s="5" t="s">
        <v>6</v>
      </c>
      <c r="B5102" s="5" t="s">
        <v>14119</v>
      </c>
      <c r="C5102" s="1" t="s">
        <v>14120</v>
      </c>
      <c r="D5102" s="1" t="s">
        <v>2776</v>
      </c>
      <c r="E5102" s="7">
        <v>10</v>
      </c>
    </row>
    <row r="5103" spans="1:5" x14ac:dyDescent="0.25">
      <c r="A5103" s="5" t="s">
        <v>6</v>
      </c>
      <c r="B5103" s="5" t="s">
        <v>14121</v>
      </c>
      <c r="C5103" s="1" t="s">
        <v>14122</v>
      </c>
      <c r="D5103" s="1" t="s">
        <v>14123</v>
      </c>
      <c r="E5103" s="7">
        <v>32.58</v>
      </c>
    </row>
    <row r="5104" spans="1:5" x14ac:dyDescent="0.25">
      <c r="A5104" s="5" t="s">
        <v>6</v>
      </c>
      <c r="B5104" s="5" t="s">
        <v>14124</v>
      </c>
      <c r="C5104" s="1" t="s">
        <v>14125</v>
      </c>
      <c r="D5104" s="1" t="s">
        <v>14125</v>
      </c>
      <c r="E5104" s="7">
        <v>32.25</v>
      </c>
    </row>
    <row r="5105" spans="1:5" x14ac:dyDescent="0.25">
      <c r="A5105" s="5" t="s">
        <v>6</v>
      </c>
      <c r="B5105" s="5" t="s">
        <v>14126</v>
      </c>
      <c r="C5105" s="1" t="s">
        <v>14127</v>
      </c>
      <c r="D5105" s="1" t="s">
        <v>14128</v>
      </c>
      <c r="E5105" s="7">
        <v>25</v>
      </c>
    </row>
    <row r="5106" spans="1:5" x14ac:dyDescent="0.25">
      <c r="A5106" s="5" t="s">
        <v>6</v>
      </c>
      <c r="B5106" s="5" t="s">
        <v>14129</v>
      </c>
      <c r="C5106" s="1" t="s">
        <v>14130</v>
      </c>
      <c r="D5106" s="1" t="s">
        <v>14131</v>
      </c>
      <c r="E5106" s="7">
        <v>8.15</v>
      </c>
    </row>
    <row r="5107" spans="1:5" x14ac:dyDescent="0.25">
      <c r="A5107" s="5" t="s">
        <v>6</v>
      </c>
      <c r="B5107" s="5" t="s">
        <v>14132</v>
      </c>
      <c r="C5107" s="1" t="s">
        <v>14133</v>
      </c>
      <c r="D5107" s="1" t="s">
        <v>14134</v>
      </c>
      <c r="E5107" s="7">
        <v>300</v>
      </c>
    </row>
    <row r="5108" spans="1:5" x14ac:dyDescent="0.25">
      <c r="A5108" s="5" t="s">
        <v>6</v>
      </c>
      <c r="B5108" s="5" t="s">
        <v>14135</v>
      </c>
      <c r="C5108" s="1" t="s">
        <v>14136</v>
      </c>
      <c r="D5108" s="1" t="s">
        <v>14137</v>
      </c>
      <c r="E5108" s="7">
        <v>52.94</v>
      </c>
    </row>
    <row r="5109" spans="1:5" x14ac:dyDescent="0.25">
      <c r="A5109" s="5" t="s">
        <v>6</v>
      </c>
      <c r="B5109" s="5" t="s">
        <v>14138</v>
      </c>
      <c r="C5109" s="1" t="s">
        <v>14139</v>
      </c>
      <c r="D5109" s="1" t="s">
        <v>14140</v>
      </c>
      <c r="E5109" s="7">
        <v>71.75</v>
      </c>
    </row>
    <row r="5110" spans="1:5" x14ac:dyDescent="0.25">
      <c r="A5110" s="5" t="s">
        <v>6</v>
      </c>
      <c r="B5110" s="5" t="s">
        <v>14141</v>
      </c>
      <c r="C5110" s="1" t="s">
        <v>14142</v>
      </c>
      <c r="D5110" s="1" t="s">
        <v>14142</v>
      </c>
      <c r="E5110" s="7">
        <v>3.67</v>
      </c>
    </row>
    <row r="5111" spans="1:5" x14ac:dyDescent="0.25">
      <c r="A5111" s="5" t="s">
        <v>6</v>
      </c>
      <c r="B5111" s="5" t="s">
        <v>14143</v>
      </c>
      <c r="C5111" s="1" t="s">
        <v>14144</v>
      </c>
      <c r="D5111" s="1" t="s">
        <v>14145</v>
      </c>
      <c r="E5111" s="7">
        <v>21.6</v>
      </c>
    </row>
    <row r="5112" spans="1:5" x14ac:dyDescent="0.25">
      <c r="A5112" s="5" t="s">
        <v>6</v>
      </c>
      <c r="B5112" s="5" t="s">
        <v>14146</v>
      </c>
      <c r="C5112" s="1" t="s">
        <v>14147</v>
      </c>
      <c r="D5112" s="1" t="s">
        <v>14148</v>
      </c>
      <c r="E5112" s="7">
        <v>4</v>
      </c>
    </row>
    <row r="5113" spans="1:5" x14ac:dyDescent="0.25">
      <c r="A5113" s="5" t="s">
        <v>6</v>
      </c>
      <c r="B5113" s="5" t="s">
        <v>14149</v>
      </c>
      <c r="C5113" s="1" t="s">
        <v>14150</v>
      </c>
      <c r="D5113" s="1" t="s">
        <v>14150</v>
      </c>
      <c r="E5113" s="7">
        <v>4.25</v>
      </c>
    </row>
    <row r="5114" spans="1:5" x14ac:dyDescent="0.25">
      <c r="A5114" s="5" t="s">
        <v>6</v>
      </c>
      <c r="B5114" s="5" t="s">
        <v>14151</v>
      </c>
      <c r="C5114" s="1" t="s">
        <v>14152</v>
      </c>
      <c r="D5114" s="1" t="s">
        <v>14153</v>
      </c>
      <c r="E5114" s="7">
        <v>4</v>
      </c>
    </row>
    <row r="5115" spans="1:5" x14ac:dyDescent="0.25">
      <c r="A5115" s="5" t="s">
        <v>6</v>
      </c>
      <c r="B5115" s="5" t="s">
        <v>14154</v>
      </c>
      <c r="C5115" s="1" t="s">
        <v>14155</v>
      </c>
      <c r="D5115" s="1" t="s">
        <v>14156</v>
      </c>
      <c r="E5115" s="7">
        <v>4</v>
      </c>
    </row>
    <row r="5116" spans="1:5" x14ac:dyDescent="0.25">
      <c r="A5116" s="5" t="s">
        <v>6</v>
      </c>
      <c r="B5116" s="5" t="s">
        <v>14157</v>
      </c>
      <c r="C5116" s="1" t="s">
        <v>14158</v>
      </c>
      <c r="D5116" s="1" t="s">
        <v>14159</v>
      </c>
      <c r="E5116" s="7">
        <v>10.34</v>
      </c>
    </row>
    <row r="5117" spans="1:5" x14ac:dyDescent="0.25">
      <c r="A5117" s="5" t="s">
        <v>6</v>
      </c>
      <c r="B5117" s="5" t="s">
        <v>14160</v>
      </c>
      <c r="C5117" s="1" t="s">
        <v>14161</v>
      </c>
      <c r="D5117" s="1" t="s">
        <v>14162</v>
      </c>
      <c r="E5117" s="7">
        <v>5.95</v>
      </c>
    </row>
    <row r="5118" spans="1:5" x14ac:dyDescent="0.25">
      <c r="A5118" s="5" t="s">
        <v>6</v>
      </c>
      <c r="B5118" s="5" t="s">
        <v>14163</v>
      </c>
      <c r="C5118" s="1" t="s">
        <v>14164</v>
      </c>
      <c r="D5118" s="1" t="s">
        <v>14164</v>
      </c>
      <c r="E5118" s="7">
        <v>3.37</v>
      </c>
    </row>
    <row r="5119" spans="1:5" x14ac:dyDescent="0.25">
      <c r="A5119" s="5" t="s">
        <v>6</v>
      </c>
      <c r="B5119" s="5" t="s">
        <v>14165</v>
      </c>
      <c r="C5119" s="1" t="s">
        <v>14166</v>
      </c>
      <c r="D5119" s="1" t="s">
        <v>14166</v>
      </c>
      <c r="E5119" s="7">
        <v>28.47</v>
      </c>
    </row>
    <row r="5120" spans="1:5" x14ac:dyDescent="0.25">
      <c r="A5120" s="5" t="s">
        <v>6</v>
      </c>
      <c r="B5120" s="5" t="s">
        <v>14167</v>
      </c>
      <c r="C5120" s="1" t="s">
        <v>14168</v>
      </c>
      <c r="D5120" s="1" t="s">
        <v>14169</v>
      </c>
      <c r="E5120" s="7">
        <v>13.85</v>
      </c>
    </row>
    <row r="5121" spans="1:5" x14ac:dyDescent="0.25">
      <c r="A5121" s="5" t="s">
        <v>6</v>
      </c>
      <c r="B5121" s="5" t="s">
        <v>14170</v>
      </c>
      <c r="C5121" s="1" t="s">
        <v>14171</v>
      </c>
      <c r="D5121" s="1" t="s">
        <v>14171</v>
      </c>
      <c r="E5121" s="7">
        <v>35.71</v>
      </c>
    </row>
    <row r="5122" spans="1:5" x14ac:dyDescent="0.25">
      <c r="A5122" s="5" t="s">
        <v>6</v>
      </c>
      <c r="B5122" s="5" t="s">
        <v>14172</v>
      </c>
      <c r="C5122" s="1" t="s">
        <v>14173</v>
      </c>
      <c r="D5122" s="1" t="s">
        <v>14174</v>
      </c>
      <c r="E5122" s="7">
        <v>13.14</v>
      </c>
    </row>
    <row r="5123" spans="1:5" x14ac:dyDescent="0.25">
      <c r="A5123" s="5" t="s">
        <v>6</v>
      </c>
      <c r="B5123" s="5" t="s">
        <v>14175</v>
      </c>
      <c r="C5123" s="1" t="s">
        <v>2781</v>
      </c>
      <c r="D5123" s="1" t="s">
        <v>2781</v>
      </c>
      <c r="E5123" s="7">
        <v>2.2000000000000002</v>
      </c>
    </row>
    <row r="5124" spans="1:5" x14ac:dyDescent="0.25">
      <c r="A5124" s="5" t="s">
        <v>6</v>
      </c>
      <c r="B5124" s="5" t="s">
        <v>14176</v>
      </c>
      <c r="C5124" s="1" t="s">
        <v>14177</v>
      </c>
      <c r="D5124" s="1" t="s">
        <v>14178</v>
      </c>
      <c r="E5124" s="7">
        <v>36.65</v>
      </c>
    </row>
    <row r="5125" spans="1:5" x14ac:dyDescent="0.25">
      <c r="A5125" s="5" t="s">
        <v>6</v>
      </c>
      <c r="B5125" s="5" t="s">
        <v>14179</v>
      </c>
      <c r="C5125" s="1" t="s">
        <v>14180</v>
      </c>
      <c r="D5125" s="1" t="s">
        <v>14181</v>
      </c>
      <c r="E5125" s="7">
        <v>3.67</v>
      </c>
    </row>
    <row r="5126" spans="1:5" x14ac:dyDescent="0.25">
      <c r="A5126" s="5" t="s">
        <v>6</v>
      </c>
      <c r="B5126" s="5" t="s">
        <v>14182</v>
      </c>
      <c r="C5126" s="1" t="s">
        <v>2783</v>
      </c>
      <c r="D5126" s="1" t="s">
        <v>2783</v>
      </c>
      <c r="E5126" s="7">
        <v>2.85</v>
      </c>
    </row>
    <row r="5127" spans="1:5" x14ac:dyDescent="0.25">
      <c r="A5127" s="5" t="s">
        <v>6</v>
      </c>
      <c r="B5127" s="5" t="s">
        <v>14183</v>
      </c>
      <c r="C5127" s="1" t="s">
        <v>14184</v>
      </c>
      <c r="D5127" s="1" t="s">
        <v>14184</v>
      </c>
      <c r="E5127" s="7">
        <v>6.11</v>
      </c>
    </row>
    <row r="5128" spans="1:5" x14ac:dyDescent="0.25">
      <c r="A5128" s="5" t="s">
        <v>6</v>
      </c>
      <c r="B5128" s="5" t="s">
        <v>14185</v>
      </c>
      <c r="C5128" s="1" t="s">
        <v>14186</v>
      </c>
      <c r="D5128" s="1" t="s">
        <v>14186</v>
      </c>
      <c r="E5128" s="7">
        <v>289.60000000000002</v>
      </c>
    </row>
    <row r="5129" spans="1:5" x14ac:dyDescent="0.25">
      <c r="A5129" s="5" t="s">
        <v>6</v>
      </c>
      <c r="B5129" s="5" t="s">
        <v>14187</v>
      </c>
      <c r="C5129" s="1" t="s">
        <v>14188</v>
      </c>
      <c r="D5129" s="1" t="s">
        <v>14189</v>
      </c>
      <c r="E5129" s="7">
        <v>23.42</v>
      </c>
    </row>
    <row r="5130" spans="1:5" x14ac:dyDescent="0.25">
      <c r="A5130" s="5" t="s">
        <v>6</v>
      </c>
      <c r="B5130" s="5" t="s">
        <v>14190</v>
      </c>
      <c r="C5130" s="1" t="s">
        <v>2785</v>
      </c>
      <c r="D5130" s="1" t="s">
        <v>2786</v>
      </c>
      <c r="E5130" s="7">
        <v>4.82</v>
      </c>
    </row>
    <row r="5131" spans="1:5" x14ac:dyDescent="0.25">
      <c r="A5131" s="5" t="s">
        <v>6</v>
      </c>
      <c r="B5131" s="5" t="s">
        <v>14191</v>
      </c>
      <c r="C5131" s="1" t="s">
        <v>14192</v>
      </c>
      <c r="D5131" s="1" t="s">
        <v>14193</v>
      </c>
      <c r="E5131" s="7">
        <v>13.14</v>
      </c>
    </row>
    <row r="5132" spans="1:5" x14ac:dyDescent="0.25">
      <c r="A5132" s="5" t="s">
        <v>6</v>
      </c>
      <c r="B5132" s="5" t="s">
        <v>14194</v>
      </c>
      <c r="C5132" s="1" t="s">
        <v>14195</v>
      </c>
      <c r="D5132" s="1" t="s">
        <v>14196</v>
      </c>
      <c r="E5132" s="7">
        <v>4</v>
      </c>
    </row>
    <row r="5133" spans="1:5" x14ac:dyDescent="0.25">
      <c r="A5133" s="5" t="s">
        <v>6</v>
      </c>
      <c r="B5133" s="5" t="s">
        <v>14197</v>
      </c>
      <c r="C5133" s="1" t="s">
        <v>14198</v>
      </c>
      <c r="D5133" s="1" t="s">
        <v>13978</v>
      </c>
      <c r="E5133" s="7">
        <v>45.61</v>
      </c>
    </row>
    <row r="5134" spans="1:5" x14ac:dyDescent="0.25">
      <c r="A5134" s="5" t="s">
        <v>6</v>
      </c>
      <c r="B5134" s="5" t="s">
        <v>14199</v>
      </c>
      <c r="C5134" s="1" t="s">
        <v>14200</v>
      </c>
      <c r="D5134" s="1" t="s">
        <v>14201</v>
      </c>
      <c r="E5134" s="7">
        <v>5.29</v>
      </c>
    </row>
    <row r="5135" spans="1:5" x14ac:dyDescent="0.25">
      <c r="A5135" s="5" t="s">
        <v>6</v>
      </c>
      <c r="B5135" s="5" t="s">
        <v>14202</v>
      </c>
      <c r="C5135" s="1" t="s">
        <v>14173</v>
      </c>
      <c r="D5135" s="1" t="s">
        <v>14174</v>
      </c>
      <c r="E5135" s="7">
        <v>6</v>
      </c>
    </row>
    <row r="5136" spans="1:5" x14ac:dyDescent="0.25">
      <c r="A5136" s="5" t="s">
        <v>6</v>
      </c>
      <c r="B5136" s="5" t="s">
        <v>14203</v>
      </c>
      <c r="C5136" s="1" t="s">
        <v>14204</v>
      </c>
      <c r="D5136" s="1" t="s">
        <v>14205</v>
      </c>
      <c r="E5136" s="7">
        <v>14.83</v>
      </c>
    </row>
    <row r="5137" spans="1:5" x14ac:dyDescent="0.25">
      <c r="A5137" s="5" t="s">
        <v>6</v>
      </c>
      <c r="B5137" s="5" t="s">
        <v>14206</v>
      </c>
      <c r="C5137" s="1" t="s">
        <v>14207</v>
      </c>
      <c r="D5137" s="1" t="s">
        <v>14208</v>
      </c>
      <c r="E5137" s="7">
        <v>90</v>
      </c>
    </row>
    <row r="5138" spans="1:5" x14ac:dyDescent="0.25">
      <c r="A5138" s="5" t="s">
        <v>6</v>
      </c>
      <c r="B5138" s="5" t="s">
        <v>14209</v>
      </c>
      <c r="C5138" s="1" t="s">
        <v>14210</v>
      </c>
      <c r="D5138" s="1" t="s">
        <v>14211</v>
      </c>
      <c r="E5138" s="7">
        <v>65.16</v>
      </c>
    </row>
    <row r="5139" spans="1:5" x14ac:dyDescent="0.25">
      <c r="A5139" s="5" t="s">
        <v>6</v>
      </c>
      <c r="B5139" s="5" t="s">
        <v>14212</v>
      </c>
      <c r="C5139" s="1" t="s">
        <v>14213</v>
      </c>
      <c r="D5139" s="1" t="s">
        <v>14214</v>
      </c>
      <c r="E5139" s="7">
        <v>39.090000000000003</v>
      </c>
    </row>
    <row r="5140" spans="1:5" x14ac:dyDescent="0.25">
      <c r="A5140" s="5" t="s">
        <v>6</v>
      </c>
      <c r="B5140" s="5" t="s">
        <v>14215</v>
      </c>
      <c r="C5140" s="1" t="s">
        <v>14216</v>
      </c>
      <c r="D5140" s="1" t="s">
        <v>14217</v>
      </c>
      <c r="E5140" s="7">
        <v>30.89</v>
      </c>
    </row>
    <row r="5141" spans="1:5" x14ac:dyDescent="0.25">
      <c r="A5141" s="5" t="s">
        <v>6</v>
      </c>
      <c r="B5141" s="5" t="s">
        <v>14218</v>
      </c>
      <c r="C5141" s="1" t="s">
        <v>14219</v>
      </c>
      <c r="D5141" s="1" t="s">
        <v>14220</v>
      </c>
      <c r="E5141" s="7">
        <v>10.119999999999999</v>
      </c>
    </row>
    <row r="5142" spans="1:5" x14ac:dyDescent="0.25">
      <c r="A5142" s="5" t="s">
        <v>6</v>
      </c>
      <c r="B5142" s="5" t="s">
        <v>14221</v>
      </c>
      <c r="C5142" s="1" t="s">
        <v>2788</v>
      </c>
      <c r="D5142" s="1" t="s">
        <v>2789</v>
      </c>
      <c r="E5142" s="7">
        <v>10.8</v>
      </c>
    </row>
    <row r="5143" spans="1:5" x14ac:dyDescent="0.25">
      <c r="A5143" s="5" t="s">
        <v>6</v>
      </c>
      <c r="B5143" s="5" t="s">
        <v>14222</v>
      </c>
      <c r="C5143" s="1" t="s">
        <v>14223</v>
      </c>
      <c r="D5143" s="1" t="s">
        <v>14223</v>
      </c>
      <c r="E5143" s="7">
        <v>105</v>
      </c>
    </row>
    <row r="5144" spans="1:5" x14ac:dyDescent="0.25">
      <c r="A5144" s="5" t="s">
        <v>6</v>
      </c>
      <c r="B5144" s="5" t="s">
        <v>14224</v>
      </c>
      <c r="C5144" s="1" t="s">
        <v>14225</v>
      </c>
      <c r="D5144" s="1" t="s">
        <v>14225</v>
      </c>
      <c r="E5144" s="7">
        <v>13.19</v>
      </c>
    </row>
    <row r="5145" spans="1:5" x14ac:dyDescent="0.25">
      <c r="A5145" s="5" t="s">
        <v>6</v>
      </c>
      <c r="B5145" s="5" t="s">
        <v>14226</v>
      </c>
      <c r="C5145" s="1" t="s">
        <v>2794</v>
      </c>
      <c r="D5145" s="1" t="s">
        <v>2795</v>
      </c>
      <c r="E5145" s="7">
        <v>2.25</v>
      </c>
    </row>
    <row r="5146" spans="1:5" x14ac:dyDescent="0.25">
      <c r="A5146" s="5" t="s">
        <v>6</v>
      </c>
      <c r="B5146" s="5" t="s">
        <v>14227</v>
      </c>
      <c r="C5146" s="1" t="s">
        <v>14228</v>
      </c>
      <c r="D5146" s="1" t="s">
        <v>14229</v>
      </c>
      <c r="E5146" s="7">
        <v>3.26</v>
      </c>
    </row>
    <row r="5147" spans="1:5" x14ac:dyDescent="0.25">
      <c r="A5147" s="5" t="s">
        <v>6</v>
      </c>
      <c r="B5147" s="5" t="s">
        <v>14230</v>
      </c>
      <c r="C5147" s="1" t="s">
        <v>14231</v>
      </c>
      <c r="D5147" s="1" t="s">
        <v>14231</v>
      </c>
      <c r="E5147" s="7">
        <v>12</v>
      </c>
    </row>
    <row r="5148" spans="1:5" x14ac:dyDescent="0.25">
      <c r="A5148" s="5" t="s">
        <v>6</v>
      </c>
      <c r="B5148" s="5" t="s">
        <v>14232</v>
      </c>
      <c r="C5148" s="1" t="s">
        <v>14233</v>
      </c>
      <c r="D5148" s="1" t="s">
        <v>14233</v>
      </c>
      <c r="E5148" s="7">
        <v>8.76</v>
      </c>
    </row>
    <row r="5149" spans="1:5" x14ac:dyDescent="0.25">
      <c r="A5149" s="5" t="s">
        <v>6</v>
      </c>
      <c r="B5149" s="5" t="s">
        <v>14234</v>
      </c>
      <c r="C5149" s="1" t="s">
        <v>2799</v>
      </c>
      <c r="D5149" s="1" t="s">
        <v>2799</v>
      </c>
      <c r="E5149" s="7">
        <v>3.37</v>
      </c>
    </row>
    <row r="5150" spans="1:5" x14ac:dyDescent="0.25">
      <c r="A5150" s="5" t="s">
        <v>6</v>
      </c>
      <c r="B5150" s="5" t="s">
        <v>14235</v>
      </c>
      <c r="C5150" s="1" t="s">
        <v>14236</v>
      </c>
      <c r="D5150" s="1" t="s">
        <v>2577</v>
      </c>
      <c r="E5150" s="7">
        <v>6.46</v>
      </c>
    </row>
    <row r="5151" spans="1:5" x14ac:dyDescent="0.25">
      <c r="A5151" s="5" t="s">
        <v>6</v>
      </c>
      <c r="B5151" s="5" t="s">
        <v>14237</v>
      </c>
      <c r="C5151" s="1" t="s">
        <v>14238</v>
      </c>
      <c r="D5151" s="1" t="s">
        <v>14239</v>
      </c>
      <c r="E5151" s="7">
        <v>33.5</v>
      </c>
    </row>
    <row r="5152" spans="1:5" x14ac:dyDescent="0.25">
      <c r="A5152" s="5" t="s">
        <v>6</v>
      </c>
      <c r="B5152" s="5" t="s">
        <v>14240</v>
      </c>
      <c r="C5152" s="1" t="s">
        <v>14241</v>
      </c>
      <c r="D5152" s="1" t="s">
        <v>14241</v>
      </c>
      <c r="E5152" s="7">
        <v>25</v>
      </c>
    </row>
    <row r="5153" spans="1:5" x14ac:dyDescent="0.25">
      <c r="A5153" s="5" t="s">
        <v>6</v>
      </c>
      <c r="B5153" s="5" t="s">
        <v>14242</v>
      </c>
      <c r="C5153" s="1" t="s">
        <v>14243</v>
      </c>
      <c r="D5153" s="1" t="s">
        <v>14243</v>
      </c>
      <c r="E5153" s="7">
        <v>12.22</v>
      </c>
    </row>
    <row r="5154" spans="1:5" x14ac:dyDescent="0.25">
      <c r="A5154" s="5" t="s">
        <v>6</v>
      </c>
      <c r="B5154" s="5" t="s">
        <v>14244</v>
      </c>
      <c r="C5154" s="1" t="s">
        <v>14245</v>
      </c>
      <c r="D5154" s="1" t="s">
        <v>14246</v>
      </c>
      <c r="E5154" s="7">
        <v>25</v>
      </c>
    </row>
    <row r="5155" spans="1:5" x14ac:dyDescent="0.25">
      <c r="A5155" s="5" t="s">
        <v>6</v>
      </c>
      <c r="B5155" s="5" t="s">
        <v>14247</v>
      </c>
      <c r="C5155" s="1" t="s">
        <v>14248</v>
      </c>
      <c r="D5155" s="1" t="s">
        <v>14246</v>
      </c>
      <c r="E5155" s="7">
        <v>15.96</v>
      </c>
    </row>
    <row r="5156" spans="1:5" x14ac:dyDescent="0.25">
      <c r="A5156" s="5" t="s">
        <v>6</v>
      </c>
      <c r="B5156" s="5" t="s">
        <v>14249</v>
      </c>
      <c r="C5156" s="1" t="s">
        <v>2807</v>
      </c>
      <c r="D5156" s="1" t="s">
        <v>2807</v>
      </c>
      <c r="E5156" s="7">
        <v>5</v>
      </c>
    </row>
    <row r="5157" spans="1:5" x14ac:dyDescent="0.25">
      <c r="A5157" s="5" t="s">
        <v>6</v>
      </c>
      <c r="B5157" s="5" t="s">
        <v>14250</v>
      </c>
      <c r="C5157" s="1" t="s">
        <v>14251</v>
      </c>
      <c r="D5157" s="1" t="s">
        <v>14252</v>
      </c>
      <c r="E5157" s="7">
        <v>13.16</v>
      </c>
    </row>
    <row r="5158" spans="1:5" x14ac:dyDescent="0.25">
      <c r="A5158" s="5" t="s">
        <v>6</v>
      </c>
      <c r="B5158" s="5" t="s">
        <v>14253</v>
      </c>
      <c r="C5158" s="1" t="s">
        <v>14254</v>
      </c>
      <c r="D5158" s="1" t="s">
        <v>14254</v>
      </c>
      <c r="E5158" s="7">
        <v>5</v>
      </c>
    </row>
    <row r="5159" spans="1:5" x14ac:dyDescent="0.25">
      <c r="A5159" s="5" t="s">
        <v>6</v>
      </c>
      <c r="B5159" s="5" t="s">
        <v>14255</v>
      </c>
      <c r="C5159" s="1" t="s">
        <v>13539</v>
      </c>
      <c r="D5159" s="1" t="s">
        <v>13540</v>
      </c>
      <c r="E5159" s="7">
        <v>24.73</v>
      </c>
    </row>
    <row r="5160" spans="1:5" x14ac:dyDescent="0.25">
      <c r="A5160" s="5" t="s">
        <v>6</v>
      </c>
      <c r="B5160" s="5" t="s">
        <v>14256</v>
      </c>
      <c r="C5160" s="1" t="s">
        <v>14257</v>
      </c>
      <c r="D5160" s="1" t="s">
        <v>14258</v>
      </c>
      <c r="E5160" s="7">
        <v>14</v>
      </c>
    </row>
    <row r="5161" spans="1:5" x14ac:dyDescent="0.25">
      <c r="A5161" s="5" t="s">
        <v>6</v>
      </c>
      <c r="B5161" s="5" t="s">
        <v>14259</v>
      </c>
      <c r="C5161" s="1" t="s">
        <v>14260</v>
      </c>
      <c r="D5161" s="1" t="s">
        <v>14258</v>
      </c>
      <c r="E5161" s="7">
        <v>16.29</v>
      </c>
    </row>
    <row r="5162" spans="1:5" x14ac:dyDescent="0.25">
      <c r="A5162" s="5" t="s">
        <v>6</v>
      </c>
      <c r="B5162" s="5" t="s">
        <v>14261</v>
      </c>
      <c r="C5162" s="1" t="s">
        <v>14262</v>
      </c>
      <c r="D5162" s="1" t="s">
        <v>14258</v>
      </c>
      <c r="E5162" s="7">
        <v>16.29</v>
      </c>
    </row>
    <row r="5163" spans="1:5" x14ac:dyDescent="0.25">
      <c r="A5163" s="5" t="s">
        <v>6</v>
      </c>
      <c r="B5163" s="5" t="s">
        <v>14263</v>
      </c>
      <c r="C5163" s="1" t="s">
        <v>14264</v>
      </c>
      <c r="D5163" s="1" t="s">
        <v>14265</v>
      </c>
      <c r="E5163" s="7">
        <v>4.8</v>
      </c>
    </row>
    <row r="5164" spans="1:5" x14ac:dyDescent="0.25">
      <c r="A5164" s="5" t="s">
        <v>6</v>
      </c>
      <c r="B5164" s="5" t="s">
        <v>14266</v>
      </c>
      <c r="C5164" s="1" t="s">
        <v>14267</v>
      </c>
      <c r="D5164" s="1" t="s">
        <v>13905</v>
      </c>
      <c r="E5164" s="7">
        <v>13.32</v>
      </c>
    </row>
    <row r="5165" spans="1:5" x14ac:dyDescent="0.25">
      <c r="A5165" s="5" t="s">
        <v>6</v>
      </c>
      <c r="B5165" s="5" t="s">
        <v>14268</v>
      </c>
      <c r="C5165" s="1" t="s">
        <v>14269</v>
      </c>
      <c r="D5165" s="1" t="s">
        <v>14270</v>
      </c>
      <c r="E5165" s="7">
        <v>37.24</v>
      </c>
    </row>
    <row r="5166" spans="1:5" x14ac:dyDescent="0.25">
      <c r="A5166" s="5" t="s">
        <v>6</v>
      </c>
      <c r="B5166" s="5" t="s">
        <v>14271</v>
      </c>
      <c r="C5166" s="1" t="s">
        <v>14272</v>
      </c>
      <c r="D5166" s="1" t="s">
        <v>14273</v>
      </c>
      <c r="E5166" s="7">
        <v>28.61</v>
      </c>
    </row>
    <row r="5167" spans="1:5" x14ac:dyDescent="0.25">
      <c r="A5167" s="5" t="s">
        <v>6</v>
      </c>
      <c r="B5167" s="5" t="s">
        <v>14274</v>
      </c>
      <c r="C5167" s="1" t="s">
        <v>14275</v>
      </c>
      <c r="D5167" s="1" t="s">
        <v>2577</v>
      </c>
      <c r="E5167" s="7">
        <v>38.590000000000003</v>
      </c>
    </row>
    <row r="5168" spans="1:5" x14ac:dyDescent="0.25">
      <c r="A5168" s="5" t="s">
        <v>6</v>
      </c>
      <c r="B5168" s="5" t="s">
        <v>14276</v>
      </c>
      <c r="C5168" s="1" t="s">
        <v>14277</v>
      </c>
      <c r="D5168" s="1" t="s">
        <v>14277</v>
      </c>
      <c r="E5168" s="7">
        <v>183.26</v>
      </c>
    </row>
    <row r="5169" spans="1:5" x14ac:dyDescent="0.25">
      <c r="A5169" s="5" t="s">
        <v>6</v>
      </c>
      <c r="B5169" s="5" t="s">
        <v>14278</v>
      </c>
      <c r="C5169" s="1" t="s">
        <v>14279</v>
      </c>
      <c r="D5169" s="1" t="s">
        <v>14279</v>
      </c>
      <c r="E5169" s="7">
        <v>50</v>
      </c>
    </row>
    <row r="5170" spans="1:5" x14ac:dyDescent="0.25">
      <c r="A5170" s="5" t="s">
        <v>6</v>
      </c>
      <c r="B5170" s="5" t="s">
        <v>14280</v>
      </c>
      <c r="C5170" s="1" t="s">
        <v>14281</v>
      </c>
      <c r="D5170" s="1" t="s">
        <v>14282</v>
      </c>
      <c r="E5170" s="7">
        <v>4.8</v>
      </c>
    </row>
    <row r="5171" spans="1:5" x14ac:dyDescent="0.25">
      <c r="A5171" s="5" t="s">
        <v>6</v>
      </c>
      <c r="B5171" s="5" t="s">
        <v>14283</v>
      </c>
      <c r="C5171" s="1" t="s">
        <v>14284</v>
      </c>
      <c r="D5171" s="1" t="s">
        <v>14284</v>
      </c>
      <c r="E5171" s="7">
        <v>3.65</v>
      </c>
    </row>
    <row r="5172" spans="1:5" x14ac:dyDescent="0.25">
      <c r="A5172" s="5" t="s">
        <v>6</v>
      </c>
      <c r="B5172" s="5" t="s">
        <v>14285</v>
      </c>
      <c r="C5172" s="1" t="s">
        <v>14286</v>
      </c>
      <c r="D5172" s="1" t="s">
        <v>14201</v>
      </c>
      <c r="E5172" s="7">
        <v>5.29</v>
      </c>
    </row>
    <row r="5173" spans="1:5" x14ac:dyDescent="0.25">
      <c r="A5173" s="5" t="s">
        <v>6</v>
      </c>
      <c r="B5173" s="5" t="s">
        <v>14287</v>
      </c>
      <c r="C5173" s="1" t="s">
        <v>2817</v>
      </c>
      <c r="D5173" s="1" t="s">
        <v>2818</v>
      </c>
      <c r="E5173" s="7">
        <v>8.41</v>
      </c>
    </row>
    <row r="5174" spans="1:5" x14ac:dyDescent="0.25">
      <c r="A5174" s="5" t="s">
        <v>6</v>
      </c>
      <c r="B5174" s="5" t="s">
        <v>14288</v>
      </c>
      <c r="C5174" s="1" t="s">
        <v>14289</v>
      </c>
      <c r="D5174" s="1" t="s">
        <v>14290</v>
      </c>
      <c r="E5174" s="7">
        <v>91.25</v>
      </c>
    </row>
    <row r="5175" spans="1:5" x14ac:dyDescent="0.25">
      <c r="A5175" s="5" t="s">
        <v>6</v>
      </c>
      <c r="B5175" s="5" t="s">
        <v>14291</v>
      </c>
      <c r="C5175" s="1" t="s">
        <v>14292</v>
      </c>
      <c r="D5175" s="1" t="s">
        <v>14292</v>
      </c>
      <c r="E5175" s="7">
        <v>6.74</v>
      </c>
    </row>
    <row r="5176" spans="1:5" x14ac:dyDescent="0.25">
      <c r="A5176" s="5" t="s">
        <v>6</v>
      </c>
      <c r="B5176" s="5" t="s">
        <v>14293</v>
      </c>
      <c r="C5176" s="1" t="s">
        <v>14294</v>
      </c>
      <c r="D5176" s="1" t="s">
        <v>14295</v>
      </c>
      <c r="E5176" s="7">
        <v>40</v>
      </c>
    </row>
    <row r="5177" spans="1:5" x14ac:dyDescent="0.25">
      <c r="A5177" s="5" t="s">
        <v>6</v>
      </c>
      <c r="B5177" s="5" t="s">
        <v>14296</v>
      </c>
      <c r="C5177" s="1" t="s">
        <v>14297</v>
      </c>
      <c r="D5177" s="1" t="s">
        <v>14298</v>
      </c>
      <c r="E5177" s="7">
        <v>9.5</v>
      </c>
    </row>
    <row r="5178" spans="1:5" x14ac:dyDescent="0.25">
      <c r="A5178" s="5" t="s">
        <v>6</v>
      </c>
      <c r="B5178" s="5" t="s">
        <v>14299</v>
      </c>
      <c r="C5178" s="1" t="s">
        <v>2822</v>
      </c>
      <c r="D5178" s="1" t="s">
        <v>2823</v>
      </c>
      <c r="E5178" s="7">
        <v>2</v>
      </c>
    </row>
    <row r="5179" spans="1:5" x14ac:dyDescent="0.25">
      <c r="A5179" s="5" t="s">
        <v>6</v>
      </c>
      <c r="B5179" s="5" t="s">
        <v>14300</v>
      </c>
      <c r="C5179" s="1" t="s">
        <v>14301</v>
      </c>
      <c r="D5179" s="1" t="s">
        <v>14302</v>
      </c>
      <c r="E5179" s="7">
        <v>5</v>
      </c>
    </row>
    <row r="5180" spans="1:5" x14ac:dyDescent="0.25">
      <c r="A5180" s="5" t="s">
        <v>6</v>
      </c>
      <c r="B5180" s="5" t="s">
        <v>14303</v>
      </c>
      <c r="C5180" s="1" t="s">
        <v>14304</v>
      </c>
      <c r="D5180" s="1" t="s">
        <v>14305</v>
      </c>
      <c r="E5180" s="7">
        <v>6.37</v>
      </c>
    </row>
    <row r="5181" spans="1:5" x14ac:dyDescent="0.25">
      <c r="A5181" s="5" t="s">
        <v>6</v>
      </c>
      <c r="B5181" s="5" t="s">
        <v>14306</v>
      </c>
      <c r="C5181" s="1" t="s">
        <v>14307</v>
      </c>
      <c r="D5181" s="1" t="s">
        <v>14308</v>
      </c>
      <c r="E5181" s="7">
        <v>16</v>
      </c>
    </row>
    <row r="5182" spans="1:5" x14ac:dyDescent="0.25">
      <c r="A5182" s="5" t="s">
        <v>6</v>
      </c>
      <c r="B5182" s="5" t="s">
        <v>14309</v>
      </c>
      <c r="C5182" s="1" t="s">
        <v>2836</v>
      </c>
      <c r="D5182" s="1" t="s">
        <v>2837</v>
      </c>
      <c r="E5182" s="7">
        <v>12.04</v>
      </c>
    </row>
    <row r="5183" spans="1:5" x14ac:dyDescent="0.25">
      <c r="A5183" s="5" t="s">
        <v>6</v>
      </c>
      <c r="B5183" s="5" t="s">
        <v>14310</v>
      </c>
      <c r="C5183" s="1" t="s">
        <v>14311</v>
      </c>
      <c r="D5183" s="1" t="s">
        <v>14311</v>
      </c>
      <c r="E5183" s="7">
        <v>3.37</v>
      </c>
    </row>
    <row r="5184" spans="1:5" x14ac:dyDescent="0.25">
      <c r="A5184" s="5" t="s">
        <v>6</v>
      </c>
      <c r="B5184" s="5" t="s">
        <v>14312</v>
      </c>
      <c r="C5184" s="1" t="s">
        <v>14313</v>
      </c>
      <c r="D5184" s="1" t="s">
        <v>14313</v>
      </c>
      <c r="E5184" s="7">
        <v>3.26</v>
      </c>
    </row>
    <row r="5185" spans="1:5" x14ac:dyDescent="0.25">
      <c r="A5185" s="5" t="s">
        <v>6</v>
      </c>
      <c r="B5185" s="5" t="s">
        <v>14314</v>
      </c>
      <c r="C5185" s="1" t="s">
        <v>14315</v>
      </c>
      <c r="D5185" s="1" t="s">
        <v>14315</v>
      </c>
      <c r="E5185" s="7">
        <v>29.22</v>
      </c>
    </row>
    <row r="5186" spans="1:5" x14ac:dyDescent="0.25">
      <c r="A5186" s="5" t="s">
        <v>6</v>
      </c>
      <c r="B5186" s="5" t="s">
        <v>14316</v>
      </c>
      <c r="C5186" s="1" t="s">
        <v>2842</v>
      </c>
      <c r="D5186" s="1" t="s">
        <v>2843</v>
      </c>
      <c r="E5186" s="7">
        <v>2.25</v>
      </c>
    </row>
    <row r="5187" spans="1:5" x14ac:dyDescent="0.25">
      <c r="A5187" s="5" t="s">
        <v>6</v>
      </c>
      <c r="B5187" s="5" t="s">
        <v>14317</v>
      </c>
      <c r="C5187" s="1" t="s">
        <v>2845</v>
      </c>
      <c r="D5187" s="1" t="s">
        <v>2845</v>
      </c>
      <c r="E5187" s="7">
        <v>2</v>
      </c>
    </row>
    <row r="5188" spans="1:5" x14ac:dyDescent="0.25">
      <c r="A5188" s="5" t="s">
        <v>6</v>
      </c>
      <c r="B5188" s="5" t="s">
        <v>14318</v>
      </c>
      <c r="C5188" s="1" t="s">
        <v>14319</v>
      </c>
      <c r="D5188" s="1" t="s">
        <v>14319</v>
      </c>
      <c r="E5188" s="7">
        <v>2.08</v>
      </c>
    </row>
    <row r="5189" spans="1:5" x14ac:dyDescent="0.25">
      <c r="A5189" s="5" t="s">
        <v>6</v>
      </c>
      <c r="B5189" s="5" t="s">
        <v>14320</v>
      </c>
      <c r="C5189" s="1" t="s">
        <v>2851</v>
      </c>
      <c r="D5189" s="1" t="s">
        <v>2843</v>
      </c>
      <c r="E5189" s="7">
        <v>2.25</v>
      </c>
    </row>
    <row r="5190" spans="1:5" x14ac:dyDescent="0.25">
      <c r="A5190" s="5" t="s">
        <v>6</v>
      </c>
      <c r="B5190" s="5" t="s">
        <v>14321</v>
      </c>
      <c r="C5190" s="1" t="s">
        <v>14322</v>
      </c>
      <c r="D5190" s="1" t="s">
        <v>14323</v>
      </c>
      <c r="E5190" s="7">
        <v>3.29</v>
      </c>
    </row>
    <row r="5191" spans="1:5" x14ac:dyDescent="0.25">
      <c r="A5191" s="5" t="s">
        <v>6</v>
      </c>
      <c r="B5191" s="5" t="s">
        <v>14324</v>
      </c>
      <c r="C5191" s="1" t="s">
        <v>14325</v>
      </c>
      <c r="D5191" s="1" t="s">
        <v>14325</v>
      </c>
      <c r="E5191" s="7">
        <v>4</v>
      </c>
    </row>
    <row r="5192" spans="1:5" x14ac:dyDescent="0.25">
      <c r="A5192" s="5" t="s">
        <v>6</v>
      </c>
      <c r="B5192" s="5" t="s">
        <v>14326</v>
      </c>
      <c r="C5192" s="1" t="s">
        <v>14327</v>
      </c>
      <c r="D5192" s="1" t="s">
        <v>14328</v>
      </c>
      <c r="E5192" s="7">
        <v>4.5</v>
      </c>
    </row>
    <row r="5193" spans="1:5" x14ac:dyDescent="0.25">
      <c r="A5193" s="5" t="s">
        <v>6</v>
      </c>
      <c r="B5193" s="5" t="s">
        <v>14329</v>
      </c>
      <c r="C5193" s="1" t="s">
        <v>14330</v>
      </c>
      <c r="D5193" s="1" t="s">
        <v>14330</v>
      </c>
      <c r="E5193" s="7">
        <v>2.2400000000000002</v>
      </c>
    </row>
    <row r="5194" spans="1:5" x14ac:dyDescent="0.25">
      <c r="A5194" s="5" t="s">
        <v>6</v>
      </c>
      <c r="B5194" s="5" t="s">
        <v>14331</v>
      </c>
      <c r="C5194" s="1" t="s">
        <v>14332</v>
      </c>
      <c r="D5194" s="1" t="s">
        <v>14333</v>
      </c>
      <c r="E5194" s="7">
        <v>81.45</v>
      </c>
    </row>
    <row r="5195" spans="1:5" x14ac:dyDescent="0.25">
      <c r="A5195" s="5" t="s">
        <v>6</v>
      </c>
      <c r="B5195" s="5" t="s">
        <v>14334</v>
      </c>
      <c r="C5195" s="1" t="s">
        <v>14335</v>
      </c>
      <c r="D5195" s="1" t="s">
        <v>13695</v>
      </c>
      <c r="E5195" s="7">
        <v>107.51</v>
      </c>
    </row>
    <row r="5196" spans="1:5" x14ac:dyDescent="0.25">
      <c r="A5196" s="5" t="s">
        <v>6</v>
      </c>
      <c r="B5196" s="5" t="s">
        <v>14336</v>
      </c>
      <c r="C5196" s="1" t="s">
        <v>14337</v>
      </c>
      <c r="D5196" s="1" t="s">
        <v>14338</v>
      </c>
      <c r="E5196" s="7">
        <v>32.25</v>
      </c>
    </row>
    <row r="5197" spans="1:5" x14ac:dyDescent="0.25">
      <c r="A5197" s="5" t="s">
        <v>6</v>
      </c>
      <c r="B5197" s="5" t="s">
        <v>14339</v>
      </c>
      <c r="C5197" s="1" t="s">
        <v>14340</v>
      </c>
      <c r="D5197" s="1" t="s">
        <v>14341</v>
      </c>
      <c r="E5197" s="7">
        <v>32.25</v>
      </c>
    </row>
    <row r="5198" spans="1:5" x14ac:dyDescent="0.25">
      <c r="A5198" s="5" t="s">
        <v>6</v>
      </c>
      <c r="B5198" s="5" t="s">
        <v>14342</v>
      </c>
      <c r="C5198" s="1" t="s">
        <v>14343</v>
      </c>
      <c r="D5198" s="1" t="s">
        <v>14343</v>
      </c>
      <c r="E5198" s="7">
        <v>6.52</v>
      </c>
    </row>
    <row r="5199" spans="1:5" x14ac:dyDescent="0.25">
      <c r="A5199" s="5" t="s">
        <v>6</v>
      </c>
      <c r="B5199" s="5" t="s">
        <v>14344</v>
      </c>
      <c r="C5199" s="1" t="s">
        <v>14345</v>
      </c>
      <c r="D5199" s="1" t="s">
        <v>14346</v>
      </c>
      <c r="E5199" s="7">
        <v>7.25</v>
      </c>
    </row>
    <row r="5200" spans="1:5" x14ac:dyDescent="0.25">
      <c r="A5200" s="5" t="s">
        <v>6</v>
      </c>
      <c r="B5200" s="5" t="s">
        <v>14347</v>
      </c>
      <c r="C5200" s="1" t="s">
        <v>14348</v>
      </c>
      <c r="D5200" s="1" t="s">
        <v>14348</v>
      </c>
      <c r="E5200" s="7">
        <v>3.67</v>
      </c>
    </row>
    <row r="5201" spans="1:5" x14ac:dyDescent="0.25">
      <c r="A5201" s="5" t="s">
        <v>6</v>
      </c>
      <c r="B5201" s="5" t="s">
        <v>14349</v>
      </c>
      <c r="C5201" s="1" t="s">
        <v>14350</v>
      </c>
      <c r="D5201" s="1" t="s">
        <v>14350</v>
      </c>
      <c r="E5201" s="7">
        <v>9.89</v>
      </c>
    </row>
    <row r="5202" spans="1:5" x14ac:dyDescent="0.25">
      <c r="A5202" s="5" t="s">
        <v>6</v>
      </c>
      <c r="B5202" s="5" t="s">
        <v>14351</v>
      </c>
      <c r="C5202" s="1" t="s">
        <v>14352</v>
      </c>
      <c r="D5202" s="1" t="s">
        <v>14353</v>
      </c>
      <c r="E5202" s="7">
        <v>17.850000000000001</v>
      </c>
    </row>
    <row r="5203" spans="1:5" x14ac:dyDescent="0.25">
      <c r="A5203" s="5" t="s">
        <v>6</v>
      </c>
      <c r="B5203" s="5" t="s">
        <v>14354</v>
      </c>
      <c r="C5203" s="1" t="s">
        <v>14355</v>
      </c>
      <c r="D5203" s="1" t="s">
        <v>14356</v>
      </c>
      <c r="E5203" s="7">
        <v>7.75</v>
      </c>
    </row>
    <row r="5204" spans="1:5" x14ac:dyDescent="0.25">
      <c r="A5204" s="5" t="s">
        <v>6</v>
      </c>
      <c r="B5204" s="5" t="s">
        <v>14357</v>
      </c>
      <c r="C5204" s="1" t="s">
        <v>14358</v>
      </c>
      <c r="D5204" s="1" t="s">
        <v>14358</v>
      </c>
      <c r="E5204" s="7">
        <v>28.51</v>
      </c>
    </row>
    <row r="5205" spans="1:5" x14ac:dyDescent="0.25">
      <c r="A5205" s="5" t="s">
        <v>6</v>
      </c>
      <c r="B5205" s="5" t="s">
        <v>14359</v>
      </c>
      <c r="C5205" s="1" t="s">
        <v>14360</v>
      </c>
      <c r="D5205" s="1" t="s">
        <v>14360</v>
      </c>
      <c r="E5205" s="7">
        <v>12.22</v>
      </c>
    </row>
    <row r="5206" spans="1:5" x14ac:dyDescent="0.25">
      <c r="A5206" s="5" t="s">
        <v>6</v>
      </c>
      <c r="B5206" s="5" t="s">
        <v>14361</v>
      </c>
      <c r="C5206" s="1" t="s">
        <v>14362</v>
      </c>
      <c r="D5206" s="1" t="s">
        <v>13715</v>
      </c>
      <c r="E5206" s="7">
        <v>8</v>
      </c>
    </row>
    <row r="5207" spans="1:5" x14ac:dyDescent="0.25">
      <c r="A5207" s="5" t="s">
        <v>6</v>
      </c>
      <c r="B5207" s="5" t="s">
        <v>14363</v>
      </c>
      <c r="C5207" s="1" t="s">
        <v>14364</v>
      </c>
      <c r="D5207" s="1" t="s">
        <v>14364</v>
      </c>
      <c r="E5207" s="7">
        <v>7.46</v>
      </c>
    </row>
    <row r="5208" spans="1:5" x14ac:dyDescent="0.25">
      <c r="A5208" s="5" t="s">
        <v>6</v>
      </c>
      <c r="B5208" s="5" t="s">
        <v>14365</v>
      </c>
      <c r="C5208" s="1" t="s">
        <v>14366</v>
      </c>
      <c r="D5208" s="1" t="s">
        <v>14367</v>
      </c>
      <c r="E5208" s="7">
        <v>3.26</v>
      </c>
    </row>
    <row r="5209" spans="1:5" x14ac:dyDescent="0.25">
      <c r="A5209" s="5" t="s">
        <v>6</v>
      </c>
      <c r="B5209" s="5" t="s">
        <v>14368</v>
      </c>
      <c r="C5209" s="1" t="s">
        <v>14369</v>
      </c>
      <c r="D5209" s="1" t="s">
        <v>14370</v>
      </c>
      <c r="E5209" s="7">
        <v>3.26</v>
      </c>
    </row>
    <row r="5210" spans="1:5" x14ac:dyDescent="0.25">
      <c r="A5210" s="5" t="s">
        <v>6</v>
      </c>
      <c r="B5210" s="5" t="s">
        <v>14371</v>
      </c>
      <c r="C5210" s="1" t="s">
        <v>14372</v>
      </c>
      <c r="D5210" s="1" t="s">
        <v>14370</v>
      </c>
      <c r="E5210" s="7">
        <v>6.65</v>
      </c>
    </row>
    <row r="5211" spans="1:5" x14ac:dyDescent="0.25">
      <c r="A5211" s="5" t="s">
        <v>6</v>
      </c>
      <c r="B5211" s="5" t="s">
        <v>14373</v>
      </c>
      <c r="C5211" s="1" t="s">
        <v>14374</v>
      </c>
      <c r="D5211" s="1" t="s">
        <v>14370</v>
      </c>
      <c r="E5211" s="7">
        <v>23.98</v>
      </c>
    </row>
    <row r="5212" spans="1:5" x14ac:dyDescent="0.25">
      <c r="A5212" s="5" t="s">
        <v>6</v>
      </c>
      <c r="B5212" s="5" t="s">
        <v>14375</v>
      </c>
      <c r="C5212" s="1" t="s">
        <v>14376</v>
      </c>
      <c r="D5212" s="1" t="s">
        <v>14367</v>
      </c>
      <c r="E5212" s="7">
        <v>23.52</v>
      </c>
    </row>
    <row r="5213" spans="1:5" x14ac:dyDescent="0.25">
      <c r="A5213" s="5" t="s">
        <v>6</v>
      </c>
      <c r="B5213" s="5" t="s">
        <v>14377</v>
      </c>
      <c r="C5213" s="1" t="s">
        <v>14378</v>
      </c>
      <c r="D5213" s="1" t="s">
        <v>14379</v>
      </c>
      <c r="E5213" s="7">
        <v>10</v>
      </c>
    </row>
    <row r="5214" spans="1:5" x14ac:dyDescent="0.25">
      <c r="A5214" s="5" t="s">
        <v>6</v>
      </c>
      <c r="B5214" s="5" t="s">
        <v>14380</v>
      </c>
      <c r="C5214" s="1" t="s">
        <v>14381</v>
      </c>
      <c r="D5214" s="1" t="s">
        <v>14382</v>
      </c>
      <c r="E5214" s="7">
        <v>12.14</v>
      </c>
    </row>
    <row r="5215" spans="1:5" x14ac:dyDescent="0.25">
      <c r="A5215" s="5" t="s">
        <v>6</v>
      </c>
      <c r="B5215" s="5" t="s">
        <v>14383</v>
      </c>
      <c r="C5215" s="1" t="s">
        <v>14384</v>
      </c>
      <c r="D5215" s="1" t="s">
        <v>14384</v>
      </c>
      <c r="E5215" s="7">
        <v>45</v>
      </c>
    </row>
    <row r="5216" spans="1:5" x14ac:dyDescent="0.25">
      <c r="A5216" s="5" t="s">
        <v>6</v>
      </c>
      <c r="B5216" s="5" t="s">
        <v>14385</v>
      </c>
      <c r="C5216" s="1" t="s">
        <v>2869</v>
      </c>
      <c r="D5216" s="1" t="s">
        <v>2870</v>
      </c>
      <c r="E5216" s="7">
        <v>2.25</v>
      </c>
    </row>
    <row r="5217" spans="1:5" x14ac:dyDescent="0.25">
      <c r="A5217" s="5" t="s">
        <v>6</v>
      </c>
      <c r="B5217" s="5" t="s">
        <v>14386</v>
      </c>
      <c r="C5217" s="1" t="s">
        <v>14387</v>
      </c>
      <c r="D5217" s="1" t="s">
        <v>14388</v>
      </c>
      <c r="E5217" s="7">
        <v>9.3699999999999992</v>
      </c>
    </row>
    <row r="5218" spans="1:5" x14ac:dyDescent="0.25">
      <c r="A5218" s="5" t="s">
        <v>6</v>
      </c>
      <c r="B5218" s="5" t="s">
        <v>14389</v>
      </c>
      <c r="C5218" s="1" t="s">
        <v>2872</v>
      </c>
      <c r="D5218" s="1" t="s">
        <v>2872</v>
      </c>
      <c r="E5218" s="7">
        <v>3.71</v>
      </c>
    </row>
    <row r="5219" spans="1:5" x14ac:dyDescent="0.25">
      <c r="A5219" s="5" t="s">
        <v>6</v>
      </c>
      <c r="B5219" s="5" t="s">
        <v>14390</v>
      </c>
      <c r="C5219" s="1" t="s">
        <v>14391</v>
      </c>
      <c r="D5219" s="1" t="s">
        <v>14392</v>
      </c>
      <c r="E5219" s="7">
        <v>24.44</v>
      </c>
    </row>
    <row r="5220" spans="1:5" x14ac:dyDescent="0.25">
      <c r="A5220" s="5" t="s">
        <v>6</v>
      </c>
      <c r="B5220" s="5" t="s">
        <v>14393</v>
      </c>
      <c r="C5220" s="1" t="s">
        <v>14394</v>
      </c>
      <c r="D5220" s="1" t="s">
        <v>14395</v>
      </c>
      <c r="E5220" s="7">
        <v>8.65</v>
      </c>
    </row>
    <row r="5221" spans="1:5" x14ac:dyDescent="0.25">
      <c r="A5221" s="5" t="s">
        <v>6</v>
      </c>
      <c r="B5221" s="5" t="s">
        <v>14396</v>
      </c>
      <c r="C5221" s="1" t="s">
        <v>2874</v>
      </c>
      <c r="D5221" s="1" t="s">
        <v>2875</v>
      </c>
      <c r="E5221" s="7">
        <v>25</v>
      </c>
    </row>
    <row r="5222" spans="1:5" x14ac:dyDescent="0.25">
      <c r="A5222" s="5" t="s">
        <v>6</v>
      </c>
      <c r="B5222" s="5" t="s">
        <v>14397</v>
      </c>
      <c r="C5222" s="1" t="s">
        <v>14398</v>
      </c>
      <c r="D5222" s="1" t="s">
        <v>14399</v>
      </c>
      <c r="E5222" s="7">
        <v>11.4</v>
      </c>
    </row>
    <row r="5223" spans="1:5" x14ac:dyDescent="0.25">
      <c r="A5223" s="5" t="s">
        <v>6</v>
      </c>
      <c r="B5223" s="5" t="s">
        <v>14400</v>
      </c>
      <c r="C5223" s="1" t="s">
        <v>14401</v>
      </c>
      <c r="D5223" s="1" t="s">
        <v>14401</v>
      </c>
      <c r="E5223" s="7">
        <v>43.13</v>
      </c>
    </row>
    <row r="5224" spans="1:5" x14ac:dyDescent="0.25">
      <c r="A5224" s="5" t="s">
        <v>6</v>
      </c>
      <c r="B5224" s="5" t="s">
        <v>14402</v>
      </c>
      <c r="C5224" s="1" t="s">
        <v>2877</v>
      </c>
      <c r="D5224" s="1" t="s">
        <v>14403</v>
      </c>
      <c r="E5224" s="7">
        <v>25</v>
      </c>
    </row>
    <row r="5225" spans="1:5" x14ac:dyDescent="0.25">
      <c r="A5225" s="5" t="s">
        <v>6</v>
      </c>
      <c r="B5225" s="5" t="s">
        <v>14404</v>
      </c>
      <c r="C5225" s="1" t="s">
        <v>2880</v>
      </c>
      <c r="D5225" s="1" t="s">
        <v>2880</v>
      </c>
      <c r="E5225" s="7">
        <v>6.13</v>
      </c>
    </row>
    <row r="5226" spans="1:5" x14ac:dyDescent="0.25">
      <c r="A5226" s="5" t="s">
        <v>6</v>
      </c>
      <c r="B5226" s="5" t="s">
        <v>14405</v>
      </c>
      <c r="C5226" s="1" t="s">
        <v>14406</v>
      </c>
      <c r="D5226" s="1" t="s">
        <v>14406</v>
      </c>
      <c r="E5226" s="7">
        <v>9.77</v>
      </c>
    </row>
    <row r="5227" spans="1:5" x14ac:dyDescent="0.25">
      <c r="A5227" s="5" t="s">
        <v>6</v>
      </c>
      <c r="B5227" s="5" t="s">
        <v>14407</v>
      </c>
      <c r="C5227" s="1" t="s">
        <v>14408</v>
      </c>
      <c r="D5227" s="1" t="s">
        <v>14409</v>
      </c>
      <c r="E5227" s="7">
        <v>25</v>
      </c>
    </row>
    <row r="5228" spans="1:5" x14ac:dyDescent="0.25">
      <c r="A5228" s="5" t="s">
        <v>6</v>
      </c>
      <c r="B5228" s="5" t="s">
        <v>14410</v>
      </c>
      <c r="C5228" s="1" t="s">
        <v>14411</v>
      </c>
      <c r="D5228" s="1" t="s">
        <v>14412</v>
      </c>
      <c r="E5228" s="7">
        <v>7</v>
      </c>
    </row>
    <row r="5229" spans="1:5" x14ac:dyDescent="0.25">
      <c r="A5229" s="5" t="s">
        <v>6</v>
      </c>
      <c r="B5229" s="5" t="s">
        <v>14413</v>
      </c>
      <c r="C5229" s="1" t="s">
        <v>14414</v>
      </c>
      <c r="D5229" s="1" t="s">
        <v>2892</v>
      </c>
      <c r="E5229" s="7">
        <v>2.25</v>
      </c>
    </row>
    <row r="5230" spans="1:5" x14ac:dyDescent="0.25">
      <c r="A5230" s="5" t="s">
        <v>6</v>
      </c>
      <c r="B5230" s="5" t="s">
        <v>14415</v>
      </c>
      <c r="C5230" s="1" t="s">
        <v>14416</v>
      </c>
      <c r="D5230" s="1" t="s">
        <v>14416</v>
      </c>
      <c r="E5230" s="7">
        <v>5.7</v>
      </c>
    </row>
    <row r="5231" spans="1:5" x14ac:dyDescent="0.25">
      <c r="A5231" s="5" t="s">
        <v>6</v>
      </c>
      <c r="B5231" s="5" t="s">
        <v>14417</v>
      </c>
      <c r="C5231" s="1" t="s">
        <v>14418</v>
      </c>
      <c r="D5231" s="1" t="s">
        <v>14419</v>
      </c>
      <c r="E5231" s="7">
        <v>24.44</v>
      </c>
    </row>
    <row r="5232" spans="1:5" x14ac:dyDescent="0.25">
      <c r="A5232" s="5" t="s">
        <v>6</v>
      </c>
      <c r="B5232" s="5" t="s">
        <v>14420</v>
      </c>
      <c r="C5232" s="1" t="s">
        <v>14421</v>
      </c>
      <c r="D5232" s="1" t="s">
        <v>14422</v>
      </c>
      <c r="E5232" s="7">
        <v>9.5</v>
      </c>
    </row>
    <row r="5233" spans="1:5" x14ac:dyDescent="0.25">
      <c r="A5233" s="5" t="s">
        <v>6</v>
      </c>
      <c r="B5233" s="5" t="s">
        <v>14423</v>
      </c>
      <c r="C5233" s="1" t="s">
        <v>14424</v>
      </c>
      <c r="D5233" s="1" t="s">
        <v>14425</v>
      </c>
      <c r="E5233" s="7">
        <v>9.77</v>
      </c>
    </row>
    <row r="5234" spans="1:5" x14ac:dyDescent="0.25">
      <c r="A5234" s="5" t="s">
        <v>6</v>
      </c>
      <c r="B5234" s="5" t="s">
        <v>14426</v>
      </c>
      <c r="C5234" s="1" t="s">
        <v>14427</v>
      </c>
      <c r="D5234" s="1" t="s">
        <v>2915</v>
      </c>
      <c r="E5234" s="7">
        <v>7.95</v>
      </c>
    </row>
    <row r="5235" spans="1:5" x14ac:dyDescent="0.25">
      <c r="A5235" s="5" t="s">
        <v>6</v>
      </c>
      <c r="B5235" s="5" t="s">
        <v>14428</v>
      </c>
      <c r="C5235" s="1" t="s">
        <v>14429</v>
      </c>
      <c r="D5235" s="1" t="s">
        <v>14430</v>
      </c>
      <c r="E5235" s="7">
        <v>42</v>
      </c>
    </row>
    <row r="5236" spans="1:5" x14ac:dyDescent="0.25">
      <c r="A5236" s="5" t="s">
        <v>6</v>
      </c>
      <c r="B5236" s="5" t="s">
        <v>14431</v>
      </c>
      <c r="C5236" s="1" t="s">
        <v>14432</v>
      </c>
      <c r="D5236" s="1" t="s">
        <v>14432</v>
      </c>
      <c r="E5236" s="7">
        <v>6</v>
      </c>
    </row>
    <row r="5237" spans="1:5" x14ac:dyDescent="0.25">
      <c r="A5237" s="5" t="s">
        <v>6</v>
      </c>
      <c r="B5237" s="5" t="s">
        <v>14433</v>
      </c>
      <c r="C5237" s="1" t="s">
        <v>14434</v>
      </c>
      <c r="D5237" s="1" t="s">
        <v>14434</v>
      </c>
      <c r="E5237" s="7">
        <v>4.28</v>
      </c>
    </row>
    <row r="5238" spans="1:5" x14ac:dyDescent="0.25">
      <c r="A5238" s="5" t="s">
        <v>6</v>
      </c>
      <c r="B5238" s="5" t="s">
        <v>14435</v>
      </c>
      <c r="C5238" s="1" t="s">
        <v>2920</v>
      </c>
      <c r="D5238" s="1" t="s">
        <v>2921</v>
      </c>
      <c r="E5238" s="7">
        <v>4</v>
      </c>
    </row>
    <row r="5239" spans="1:5" x14ac:dyDescent="0.25">
      <c r="A5239" s="5" t="s">
        <v>6</v>
      </c>
      <c r="B5239" s="5" t="s">
        <v>14436</v>
      </c>
      <c r="C5239" s="1" t="s">
        <v>2917</v>
      </c>
      <c r="D5239" s="1" t="s">
        <v>2918</v>
      </c>
      <c r="E5239" s="7">
        <v>4</v>
      </c>
    </row>
    <row r="5240" spans="1:5" x14ac:dyDescent="0.25">
      <c r="A5240" s="5" t="s">
        <v>6</v>
      </c>
      <c r="B5240" s="5" t="s">
        <v>14437</v>
      </c>
      <c r="C5240" s="1" t="s">
        <v>14438</v>
      </c>
      <c r="D5240" s="1" t="s">
        <v>14438</v>
      </c>
      <c r="E5240" s="7">
        <v>5.7</v>
      </c>
    </row>
    <row r="5241" spans="1:5" x14ac:dyDescent="0.25">
      <c r="A5241" s="5" t="s">
        <v>6</v>
      </c>
      <c r="B5241" s="5" t="s">
        <v>14439</v>
      </c>
      <c r="C5241" s="1" t="s">
        <v>14440</v>
      </c>
      <c r="D5241" s="1" t="s">
        <v>2921</v>
      </c>
      <c r="E5241" s="7">
        <v>11.61</v>
      </c>
    </row>
    <row r="5242" spans="1:5" x14ac:dyDescent="0.25">
      <c r="A5242" s="5" t="s">
        <v>6</v>
      </c>
      <c r="B5242" s="5" t="s">
        <v>14441</v>
      </c>
      <c r="C5242" s="1" t="s">
        <v>2929</v>
      </c>
      <c r="D5242" s="1" t="s">
        <v>2929</v>
      </c>
      <c r="E5242" s="7">
        <v>8.23</v>
      </c>
    </row>
    <row r="5243" spans="1:5" x14ac:dyDescent="0.25">
      <c r="A5243" s="5" t="s">
        <v>6</v>
      </c>
      <c r="B5243" s="5" t="s">
        <v>14442</v>
      </c>
      <c r="C5243" s="1" t="s">
        <v>2941</v>
      </c>
      <c r="D5243" s="1" t="s">
        <v>2941</v>
      </c>
      <c r="E5243" s="7">
        <v>2</v>
      </c>
    </row>
    <row r="5244" spans="1:5" x14ac:dyDescent="0.25">
      <c r="A5244" s="5" t="s">
        <v>6</v>
      </c>
      <c r="B5244" s="5" t="s">
        <v>14443</v>
      </c>
      <c r="C5244" s="1" t="s">
        <v>2946</v>
      </c>
      <c r="D5244" s="1" t="s">
        <v>2947</v>
      </c>
      <c r="E5244" s="7">
        <v>7.8</v>
      </c>
    </row>
    <row r="5245" spans="1:5" x14ac:dyDescent="0.25">
      <c r="A5245" s="5" t="s">
        <v>6</v>
      </c>
      <c r="B5245" s="5" t="s">
        <v>14444</v>
      </c>
      <c r="C5245" s="1" t="s">
        <v>2934</v>
      </c>
      <c r="D5245" s="1" t="s">
        <v>2934</v>
      </c>
      <c r="E5245" s="7">
        <v>1.59</v>
      </c>
    </row>
    <row r="5246" spans="1:5" x14ac:dyDescent="0.25">
      <c r="A5246" s="5" t="s">
        <v>6</v>
      </c>
      <c r="B5246" s="5" t="s">
        <v>14445</v>
      </c>
      <c r="C5246" s="1" t="s">
        <v>14446</v>
      </c>
      <c r="D5246" s="1" t="s">
        <v>14447</v>
      </c>
      <c r="E5246" s="7">
        <v>12.22</v>
      </c>
    </row>
    <row r="5247" spans="1:5" x14ac:dyDescent="0.25">
      <c r="A5247" s="5" t="s">
        <v>6</v>
      </c>
      <c r="B5247" s="5" t="s">
        <v>14448</v>
      </c>
      <c r="C5247" s="1" t="s">
        <v>14449</v>
      </c>
      <c r="D5247" s="1" t="s">
        <v>14450</v>
      </c>
      <c r="E5247" s="7">
        <v>40.729999999999997</v>
      </c>
    </row>
    <row r="5248" spans="1:5" x14ac:dyDescent="0.25">
      <c r="A5248" s="5" t="s">
        <v>6</v>
      </c>
      <c r="B5248" s="5" t="s">
        <v>14451</v>
      </c>
      <c r="C5248" s="1" t="s">
        <v>14452</v>
      </c>
      <c r="D5248" s="1" t="s">
        <v>14453</v>
      </c>
      <c r="E5248" s="7">
        <v>51.29</v>
      </c>
    </row>
    <row r="5249" spans="1:5" x14ac:dyDescent="0.25">
      <c r="A5249" s="5" t="s">
        <v>6</v>
      </c>
      <c r="B5249" s="5" t="s">
        <v>14454</v>
      </c>
      <c r="C5249" s="1" t="s">
        <v>14455</v>
      </c>
      <c r="D5249" s="1" t="s">
        <v>14453</v>
      </c>
      <c r="E5249" s="7">
        <v>15</v>
      </c>
    </row>
    <row r="5250" spans="1:5" x14ac:dyDescent="0.25">
      <c r="A5250" s="5" t="s">
        <v>6</v>
      </c>
      <c r="B5250" s="5" t="s">
        <v>14456</v>
      </c>
      <c r="C5250" s="1" t="s">
        <v>14457</v>
      </c>
      <c r="D5250" s="1" t="s">
        <v>14458</v>
      </c>
      <c r="E5250" s="7">
        <v>51.29</v>
      </c>
    </row>
    <row r="5251" spans="1:5" x14ac:dyDescent="0.25">
      <c r="A5251" s="5" t="s">
        <v>6</v>
      </c>
      <c r="B5251" s="5" t="s">
        <v>14459</v>
      </c>
      <c r="C5251" s="1" t="s">
        <v>14460</v>
      </c>
      <c r="D5251" s="1" t="s">
        <v>14461</v>
      </c>
      <c r="E5251" s="7">
        <v>51.29</v>
      </c>
    </row>
    <row r="5252" spans="1:5" x14ac:dyDescent="0.25">
      <c r="A5252" s="5" t="s">
        <v>6</v>
      </c>
      <c r="B5252" s="5" t="s">
        <v>14462</v>
      </c>
      <c r="C5252" s="1" t="s">
        <v>14463</v>
      </c>
      <c r="D5252" s="1" t="s">
        <v>14464</v>
      </c>
      <c r="E5252" s="7">
        <v>60.27</v>
      </c>
    </row>
    <row r="5253" spans="1:5" x14ac:dyDescent="0.25">
      <c r="A5253" s="5" t="s">
        <v>6</v>
      </c>
      <c r="B5253" s="5" t="s">
        <v>14465</v>
      </c>
      <c r="C5253" s="1" t="s">
        <v>14466</v>
      </c>
      <c r="D5253" s="1" t="s">
        <v>14458</v>
      </c>
      <c r="E5253" s="7">
        <v>44.8</v>
      </c>
    </row>
    <row r="5254" spans="1:5" x14ac:dyDescent="0.25">
      <c r="A5254" s="5" t="s">
        <v>6</v>
      </c>
      <c r="B5254" s="5" t="s">
        <v>14467</v>
      </c>
      <c r="C5254" s="1" t="s">
        <v>14468</v>
      </c>
      <c r="D5254" s="1" t="s">
        <v>14469</v>
      </c>
      <c r="E5254" s="7">
        <v>16.29</v>
      </c>
    </row>
    <row r="5255" spans="1:5" x14ac:dyDescent="0.25">
      <c r="A5255" s="5" t="s">
        <v>6</v>
      </c>
      <c r="B5255" s="5" t="s">
        <v>14470</v>
      </c>
      <c r="C5255" s="1" t="s">
        <v>14471</v>
      </c>
      <c r="D5255" s="1" t="s">
        <v>14472</v>
      </c>
      <c r="E5255" s="7">
        <v>20</v>
      </c>
    </row>
    <row r="5256" spans="1:5" x14ac:dyDescent="0.25">
      <c r="A5256" s="5" t="s">
        <v>6</v>
      </c>
      <c r="B5256" s="5" t="s">
        <v>14473</v>
      </c>
      <c r="C5256" s="1" t="s">
        <v>14474</v>
      </c>
      <c r="D5256" s="1" t="s">
        <v>14475</v>
      </c>
      <c r="E5256" s="7">
        <v>30</v>
      </c>
    </row>
    <row r="5257" spans="1:5" x14ac:dyDescent="0.25">
      <c r="A5257" s="5" t="s">
        <v>6</v>
      </c>
      <c r="B5257" s="5" t="s">
        <v>14476</v>
      </c>
      <c r="C5257" s="1" t="s">
        <v>14477</v>
      </c>
      <c r="D5257" s="1" t="s">
        <v>14478</v>
      </c>
      <c r="E5257" s="7">
        <v>57.02</v>
      </c>
    </row>
    <row r="5258" spans="1:5" x14ac:dyDescent="0.25">
      <c r="A5258" s="5" t="s">
        <v>6</v>
      </c>
      <c r="B5258" s="5" t="s">
        <v>14479</v>
      </c>
      <c r="C5258" s="1" t="s">
        <v>14480</v>
      </c>
      <c r="D5258" s="1" t="s">
        <v>14481</v>
      </c>
      <c r="E5258" s="7">
        <v>8.15</v>
      </c>
    </row>
    <row r="5259" spans="1:5" x14ac:dyDescent="0.25">
      <c r="A5259" s="5" t="s">
        <v>6</v>
      </c>
      <c r="B5259" s="5" t="s">
        <v>14482</v>
      </c>
      <c r="C5259" s="1" t="s">
        <v>14483</v>
      </c>
      <c r="D5259" s="1" t="s">
        <v>14484</v>
      </c>
      <c r="E5259" s="7">
        <v>7</v>
      </c>
    </row>
    <row r="5260" spans="1:5" x14ac:dyDescent="0.25">
      <c r="A5260" s="5" t="s">
        <v>6</v>
      </c>
      <c r="B5260" s="5" t="s">
        <v>14485</v>
      </c>
      <c r="C5260" s="1" t="s">
        <v>14486</v>
      </c>
      <c r="D5260" s="1" t="s">
        <v>14487</v>
      </c>
      <c r="E5260" s="7">
        <v>14.1</v>
      </c>
    </row>
    <row r="5261" spans="1:5" x14ac:dyDescent="0.25">
      <c r="A5261" s="5" t="s">
        <v>6</v>
      </c>
      <c r="B5261" s="5" t="s">
        <v>14488</v>
      </c>
      <c r="C5261" s="1" t="s">
        <v>14489</v>
      </c>
      <c r="D5261" s="1" t="s">
        <v>14489</v>
      </c>
      <c r="E5261" s="7">
        <v>5.5</v>
      </c>
    </row>
    <row r="5262" spans="1:5" x14ac:dyDescent="0.25">
      <c r="A5262" s="5" t="s">
        <v>6</v>
      </c>
      <c r="B5262" s="5" t="s">
        <v>14490</v>
      </c>
      <c r="C5262" s="1" t="s">
        <v>14491</v>
      </c>
      <c r="D5262" s="1" t="s">
        <v>14492</v>
      </c>
      <c r="E5262" s="7">
        <v>2.2400000000000002</v>
      </c>
    </row>
    <row r="5263" spans="1:5" x14ac:dyDescent="0.25">
      <c r="A5263" s="5" t="s">
        <v>6</v>
      </c>
      <c r="B5263" s="5" t="s">
        <v>14493</v>
      </c>
      <c r="C5263" s="1" t="s">
        <v>14494</v>
      </c>
      <c r="D5263" s="1" t="s">
        <v>14492</v>
      </c>
      <c r="E5263" s="7">
        <v>12.22</v>
      </c>
    </row>
    <row r="5264" spans="1:5" x14ac:dyDescent="0.25">
      <c r="A5264" s="5" t="s">
        <v>6</v>
      </c>
      <c r="B5264" s="5" t="s">
        <v>14495</v>
      </c>
      <c r="C5264" s="1" t="s">
        <v>14496</v>
      </c>
      <c r="D5264" s="1" t="s">
        <v>14481</v>
      </c>
      <c r="E5264" s="7">
        <v>14.5</v>
      </c>
    </row>
    <row r="5265" spans="1:5" x14ac:dyDescent="0.25">
      <c r="A5265" s="5" t="s">
        <v>6</v>
      </c>
      <c r="B5265" s="5" t="s">
        <v>14497</v>
      </c>
      <c r="C5265" s="1" t="s">
        <v>2964</v>
      </c>
      <c r="D5265" s="1" t="s">
        <v>2965</v>
      </c>
      <c r="E5265" s="7">
        <v>11.4</v>
      </c>
    </row>
    <row r="5266" spans="1:5" x14ac:dyDescent="0.25">
      <c r="A5266" s="5" t="s">
        <v>6</v>
      </c>
      <c r="B5266" s="5" t="s">
        <v>14498</v>
      </c>
      <c r="C5266" s="1" t="s">
        <v>14499</v>
      </c>
      <c r="D5266" s="1" t="s">
        <v>14500</v>
      </c>
      <c r="E5266" s="7">
        <v>40.729999999999997</v>
      </c>
    </row>
    <row r="5267" spans="1:5" x14ac:dyDescent="0.25">
      <c r="A5267" s="5" t="s">
        <v>6</v>
      </c>
      <c r="B5267" s="5" t="s">
        <v>14501</v>
      </c>
      <c r="C5267" s="1" t="s">
        <v>14502</v>
      </c>
      <c r="D5267" s="1" t="s">
        <v>14503</v>
      </c>
      <c r="E5267" s="7">
        <v>5</v>
      </c>
    </row>
    <row r="5268" spans="1:5" x14ac:dyDescent="0.25">
      <c r="A5268" s="5" t="s">
        <v>6</v>
      </c>
      <c r="B5268" s="5" t="s">
        <v>14504</v>
      </c>
      <c r="C5268" s="1" t="s">
        <v>14505</v>
      </c>
      <c r="D5268" s="1" t="s">
        <v>14506</v>
      </c>
      <c r="E5268" s="7">
        <v>10</v>
      </c>
    </row>
    <row r="5269" spans="1:5" x14ac:dyDescent="0.25">
      <c r="A5269" s="5" t="s">
        <v>6</v>
      </c>
      <c r="B5269" s="5" t="s">
        <v>14507</v>
      </c>
      <c r="C5269" s="1" t="s">
        <v>14508</v>
      </c>
      <c r="D5269" s="1" t="s">
        <v>14509</v>
      </c>
      <c r="E5269" s="7">
        <v>4.8899999999999997</v>
      </c>
    </row>
    <row r="5270" spans="1:5" x14ac:dyDescent="0.25">
      <c r="A5270" s="5" t="s">
        <v>6</v>
      </c>
      <c r="B5270" s="5" t="s">
        <v>14510</v>
      </c>
      <c r="C5270" s="1" t="s">
        <v>14511</v>
      </c>
      <c r="D5270" s="1" t="s">
        <v>14512</v>
      </c>
      <c r="E5270" s="7">
        <v>33.72</v>
      </c>
    </row>
    <row r="5271" spans="1:5" x14ac:dyDescent="0.25">
      <c r="A5271" s="5" t="s">
        <v>6</v>
      </c>
      <c r="B5271" s="5" t="s">
        <v>14513</v>
      </c>
      <c r="C5271" s="1" t="s">
        <v>14514</v>
      </c>
      <c r="D5271" s="1" t="s">
        <v>13695</v>
      </c>
      <c r="E5271" s="7">
        <v>33</v>
      </c>
    </row>
    <row r="5272" spans="1:5" x14ac:dyDescent="0.25">
      <c r="A5272" s="5" t="s">
        <v>6</v>
      </c>
      <c r="B5272" s="5" t="s">
        <v>14515</v>
      </c>
      <c r="C5272" s="1" t="s">
        <v>14516</v>
      </c>
      <c r="D5272" s="1" t="s">
        <v>14516</v>
      </c>
      <c r="E5272" s="7">
        <v>10</v>
      </c>
    </row>
    <row r="5273" spans="1:5" x14ac:dyDescent="0.25">
      <c r="A5273" s="5" t="s">
        <v>6</v>
      </c>
      <c r="B5273" s="5" t="s">
        <v>14517</v>
      </c>
      <c r="C5273" s="1" t="s">
        <v>14518</v>
      </c>
      <c r="D5273" s="1" t="s">
        <v>14519</v>
      </c>
      <c r="E5273" s="7">
        <v>24.44</v>
      </c>
    </row>
    <row r="5274" spans="1:5" x14ac:dyDescent="0.25">
      <c r="A5274" s="5" t="s">
        <v>6</v>
      </c>
      <c r="B5274" s="5" t="s">
        <v>14520</v>
      </c>
      <c r="C5274" s="1" t="s">
        <v>14521</v>
      </c>
      <c r="D5274" s="1" t="s">
        <v>14519</v>
      </c>
      <c r="E5274" s="7">
        <v>12</v>
      </c>
    </row>
    <row r="5275" spans="1:5" x14ac:dyDescent="0.25">
      <c r="A5275" s="5" t="s">
        <v>6</v>
      </c>
      <c r="B5275" s="5" t="s">
        <v>14522</v>
      </c>
      <c r="C5275" s="1" t="s">
        <v>14523</v>
      </c>
      <c r="D5275" s="1" t="s">
        <v>2993</v>
      </c>
      <c r="E5275" s="7">
        <v>31.5</v>
      </c>
    </row>
    <row r="5276" spans="1:5" x14ac:dyDescent="0.25">
      <c r="A5276" s="5" t="s">
        <v>6</v>
      </c>
      <c r="B5276" s="5" t="s">
        <v>14524</v>
      </c>
      <c r="C5276" s="1" t="s">
        <v>14525</v>
      </c>
      <c r="D5276" s="1" t="s">
        <v>14519</v>
      </c>
      <c r="E5276" s="7">
        <v>6</v>
      </c>
    </row>
    <row r="5277" spans="1:5" x14ac:dyDescent="0.25">
      <c r="A5277" s="5" t="s">
        <v>6</v>
      </c>
      <c r="B5277" s="5" t="s">
        <v>14526</v>
      </c>
      <c r="C5277" s="1" t="s">
        <v>14527</v>
      </c>
      <c r="D5277" s="1" t="s">
        <v>14519</v>
      </c>
      <c r="E5277" s="7">
        <v>24.44</v>
      </c>
    </row>
    <row r="5278" spans="1:5" x14ac:dyDescent="0.25">
      <c r="A5278" s="5" t="s">
        <v>6</v>
      </c>
      <c r="B5278" s="5" t="s">
        <v>14528</v>
      </c>
      <c r="C5278" s="1" t="s">
        <v>14529</v>
      </c>
      <c r="D5278" s="1" t="s">
        <v>14519</v>
      </c>
      <c r="E5278" s="7">
        <v>24.44</v>
      </c>
    </row>
    <row r="5279" spans="1:5" x14ac:dyDescent="0.25">
      <c r="A5279" s="5" t="s">
        <v>6</v>
      </c>
      <c r="B5279" s="5" t="s">
        <v>14530</v>
      </c>
      <c r="C5279" s="1" t="s">
        <v>14531</v>
      </c>
      <c r="D5279" s="1" t="s">
        <v>14531</v>
      </c>
      <c r="E5279" s="7">
        <v>3.37</v>
      </c>
    </row>
    <row r="5280" spans="1:5" x14ac:dyDescent="0.25">
      <c r="A5280" s="5" t="s">
        <v>6</v>
      </c>
      <c r="B5280" s="5" t="s">
        <v>14532</v>
      </c>
      <c r="C5280" s="1" t="s">
        <v>14533</v>
      </c>
      <c r="D5280" s="1" t="s">
        <v>14534</v>
      </c>
      <c r="E5280" s="7">
        <v>8</v>
      </c>
    </row>
    <row r="5281" spans="1:5" x14ac:dyDescent="0.25">
      <c r="A5281" s="5" t="s">
        <v>6</v>
      </c>
      <c r="B5281" s="5" t="s">
        <v>14535</v>
      </c>
      <c r="C5281" s="1" t="s">
        <v>2988</v>
      </c>
      <c r="D5281" s="1" t="s">
        <v>2988</v>
      </c>
      <c r="E5281" s="7">
        <v>5.5</v>
      </c>
    </row>
    <row r="5282" spans="1:5" x14ac:dyDescent="0.25">
      <c r="A5282" s="5" t="s">
        <v>6</v>
      </c>
      <c r="B5282" s="5" t="s">
        <v>14536</v>
      </c>
      <c r="C5282" s="1" t="s">
        <v>14537</v>
      </c>
      <c r="D5282" s="1" t="s">
        <v>2993</v>
      </c>
      <c r="E5282" s="7">
        <v>53.76</v>
      </c>
    </row>
    <row r="5283" spans="1:5" x14ac:dyDescent="0.25">
      <c r="A5283" s="5" t="s">
        <v>6</v>
      </c>
      <c r="B5283" s="5" t="s">
        <v>14538</v>
      </c>
      <c r="C5283" s="1" t="s">
        <v>14539</v>
      </c>
      <c r="D5283" s="1" t="s">
        <v>14540</v>
      </c>
      <c r="E5283" s="7">
        <v>53.2</v>
      </c>
    </row>
    <row r="5284" spans="1:5" x14ac:dyDescent="0.25">
      <c r="A5284" s="5" t="s">
        <v>6</v>
      </c>
      <c r="B5284" s="5" t="s">
        <v>14541</v>
      </c>
      <c r="C5284" s="1" t="s">
        <v>14542</v>
      </c>
      <c r="D5284" s="1" t="s">
        <v>14542</v>
      </c>
      <c r="E5284" s="7">
        <v>14.66</v>
      </c>
    </row>
    <row r="5285" spans="1:5" x14ac:dyDescent="0.25">
      <c r="A5285" s="5" t="s">
        <v>6</v>
      </c>
      <c r="B5285" s="5" t="s">
        <v>14543</v>
      </c>
      <c r="C5285" s="1" t="s">
        <v>3004</v>
      </c>
      <c r="D5285" s="1" t="s">
        <v>3005</v>
      </c>
      <c r="E5285" s="7">
        <v>3.18</v>
      </c>
    </row>
    <row r="5286" spans="1:5" x14ac:dyDescent="0.25">
      <c r="A5286" s="5" t="s">
        <v>6</v>
      </c>
      <c r="B5286" s="5" t="s">
        <v>14544</v>
      </c>
      <c r="C5286" s="1" t="s">
        <v>14545</v>
      </c>
      <c r="D5286" s="1" t="s">
        <v>14545</v>
      </c>
      <c r="E5286" s="7">
        <v>14.66</v>
      </c>
    </row>
    <row r="5287" spans="1:5" x14ac:dyDescent="0.25">
      <c r="A5287" s="5" t="s">
        <v>6</v>
      </c>
      <c r="B5287" s="5" t="s">
        <v>14546</v>
      </c>
      <c r="C5287" s="1" t="s">
        <v>14547</v>
      </c>
      <c r="D5287" s="1" t="s">
        <v>14547</v>
      </c>
      <c r="E5287" s="7">
        <v>41.21</v>
      </c>
    </row>
    <row r="5288" spans="1:5" x14ac:dyDescent="0.25">
      <c r="A5288" s="5" t="s">
        <v>6</v>
      </c>
      <c r="B5288" s="5" t="s">
        <v>14548</v>
      </c>
      <c r="C5288" s="1" t="s">
        <v>14549</v>
      </c>
      <c r="D5288" s="1" t="s">
        <v>14550</v>
      </c>
      <c r="E5288" s="7">
        <v>108.82</v>
      </c>
    </row>
    <row r="5289" spans="1:5" x14ac:dyDescent="0.25">
      <c r="A5289" s="5" t="s">
        <v>6</v>
      </c>
      <c r="B5289" s="5" t="s">
        <v>14551</v>
      </c>
      <c r="C5289" s="1" t="s">
        <v>14552</v>
      </c>
      <c r="D5289" s="1" t="s">
        <v>14553</v>
      </c>
      <c r="E5289" s="7">
        <v>18.239999999999998</v>
      </c>
    </row>
    <row r="5290" spans="1:5" x14ac:dyDescent="0.25">
      <c r="A5290" s="5" t="s">
        <v>6</v>
      </c>
      <c r="B5290" s="5" t="s">
        <v>14554</v>
      </c>
      <c r="C5290" s="1" t="s">
        <v>14555</v>
      </c>
      <c r="D5290" s="1" t="s">
        <v>14550</v>
      </c>
      <c r="E5290" s="7">
        <v>2.82</v>
      </c>
    </row>
    <row r="5291" spans="1:5" x14ac:dyDescent="0.25">
      <c r="A5291" s="5" t="s">
        <v>6</v>
      </c>
      <c r="B5291" s="5" t="s">
        <v>14556</v>
      </c>
      <c r="C5291" s="1" t="s">
        <v>14557</v>
      </c>
      <c r="D5291" s="1" t="s">
        <v>14558</v>
      </c>
      <c r="E5291" s="7">
        <v>3.26</v>
      </c>
    </row>
    <row r="5292" spans="1:5" x14ac:dyDescent="0.25">
      <c r="A5292" s="5" t="s">
        <v>6</v>
      </c>
      <c r="B5292" s="5" t="s">
        <v>14559</v>
      </c>
      <c r="C5292" s="1" t="s">
        <v>14560</v>
      </c>
      <c r="D5292" s="1" t="s">
        <v>14550</v>
      </c>
      <c r="E5292" s="7">
        <v>15</v>
      </c>
    </row>
    <row r="5293" spans="1:5" x14ac:dyDescent="0.25">
      <c r="A5293" s="5" t="s">
        <v>6</v>
      </c>
      <c r="B5293" s="5" t="s">
        <v>14561</v>
      </c>
      <c r="C5293" s="1" t="s">
        <v>14562</v>
      </c>
      <c r="D5293" s="1" t="s">
        <v>14563</v>
      </c>
      <c r="E5293" s="7">
        <v>3.67</v>
      </c>
    </row>
    <row r="5294" spans="1:5" x14ac:dyDescent="0.25">
      <c r="A5294" s="5" t="s">
        <v>6</v>
      </c>
      <c r="B5294" s="5" t="s">
        <v>14564</v>
      </c>
      <c r="C5294" s="1" t="s">
        <v>14565</v>
      </c>
      <c r="D5294" s="1" t="s">
        <v>14566</v>
      </c>
      <c r="E5294" s="7">
        <v>6.37</v>
      </c>
    </row>
    <row r="5295" spans="1:5" x14ac:dyDescent="0.25">
      <c r="A5295" s="5" t="s">
        <v>6</v>
      </c>
      <c r="B5295" s="5" t="s">
        <v>14567</v>
      </c>
      <c r="C5295" s="1" t="s">
        <v>14568</v>
      </c>
      <c r="D5295" s="1" t="s">
        <v>13892</v>
      </c>
      <c r="E5295" s="7">
        <v>4.5</v>
      </c>
    </row>
    <row r="5296" spans="1:5" x14ac:dyDescent="0.25">
      <c r="A5296" s="5" t="s">
        <v>6</v>
      </c>
      <c r="B5296" s="5" t="s">
        <v>14569</v>
      </c>
      <c r="C5296" s="1" t="s">
        <v>14570</v>
      </c>
      <c r="D5296" s="1" t="s">
        <v>14571</v>
      </c>
      <c r="E5296" s="7">
        <v>5.7</v>
      </c>
    </row>
    <row r="5297" spans="1:5" x14ac:dyDescent="0.25">
      <c r="A5297" s="5" t="s">
        <v>6</v>
      </c>
      <c r="B5297" s="5" t="s">
        <v>14572</v>
      </c>
      <c r="C5297" s="1" t="s">
        <v>14573</v>
      </c>
      <c r="D5297" s="1" t="s">
        <v>14571</v>
      </c>
      <c r="E5297" s="7">
        <v>5.7</v>
      </c>
    </row>
    <row r="5298" spans="1:5" x14ac:dyDescent="0.25">
      <c r="A5298" s="5" t="s">
        <v>6</v>
      </c>
      <c r="B5298" s="5" t="s">
        <v>14574</v>
      </c>
      <c r="C5298" s="1" t="s">
        <v>14575</v>
      </c>
      <c r="D5298" s="1" t="s">
        <v>14576</v>
      </c>
      <c r="E5298" s="7">
        <v>4.07</v>
      </c>
    </row>
    <row r="5299" spans="1:5" x14ac:dyDescent="0.25">
      <c r="A5299" s="5" t="s">
        <v>6</v>
      </c>
      <c r="B5299" s="5" t="s">
        <v>14577</v>
      </c>
      <c r="C5299" s="1" t="s">
        <v>14578</v>
      </c>
      <c r="D5299" s="1" t="s">
        <v>14576</v>
      </c>
      <c r="E5299" s="7">
        <v>4.07</v>
      </c>
    </row>
    <row r="5300" spans="1:5" x14ac:dyDescent="0.25">
      <c r="A5300" s="5" t="s">
        <v>6</v>
      </c>
      <c r="B5300" s="5" t="s">
        <v>14579</v>
      </c>
      <c r="C5300" s="1" t="s">
        <v>14580</v>
      </c>
      <c r="D5300" s="1" t="s">
        <v>14581</v>
      </c>
      <c r="E5300" s="7">
        <v>8.5500000000000007</v>
      </c>
    </row>
    <row r="5301" spans="1:5" x14ac:dyDescent="0.25">
      <c r="A5301" s="5" t="s">
        <v>6</v>
      </c>
      <c r="B5301" s="5" t="s">
        <v>14582</v>
      </c>
      <c r="C5301" s="1" t="s">
        <v>14583</v>
      </c>
      <c r="D5301" s="1" t="s">
        <v>14584</v>
      </c>
      <c r="E5301" s="7">
        <v>6.52</v>
      </c>
    </row>
    <row r="5302" spans="1:5" x14ac:dyDescent="0.25">
      <c r="A5302" s="5" t="s">
        <v>6</v>
      </c>
      <c r="B5302" s="5" t="s">
        <v>14585</v>
      </c>
      <c r="C5302" s="1" t="s">
        <v>14586</v>
      </c>
      <c r="D5302" s="1" t="s">
        <v>14584</v>
      </c>
      <c r="E5302" s="7">
        <v>6.52</v>
      </c>
    </row>
    <row r="5303" spans="1:5" x14ac:dyDescent="0.25">
      <c r="A5303" s="5" t="s">
        <v>6</v>
      </c>
      <c r="B5303" s="5" t="s">
        <v>14587</v>
      </c>
      <c r="C5303" s="1" t="s">
        <v>14588</v>
      </c>
      <c r="D5303" s="1" t="s">
        <v>14584</v>
      </c>
      <c r="E5303" s="7">
        <v>6.52</v>
      </c>
    </row>
    <row r="5304" spans="1:5" x14ac:dyDescent="0.25">
      <c r="A5304" s="5" t="s">
        <v>6</v>
      </c>
      <c r="B5304" s="5" t="s">
        <v>14589</v>
      </c>
      <c r="C5304" s="1" t="s">
        <v>14590</v>
      </c>
      <c r="D5304" s="1" t="s">
        <v>14576</v>
      </c>
      <c r="E5304" s="7">
        <v>4.07</v>
      </c>
    </row>
    <row r="5305" spans="1:5" x14ac:dyDescent="0.25">
      <c r="A5305" s="5" t="s">
        <v>6</v>
      </c>
      <c r="B5305" s="5" t="s">
        <v>14591</v>
      </c>
      <c r="C5305" s="1" t="s">
        <v>14592</v>
      </c>
      <c r="D5305" s="1" t="s">
        <v>14593</v>
      </c>
      <c r="E5305" s="7">
        <v>3.46</v>
      </c>
    </row>
    <row r="5306" spans="1:5" x14ac:dyDescent="0.25">
      <c r="A5306" s="5" t="s">
        <v>6</v>
      </c>
      <c r="B5306" s="5" t="s">
        <v>14594</v>
      </c>
      <c r="C5306" s="1" t="s">
        <v>14595</v>
      </c>
      <c r="D5306" s="1" t="s">
        <v>14596</v>
      </c>
      <c r="E5306" s="7">
        <v>4</v>
      </c>
    </row>
    <row r="5307" spans="1:5" x14ac:dyDescent="0.25">
      <c r="A5307" s="5" t="s">
        <v>6</v>
      </c>
      <c r="B5307" s="5" t="s">
        <v>14597</v>
      </c>
      <c r="C5307" s="1" t="s">
        <v>14598</v>
      </c>
      <c r="D5307" s="1" t="s">
        <v>14598</v>
      </c>
      <c r="E5307" s="7">
        <v>14.06</v>
      </c>
    </row>
    <row r="5308" spans="1:5" x14ac:dyDescent="0.25">
      <c r="A5308" s="5" t="s">
        <v>6</v>
      </c>
      <c r="B5308" s="5" t="s">
        <v>14599</v>
      </c>
      <c r="C5308" s="1" t="s">
        <v>14600</v>
      </c>
      <c r="D5308" s="1" t="s">
        <v>14540</v>
      </c>
      <c r="E5308" s="7">
        <v>36</v>
      </c>
    </row>
    <row r="5309" spans="1:5" x14ac:dyDescent="0.25">
      <c r="A5309" s="5" t="s">
        <v>6</v>
      </c>
      <c r="B5309" s="5" t="s">
        <v>14601</v>
      </c>
      <c r="C5309" s="1" t="s">
        <v>14602</v>
      </c>
      <c r="D5309" s="1" t="s">
        <v>14602</v>
      </c>
      <c r="E5309" s="7">
        <v>18.73</v>
      </c>
    </row>
    <row r="5310" spans="1:5" x14ac:dyDescent="0.25">
      <c r="A5310" s="5" t="s">
        <v>6</v>
      </c>
      <c r="B5310" s="5" t="s">
        <v>14603</v>
      </c>
      <c r="C5310" s="1" t="s">
        <v>14604</v>
      </c>
      <c r="D5310" s="1" t="s">
        <v>14605</v>
      </c>
      <c r="E5310" s="7">
        <v>16.25</v>
      </c>
    </row>
    <row r="5311" spans="1:5" x14ac:dyDescent="0.25">
      <c r="A5311" s="5" t="s">
        <v>6</v>
      </c>
      <c r="B5311" s="5" t="s">
        <v>14606</v>
      </c>
      <c r="C5311" s="1" t="s">
        <v>14607</v>
      </c>
      <c r="D5311" s="1" t="s">
        <v>14608</v>
      </c>
      <c r="E5311" s="7">
        <v>6.74</v>
      </c>
    </row>
    <row r="5312" spans="1:5" x14ac:dyDescent="0.25">
      <c r="A5312" s="5" t="s">
        <v>6</v>
      </c>
      <c r="B5312" s="5" t="s">
        <v>14609</v>
      </c>
      <c r="C5312" s="1" t="s">
        <v>14610</v>
      </c>
      <c r="D5312" s="1" t="s">
        <v>14611</v>
      </c>
      <c r="E5312" s="7">
        <v>14.78</v>
      </c>
    </row>
    <row r="5313" spans="1:5" x14ac:dyDescent="0.25">
      <c r="A5313" s="5" t="s">
        <v>6</v>
      </c>
      <c r="B5313" s="5" t="s">
        <v>14612</v>
      </c>
      <c r="C5313" s="1" t="s">
        <v>14613</v>
      </c>
      <c r="D5313" s="1" t="s">
        <v>14613</v>
      </c>
      <c r="E5313" s="7">
        <v>12.22</v>
      </c>
    </row>
    <row r="5314" spans="1:5" x14ac:dyDescent="0.25">
      <c r="A5314" s="5" t="s">
        <v>6</v>
      </c>
      <c r="B5314" s="5" t="s">
        <v>14614</v>
      </c>
      <c r="C5314" s="1" t="s">
        <v>14615</v>
      </c>
      <c r="D5314" s="1" t="s">
        <v>14616</v>
      </c>
      <c r="E5314" s="7">
        <v>9.89</v>
      </c>
    </row>
    <row r="5315" spans="1:5" x14ac:dyDescent="0.25">
      <c r="A5315" s="5" t="s">
        <v>6</v>
      </c>
      <c r="B5315" s="5" t="s">
        <v>14617</v>
      </c>
      <c r="C5315" s="1" t="s">
        <v>14618</v>
      </c>
      <c r="D5315" s="1" t="s">
        <v>14616</v>
      </c>
      <c r="E5315" s="7">
        <v>8.15</v>
      </c>
    </row>
    <row r="5316" spans="1:5" x14ac:dyDescent="0.25">
      <c r="A5316" s="5" t="s">
        <v>6</v>
      </c>
      <c r="B5316" s="5" t="s">
        <v>14619</v>
      </c>
      <c r="C5316" s="1" t="s">
        <v>14620</v>
      </c>
      <c r="D5316" s="1" t="s">
        <v>14621</v>
      </c>
      <c r="E5316" s="7">
        <v>14.66</v>
      </c>
    </row>
    <row r="5317" spans="1:5" x14ac:dyDescent="0.25">
      <c r="A5317" s="5" t="s">
        <v>6</v>
      </c>
      <c r="B5317" s="5" t="s">
        <v>14622</v>
      </c>
      <c r="C5317" s="1" t="s">
        <v>14623</v>
      </c>
      <c r="D5317" s="1" t="s">
        <v>14624</v>
      </c>
      <c r="E5317" s="7">
        <v>5.7</v>
      </c>
    </row>
    <row r="5318" spans="1:5" x14ac:dyDescent="0.25">
      <c r="A5318" s="5" t="s">
        <v>6</v>
      </c>
      <c r="B5318" s="5" t="s">
        <v>14625</v>
      </c>
      <c r="C5318" s="1" t="s">
        <v>14626</v>
      </c>
      <c r="D5318" s="1" t="s">
        <v>14627</v>
      </c>
      <c r="E5318" s="7">
        <v>8</v>
      </c>
    </row>
    <row r="5319" spans="1:5" x14ac:dyDescent="0.25">
      <c r="A5319" s="5" t="s">
        <v>6</v>
      </c>
      <c r="B5319" s="5" t="s">
        <v>14628</v>
      </c>
      <c r="C5319" s="1" t="s">
        <v>14629</v>
      </c>
      <c r="D5319" s="1" t="s">
        <v>14630</v>
      </c>
      <c r="E5319" s="7">
        <v>32.25</v>
      </c>
    </row>
    <row r="5320" spans="1:5" x14ac:dyDescent="0.25">
      <c r="A5320" s="5" t="s">
        <v>6</v>
      </c>
      <c r="B5320" s="5" t="s">
        <v>14631</v>
      </c>
      <c r="C5320" s="1" t="s">
        <v>14632</v>
      </c>
      <c r="D5320" s="1" t="s">
        <v>14633</v>
      </c>
      <c r="E5320" s="7">
        <v>32.25</v>
      </c>
    </row>
    <row r="5321" spans="1:5" x14ac:dyDescent="0.25">
      <c r="A5321" s="5" t="s">
        <v>6</v>
      </c>
      <c r="B5321" s="5" t="s">
        <v>14634</v>
      </c>
      <c r="C5321" s="1" t="s">
        <v>14635</v>
      </c>
      <c r="D5321" s="1" t="s">
        <v>14636</v>
      </c>
      <c r="E5321" s="7">
        <v>32.25</v>
      </c>
    </row>
    <row r="5322" spans="1:5" x14ac:dyDescent="0.25">
      <c r="A5322" s="5" t="s">
        <v>6</v>
      </c>
      <c r="B5322" s="5" t="s">
        <v>14637</v>
      </c>
      <c r="C5322" s="1" t="s">
        <v>14638</v>
      </c>
      <c r="D5322" s="1" t="s">
        <v>14639</v>
      </c>
      <c r="E5322" s="7">
        <v>12.5</v>
      </c>
    </row>
    <row r="5323" spans="1:5" x14ac:dyDescent="0.25">
      <c r="A5323" s="5" t="s">
        <v>6</v>
      </c>
      <c r="B5323" s="5" t="s">
        <v>14640</v>
      </c>
      <c r="C5323" s="1" t="s">
        <v>14641</v>
      </c>
      <c r="D5323" s="1" t="s">
        <v>14642</v>
      </c>
      <c r="E5323" s="7">
        <v>16.72</v>
      </c>
    </row>
    <row r="5324" spans="1:5" x14ac:dyDescent="0.25">
      <c r="A5324" s="5" t="s">
        <v>6</v>
      </c>
      <c r="B5324" s="5" t="s">
        <v>14643</v>
      </c>
      <c r="C5324" s="1" t="s">
        <v>14644</v>
      </c>
      <c r="D5324" s="1" t="s">
        <v>14645</v>
      </c>
      <c r="E5324" s="7">
        <v>4.7699999999999996</v>
      </c>
    </row>
    <row r="5325" spans="1:5" x14ac:dyDescent="0.25">
      <c r="A5325" s="5" t="s">
        <v>6</v>
      </c>
      <c r="B5325" s="5" t="s">
        <v>14646</v>
      </c>
      <c r="C5325" s="1" t="s">
        <v>14647</v>
      </c>
      <c r="D5325" s="1" t="s">
        <v>14648</v>
      </c>
      <c r="E5325" s="7">
        <v>14.66</v>
      </c>
    </row>
    <row r="5326" spans="1:5" x14ac:dyDescent="0.25">
      <c r="A5326" s="5" t="s">
        <v>6</v>
      </c>
      <c r="B5326" s="5" t="s">
        <v>14649</v>
      </c>
      <c r="C5326" s="1" t="s">
        <v>14650</v>
      </c>
      <c r="D5326" s="1" t="s">
        <v>14651</v>
      </c>
      <c r="E5326" s="7">
        <v>32.25</v>
      </c>
    </row>
    <row r="5327" spans="1:5" x14ac:dyDescent="0.25">
      <c r="A5327" s="5" t="s">
        <v>6</v>
      </c>
      <c r="B5327" s="5" t="s">
        <v>14652</v>
      </c>
      <c r="C5327" s="1" t="s">
        <v>14653</v>
      </c>
      <c r="D5327" s="1" t="s">
        <v>14654</v>
      </c>
      <c r="E5327" s="7">
        <v>32.25</v>
      </c>
    </row>
    <row r="5328" spans="1:5" x14ac:dyDescent="0.25">
      <c r="A5328" s="5" t="s">
        <v>6</v>
      </c>
      <c r="B5328" s="5" t="s">
        <v>14655</v>
      </c>
      <c r="C5328" s="1" t="s">
        <v>14656</v>
      </c>
      <c r="D5328" s="1" t="s">
        <v>14656</v>
      </c>
      <c r="E5328" s="7">
        <v>11.4</v>
      </c>
    </row>
    <row r="5329" spans="1:5" x14ac:dyDescent="0.25">
      <c r="A5329" s="5" t="s">
        <v>6</v>
      </c>
      <c r="B5329" s="5" t="s">
        <v>14657</v>
      </c>
      <c r="C5329" s="1" t="s">
        <v>14658</v>
      </c>
      <c r="D5329" s="1" t="s">
        <v>13732</v>
      </c>
      <c r="E5329" s="7">
        <v>15</v>
      </c>
    </row>
    <row r="5330" spans="1:5" x14ac:dyDescent="0.25">
      <c r="A5330" s="5" t="s">
        <v>6</v>
      </c>
      <c r="B5330" s="5" t="s">
        <v>14659</v>
      </c>
      <c r="C5330" s="1" t="s">
        <v>14660</v>
      </c>
      <c r="D5330" s="1" t="s">
        <v>14661</v>
      </c>
      <c r="E5330" s="7">
        <v>2.4700000000000002</v>
      </c>
    </row>
    <row r="5331" spans="1:5" x14ac:dyDescent="0.25">
      <c r="A5331" s="5" t="s">
        <v>6</v>
      </c>
      <c r="B5331" s="5" t="s">
        <v>14662</v>
      </c>
      <c r="C5331" s="1" t="s">
        <v>14663</v>
      </c>
      <c r="D5331" s="1" t="s">
        <v>14661</v>
      </c>
      <c r="E5331" s="7">
        <v>2.4700000000000002</v>
      </c>
    </row>
    <row r="5332" spans="1:5" x14ac:dyDescent="0.25">
      <c r="A5332" s="5" t="s">
        <v>6</v>
      </c>
      <c r="B5332" s="5" t="s">
        <v>14664</v>
      </c>
      <c r="C5332" s="1" t="s">
        <v>14665</v>
      </c>
      <c r="D5332" s="1" t="s">
        <v>14666</v>
      </c>
      <c r="E5332" s="7">
        <v>13.3</v>
      </c>
    </row>
    <row r="5333" spans="1:5" x14ac:dyDescent="0.25">
      <c r="A5333" s="5" t="s">
        <v>6</v>
      </c>
      <c r="B5333" s="5" t="s">
        <v>14667</v>
      </c>
      <c r="C5333" s="1" t="s">
        <v>14668</v>
      </c>
      <c r="D5333" s="1" t="s">
        <v>14661</v>
      </c>
      <c r="E5333" s="7">
        <v>26.48</v>
      </c>
    </row>
    <row r="5334" spans="1:5" x14ac:dyDescent="0.25">
      <c r="A5334" s="5" t="s">
        <v>6</v>
      </c>
      <c r="B5334" s="5" t="s">
        <v>14669</v>
      </c>
      <c r="C5334" s="1" t="s">
        <v>14670</v>
      </c>
      <c r="D5334" s="1" t="s">
        <v>14648</v>
      </c>
      <c r="E5334" s="7">
        <v>4.8899999999999997</v>
      </c>
    </row>
    <row r="5335" spans="1:5" x14ac:dyDescent="0.25">
      <c r="A5335" s="5" t="s">
        <v>6</v>
      </c>
      <c r="B5335" s="5" t="s">
        <v>14671</v>
      </c>
      <c r="C5335" s="1" t="s">
        <v>14672</v>
      </c>
      <c r="D5335" s="1" t="s">
        <v>14666</v>
      </c>
      <c r="E5335" s="7">
        <v>13.49</v>
      </c>
    </row>
    <row r="5336" spans="1:5" x14ac:dyDescent="0.25">
      <c r="A5336" s="5" t="s">
        <v>6</v>
      </c>
      <c r="B5336" s="5" t="s">
        <v>14673</v>
      </c>
      <c r="C5336" s="1" t="s">
        <v>14674</v>
      </c>
      <c r="D5336" s="1" t="s">
        <v>14648</v>
      </c>
      <c r="E5336" s="7">
        <v>4.88</v>
      </c>
    </row>
    <row r="5337" spans="1:5" x14ac:dyDescent="0.25">
      <c r="A5337" s="5" t="s">
        <v>6</v>
      </c>
      <c r="B5337" s="5" t="s">
        <v>14675</v>
      </c>
      <c r="C5337" s="1" t="s">
        <v>3075</v>
      </c>
      <c r="D5337" s="1" t="s">
        <v>3075</v>
      </c>
      <c r="E5337" s="7">
        <v>4.2</v>
      </c>
    </row>
    <row r="5338" spans="1:5" x14ac:dyDescent="0.25">
      <c r="A5338" s="5" t="s">
        <v>6</v>
      </c>
      <c r="B5338" s="5" t="s">
        <v>14676</v>
      </c>
      <c r="C5338" s="1" t="s">
        <v>14677</v>
      </c>
      <c r="D5338" s="1" t="s">
        <v>14678</v>
      </c>
      <c r="E5338" s="7">
        <v>285</v>
      </c>
    </row>
    <row r="5339" spans="1:5" x14ac:dyDescent="0.25">
      <c r="A5339" s="5" t="s">
        <v>6</v>
      </c>
      <c r="B5339" s="5" t="s">
        <v>14679</v>
      </c>
      <c r="C5339" s="1" t="s">
        <v>3058</v>
      </c>
      <c r="D5339" s="1" t="s">
        <v>3058</v>
      </c>
      <c r="E5339" s="7">
        <v>2.35</v>
      </c>
    </row>
    <row r="5340" spans="1:5" x14ac:dyDescent="0.25">
      <c r="A5340" s="5" t="s">
        <v>6</v>
      </c>
      <c r="B5340" s="5" t="s">
        <v>14680</v>
      </c>
      <c r="C5340" s="1" t="s">
        <v>14681</v>
      </c>
      <c r="D5340" s="1" t="s">
        <v>14682</v>
      </c>
      <c r="E5340" s="7">
        <v>6</v>
      </c>
    </row>
    <row r="5341" spans="1:5" x14ac:dyDescent="0.25">
      <c r="A5341" s="5" t="s">
        <v>6</v>
      </c>
      <c r="B5341" s="5" t="s">
        <v>14683</v>
      </c>
      <c r="C5341" s="1" t="s">
        <v>14684</v>
      </c>
      <c r="D5341" s="1" t="s">
        <v>14685</v>
      </c>
      <c r="E5341" s="7">
        <v>5</v>
      </c>
    </row>
    <row r="5342" spans="1:5" x14ac:dyDescent="0.25">
      <c r="A5342" s="5" t="s">
        <v>6</v>
      </c>
      <c r="B5342" s="5" t="s">
        <v>14686</v>
      </c>
      <c r="C5342" s="1" t="s">
        <v>14687</v>
      </c>
      <c r="D5342" s="1" t="s">
        <v>14688</v>
      </c>
      <c r="E5342" s="7">
        <v>15</v>
      </c>
    </row>
    <row r="5343" spans="1:5" x14ac:dyDescent="0.25">
      <c r="A5343" s="5" t="s">
        <v>6</v>
      </c>
      <c r="B5343" s="5" t="s">
        <v>14689</v>
      </c>
      <c r="C5343" s="1" t="s">
        <v>14690</v>
      </c>
      <c r="D5343" s="1" t="s">
        <v>14691</v>
      </c>
      <c r="E5343" s="7">
        <v>2.35</v>
      </c>
    </row>
    <row r="5344" spans="1:5" x14ac:dyDescent="0.25">
      <c r="A5344" s="5" t="s">
        <v>6</v>
      </c>
      <c r="B5344" s="5" t="s">
        <v>14692</v>
      </c>
      <c r="C5344" s="1" t="s">
        <v>3066</v>
      </c>
      <c r="D5344" s="1" t="s">
        <v>3067</v>
      </c>
      <c r="E5344" s="7">
        <v>3.5</v>
      </c>
    </row>
    <row r="5345" spans="1:5" x14ac:dyDescent="0.25">
      <c r="A5345" s="5" t="s">
        <v>6</v>
      </c>
      <c r="B5345" s="5" t="s">
        <v>14693</v>
      </c>
      <c r="C5345" s="1" t="s">
        <v>14694</v>
      </c>
      <c r="D5345" s="1" t="s">
        <v>14695</v>
      </c>
      <c r="E5345" s="7">
        <v>2.82</v>
      </c>
    </row>
    <row r="5346" spans="1:5" x14ac:dyDescent="0.25">
      <c r="A5346" s="5" t="s">
        <v>6</v>
      </c>
      <c r="B5346" s="5" t="s">
        <v>14696</v>
      </c>
      <c r="C5346" s="1" t="s">
        <v>14697</v>
      </c>
      <c r="D5346" s="1" t="s">
        <v>14698</v>
      </c>
      <c r="E5346" s="7">
        <v>10</v>
      </c>
    </row>
    <row r="5347" spans="1:5" x14ac:dyDescent="0.25">
      <c r="A5347" s="5" t="s">
        <v>6</v>
      </c>
      <c r="B5347" s="5" t="s">
        <v>14699</v>
      </c>
      <c r="C5347" s="1" t="s">
        <v>14700</v>
      </c>
      <c r="D5347" s="1" t="s">
        <v>14701</v>
      </c>
      <c r="E5347" s="7">
        <v>14.93</v>
      </c>
    </row>
    <row r="5348" spans="1:5" x14ac:dyDescent="0.25">
      <c r="A5348" s="5" t="s">
        <v>6</v>
      </c>
      <c r="B5348" s="5" t="s">
        <v>14702</v>
      </c>
      <c r="C5348" s="1" t="s">
        <v>3069</v>
      </c>
      <c r="D5348" s="1" t="s">
        <v>3070</v>
      </c>
      <c r="E5348" s="7">
        <v>4.7</v>
      </c>
    </row>
    <row r="5349" spans="1:5" x14ac:dyDescent="0.25">
      <c r="A5349" s="5" t="s">
        <v>6</v>
      </c>
      <c r="B5349" s="5" t="s">
        <v>14703</v>
      </c>
      <c r="C5349" s="1" t="s">
        <v>3072</v>
      </c>
      <c r="D5349" s="1" t="s">
        <v>3073</v>
      </c>
      <c r="E5349" s="7">
        <v>5.19</v>
      </c>
    </row>
    <row r="5350" spans="1:5" x14ac:dyDescent="0.25">
      <c r="A5350" s="5" t="s">
        <v>6</v>
      </c>
      <c r="B5350" s="5" t="s">
        <v>14704</v>
      </c>
      <c r="C5350" s="1" t="s">
        <v>14705</v>
      </c>
      <c r="D5350" s="1" t="s">
        <v>14706</v>
      </c>
      <c r="E5350" s="7">
        <v>15.63</v>
      </c>
    </row>
    <row r="5351" spans="1:5" x14ac:dyDescent="0.25">
      <c r="A5351" s="5" t="s">
        <v>6</v>
      </c>
      <c r="B5351" s="5" t="s">
        <v>14707</v>
      </c>
      <c r="C5351" s="1" t="s">
        <v>14708</v>
      </c>
      <c r="D5351" s="1" t="s">
        <v>14708</v>
      </c>
      <c r="E5351" s="7">
        <v>2.44</v>
      </c>
    </row>
    <row r="5352" spans="1:5" x14ac:dyDescent="0.25">
      <c r="A5352" s="5" t="s">
        <v>6</v>
      </c>
      <c r="B5352" s="5" t="s">
        <v>14709</v>
      </c>
      <c r="C5352" s="1" t="s">
        <v>14710</v>
      </c>
      <c r="D5352" s="1" t="s">
        <v>14711</v>
      </c>
      <c r="E5352" s="7">
        <v>5</v>
      </c>
    </row>
    <row r="5353" spans="1:5" x14ac:dyDescent="0.25">
      <c r="A5353" s="5" t="s">
        <v>6</v>
      </c>
      <c r="B5353" s="5" t="s">
        <v>14712</v>
      </c>
      <c r="C5353" s="1" t="s">
        <v>14713</v>
      </c>
      <c r="D5353" s="1" t="s">
        <v>14714</v>
      </c>
      <c r="E5353" s="7">
        <v>70</v>
      </c>
    </row>
    <row r="5354" spans="1:5" x14ac:dyDescent="0.25">
      <c r="A5354" s="5" t="s">
        <v>6</v>
      </c>
      <c r="B5354" s="5" t="s">
        <v>14715</v>
      </c>
      <c r="C5354" s="1" t="s">
        <v>14716</v>
      </c>
      <c r="D5354" s="1" t="s">
        <v>14717</v>
      </c>
      <c r="E5354" s="7">
        <v>55</v>
      </c>
    </row>
    <row r="5355" spans="1:5" x14ac:dyDescent="0.25">
      <c r="A5355" s="5" t="s">
        <v>6</v>
      </c>
      <c r="B5355" s="5" t="s">
        <v>14718</v>
      </c>
      <c r="C5355" s="1" t="s">
        <v>14719</v>
      </c>
      <c r="D5355" s="1" t="s">
        <v>14581</v>
      </c>
      <c r="E5355" s="7">
        <v>2.85</v>
      </c>
    </row>
    <row r="5356" spans="1:5" x14ac:dyDescent="0.25">
      <c r="A5356" s="5" t="s">
        <v>6</v>
      </c>
      <c r="B5356" s="5" t="s">
        <v>14720</v>
      </c>
      <c r="C5356" s="1" t="s">
        <v>14721</v>
      </c>
      <c r="D5356" s="1" t="s">
        <v>14581</v>
      </c>
      <c r="E5356" s="7">
        <v>2.85</v>
      </c>
    </row>
    <row r="5357" spans="1:5" x14ac:dyDescent="0.25">
      <c r="A5357" s="5" t="s">
        <v>6</v>
      </c>
      <c r="B5357" s="5" t="s">
        <v>14722</v>
      </c>
      <c r="C5357" s="1" t="s">
        <v>14723</v>
      </c>
      <c r="D5357" s="1" t="s">
        <v>14724</v>
      </c>
      <c r="E5357" s="7">
        <v>16.18</v>
      </c>
    </row>
    <row r="5358" spans="1:5" x14ac:dyDescent="0.25">
      <c r="A5358" s="5" t="s">
        <v>6</v>
      </c>
      <c r="B5358" s="5" t="s">
        <v>14725</v>
      </c>
      <c r="C5358" s="1" t="s">
        <v>14726</v>
      </c>
      <c r="D5358" s="1" t="s">
        <v>14727</v>
      </c>
      <c r="E5358" s="7">
        <v>16.29</v>
      </c>
    </row>
    <row r="5359" spans="1:5" x14ac:dyDescent="0.25">
      <c r="A5359" s="5" t="s">
        <v>6</v>
      </c>
      <c r="B5359" s="5" t="s">
        <v>14728</v>
      </c>
      <c r="C5359" s="1" t="s">
        <v>14729</v>
      </c>
      <c r="D5359" s="1" t="s">
        <v>14730</v>
      </c>
      <c r="E5359" s="7">
        <v>77.010000000000005</v>
      </c>
    </row>
    <row r="5360" spans="1:5" x14ac:dyDescent="0.25">
      <c r="A5360" s="5" t="s">
        <v>6</v>
      </c>
      <c r="B5360" s="5" t="s">
        <v>14731</v>
      </c>
      <c r="C5360" s="1" t="s">
        <v>14732</v>
      </c>
      <c r="D5360" s="1" t="s">
        <v>14733</v>
      </c>
      <c r="E5360" s="7">
        <v>6.92</v>
      </c>
    </row>
    <row r="5361" spans="1:5" x14ac:dyDescent="0.25">
      <c r="A5361" s="5" t="s">
        <v>6</v>
      </c>
      <c r="B5361" s="5" t="s">
        <v>14734</v>
      </c>
      <c r="C5361" s="1" t="s">
        <v>14735</v>
      </c>
      <c r="D5361" s="1" t="s">
        <v>14736</v>
      </c>
      <c r="E5361" s="7">
        <v>45</v>
      </c>
    </row>
    <row r="5362" spans="1:5" x14ac:dyDescent="0.25">
      <c r="A5362" s="5" t="s">
        <v>6</v>
      </c>
      <c r="B5362" s="5" t="s">
        <v>14737</v>
      </c>
      <c r="C5362" s="1" t="s">
        <v>14738</v>
      </c>
      <c r="D5362" s="1" t="s">
        <v>14509</v>
      </c>
      <c r="E5362" s="7">
        <v>12.49</v>
      </c>
    </row>
    <row r="5363" spans="1:5" x14ac:dyDescent="0.25">
      <c r="A5363" s="5" t="s">
        <v>6</v>
      </c>
      <c r="B5363" s="5" t="s">
        <v>14739</v>
      </c>
      <c r="C5363" s="1" t="s">
        <v>14740</v>
      </c>
      <c r="D5363" s="1" t="s">
        <v>14509</v>
      </c>
      <c r="E5363" s="7">
        <v>2.0699999999999998</v>
      </c>
    </row>
    <row r="5364" spans="1:5" x14ac:dyDescent="0.25">
      <c r="A5364" s="5" t="s">
        <v>6</v>
      </c>
      <c r="B5364" s="5" t="s">
        <v>14741</v>
      </c>
      <c r="C5364" s="1" t="s">
        <v>14742</v>
      </c>
      <c r="D5364" s="1" t="s">
        <v>14743</v>
      </c>
      <c r="E5364" s="7">
        <v>5.95</v>
      </c>
    </row>
    <row r="5365" spans="1:5" x14ac:dyDescent="0.25">
      <c r="A5365" s="5" t="s">
        <v>6</v>
      </c>
      <c r="B5365" s="5" t="s">
        <v>14744</v>
      </c>
      <c r="C5365" s="1" t="s">
        <v>14745</v>
      </c>
      <c r="D5365" s="1" t="s">
        <v>14746</v>
      </c>
      <c r="E5365" s="7">
        <v>2.82</v>
      </c>
    </row>
    <row r="5366" spans="1:5" x14ac:dyDescent="0.25">
      <c r="A5366" s="5" t="s">
        <v>6</v>
      </c>
      <c r="B5366" s="5" t="s">
        <v>14747</v>
      </c>
      <c r="C5366" s="1" t="s">
        <v>14748</v>
      </c>
      <c r="D5366" s="1" t="s">
        <v>14746</v>
      </c>
      <c r="E5366" s="7">
        <v>2.82</v>
      </c>
    </row>
    <row r="5367" spans="1:5" x14ac:dyDescent="0.25">
      <c r="A5367" s="5" t="s">
        <v>6</v>
      </c>
      <c r="B5367" s="5" t="s">
        <v>14749</v>
      </c>
      <c r="C5367" s="1" t="s">
        <v>14750</v>
      </c>
      <c r="D5367" s="1" t="s">
        <v>14746</v>
      </c>
      <c r="E5367" s="7">
        <v>2.82</v>
      </c>
    </row>
    <row r="5368" spans="1:5" x14ac:dyDescent="0.25">
      <c r="A5368" s="5" t="s">
        <v>6</v>
      </c>
      <c r="B5368" s="5" t="s">
        <v>14751</v>
      </c>
      <c r="C5368" s="1" t="s">
        <v>14752</v>
      </c>
      <c r="D5368" s="1" t="s">
        <v>14753</v>
      </c>
      <c r="E5368" s="7">
        <v>36.65</v>
      </c>
    </row>
    <row r="5369" spans="1:5" x14ac:dyDescent="0.25">
      <c r="A5369" s="5" t="s">
        <v>6</v>
      </c>
      <c r="B5369" s="5" t="s">
        <v>14754</v>
      </c>
      <c r="C5369" s="1" t="s">
        <v>14755</v>
      </c>
      <c r="D5369" s="1" t="s">
        <v>14756</v>
      </c>
      <c r="E5369" s="7">
        <v>3</v>
      </c>
    </row>
    <row r="5370" spans="1:5" x14ac:dyDescent="0.25">
      <c r="A5370" s="5" t="s">
        <v>6</v>
      </c>
      <c r="B5370" s="5" t="s">
        <v>14757</v>
      </c>
      <c r="C5370" s="1" t="s">
        <v>14758</v>
      </c>
      <c r="D5370" s="1" t="s">
        <v>14758</v>
      </c>
      <c r="E5370" s="7">
        <v>8.98</v>
      </c>
    </row>
    <row r="5371" spans="1:5" x14ac:dyDescent="0.25">
      <c r="A5371" s="5" t="s">
        <v>6</v>
      </c>
      <c r="B5371" s="5" t="s">
        <v>14759</v>
      </c>
      <c r="C5371" s="1" t="s">
        <v>14760</v>
      </c>
      <c r="D5371" s="1" t="s">
        <v>14760</v>
      </c>
      <c r="E5371" s="7">
        <v>14.66</v>
      </c>
    </row>
    <row r="5372" spans="1:5" x14ac:dyDescent="0.25">
      <c r="A5372" s="5" t="s">
        <v>6</v>
      </c>
      <c r="B5372" s="5" t="s">
        <v>14761</v>
      </c>
      <c r="C5372" s="1" t="s">
        <v>14762</v>
      </c>
      <c r="D5372" s="1" t="s">
        <v>14762</v>
      </c>
      <c r="E5372" s="7">
        <v>48.87</v>
      </c>
    </row>
    <row r="5373" spans="1:5" x14ac:dyDescent="0.25">
      <c r="A5373" s="5" t="s">
        <v>6</v>
      </c>
      <c r="B5373" s="5" t="s">
        <v>14763</v>
      </c>
      <c r="C5373" s="1" t="s">
        <v>14764</v>
      </c>
      <c r="D5373" s="1" t="s">
        <v>14764</v>
      </c>
      <c r="E5373" s="7">
        <v>29.84</v>
      </c>
    </row>
    <row r="5374" spans="1:5" x14ac:dyDescent="0.25">
      <c r="A5374" s="5" t="s">
        <v>6</v>
      </c>
      <c r="B5374" s="5" t="s">
        <v>14765</v>
      </c>
      <c r="C5374" s="1" t="s">
        <v>14766</v>
      </c>
      <c r="D5374" s="1" t="s">
        <v>14766</v>
      </c>
      <c r="E5374" s="7">
        <v>32.25</v>
      </c>
    </row>
    <row r="5375" spans="1:5" x14ac:dyDescent="0.25">
      <c r="A5375" s="5" t="s">
        <v>6</v>
      </c>
      <c r="B5375" s="5" t="s">
        <v>14767</v>
      </c>
      <c r="C5375" s="1" t="s">
        <v>14768</v>
      </c>
      <c r="D5375" s="1" t="s">
        <v>14768</v>
      </c>
      <c r="E5375" s="7">
        <v>13.64</v>
      </c>
    </row>
    <row r="5376" spans="1:5" x14ac:dyDescent="0.25">
      <c r="A5376" s="5" t="s">
        <v>6</v>
      </c>
      <c r="B5376" s="5" t="s">
        <v>14769</v>
      </c>
      <c r="C5376" s="1" t="s">
        <v>14770</v>
      </c>
      <c r="D5376" s="1" t="s">
        <v>14770</v>
      </c>
      <c r="E5376" s="7">
        <v>5.91</v>
      </c>
    </row>
    <row r="5377" spans="1:5" x14ac:dyDescent="0.25">
      <c r="A5377" s="5" t="s">
        <v>6</v>
      </c>
      <c r="B5377" s="5" t="s">
        <v>14771</v>
      </c>
      <c r="C5377" s="1" t="s">
        <v>3090</v>
      </c>
      <c r="D5377" s="1" t="s">
        <v>3091</v>
      </c>
      <c r="E5377" s="7">
        <v>3.26</v>
      </c>
    </row>
    <row r="5378" spans="1:5" x14ac:dyDescent="0.25">
      <c r="A5378" s="5" t="s">
        <v>6</v>
      </c>
      <c r="B5378" s="5" t="s">
        <v>14772</v>
      </c>
      <c r="C5378" s="1" t="s">
        <v>14773</v>
      </c>
      <c r="D5378" s="1" t="s">
        <v>3091</v>
      </c>
      <c r="E5378" s="7">
        <v>3.26</v>
      </c>
    </row>
    <row r="5379" spans="1:5" x14ac:dyDescent="0.25">
      <c r="A5379" s="5" t="s">
        <v>6</v>
      </c>
      <c r="B5379" s="5" t="s">
        <v>14774</v>
      </c>
      <c r="C5379" s="1" t="s">
        <v>14775</v>
      </c>
      <c r="D5379" s="1" t="s">
        <v>14775</v>
      </c>
      <c r="E5379" s="7">
        <v>4.53</v>
      </c>
    </row>
    <row r="5380" spans="1:5" x14ac:dyDescent="0.25">
      <c r="A5380" s="5" t="s">
        <v>6</v>
      </c>
      <c r="B5380" s="5" t="s">
        <v>14776</v>
      </c>
      <c r="C5380" s="1" t="s">
        <v>14777</v>
      </c>
      <c r="D5380" s="1" t="s">
        <v>14777</v>
      </c>
      <c r="E5380" s="7">
        <v>21.86</v>
      </c>
    </row>
    <row r="5381" spans="1:5" x14ac:dyDescent="0.25">
      <c r="A5381" s="5" t="s">
        <v>6</v>
      </c>
      <c r="B5381" s="5" t="s">
        <v>14778</v>
      </c>
      <c r="C5381" s="1" t="s">
        <v>14779</v>
      </c>
      <c r="D5381" s="1" t="s">
        <v>14779</v>
      </c>
      <c r="E5381" s="7">
        <v>3.66</v>
      </c>
    </row>
    <row r="5382" spans="1:5" x14ac:dyDescent="0.25">
      <c r="A5382" s="5" t="s">
        <v>6</v>
      </c>
      <c r="B5382" s="5" t="s">
        <v>14780</v>
      </c>
      <c r="C5382" s="1" t="s">
        <v>14781</v>
      </c>
      <c r="D5382" s="1" t="s">
        <v>14781</v>
      </c>
      <c r="E5382" s="7">
        <v>3.66</v>
      </c>
    </row>
    <row r="5383" spans="1:5" x14ac:dyDescent="0.25">
      <c r="A5383" s="5" t="s">
        <v>6</v>
      </c>
      <c r="B5383" s="5" t="s">
        <v>14782</v>
      </c>
      <c r="C5383" s="1" t="s">
        <v>14783</v>
      </c>
      <c r="D5383" s="1" t="s">
        <v>14783</v>
      </c>
      <c r="E5383" s="7">
        <v>3.66</v>
      </c>
    </row>
    <row r="5384" spans="1:5" x14ac:dyDescent="0.25">
      <c r="A5384" s="5" t="s">
        <v>6</v>
      </c>
      <c r="B5384" s="5" t="s">
        <v>14784</v>
      </c>
      <c r="C5384" s="1" t="s">
        <v>14785</v>
      </c>
      <c r="D5384" s="1" t="s">
        <v>14785</v>
      </c>
      <c r="E5384" s="7">
        <v>3.68</v>
      </c>
    </row>
    <row r="5385" spans="1:5" x14ac:dyDescent="0.25">
      <c r="A5385" s="5" t="s">
        <v>6</v>
      </c>
      <c r="B5385" s="5" t="s">
        <v>14786</v>
      </c>
      <c r="C5385" s="1" t="s">
        <v>14787</v>
      </c>
      <c r="D5385" s="1" t="s">
        <v>14706</v>
      </c>
      <c r="E5385" s="7">
        <v>18.73</v>
      </c>
    </row>
    <row r="5386" spans="1:5" x14ac:dyDescent="0.25">
      <c r="A5386" s="5" t="s">
        <v>6</v>
      </c>
      <c r="B5386" s="5" t="s">
        <v>14788</v>
      </c>
      <c r="C5386" s="1" t="s">
        <v>14789</v>
      </c>
      <c r="D5386" s="1" t="s">
        <v>14789</v>
      </c>
      <c r="E5386" s="7">
        <v>14.66</v>
      </c>
    </row>
    <row r="5387" spans="1:5" x14ac:dyDescent="0.25">
      <c r="A5387" s="5" t="s">
        <v>6</v>
      </c>
      <c r="B5387" s="5" t="s">
        <v>14790</v>
      </c>
      <c r="C5387" s="1" t="s">
        <v>14791</v>
      </c>
      <c r="D5387" s="1" t="s">
        <v>14791</v>
      </c>
      <c r="E5387" s="7">
        <v>51.53</v>
      </c>
    </row>
    <row r="5388" spans="1:5" x14ac:dyDescent="0.25">
      <c r="A5388" s="5" t="s">
        <v>6</v>
      </c>
      <c r="B5388" s="5" t="s">
        <v>14792</v>
      </c>
      <c r="C5388" s="1" t="s">
        <v>14793</v>
      </c>
      <c r="D5388" s="1" t="s">
        <v>14793</v>
      </c>
      <c r="E5388" s="7">
        <v>12.74</v>
      </c>
    </row>
    <row r="5389" spans="1:5" x14ac:dyDescent="0.25">
      <c r="A5389" s="5" t="s">
        <v>6</v>
      </c>
      <c r="B5389" s="5" t="s">
        <v>14794</v>
      </c>
      <c r="C5389" s="1" t="s">
        <v>14795</v>
      </c>
      <c r="D5389" s="1" t="s">
        <v>14795</v>
      </c>
      <c r="E5389" s="7">
        <v>14.14</v>
      </c>
    </row>
    <row r="5390" spans="1:5" x14ac:dyDescent="0.25">
      <c r="A5390" s="5" t="s">
        <v>6</v>
      </c>
      <c r="B5390" s="5" t="s">
        <v>14796</v>
      </c>
      <c r="C5390" s="1" t="s">
        <v>14797</v>
      </c>
      <c r="D5390" s="1" t="s">
        <v>14797</v>
      </c>
      <c r="E5390" s="7">
        <v>9</v>
      </c>
    </row>
    <row r="5391" spans="1:5" x14ac:dyDescent="0.25">
      <c r="A5391" s="5" t="s">
        <v>6</v>
      </c>
      <c r="B5391" s="5" t="s">
        <v>14798</v>
      </c>
      <c r="C5391" s="1" t="s">
        <v>14799</v>
      </c>
      <c r="D5391" s="1" t="s">
        <v>14799</v>
      </c>
      <c r="E5391" s="7">
        <v>12.62</v>
      </c>
    </row>
    <row r="5392" spans="1:5" x14ac:dyDescent="0.25">
      <c r="A5392" s="5" t="s">
        <v>6</v>
      </c>
      <c r="B5392" s="5" t="s">
        <v>14800</v>
      </c>
      <c r="C5392" s="1" t="s">
        <v>14801</v>
      </c>
      <c r="D5392" s="1" t="s">
        <v>14802</v>
      </c>
      <c r="E5392" s="7">
        <v>4.28</v>
      </c>
    </row>
    <row r="5393" spans="1:5" x14ac:dyDescent="0.25">
      <c r="A5393" s="5" t="s">
        <v>6</v>
      </c>
      <c r="B5393" s="5" t="s">
        <v>14803</v>
      </c>
      <c r="C5393" s="1" t="s">
        <v>3101</v>
      </c>
      <c r="D5393" s="1" t="s">
        <v>3102</v>
      </c>
      <c r="E5393" s="7">
        <v>4.8899999999999997</v>
      </c>
    </row>
    <row r="5394" spans="1:5" x14ac:dyDescent="0.25">
      <c r="A5394" s="5" t="s">
        <v>6</v>
      </c>
      <c r="B5394" s="5" t="s">
        <v>14804</v>
      </c>
      <c r="C5394" s="1" t="s">
        <v>14805</v>
      </c>
      <c r="D5394" s="1" t="s">
        <v>14806</v>
      </c>
      <c r="E5394" s="7">
        <v>22.16</v>
      </c>
    </row>
    <row r="5395" spans="1:5" x14ac:dyDescent="0.25">
      <c r="A5395" s="5" t="s">
        <v>6</v>
      </c>
      <c r="B5395" s="5" t="s">
        <v>14807</v>
      </c>
      <c r="C5395" s="1" t="s">
        <v>14808</v>
      </c>
      <c r="D5395" s="1" t="s">
        <v>14809</v>
      </c>
      <c r="E5395" s="7">
        <v>4</v>
      </c>
    </row>
    <row r="5396" spans="1:5" x14ac:dyDescent="0.25">
      <c r="A5396" s="5" t="s">
        <v>6</v>
      </c>
      <c r="B5396" s="5" t="s">
        <v>14810</v>
      </c>
      <c r="C5396" s="1" t="s">
        <v>14811</v>
      </c>
      <c r="D5396" s="1" t="s">
        <v>14806</v>
      </c>
      <c r="E5396" s="7">
        <v>4.21</v>
      </c>
    </row>
    <row r="5397" spans="1:5" x14ac:dyDescent="0.25">
      <c r="A5397" s="5" t="s">
        <v>6</v>
      </c>
      <c r="B5397" s="5" t="s">
        <v>14812</v>
      </c>
      <c r="C5397" s="1" t="s">
        <v>14813</v>
      </c>
      <c r="D5397" s="1" t="s">
        <v>14806</v>
      </c>
      <c r="E5397" s="7">
        <v>22.17</v>
      </c>
    </row>
    <row r="5398" spans="1:5" x14ac:dyDescent="0.25">
      <c r="A5398" s="5" t="s">
        <v>6</v>
      </c>
      <c r="B5398" s="5" t="s">
        <v>14814</v>
      </c>
      <c r="C5398" s="1" t="s">
        <v>14815</v>
      </c>
      <c r="D5398" s="1" t="s">
        <v>14806</v>
      </c>
      <c r="E5398" s="7">
        <v>22.17</v>
      </c>
    </row>
    <row r="5399" spans="1:5" x14ac:dyDescent="0.25">
      <c r="A5399" s="5" t="s">
        <v>6</v>
      </c>
      <c r="B5399" s="5" t="s">
        <v>14816</v>
      </c>
      <c r="C5399" s="1" t="s">
        <v>14817</v>
      </c>
      <c r="D5399" s="1" t="s">
        <v>14806</v>
      </c>
      <c r="E5399" s="7">
        <v>4.8600000000000003</v>
      </c>
    </row>
    <row r="5400" spans="1:5" x14ac:dyDescent="0.25">
      <c r="A5400" s="5" t="s">
        <v>6</v>
      </c>
      <c r="B5400" s="5" t="s">
        <v>14818</v>
      </c>
      <c r="C5400" s="1" t="s">
        <v>14819</v>
      </c>
      <c r="D5400" s="1" t="s">
        <v>14806</v>
      </c>
      <c r="E5400" s="7">
        <v>22.17</v>
      </c>
    </row>
    <row r="5401" spans="1:5" x14ac:dyDescent="0.25">
      <c r="A5401" s="5" t="s">
        <v>6</v>
      </c>
      <c r="B5401" s="5" t="s">
        <v>14820</v>
      </c>
      <c r="C5401" s="1" t="s">
        <v>14821</v>
      </c>
      <c r="D5401" s="1" t="s">
        <v>14821</v>
      </c>
      <c r="E5401" s="7">
        <v>10</v>
      </c>
    </row>
    <row r="5402" spans="1:5" x14ac:dyDescent="0.25">
      <c r="A5402" s="5" t="s">
        <v>6</v>
      </c>
      <c r="B5402" s="5" t="s">
        <v>14822</v>
      </c>
      <c r="C5402" s="1" t="s">
        <v>14823</v>
      </c>
      <c r="D5402" s="1" t="s">
        <v>14823</v>
      </c>
      <c r="E5402" s="7">
        <v>10</v>
      </c>
    </row>
    <row r="5403" spans="1:5" x14ac:dyDescent="0.25">
      <c r="A5403" s="5" t="s">
        <v>6</v>
      </c>
      <c r="B5403" s="5" t="s">
        <v>14824</v>
      </c>
      <c r="C5403" s="1" t="s">
        <v>14825</v>
      </c>
      <c r="D5403" s="1" t="s">
        <v>14806</v>
      </c>
      <c r="E5403" s="7">
        <v>4.8600000000000003</v>
      </c>
    </row>
    <row r="5404" spans="1:5" x14ac:dyDescent="0.25">
      <c r="A5404" s="5" t="s">
        <v>6</v>
      </c>
      <c r="B5404" s="5" t="s">
        <v>14826</v>
      </c>
      <c r="C5404" s="1" t="s">
        <v>14827</v>
      </c>
      <c r="D5404" s="1" t="s">
        <v>14806</v>
      </c>
      <c r="E5404" s="7">
        <v>4.8600000000000003</v>
      </c>
    </row>
    <row r="5405" spans="1:5" x14ac:dyDescent="0.25">
      <c r="A5405" s="5" t="s">
        <v>6</v>
      </c>
      <c r="B5405" s="5" t="s">
        <v>14828</v>
      </c>
      <c r="C5405" s="1" t="s">
        <v>14829</v>
      </c>
      <c r="D5405" s="1" t="s">
        <v>14806</v>
      </c>
      <c r="E5405" s="7">
        <v>4.8600000000000003</v>
      </c>
    </row>
    <row r="5406" spans="1:5" x14ac:dyDescent="0.25">
      <c r="A5406" s="5" t="s">
        <v>6</v>
      </c>
      <c r="B5406" s="5" t="s">
        <v>14830</v>
      </c>
      <c r="C5406" s="1" t="s">
        <v>14831</v>
      </c>
      <c r="D5406" s="1" t="s">
        <v>14806</v>
      </c>
      <c r="E5406" s="7">
        <v>4.8600000000000003</v>
      </c>
    </row>
    <row r="5407" spans="1:5" x14ac:dyDescent="0.25">
      <c r="A5407" s="5" t="s">
        <v>6</v>
      </c>
      <c r="B5407" s="5" t="s">
        <v>14832</v>
      </c>
      <c r="C5407" s="1" t="s">
        <v>14833</v>
      </c>
      <c r="D5407" s="1" t="s">
        <v>13695</v>
      </c>
      <c r="E5407" s="7">
        <v>122.69</v>
      </c>
    </row>
    <row r="5408" spans="1:5" x14ac:dyDescent="0.25">
      <c r="A5408" s="5" t="s">
        <v>6</v>
      </c>
      <c r="B5408" s="5" t="s">
        <v>14834</v>
      </c>
      <c r="C5408" s="1" t="s">
        <v>14835</v>
      </c>
      <c r="D5408" s="1" t="s">
        <v>14836</v>
      </c>
      <c r="E5408" s="7">
        <v>5.7</v>
      </c>
    </row>
    <row r="5409" spans="1:5" x14ac:dyDescent="0.25">
      <c r="A5409" s="5" t="s">
        <v>6</v>
      </c>
      <c r="B5409" s="5" t="s">
        <v>14837</v>
      </c>
      <c r="C5409" s="1" t="s">
        <v>14838</v>
      </c>
      <c r="D5409" s="1" t="s">
        <v>14698</v>
      </c>
      <c r="E5409" s="7">
        <v>15</v>
      </c>
    </row>
    <row r="5410" spans="1:5" x14ac:dyDescent="0.25">
      <c r="A5410" s="5" t="s">
        <v>6</v>
      </c>
      <c r="B5410" s="5" t="s">
        <v>14839</v>
      </c>
      <c r="C5410" s="1" t="s">
        <v>14840</v>
      </c>
      <c r="D5410" s="1" t="s">
        <v>14836</v>
      </c>
      <c r="E5410" s="7">
        <v>10</v>
      </c>
    </row>
    <row r="5411" spans="1:5" x14ac:dyDescent="0.25">
      <c r="A5411" s="5" t="s">
        <v>6</v>
      </c>
      <c r="B5411" s="5" t="s">
        <v>14841</v>
      </c>
      <c r="C5411" s="1" t="s">
        <v>14842</v>
      </c>
      <c r="D5411" s="1" t="s">
        <v>14842</v>
      </c>
      <c r="E5411" s="7">
        <v>16.25</v>
      </c>
    </row>
    <row r="5412" spans="1:5" x14ac:dyDescent="0.25">
      <c r="A5412" s="5" t="s">
        <v>6</v>
      </c>
      <c r="B5412" s="5" t="s">
        <v>14843</v>
      </c>
      <c r="C5412" s="1" t="s">
        <v>14844</v>
      </c>
      <c r="D5412" s="1" t="s">
        <v>14844</v>
      </c>
      <c r="E5412" s="7">
        <v>10</v>
      </c>
    </row>
    <row r="5413" spans="1:5" x14ac:dyDescent="0.25">
      <c r="A5413" s="5" t="s">
        <v>6</v>
      </c>
      <c r="B5413" s="5" t="s">
        <v>14845</v>
      </c>
      <c r="C5413" s="1" t="s">
        <v>3098</v>
      </c>
      <c r="D5413" s="1" t="s">
        <v>3099</v>
      </c>
      <c r="E5413" s="7">
        <v>4.7</v>
      </c>
    </row>
    <row r="5414" spans="1:5" x14ac:dyDescent="0.25">
      <c r="A5414" s="5" t="s">
        <v>6</v>
      </c>
      <c r="B5414" s="5" t="s">
        <v>14846</v>
      </c>
      <c r="C5414" s="1" t="s">
        <v>14847</v>
      </c>
      <c r="D5414" s="1" t="s">
        <v>14848</v>
      </c>
      <c r="E5414" s="7">
        <v>5</v>
      </c>
    </row>
    <row r="5415" spans="1:5" x14ac:dyDescent="0.25">
      <c r="A5415" s="5" t="s">
        <v>6</v>
      </c>
      <c r="B5415" s="5" t="s">
        <v>14849</v>
      </c>
      <c r="C5415" s="1" t="s">
        <v>3060</v>
      </c>
      <c r="D5415" s="1" t="s">
        <v>3061</v>
      </c>
      <c r="E5415" s="7">
        <v>5</v>
      </c>
    </row>
    <row r="5416" spans="1:5" x14ac:dyDescent="0.25">
      <c r="A5416" s="5" t="s">
        <v>6</v>
      </c>
      <c r="B5416" s="5" t="s">
        <v>14850</v>
      </c>
      <c r="C5416" s="1" t="s">
        <v>14851</v>
      </c>
      <c r="D5416" s="1" t="s">
        <v>14851</v>
      </c>
      <c r="E5416" s="7">
        <v>7.34</v>
      </c>
    </row>
    <row r="5417" spans="1:5" x14ac:dyDescent="0.25">
      <c r="A5417" s="5" t="s">
        <v>6</v>
      </c>
      <c r="B5417" s="5" t="s">
        <v>14852</v>
      </c>
      <c r="C5417" s="1" t="s">
        <v>14853</v>
      </c>
      <c r="D5417" s="1" t="s">
        <v>14853</v>
      </c>
      <c r="E5417" s="7">
        <v>2.85</v>
      </c>
    </row>
    <row r="5418" spans="1:5" x14ac:dyDescent="0.25">
      <c r="A5418" s="5" t="s">
        <v>6</v>
      </c>
      <c r="B5418" s="5" t="s">
        <v>14854</v>
      </c>
      <c r="C5418" s="1" t="s">
        <v>14855</v>
      </c>
      <c r="D5418" s="1" t="s">
        <v>14540</v>
      </c>
      <c r="E5418" s="7">
        <v>9.89</v>
      </c>
    </row>
    <row r="5419" spans="1:5" x14ac:dyDescent="0.25">
      <c r="A5419" s="5" t="s">
        <v>6</v>
      </c>
      <c r="B5419" s="5" t="s">
        <v>14856</v>
      </c>
      <c r="C5419" s="1" t="s">
        <v>14857</v>
      </c>
      <c r="D5419" s="1" t="s">
        <v>14540</v>
      </c>
      <c r="E5419" s="7">
        <v>9.89</v>
      </c>
    </row>
    <row r="5420" spans="1:5" x14ac:dyDescent="0.25">
      <c r="A5420" s="5" t="s">
        <v>6</v>
      </c>
      <c r="B5420" s="5" t="s">
        <v>14858</v>
      </c>
      <c r="C5420" s="1" t="s">
        <v>14859</v>
      </c>
      <c r="D5420" s="1" t="s">
        <v>14859</v>
      </c>
      <c r="E5420" s="7">
        <v>26.65</v>
      </c>
    </row>
    <row r="5421" spans="1:5" x14ac:dyDescent="0.25">
      <c r="A5421" s="5" t="s">
        <v>6</v>
      </c>
      <c r="B5421" s="5" t="s">
        <v>14860</v>
      </c>
      <c r="C5421" s="1" t="s">
        <v>14861</v>
      </c>
      <c r="D5421" s="1" t="s">
        <v>14862</v>
      </c>
      <c r="E5421" s="7">
        <v>57.68</v>
      </c>
    </row>
    <row r="5422" spans="1:5" x14ac:dyDescent="0.25">
      <c r="A5422" s="5" t="s">
        <v>6</v>
      </c>
      <c r="B5422" s="5" t="s">
        <v>14863</v>
      </c>
      <c r="C5422" s="1" t="s">
        <v>14864</v>
      </c>
      <c r="D5422" s="1" t="s">
        <v>14864</v>
      </c>
      <c r="E5422" s="7">
        <v>2.44</v>
      </c>
    </row>
    <row r="5423" spans="1:5" x14ac:dyDescent="0.25">
      <c r="A5423" s="5" t="s">
        <v>6</v>
      </c>
      <c r="B5423" s="5" t="s">
        <v>14865</v>
      </c>
      <c r="C5423" s="1" t="s">
        <v>14866</v>
      </c>
      <c r="D5423" s="1" t="s">
        <v>14866</v>
      </c>
      <c r="E5423" s="7">
        <v>5.7</v>
      </c>
    </row>
    <row r="5424" spans="1:5" x14ac:dyDescent="0.25">
      <c r="A5424" s="5" t="s">
        <v>6</v>
      </c>
      <c r="B5424" s="5" t="s">
        <v>14867</v>
      </c>
      <c r="C5424" s="1" t="s">
        <v>14868</v>
      </c>
      <c r="D5424" s="1" t="s">
        <v>14868</v>
      </c>
      <c r="E5424" s="7">
        <v>5.7</v>
      </c>
    </row>
    <row r="5425" spans="1:5" x14ac:dyDescent="0.25">
      <c r="A5425" s="5" t="s">
        <v>6</v>
      </c>
      <c r="B5425" s="5" t="s">
        <v>14869</v>
      </c>
      <c r="C5425" s="1" t="s">
        <v>14870</v>
      </c>
      <c r="D5425" s="1" t="s">
        <v>14870</v>
      </c>
      <c r="E5425" s="7">
        <v>11.4</v>
      </c>
    </row>
    <row r="5426" spans="1:5" x14ac:dyDescent="0.25">
      <c r="A5426" s="5" t="s">
        <v>6</v>
      </c>
      <c r="B5426" s="5" t="s">
        <v>14871</v>
      </c>
      <c r="C5426" s="1" t="s">
        <v>14872</v>
      </c>
      <c r="D5426" s="1" t="s">
        <v>14873</v>
      </c>
      <c r="E5426" s="7">
        <v>10.59</v>
      </c>
    </row>
    <row r="5427" spans="1:5" x14ac:dyDescent="0.25">
      <c r="A5427" s="5" t="s">
        <v>6</v>
      </c>
      <c r="B5427" s="5" t="s">
        <v>14874</v>
      </c>
      <c r="C5427" s="1" t="s">
        <v>14875</v>
      </c>
      <c r="D5427" s="1" t="s">
        <v>14875</v>
      </c>
      <c r="E5427" s="7">
        <v>48.87</v>
      </c>
    </row>
    <row r="5428" spans="1:5" x14ac:dyDescent="0.25">
      <c r="A5428" s="5" t="s">
        <v>6</v>
      </c>
      <c r="B5428" s="5" t="s">
        <v>14876</v>
      </c>
      <c r="C5428" s="1" t="s">
        <v>14877</v>
      </c>
      <c r="D5428" s="1" t="s">
        <v>14877</v>
      </c>
      <c r="E5428" s="7">
        <v>2.44</v>
      </c>
    </row>
    <row r="5429" spans="1:5" x14ac:dyDescent="0.25">
      <c r="A5429" s="5" t="s">
        <v>6</v>
      </c>
      <c r="B5429" s="5" t="s">
        <v>14878</v>
      </c>
      <c r="C5429" s="1" t="s">
        <v>14879</v>
      </c>
      <c r="D5429" s="1" t="s">
        <v>14879</v>
      </c>
      <c r="E5429" s="7">
        <v>7.49</v>
      </c>
    </row>
    <row r="5430" spans="1:5" x14ac:dyDescent="0.25">
      <c r="A5430" s="5" t="s">
        <v>6</v>
      </c>
      <c r="B5430" s="5" t="s">
        <v>14880</v>
      </c>
      <c r="C5430" s="1" t="s">
        <v>14881</v>
      </c>
      <c r="D5430" s="1" t="s">
        <v>14881</v>
      </c>
      <c r="E5430" s="7">
        <v>5.29</v>
      </c>
    </row>
    <row r="5431" spans="1:5" x14ac:dyDescent="0.25">
      <c r="A5431" s="5" t="s">
        <v>6</v>
      </c>
      <c r="B5431" s="5" t="s">
        <v>14882</v>
      </c>
      <c r="C5431" s="1" t="s">
        <v>14883</v>
      </c>
      <c r="D5431" s="1" t="s">
        <v>14883</v>
      </c>
      <c r="E5431" s="7">
        <v>8.32</v>
      </c>
    </row>
    <row r="5432" spans="1:5" x14ac:dyDescent="0.25">
      <c r="A5432" s="5" t="s">
        <v>6</v>
      </c>
      <c r="B5432" s="5" t="s">
        <v>14884</v>
      </c>
      <c r="C5432" s="1" t="s">
        <v>14885</v>
      </c>
      <c r="D5432" s="1" t="s">
        <v>14886</v>
      </c>
      <c r="E5432" s="7">
        <v>15.75</v>
      </c>
    </row>
    <row r="5433" spans="1:5" x14ac:dyDescent="0.25">
      <c r="A5433" s="5" t="s">
        <v>6</v>
      </c>
      <c r="B5433" s="5" t="s">
        <v>14887</v>
      </c>
      <c r="C5433" s="1" t="s">
        <v>14888</v>
      </c>
      <c r="D5433" s="1" t="s">
        <v>14889</v>
      </c>
      <c r="E5433" s="7">
        <v>20</v>
      </c>
    </row>
    <row r="5434" spans="1:5" x14ac:dyDescent="0.25">
      <c r="A5434" s="5" t="s">
        <v>6</v>
      </c>
      <c r="B5434" s="5" t="s">
        <v>14890</v>
      </c>
      <c r="C5434" s="1" t="s">
        <v>14891</v>
      </c>
      <c r="D5434" s="1" t="s">
        <v>14892</v>
      </c>
      <c r="E5434" s="7">
        <v>20</v>
      </c>
    </row>
    <row r="5435" spans="1:5" x14ac:dyDescent="0.25">
      <c r="A5435" s="5" t="s">
        <v>6</v>
      </c>
      <c r="B5435" s="5" t="s">
        <v>14893</v>
      </c>
      <c r="C5435" s="1" t="s">
        <v>14894</v>
      </c>
      <c r="D5435" s="1" t="s">
        <v>14895</v>
      </c>
      <c r="E5435" s="7">
        <v>18</v>
      </c>
    </row>
    <row r="5436" spans="1:5" x14ac:dyDescent="0.25">
      <c r="A5436" s="5" t="s">
        <v>6</v>
      </c>
      <c r="B5436" s="5" t="s">
        <v>14896</v>
      </c>
      <c r="C5436" s="1" t="s">
        <v>14897</v>
      </c>
      <c r="D5436" s="1" t="s">
        <v>14666</v>
      </c>
      <c r="E5436" s="7">
        <v>3.46</v>
      </c>
    </row>
    <row r="5437" spans="1:5" x14ac:dyDescent="0.25">
      <c r="A5437" s="5" t="s">
        <v>6</v>
      </c>
      <c r="B5437" s="5" t="s">
        <v>14898</v>
      </c>
      <c r="C5437" s="1" t="s">
        <v>14899</v>
      </c>
      <c r="D5437" s="1" t="s">
        <v>14666</v>
      </c>
      <c r="E5437" s="7">
        <v>13.3</v>
      </c>
    </row>
    <row r="5438" spans="1:5" x14ac:dyDescent="0.25">
      <c r="A5438" s="5" t="s">
        <v>6</v>
      </c>
      <c r="B5438" s="5" t="s">
        <v>14900</v>
      </c>
      <c r="C5438" s="1" t="s">
        <v>14901</v>
      </c>
      <c r="D5438" s="1" t="s">
        <v>14889</v>
      </c>
      <c r="E5438" s="7">
        <v>20.73</v>
      </c>
    </row>
    <row r="5439" spans="1:5" x14ac:dyDescent="0.25">
      <c r="A5439" s="5" t="s">
        <v>6</v>
      </c>
      <c r="B5439" s="5" t="s">
        <v>14902</v>
      </c>
      <c r="C5439" s="1" t="s">
        <v>14903</v>
      </c>
      <c r="D5439" s="1" t="s">
        <v>14904</v>
      </c>
      <c r="E5439" s="7">
        <v>40.25</v>
      </c>
    </row>
    <row r="5440" spans="1:5" x14ac:dyDescent="0.25">
      <c r="A5440" s="5" t="s">
        <v>6</v>
      </c>
      <c r="B5440" s="5" t="s">
        <v>14905</v>
      </c>
      <c r="C5440" s="1" t="s">
        <v>14906</v>
      </c>
      <c r="D5440" s="1" t="s">
        <v>14907</v>
      </c>
      <c r="E5440" s="7">
        <v>13.85</v>
      </c>
    </row>
    <row r="5441" spans="1:5" x14ac:dyDescent="0.25">
      <c r="A5441" s="5" t="s">
        <v>6</v>
      </c>
      <c r="B5441" s="5" t="s">
        <v>14908</v>
      </c>
      <c r="C5441" s="1" t="s">
        <v>14909</v>
      </c>
      <c r="D5441" s="1" t="s">
        <v>14910</v>
      </c>
      <c r="E5441" s="7">
        <v>54</v>
      </c>
    </row>
    <row r="5442" spans="1:5" x14ac:dyDescent="0.25">
      <c r="A5442" s="5" t="s">
        <v>6</v>
      </c>
      <c r="B5442" s="5" t="s">
        <v>14911</v>
      </c>
      <c r="C5442" s="1" t="s">
        <v>14912</v>
      </c>
      <c r="D5442" s="1" t="s">
        <v>14913</v>
      </c>
      <c r="E5442" s="7">
        <v>2</v>
      </c>
    </row>
    <row r="5443" spans="1:5" x14ac:dyDescent="0.25">
      <c r="A5443" s="5" t="s">
        <v>6</v>
      </c>
      <c r="B5443" s="5" t="s">
        <v>14914</v>
      </c>
      <c r="C5443" s="1" t="s">
        <v>14915</v>
      </c>
      <c r="D5443" s="1" t="s">
        <v>14916</v>
      </c>
      <c r="E5443" s="7">
        <v>5.19</v>
      </c>
    </row>
    <row r="5444" spans="1:5" x14ac:dyDescent="0.25">
      <c r="A5444" s="5" t="s">
        <v>6</v>
      </c>
      <c r="B5444" s="5" t="s">
        <v>14917</v>
      </c>
      <c r="C5444" s="1" t="s">
        <v>14918</v>
      </c>
      <c r="D5444" s="1" t="s">
        <v>14919</v>
      </c>
      <c r="E5444" s="7">
        <v>91.57</v>
      </c>
    </row>
    <row r="5445" spans="1:5" x14ac:dyDescent="0.25">
      <c r="A5445" s="5" t="s">
        <v>6</v>
      </c>
      <c r="B5445" s="5" t="s">
        <v>14920</v>
      </c>
      <c r="C5445" s="1" t="s">
        <v>14921</v>
      </c>
      <c r="D5445" s="1" t="s">
        <v>14919</v>
      </c>
      <c r="E5445" s="7">
        <v>91.57</v>
      </c>
    </row>
    <row r="5446" spans="1:5" x14ac:dyDescent="0.25">
      <c r="A5446" s="5" t="s">
        <v>6</v>
      </c>
      <c r="B5446" s="5" t="s">
        <v>14922</v>
      </c>
      <c r="C5446" s="1" t="s">
        <v>14923</v>
      </c>
      <c r="D5446" s="1" t="s">
        <v>14492</v>
      </c>
      <c r="E5446" s="7">
        <v>2.2400000000000002</v>
      </c>
    </row>
    <row r="5447" spans="1:5" x14ac:dyDescent="0.25">
      <c r="A5447" s="5" t="s">
        <v>6</v>
      </c>
      <c r="B5447" s="5" t="s">
        <v>14924</v>
      </c>
      <c r="C5447" s="1" t="s">
        <v>2923</v>
      </c>
      <c r="D5447" s="1" t="s">
        <v>2924</v>
      </c>
      <c r="E5447" s="7">
        <v>4.7</v>
      </c>
    </row>
    <row r="5448" spans="1:5" x14ac:dyDescent="0.25">
      <c r="A5448" s="5" t="s">
        <v>6</v>
      </c>
      <c r="B5448" s="5" t="s">
        <v>14925</v>
      </c>
      <c r="C5448" s="1" t="s">
        <v>14926</v>
      </c>
      <c r="D5448" s="1" t="s">
        <v>14926</v>
      </c>
      <c r="E5448" s="7">
        <v>7.33</v>
      </c>
    </row>
    <row r="5449" spans="1:5" x14ac:dyDescent="0.25">
      <c r="A5449" s="5" t="s">
        <v>6</v>
      </c>
      <c r="B5449" s="5" t="s">
        <v>14927</v>
      </c>
      <c r="C5449" s="1" t="s">
        <v>14928</v>
      </c>
      <c r="D5449" s="1" t="s">
        <v>14929</v>
      </c>
      <c r="E5449" s="7">
        <v>5.83</v>
      </c>
    </row>
    <row r="5450" spans="1:5" x14ac:dyDescent="0.25">
      <c r="A5450" s="5" t="s">
        <v>6</v>
      </c>
      <c r="B5450" s="5" t="s">
        <v>14930</v>
      </c>
      <c r="C5450" s="1" t="s">
        <v>14931</v>
      </c>
      <c r="D5450" s="1" t="s">
        <v>14932</v>
      </c>
      <c r="E5450" s="7">
        <v>7.33</v>
      </c>
    </row>
    <row r="5451" spans="1:5" x14ac:dyDescent="0.25">
      <c r="A5451" s="5" t="s">
        <v>6</v>
      </c>
      <c r="B5451" s="5" t="s">
        <v>14933</v>
      </c>
      <c r="C5451" s="1" t="s">
        <v>14934</v>
      </c>
      <c r="D5451" s="1" t="s">
        <v>14934</v>
      </c>
      <c r="E5451" s="7">
        <v>14.99</v>
      </c>
    </row>
    <row r="5452" spans="1:5" x14ac:dyDescent="0.25">
      <c r="A5452" s="5" t="s">
        <v>6</v>
      </c>
      <c r="B5452" s="5" t="s">
        <v>14935</v>
      </c>
      <c r="C5452" s="1" t="s">
        <v>14936</v>
      </c>
      <c r="D5452" s="1" t="s">
        <v>14937</v>
      </c>
      <c r="E5452" s="7">
        <v>4.53</v>
      </c>
    </row>
    <row r="5453" spans="1:5" x14ac:dyDescent="0.25">
      <c r="A5453" s="5" t="s">
        <v>6</v>
      </c>
      <c r="B5453" s="5" t="s">
        <v>14938</v>
      </c>
      <c r="C5453" s="1" t="s">
        <v>14939</v>
      </c>
      <c r="D5453" s="1" t="s">
        <v>14937</v>
      </c>
      <c r="E5453" s="7">
        <v>4.54</v>
      </c>
    </row>
    <row r="5454" spans="1:5" x14ac:dyDescent="0.25">
      <c r="A5454" s="5" t="s">
        <v>6</v>
      </c>
      <c r="B5454" s="5" t="s">
        <v>14940</v>
      </c>
      <c r="C5454" s="1" t="s">
        <v>14941</v>
      </c>
      <c r="D5454" s="1" t="s">
        <v>14941</v>
      </c>
      <c r="E5454" s="7">
        <v>12.74</v>
      </c>
    </row>
    <row r="5455" spans="1:5" x14ac:dyDescent="0.25">
      <c r="A5455" s="5" t="s">
        <v>6</v>
      </c>
      <c r="B5455" s="5" t="s">
        <v>14942</v>
      </c>
      <c r="C5455" s="1" t="s">
        <v>14943</v>
      </c>
      <c r="D5455" s="1" t="s">
        <v>14944</v>
      </c>
      <c r="E5455" s="7">
        <v>7.3</v>
      </c>
    </row>
    <row r="5456" spans="1:5" x14ac:dyDescent="0.25">
      <c r="A5456" s="5" t="s">
        <v>6</v>
      </c>
      <c r="B5456" s="5" t="s">
        <v>14945</v>
      </c>
      <c r="C5456" s="1" t="s">
        <v>13548</v>
      </c>
      <c r="D5456" s="1" t="s">
        <v>13549</v>
      </c>
      <c r="E5456" s="7">
        <v>9.39</v>
      </c>
    </row>
    <row r="5457" spans="1:5" x14ac:dyDescent="0.25">
      <c r="A5457" s="5" t="s">
        <v>6</v>
      </c>
      <c r="B5457" s="5" t="s">
        <v>14946</v>
      </c>
      <c r="C5457" s="1" t="s">
        <v>14947</v>
      </c>
      <c r="D5457" s="1" t="s">
        <v>14948</v>
      </c>
      <c r="E5457" s="7">
        <v>15.25</v>
      </c>
    </row>
    <row r="5458" spans="1:5" x14ac:dyDescent="0.25">
      <c r="A5458" s="5" t="s">
        <v>6</v>
      </c>
      <c r="B5458" s="5" t="s">
        <v>14949</v>
      </c>
      <c r="C5458" s="1" t="s">
        <v>14950</v>
      </c>
      <c r="D5458" s="1" t="s">
        <v>3161</v>
      </c>
      <c r="E5458" s="7">
        <v>8.93</v>
      </c>
    </row>
    <row r="5459" spans="1:5" x14ac:dyDescent="0.25">
      <c r="A5459" s="5" t="s">
        <v>6</v>
      </c>
      <c r="B5459" s="5" t="s">
        <v>14951</v>
      </c>
      <c r="C5459" s="1" t="s">
        <v>14952</v>
      </c>
      <c r="D5459" s="1" t="s">
        <v>14953</v>
      </c>
      <c r="E5459" s="7">
        <v>5</v>
      </c>
    </row>
    <row r="5460" spans="1:5" x14ac:dyDescent="0.25">
      <c r="A5460" s="5" t="s">
        <v>6</v>
      </c>
      <c r="B5460" s="5" t="s">
        <v>14954</v>
      </c>
      <c r="C5460" s="1" t="s">
        <v>14955</v>
      </c>
      <c r="D5460" s="1" t="s">
        <v>14956</v>
      </c>
      <c r="E5460" s="7">
        <v>11.52</v>
      </c>
    </row>
    <row r="5461" spans="1:5" x14ac:dyDescent="0.25">
      <c r="A5461" s="5" t="s">
        <v>6</v>
      </c>
      <c r="B5461" s="5" t="s">
        <v>14957</v>
      </c>
      <c r="C5461" s="1" t="s">
        <v>14958</v>
      </c>
      <c r="D5461" s="1" t="s">
        <v>14959</v>
      </c>
      <c r="E5461" s="7">
        <v>59</v>
      </c>
    </row>
    <row r="5462" spans="1:5" x14ac:dyDescent="0.25">
      <c r="A5462" s="5" t="s">
        <v>6</v>
      </c>
      <c r="B5462" s="5" t="s">
        <v>14960</v>
      </c>
      <c r="C5462" s="1" t="s">
        <v>14961</v>
      </c>
      <c r="D5462" s="1" t="s">
        <v>14962</v>
      </c>
      <c r="E5462" s="7">
        <v>3.96</v>
      </c>
    </row>
    <row r="5463" spans="1:5" x14ac:dyDescent="0.25">
      <c r="A5463" s="5" t="s">
        <v>6</v>
      </c>
      <c r="B5463" s="5" t="s">
        <v>14963</v>
      </c>
      <c r="C5463" s="1" t="s">
        <v>14964</v>
      </c>
      <c r="D5463" s="1" t="s">
        <v>14965</v>
      </c>
      <c r="E5463" s="7">
        <v>50</v>
      </c>
    </row>
    <row r="5464" spans="1:5" x14ac:dyDescent="0.25">
      <c r="A5464" s="5" t="s">
        <v>6</v>
      </c>
      <c r="B5464" s="5" t="s">
        <v>14966</v>
      </c>
      <c r="C5464" s="1" t="s">
        <v>14967</v>
      </c>
      <c r="D5464" s="1" t="s">
        <v>14968</v>
      </c>
      <c r="E5464" s="7">
        <v>36.86</v>
      </c>
    </row>
    <row r="5465" spans="1:5" x14ac:dyDescent="0.25">
      <c r="A5465" s="5" t="s">
        <v>6</v>
      </c>
      <c r="B5465" s="5" t="s">
        <v>14969</v>
      </c>
      <c r="C5465" s="1" t="s">
        <v>14970</v>
      </c>
      <c r="D5465" s="1" t="s">
        <v>14971</v>
      </c>
      <c r="E5465" s="7">
        <v>36.65</v>
      </c>
    </row>
    <row r="5466" spans="1:5" x14ac:dyDescent="0.25">
      <c r="A5466" s="5" t="s">
        <v>6</v>
      </c>
      <c r="B5466" s="5" t="s">
        <v>14972</v>
      </c>
      <c r="C5466" s="1" t="s">
        <v>14973</v>
      </c>
      <c r="D5466" s="1" t="s">
        <v>14974</v>
      </c>
      <c r="E5466" s="7">
        <v>4</v>
      </c>
    </row>
    <row r="5467" spans="1:5" x14ac:dyDescent="0.25">
      <c r="A5467" s="5" t="s">
        <v>6</v>
      </c>
      <c r="B5467" s="5" t="s">
        <v>14975</v>
      </c>
      <c r="C5467" s="1" t="s">
        <v>14976</v>
      </c>
      <c r="D5467" s="1" t="s">
        <v>14977</v>
      </c>
      <c r="E5467" s="7">
        <v>12</v>
      </c>
    </row>
    <row r="5468" spans="1:5" x14ac:dyDescent="0.25">
      <c r="A5468" s="5" t="s">
        <v>6</v>
      </c>
      <c r="B5468" s="5" t="s">
        <v>14978</v>
      </c>
      <c r="C5468" s="1" t="s">
        <v>13596</v>
      </c>
      <c r="D5468" s="1" t="s">
        <v>3176</v>
      </c>
      <c r="E5468" s="7">
        <v>9.5</v>
      </c>
    </row>
    <row r="5469" spans="1:5" x14ac:dyDescent="0.25">
      <c r="A5469" s="5" t="s">
        <v>6</v>
      </c>
      <c r="B5469" s="5" t="s">
        <v>14979</v>
      </c>
      <c r="C5469" s="1" t="s">
        <v>14980</v>
      </c>
      <c r="D5469" s="1" t="s">
        <v>14980</v>
      </c>
      <c r="E5469" s="7">
        <v>10.49</v>
      </c>
    </row>
    <row r="5470" spans="1:5" x14ac:dyDescent="0.25">
      <c r="A5470" s="5" t="s">
        <v>6</v>
      </c>
      <c r="B5470" s="5" t="s">
        <v>14981</v>
      </c>
      <c r="C5470" s="1" t="s">
        <v>14982</v>
      </c>
      <c r="D5470" s="1" t="s">
        <v>14983</v>
      </c>
      <c r="E5470" s="7">
        <v>2.21</v>
      </c>
    </row>
    <row r="5471" spans="1:5" x14ac:dyDescent="0.25">
      <c r="A5471" s="5" t="s">
        <v>6</v>
      </c>
      <c r="B5471" s="5" t="s">
        <v>14984</v>
      </c>
      <c r="C5471" s="1" t="s">
        <v>14985</v>
      </c>
      <c r="D5471" s="1" t="s">
        <v>14983</v>
      </c>
      <c r="E5471" s="7">
        <v>5.75</v>
      </c>
    </row>
    <row r="5472" spans="1:5" x14ac:dyDescent="0.25">
      <c r="A5472" s="5" t="s">
        <v>6</v>
      </c>
      <c r="B5472" s="5" t="s">
        <v>14986</v>
      </c>
      <c r="C5472" s="1" t="s">
        <v>14987</v>
      </c>
      <c r="D5472" s="1" t="s">
        <v>14988</v>
      </c>
      <c r="E5472" s="7">
        <v>30</v>
      </c>
    </row>
    <row r="5473" spans="1:5" x14ac:dyDescent="0.25">
      <c r="A5473" s="5" t="s">
        <v>6</v>
      </c>
      <c r="B5473" s="5" t="s">
        <v>14989</v>
      </c>
      <c r="C5473" s="1" t="s">
        <v>14990</v>
      </c>
      <c r="D5473" s="1" t="s">
        <v>14991</v>
      </c>
      <c r="E5473" s="7">
        <v>14</v>
      </c>
    </row>
    <row r="5474" spans="1:5" x14ac:dyDescent="0.25">
      <c r="A5474" s="5" t="s">
        <v>6</v>
      </c>
      <c r="B5474" s="5" t="s">
        <v>14992</v>
      </c>
      <c r="C5474" s="1" t="s">
        <v>14993</v>
      </c>
      <c r="D5474" s="1" t="s">
        <v>14994</v>
      </c>
      <c r="E5474" s="7">
        <v>32.9</v>
      </c>
    </row>
    <row r="5475" spans="1:5" x14ac:dyDescent="0.25">
      <c r="A5475" s="5" t="s">
        <v>6</v>
      </c>
      <c r="B5475" s="5" t="s">
        <v>14995</v>
      </c>
      <c r="C5475" s="1" t="s">
        <v>14996</v>
      </c>
      <c r="D5475" s="1" t="s">
        <v>14997</v>
      </c>
      <c r="E5475" s="7">
        <v>32.58</v>
      </c>
    </row>
    <row r="5476" spans="1:5" x14ac:dyDescent="0.25">
      <c r="A5476" s="5" t="s">
        <v>6</v>
      </c>
      <c r="B5476" s="5" t="s">
        <v>14998</v>
      </c>
      <c r="C5476" s="1" t="s">
        <v>14999</v>
      </c>
      <c r="D5476" s="1" t="s">
        <v>15000</v>
      </c>
      <c r="E5476" s="7">
        <v>28</v>
      </c>
    </row>
    <row r="5477" spans="1:5" x14ac:dyDescent="0.25">
      <c r="A5477" s="5" t="s">
        <v>6</v>
      </c>
      <c r="B5477" s="5" t="s">
        <v>15001</v>
      </c>
      <c r="C5477" s="1" t="s">
        <v>15002</v>
      </c>
      <c r="D5477" s="1" t="s">
        <v>15002</v>
      </c>
      <c r="E5477" s="7">
        <v>55</v>
      </c>
    </row>
    <row r="5478" spans="1:5" x14ac:dyDescent="0.25">
      <c r="A5478" s="5" t="s">
        <v>6</v>
      </c>
      <c r="B5478" s="5" t="s">
        <v>15003</v>
      </c>
      <c r="C5478" s="1" t="s">
        <v>15004</v>
      </c>
      <c r="D5478" s="1" t="s">
        <v>15005</v>
      </c>
      <c r="E5478" s="7">
        <v>6.95</v>
      </c>
    </row>
    <row r="5479" spans="1:5" x14ac:dyDescent="0.25">
      <c r="A5479" s="5" t="s">
        <v>6</v>
      </c>
      <c r="B5479" s="5" t="s">
        <v>15006</v>
      </c>
      <c r="C5479" s="1" t="s">
        <v>15007</v>
      </c>
      <c r="D5479" s="1" t="s">
        <v>15008</v>
      </c>
      <c r="E5479" s="7">
        <v>30</v>
      </c>
    </row>
    <row r="5480" spans="1:5" x14ac:dyDescent="0.25">
      <c r="A5480" s="5" t="s">
        <v>6</v>
      </c>
      <c r="B5480" s="5" t="s">
        <v>15009</v>
      </c>
      <c r="C5480" s="1" t="s">
        <v>15010</v>
      </c>
      <c r="D5480" s="1" t="s">
        <v>14540</v>
      </c>
      <c r="E5480" s="7">
        <v>15.75</v>
      </c>
    </row>
    <row r="5481" spans="1:5" x14ac:dyDescent="0.25">
      <c r="A5481" s="5" t="s">
        <v>6</v>
      </c>
      <c r="B5481" s="5" t="s">
        <v>15011</v>
      </c>
      <c r="C5481" s="1" t="s">
        <v>15012</v>
      </c>
      <c r="D5481" s="1" t="s">
        <v>3211</v>
      </c>
      <c r="E5481" s="7">
        <v>550</v>
      </c>
    </row>
    <row r="5482" spans="1:5" x14ac:dyDescent="0.25">
      <c r="A5482" s="5" t="s">
        <v>6</v>
      </c>
      <c r="B5482" s="5" t="s">
        <v>15013</v>
      </c>
      <c r="C5482" s="1" t="s">
        <v>15014</v>
      </c>
      <c r="D5482" s="1" t="s">
        <v>15015</v>
      </c>
      <c r="E5482" s="7">
        <v>9</v>
      </c>
    </row>
    <row r="5483" spans="1:5" x14ac:dyDescent="0.25">
      <c r="A5483" s="5" t="s">
        <v>6</v>
      </c>
      <c r="B5483" s="5" t="s">
        <v>15016</v>
      </c>
      <c r="C5483" s="1" t="s">
        <v>15017</v>
      </c>
      <c r="D5483" s="1" t="s">
        <v>15015</v>
      </c>
      <c r="E5483" s="7">
        <v>10</v>
      </c>
    </row>
    <row r="5484" spans="1:5" x14ac:dyDescent="0.25">
      <c r="A5484" s="5" t="s">
        <v>6</v>
      </c>
      <c r="B5484" s="5" t="s">
        <v>15018</v>
      </c>
      <c r="C5484" s="1" t="s">
        <v>15019</v>
      </c>
      <c r="D5484" s="1" t="s">
        <v>15019</v>
      </c>
      <c r="E5484" s="7">
        <v>63</v>
      </c>
    </row>
    <row r="5485" spans="1:5" x14ac:dyDescent="0.25">
      <c r="A5485" s="5" t="s">
        <v>6</v>
      </c>
      <c r="B5485" s="5" t="s">
        <v>15020</v>
      </c>
      <c r="C5485" s="1" t="s">
        <v>15021</v>
      </c>
      <c r="D5485" s="1" t="s">
        <v>15022</v>
      </c>
      <c r="E5485" s="7">
        <v>52</v>
      </c>
    </row>
    <row r="5486" spans="1:5" x14ac:dyDescent="0.25">
      <c r="A5486" s="5" t="s">
        <v>6</v>
      </c>
      <c r="B5486" s="5" t="s">
        <v>15023</v>
      </c>
      <c r="C5486" s="1" t="s">
        <v>15024</v>
      </c>
      <c r="D5486" s="1" t="s">
        <v>15025</v>
      </c>
      <c r="E5486" s="7">
        <v>91.63</v>
      </c>
    </row>
    <row r="5487" spans="1:5" x14ac:dyDescent="0.25">
      <c r="A5487" s="5" t="s">
        <v>6</v>
      </c>
      <c r="B5487" s="5" t="s">
        <v>15026</v>
      </c>
      <c r="C5487" s="1" t="s">
        <v>15027</v>
      </c>
      <c r="D5487" s="1" t="s">
        <v>15028</v>
      </c>
      <c r="E5487" s="7">
        <v>183.26</v>
      </c>
    </row>
    <row r="5488" spans="1:5" x14ac:dyDescent="0.25">
      <c r="A5488" s="5" t="s">
        <v>6</v>
      </c>
      <c r="B5488" s="5" t="s">
        <v>15029</v>
      </c>
      <c r="C5488" s="1" t="s">
        <v>15030</v>
      </c>
      <c r="D5488" s="1" t="s">
        <v>15031</v>
      </c>
      <c r="E5488" s="7">
        <v>195</v>
      </c>
    </row>
    <row r="5489" spans="1:5" x14ac:dyDescent="0.25">
      <c r="A5489" s="5" t="s">
        <v>6</v>
      </c>
      <c r="B5489" s="5" t="s">
        <v>15032</v>
      </c>
      <c r="C5489" s="1" t="s">
        <v>15033</v>
      </c>
      <c r="D5489" s="1" t="s">
        <v>15033</v>
      </c>
      <c r="E5489" s="7">
        <v>77.599999999999994</v>
      </c>
    </row>
    <row r="5490" spans="1:5" x14ac:dyDescent="0.25">
      <c r="A5490" s="5" t="s">
        <v>6</v>
      </c>
      <c r="B5490" s="5" t="s">
        <v>15034</v>
      </c>
      <c r="C5490" s="1" t="s">
        <v>15035</v>
      </c>
      <c r="D5490" s="1" t="s">
        <v>14137</v>
      </c>
      <c r="E5490" s="7">
        <v>83.24</v>
      </c>
    </row>
    <row r="5491" spans="1:5" x14ac:dyDescent="0.25">
      <c r="A5491" s="5" t="s">
        <v>6</v>
      </c>
      <c r="B5491" s="5" t="s">
        <v>15036</v>
      </c>
      <c r="C5491" s="1" t="s">
        <v>15037</v>
      </c>
      <c r="D5491" s="1" t="s">
        <v>15037</v>
      </c>
      <c r="E5491" s="7">
        <v>79</v>
      </c>
    </row>
    <row r="5492" spans="1:5" x14ac:dyDescent="0.25">
      <c r="A5492" s="5" t="s">
        <v>6</v>
      </c>
      <c r="B5492" s="5" t="s">
        <v>15038</v>
      </c>
      <c r="C5492" s="1" t="s">
        <v>15039</v>
      </c>
      <c r="D5492" s="1" t="s">
        <v>15040</v>
      </c>
      <c r="E5492" s="7">
        <v>55</v>
      </c>
    </row>
    <row r="5493" spans="1:5" x14ac:dyDescent="0.25">
      <c r="A5493" s="5" t="s">
        <v>6</v>
      </c>
      <c r="B5493" s="5" t="s">
        <v>15041</v>
      </c>
      <c r="C5493" s="1" t="s">
        <v>15042</v>
      </c>
      <c r="D5493" s="1" t="s">
        <v>15040</v>
      </c>
      <c r="E5493" s="7">
        <v>16.29</v>
      </c>
    </row>
    <row r="5494" spans="1:5" x14ac:dyDescent="0.25">
      <c r="A5494" s="5" t="s">
        <v>6</v>
      </c>
      <c r="B5494" s="5" t="s">
        <v>15043</v>
      </c>
      <c r="C5494" s="1" t="s">
        <v>15044</v>
      </c>
      <c r="D5494" s="1" t="s">
        <v>15040</v>
      </c>
      <c r="E5494" s="7">
        <v>16.29</v>
      </c>
    </row>
    <row r="5495" spans="1:5" x14ac:dyDescent="0.25">
      <c r="A5495" s="5" t="s">
        <v>6</v>
      </c>
      <c r="B5495" s="5" t="s">
        <v>15045</v>
      </c>
      <c r="C5495" s="1" t="s">
        <v>15046</v>
      </c>
      <c r="D5495" s="1" t="s">
        <v>15046</v>
      </c>
      <c r="E5495" s="7">
        <v>115</v>
      </c>
    </row>
    <row r="5496" spans="1:5" x14ac:dyDescent="0.25">
      <c r="A5496" s="5" t="s">
        <v>6</v>
      </c>
      <c r="B5496" s="5" t="s">
        <v>15047</v>
      </c>
      <c r="C5496" s="1" t="s">
        <v>15048</v>
      </c>
      <c r="D5496" s="1" t="s">
        <v>15049</v>
      </c>
      <c r="E5496" s="7">
        <v>105</v>
      </c>
    </row>
    <row r="5497" spans="1:5" x14ac:dyDescent="0.25">
      <c r="A5497" s="5" t="s">
        <v>6</v>
      </c>
      <c r="B5497" s="5" t="s">
        <v>15050</v>
      </c>
      <c r="C5497" s="1" t="s">
        <v>15051</v>
      </c>
      <c r="D5497" s="1" t="s">
        <v>15052</v>
      </c>
      <c r="E5497" s="7">
        <v>50</v>
      </c>
    </row>
    <row r="5498" spans="1:5" x14ac:dyDescent="0.25">
      <c r="A5498" s="5" t="s">
        <v>6</v>
      </c>
      <c r="B5498" s="5" t="s">
        <v>15053</v>
      </c>
      <c r="C5498" s="1" t="s">
        <v>15054</v>
      </c>
      <c r="D5498" s="1" t="s">
        <v>15055</v>
      </c>
      <c r="E5498" s="7">
        <v>54</v>
      </c>
    </row>
    <row r="5499" spans="1:5" x14ac:dyDescent="0.25">
      <c r="A5499" s="5" t="s">
        <v>6</v>
      </c>
      <c r="B5499" s="5" t="s">
        <v>15056</v>
      </c>
      <c r="C5499" s="1" t="s">
        <v>15057</v>
      </c>
      <c r="D5499" s="1" t="s">
        <v>15058</v>
      </c>
      <c r="E5499" s="7">
        <v>9</v>
      </c>
    </row>
    <row r="5500" spans="1:5" x14ac:dyDescent="0.25">
      <c r="A5500" s="5" t="s">
        <v>6</v>
      </c>
      <c r="B5500" s="5" t="s">
        <v>15059</v>
      </c>
      <c r="C5500" s="1" t="s">
        <v>15060</v>
      </c>
      <c r="D5500" s="1" t="s">
        <v>15061</v>
      </c>
      <c r="E5500" s="7">
        <v>55</v>
      </c>
    </row>
    <row r="5501" spans="1:5" x14ac:dyDescent="0.25">
      <c r="A5501" s="5" t="s">
        <v>6</v>
      </c>
      <c r="B5501" s="5" t="s">
        <v>15062</v>
      </c>
      <c r="C5501" s="1" t="s">
        <v>15063</v>
      </c>
      <c r="D5501" s="1" t="s">
        <v>15063</v>
      </c>
      <c r="E5501" s="7">
        <v>47</v>
      </c>
    </row>
    <row r="5502" spans="1:5" x14ac:dyDescent="0.25">
      <c r="A5502" s="5" t="s">
        <v>6</v>
      </c>
      <c r="B5502" s="5" t="s">
        <v>15064</v>
      </c>
      <c r="C5502" s="1" t="s">
        <v>15065</v>
      </c>
      <c r="D5502" s="1" t="s">
        <v>3214</v>
      </c>
      <c r="E5502" s="7">
        <v>148</v>
      </c>
    </row>
    <row r="5503" spans="1:5" x14ac:dyDescent="0.25">
      <c r="A5503" s="5" t="s">
        <v>6</v>
      </c>
      <c r="B5503" s="5" t="s">
        <v>15066</v>
      </c>
      <c r="C5503" s="1" t="s">
        <v>15067</v>
      </c>
      <c r="D5503" s="1" t="s">
        <v>15068</v>
      </c>
      <c r="E5503" s="7">
        <v>220</v>
      </c>
    </row>
    <row r="5504" spans="1:5" x14ac:dyDescent="0.25">
      <c r="A5504" s="5" t="s">
        <v>6</v>
      </c>
      <c r="B5504" s="5" t="s">
        <v>15069</v>
      </c>
      <c r="C5504" s="1" t="s">
        <v>15070</v>
      </c>
      <c r="D5504" s="1" t="s">
        <v>15068</v>
      </c>
      <c r="E5504" s="7">
        <v>50</v>
      </c>
    </row>
    <row r="5505" spans="1:5" x14ac:dyDescent="0.25">
      <c r="A5505" s="5" t="s">
        <v>6</v>
      </c>
      <c r="B5505" s="5" t="s">
        <v>15071</v>
      </c>
      <c r="C5505" s="1" t="s">
        <v>15072</v>
      </c>
      <c r="D5505" s="1" t="s">
        <v>15068</v>
      </c>
      <c r="E5505" s="7">
        <v>165</v>
      </c>
    </row>
    <row r="5506" spans="1:5" x14ac:dyDescent="0.25">
      <c r="A5506" s="5" t="s">
        <v>6</v>
      </c>
      <c r="B5506" s="5" t="s">
        <v>15073</v>
      </c>
      <c r="C5506" s="1" t="s">
        <v>15074</v>
      </c>
      <c r="D5506" s="1" t="s">
        <v>15061</v>
      </c>
      <c r="E5506" s="7">
        <v>75</v>
      </c>
    </row>
    <row r="5507" spans="1:5" x14ac:dyDescent="0.25">
      <c r="A5507" s="5" t="s">
        <v>6</v>
      </c>
      <c r="B5507" s="5" t="s">
        <v>15075</v>
      </c>
      <c r="C5507" s="1" t="s">
        <v>15076</v>
      </c>
      <c r="D5507" s="1" t="s">
        <v>15068</v>
      </c>
      <c r="E5507" s="7">
        <v>138.62</v>
      </c>
    </row>
    <row r="5508" spans="1:5" x14ac:dyDescent="0.25">
      <c r="A5508" s="5" t="s">
        <v>6</v>
      </c>
      <c r="B5508" s="5" t="s">
        <v>15077</v>
      </c>
      <c r="C5508" s="1" t="s">
        <v>15078</v>
      </c>
      <c r="D5508" s="1" t="s">
        <v>15068</v>
      </c>
      <c r="E5508" s="7">
        <v>40.5</v>
      </c>
    </row>
    <row r="5509" spans="1:5" x14ac:dyDescent="0.25">
      <c r="A5509" s="5" t="s">
        <v>6</v>
      </c>
      <c r="B5509" s="5" t="s">
        <v>15079</v>
      </c>
      <c r="C5509" s="1" t="s">
        <v>15080</v>
      </c>
      <c r="D5509" s="1" t="s">
        <v>15081</v>
      </c>
      <c r="E5509" s="7">
        <v>195</v>
      </c>
    </row>
    <row r="5510" spans="1:5" x14ac:dyDescent="0.25">
      <c r="A5510" s="5" t="s">
        <v>6</v>
      </c>
      <c r="B5510" s="5" t="s">
        <v>15082</v>
      </c>
      <c r="C5510" s="1" t="s">
        <v>15083</v>
      </c>
      <c r="D5510" s="1" t="s">
        <v>3226</v>
      </c>
      <c r="E5510" s="7">
        <v>18.5</v>
      </c>
    </row>
    <row r="5511" spans="1:5" x14ac:dyDescent="0.25">
      <c r="A5511" s="5" t="s">
        <v>6</v>
      </c>
      <c r="B5511" s="5" t="s">
        <v>15084</v>
      </c>
      <c r="C5511" s="1" t="s">
        <v>15085</v>
      </c>
      <c r="D5511" s="1" t="s">
        <v>3226</v>
      </c>
      <c r="E5511" s="7">
        <v>8.4600000000000009</v>
      </c>
    </row>
    <row r="5512" spans="1:5" x14ac:dyDescent="0.25">
      <c r="A5512" s="5" t="s">
        <v>6</v>
      </c>
      <c r="B5512" s="5" t="s">
        <v>15086</v>
      </c>
      <c r="C5512" s="1" t="s">
        <v>15087</v>
      </c>
      <c r="D5512" s="1" t="s">
        <v>15088</v>
      </c>
      <c r="E5512" s="7">
        <v>409</v>
      </c>
    </row>
    <row r="5513" spans="1:5" x14ac:dyDescent="0.25">
      <c r="A5513" s="5" t="s">
        <v>6</v>
      </c>
      <c r="B5513" s="5" t="s">
        <v>15089</v>
      </c>
      <c r="C5513" s="1" t="s">
        <v>15090</v>
      </c>
      <c r="D5513" s="1" t="s">
        <v>15091</v>
      </c>
      <c r="E5513" s="7">
        <v>14.66</v>
      </c>
    </row>
    <row r="5514" spans="1:5" x14ac:dyDescent="0.25">
      <c r="A5514" s="5" t="s">
        <v>6</v>
      </c>
      <c r="B5514" s="5" t="s">
        <v>15092</v>
      </c>
      <c r="C5514" s="1" t="s">
        <v>15093</v>
      </c>
      <c r="D5514" s="1" t="s">
        <v>3226</v>
      </c>
      <c r="E5514" s="7">
        <v>9.57</v>
      </c>
    </row>
    <row r="5515" spans="1:5" x14ac:dyDescent="0.25">
      <c r="A5515" s="5" t="s">
        <v>6</v>
      </c>
      <c r="B5515" s="5" t="s">
        <v>15094</v>
      </c>
      <c r="C5515" s="1" t="s">
        <v>2763</v>
      </c>
      <c r="D5515" s="1" t="s">
        <v>2763</v>
      </c>
      <c r="E5515" s="7">
        <v>12.49</v>
      </c>
    </row>
    <row r="5516" spans="1:5" x14ac:dyDescent="0.25">
      <c r="A5516" s="5" t="s">
        <v>6</v>
      </c>
      <c r="B5516" s="5" t="s">
        <v>15095</v>
      </c>
      <c r="C5516" s="1" t="s">
        <v>13551</v>
      </c>
      <c r="D5516" s="1" t="s">
        <v>13551</v>
      </c>
      <c r="E5516" s="7">
        <v>455</v>
      </c>
    </row>
    <row r="5517" spans="1:5" x14ac:dyDescent="0.25">
      <c r="A5517" s="5" t="s">
        <v>6</v>
      </c>
      <c r="B5517" s="5" t="s">
        <v>15096</v>
      </c>
      <c r="C5517" s="1" t="s">
        <v>15097</v>
      </c>
      <c r="D5517" s="1" t="s">
        <v>15098</v>
      </c>
      <c r="E5517" s="7">
        <v>17.100000000000001</v>
      </c>
    </row>
    <row r="5518" spans="1:5" x14ac:dyDescent="0.25">
      <c r="A5518" s="5" t="s">
        <v>6</v>
      </c>
      <c r="B5518" s="5" t="s">
        <v>15099</v>
      </c>
      <c r="C5518" s="1" t="s">
        <v>3305</v>
      </c>
      <c r="D5518" s="1" t="s">
        <v>3306</v>
      </c>
      <c r="E5518" s="7">
        <v>45.82</v>
      </c>
    </row>
    <row r="5519" spans="1:5" x14ac:dyDescent="0.25">
      <c r="A5519" s="5" t="s">
        <v>6</v>
      </c>
      <c r="B5519" s="5" t="s">
        <v>15100</v>
      </c>
      <c r="C5519" s="1" t="s">
        <v>13619</v>
      </c>
      <c r="D5519" s="1" t="s">
        <v>13620</v>
      </c>
      <c r="E5519" s="7">
        <v>11</v>
      </c>
    </row>
    <row r="5520" spans="1:5" x14ac:dyDescent="0.25">
      <c r="A5520" s="5" t="s">
        <v>6</v>
      </c>
      <c r="B5520" s="5" t="s">
        <v>15101</v>
      </c>
      <c r="C5520" s="1" t="s">
        <v>15102</v>
      </c>
      <c r="D5520" s="1" t="s">
        <v>15102</v>
      </c>
      <c r="E5520" s="7">
        <v>89</v>
      </c>
    </row>
    <row r="5521" spans="1:5" x14ac:dyDescent="0.25">
      <c r="A5521" s="5" t="s">
        <v>6</v>
      </c>
      <c r="B5521" s="5" t="s">
        <v>15103</v>
      </c>
      <c r="C5521" s="1" t="s">
        <v>15104</v>
      </c>
      <c r="D5521" s="1" t="s">
        <v>15104</v>
      </c>
      <c r="E5521" s="7">
        <v>30</v>
      </c>
    </row>
    <row r="5522" spans="1:5" x14ac:dyDescent="0.25">
      <c r="A5522" s="5" t="s">
        <v>6</v>
      </c>
      <c r="B5522" s="5" t="s">
        <v>15105</v>
      </c>
      <c r="C5522" s="1" t="s">
        <v>15106</v>
      </c>
      <c r="D5522" s="1" t="s">
        <v>13994</v>
      </c>
      <c r="E5522" s="7">
        <v>56.61</v>
      </c>
    </row>
    <row r="5523" spans="1:5" x14ac:dyDescent="0.25">
      <c r="A5523" s="5" t="s">
        <v>6</v>
      </c>
      <c r="B5523" s="5" t="s">
        <v>15107</v>
      </c>
      <c r="C5523" s="1" t="s">
        <v>15108</v>
      </c>
      <c r="D5523" s="1" t="s">
        <v>15109</v>
      </c>
      <c r="E5523" s="7">
        <v>2</v>
      </c>
    </row>
    <row r="5524" spans="1:5" x14ac:dyDescent="0.25">
      <c r="A5524" s="5" t="s">
        <v>6</v>
      </c>
      <c r="B5524" s="5" t="s">
        <v>15110</v>
      </c>
      <c r="C5524" s="1" t="s">
        <v>15111</v>
      </c>
      <c r="D5524" s="1" t="s">
        <v>2713</v>
      </c>
      <c r="E5524" s="7">
        <v>4.6900000000000004</v>
      </c>
    </row>
    <row r="5525" spans="1:5" x14ac:dyDescent="0.25">
      <c r="A5525" s="5" t="s">
        <v>6</v>
      </c>
      <c r="B5525" s="5" t="s">
        <v>15112</v>
      </c>
      <c r="C5525" s="1" t="s">
        <v>15113</v>
      </c>
      <c r="D5525" s="1" t="s">
        <v>15114</v>
      </c>
      <c r="E5525" s="7">
        <v>3.32</v>
      </c>
    </row>
    <row r="5526" spans="1:5" x14ac:dyDescent="0.25">
      <c r="A5526" s="5" t="s">
        <v>6</v>
      </c>
      <c r="B5526" s="5" t="s">
        <v>15115</v>
      </c>
      <c r="C5526" s="1" t="s">
        <v>15116</v>
      </c>
      <c r="D5526" s="1" t="s">
        <v>15117</v>
      </c>
      <c r="E5526" s="7">
        <v>12.74</v>
      </c>
    </row>
    <row r="5527" spans="1:5" x14ac:dyDescent="0.25">
      <c r="A5527" s="5" t="s">
        <v>6</v>
      </c>
      <c r="B5527" s="5" t="s">
        <v>15118</v>
      </c>
      <c r="C5527" s="1" t="s">
        <v>15119</v>
      </c>
      <c r="D5527" s="1" t="s">
        <v>15120</v>
      </c>
      <c r="E5527" s="7">
        <v>215</v>
      </c>
    </row>
    <row r="5528" spans="1:5" x14ac:dyDescent="0.25">
      <c r="A5528" s="5" t="s">
        <v>6</v>
      </c>
      <c r="B5528" s="5" t="s">
        <v>15121</v>
      </c>
      <c r="C5528" s="1" t="s">
        <v>15122</v>
      </c>
      <c r="D5528" s="1" t="s">
        <v>15123</v>
      </c>
      <c r="E5528" s="7">
        <v>350</v>
      </c>
    </row>
    <row r="5529" spans="1:5" x14ac:dyDescent="0.25">
      <c r="A5529" s="5" t="s">
        <v>6</v>
      </c>
      <c r="B5529" s="5" t="s">
        <v>15124</v>
      </c>
      <c r="C5529" s="1" t="s">
        <v>14173</v>
      </c>
      <c r="D5529" s="1" t="s">
        <v>14174</v>
      </c>
      <c r="E5529" s="7">
        <v>6</v>
      </c>
    </row>
    <row r="5530" spans="1:5" x14ac:dyDescent="0.25">
      <c r="A5530" s="5" t="s">
        <v>6</v>
      </c>
      <c r="B5530" s="5" t="s">
        <v>15125</v>
      </c>
      <c r="C5530" s="1" t="s">
        <v>15126</v>
      </c>
      <c r="D5530" s="1" t="s">
        <v>14201</v>
      </c>
      <c r="E5530" s="7">
        <v>15</v>
      </c>
    </row>
    <row r="5531" spans="1:5" x14ac:dyDescent="0.25">
      <c r="A5531" s="5" t="s">
        <v>6</v>
      </c>
      <c r="B5531" s="5" t="s">
        <v>15127</v>
      </c>
      <c r="C5531" s="1" t="s">
        <v>3228</v>
      </c>
      <c r="D5531" s="1" t="s">
        <v>3228</v>
      </c>
      <c r="E5531" s="7">
        <v>82.5</v>
      </c>
    </row>
    <row r="5532" spans="1:5" x14ac:dyDescent="0.25">
      <c r="A5532" s="5" t="s">
        <v>6</v>
      </c>
      <c r="B5532" s="5" t="s">
        <v>15128</v>
      </c>
      <c r="C5532" s="1" t="s">
        <v>15129</v>
      </c>
      <c r="D5532" s="1" t="s">
        <v>15130</v>
      </c>
      <c r="E5532" s="7">
        <v>30</v>
      </c>
    </row>
    <row r="5533" spans="1:5" x14ac:dyDescent="0.25">
      <c r="A5533" s="5" t="s">
        <v>6</v>
      </c>
      <c r="B5533" s="5" t="s">
        <v>15131</v>
      </c>
      <c r="C5533" s="1" t="s">
        <v>15132</v>
      </c>
      <c r="D5533" s="1" t="s">
        <v>14273</v>
      </c>
      <c r="E5533" s="7">
        <v>28.61</v>
      </c>
    </row>
    <row r="5534" spans="1:5" x14ac:dyDescent="0.25">
      <c r="A5534" s="5" t="s">
        <v>6</v>
      </c>
      <c r="B5534" s="5" t="s">
        <v>15133</v>
      </c>
      <c r="C5534" s="1" t="s">
        <v>15134</v>
      </c>
      <c r="D5534" s="1" t="s">
        <v>15134</v>
      </c>
      <c r="E5534" s="7">
        <v>5</v>
      </c>
    </row>
    <row r="5535" spans="1:5" x14ac:dyDescent="0.25">
      <c r="A5535" s="5" t="s">
        <v>6</v>
      </c>
      <c r="B5535" s="5" t="s">
        <v>15135</v>
      </c>
      <c r="C5535" s="1" t="s">
        <v>15136</v>
      </c>
      <c r="D5535" s="1" t="s">
        <v>14399</v>
      </c>
      <c r="E5535" s="7">
        <v>24.44</v>
      </c>
    </row>
    <row r="5536" spans="1:5" x14ac:dyDescent="0.25">
      <c r="A5536" s="5" t="s">
        <v>6</v>
      </c>
      <c r="B5536" s="5" t="s">
        <v>15137</v>
      </c>
      <c r="C5536" s="1" t="s">
        <v>15138</v>
      </c>
      <c r="D5536" s="1" t="s">
        <v>15139</v>
      </c>
      <c r="E5536" s="7">
        <v>2.25</v>
      </c>
    </row>
    <row r="5537" spans="1:5" x14ac:dyDescent="0.25">
      <c r="A5537" s="5" t="s">
        <v>6</v>
      </c>
      <c r="B5537" s="5" t="s">
        <v>15140</v>
      </c>
      <c r="C5537" s="1" t="s">
        <v>15141</v>
      </c>
      <c r="D5537" s="1" t="s">
        <v>2779</v>
      </c>
      <c r="E5537" s="7">
        <v>45</v>
      </c>
    </row>
    <row r="5538" spans="1:5" x14ac:dyDescent="0.25">
      <c r="A5538" s="5" t="s">
        <v>6</v>
      </c>
      <c r="B5538" s="5" t="s">
        <v>15142</v>
      </c>
      <c r="C5538" s="1" t="s">
        <v>15143</v>
      </c>
      <c r="D5538" s="1" t="s">
        <v>15143</v>
      </c>
      <c r="E5538" s="7">
        <v>10.5</v>
      </c>
    </row>
    <row r="5539" spans="1:5" x14ac:dyDescent="0.25">
      <c r="A5539" s="5" t="s">
        <v>6</v>
      </c>
      <c r="B5539" s="5" t="s">
        <v>15144</v>
      </c>
      <c r="C5539" s="1" t="s">
        <v>15145</v>
      </c>
      <c r="D5539" s="1" t="s">
        <v>15146</v>
      </c>
      <c r="E5539" s="7">
        <v>7</v>
      </c>
    </row>
    <row r="5540" spans="1:5" x14ac:dyDescent="0.25">
      <c r="A5540" s="5" t="s">
        <v>6</v>
      </c>
      <c r="B5540" s="5" t="s">
        <v>15147</v>
      </c>
      <c r="C5540" s="1" t="s">
        <v>15148</v>
      </c>
      <c r="D5540" s="1" t="s">
        <v>15149</v>
      </c>
      <c r="E5540" s="7">
        <v>30</v>
      </c>
    </row>
    <row r="5541" spans="1:5" x14ac:dyDescent="0.25">
      <c r="A5541" s="5" t="s">
        <v>6</v>
      </c>
      <c r="B5541" s="5" t="s">
        <v>15150</v>
      </c>
      <c r="C5541" s="1" t="s">
        <v>15151</v>
      </c>
      <c r="D5541" s="1" t="s">
        <v>15152</v>
      </c>
      <c r="E5541" s="7">
        <v>125</v>
      </c>
    </row>
    <row r="5542" spans="1:5" x14ac:dyDescent="0.25">
      <c r="A5542" s="5" t="s">
        <v>6</v>
      </c>
      <c r="B5542" s="5" t="s">
        <v>15153</v>
      </c>
      <c r="C5542" s="1" t="s">
        <v>15154</v>
      </c>
      <c r="D5542" s="1" t="s">
        <v>15155</v>
      </c>
      <c r="E5542" s="7">
        <v>125</v>
      </c>
    </row>
    <row r="5543" spans="1:5" x14ac:dyDescent="0.25">
      <c r="A5543" s="5" t="s">
        <v>6</v>
      </c>
      <c r="B5543" s="5" t="s">
        <v>15156</v>
      </c>
      <c r="C5543" s="1" t="s">
        <v>15157</v>
      </c>
      <c r="D5543" s="1" t="s">
        <v>15158</v>
      </c>
      <c r="E5543" s="7">
        <v>213.75</v>
      </c>
    </row>
    <row r="5544" spans="1:5" x14ac:dyDescent="0.25">
      <c r="A5544" s="5" t="s">
        <v>6</v>
      </c>
      <c r="B5544" s="5" t="s">
        <v>15159</v>
      </c>
      <c r="C5544" s="1" t="s">
        <v>15160</v>
      </c>
      <c r="D5544" s="1" t="s">
        <v>14743</v>
      </c>
      <c r="E5544" s="7">
        <v>89</v>
      </c>
    </row>
    <row r="5545" spans="1:5" x14ac:dyDescent="0.25">
      <c r="A5545" s="5" t="s">
        <v>6</v>
      </c>
      <c r="B5545" s="5" t="s">
        <v>15161</v>
      </c>
      <c r="C5545" s="1" t="s">
        <v>15162</v>
      </c>
      <c r="D5545" s="1" t="s">
        <v>14743</v>
      </c>
      <c r="E5545" s="7">
        <v>4.7699999999999996</v>
      </c>
    </row>
    <row r="5546" spans="1:5" x14ac:dyDescent="0.25">
      <c r="A5546" s="5" t="s">
        <v>6</v>
      </c>
      <c r="B5546" s="5" t="s">
        <v>15163</v>
      </c>
      <c r="C5546" s="1" t="s">
        <v>15164</v>
      </c>
      <c r="D5546" s="1" t="s">
        <v>14743</v>
      </c>
      <c r="E5546" s="7">
        <v>10</v>
      </c>
    </row>
    <row r="5547" spans="1:5" x14ac:dyDescent="0.25">
      <c r="A5547" s="5" t="s">
        <v>6</v>
      </c>
      <c r="B5547" s="5" t="s">
        <v>15165</v>
      </c>
      <c r="C5547" s="1" t="s">
        <v>15166</v>
      </c>
      <c r="D5547" s="1" t="s">
        <v>15167</v>
      </c>
      <c r="E5547" s="7">
        <v>36</v>
      </c>
    </row>
    <row r="5548" spans="1:5" x14ac:dyDescent="0.25">
      <c r="A5548" s="5" t="s">
        <v>6</v>
      </c>
      <c r="B5548" s="5" t="s">
        <v>15168</v>
      </c>
      <c r="C5548" s="1" t="s">
        <v>15169</v>
      </c>
      <c r="D5548" s="1" t="s">
        <v>15170</v>
      </c>
      <c r="E5548" s="7">
        <v>22</v>
      </c>
    </row>
    <row r="5549" spans="1:5" x14ac:dyDescent="0.25">
      <c r="A5549" s="5" t="s">
        <v>6</v>
      </c>
      <c r="B5549" s="5" t="s">
        <v>15171</v>
      </c>
      <c r="C5549" s="1" t="s">
        <v>15172</v>
      </c>
      <c r="D5549" s="1" t="s">
        <v>15173</v>
      </c>
      <c r="E5549" s="7">
        <v>40</v>
      </c>
    </row>
    <row r="5550" spans="1:5" x14ac:dyDescent="0.25">
      <c r="A5550" s="5" t="s">
        <v>6</v>
      </c>
      <c r="B5550" s="5" t="s">
        <v>15174</v>
      </c>
      <c r="C5550" s="1" t="s">
        <v>15175</v>
      </c>
      <c r="D5550" s="1" t="s">
        <v>14661</v>
      </c>
      <c r="E5550" s="7">
        <v>2.4700000000000002</v>
      </c>
    </row>
    <row r="5551" spans="1:5" x14ac:dyDescent="0.25">
      <c r="A5551" s="5" t="s">
        <v>6</v>
      </c>
      <c r="B5551" s="5" t="s">
        <v>15176</v>
      </c>
      <c r="C5551" s="1" t="s">
        <v>15177</v>
      </c>
      <c r="D5551" s="1" t="s">
        <v>14509</v>
      </c>
      <c r="E5551" s="7">
        <v>50</v>
      </c>
    </row>
    <row r="5552" spans="1:5" x14ac:dyDescent="0.25">
      <c r="A5552" s="5" t="s">
        <v>6</v>
      </c>
      <c r="B5552" s="5" t="s">
        <v>15178</v>
      </c>
      <c r="C5552" s="1" t="s">
        <v>15179</v>
      </c>
      <c r="D5552" s="1" t="s">
        <v>15180</v>
      </c>
      <c r="E5552" s="7">
        <v>32.25</v>
      </c>
    </row>
    <row r="5553" spans="1:5" x14ac:dyDescent="0.25">
      <c r="A5553" s="5" t="s">
        <v>6</v>
      </c>
      <c r="B5553" s="5" t="s">
        <v>15181</v>
      </c>
      <c r="C5553" s="1" t="s">
        <v>15182</v>
      </c>
      <c r="D5553" s="1" t="s">
        <v>15183</v>
      </c>
      <c r="E5553" s="7">
        <v>40</v>
      </c>
    </row>
    <row r="5554" spans="1:5" x14ac:dyDescent="0.25">
      <c r="A5554" s="5" t="s">
        <v>6</v>
      </c>
      <c r="B5554" s="5" t="s">
        <v>15184</v>
      </c>
      <c r="C5554" s="1" t="s">
        <v>15185</v>
      </c>
      <c r="D5554" s="1" t="s">
        <v>15186</v>
      </c>
      <c r="E5554" s="7">
        <v>8.15</v>
      </c>
    </row>
    <row r="5555" spans="1:5" x14ac:dyDescent="0.25">
      <c r="A5555" s="5" t="s">
        <v>6</v>
      </c>
      <c r="B5555" s="5" t="s">
        <v>15187</v>
      </c>
      <c r="C5555" s="1" t="s">
        <v>15188</v>
      </c>
      <c r="D5555" s="1" t="s">
        <v>15188</v>
      </c>
      <c r="E5555" s="7">
        <v>24.44</v>
      </c>
    </row>
    <row r="5556" spans="1:5" x14ac:dyDescent="0.25">
      <c r="A5556" s="5" t="s">
        <v>6</v>
      </c>
      <c r="B5556" s="5" t="s">
        <v>15189</v>
      </c>
      <c r="C5556" s="1" t="s">
        <v>15190</v>
      </c>
      <c r="D5556" s="1" t="s">
        <v>15190</v>
      </c>
      <c r="E5556" s="7">
        <v>16.72</v>
      </c>
    </row>
    <row r="5557" spans="1:5" x14ac:dyDescent="0.25">
      <c r="A5557" s="5" t="s">
        <v>6</v>
      </c>
      <c r="B5557" s="5" t="s">
        <v>15191</v>
      </c>
      <c r="C5557" s="1" t="s">
        <v>15192</v>
      </c>
      <c r="D5557" s="1" t="s">
        <v>15193</v>
      </c>
      <c r="E5557" s="7">
        <v>73.31</v>
      </c>
    </row>
    <row r="5558" spans="1:5" x14ac:dyDescent="0.25">
      <c r="A5558" s="5" t="s">
        <v>6</v>
      </c>
      <c r="B5558" s="5" t="s">
        <v>15194</v>
      </c>
      <c r="C5558" s="1" t="s">
        <v>15195</v>
      </c>
      <c r="D5558" s="1" t="s">
        <v>15196</v>
      </c>
      <c r="E5558" s="7">
        <v>5.3</v>
      </c>
    </row>
    <row r="5559" spans="1:5" x14ac:dyDescent="0.25">
      <c r="A5559" s="5" t="s">
        <v>6</v>
      </c>
      <c r="B5559" s="5" t="s">
        <v>15197</v>
      </c>
      <c r="C5559" s="1" t="s">
        <v>15198</v>
      </c>
      <c r="D5559" s="1" t="s">
        <v>15199</v>
      </c>
      <c r="E5559" s="7">
        <v>7.25</v>
      </c>
    </row>
    <row r="5560" spans="1:5" x14ac:dyDescent="0.25">
      <c r="A5560" s="5" t="s">
        <v>6</v>
      </c>
      <c r="B5560" s="5" t="s">
        <v>15200</v>
      </c>
      <c r="C5560" s="1" t="s">
        <v>15201</v>
      </c>
      <c r="D5560" s="1" t="s">
        <v>15199</v>
      </c>
      <c r="E5560" s="7">
        <v>11</v>
      </c>
    </row>
    <row r="5561" spans="1:5" x14ac:dyDescent="0.25">
      <c r="A5561" s="5" t="s">
        <v>6</v>
      </c>
      <c r="B5561" s="5" t="s">
        <v>15202</v>
      </c>
      <c r="C5561" s="1" t="s">
        <v>15203</v>
      </c>
      <c r="D5561" s="1" t="s">
        <v>14701</v>
      </c>
      <c r="E5561" s="7">
        <v>10</v>
      </c>
    </row>
    <row r="5562" spans="1:5" x14ac:dyDescent="0.25">
      <c r="A5562" s="5" t="s">
        <v>6</v>
      </c>
      <c r="B5562" s="5" t="s">
        <v>15204</v>
      </c>
      <c r="C5562" s="1" t="s">
        <v>15205</v>
      </c>
      <c r="D5562" s="1" t="s">
        <v>14540</v>
      </c>
      <c r="E5562" s="7">
        <v>15.75</v>
      </c>
    </row>
    <row r="5563" spans="1:5" x14ac:dyDescent="0.25">
      <c r="A5563" s="5" t="s">
        <v>6</v>
      </c>
      <c r="B5563" s="5" t="s">
        <v>15206</v>
      </c>
      <c r="C5563" s="1" t="s">
        <v>15207</v>
      </c>
      <c r="D5563" s="1" t="s">
        <v>14540</v>
      </c>
      <c r="E5563" s="7">
        <v>18</v>
      </c>
    </row>
    <row r="5564" spans="1:5" x14ac:dyDescent="0.25">
      <c r="A5564" s="5" t="s">
        <v>6</v>
      </c>
      <c r="B5564" s="5" t="s">
        <v>15208</v>
      </c>
      <c r="C5564" s="1" t="s">
        <v>15209</v>
      </c>
      <c r="D5564" s="1" t="s">
        <v>14836</v>
      </c>
      <c r="E5564" s="7">
        <v>12.48</v>
      </c>
    </row>
    <row r="5565" spans="1:5" x14ac:dyDescent="0.25">
      <c r="A5565" s="5" t="s">
        <v>6</v>
      </c>
      <c r="B5565" s="5" t="s">
        <v>15210</v>
      </c>
      <c r="C5565" s="1" t="s">
        <v>15211</v>
      </c>
      <c r="D5565" s="1" t="s">
        <v>14836</v>
      </c>
      <c r="E5565" s="7">
        <v>13</v>
      </c>
    </row>
    <row r="5566" spans="1:5" x14ac:dyDescent="0.25">
      <c r="A5566" s="5" t="s">
        <v>6</v>
      </c>
      <c r="B5566" s="5" t="s">
        <v>15212</v>
      </c>
      <c r="C5566" s="1" t="s">
        <v>15213</v>
      </c>
      <c r="D5566" s="1" t="s">
        <v>14862</v>
      </c>
      <c r="E5566" s="7">
        <v>21.26</v>
      </c>
    </row>
    <row r="5567" spans="1:5" x14ac:dyDescent="0.25">
      <c r="A5567" s="5" t="s">
        <v>6</v>
      </c>
      <c r="B5567" s="5" t="s">
        <v>15214</v>
      </c>
      <c r="C5567" s="1" t="s">
        <v>15215</v>
      </c>
      <c r="D5567" s="1" t="s">
        <v>14965</v>
      </c>
      <c r="E5567" s="7">
        <v>60</v>
      </c>
    </row>
    <row r="5568" spans="1:5" x14ac:dyDescent="0.25">
      <c r="A5568" s="5" t="s">
        <v>6</v>
      </c>
      <c r="B5568" s="5" t="s">
        <v>15216</v>
      </c>
      <c r="C5568" s="1" t="s">
        <v>15217</v>
      </c>
      <c r="D5568" s="1" t="s">
        <v>15218</v>
      </c>
      <c r="E5568" s="7">
        <v>45.4</v>
      </c>
    </row>
    <row r="5569" spans="1:5" x14ac:dyDescent="0.25">
      <c r="A5569" s="5" t="s">
        <v>6</v>
      </c>
      <c r="B5569" s="5" t="s">
        <v>15219</v>
      </c>
      <c r="C5569" s="1" t="s">
        <v>15220</v>
      </c>
      <c r="D5569" s="1" t="s">
        <v>15221</v>
      </c>
      <c r="E5569" s="7">
        <v>43.81</v>
      </c>
    </row>
    <row r="5570" spans="1:5" x14ac:dyDescent="0.25">
      <c r="A5570" s="5" t="s">
        <v>6</v>
      </c>
      <c r="B5570" s="5" t="s">
        <v>15222</v>
      </c>
      <c r="C5570" s="1" t="s">
        <v>15223</v>
      </c>
      <c r="D5570" s="1" t="s">
        <v>14806</v>
      </c>
      <c r="E5570" s="7">
        <v>22.17</v>
      </c>
    </row>
    <row r="5571" spans="1:5" x14ac:dyDescent="0.25">
      <c r="A5571" s="5" t="s">
        <v>6</v>
      </c>
      <c r="B5571" s="5" t="s">
        <v>15224</v>
      </c>
      <c r="C5571" s="1" t="s">
        <v>15225</v>
      </c>
      <c r="D5571" s="1" t="s">
        <v>15226</v>
      </c>
      <c r="E5571" s="7">
        <v>59.5</v>
      </c>
    </row>
    <row r="5572" spans="1:5" x14ac:dyDescent="0.25">
      <c r="A5572" s="5" t="s">
        <v>6</v>
      </c>
      <c r="B5572" s="5" t="s">
        <v>15227</v>
      </c>
      <c r="C5572" s="1" t="s">
        <v>15228</v>
      </c>
      <c r="D5572" s="1" t="s">
        <v>14977</v>
      </c>
      <c r="E5572" s="7">
        <v>5.27</v>
      </c>
    </row>
    <row r="5573" spans="1:5" x14ac:dyDescent="0.25">
      <c r="A5573" s="5" t="s">
        <v>6</v>
      </c>
      <c r="B5573" s="5" t="s">
        <v>15229</v>
      </c>
      <c r="C5573" s="1" t="s">
        <v>15230</v>
      </c>
      <c r="D5573" s="1" t="s">
        <v>15231</v>
      </c>
      <c r="E5573" s="7">
        <v>68</v>
      </c>
    </row>
    <row r="5574" spans="1:5" x14ac:dyDescent="0.25">
      <c r="A5574" s="5" t="s">
        <v>6</v>
      </c>
      <c r="B5574" s="5" t="s">
        <v>15232</v>
      </c>
      <c r="C5574" s="1" t="s">
        <v>15233</v>
      </c>
      <c r="D5574" s="1" t="s">
        <v>15068</v>
      </c>
      <c r="E5574" s="7">
        <v>40.5</v>
      </c>
    </row>
    <row r="5575" spans="1:5" x14ac:dyDescent="0.25">
      <c r="A5575" s="5" t="s">
        <v>6</v>
      </c>
      <c r="B5575" s="5" t="s">
        <v>15234</v>
      </c>
      <c r="C5575" s="1" t="s">
        <v>15235</v>
      </c>
      <c r="D5575" s="1" t="s">
        <v>15068</v>
      </c>
      <c r="E5575" s="7">
        <v>150</v>
      </c>
    </row>
    <row r="5576" spans="1:5" x14ac:dyDescent="0.25">
      <c r="A5576" s="5" t="s">
        <v>6</v>
      </c>
      <c r="B5576" s="5" t="s">
        <v>15236</v>
      </c>
      <c r="C5576" s="1" t="s">
        <v>15237</v>
      </c>
      <c r="D5576" s="1" t="s">
        <v>15061</v>
      </c>
      <c r="E5576" s="7">
        <v>75</v>
      </c>
    </row>
    <row r="5577" spans="1:5" x14ac:dyDescent="0.25">
      <c r="A5577" s="5" t="s">
        <v>6</v>
      </c>
      <c r="B5577" s="5" t="s">
        <v>15238</v>
      </c>
      <c r="C5577" s="1" t="s">
        <v>15239</v>
      </c>
      <c r="D5577" s="1" t="s">
        <v>3226</v>
      </c>
      <c r="E5577" s="7">
        <v>12.25</v>
      </c>
    </row>
    <row r="5578" spans="1:5" x14ac:dyDescent="0.25">
      <c r="A5578" s="5" t="s">
        <v>6</v>
      </c>
      <c r="B5578" s="5" t="s">
        <v>15240</v>
      </c>
      <c r="C5578" s="1" t="s">
        <v>15241</v>
      </c>
      <c r="D5578" s="1" t="s">
        <v>15068</v>
      </c>
      <c r="E5578" s="7">
        <v>20.05</v>
      </c>
    </row>
    <row r="5579" spans="1:5" x14ac:dyDescent="0.25">
      <c r="A5579" s="5" t="s">
        <v>6</v>
      </c>
      <c r="B5579" s="5" t="s">
        <v>15242</v>
      </c>
      <c r="C5579" s="1" t="s">
        <v>15243</v>
      </c>
      <c r="D5579" s="1" t="s">
        <v>15244</v>
      </c>
      <c r="E5579" s="7">
        <v>134</v>
      </c>
    </row>
    <row r="5580" spans="1:5" x14ac:dyDescent="0.25">
      <c r="A5580" s="5" t="s">
        <v>6</v>
      </c>
      <c r="B5580" s="5" t="s">
        <v>15245</v>
      </c>
      <c r="C5580" s="1" t="s">
        <v>15246</v>
      </c>
      <c r="D5580" s="1" t="s">
        <v>15247</v>
      </c>
      <c r="E5580" s="7">
        <v>32.43</v>
      </c>
    </row>
    <row r="5581" spans="1:5" x14ac:dyDescent="0.25">
      <c r="A5581" s="5" t="s">
        <v>6</v>
      </c>
      <c r="B5581" s="5" t="s">
        <v>15248</v>
      </c>
      <c r="C5581" s="1" t="s">
        <v>15249</v>
      </c>
      <c r="D5581" s="1" t="s">
        <v>15250</v>
      </c>
      <c r="E5581" s="7">
        <v>18.75</v>
      </c>
    </row>
    <row r="5582" spans="1:5" x14ac:dyDescent="0.25">
      <c r="A5582" s="5" t="s">
        <v>6</v>
      </c>
      <c r="B5582" s="5" t="s">
        <v>15251</v>
      </c>
      <c r="C5582" s="1" t="s">
        <v>15252</v>
      </c>
      <c r="D5582" s="1" t="s">
        <v>15253</v>
      </c>
      <c r="E5582" s="7">
        <v>50</v>
      </c>
    </row>
    <row r="5583" spans="1:5" x14ac:dyDescent="0.25">
      <c r="A5583" s="5" t="s">
        <v>6</v>
      </c>
      <c r="B5583" s="5" t="s">
        <v>15254</v>
      </c>
      <c r="C5583" s="1" t="s">
        <v>15255</v>
      </c>
      <c r="D5583" s="1" t="s">
        <v>15256</v>
      </c>
      <c r="E5583" s="7">
        <v>50</v>
      </c>
    </row>
    <row r="5584" spans="1:5" x14ac:dyDescent="0.25">
      <c r="A5584" s="5" t="s">
        <v>6</v>
      </c>
      <c r="B5584" s="5" t="s">
        <v>15257</v>
      </c>
      <c r="C5584" s="1" t="s">
        <v>15258</v>
      </c>
      <c r="D5584" s="1" t="s">
        <v>15259</v>
      </c>
      <c r="E5584" s="7">
        <v>34.28</v>
      </c>
    </row>
    <row r="5585" spans="1:5" x14ac:dyDescent="0.25">
      <c r="A5585" s="5" t="s">
        <v>6</v>
      </c>
      <c r="B5585" s="5" t="s">
        <v>15260</v>
      </c>
      <c r="C5585" s="1" t="s">
        <v>15261</v>
      </c>
      <c r="D5585" s="1" t="s">
        <v>15262</v>
      </c>
      <c r="E5585" s="7">
        <v>88</v>
      </c>
    </row>
    <row r="5586" spans="1:5" x14ac:dyDescent="0.25">
      <c r="A5586" s="5" t="s">
        <v>6</v>
      </c>
      <c r="B5586" s="5" t="s">
        <v>15263</v>
      </c>
      <c r="C5586" s="1" t="s">
        <v>15264</v>
      </c>
      <c r="D5586" s="1" t="s">
        <v>15265</v>
      </c>
      <c r="E5586" s="7">
        <v>285.08</v>
      </c>
    </row>
    <row r="5587" spans="1:5" x14ac:dyDescent="0.25">
      <c r="A5587" s="5" t="s">
        <v>6</v>
      </c>
      <c r="B5587" s="5" t="s">
        <v>15266</v>
      </c>
      <c r="C5587" s="1" t="s">
        <v>15267</v>
      </c>
      <c r="D5587" s="1" t="s">
        <v>15268</v>
      </c>
      <c r="E5587" s="7">
        <v>55</v>
      </c>
    </row>
    <row r="5588" spans="1:5" x14ac:dyDescent="0.25">
      <c r="A5588" s="5" t="s">
        <v>6</v>
      </c>
      <c r="B5588" s="5" t="s">
        <v>15269</v>
      </c>
      <c r="C5588" s="1" t="s">
        <v>15270</v>
      </c>
      <c r="D5588" s="1" t="s">
        <v>15271</v>
      </c>
      <c r="E5588" s="7">
        <v>61.09</v>
      </c>
    </row>
    <row r="5589" spans="1:5" x14ac:dyDescent="0.25">
      <c r="A5589" s="5" t="s">
        <v>6</v>
      </c>
      <c r="B5589" s="5" t="s">
        <v>15272</v>
      </c>
      <c r="C5589" s="1" t="s">
        <v>15273</v>
      </c>
      <c r="D5589" s="1" t="s">
        <v>15273</v>
      </c>
      <c r="E5589" s="7">
        <v>202</v>
      </c>
    </row>
    <row r="5590" spans="1:5" x14ac:dyDescent="0.25">
      <c r="A5590" s="5" t="s">
        <v>6</v>
      </c>
      <c r="B5590" s="5" t="s">
        <v>15274</v>
      </c>
      <c r="C5590" s="1" t="s">
        <v>15275</v>
      </c>
      <c r="D5590" s="1" t="s">
        <v>15275</v>
      </c>
      <c r="E5590" s="7">
        <v>14.66</v>
      </c>
    </row>
    <row r="5591" spans="1:5" x14ac:dyDescent="0.25">
      <c r="A5591" s="5" t="s">
        <v>6</v>
      </c>
      <c r="B5591" s="5" t="s">
        <v>15276</v>
      </c>
      <c r="C5591" s="1" t="s">
        <v>15277</v>
      </c>
      <c r="D5591" s="1" t="s">
        <v>15278</v>
      </c>
      <c r="E5591" s="7">
        <v>4.5999999999999996</v>
      </c>
    </row>
    <row r="5592" spans="1:5" x14ac:dyDescent="0.25">
      <c r="A5592" s="5" t="s">
        <v>6</v>
      </c>
      <c r="B5592" s="5" t="s">
        <v>15279</v>
      </c>
      <c r="C5592" s="1" t="s">
        <v>15280</v>
      </c>
      <c r="D5592" s="1" t="s">
        <v>15199</v>
      </c>
      <c r="E5592" s="7">
        <v>8.15</v>
      </c>
    </row>
    <row r="5593" spans="1:5" x14ac:dyDescent="0.25">
      <c r="A5593" s="5" t="s">
        <v>6</v>
      </c>
      <c r="B5593" s="5" t="s">
        <v>15281</v>
      </c>
      <c r="C5593" s="1" t="s">
        <v>14343</v>
      </c>
      <c r="D5593" s="1" t="s">
        <v>14343</v>
      </c>
      <c r="E5593" s="7">
        <v>7.93</v>
      </c>
    </row>
    <row r="5594" spans="1:5" x14ac:dyDescent="0.25">
      <c r="A5594" s="5" t="s">
        <v>6</v>
      </c>
      <c r="B5594" s="5" t="s">
        <v>15282</v>
      </c>
      <c r="C5594" s="1" t="s">
        <v>14789</v>
      </c>
      <c r="D5594" s="1" t="s">
        <v>14789</v>
      </c>
      <c r="E5594" s="7">
        <v>13.03</v>
      </c>
    </row>
    <row r="5595" spans="1:5" x14ac:dyDescent="0.25">
      <c r="A5595" s="5" t="s">
        <v>6</v>
      </c>
      <c r="B5595" s="5" t="s">
        <v>15283</v>
      </c>
      <c r="C5595" s="1" t="s">
        <v>15284</v>
      </c>
      <c r="D5595" s="1" t="s">
        <v>15285</v>
      </c>
      <c r="E5595" s="7">
        <v>203.63</v>
      </c>
    </row>
    <row r="5596" spans="1:5" x14ac:dyDescent="0.25">
      <c r="A5596" s="5" t="s">
        <v>6</v>
      </c>
      <c r="B5596" s="5" t="s">
        <v>15286</v>
      </c>
      <c r="C5596" s="1" t="s">
        <v>15287</v>
      </c>
      <c r="D5596" s="1" t="s">
        <v>15288</v>
      </c>
      <c r="E5596" s="7">
        <v>126</v>
      </c>
    </row>
    <row r="5597" spans="1:5" x14ac:dyDescent="0.25">
      <c r="A5597" s="5" t="s">
        <v>6</v>
      </c>
      <c r="B5597" s="5" t="s">
        <v>15289</v>
      </c>
      <c r="C5597" s="1" t="s">
        <v>15290</v>
      </c>
      <c r="D5597" s="1" t="s">
        <v>15256</v>
      </c>
      <c r="E5597" s="7">
        <v>100</v>
      </c>
    </row>
    <row r="5598" spans="1:5" x14ac:dyDescent="0.25">
      <c r="A5598" s="5" t="s">
        <v>6</v>
      </c>
      <c r="B5598" s="5" t="s">
        <v>15291</v>
      </c>
      <c r="C5598" s="1" t="s">
        <v>15292</v>
      </c>
      <c r="D5598" s="1" t="s">
        <v>15293</v>
      </c>
      <c r="E5598" s="7">
        <v>275</v>
      </c>
    </row>
    <row r="5599" spans="1:5" x14ac:dyDescent="0.25">
      <c r="A5599" s="5" t="s">
        <v>6</v>
      </c>
      <c r="B5599" s="5" t="s">
        <v>15294</v>
      </c>
      <c r="C5599" s="1" t="s">
        <v>15295</v>
      </c>
      <c r="D5599" s="1" t="s">
        <v>15296</v>
      </c>
      <c r="E5599" s="7">
        <v>110</v>
      </c>
    </row>
    <row r="5600" spans="1:5" x14ac:dyDescent="0.25">
      <c r="A5600" s="5" t="s">
        <v>6</v>
      </c>
      <c r="B5600" s="5" t="s">
        <v>15297</v>
      </c>
      <c r="C5600" s="1" t="s">
        <v>15298</v>
      </c>
      <c r="D5600" s="1" t="s">
        <v>15299</v>
      </c>
      <c r="E5600" s="7">
        <v>300</v>
      </c>
    </row>
    <row r="5601" spans="1:5" x14ac:dyDescent="0.25">
      <c r="A5601" s="5" t="s">
        <v>6</v>
      </c>
      <c r="B5601" s="5" t="s">
        <v>15300</v>
      </c>
      <c r="C5601" s="1" t="s">
        <v>15301</v>
      </c>
      <c r="D5601" s="1" t="s">
        <v>13808</v>
      </c>
      <c r="E5601" s="7">
        <v>280</v>
      </c>
    </row>
    <row r="5602" spans="1:5" x14ac:dyDescent="0.25">
      <c r="A5602" s="5" t="s">
        <v>6</v>
      </c>
      <c r="B5602" s="5" t="s">
        <v>15302</v>
      </c>
      <c r="C5602" s="1" t="s">
        <v>15303</v>
      </c>
      <c r="D5602" s="1" t="s">
        <v>15304</v>
      </c>
      <c r="E5602" s="7">
        <v>310</v>
      </c>
    </row>
    <row r="5603" spans="1:5" x14ac:dyDescent="0.25">
      <c r="A5603" s="5" t="s">
        <v>6</v>
      </c>
      <c r="B5603" s="5" t="s">
        <v>15305</v>
      </c>
      <c r="C5603" s="1" t="s">
        <v>15306</v>
      </c>
      <c r="D5603" s="1" t="s">
        <v>15307</v>
      </c>
      <c r="E5603" s="7">
        <v>210</v>
      </c>
    </row>
    <row r="5604" spans="1:5" x14ac:dyDescent="0.25">
      <c r="A5604" s="5" t="s">
        <v>6</v>
      </c>
      <c r="B5604" s="5" t="s">
        <v>15308</v>
      </c>
      <c r="C5604" s="1" t="s">
        <v>15309</v>
      </c>
      <c r="D5604" s="1" t="s">
        <v>15310</v>
      </c>
      <c r="E5604" s="7">
        <v>271</v>
      </c>
    </row>
    <row r="5605" spans="1:5" x14ac:dyDescent="0.25">
      <c r="A5605" s="5" t="s">
        <v>6</v>
      </c>
      <c r="B5605" s="5" t="s">
        <v>15311</v>
      </c>
      <c r="C5605" s="1" t="s">
        <v>15312</v>
      </c>
      <c r="D5605" s="1" t="s">
        <v>15313</v>
      </c>
      <c r="E5605" s="7">
        <v>410</v>
      </c>
    </row>
    <row r="5606" spans="1:5" x14ac:dyDescent="0.25">
      <c r="A5606" s="5" t="s">
        <v>6</v>
      </c>
      <c r="B5606" s="5" t="s">
        <v>15314</v>
      </c>
      <c r="C5606" s="1" t="s">
        <v>15315</v>
      </c>
      <c r="D5606" s="1" t="s">
        <v>15316</v>
      </c>
      <c r="E5606" s="7">
        <v>221</v>
      </c>
    </row>
    <row r="5607" spans="1:5" x14ac:dyDescent="0.25">
      <c r="A5607" s="5" t="s">
        <v>6</v>
      </c>
      <c r="B5607" s="5" t="s">
        <v>15317</v>
      </c>
      <c r="C5607" s="1" t="s">
        <v>15318</v>
      </c>
      <c r="D5607" s="1" t="s">
        <v>15318</v>
      </c>
      <c r="E5607" s="7">
        <v>201</v>
      </c>
    </row>
    <row r="5608" spans="1:5" x14ac:dyDescent="0.25">
      <c r="A5608" s="5" t="s">
        <v>6</v>
      </c>
      <c r="B5608" s="5" t="s">
        <v>15319</v>
      </c>
      <c r="C5608" s="1" t="s">
        <v>15320</v>
      </c>
      <c r="D5608" s="1" t="s">
        <v>15321</v>
      </c>
      <c r="E5608" s="7">
        <v>258</v>
      </c>
    </row>
    <row r="5609" spans="1:5" x14ac:dyDescent="0.25">
      <c r="A5609" s="5" t="s">
        <v>6</v>
      </c>
      <c r="B5609" s="5" t="s">
        <v>15322</v>
      </c>
      <c r="C5609" s="1" t="s">
        <v>15323</v>
      </c>
      <c r="D5609" s="1" t="s">
        <v>15323</v>
      </c>
      <c r="E5609" s="7">
        <v>360</v>
      </c>
    </row>
    <row r="5610" spans="1:5" x14ac:dyDescent="0.25">
      <c r="A5610" s="5" t="s">
        <v>6</v>
      </c>
      <c r="B5610" s="5" t="s">
        <v>15324</v>
      </c>
      <c r="C5610" s="1" t="s">
        <v>15325</v>
      </c>
      <c r="D5610" s="1" t="s">
        <v>15326</v>
      </c>
      <c r="E5610" s="7">
        <v>482</v>
      </c>
    </row>
    <row r="5611" spans="1:5" x14ac:dyDescent="0.25">
      <c r="A5611" s="5" t="s">
        <v>6</v>
      </c>
      <c r="B5611" s="5" t="s">
        <v>15327</v>
      </c>
      <c r="C5611" s="1" t="s">
        <v>15328</v>
      </c>
      <c r="D5611" s="1" t="s">
        <v>15329</v>
      </c>
      <c r="E5611" s="7">
        <v>290</v>
      </c>
    </row>
    <row r="5612" spans="1:5" x14ac:dyDescent="0.25">
      <c r="A5612" s="5" t="s">
        <v>6</v>
      </c>
      <c r="B5612" s="5" t="s">
        <v>15330</v>
      </c>
      <c r="C5612" s="1" t="s">
        <v>15331</v>
      </c>
      <c r="D5612" s="1" t="s">
        <v>15332</v>
      </c>
      <c r="E5612" s="7">
        <v>270</v>
      </c>
    </row>
    <row r="5613" spans="1:5" x14ac:dyDescent="0.25">
      <c r="A5613" s="5" t="s">
        <v>6</v>
      </c>
      <c r="B5613" s="5" t="s">
        <v>15333</v>
      </c>
      <c r="C5613" s="1" t="s">
        <v>13830</v>
      </c>
      <c r="D5613" s="1" t="s">
        <v>13831</v>
      </c>
      <c r="E5613" s="7">
        <v>280</v>
      </c>
    </row>
    <row r="5614" spans="1:5" x14ac:dyDescent="0.25">
      <c r="A5614" s="5" t="s">
        <v>6</v>
      </c>
      <c r="B5614" s="5" t="s">
        <v>15334</v>
      </c>
      <c r="C5614" s="1" t="s">
        <v>15335</v>
      </c>
      <c r="D5614" s="1" t="s">
        <v>15336</v>
      </c>
      <c r="E5614" s="7">
        <v>250</v>
      </c>
    </row>
    <row r="5615" spans="1:5" x14ac:dyDescent="0.25">
      <c r="A5615" s="5" t="s">
        <v>6</v>
      </c>
      <c r="B5615" s="5" t="s">
        <v>15337</v>
      </c>
      <c r="C5615" s="1" t="s">
        <v>15338</v>
      </c>
      <c r="D5615" s="1" t="s">
        <v>15339</v>
      </c>
      <c r="E5615" s="7">
        <v>250</v>
      </c>
    </row>
    <row r="5616" spans="1:5" x14ac:dyDescent="0.25">
      <c r="A5616" s="5" t="s">
        <v>6</v>
      </c>
      <c r="B5616" s="5" t="s">
        <v>15340</v>
      </c>
      <c r="C5616" s="1" t="s">
        <v>13839</v>
      </c>
      <c r="D5616" s="1" t="s">
        <v>13840</v>
      </c>
      <c r="E5616" s="7">
        <v>80</v>
      </c>
    </row>
    <row r="5617" spans="1:5" x14ac:dyDescent="0.25">
      <c r="A5617" s="5" t="s">
        <v>6</v>
      </c>
      <c r="B5617" s="5" t="s">
        <v>15341</v>
      </c>
      <c r="C5617" s="1" t="s">
        <v>15342</v>
      </c>
      <c r="D5617" s="1" t="s">
        <v>15343</v>
      </c>
      <c r="E5617" s="7">
        <v>1312</v>
      </c>
    </row>
    <row r="5618" spans="1:5" x14ac:dyDescent="0.25">
      <c r="A5618" s="5" t="s">
        <v>6</v>
      </c>
      <c r="B5618" s="5" t="s">
        <v>15344</v>
      </c>
      <c r="C5618" s="1" t="s">
        <v>13857</v>
      </c>
      <c r="D5618" s="1" t="s">
        <v>13858</v>
      </c>
      <c r="E5618" s="7">
        <v>2040</v>
      </c>
    </row>
    <row r="5619" spans="1:5" x14ac:dyDescent="0.25">
      <c r="A5619" s="5" t="s">
        <v>6</v>
      </c>
      <c r="B5619" s="5" t="s">
        <v>15345</v>
      </c>
      <c r="C5619" s="1" t="s">
        <v>15346</v>
      </c>
      <c r="D5619" s="1" t="s">
        <v>15347</v>
      </c>
      <c r="E5619" s="7">
        <v>1463</v>
      </c>
    </row>
    <row r="5620" spans="1:5" x14ac:dyDescent="0.25">
      <c r="A5620" s="5" t="s">
        <v>6</v>
      </c>
      <c r="B5620" s="5" t="s">
        <v>15348</v>
      </c>
      <c r="C5620" s="1" t="s">
        <v>3276</v>
      </c>
      <c r="D5620" s="1" t="s">
        <v>3277</v>
      </c>
      <c r="E5620" s="7">
        <v>100</v>
      </c>
    </row>
    <row r="5621" spans="1:5" x14ac:dyDescent="0.25">
      <c r="A5621" s="5" t="s">
        <v>6</v>
      </c>
      <c r="B5621" s="5" t="s">
        <v>15349</v>
      </c>
      <c r="C5621" s="1" t="s">
        <v>15350</v>
      </c>
      <c r="D5621" s="1" t="s">
        <v>15350</v>
      </c>
      <c r="E5621" s="7">
        <v>410</v>
      </c>
    </row>
    <row r="5622" spans="1:5" x14ac:dyDescent="0.25">
      <c r="A5622" s="5" t="s">
        <v>6</v>
      </c>
      <c r="B5622" s="5" t="s">
        <v>15351</v>
      </c>
      <c r="C5622" s="1" t="s">
        <v>3291</v>
      </c>
      <c r="D5622" s="1" t="s">
        <v>3292</v>
      </c>
      <c r="E5622" s="7">
        <v>140</v>
      </c>
    </row>
    <row r="5623" spans="1:5" x14ac:dyDescent="0.25">
      <c r="A5623" s="5" t="s">
        <v>6</v>
      </c>
      <c r="B5623" s="5" t="s">
        <v>15352</v>
      </c>
      <c r="C5623" s="1" t="s">
        <v>15353</v>
      </c>
      <c r="D5623" s="1" t="s">
        <v>15354</v>
      </c>
      <c r="E5623" s="7">
        <v>500</v>
      </c>
    </row>
    <row r="5624" spans="1:5" x14ac:dyDescent="0.25">
      <c r="A5624" s="5" t="s">
        <v>6</v>
      </c>
      <c r="B5624" s="5" t="s">
        <v>15355</v>
      </c>
      <c r="C5624" s="1" t="s">
        <v>15356</v>
      </c>
      <c r="D5624" s="1" t="s">
        <v>15357</v>
      </c>
      <c r="E5624" s="7">
        <v>500</v>
      </c>
    </row>
    <row r="5625" spans="1:5" x14ac:dyDescent="0.25">
      <c r="A5625" s="5" t="s">
        <v>6</v>
      </c>
      <c r="B5625" s="5" t="s">
        <v>15358</v>
      </c>
      <c r="C5625" s="1" t="s">
        <v>15359</v>
      </c>
      <c r="D5625" s="1" t="s">
        <v>15360</v>
      </c>
      <c r="E5625" s="7">
        <v>90</v>
      </c>
    </row>
    <row r="5626" spans="1:5" x14ac:dyDescent="0.25">
      <c r="A5626" s="5" t="s">
        <v>6</v>
      </c>
      <c r="B5626" s="5" t="s">
        <v>15361</v>
      </c>
      <c r="C5626" s="1" t="s">
        <v>13672</v>
      </c>
      <c r="D5626" s="1" t="s">
        <v>13673</v>
      </c>
      <c r="E5626" s="7">
        <v>91</v>
      </c>
    </row>
    <row r="5627" spans="1:5" x14ac:dyDescent="0.25">
      <c r="A5627" s="5" t="s">
        <v>6</v>
      </c>
      <c r="B5627" s="5" t="s">
        <v>15362</v>
      </c>
      <c r="C5627" s="1" t="s">
        <v>13619</v>
      </c>
      <c r="D5627" s="1" t="s">
        <v>13620</v>
      </c>
      <c r="E5627" s="7">
        <v>14.96</v>
      </c>
    </row>
    <row r="5628" spans="1:5" x14ac:dyDescent="0.25">
      <c r="A5628" s="5" t="s">
        <v>6</v>
      </c>
      <c r="B5628" s="5" t="s">
        <v>15363</v>
      </c>
      <c r="C5628" s="1" t="s">
        <v>15364</v>
      </c>
      <c r="D5628" s="1" t="s">
        <v>15365</v>
      </c>
      <c r="E5628" s="7">
        <v>75</v>
      </c>
    </row>
    <row r="5629" spans="1:5" x14ac:dyDescent="0.25">
      <c r="A5629" s="5" t="s">
        <v>6</v>
      </c>
      <c r="B5629" s="5" t="s">
        <v>15366</v>
      </c>
      <c r="C5629" s="1" t="s">
        <v>15367</v>
      </c>
      <c r="D5629" s="1" t="s">
        <v>15368</v>
      </c>
      <c r="E5629" s="7">
        <v>75</v>
      </c>
    </row>
    <row r="5630" spans="1:5" x14ac:dyDescent="0.25">
      <c r="A5630" s="5" t="s">
        <v>6</v>
      </c>
      <c r="B5630" s="5" t="s">
        <v>15369</v>
      </c>
      <c r="C5630" s="1" t="s">
        <v>15370</v>
      </c>
      <c r="D5630" s="1" t="s">
        <v>15371</v>
      </c>
      <c r="E5630" s="7">
        <v>75</v>
      </c>
    </row>
    <row r="5631" spans="1:5" x14ac:dyDescent="0.25">
      <c r="A5631" s="5" t="s">
        <v>6</v>
      </c>
      <c r="B5631" s="5" t="s">
        <v>15372</v>
      </c>
      <c r="C5631" s="1" t="s">
        <v>15373</v>
      </c>
      <c r="D5631" s="1" t="s">
        <v>15374</v>
      </c>
      <c r="E5631" s="7">
        <v>330</v>
      </c>
    </row>
    <row r="5632" spans="1:5" x14ac:dyDescent="0.25">
      <c r="A5632" s="5" t="s">
        <v>6</v>
      </c>
      <c r="B5632" s="5" t="s">
        <v>15375</v>
      </c>
      <c r="C5632" s="1" t="s">
        <v>15376</v>
      </c>
      <c r="D5632" s="1" t="s">
        <v>15377</v>
      </c>
      <c r="E5632" s="7">
        <v>330</v>
      </c>
    </row>
    <row r="5633" spans="1:5" x14ac:dyDescent="0.25">
      <c r="A5633" s="5" t="s">
        <v>6</v>
      </c>
      <c r="B5633" s="5" t="s">
        <v>15378</v>
      </c>
      <c r="C5633" s="1" t="s">
        <v>13622</v>
      </c>
      <c r="D5633" s="1" t="s">
        <v>13623</v>
      </c>
      <c r="E5633" s="7">
        <v>330</v>
      </c>
    </row>
    <row r="5634" spans="1:5" x14ac:dyDescent="0.25">
      <c r="A5634" s="5" t="s">
        <v>6</v>
      </c>
      <c r="B5634" s="5" t="s">
        <v>15379</v>
      </c>
      <c r="C5634" s="1" t="s">
        <v>15380</v>
      </c>
      <c r="D5634" s="1" t="s">
        <v>15381</v>
      </c>
      <c r="E5634" s="7">
        <v>330</v>
      </c>
    </row>
    <row r="5635" spans="1:5" x14ac:dyDescent="0.25">
      <c r="A5635" s="5" t="s">
        <v>6</v>
      </c>
      <c r="B5635" s="5" t="s">
        <v>15382</v>
      </c>
      <c r="C5635" s="1" t="s">
        <v>15383</v>
      </c>
      <c r="D5635" s="1" t="s">
        <v>15384</v>
      </c>
      <c r="E5635" s="7">
        <v>30</v>
      </c>
    </row>
    <row r="5636" spans="1:5" x14ac:dyDescent="0.25">
      <c r="A5636" s="5" t="s">
        <v>6</v>
      </c>
      <c r="B5636" s="5" t="s">
        <v>15385</v>
      </c>
      <c r="C5636" s="1" t="s">
        <v>3282</v>
      </c>
      <c r="D5636" s="1" t="s">
        <v>3283</v>
      </c>
      <c r="E5636" s="7">
        <v>140</v>
      </c>
    </row>
    <row r="5637" spans="1:5" x14ac:dyDescent="0.25">
      <c r="A5637" s="5" t="s">
        <v>6</v>
      </c>
      <c r="B5637" s="5" t="s">
        <v>15386</v>
      </c>
      <c r="C5637" s="1" t="s">
        <v>3323</v>
      </c>
      <c r="D5637" s="1" t="s">
        <v>3323</v>
      </c>
      <c r="E5637" s="7">
        <v>70</v>
      </c>
    </row>
    <row r="5638" spans="1:5" x14ac:dyDescent="0.25">
      <c r="A5638" s="5" t="s">
        <v>6</v>
      </c>
      <c r="B5638" s="5" t="s">
        <v>15387</v>
      </c>
      <c r="C5638" s="1" t="s">
        <v>13571</v>
      </c>
      <c r="D5638" s="1" t="s">
        <v>13572</v>
      </c>
      <c r="E5638" s="7">
        <v>77</v>
      </c>
    </row>
    <row r="5639" spans="1:5" x14ac:dyDescent="0.25">
      <c r="A5639" s="5" t="s">
        <v>6</v>
      </c>
      <c r="B5639" s="5" t="s">
        <v>15388</v>
      </c>
      <c r="C5639" s="1" t="s">
        <v>13574</v>
      </c>
      <c r="D5639" s="1" t="s">
        <v>13575</v>
      </c>
      <c r="E5639" s="7">
        <v>45</v>
      </c>
    </row>
    <row r="5640" spans="1:5" x14ac:dyDescent="0.25">
      <c r="A5640" s="5" t="s">
        <v>6</v>
      </c>
      <c r="B5640" s="5" t="s">
        <v>15389</v>
      </c>
      <c r="C5640" s="1" t="s">
        <v>13607</v>
      </c>
      <c r="D5640" s="1" t="s">
        <v>13608</v>
      </c>
      <c r="E5640" s="7">
        <v>174</v>
      </c>
    </row>
    <row r="5641" spans="1:5" x14ac:dyDescent="0.25">
      <c r="A5641" s="5" t="s">
        <v>6</v>
      </c>
      <c r="B5641" s="5" t="s">
        <v>15390</v>
      </c>
      <c r="C5641" s="1" t="s">
        <v>3328</v>
      </c>
      <c r="D5641" s="1" t="s">
        <v>3329</v>
      </c>
      <c r="E5641" s="7">
        <v>80</v>
      </c>
    </row>
    <row r="5642" spans="1:5" x14ac:dyDescent="0.25">
      <c r="A5642" s="5" t="s">
        <v>6</v>
      </c>
      <c r="B5642" s="5" t="s">
        <v>15391</v>
      </c>
      <c r="C5642" s="1" t="s">
        <v>13560</v>
      </c>
      <c r="D5642" s="1" t="s">
        <v>13561</v>
      </c>
      <c r="E5642" s="7">
        <v>55</v>
      </c>
    </row>
    <row r="5643" spans="1:5" x14ac:dyDescent="0.25">
      <c r="A5643" s="5" t="s">
        <v>6</v>
      </c>
      <c r="B5643" s="5" t="s">
        <v>15392</v>
      </c>
      <c r="C5643" s="1" t="s">
        <v>13584</v>
      </c>
      <c r="D5643" s="1" t="s">
        <v>13585</v>
      </c>
      <c r="E5643" s="7">
        <v>185</v>
      </c>
    </row>
    <row r="5644" spans="1:5" x14ac:dyDescent="0.25">
      <c r="A5644" s="5" t="s">
        <v>6</v>
      </c>
      <c r="B5644" s="5" t="s">
        <v>15393</v>
      </c>
      <c r="C5644" s="1" t="s">
        <v>13578</v>
      </c>
      <c r="D5644" s="1" t="s">
        <v>13579</v>
      </c>
      <c r="E5644" s="7">
        <v>45</v>
      </c>
    </row>
    <row r="5645" spans="1:5" x14ac:dyDescent="0.25">
      <c r="A5645" s="5" t="s">
        <v>6</v>
      </c>
      <c r="B5645" s="5" t="s">
        <v>15394</v>
      </c>
      <c r="C5645" s="1" t="s">
        <v>3325</v>
      </c>
      <c r="D5645" s="1" t="s">
        <v>3326</v>
      </c>
      <c r="E5645" s="7">
        <v>45</v>
      </c>
    </row>
    <row r="5646" spans="1:5" x14ac:dyDescent="0.25">
      <c r="A5646" s="5" t="s">
        <v>6</v>
      </c>
      <c r="B5646" s="5" t="s">
        <v>15395</v>
      </c>
      <c r="C5646" s="1" t="s">
        <v>13646</v>
      </c>
      <c r="D5646" s="1" t="s">
        <v>13647</v>
      </c>
      <c r="E5646" s="7">
        <v>208</v>
      </c>
    </row>
    <row r="5647" spans="1:5" x14ac:dyDescent="0.25">
      <c r="A5647" s="5" t="s">
        <v>6</v>
      </c>
      <c r="B5647" s="5" t="s">
        <v>15396</v>
      </c>
      <c r="C5647" s="1" t="s">
        <v>13563</v>
      </c>
      <c r="D5647" s="1" t="s">
        <v>13564</v>
      </c>
      <c r="E5647" s="7">
        <v>145</v>
      </c>
    </row>
    <row r="5648" spans="1:5" x14ac:dyDescent="0.25">
      <c r="A5648" s="5" t="s">
        <v>6</v>
      </c>
      <c r="B5648" s="5" t="s">
        <v>15397</v>
      </c>
      <c r="C5648" s="1" t="s">
        <v>13627</v>
      </c>
      <c r="D5648" s="1" t="s">
        <v>13628</v>
      </c>
      <c r="E5648" s="7">
        <v>78</v>
      </c>
    </row>
    <row r="5649" spans="1:5" x14ac:dyDescent="0.25">
      <c r="A5649" s="5" t="s">
        <v>6</v>
      </c>
      <c r="B5649" s="5" t="s">
        <v>15398</v>
      </c>
      <c r="C5649" s="1" t="s">
        <v>13630</v>
      </c>
      <c r="D5649" s="1" t="s">
        <v>13631</v>
      </c>
      <c r="E5649" s="7">
        <v>110</v>
      </c>
    </row>
    <row r="5650" spans="1:5" x14ac:dyDescent="0.25">
      <c r="A5650" s="5" t="s">
        <v>6</v>
      </c>
      <c r="B5650" s="5" t="s">
        <v>15399</v>
      </c>
      <c r="C5650" s="1" t="s">
        <v>13581</v>
      </c>
      <c r="D5650" s="1" t="s">
        <v>13582</v>
      </c>
      <c r="E5650" s="7">
        <v>110</v>
      </c>
    </row>
    <row r="5651" spans="1:5" x14ac:dyDescent="0.25">
      <c r="A5651" s="5" t="s">
        <v>6</v>
      </c>
      <c r="B5651" s="5" t="s">
        <v>15400</v>
      </c>
      <c r="C5651" s="1" t="s">
        <v>15401</v>
      </c>
      <c r="D5651" s="1" t="s">
        <v>15402</v>
      </c>
      <c r="E5651" s="7">
        <v>143</v>
      </c>
    </row>
    <row r="5652" spans="1:5" x14ac:dyDescent="0.25">
      <c r="A5652" s="5" t="s">
        <v>6</v>
      </c>
      <c r="B5652" s="5" t="s">
        <v>15403</v>
      </c>
      <c r="C5652" s="1" t="s">
        <v>15404</v>
      </c>
      <c r="D5652" s="1" t="s">
        <v>15405</v>
      </c>
      <c r="E5652" s="7">
        <v>274</v>
      </c>
    </row>
    <row r="5653" spans="1:5" x14ac:dyDescent="0.25">
      <c r="A5653" s="5" t="s">
        <v>6</v>
      </c>
      <c r="B5653" s="5" t="s">
        <v>15406</v>
      </c>
      <c r="C5653" s="1" t="s">
        <v>15407</v>
      </c>
      <c r="D5653" s="1" t="s">
        <v>15408</v>
      </c>
      <c r="E5653" s="7">
        <v>246</v>
      </c>
    </row>
    <row r="5654" spans="1:5" x14ac:dyDescent="0.25">
      <c r="A5654" s="5" t="s">
        <v>6</v>
      </c>
      <c r="B5654" s="5" t="s">
        <v>15409</v>
      </c>
      <c r="C5654" s="1" t="s">
        <v>15410</v>
      </c>
      <c r="D5654" s="1" t="s">
        <v>15411</v>
      </c>
      <c r="E5654" s="7">
        <v>143</v>
      </c>
    </row>
    <row r="5655" spans="1:5" x14ac:dyDescent="0.25">
      <c r="A5655" s="5" t="s">
        <v>6</v>
      </c>
      <c r="B5655" s="5" t="s">
        <v>15412</v>
      </c>
      <c r="C5655" s="1" t="s">
        <v>13634</v>
      </c>
      <c r="D5655" s="1" t="s">
        <v>13635</v>
      </c>
      <c r="E5655" s="7">
        <v>246</v>
      </c>
    </row>
    <row r="5656" spans="1:5" x14ac:dyDescent="0.25">
      <c r="A5656" s="5" t="s">
        <v>6</v>
      </c>
      <c r="B5656" s="5" t="s">
        <v>15413</v>
      </c>
      <c r="C5656" s="1" t="s">
        <v>13637</v>
      </c>
      <c r="D5656" s="1" t="s">
        <v>13638</v>
      </c>
      <c r="E5656" s="7">
        <v>246</v>
      </c>
    </row>
    <row r="5657" spans="1:5" x14ac:dyDescent="0.25">
      <c r="A5657" s="5" t="s">
        <v>6</v>
      </c>
      <c r="B5657" s="5" t="s">
        <v>15414</v>
      </c>
      <c r="C5657" s="1" t="s">
        <v>13619</v>
      </c>
      <c r="D5657" s="1" t="s">
        <v>13620</v>
      </c>
      <c r="E5657" s="7">
        <v>38.22</v>
      </c>
    </row>
    <row r="5658" spans="1:5" x14ac:dyDescent="0.25">
      <c r="A5658" s="5" t="s">
        <v>6</v>
      </c>
      <c r="B5658" s="5" t="s">
        <v>15415</v>
      </c>
      <c r="C5658" s="1" t="s">
        <v>13619</v>
      </c>
      <c r="D5658" s="1" t="s">
        <v>13620</v>
      </c>
      <c r="E5658" s="7">
        <v>11</v>
      </c>
    </row>
    <row r="5659" spans="1:5" x14ac:dyDescent="0.25">
      <c r="A5659" s="5" t="s">
        <v>6</v>
      </c>
      <c r="B5659" s="5" t="s">
        <v>15416</v>
      </c>
      <c r="C5659" s="1" t="s">
        <v>15417</v>
      </c>
      <c r="D5659" s="1" t="s">
        <v>15418</v>
      </c>
      <c r="E5659" s="7">
        <v>90</v>
      </c>
    </row>
    <row r="5660" spans="1:5" x14ac:dyDescent="0.25">
      <c r="A5660" s="5" t="s">
        <v>6</v>
      </c>
      <c r="B5660" s="5" t="s">
        <v>15419</v>
      </c>
      <c r="C5660" s="1" t="s">
        <v>15420</v>
      </c>
      <c r="D5660" s="1" t="s">
        <v>15421</v>
      </c>
      <c r="E5660" s="7">
        <v>335</v>
      </c>
    </row>
    <row r="5661" spans="1:5" x14ac:dyDescent="0.25">
      <c r="A5661" s="5" t="s">
        <v>6</v>
      </c>
      <c r="B5661" s="5" t="s">
        <v>15422</v>
      </c>
      <c r="C5661" s="1" t="s">
        <v>15423</v>
      </c>
      <c r="D5661" s="1" t="s">
        <v>15424</v>
      </c>
      <c r="E5661" s="7">
        <v>1440</v>
      </c>
    </row>
    <row r="5662" spans="1:5" x14ac:dyDescent="0.25">
      <c r="A5662" s="5" t="s">
        <v>6</v>
      </c>
      <c r="B5662" s="5" t="s">
        <v>15425</v>
      </c>
      <c r="C5662" s="1" t="s">
        <v>15426</v>
      </c>
      <c r="D5662" s="1" t="s">
        <v>15427</v>
      </c>
      <c r="E5662" s="7">
        <v>2210</v>
      </c>
    </row>
    <row r="5663" spans="1:5" x14ac:dyDescent="0.25">
      <c r="A5663" s="5" t="s">
        <v>6</v>
      </c>
      <c r="B5663" s="5" t="s">
        <v>15428</v>
      </c>
      <c r="C5663" s="1" t="s">
        <v>15429</v>
      </c>
      <c r="D5663" s="1" t="s">
        <v>15430</v>
      </c>
      <c r="E5663" s="7">
        <v>997</v>
      </c>
    </row>
    <row r="5664" spans="1:5" x14ac:dyDescent="0.25">
      <c r="A5664" s="5" t="s">
        <v>6</v>
      </c>
      <c r="B5664" s="5" t="s">
        <v>15431</v>
      </c>
      <c r="C5664" s="1" t="s">
        <v>15432</v>
      </c>
      <c r="D5664" s="1" t="s">
        <v>15433</v>
      </c>
      <c r="E5664" s="7">
        <v>1800</v>
      </c>
    </row>
    <row r="5665" spans="1:5" x14ac:dyDescent="0.25">
      <c r="A5665" s="5" t="s">
        <v>6</v>
      </c>
      <c r="B5665" s="5" t="s">
        <v>15434</v>
      </c>
      <c r="C5665" s="1" t="s">
        <v>15435</v>
      </c>
      <c r="D5665" s="1" t="s">
        <v>15436</v>
      </c>
      <c r="E5665" s="7">
        <v>1300</v>
      </c>
    </row>
    <row r="5666" spans="1:5" x14ac:dyDescent="0.25">
      <c r="A5666" s="5" t="s">
        <v>6</v>
      </c>
      <c r="B5666" s="5" t="s">
        <v>15437</v>
      </c>
      <c r="C5666" s="1" t="s">
        <v>15438</v>
      </c>
      <c r="D5666" s="1" t="s">
        <v>15439</v>
      </c>
      <c r="E5666" s="7">
        <v>226</v>
      </c>
    </row>
    <row r="5667" spans="1:5" x14ac:dyDescent="0.25">
      <c r="A5667" s="5" t="s">
        <v>6</v>
      </c>
      <c r="B5667" s="5" t="s">
        <v>15440</v>
      </c>
      <c r="C5667" s="1" t="s">
        <v>15441</v>
      </c>
      <c r="D5667" s="1" t="s">
        <v>15442</v>
      </c>
      <c r="E5667" s="7">
        <v>800</v>
      </c>
    </row>
    <row r="5668" spans="1:5" x14ac:dyDescent="0.25">
      <c r="A5668" s="5" t="s">
        <v>6</v>
      </c>
      <c r="B5668" s="5" t="s">
        <v>15443</v>
      </c>
      <c r="C5668" s="1" t="s">
        <v>15444</v>
      </c>
      <c r="D5668" s="1" t="s">
        <v>15445</v>
      </c>
      <c r="E5668" s="7">
        <v>226</v>
      </c>
    </row>
    <row r="5669" spans="1:5" x14ac:dyDescent="0.25">
      <c r="A5669" s="5" t="s">
        <v>6</v>
      </c>
      <c r="B5669" s="5" t="s">
        <v>15446</v>
      </c>
      <c r="C5669" s="1" t="s">
        <v>15447</v>
      </c>
      <c r="D5669" s="1" t="s">
        <v>15448</v>
      </c>
      <c r="E5669" s="7">
        <v>1530</v>
      </c>
    </row>
    <row r="5670" spans="1:5" x14ac:dyDescent="0.25">
      <c r="A5670" s="5" t="s">
        <v>6</v>
      </c>
      <c r="B5670" s="5" t="s">
        <v>15449</v>
      </c>
      <c r="C5670" s="1" t="s">
        <v>15450</v>
      </c>
      <c r="D5670" s="1" t="s">
        <v>15451</v>
      </c>
      <c r="E5670" s="7">
        <v>492</v>
      </c>
    </row>
    <row r="5671" spans="1:5" x14ac:dyDescent="0.25">
      <c r="A5671" s="5" t="s">
        <v>6</v>
      </c>
      <c r="B5671" s="5" t="s">
        <v>15452</v>
      </c>
      <c r="C5671" s="1" t="s">
        <v>15453</v>
      </c>
      <c r="D5671" s="1" t="s">
        <v>15454</v>
      </c>
      <c r="E5671" s="7">
        <v>300</v>
      </c>
    </row>
    <row r="5672" spans="1:5" x14ac:dyDescent="0.25">
      <c r="A5672" s="5" t="s">
        <v>6</v>
      </c>
      <c r="B5672" s="5" t="s">
        <v>15455</v>
      </c>
      <c r="C5672" s="1" t="s">
        <v>15456</v>
      </c>
      <c r="D5672" s="1" t="s">
        <v>15457</v>
      </c>
      <c r="E5672" s="7">
        <v>48</v>
      </c>
    </row>
    <row r="5673" spans="1:5" x14ac:dyDescent="0.25">
      <c r="A5673" s="5" t="s">
        <v>6</v>
      </c>
      <c r="B5673" s="5" t="s">
        <v>15458</v>
      </c>
      <c r="C5673" s="1" t="s">
        <v>15459</v>
      </c>
      <c r="D5673" s="1" t="s">
        <v>15460</v>
      </c>
      <c r="E5673" s="7">
        <v>48</v>
      </c>
    </row>
    <row r="5674" spans="1:5" x14ac:dyDescent="0.25">
      <c r="A5674" s="5" t="s">
        <v>6</v>
      </c>
      <c r="B5674" s="5" t="s">
        <v>15461</v>
      </c>
      <c r="C5674" s="1" t="s">
        <v>15462</v>
      </c>
      <c r="D5674" s="1" t="s">
        <v>15463</v>
      </c>
      <c r="E5674" s="7">
        <v>221</v>
      </c>
    </row>
    <row r="5675" spans="1:5" x14ac:dyDescent="0.25">
      <c r="A5675" s="5" t="s">
        <v>6</v>
      </c>
      <c r="B5675" s="5" t="s">
        <v>15464</v>
      </c>
      <c r="C5675" s="1" t="s">
        <v>15465</v>
      </c>
      <c r="D5675" s="1" t="s">
        <v>15466</v>
      </c>
      <c r="E5675" s="7">
        <v>24.57</v>
      </c>
    </row>
    <row r="5676" spans="1:5" x14ac:dyDescent="0.25">
      <c r="A5676" s="5" t="s">
        <v>6</v>
      </c>
      <c r="B5676" s="5" t="s">
        <v>15467</v>
      </c>
      <c r="C5676" s="1" t="s">
        <v>15468</v>
      </c>
      <c r="D5676" s="1" t="s">
        <v>15469</v>
      </c>
      <c r="E5676" s="7">
        <v>31.27</v>
      </c>
    </row>
    <row r="5677" spans="1:5" x14ac:dyDescent="0.25">
      <c r="A5677" s="5" t="s">
        <v>6</v>
      </c>
      <c r="B5677" s="5" t="s">
        <v>15470</v>
      </c>
      <c r="C5677" s="1" t="s">
        <v>15471</v>
      </c>
      <c r="D5677" s="1" t="s">
        <v>15472</v>
      </c>
      <c r="E5677" s="7">
        <v>800</v>
      </c>
    </row>
    <row r="5678" spans="1:5" x14ac:dyDescent="0.25">
      <c r="A5678" s="5" t="s">
        <v>6</v>
      </c>
      <c r="B5678" s="5" t="s">
        <v>15473</v>
      </c>
      <c r="C5678" s="1" t="s">
        <v>15474</v>
      </c>
      <c r="D5678" s="1" t="s">
        <v>15475</v>
      </c>
      <c r="E5678" s="7">
        <v>265</v>
      </c>
    </row>
    <row r="5679" spans="1:5" x14ac:dyDescent="0.25">
      <c r="A5679" s="5" t="s">
        <v>6</v>
      </c>
      <c r="B5679" s="5" t="s">
        <v>15476</v>
      </c>
      <c r="C5679" s="1" t="s">
        <v>15477</v>
      </c>
      <c r="D5679" s="1" t="s">
        <v>15478</v>
      </c>
      <c r="E5679" s="7">
        <v>810</v>
      </c>
    </row>
    <row r="5680" spans="1:5" x14ac:dyDescent="0.25">
      <c r="A5680" s="5" t="s">
        <v>6</v>
      </c>
      <c r="B5680" s="5" t="s">
        <v>15479</v>
      </c>
      <c r="C5680" s="1" t="s">
        <v>15480</v>
      </c>
      <c r="D5680" s="1" t="s">
        <v>15481</v>
      </c>
      <c r="E5680" s="7">
        <v>1440</v>
      </c>
    </row>
    <row r="5681" spans="1:5" x14ac:dyDescent="0.25">
      <c r="A5681" s="5" t="s">
        <v>6</v>
      </c>
      <c r="B5681" s="5" t="s">
        <v>15482</v>
      </c>
      <c r="C5681" s="1" t="s">
        <v>15483</v>
      </c>
      <c r="D5681" s="1" t="s">
        <v>15484</v>
      </c>
      <c r="E5681" s="7">
        <v>450</v>
      </c>
    </row>
    <row r="5682" spans="1:5" x14ac:dyDescent="0.25">
      <c r="A5682" s="5" t="s">
        <v>6</v>
      </c>
      <c r="B5682" s="5" t="s">
        <v>15485</v>
      </c>
      <c r="C5682" s="1" t="s">
        <v>15486</v>
      </c>
      <c r="D5682" s="1" t="s">
        <v>15487</v>
      </c>
      <c r="E5682" s="7">
        <v>1485</v>
      </c>
    </row>
    <row r="5683" spans="1:5" x14ac:dyDescent="0.25">
      <c r="A5683" s="5" t="s">
        <v>6</v>
      </c>
      <c r="B5683" s="5" t="s">
        <v>15488</v>
      </c>
      <c r="C5683" s="1" t="s">
        <v>15489</v>
      </c>
      <c r="D5683" s="1" t="s">
        <v>15490</v>
      </c>
      <c r="E5683" s="7">
        <v>1255</v>
      </c>
    </row>
    <row r="5684" spans="1:5" x14ac:dyDescent="0.25">
      <c r="A5684" s="5" t="s">
        <v>6</v>
      </c>
      <c r="B5684" s="5" t="s">
        <v>15491</v>
      </c>
      <c r="C5684" s="1" t="s">
        <v>15492</v>
      </c>
      <c r="D5684" s="1" t="s">
        <v>15493</v>
      </c>
      <c r="E5684" s="7">
        <v>3868</v>
      </c>
    </row>
    <row r="5685" spans="1:5" x14ac:dyDescent="0.25">
      <c r="A5685" s="5" t="s">
        <v>6</v>
      </c>
      <c r="B5685" s="5" t="s">
        <v>15494</v>
      </c>
      <c r="C5685" s="1" t="s">
        <v>15495</v>
      </c>
      <c r="D5685" s="1" t="s">
        <v>15496</v>
      </c>
      <c r="E5685" s="7">
        <v>1260</v>
      </c>
    </row>
    <row r="5686" spans="1:5" x14ac:dyDescent="0.25">
      <c r="A5686" s="5" t="s">
        <v>6</v>
      </c>
      <c r="B5686" s="5" t="s">
        <v>15497</v>
      </c>
      <c r="C5686" s="1" t="s">
        <v>13619</v>
      </c>
      <c r="D5686" s="1" t="s">
        <v>15498</v>
      </c>
      <c r="E5686" s="7">
        <v>21.5</v>
      </c>
    </row>
    <row r="5687" spans="1:5" x14ac:dyDescent="0.25">
      <c r="A5687" s="5" t="s">
        <v>6</v>
      </c>
      <c r="B5687" s="5" t="s">
        <v>15499</v>
      </c>
      <c r="C5687" s="1" t="s">
        <v>15346</v>
      </c>
      <c r="D5687" s="1" t="s">
        <v>15347</v>
      </c>
      <c r="E5687" s="7">
        <v>3000</v>
      </c>
    </row>
    <row r="5688" spans="1:5" x14ac:dyDescent="0.25">
      <c r="A5688" s="5" t="s">
        <v>6</v>
      </c>
      <c r="B5688" s="5" t="s">
        <v>15500</v>
      </c>
      <c r="C5688" s="1" t="s">
        <v>15501</v>
      </c>
      <c r="D5688" s="1" t="s">
        <v>15501</v>
      </c>
      <c r="E5688" s="7">
        <v>3889</v>
      </c>
    </row>
    <row r="5689" spans="1:5" x14ac:dyDescent="0.25">
      <c r="A5689" s="5" t="s">
        <v>6</v>
      </c>
      <c r="B5689" s="5" t="s">
        <v>15502</v>
      </c>
      <c r="C5689" s="1" t="s">
        <v>15503</v>
      </c>
      <c r="D5689" s="1" t="s">
        <v>15503</v>
      </c>
      <c r="E5689" s="7">
        <v>2914</v>
      </c>
    </row>
    <row r="5690" spans="1:5" x14ac:dyDescent="0.25">
      <c r="A5690" s="5" t="s">
        <v>6</v>
      </c>
      <c r="B5690" s="5" t="s">
        <v>15504</v>
      </c>
      <c r="C5690" s="1" t="s">
        <v>15505</v>
      </c>
      <c r="D5690" s="1" t="s">
        <v>15506</v>
      </c>
      <c r="E5690" s="7">
        <v>3618</v>
      </c>
    </row>
    <row r="5691" spans="1:5" x14ac:dyDescent="0.25">
      <c r="A5691" s="5" t="s">
        <v>6</v>
      </c>
      <c r="B5691" s="5" t="s">
        <v>15507</v>
      </c>
      <c r="C5691" s="1" t="s">
        <v>15508</v>
      </c>
      <c r="D5691" s="1" t="s">
        <v>15509</v>
      </c>
      <c r="E5691" s="7">
        <v>8287</v>
      </c>
    </row>
    <row r="5692" spans="1:5" x14ac:dyDescent="0.25">
      <c r="A5692" s="5" t="s">
        <v>6</v>
      </c>
      <c r="B5692" s="5" t="s">
        <v>15510</v>
      </c>
      <c r="C5692" s="1" t="s">
        <v>15511</v>
      </c>
      <c r="D5692" s="1" t="s">
        <v>15512</v>
      </c>
      <c r="E5692" s="7">
        <v>15764</v>
      </c>
    </row>
    <row r="5693" spans="1:5" x14ac:dyDescent="0.25">
      <c r="A5693" s="5" t="s">
        <v>6</v>
      </c>
      <c r="B5693" s="5" t="s">
        <v>15513</v>
      </c>
      <c r="C5693" s="1" t="s">
        <v>15514</v>
      </c>
      <c r="D5693" s="1" t="s">
        <v>15514</v>
      </c>
      <c r="E5693" s="7">
        <v>1035</v>
      </c>
    </row>
    <row r="5694" spans="1:5" x14ac:dyDescent="0.25">
      <c r="A5694" s="5" t="s">
        <v>6</v>
      </c>
      <c r="B5694" s="5" t="s">
        <v>15515</v>
      </c>
      <c r="C5694" s="1" t="s">
        <v>15516</v>
      </c>
      <c r="D5694" s="1" t="s">
        <v>15516</v>
      </c>
      <c r="E5694" s="7">
        <v>5563</v>
      </c>
    </row>
    <row r="5695" spans="1:5" x14ac:dyDescent="0.25">
      <c r="A5695" s="5" t="s">
        <v>6</v>
      </c>
      <c r="B5695" s="5" t="s">
        <v>15517</v>
      </c>
      <c r="C5695" s="1" t="s">
        <v>15518</v>
      </c>
      <c r="D5695" s="1" t="s">
        <v>15518</v>
      </c>
      <c r="E5695" s="7">
        <v>791</v>
      </c>
    </row>
    <row r="5696" spans="1:5" x14ac:dyDescent="0.25">
      <c r="A5696" s="5" t="s">
        <v>6</v>
      </c>
      <c r="B5696" s="5" t="s">
        <v>15519</v>
      </c>
      <c r="C5696" s="1" t="s">
        <v>15520</v>
      </c>
      <c r="D5696" s="1" t="s">
        <v>15521</v>
      </c>
      <c r="E5696" s="7">
        <v>2526</v>
      </c>
    </row>
    <row r="5697" spans="1:5" x14ac:dyDescent="0.25">
      <c r="A5697" s="5" t="s">
        <v>6</v>
      </c>
      <c r="B5697" s="5" t="s">
        <v>15522</v>
      </c>
      <c r="C5697" s="1" t="s">
        <v>15523</v>
      </c>
      <c r="D5697" s="1" t="s">
        <v>15521</v>
      </c>
      <c r="E5697" s="7">
        <v>13779</v>
      </c>
    </row>
    <row r="5698" spans="1:5" x14ac:dyDescent="0.25">
      <c r="A5698" s="5" t="s">
        <v>6</v>
      </c>
      <c r="B5698" s="5" t="s">
        <v>15524</v>
      </c>
      <c r="C5698" s="1" t="s">
        <v>15525</v>
      </c>
      <c r="D5698" s="1" t="s">
        <v>15526</v>
      </c>
      <c r="E5698" s="7">
        <v>10840</v>
      </c>
    </row>
    <row r="5699" spans="1:5" x14ac:dyDescent="0.25">
      <c r="A5699" s="5" t="s">
        <v>6</v>
      </c>
      <c r="B5699" s="5" t="s">
        <v>15527</v>
      </c>
      <c r="C5699" s="1" t="s">
        <v>15528</v>
      </c>
      <c r="D5699" s="1" t="s">
        <v>15528</v>
      </c>
      <c r="E5699" s="7">
        <v>2546</v>
      </c>
    </row>
    <row r="5700" spans="1:5" x14ac:dyDescent="0.25">
      <c r="A5700" s="5" t="s">
        <v>6</v>
      </c>
      <c r="B5700" s="5" t="s">
        <v>15529</v>
      </c>
      <c r="C5700" s="1" t="s">
        <v>15530</v>
      </c>
      <c r="D5700" s="1" t="s">
        <v>15530</v>
      </c>
      <c r="E5700" s="7">
        <v>4456</v>
      </c>
    </row>
    <row r="5701" spans="1:5" x14ac:dyDescent="0.25">
      <c r="A5701" s="5" t="s">
        <v>6</v>
      </c>
      <c r="B5701" s="5" t="s">
        <v>15531</v>
      </c>
      <c r="C5701" s="1" t="s">
        <v>15532</v>
      </c>
      <c r="D5701" s="1" t="s">
        <v>15533</v>
      </c>
      <c r="E5701" s="7">
        <v>167</v>
      </c>
    </row>
    <row r="5702" spans="1:5" x14ac:dyDescent="0.25">
      <c r="A5702" s="5" t="s">
        <v>6</v>
      </c>
      <c r="B5702" s="5" t="s">
        <v>15534</v>
      </c>
      <c r="C5702" s="1" t="s">
        <v>15535</v>
      </c>
      <c r="D5702" s="1" t="s">
        <v>15535</v>
      </c>
      <c r="E5702" s="7">
        <v>3390</v>
      </c>
    </row>
    <row r="5703" spans="1:5" x14ac:dyDescent="0.25">
      <c r="A5703" s="5" t="s">
        <v>6</v>
      </c>
      <c r="B5703" s="5" t="s">
        <v>15536</v>
      </c>
      <c r="C5703" s="1" t="s">
        <v>15537</v>
      </c>
      <c r="D5703" s="1" t="s">
        <v>15538</v>
      </c>
      <c r="E5703" s="7">
        <v>1460</v>
      </c>
    </row>
    <row r="5704" spans="1:5" x14ac:dyDescent="0.25">
      <c r="A5704" s="5" t="s">
        <v>6</v>
      </c>
      <c r="B5704" s="5" t="s">
        <v>15539</v>
      </c>
      <c r="C5704" s="1" t="s">
        <v>15540</v>
      </c>
      <c r="D5704" s="1" t="s">
        <v>15541</v>
      </c>
      <c r="E5704" s="7">
        <v>4056.6</v>
      </c>
    </row>
    <row r="5705" spans="1:5" x14ac:dyDescent="0.25">
      <c r="A5705" s="5" t="s">
        <v>6</v>
      </c>
      <c r="B5705" s="5" t="s">
        <v>15542</v>
      </c>
      <c r="C5705" s="1" t="s">
        <v>15543</v>
      </c>
      <c r="D5705" s="1" t="s">
        <v>15544</v>
      </c>
      <c r="E5705" s="7">
        <v>21277</v>
      </c>
    </row>
    <row r="5706" spans="1:5" x14ac:dyDescent="0.25">
      <c r="A5706" s="5" t="s">
        <v>6</v>
      </c>
      <c r="B5706" s="5" t="s">
        <v>15545</v>
      </c>
      <c r="C5706" s="1" t="s">
        <v>15546</v>
      </c>
      <c r="D5706" s="1" t="s">
        <v>15547</v>
      </c>
      <c r="E5706" s="7">
        <v>1340</v>
      </c>
    </row>
    <row r="5707" spans="1:5" x14ac:dyDescent="0.25">
      <c r="A5707" s="5" t="s">
        <v>6</v>
      </c>
      <c r="B5707" s="5" t="s">
        <v>15548</v>
      </c>
      <c r="C5707" s="1" t="s">
        <v>15549</v>
      </c>
      <c r="D5707" s="1" t="s">
        <v>15550</v>
      </c>
      <c r="E5707" s="7">
        <v>9855</v>
      </c>
    </row>
    <row r="5708" spans="1:5" x14ac:dyDescent="0.25">
      <c r="A5708" s="5" t="s">
        <v>6</v>
      </c>
      <c r="B5708" s="5" t="s">
        <v>15551</v>
      </c>
      <c r="C5708" s="1" t="s">
        <v>15552</v>
      </c>
      <c r="D5708" s="1" t="s">
        <v>15553</v>
      </c>
      <c r="E5708" s="7">
        <v>2196</v>
      </c>
    </row>
    <row r="5709" spans="1:5" x14ac:dyDescent="0.25">
      <c r="A5709" s="5" t="s">
        <v>6</v>
      </c>
      <c r="B5709" s="5" t="s">
        <v>15554</v>
      </c>
      <c r="C5709" s="1" t="s">
        <v>15555</v>
      </c>
      <c r="D5709" s="1" t="s">
        <v>15556</v>
      </c>
      <c r="E5709" s="7">
        <v>664</v>
      </c>
    </row>
    <row r="5710" spans="1:5" x14ac:dyDescent="0.25">
      <c r="A5710" s="5" t="s">
        <v>6</v>
      </c>
      <c r="B5710" s="5" t="s">
        <v>15557</v>
      </c>
      <c r="C5710" s="1" t="s">
        <v>15558</v>
      </c>
      <c r="D5710" s="1" t="s">
        <v>15559</v>
      </c>
      <c r="E5710" s="7">
        <v>1245</v>
      </c>
    </row>
    <row r="5711" spans="1:5" x14ac:dyDescent="0.25">
      <c r="A5711" s="5" t="s">
        <v>6</v>
      </c>
      <c r="B5711" s="5" t="s">
        <v>15560</v>
      </c>
      <c r="C5711" s="1" t="s">
        <v>15561</v>
      </c>
      <c r="D5711" s="1" t="s">
        <v>15562</v>
      </c>
      <c r="E5711" s="7">
        <v>5622</v>
      </c>
    </row>
    <row r="5712" spans="1:5" x14ac:dyDescent="0.25">
      <c r="A5712" s="5" t="s">
        <v>6</v>
      </c>
      <c r="B5712" s="5" t="s">
        <v>15563</v>
      </c>
      <c r="C5712" s="1" t="s">
        <v>15564</v>
      </c>
      <c r="D5712" s="1" t="s">
        <v>15565</v>
      </c>
      <c r="E5712" s="7">
        <v>2328</v>
      </c>
    </row>
    <row r="5713" spans="1:5" x14ac:dyDescent="0.25">
      <c r="A5713" s="5" t="s">
        <v>6</v>
      </c>
      <c r="B5713" s="5" t="s">
        <v>15566</v>
      </c>
      <c r="C5713" s="1" t="s">
        <v>15567</v>
      </c>
      <c r="D5713" s="1" t="s">
        <v>15568</v>
      </c>
      <c r="E5713" s="7">
        <v>18953</v>
      </c>
    </row>
    <row r="5714" spans="1:5" x14ac:dyDescent="0.25">
      <c r="A5714" s="5" t="s">
        <v>6</v>
      </c>
      <c r="B5714" s="5" t="s">
        <v>15569</v>
      </c>
      <c r="C5714" s="1" t="s">
        <v>15570</v>
      </c>
      <c r="D5714" s="1" t="s">
        <v>15571</v>
      </c>
      <c r="E5714" s="7">
        <v>5475</v>
      </c>
    </row>
    <row r="5715" spans="1:5" x14ac:dyDescent="0.25">
      <c r="A5715" s="5" t="s">
        <v>6</v>
      </c>
      <c r="B5715" s="5" t="s">
        <v>15572</v>
      </c>
      <c r="C5715" s="1" t="s">
        <v>15573</v>
      </c>
      <c r="D5715" s="1" t="s">
        <v>15574</v>
      </c>
      <c r="E5715" s="7">
        <v>3370</v>
      </c>
    </row>
    <row r="5716" spans="1:5" x14ac:dyDescent="0.25">
      <c r="A5716" s="5" t="s">
        <v>6</v>
      </c>
      <c r="B5716" s="5" t="s">
        <v>15575</v>
      </c>
      <c r="C5716" s="1" t="s">
        <v>15576</v>
      </c>
      <c r="D5716" s="1" t="s">
        <v>15577</v>
      </c>
      <c r="E5716" s="7">
        <v>3627</v>
      </c>
    </row>
    <row r="5717" spans="1:5" x14ac:dyDescent="0.25">
      <c r="A5717" s="5" t="s">
        <v>6</v>
      </c>
      <c r="B5717" s="5" t="s">
        <v>15578</v>
      </c>
      <c r="C5717" s="1" t="s">
        <v>15579</v>
      </c>
      <c r="D5717" s="1" t="s">
        <v>15580</v>
      </c>
      <c r="E5717" s="7">
        <v>640</v>
      </c>
    </row>
    <row r="5718" spans="1:5" x14ac:dyDescent="0.25">
      <c r="A5718" s="5" t="s">
        <v>6</v>
      </c>
      <c r="B5718" s="5" t="s">
        <v>15581</v>
      </c>
      <c r="C5718" s="1" t="s">
        <v>15582</v>
      </c>
      <c r="D5718" s="1" t="s">
        <v>15583</v>
      </c>
      <c r="E5718" s="7">
        <v>727</v>
      </c>
    </row>
    <row r="5719" spans="1:5" x14ac:dyDescent="0.25">
      <c r="A5719" s="5" t="s">
        <v>6</v>
      </c>
      <c r="B5719" s="5" t="s">
        <v>15584</v>
      </c>
      <c r="C5719" s="1" t="s">
        <v>15585</v>
      </c>
      <c r="D5719" s="1" t="s">
        <v>15585</v>
      </c>
      <c r="E5719" s="7">
        <v>11288</v>
      </c>
    </row>
    <row r="5720" spans="1:5" x14ac:dyDescent="0.25">
      <c r="A5720" s="5" t="s">
        <v>6</v>
      </c>
      <c r="B5720" s="5" t="s">
        <v>15586</v>
      </c>
      <c r="C5720" s="1" t="s">
        <v>15587</v>
      </c>
      <c r="D5720" s="1" t="s">
        <v>15588</v>
      </c>
      <c r="E5720" s="7">
        <v>312</v>
      </c>
    </row>
    <row r="5721" spans="1:5" x14ac:dyDescent="0.25">
      <c r="A5721" s="5" t="s">
        <v>6</v>
      </c>
      <c r="B5721" s="5" t="s">
        <v>15589</v>
      </c>
      <c r="C5721" s="1" t="s">
        <v>15590</v>
      </c>
      <c r="D5721" s="1" t="s">
        <v>15591</v>
      </c>
      <c r="E5721" s="7">
        <v>44160</v>
      </c>
    </row>
    <row r="5722" spans="1:5" x14ac:dyDescent="0.25">
      <c r="A5722" s="5" t="s">
        <v>6</v>
      </c>
      <c r="B5722" s="5" t="s">
        <v>15592</v>
      </c>
      <c r="C5722" s="1" t="s">
        <v>15593</v>
      </c>
      <c r="D5722" s="1" t="s">
        <v>15593</v>
      </c>
      <c r="E5722" s="7">
        <v>5237</v>
      </c>
    </row>
    <row r="5723" spans="1:5" x14ac:dyDescent="0.25">
      <c r="A5723" s="5" t="s">
        <v>6</v>
      </c>
      <c r="B5723" s="5" t="s">
        <v>15594</v>
      </c>
      <c r="C5723" s="1" t="s">
        <v>15595</v>
      </c>
      <c r="D5723" s="1" t="s">
        <v>15596</v>
      </c>
      <c r="E5723" s="7">
        <v>11799</v>
      </c>
    </row>
    <row r="5724" spans="1:5" x14ac:dyDescent="0.25">
      <c r="A5724" s="5" t="s">
        <v>6</v>
      </c>
      <c r="B5724" s="5" t="s">
        <v>15597</v>
      </c>
      <c r="C5724" s="1" t="s">
        <v>15598</v>
      </c>
      <c r="D5724" s="1" t="s">
        <v>15598</v>
      </c>
      <c r="E5724" s="7">
        <v>259</v>
      </c>
    </row>
    <row r="5725" spans="1:5" x14ac:dyDescent="0.25">
      <c r="A5725" s="5" t="s">
        <v>6</v>
      </c>
      <c r="B5725" s="5" t="s">
        <v>15599</v>
      </c>
      <c r="C5725" s="1" t="s">
        <v>15600</v>
      </c>
      <c r="D5725" s="1" t="s">
        <v>15600</v>
      </c>
      <c r="E5725" s="7">
        <v>4804</v>
      </c>
    </row>
    <row r="5726" spans="1:5" x14ac:dyDescent="0.25">
      <c r="A5726" s="5" t="s">
        <v>6</v>
      </c>
      <c r="B5726" s="5" t="s">
        <v>15601</v>
      </c>
      <c r="C5726" s="1" t="s">
        <v>15602</v>
      </c>
      <c r="D5726" s="1" t="s">
        <v>15603</v>
      </c>
      <c r="E5726" s="7">
        <v>1732</v>
      </c>
    </row>
    <row r="5727" spans="1:5" x14ac:dyDescent="0.25">
      <c r="A5727" s="5" t="s">
        <v>6</v>
      </c>
      <c r="B5727" s="5" t="s">
        <v>15604</v>
      </c>
      <c r="C5727" s="1" t="s">
        <v>15605</v>
      </c>
      <c r="D5727" s="1" t="s">
        <v>15605</v>
      </c>
      <c r="E5727" s="7">
        <v>2836</v>
      </c>
    </row>
    <row r="5728" spans="1:5" x14ac:dyDescent="0.25">
      <c r="A5728" s="5" t="s">
        <v>6</v>
      </c>
      <c r="B5728" s="5" t="s">
        <v>15606</v>
      </c>
      <c r="C5728" s="1" t="s">
        <v>15605</v>
      </c>
      <c r="D5728" s="1" t="s">
        <v>15605</v>
      </c>
      <c r="E5728" s="7">
        <v>4025</v>
      </c>
    </row>
    <row r="5729" spans="1:5" x14ac:dyDescent="0.25">
      <c r="A5729" s="5" t="s">
        <v>6</v>
      </c>
      <c r="B5729" s="5" t="s">
        <v>15607</v>
      </c>
      <c r="C5729" s="1" t="s">
        <v>15608</v>
      </c>
      <c r="D5729" s="1" t="s">
        <v>15609</v>
      </c>
      <c r="E5729" s="7">
        <v>138</v>
      </c>
    </row>
    <row r="5730" spans="1:5" x14ac:dyDescent="0.25">
      <c r="A5730" s="5" t="s">
        <v>6</v>
      </c>
      <c r="B5730" s="5" t="s">
        <v>15610</v>
      </c>
      <c r="C5730" s="1" t="s">
        <v>15611</v>
      </c>
      <c r="D5730" s="1" t="s">
        <v>15612</v>
      </c>
      <c r="E5730" s="7">
        <v>17488</v>
      </c>
    </row>
    <row r="5731" spans="1:5" x14ac:dyDescent="0.25">
      <c r="A5731" s="5" t="s">
        <v>6</v>
      </c>
      <c r="B5731" s="5" t="s">
        <v>15613</v>
      </c>
      <c r="C5731" s="1" t="s">
        <v>15614</v>
      </c>
      <c r="D5731" s="1" t="s">
        <v>2503</v>
      </c>
      <c r="E5731" s="7">
        <v>3628</v>
      </c>
    </row>
    <row r="5732" spans="1:5" x14ac:dyDescent="0.25">
      <c r="A5732" s="5" t="s">
        <v>6</v>
      </c>
      <c r="B5732" s="5" t="s">
        <v>15615</v>
      </c>
      <c r="C5732" s="1" t="s">
        <v>15616</v>
      </c>
      <c r="D5732" s="1" t="s">
        <v>15617</v>
      </c>
      <c r="E5732" s="7">
        <v>2137</v>
      </c>
    </row>
    <row r="5733" spans="1:5" x14ac:dyDescent="0.25">
      <c r="A5733" s="5" t="s">
        <v>6</v>
      </c>
      <c r="B5733" s="5" t="s">
        <v>15618</v>
      </c>
      <c r="C5733" s="1" t="s">
        <v>15619</v>
      </c>
      <c r="D5733" s="1" t="s">
        <v>15619</v>
      </c>
      <c r="E5733" s="7">
        <v>568</v>
      </c>
    </row>
    <row r="5734" spans="1:5" x14ac:dyDescent="0.25">
      <c r="A5734" s="5" t="s">
        <v>6</v>
      </c>
      <c r="B5734" s="5" t="s">
        <v>15620</v>
      </c>
      <c r="C5734" s="1" t="s">
        <v>15621</v>
      </c>
      <c r="D5734" s="1" t="s">
        <v>15622</v>
      </c>
      <c r="E5734" s="7">
        <v>19233</v>
      </c>
    </row>
    <row r="5735" spans="1:5" x14ac:dyDescent="0.25">
      <c r="A5735" s="5" t="s">
        <v>6</v>
      </c>
      <c r="B5735" s="5" t="s">
        <v>15623</v>
      </c>
      <c r="C5735" s="1" t="s">
        <v>15624</v>
      </c>
      <c r="D5735" s="1" t="s">
        <v>15625</v>
      </c>
      <c r="E5735" s="7">
        <v>17707</v>
      </c>
    </row>
    <row r="5736" spans="1:5" x14ac:dyDescent="0.25">
      <c r="A5736" s="5" t="s">
        <v>6</v>
      </c>
      <c r="B5736" s="5" t="s">
        <v>15626</v>
      </c>
      <c r="C5736" s="1" t="s">
        <v>15627</v>
      </c>
      <c r="D5736" s="1" t="s">
        <v>15628</v>
      </c>
      <c r="E5736" s="7">
        <v>5702</v>
      </c>
    </row>
    <row r="5737" spans="1:5" x14ac:dyDescent="0.25">
      <c r="A5737" s="5" t="s">
        <v>6</v>
      </c>
      <c r="B5737" s="5" t="s">
        <v>15629</v>
      </c>
      <c r="C5737" s="1" t="s">
        <v>15630</v>
      </c>
      <c r="D5737" s="1" t="s">
        <v>15631</v>
      </c>
      <c r="E5737" s="7">
        <v>3929</v>
      </c>
    </row>
    <row r="5738" spans="1:5" x14ac:dyDescent="0.25">
      <c r="A5738" s="5" t="s">
        <v>6</v>
      </c>
      <c r="B5738" s="5" t="s">
        <v>15632</v>
      </c>
      <c r="C5738" s="1" t="s">
        <v>15633</v>
      </c>
      <c r="D5738" s="1" t="s">
        <v>15634</v>
      </c>
      <c r="E5738" s="7">
        <v>3036</v>
      </c>
    </row>
    <row r="5739" spans="1:5" x14ac:dyDescent="0.25">
      <c r="A5739" s="5" t="s">
        <v>6</v>
      </c>
      <c r="B5739" s="5" t="s">
        <v>15635</v>
      </c>
      <c r="C5739" s="1" t="s">
        <v>15636</v>
      </c>
      <c r="D5739" s="1" t="s">
        <v>15637</v>
      </c>
      <c r="E5739" s="7">
        <v>6054</v>
      </c>
    </row>
    <row r="5740" spans="1:5" x14ac:dyDescent="0.25">
      <c r="A5740" s="5" t="s">
        <v>6</v>
      </c>
      <c r="B5740" s="5" t="s">
        <v>15638</v>
      </c>
      <c r="C5740" s="1" t="s">
        <v>15639</v>
      </c>
      <c r="D5740" s="1" t="s">
        <v>15640</v>
      </c>
      <c r="E5740" s="7">
        <v>6081</v>
      </c>
    </row>
    <row r="5741" spans="1:5" x14ac:dyDescent="0.25">
      <c r="A5741" s="5" t="s">
        <v>6</v>
      </c>
      <c r="B5741" s="5" t="s">
        <v>15641</v>
      </c>
      <c r="C5741" s="1" t="s">
        <v>15642</v>
      </c>
      <c r="D5741" s="1" t="s">
        <v>15643</v>
      </c>
      <c r="E5741" s="7">
        <v>1522</v>
      </c>
    </row>
    <row r="5742" spans="1:5" x14ac:dyDescent="0.25">
      <c r="A5742" s="5" t="s">
        <v>6</v>
      </c>
      <c r="B5742" s="5" t="s">
        <v>15644</v>
      </c>
      <c r="C5742" s="1" t="s">
        <v>15645</v>
      </c>
      <c r="D5742" s="1" t="s">
        <v>15646</v>
      </c>
      <c r="E5742" s="7">
        <v>1014</v>
      </c>
    </row>
    <row r="5743" spans="1:5" x14ac:dyDescent="0.25">
      <c r="A5743" s="5" t="s">
        <v>6</v>
      </c>
      <c r="B5743" s="5" t="s">
        <v>15647</v>
      </c>
      <c r="C5743" s="1" t="s">
        <v>15648</v>
      </c>
      <c r="D5743" s="1" t="s">
        <v>15649</v>
      </c>
      <c r="E5743" s="7">
        <v>7253</v>
      </c>
    </row>
    <row r="5744" spans="1:5" x14ac:dyDescent="0.25">
      <c r="A5744" s="5" t="s">
        <v>6</v>
      </c>
      <c r="B5744" s="5" t="s">
        <v>15650</v>
      </c>
      <c r="C5744" s="1" t="s">
        <v>15651</v>
      </c>
      <c r="D5744" s="1" t="s">
        <v>15652</v>
      </c>
      <c r="E5744" s="7">
        <v>1337</v>
      </c>
    </row>
    <row r="5745" spans="1:5" x14ac:dyDescent="0.25">
      <c r="A5745" s="5" t="s">
        <v>6</v>
      </c>
      <c r="B5745" s="5" t="s">
        <v>15653</v>
      </c>
      <c r="C5745" s="1" t="s">
        <v>15654</v>
      </c>
      <c r="D5745" s="1" t="s">
        <v>15655</v>
      </c>
      <c r="E5745" s="7">
        <v>1531</v>
      </c>
    </row>
    <row r="5746" spans="1:5" x14ac:dyDescent="0.25">
      <c r="A5746" s="5" t="s">
        <v>6</v>
      </c>
      <c r="B5746" s="5" t="s">
        <v>15656</v>
      </c>
      <c r="C5746" s="1" t="s">
        <v>15657</v>
      </c>
      <c r="D5746" s="1" t="s">
        <v>15657</v>
      </c>
      <c r="E5746" s="7">
        <v>1170</v>
      </c>
    </row>
    <row r="5747" spans="1:5" x14ac:dyDescent="0.25">
      <c r="A5747" s="5" t="s">
        <v>6</v>
      </c>
      <c r="B5747" s="5" t="s">
        <v>15658</v>
      </c>
      <c r="C5747" s="1" t="s">
        <v>15659</v>
      </c>
      <c r="D5747" s="1" t="s">
        <v>15660</v>
      </c>
      <c r="E5747" s="7">
        <v>2736</v>
      </c>
    </row>
    <row r="5748" spans="1:5" x14ac:dyDescent="0.25">
      <c r="A5748" s="5" t="s">
        <v>6</v>
      </c>
      <c r="B5748" s="5" t="s">
        <v>15661</v>
      </c>
      <c r="C5748" s="1" t="s">
        <v>15662</v>
      </c>
      <c r="D5748" s="1" t="s">
        <v>15663</v>
      </c>
      <c r="E5748" s="7">
        <v>6216</v>
      </c>
    </row>
    <row r="5749" spans="1:5" x14ac:dyDescent="0.25">
      <c r="A5749" s="5" t="s">
        <v>6</v>
      </c>
      <c r="B5749" s="5" t="s">
        <v>15664</v>
      </c>
      <c r="C5749" s="1" t="s">
        <v>15665</v>
      </c>
      <c r="D5749" s="1" t="s">
        <v>15666</v>
      </c>
      <c r="E5749" s="7">
        <v>4172</v>
      </c>
    </row>
    <row r="5750" spans="1:5" x14ac:dyDescent="0.25">
      <c r="A5750" s="5" t="s">
        <v>6</v>
      </c>
      <c r="B5750" s="5" t="s">
        <v>15667</v>
      </c>
      <c r="C5750" s="1" t="s">
        <v>15668</v>
      </c>
      <c r="D5750" s="1" t="s">
        <v>15669</v>
      </c>
      <c r="E5750" s="7">
        <v>1433</v>
      </c>
    </row>
    <row r="5751" spans="1:5" x14ac:dyDescent="0.25">
      <c r="A5751" s="5" t="s">
        <v>6</v>
      </c>
      <c r="B5751" s="5" t="s">
        <v>15670</v>
      </c>
      <c r="C5751" s="1" t="s">
        <v>15671</v>
      </c>
      <c r="D5751" s="1" t="s">
        <v>15672</v>
      </c>
      <c r="E5751" s="7">
        <v>5486</v>
      </c>
    </row>
    <row r="5752" spans="1:5" x14ac:dyDescent="0.25">
      <c r="A5752" s="5" t="s">
        <v>6</v>
      </c>
      <c r="B5752" s="5" t="s">
        <v>15673</v>
      </c>
      <c r="C5752" s="1" t="s">
        <v>15674</v>
      </c>
      <c r="D5752" s="1" t="s">
        <v>15663</v>
      </c>
      <c r="E5752" s="7">
        <v>40286</v>
      </c>
    </row>
    <row r="5753" spans="1:5" x14ac:dyDescent="0.25">
      <c r="A5753" s="5" t="s">
        <v>6</v>
      </c>
      <c r="B5753" s="5" t="s">
        <v>15675</v>
      </c>
      <c r="C5753" s="1" t="s">
        <v>15676</v>
      </c>
      <c r="D5753" s="1" t="s">
        <v>15676</v>
      </c>
      <c r="E5753" s="7">
        <v>9670</v>
      </c>
    </row>
    <row r="5754" spans="1:5" x14ac:dyDescent="0.25">
      <c r="A5754" s="5" t="s">
        <v>6</v>
      </c>
      <c r="B5754" s="5" t="s">
        <v>15677</v>
      </c>
      <c r="C5754" s="1" t="s">
        <v>15678</v>
      </c>
      <c r="D5754" s="1" t="s">
        <v>15679</v>
      </c>
      <c r="E5754" s="7">
        <v>10804</v>
      </c>
    </row>
    <row r="5755" spans="1:5" x14ac:dyDescent="0.25">
      <c r="A5755" s="5" t="s">
        <v>6</v>
      </c>
      <c r="B5755" s="5" t="s">
        <v>15680</v>
      </c>
      <c r="C5755" s="1" t="s">
        <v>15681</v>
      </c>
      <c r="D5755" s="1" t="s">
        <v>15682</v>
      </c>
      <c r="E5755" s="7">
        <v>2938</v>
      </c>
    </row>
    <row r="5756" spans="1:5" x14ac:dyDescent="0.25">
      <c r="A5756" s="5" t="s">
        <v>6</v>
      </c>
      <c r="B5756" s="5" t="s">
        <v>15683</v>
      </c>
      <c r="C5756" s="1" t="s">
        <v>15684</v>
      </c>
      <c r="D5756" s="1" t="s">
        <v>15685</v>
      </c>
      <c r="E5756" s="7">
        <v>2737</v>
      </c>
    </row>
    <row r="5757" spans="1:5" x14ac:dyDescent="0.25">
      <c r="A5757" s="5" t="s">
        <v>6</v>
      </c>
      <c r="B5757" s="5" t="s">
        <v>15686</v>
      </c>
      <c r="C5757" s="1" t="s">
        <v>15687</v>
      </c>
      <c r="D5757" s="1" t="s">
        <v>15688</v>
      </c>
      <c r="E5757" s="7">
        <v>6661</v>
      </c>
    </row>
    <row r="5758" spans="1:5" x14ac:dyDescent="0.25">
      <c r="A5758" s="5" t="s">
        <v>6</v>
      </c>
      <c r="B5758" s="5" t="s">
        <v>15689</v>
      </c>
      <c r="C5758" s="1" t="s">
        <v>15690</v>
      </c>
      <c r="D5758" s="1" t="s">
        <v>15691</v>
      </c>
      <c r="E5758" s="7">
        <v>7852</v>
      </c>
    </row>
    <row r="5759" spans="1:5" x14ac:dyDescent="0.25">
      <c r="A5759" s="5" t="s">
        <v>6</v>
      </c>
      <c r="B5759" s="5" t="s">
        <v>15692</v>
      </c>
      <c r="C5759" s="1" t="s">
        <v>15693</v>
      </c>
      <c r="D5759" s="1" t="s">
        <v>15694</v>
      </c>
      <c r="E5759" s="7">
        <v>3592</v>
      </c>
    </row>
    <row r="5760" spans="1:5" x14ac:dyDescent="0.25">
      <c r="A5760" s="5" t="s">
        <v>6</v>
      </c>
      <c r="B5760" s="5" t="s">
        <v>15695</v>
      </c>
      <c r="C5760" s="1" t="s">
        <v>15696</v>
      </c>
      <c r="D5760" s="1" t="s">
        <v>15697</v>
      </c>
      <c r="E5760" s="7">
        <v>6349</v>
      </c>
    </row>
    <row r="5761" spans="1:5" x14ac:dyDescent="0.25">
      <c r="A5761" s="5" t="s">
        <v>6</v>
      </c>
      <c r="B5761" s="5" t="s">
        <v>15698</v>
      </c>
      <c r="C5761" s="1" t="s">
        <v>15699</v>
      </c>
      <c r="D5761" s="1" t="s">
        <v>15700</v>
      </c>
      <c r="E5761" s="7">
        <v>17706</v>
      </c>
    </row>
    <row r="5762" spans="1:5" x14ac:dyDescent="0.25">
      <c r="A5762" s="5" t="s">
        <v>6</v>
      </c>
      <c r="B5762" s="5" t="s">
        <v>15701</v>
      </c>
      <c r="C5762" s="1" t="s">
        <v>15702</v>
      </c>
      <c r="D5762" s="1" t="s">
        <v>15703</v>
      </c>
      <c r="E5762" s="7">
        <v>38427</v>
      </c>
    </row>
    <row r="5763" spans="1:5" x14ac:dyDescent="0.25">
      <c r="A5763" s="5" t="s">
        <v>6</v>
      </c>
      <c r="B5763" s="5" t="s">
        <v>15704</v>
      </c>
      <c r="C5763" s="1" t="s">
        <v>15705</v>
      </c>
      <c r="D5763" s="1" t="s">
        <v>15706</v>
      </c>
      <c r="E5763" s="7">
        <v>7628</v>
      </c>
    </row>
    <row r="5764" spans="1:5" x14ac:dyDescent="0.25">
      <c r="A5764" s="5" t="s">
        <v>6</v>
      </c>
      <c r="B5764" s="5" t="s">
        <v>15707</v>
      </c>
      <c r="C5764" s="1" t="s">
        <v>15708</v>
      </c>
      <c r="D5764" s="1" t="s">
        <v>15709</v>
      </c>
      <c r="E5764" s="7">
        <v>10374</v>
      </c>
    </row>
    <row r="5765" spans="1:5" x14ac:dyDescent="0.25">
      <c r="A5765" s="5" t="s">
        <v>6</v>
      </c>
      <c r="B5765" s="5" t="s">
        <v>15710</v>
      </c>
      <c r="C5765" s="1" t="s">
        <v>15711</v>
      </c>
      <c r="D5765" s="1" t="s">
        <v>15709</v>
      </c>
      <c r="E5765" s="7">
        <v>12614</v>
      </c>
    </row>
    <row r="5766" spans="1:5" x14ac:dyDescent="0.25">
      <c r="A5766" s="5" t="s">
        <v>6</v>
      </c>
      <c r="B5766" s="5" t="s">
        <v>15712</v>
      </c>
      <c r="C5766" s="1" t="s">
        <v>15713</v>
      </c>
      <c r="D5766" s="1" t="s">
        <v>15714</v>
      </c>
      <c r="E5766" s="7">
        <v>75249</v>
      </c>
    </row>
    <row r="5767" spans="1:5" x14ac:dyDescent="0.25">
      <c r="A5767" s="5" t="s">
        <v>6</v>
      </c>
      <c r="B5767" s="5" t="s">
        <v>15715</v>
      </c>
      <c r="C5767" s="1" t="s">
        <v>15716</v>
      </c>
      <c r="D5767" s="1" t="s">
        <v>15717</v>
      </c>
      <c r="E5767" s="7">
        <v>1150</v>
      </c>
    </row>
    <row r="5768" spans="1:5" x14ac:dyDescent="0.25">
      <c r="A5768" s="5" t="s">
        <v>6</v>
      </c>
      <c r="B5768" s="5" t="s">
        <v>15718</v>
      </c>
      <c r="C5768" s="1" t="s">
        <v>15719</v>
      </c>
      <c r="D5768" s="1" t="s">
        <v>15720</v>
      </c>
      <c r="E5768" s="7">
        <v>9580</v>
      </c>
    </row>
    <row r="5769" spans="1:5" x14ac:dyDescent="0.25">
      <c r="A5769" s="5" t="s">
        <v>6</v>
      </c>
      <c r="B5769" s="5" t="s">
        <v>15721</v>
      </c>
      <c r="C5769" s="1" t="s">
        <v>15722</v>
      </c>
      <c r="D5769" s="1" t="s">
        <v>15723</v>
      </c>
      <c r="E5769" s="7">
        <v>5344</v>
      </c>
    </row>
    <row r="5770" spans="1:5" x14ac:dyDescent="0.25">
      <c r="A5770" s="5" t="s">
        <v>6</v>
      </c>
      <c r="B5770" s="5" t="s">
        <v>15724</v>
      </c>
      <c r="C5770" s="1" t="s">
        <v>15725</v>
      </c>
      <c r="D5770" s="1" t="s">
        <v>15723</v>
      </c>
      <c r="E5770" s="7">
        <v>8887</v>
      </c>
    </row>
    <row r="5771" spans="1:5" x14ac:dyDescent="0.25">
      <c r="A5771" s="5" t="s">
        <v>6</v>
      </c>
      <c r="B5771" s="5" t="s">
        <v>15726</v>
      </c>
      <c r="C5771" s="1" t="s">
        <v>15727</v>
      </c>
      <c r="D5771" s="1" t="s">
        <v>15728</v>
      </c>
      <c r="E5771" s="7">
        <v>29278</v>
      </c>
    </row>
    <row r="5772" spans="1:5" x14ac:dyDescent="0.25">
      <c r="A5772" s="5" t="s">
        <v>6</v>
      </c>
      <c r="B5772" s="5" t="s">
        <v>15729</v>
      </c>
      <c r="C5772" s="1" t="s">
        <v>15730</v>
      </c>
      <c r="D5772" s="1" t="s">
        <v>15731</v>
      </c>
      <c r="E5772" s="7">
        <v>14555</v>
      </c>
    </row>
    <row r="5773" spans="1:5" x14ac:dyDescent="0.25">
      <c r="A5773" s="5" t="s">
        <v>6</v>
      </c>
      <c r="B5773" s="5" t="s">
        <v>15732</v>
      </c>
      <c r="C5773" s="1" t="s">
        <v>15733</v>
      </c>
      <c r="D5773" s="1" t="s">
        <v>15734</v>
      </c>
      <c r="E5773" s="7">
        <v>10183</v>
      </c>
    </row>
    <row r="5774" spans="1:5" x14ac:dyDescent="0.25">
      <c r="A5774" s="5" t="s">
        <v>6</v>
      </c>
      <c r="B5774" s="5" t="s">
        <v>15735</v>
      </c>
      <c r="C5774" s="1" t="s">
        <v>15736</v>
      </c>
      <c r="D5774" s="1" t="s">
        <v>15737</v>
      </c>
      <c r="E5774" s="7">
        <v>1469</v>
      </c>
    </row>
    <row r="5775" spans="1:5" x14ac:dyDescent="0.25">
      <c r="A5775" s="5" t="s">
        <v>6</v>
      </c>
      <c r="B5775" s="5" t="s">
        <v>15738</v>
      </c>
      <c r="C5775" s="1" t="s">
        <v>15739</v>
      </c>
      <c r="D5775" s="1" t="s">
        <v>15740</v>
      </c>
      <c r="E5775" s="7">
        <v>27410</v>
      </c>
    </row>
    <row r="5776" spans="1:5" x14ac:dyDescent="0.25">
      <c r="A5776" s="5" t="s">
        <v>6</v>
      </c>
      <c r="B5776" s="5" t="s">
        <v>15741</v>
      </c>
      <c r="C5776" s="1" t="s">
        <v>15742</v>
      </c>
      <c r="D5776" s="1" t="s">
        <v>15743</v>
      </c>
      <c r="E5776" s="7">
        <v>75716</v>
      </c>
    </row>
    <row r="5777" spans="1:5" x14ac:dyDescent="0.25">
      <c r="A5777" s="5" t="s">
        <v>6</v>
      </c>
      <c r="B5777" s="5" t="s">
        <v>15744</v>
      </c>
      <c r="C5777" s="1" t="s">
        <v>15745</v>
      </c>
      <c r="D5777" s="1" t="s">
        <v>15746</v>
      </c>
      <c r="E5777" s="7">
        <v>29631</v>
      </c>
    </row>
    <row r="5778" spans="1:5" x14ac:dyDescent="0.25">
      <c r="A5778" s="5" t="s">
        <v>6</v>
      </c>
      <c r="B5778" s="5" t="s">
        <v>15747</v>
      </c>
      <c r="C5778" s="1" t="s">
        <v>15748</v>
      </c>
      <c r="D5778" s="1" t="s">
        <v>15748</v>
      </c>
      <c r="E5778" s="7">
        <v>2133</v>
      </c>
    </row>
    <row r="5779" spans="1:5" x14ac:dyDescent="0.25">
      <c r="A5779" s="5" t="s">
        <v>6</v>
      </c>
      <c r="B5779" s="5" t="s">
        <v>15749</v>
      </c>
      <c r="C5779" s="1" t="s">
        <v>15750</v>
      </c>
      <c r="D5779" s="1" t="s">
        <v>15751</v>
      </c>
      <c r="E5779" s="7">
        <v>483.6</v>
      </c>
    </row>
    <row r="5780" spans="1:5" x14ac:dyDescent="0.25">
      <c r="A5780" s="5" t="s">
        <v>6</v>
      </c>
      <c r="B5780" s="5" t="s">
        <v>15752</v>
      </c>
      <c r="C5780" s="1" t="s">
        <v>15753</v>
      </c>
      <c r="D5780" s="1" t="s">
        <v>15754</v>
      </c>
      <c r="E5780" s="7">
        <v>19193</v>
      </c>
    </row>
    <row r="5781" spans="1:5" x14ac:dyDescent="0.25">
      <c r="A5781" s="5" t="s">
        <v>6</v>
      </c>
      <c r="B5781" s="5" t="s">
        <v>15755</v>
      </c>
      <c r="C5781" s="1" t="s">
        <v>15756</v>
      </c>
      <c r="D5781" s="1" t="s">
        <v>15754</v>
      </c>
      <c r="E5781" s="7">
        <v>20269</v>
      </c>
    </row>
    <row r="5782" spans="1:5" x14ac:dyDescent="0.25">
      <c r="A5782" s="5" t="s">
        <v>6</v>
      </c>
      <c r="B5782" s="5" t="s">
        <v>15757</v>
      </c>
      <c r="C5782" s="1" t="s">
        <v>15758</v>
      </c>
      <c r="D5782" s="1" t="s">
        <v>15759</v>
      </c>
      <c r="E5782" s="7">
        <v>21157</v>
      </c>
    </row>
    <row r="5783" spans="1:5" x14ac:dyDescent="0.25">
      <c r="A5783" s="5" t="s">
        <v>6</v>
      </c>
      <c r="B5783" s="5" t="s">
        <v>15760</v>
      </c>
      <c r="C5783" s="1" t="s">
        <v>15761</v>
      </c>
      <c r="D5783" s="1" t="s">
        <v>15762</v>
      </c>
      <c r="E5783" s="7">
        <v>70692</v>
      </c>
    </row>
    <row r="5784" spans="1:5" x14ac:dyDescent="0.25">
      <c r="A5784" s="5" t="s">
        <v>6</v>
      </c>
      <c r="B5784" s="5" t="s">
        <v>15763</v>
      </c>
      <c r="C5784" s="1" t="s">
        <v>15764</v>
      </c>
      <c r="D5784" s="1" t="s">
        <v>15765</v>
      </c>
      <c r="E5784" s="7">
        <v>26987</v>
      </c>
    </row>
    <row r="5785" spans="1:5" x14ac:dyDescent="0.25">
      <c r="A5785" s="5" t="s">
        <v>6</v>
      </c>
      <c r="B5785" s="5" t="s">
        <v>15766</v>
      </c>
      <c r="C5785" s="1" t="s">
        <v>15767</v>
      </c>
      <c r="D5785" s="1" t="s">
        <v>15768</v>
      </c>
      <c r="E5785" s="7">
        <v>26987</v>
      </c>
    </row>
    <row r="5786" spans="1:5" x14ac:dyDescent="0.25">
      <c r="A5786" s="5" t="s">
        <v>6</v>
      </c>
      <c r="B5786" s="5" t="s">
        <v>15769</v>
      </c>
      <c r="C5786" s="1" t="s">
        <v>15770</v>
      </c>
      <c r="D5786" s="1" t="s">
        <v>15771</v>
      </c>
      <c r="E5786" s="7">
        <v>8032</v>
      </c>
    </row>
    <row r="5787" spans="1:5" x14ac:dyDescent="0.25">
      <c r="A5787" s="5" t="s">
        <v>6</v>
      </c>
      <c r="B5787" s="5" t="s">
        <v>15772</v>
      </c>
      <c r="C5787" s="1" t="s">
        <v>15773</v>
      </c>
      <c r="D5787" s="1" t="s">
        <v>15774</v>
      </c>
      <c r="E5787" s="7">
        <v>13234</v>
      </c>
    </row>
    <row r="5788" spans="1:5" x14ac:dyDescent="0.25">
      <c r="A5788" s="5" t="s">
        <v>6</v>
      </c>
      <c r="B5788" s="5" t="s">
        <v>15775</v>
      </c>
      <c r="C5788" s="1" t="s">
        <v>15776</v>
      </c>
      <c r="D5788" s="1" t="s">
        <v>15723</v>
      </c>
      <c r="E5788" s="7">
        <v>8173</v>
      </c>
    </row>
    <row r="5789" spans="1:5" x14ac:dyDescent="0.25">
      <c r="A5789" s="5" t="s">
        <v>6</v>
      </c>
      <c r="B5789" s="5" t="s">
        <v>15777</v>
      </c>
      <c r="C5789" s="1" t="s">
        <v>15778</v>
      </c>
      <c r="D5789" s="1" t="s">
        <v>15779</v>
      </c>
      <c r="E5789" s="7">
        <v>18063</v>
      </c>
    </row>
    <row r="5790" spans="1:5" x14ac:dyDescent="0.25">
      <c r="A5790" s="5" t="s">
        <v>6</v>
      </c>
      <c r="B5790" s="5" t="s">
        <v>15780</v>
      </c>
      <c r="C5790" s="1" t="s">
        <v>15781</v>
      </c>
      <c r="D5790" s="1" t="s">
        <v>15782</v>
      </c>
      <c r="E5790" s="7">
        <v>523</v>
      </c>
    </row>
    <row r="5791" spans="1:5" x14ac:dyDescent="0.25">
      <c r="A5791" s="5" t="s">
        <v>6</v>
      </c>
      <c r="B5791" s="5" t="s">
        <v>15783</v>
      </c>
      <c r="C5791" s="1" t="s">
        <v>15784</v>
      </c>
      <c r="D5791" s="1" t="s">
        <v>15785</v>
      </c>
      <c r="E5791" s="7">
        <v>13397</v>
      </c>
    </row>
    <row r="5792" spans="1:5" x14ac:dyDescent="0.25">
      <c r="A5792" s="5" t="s">
        <v>6</v>
      </c>
      <c r="B5792" s="5" t="s">
        <v>15786</v>
      </c>
      <c r="C5792" s="1" t="s">
        <v>15787</v>
      </c>
      <c r="D5792" s="1" t="s">
        <v>15788</v>
      </c>
      <c r="E5792" s="7">
        <v>19912</v>
      </c>
    </row>
    <row r="5793" spans="1:5" x14ac:dyDescent="0.25">
      <c r="A5793" s="5" t="s">
        <v>6</v>
      </c>
      <c r="B5793" s="5" t="s">
        <v>15789</v>
      </c>
      <c r="C5793" s="1" t="s">
        <v>15790</v>
      </c>
      <c r="D5793" s="1" t="s">
        <v>15791</v>
      </c>
      <c r="E5793" s="7">
        <v>26934</v>
      </c>
    </row>
    <row r="5794" spans="1:5" x14ac:dyDescent="0.25">
      <c r="A5794" s="5" t="s">
        <v>6</v>
      </c>
      <c r="B5794" s="5" t="s">
        <v>15792</v>
      </c>
      <c r="C5794" s="1" t="s">
        <v>15793</v>
      </c>
      <c r="D5794" s="1" t="s">
        <v>15794</v>
      </c>
      <c r="E5794" s="7">
        <v>13778</v>
      </c>
    </row>
    <row r="5795" spans="1:5" x14ac:dyDescent="0.25">
      <c r="A5795" s="5" t="s">
        <v>6</v>
      </c>
      <c r="B5795" s="5" t="s">
        <v>15795</v>
      </c>
      <c r="C5795" s="1" t="s">
        <v>15796</v>
      </c>
      <c r="D5795" s="1" t="s">
        <v>15796</v>
      </c>
      <c r="E5795" s="7">
        <v>1061</v>
      </c>
    </row>
    <row r="5796" spans="1:5" x14ac:dyDescent="0.25">
      <c r="A5796" s="5" t="s">
        <v>6</v>
      </c>
      <c r="B5796" s="5" t="s">
        <v>15797</v>
      </c>
      <c r="C5796" s="1" t="s">
        <v>15796</v>
      </c>
      <c r="D5796" s="1" t="s">
        <v>15796</v>
      </c>
      <c r="E5796" s="7">
        <v>2160</v>
      </c>
    </row>
    <row r="5797" spans="1:5" x14ac:dyDescent="0.25">
      <c r="A5797" s="5" t="s">
        <v>6</v>
      </c>
      <c r="B5797" s="5" t="s">
        <v>15798</v>
      </c>
      <c r="C5797" s="1" t="s">
        <v>15796</v>
      </c>
      <c r="D5797" s="1" t="s">
        <v>15796</v>
      </c>
      <c r="E5797" s="7">
        <v>1110</v>
      </c>
    </row>
    <row r="5798" spans="1:5" x14ac:dyDescent="0.25">
      <c r="A5798" s="5" t="s">
        <v>6</v>
      </c>
      <c r="B5798" s="5" t="s">
        <v>15799</v>
      </c>
      <c r="C5798" s="1" t="s">
        <v>15800</v>
      </c>
      <c r="D5798" s="1" t="s">
        <v>15801</v>
      </c>
      <c r="E5798" s="7">
        <v>848</v>
      </c>
    </row>
    <row r="5799" spans="1:5" x14ac:dyDescent="0.25">
      <c r="A5799" s="5" t="s">
        <v>6</v>
      </c>
      <c r="B5799" s="5" t="s">
        <v>15802</v>
      </c>
      <c r="C5799" s="1" t="s">
        <v>15803</v>
      </c>
      <c r="D5799" s="1" t="s">
        <v>15804</v>
      </c>
      <c r="E5799" s="7">
        <v>1682</v>
      </c>
    </row>
    <row r="5800" spans="1:5" x14ac:dyDescent="0.25">
      <c r="A5800" s="5" t="s">
        <v>6</v>
      </c>
      <c r="B5800" s="5" t="s">
        <v>15805</v>
      </c>
      <c r="C5800" s="1" t="s">
        <v>15806</v>
      </c>
      <c r="D5800" s="1" t="s">
        <v>15806</v>
      </c>
      <c r="E5800" s="7">
        <v>1610</v>
      </c>
    </row>
    <row r="5801" spans="1:5" x14ac:dyDescent="0.25">
      <c r="A5801" s="5" t="s">
        <v>6</v>
      </c>
      <c r="B5801" s="5" t="s">
        <v>15807</v>
      </c>
      <c r="C5801" s="1" t="s">
        <v>15808</v>
      </c>
      <c r="D5801" s="1" t="s">
        <v>15808</v>
      </c>
      <c r="E5801" s="7">
        <v>1036</v>
      </c>
    </row>
    <row r="5802" spans="1:5" x14ac:dyDescent="0.25">
      <c r="A5802" s="5" t="s">
        <v>6</v>
      </c>
      <c r="B5802" s="5" t="s">
        <v>15809</v>
      </c>
      <c r="C5802" s="1" t="s">
        <v>15810</v>
      </c>
      <c r="D5802" s="1" t="s">
        <v>15810</v>
      </c>
      <c r="E5802" s="7">
        <v>1531</v>
      </c>
    </row>
    <row r="5803" spans="1:5" x14ac:dyDescent="0.25">
      <c r="A5803" s="5" t="s">
        <v>6</v>
      </c>
      <c r="B5803" s="5" t="s">
        <v>15811</v>
      </c>
      <c r="C5803" s="1" t="s">
        <v>15812</v>
      </c>
      <c r="D5803" s="1" t="s">
        <v>15812</v>
      </c>
      <c r="E5803" s="7">
        <v>579</v>
      </c>
    </row>
    <row r="5804" spans="1:5" x14ac:dyDescent="0.25">
      <c r="A5804" s="5" t="s">
        <v>6</v>
      </c>
      <c r="B5804" s="5" t="s">
        <v>15813</v>
      </c>
      <c r="C5804" s="1" t="s">
        <v>15814</v>
      </c>
      <c r="D5804" s="1" t="s">
        <v>15814</v>
      </c>
      <c r="E5804" s="7">
        <v>2514</v>
      </c>
    </row>
    <row r="5805" spans="1:5" x14ac:dyDescent="0.25">
      <c r="A5805" s="5" t="s">
        <v>6</v>
      </c>
      <c r="B5805" s="5" t="s">
        <v>15815</v>
      </c>
      <c r="C5805" s="1" t="s">
        <v>15816</v>
      </c>
      <c r="D5805" s="1" t="s">
        <v>15816</v>
      </c>
      <c r="E5805" s="7">
        <v>727</v>
      </c>
    </row>
    <row r="5806" spans="1:5" x14ac:dyDescent="0.25">
      <c r="A5806" s="5" t="s">
        <v>6</v>
      </c>
      <c r="B5806" s="5" t="s">
        <v>15817</v>
      </c>
      <c r="C5806" s="1" t="s">
        <v>15818</v>
      </c>
      <c r="D5806" s="1" t="s">
        <v>15819</v>
      </c>
      <c r="E5806" s="7">
        <v>508</v>
      </c>
    </row>
    <row r="5807" spans="1:5" x14ac:dyDescent="0.25">
      <c r="A5807" s="5" t="s">
        <v>6</v>
      </c>
      <c r="B5807" s="5" t="s">
        <v>15820</v>
      </c>
      <c r="C5807" s="1" t="s">
        <v>15821</v>
      </c>
      <c r="D5807" s="1" t="s">
        <v>15822</v>
      </c>
      <c r="E5807" s="7">
        <v>2260</v>
      </c>
    </row>
    <row r="5808" spans="1:5" x14ac:dyDescent="0.25">
      <c r="A5808" s="5" t="s">
        <v>6</v>
      </c>
      <c r="B5808" s="5" t="s">
        <v>15823</v>
      </c>
      <c r="C5808" s="1" t="s">
        <v>15824</v>
      </c>
      <c r="D5808" s="1" t="s">
        <v>15825</v>
      </c>
      <c r="E5808" s="7">
        <v>1040</v>
      </c>
    </row>
    <row r="5809" spans="1:5" x14ac:dyDescent="0.25">
      <c r="A5809" s="5" t="s">
        <v>6</v>
      </c>
      <c r="B5809" s="5" t="s">
        <v>15826</v>
      </c>
      <c r="C5809" s="1" t="s">
        <v>15827</v>
      </c>
      <c r="D5809" s="1" t="s">
        <v>15828</v>
      </c>
      <c r="E5809" s="7">
        <v>2035</v>
      </c>
    </row>
    <row r="5810" spans="1:5" x14ac:dyDescent="0.25">
      <c r="A5810" s="5" t="s">
        <v>6</v>
      </c>
      <c r="B5810" s="5" t="s">
        <v>15829</v>
      </c>
      <c r="C5810" s="1" t="s">
        <v>15830</v>
      </c>
      <c r="D5810" s="1" t="s">
        <v>15831</v>
      </c>
      <c r="E5810" s="7">
        <v>20364</v>
      </c>
    </row>
    <row r="5811" spans="1:5" x14ac:dyDescent="0.25">
      <c r="A5811" s="5" t="s">
        <v>6</v>
      </c>
      <c r="B5811" s="5" t="s">
        <v>15832</v>
      </c>
      <c r="C5811" s="1" t="s">
        <v>15833</v>
      </c>
      <c r="D5811" s="1" t="s">
        <v>15834</v>
      </c>
      <c r="E5811" s="7">
        <v>6183</v>
      </c>
    </row>
    <row r="5812" spans="1:5" x14ac:dyDescent="0.25">
      <c r="A5812" s="5" t="s">
        <v>6</v>
      </c>
      <c r="B5812" s="5" t="s">
        <v>15835</v>
      </c>
      <c r="C5812" s="1" t="s">
        <v>15836</v>
      </c>
      <c r="D5812" s="1" t="s">
        <v>15836</v>
      </c>
      <c r="E5812" s="7">
        <v>328</v>
      </c>
    </row>
    <row r="5813" spans="1:5" x14ac:dyDescent="0.25">
      <c r="A5813" s="5" t="s">
        <v>6</v>
      </c>
      <c r="B5813" s="5" t="s">
        <v>15837</v>
      </c>
      <c r="C5813" s="1" t="s">
        <v>15838</v>
      </c>
      <c r="D5813" s="1" t="s">
        <v>15839</v>
      </c>
      <c r="E5813" s="7">
        <v>51667</v>
      </c>
    </row>
    <row r="5814" spans="1:5" x14ac:dyDescent="0.25">
      <c r="A5814" s="5" t="s">
        <v>6</v>
      </c>
      <c r="B5814" s="5" t="s">
        <v>15840</v>
      </c>
      <c r="C5814" s="1" t="s">
        <v>15841</v>
      </c>
      <c r="D5814" s="1" t="s">
        <v>15842</v>
      </c>
      <c r="E5814" s="7">
        <v>1362</v>
      </c>
    </row>
    <row r="5815" spans="1:5" x14ac:dyDescent="0.25">
      <c r="A5815" s="5" t="s">
        <v>6</v>
      </c>
      <c r="B5815" s="5" t="s">
        <v>15843</v>
      </c>
      <c r="C5815" s="1" t="s">
        <v>15844</v>
      </c>
      <c r="D5815" s="1" t="s">
        <v>15844</v>
      </c>
      <c r="E5815" s="7">
        <v>867</v>
      </c>
    </row>
    <row r="5816" spans="1:5" x14ac:dyDescent="0.25">
      <c r="A5816" s="5" t="s">
        <v>6</v>
      </c>
      <c r="B5816" s="5" t="s">
        <v>15845</v>
      </c>
      <c r="C5816" s="1" t="s">
        <v>15846</v>
      </c>
      <c r="D5816" s="1" t="s">
        <v>15847</v>
      </c>
      <c r="E5816" s="7">
        <v>671</v>
      </c>
    </row>
    <row r="5817" spans="1:5" x14ac:dyDescent="0.25">
      <c r="A5817" s="5" t="s">
        <v>6</v>
      </c>
      <c r="B5817" s="5" t="s">
        <v>15848</v>
      </c>
      <c r="C5817" s="1" t="s">
        <v>15849</v>
      </c>
      <c r="D5817" s="1" t="s">
        <v>15850</v>
      </c>
      <c r="E5817" s="7">
        <v>5827</v>
      </c>
    </row>
    <row r="5818" spans="1:5" x14ac:dyDescent="0.25">
      <c r="A5818" s="5" t="s">
        <v>6</v>
      </c>
      <c r="B5818" s="5" t="s">
        <v>15851</v>
      </c>
      <c r="C5818" s="1" t="s">
        <v>15852</v>
      </c>
      <c r="D5818" s="1" t="s">
        <v>15853</v>
      </c>
      <c r="E5818" s="7">
        <v>1337</v>
      </c>
    </row>
    <row r="5819" spans="1:5" x14ac:dyDescent="0.25">
      <c r="A5819" s="5" t="s">
        <v>6</v>
      </c>
      <c r="B5819" s="5" t="s">
        <v>15854</v>
      </c>
      <c r="C5819" s="1" t="s">
        <v>15855</v>
      </c>
      <c r="D5819" s="1" t="s">
        <v>15856</v>
      </c>
      <c r="E5819" s="7">
        <v>2496</v>
      </c>
    </row>
    <row r="5820" spans="1:5" x14ac:dyDescent="0.25">
      <c r="A5820" s="5" t="s">
        <v>6</v>
      </c>
      <c r="B5820" s="5" t="s">
        <v>15857</v>
      </c>
      <c r="C5820" s="1" t="s">
        <v>15858</v>
      </c>
      <c r="D5820" s="1" t="s">
        <v>15859</v>
      </c>
      <c r="E5820" s="7">
        <v>5410</v>
      </c>
    </row>
    <row r="5821" spans="1:5" x14ac:dyDescent="0.25">
      <c r="A5821" s="5" t="s">
        <v>6</v>
      </c>
      <c r="B5821" s="5" t="s">
        <v>15860</v>
      </c>
      <c r="C5821" s="1" t="s">
        <v>15861</v>
      </c>
      <c r="D5821" s="1" t="s">
        <v>15862</v>
      </c>
      <c r="E5821" s="7">
        <v>729</v>
      </c>
    </row>
    <row r="5822" spans="1:5" x14ac:dyDescent="0.25">
      <c r="A5822" s="5" t="s">
        <v>6</v>
      </c>
      <c r="B5822" s="5" t="s">
        <v>15863</v>
      </c>
      <c r="C5822" s="1" t="s">
        <v>15864</v>
      </c>
      <c r="D5822" s="1" t="s">
        <v>15864</v>
      </c>
      <c r="E5822" s="7">
        <v>651</v>
      </c>
    </row>
    <row r="5823" spans="1:5" x14ac:dyDescent="0.25">
      <c r="A5823" s="5" t="s">
        <v>6</v>
      </c>
      <c r="B5823" s="5" t="s">
        <v>15865</v>
      </c>
      <c r="C5823" s="1" t="s">
        <v>15866</v>
      </c>
      <c r="D5823" s="1" t="s">
        <v>15866</v>
      </c>
      <c r="E5823" s="7">
        <v>589</v>
      </c>
    </row>
    <row r="5824" spans="1:5" x14ac:dyDescent="0.25">
      <c r="A5824" s="5" t="s">
        <v>6</v>
      </c>
      <c r="B5824" s="5" t="s">
        <v>15867</v>
      </c>
      <c r="C5824" s="1" t="s">
        <v>15868</v>
      </c>
      <c r="D5824" s="1" t="s">
        <v>15869</v>
      </c>
      <c r="E5824" s="7">
        <v>1291</v>
      </c>
    </row>
    <row r="5825" spans="1:5" x14ac:dyDescent="0.25">
      <c r="A5825" s="5" t="s">
        <v>6</v>
      </c>
      <c r="B5825" s="5" t="s">
        <v>15870</v>
      </c>
      <c r="C5825" s="1" t="s">
        <v>15871</v>
      </c>
      <c r="D5825" s="1" t="s">
        <v>15872</v>
      </c>
      <c r="E5825" s="7">
        <v>3981</v>
      </c>
    </row>
    <row r="5826" spans="1:5" x14ac:dyDescent="0.25">
      <c r="A5826" s="5" t="s">
        <v>6</v>
      </c>
      <c r="B5826" s="5" t="s">
        <v>15873</v>
      </c>
      <c r="C5826" s="1" t="s">
        <v>15874</v>
      </c>
      <c r="D5826" s="1" t="s">
        <v>15874</v>
      </c>
      <c r="E5826" s="7">
        <v>387</v>
      </c>
    </row>
    <row r="5827" spans="1:5" x14ac:dyDescent="0.25">
      <c r="A5827" s="5" t="s">
        <v>6</v>
      </c>
      <c r="B5827" s="5" t="s">
        <v>15875</v>
      </c>
      <c r="C5827" s="1" t="s">
        <v>15876</v>
      </c>
      <c r="D5827" s="1" t="s">
        <v>15877</v>
      </c>
      <c r="E5827" s="7">
        <v>1526</v>
      </c>
    </row>
    <row r="5828" spans="1:5" x14ac:dyDescent="0.25">
      <c r="A5828" s="5" t="s">
        <v>6</v>
      </c>
      <c r="B5828" s="5" t="s">
        <v>15878</v>
      </c>
      <c r="C5828" s="1" t="s">
        <v>15879</v>
      </c>
      <c r="D5828" s="1" t="s">
        <v>15880</v>
      </c>
      <c r="E5828" s="7">
        <v>2712</v>
      </c>
    </row>
    <row r="5829" spans="1:5" x14ac:dyDescent="0.25">
      <c r="A5829" s="5" t="s">
        <v>6</v>
      </c>
      <c r="B5829" s="5" t="s">
        <v>15881</v>
      </c>
      <c r="C5829" s="1" t="s">
        <v>15882</v>
      </c>
      <c r="D5829" s="1" t="s">
        <v>15883</v>
      </c>
      <c r="E5829" s="7">
        <v>1886</v>
      </c>
    </row>
    <row r="5830" spans="1:5" x14ac:dyDescent="0.25">
      <c r="A5830" s="5" t="s">
        <v>6</v>
      </c>
      <c r="B5830" s="5" t="s">
        <v>15884</v>
      </c>
      <c r="C5830" s="1" t="s">
        <v>15885</v>
      </c>
      <c r="D5830" s="1" t="s">
        <v>15886</v>
      </c>
      <c r="E5830" s="7">
        <v>483</v>
      </c>
    </row>
    <row r="5831" spans="1:5" x14ac:dyDescent="0.25">
      <c r="A5831" s="5" t="s">
        <v>6</v>
      </c>
      <c r="B5831" s="5" t="s">
        <v>15887</v>
      </c>
      <c r="C5831" s="1" t="s">
        <v>15888</v>
      </c>
      <c r="D5831" s="1" t="s">
        <v>15889</v>
      </c>
      <c r="E5831" s="7">
        <v>1140</v>
      </c>
    </row>
    <row r="5832" spans="1:5" x14ac:dyDescent="0.25">
      <c r="A5832" s="5" t="s">
        <v>6</v>
      </c>
      <c r="B5832" s="5" t="s">
        <v>15890</v>
      </c>
      <c r="C5832" s="1" t="s">
        <v>15891</v>
      </c>
      <c r="D5832" s="1" t="s">
        <v>15891</v>
      </c>
      <c r="E5832" s="7">
        <v>849</v>
      </c>
    </row>
    <row r="5833" spans="1:5" x14ac:dyDescent="0.25">
      <c r="A5833" s="5" t="s">
        <v>6</v>
      </c>
      <c r="B5833" s="5" t="s">
        <v>15892</v>
      </c>
      <c r="C5833" s="1" t="s">
        <v>15893</v>
      </c>
      <c r="D5833" s="1" t="s">
        <v>15894</v>
      </c>
      <c r="E5833" s="7">
        <v>1259</v>
      </c>
    </row>
    <row r="5834" spans="1:5" x14ac:dyDescent="0.25">
      <c r="A5834" s="5" t="s">
        <v>6</v>
      </c>
      <c r="B5834" s="5" t="s">
        <v>15895</v>
      </c>
      <c r="C5834" s="1" t="s">
        <v>15896</v>
      </c>
      <c r="D5834" s="1" t="s">
        <v>15897</v>
      </c>
      <c r="E5834" s="7">
        <v>407</v>
      </c>
    </row>
    <row r="5835" spans="1:5" x14ac:dyDescent="0.25">
      <c r="A5835" s="5" t="s">
        <v>6</v>
      </c>
      <c r="B5835" s="5" t="s">
        <v>15898</v>
      </c>
      <c r="C5835" s="1" t="s">
        <v>15899</v>
      </c>
      <c r="D5835" s="1" t="s">
        <v>15900</v>
      </c>
      <c r="E5835" s="7">
        <v>1599</v>
      </c>
    </row>
    <row r="5836" spans="1:5" x14ac:dyDescent="0.25">
      <c r="A5836" s="5" t="s">
        <v>6</v>
      </c>
      <c r="B5836" s="5" t="s">
        <v>15901</v>
      </c>
      <c r="C5836" s="1" t="s">
        <v>15902</v>
      </c>
      <c r="D5836" s="1" t="s">
        <v>15903</v>
      </c>
      <c r="E5836" s="7">
        <v>1408</v>
      </c>
    </row>
    <row r="5837" spans="1:5" x14ac:dyDescent="0.25">
      <c r="A5837" s="5" t="s">
        <v>6</v>
      </c>
      <c r="B5837" s="5" t="s">
        <v>15904</v>
      </c>
      <c r="C5837" s="1" t="s">
        <v>15905</v>
      </c>
      <c r="D5837" s="1" t="s">
        <v>15906</v>
      </c>
      <c r="E5837" s="7">
        <v>909</v>
      </c>
    </row>
    <row r="5838" spans="1:5" x14ac:dyDescent="0.25">
      <c r="A5838" s="5" t="s">
        <v>6</v>
      </c>
      <c r="B5838" s="5" t="s">
        <v>15907</v>
      </c>
      <c r="C5838" s="1" t="s">
        <v>15908</v>
      </c>
      <c r="D5838" s="1" t="s">
        <v>15909</v>
      </c>
      <c r="E5838" s="7">
        <v>1189</v>
      </c>
    </row>
    <row r="5839" spans="1:5" x14ac:dyDescent="0.25">
      <c r="A5839" s="5" t="s">
        <v>6</v>
      </c>
      <c r="B5839" s="5" t="s">
        <v>15910</v>
      </c>
      <c r="C5839" s="1" t="s">
        <v>15911</v>
      </c>
      <c r="D5839" s="1" t="s">
        <v>15912</v>
      </c>
      <c r="E5839" s="7">
        <v>19538</v>
      </c>
    </row>
    <row r="5840" spans="1:5" x14ac:dyDescent="0.25">
      <c r="A5840" s="5" t="s">
        <v>6</v>
      </c>
      <c r="B5840" s="5" t="s">
        <v>15913</v>
      </c>
      <c r="C5840" s="1" t="s">
        <v>15914</v>
      </c>
      <c r="D5840" s="1" t="s">
        <v>15915</v>
      </c>
      <c r="E5840" s="7">
        <v>3329</v>
      </c>
    </row>
    <row r="5841" spans="1:5" x14ac:dyDescent="0.25">
      <c r="A5841" s="5" t="s">
        <v>6</v>
      </c>
      <c r="B5841" s="5" t="s">
        <v>15916</v>
      </c>
      <c r="C5841" s="1" t="s">
        <v>15917</v>
      </c>
      <c r="D5841" s="1" t="s">
        <v>15917</v>
      </c>
      <c r="E5841" s="7">
        <v>10964</v>
      </c>
    </row>
    <row r="5842" spans="1:5" x14ac:dyDescent="0.25">
      <c r="A5842" s="5" t="s">
        <v>6</v>
      </c>
      <c r="B5842" s="5" t="s">
        <v>15918</v>
      </c>
      <c r="C5842" s="1" t="s">
        <v>15919</v>
      </c>
      <c r="D5842" s="1" t="s">
        <v>15920</v>
      </c>
      <c r="E5842" s="7">
        <v>910</v>
      </c>
    </row>
    <row r="5843" spans="1:5" x14ac:dyDescent="0.25">
      <c r="A5843" s="5" t="s">
        <v>6</v>
      </c>
      <c r="B5843" s="5" t="s">
        <v>15921</v>
      </c>
      <c r="C5843" s="1" t="s">
        <v>15922</v>
      </c>
      <c r="D5843" s="1" t="s">
        <v>15922</v>
      </c>
      <c r="E5843" s="7">
        <v>3456</v>
      </c>
    </row>
    <row r="5844" spans="1:5" x14ac:dyDescent="0.25">
      <c r="A5844" s="5" t="s">
        <v>6</v>
      </c>
      <c r="B5844" s="5" t="s">
        <v>15923</v>
      </c>
      <c r="C5844" s="1" t="s">
        <v>15924</v>
      </c>
      <c r="D5844" s="1" t="s">
        <v>15924</v>
      </c>
      <c r="E5844" s="7">
        <v>3154</v>
      </c>
    </row>
    <row r="5845" spans="1:5" x14ac:dyDescent="0.25">
      <c r="A5845" s="5" t="s">
        <v>6</v>
      </c>
      <c r="B5845" s="5" t="s">
        <v>15925</v>
      </c>
      <c r="C5845" s="1" t="s">
        <v>15926</v>
      </c>
      <c r="D5845" s="1" t="s">
        <v>15926</v>
      </c>
      <c r="E5845" s="7">
        <v>1680</v>
      </c>
    </row>
    <row r="5846" spans="1:5" x14ac:dyDescent="0.25">
      <c r="A5846" s="5" t="s">
        <v>6</v>
      </c>
      <c r="B5846" s="5" t="s">
        <v>15927</v>
      </c>
      <c r="C5846" s="1" t="s">
        <v>15928</v>
      </c>
      <c r="D5846" s="1" t="s">
        <v>15928</v>
      </c>
      <c r="E5846" s="7">
        <v>5309</v>
      </c>
    </row>
    <row r="5847" spans="1:5" x14ac:dyDescent="0.25">
      <c r="A5847" s="5" t="s">
        <v>6</v>
      </c>
      <c r="B5847" s="5" t="s">
        <v>15929</v>
      </c>
      <c r="C5847" s="1" t="s">
        <v>15930</v>
      </c>
      <c r="D5847" s="1" t="s">
        <v>15931</v>
      </c>
      <c r="E5847" s="7">
        <v>33755</v>
      </c>
    </row>
    <row r="5848" spans="1:5" x14ac:dyDescent="0.25">
      <c r="A5848" s="5" t="s">
        <v>6</v>
      </c>
      <c r="B5848" s="5" t="s">
        <v>15932</v>
      </c>
      <c r="C5848" s="1" t="s">
        <v>15933</v>
      </c>
      <c r="D5848" s="1" t="s">
        <v>15934</v>
      </c>
      <c r="E5848" s="7">
        <v>1861</v>
      </c>
    </row>
    <row r="5849" spans="1:5" x14ac:dyDescent="0.25">
      <c r="A5849" s="5" t="s">
        <v>6</v>
      </c>
      <c r="B5849" s="5" t="s">
        <v>15935</v>
      </c>
      <c r="C5849" s="1" t="s">
        <v>15936</v>
      </c>
      <c r="D5849" s="1" t="s">
        <v>15937</v>
      </c>
      <c r="E5849" s="7">
        <v>2962</v>
      </c>
    </row>
    <row r="5850" spans="1:5" x14ac:dyDescent="0.25">
      <c r="A5850" s="5" t="s">
        <v>6</v>
      </c>
      <c r="B5850" s="5" t="s">
        <v>15938</v>
      </c>
      <c r="C5850" s="1" t="s">
        <v>15939</v>
      </c>
      <c r="D5850" s="1" t="s">
        <v>15939</v>
      </c>
      <c r="E5850" s="7">
        <v>19733</v>
      </c>
    </row>
    <row r="5851" spans="1:5" x14ac:dyDescent="0.25">
      <c r="A5851" s="5" t="s">
        <v>6</v>
      </c>
      <c r="B5851" s="5" t="s">
        <v>15940</v>
      </c>
      <c r="C5851" s="1" t="s">
        <v>15941</v>
      </c>
      <c r="D5851" s="1" t="s">
        <v>15941</v>
      </c>
      <c r="E5851" s="7">
        <v>11757</v>
      </c>
    </row>
    <row r="5852" spans="1:5" x14ac:dyDescent="0.25">
      <c r="A5852" s="5" t="s">
        <v>6</v>
      </c>
      <c r="B5852" s="5" t="s">
        <v>15942</v>
      </c>
      <c r="C5852" s="1" t="s">
        <v>15943</v>
      </c>
      <c r="D5852" s="1" t="s">
        <v>15944</v>
      </c>
      <c r="E5852" s="7">
        <v>33755</v>
      </c>
    </row>
    <row r="5853" spans="1:5" x14ac:dyDescent="0.25">
      <c r="A5853" s="5" t="s">
        <v>6</v>
      </c>
      <c r="B5853" s="5" t="s">
        <v>15945</v>
      </c>
      <c r="C5853" s="1" t="s">
        <v>15946</v>
      </c>
      <c r="D5853" s="1" t="s">
        <v>15947</v>
      </c>
      <c r="E5853" s="7">
        <v>3086</v>
      </c>
    </row>
    <row r="5854" spans="1:5" x14ac:dyDescent="0.25">
      <c r="A5854" s="5" t="s">
        <v>6</v>
      </c>
      <c r="B5854" s="5" t="s">
        <v>15948</v>
      </c>
      <c r="C5854" s="1" t="s">
        <v>15949</v>
      </c>
      <c r="D5854" s="1" t="s">
        <v>15949</v>
      </c>
      <c r="E5854" s="7">
        <v>2317</v>
      </c>
    </row>
    <row r="5855" spans="1:5" x14ac:dyDescent="0.25">
      <c r="A5855" s="5" t="s">
        <v>6</v>
      </c>
      <c r="B5855" s="5" t="s">
        <v>15950</v>
      </c>
      <c r="C5855" s="1" t="s">
        <v>15951</v>
      </c>
      <c r="D5855" s="1" t="s">
        <v>15952</v>
      </c>
      <c r="E5855" s="7">
        <v>3788</v>
      </c>
    </row>
    <row r="5856" spans="1:5" x14ac:dyDescent="0.25">
      <c r="A5856" s="5" t="s">
        <v>6</v>
      </c>
      <c r="B5856" s="5" t="s">
        <v>15953</v>
      </c>
      <c r="C5856" s="1" t="s">
        <v>15954</v>
      </c>
      <c r="D5856" s="1" t="s">
        <v>15955</v>
      </c>
      <c r="E5856" s="7">
        <v>3209</v>
      </c>
    </row>
    <row r="5857" spans="1:5" x14ac:dyDescent="0.25">
      <c r="A5857" s="5" t="s">
        <v>6</v>
      </c>
      <c r="B5857" s="5" t="s">
        <v>15956</v>
      </c>
      <c r="C5857" s="1" t="s">
        <v>15957</v>
      </c>
      <c r="D5857" s="1" t="s">
        <v>15957</v>
      </c>
      <c r="E5857" s="7">
        <v>1096</v>
      </c>
    </row>
    <row r="5858" spans="1:5" x14ac:dyDescent="0.25">
      <c r="A5858" s="5" t="s">
        <v>6</v>
      </c>
      <c r="B5858" s="5" t="s">
        <v>15958</v>
      </c>
      <c r="C5858" s="1" t="s">
        <v>15959</v>
      </c>
      <c r="D5858" s="1" t="s">
        <v>15960</v>
      </c>
      <c r="E5858" s="7">
        <v>2509</v>
      </c>
    </row>
    <row r="5859" spans="1:5" x14ac:dyDescent="0.25">
      <c r="A5859" s="5" t="s">
        <v>6</v>
      </c>
      <c r="B5859" s="5" t="s">
        <v>15961</v>
      </c>
      <c r="C5859" s="1" t="s">
        <v>15962</v>
      </c>
      <c r="D5859" s="1" t="s">
        <v>15963</v>
      </c>
      <c r="E5859" s="7">
        <v>2500</v>
      </c>
    </row>
    <row r="5860" spans="1:5" x14ac:dyDescent="0.25">
      <c r="A5860" s="5" t="s">
        <v>6</v>
      </c>
      <c r="B5860" s="5" t="s">
        <v>15964</v>
      </c>
      <c r="C5860" s="1" t="s">
        <v>15965</v>
      </c>
      <c r="D5860" s="1" t="s">
        <v>15966</v>
      </c>
      <c r="E5860" s="7">
        <v>39760</v>
      </c>
    </row>
    <row r="5861" spans="1:5" x14ac:dyDescent="0.25">
      <c r="A5861" s="5" t="s">
        <v>6</v>
      </c>
      <c r="B5861" s="5" t="s">
        <v>15967</v>
      </c>
      <c r="C5861" s="1" t="s">
        <v>15968</v>
      </c>
      <c r="D5861" s="1" t="s">
        <v>15969</v>
      </c>
      <c r="E5861" s="7">
        <v>11076.92</v>
      </c>
    </row>
    <row r="5862" spans="1:5" x14ac:dyDescent="0.25">
      <c r="A5862" s="5" t="s">
        <v>6</v>
      </c>
      <c r="B5862" s="5" t="s">
        <v>15970</v>
      </c>
      <c r="C5862" s="1" t="s">
        <v>15971</v>
      </c>
      <c r="D5862" s="1" t="s">
        <v>15972</v>
      </c>
      <c r="E5862" s="7">
        <v>67672.015599999999</v>
      </c>
    </row>
    <row r="5863" spans="1:5" x14ac:dyDescent="0.25">
      <c r="A5863" s="5" t="s">
        <v>6</v>
      </c>
      <c r="B5863" s="5" t="s">
        <v>15973</v>
      </c>
      <c r="C5863" s="1" t="s">
        <v>15974</v>
      </c>
      <c r="D5863" s="1" t="s">
        <v>15974</v>
      </c>
      <c r="E5863" s="7">
        <v>1647</v>
      </c>
    </row>
    <row r="5864" spans="1:5" x14ac:dyDescent="0.25">
      <c r="A5864" s="5" t="s">
        <v>6</v>
      </c>
      <c r="B5864" s="5" t="s">
        <v>15975</v>
      </c>
      <c r="C5864" s="1" t="s">
        <v>15976</v>
      </c>
      <c r="D5864" s="1" t="s">
        <v>15976</v>
      </c>
      <c r="E5864" s="7">
        <v>5525</v>
      </c>
    </row>
    <row r="5865" spans="1:5" x14ac:dyDescent="0.25">
      <c r="A5865" s="5" t="s">
        <v>6</v>
      </c>
      <c r="B5865" s="5" t="s">
        <v>15977</v>
      </c>
      <c r="C5865" s="1" t="s">
        <v>15978</v>
      </c>
      <c r="D5865" s="1" t="s">
        <v>15978</v>
      </c>
      <c r="E5865" s="7">
        <v>701</v>
      </c>
    </row>
    <row r="5866" spans="1:5" x14ac:dyDescent="0.25">
      <c r="A5866" s="5" t="s">
        <v>6</v>
      </c>
      <c r="B5866" s="5" t="s">
        <v>15979</v>
      </c>
      <c r="C5866" s="1" t="s">
        <v>15980</v>
      </c>
      <c r="D5866" s="1" t="s">
        <v>15980</v>
      </c>
      <c r="E5866" s="7">
        <v>1567</v>
      </c>
    </row>
    <row r="5867" spans="1:5" x14ac:dyDescent="0.25">
      <c r="A5867" s="5" t="s">
        <v>6</v>
      </c>
      <c r="B5867" s="5" t="s">
        <v>15981</v>
      </c>
      <c r="C5867" s="1" t="s">
        <v>15982</v>
      </c>
      <c r="D5867" s="1" t="s">
        <v>15983</v>
      </c>
      <c r="E5867" s="7">
        <v>8360</v>
      </c>
    </row>
    <row r="5868" spans="1:5" x14ac:dyDescent="0.25">
      <c r="A5868" s="5" t="s">
        <v>6</v>
      </c>
      <c r="B5868" s="5" t="s">
        <v>15984</v>
      </c>
      <c r="C5868" s="1" t="s">
        <v>15985</v>
      </c>
      <c r="D5868" s="1" t="s">
        <v>15986</v>
      </c>
      <c r="E5868" s="7">
        <v>16460</v>
      </c>
    </row>
    <row r="5869" spans="1:5" x14ac:dyDescent="0.25">
      <c r="A5869" s="5" t="s">
        <v>6</v>
      </c>
      <c r="B5869" s="5" t="s">
        <v>15987</v>
      </c>
      <c r="C5869" s="1" t="s">
        <v>15988</v>
      </c>
      <c r="D5869" s="1" t="s">
        <v>15988</v>
      </c>
      <c r="E5869" s="7">
        <v>4533</v>
      </c>
    </row>
    <row r="5870" spans="1:5" x14ac:dyDescent="0.25">
      <c r="A5870" s="5" t="s">
        <v>6</v>
      </c>
      <c r="B5870" s="5" t="s">
        <v>15989</v>
      </c>
      <c r="C5870" s="1" t="s">
        <v>15990</v>
      </c>
      <c r="D5870" s="1" t="s">
        <v>15990</v>
      </c>
      <c r="E5870" s="7">
        <v>20535</v>
      </c>
    </row>
    <row r="5871" spans="1:5" x14ac:dyDescent="0.25">
      <c r="A5871" s="5" t="s">
        <v>6</v>
      </c>
      <c r="B5871" s="5" t="s">
        <v>15991</v>
      </c>
      <c r="C5871" s="1" t="s">
        <v>15992</v>
      </c>
      <c r="D5871" s="1" t="s">
        <v>15993</v>
      </c>
      <c r="E5871" s="7">
        <v>6656.25</v>
      </c>
    </row>
    <row r="5872" spans="1:5" x14ac:dyDescent="0.25">
      <c r="A5872" s="5" t="s">
        <v>6</v>
      </c>
      <c r="B5872" s="5" t="s">
        <v>15994</v>
      </c>
      <c r="C5872" s="1" t="s">
        <v>15995</v>
      </c>
      <c r="D5872" s="1" t="s">
        <v>15996</v>
      </c>
      <c r="E5872" s="7">
        <v>588</v>
      </c>
    </row>
    <row r="5873" spans="1:5" x14ac:dyDescent="0.25">
      <c r="A5873" s="5" t="s">
        <v>6</v>
      </c>
      <c r="B5873" s="5" t="s">
        <v>15997</v>
      </c>
      <c r="C5873" s="1" t="s">
        <v>15998</v>
      </c>
      <c r="D5873" s="1" t="s">
        <v>15999</v>
      </c>
      <c r="E5873" s="7">
        <v>10009</v>
      </c>
    </row>
    <row r="5874" spans="1:5" x14ac:dyDescent="0.25">
      <c r="A5874" s="5" t="s">
        <v>6</v>
      </c>
      <c r="B5874" s="5" t="s">
        <v>16000</v>
      </c>
      <c r="C5874" s="1" t="s">
        <v>16001</v>
      </c>
      <c r="D5874" s="1" t="s">
        <v>16002</v>
      </c>
      <c r="E5874" s="7">
        <v>17339</v>
      </c>
    </row>
    <row r="5875" spans="1:5" x14ac:dyDescent="0.25">
      <c r="A5875" s="5" t="s">
        <v>6</v>
      </c>
      <c r="B5875" s="5" t="s">
        <v>16003</v>
      </c>
      <c r="C5875" s="1" t="s">
        <v>16004</v>
      </c>
      <c r="D5875" s="1" t="s">
        <v>16005</v>
      </c>
      <c r="E5875" s="7">
        <v>1628</v>
      </c>
    </row>
    <row r="5876" spans="1:5" x14ac:dyDescent="0.25">
      <c r="A5876" s="5" t="s">
        <v>6</v>
      </c>
      <c r="B5876" s="5" t="s">
        <v>16006</v>
      </c>
      <c r="C5876" s="1" t="s">
        <v>16007</v>
      </c>
      <c r="D5876" s="1" t="s">
        <v>16008</v>
      </c>
      <c r="E5876" s="7">
        <v>9876</v>
      </c>
    </row>
    <row r="5877" spans="1:5" x14ac:dyDescent="0.25">
      <c r="A5877" s="5" t="s">
        <v>6</v>
      </c>
      <c r="B5877" s="5" t="s">
        <v>16009</v>
      </c>
      <c r="C5877" s="1" t="s">
        <v>16010</v>
      </c>
      <c r="D5877" s="1" t="s">
        <v>16011</v>
      </c>
      <c r="E5877" s="7">
        <v>2487</v>
      </c>
    </row>
    <row r="5878" spans="1:5" x14ac:dyDescent="0.25">
      <c r="A5878" s="5" t="s">
        <v>6</v>
      </c>
      <c r="B5878" s="5" t="s">
        <v>16012</v>
      </c>
      <c r="C5878" s="1" t="s">
        <v>16013</v>
      </c>
      <c r="D5878" s="1" t="s">
        <v>16014</v>
      </c>
      <c r="E5878" s="7">
        <v>4075</v>
      </c>
    </row>
    <row r="5879" spans="1:5" x14ac:dyDescent="0.25">
      <c r="A5879" s="5" t="s">
        <v>6</v>
      </c>
      <c r="B5879" s="5" t="s">
        <v>16015</v>
      </c>
      <c r="C5879" s="1" t="s">
        <v>16016</v>
      </c>
      <c r="D5879" s="1" t="s">
        <v>16017</v>
      </c>
      <c r="E5879" s="7">
        <v>9870</v>
      </c>
    </row>
    <row r="5880" spans="1:5" x14ac:dyDescent="0.25">
      <c r="A5880" s="5" t="s">
        <v>6</v>
      </c>
      <c r="B5880" s="5" t="s">
        <v>16018</v>
      </c>
      <c r="C5880" s="1" t="s">
        <v>16019</v>
      </c>
      <c r="D5880" s="1" t="s">
        <v>16017</v>
      </c>
      <c r="E5880" s="7">
        <v>1593</v>
      </c>
    </row>
    <row r="5881" spans="1:5" x14ac:dyDescent="0.25">
      <c r="A5881" s="5" t="s">
        <v>6</v>
      </c>
      <c r="B5881" s="5" t="s">
        <v>16020</v>
      </c>
      <c r="C5881" s="1" t="s">
        <v>16021</v>
      </c>
      <c r="D5881" s="1" t="s">
        <v>16021</v>
      </c>
      <c r="E5881" s="7">
        <v>14591</v>
      </c>
    </row>
    <row r="5882" spans="1:5" x14ac:dyDescent="0.25">
      <c r="A5882" s="5" t="s">
        <v>6</v>
      </c>
      <c r="B5882" s="5" t="s">
        <v>16022</v>
      </c>
      <c r="C5882" s="1" t="s">
        <v>16023</v>
      </c>
      <c r="D5882" s="1" t="s">
        <v>16024</v>
      </c>
      <c r="E5882" s="7">
        <v>2754</v>
      </c>
    </row>
    <row r="5883" spans="1:5" x14ac:dyDescent="0.25">
      <c r="A5883" s="5" t="s">
        <v>6</v>
      </c>
      <c r="B5883" s="5" t="s">
        <v>16025</v>
      </c>
      <c r="C5883" s="1" t="s">
        <v>16026</v>
      </c>
      <c r="D5883" s="1" t="s">
        <v>16027</v>
      </c>
      <c r="E5883" s="7">
        <v>1103</v>
      </c>
    </row>
    <row r="5884" spans="1:5" x14ac:dyDescent="0.25">
      <c r="A5884" s="5" t="s">
        <v>6</v>
      </c>
      <c r="B5884" s="5" t="s">
        <v>16028</v>
      </c>
      <c r="C5884" s="1" t="s">
        <v>16029</v>
      </c>
      <c r="D5884" s="1" t="s">
        <v>16030</v>
      </c>
      <c r="E5884" s="7">
        <v>1720</v>
      </c>
    </row>
    <row r="5885" spans="1:5" x14ac:dyDescent="0.25">
      <c r="A5885" s="5" t="s">
        <v>6</v>
      </c>
      <c r="B5885" s="5" t="s">
        <v>16031</v>
      </c>
      <c r="C5885" s="1" t="s">
        <v>16032</v>
      </c>
      <c r="D5885" s="1" t="s">
        <v>16033</v>
      </c>
      <c r="E5885" s="7">
        <v>6984</v>
      </c>
    </row>
    <row r="5886" spans="1:5" x14ac:dyDescent="0.25">
      <c r="A5886" s="5" t="s">
        <v>6</v>
      </c>
      <c r="B5886" s="5" t="s">
        <v>16034</v>
      </c>
      <c r="C5886" s="1" t="s">
        <v>16035</v>
      </c>
      <c r="D5886" s="1" t="s">
        <v>16036</v>
      </c>
      <c r="E5886" s="7">
        <v>984</v>
      </c>
    </row>
    <row r="5887" spans="1:5" x14ac:dyDescent="0.25">
      <c r="A5887" s="5" t="s">
        <v>6</v>
      </c>
      <c r="B5887" s="5" t="s">
        <v>16037</v>
      </c>
      <c r="C5887" s="1" t="s">
        <v>16038</v>
      </c>
      <c r="D5887" s="1" t="s">
        <v>16038</v>
      </c>
      <c r="E5887" s="7">
        <v>1770</v>
      </c>
    </row>
    <row r="5888" spans="1:5" x14ac:dyDescent="0.25">
      <c r="A5888" s="5" t="s">
        <v>6</v>
      </c>
      <c r="B5888" s="5" t="s">
        <v>16039</v>
      </c>
      <c r="C5888" s="1" t="s">
        <v>16040</v>
      </c>
      <c r="D5888" s="1" t="s">
        <v>16040</v>
      </c>
      <c r="E5888" s="7">
        <v>1286</v>
      </c>
    </row>
    <row r="5889" spans="1:5" x14ac:dyDescent="0.25">
      <c r="A5889" s="5" t="s">
        <v>6</v>
      </c>
      <c r="B5889" s="5" t="s">
        <v>16041</v>
      </c>
      <c r="C5889" s="1" t="s">
        <v>16042</v>
      </c>
      <c r="D5889" s="1" t="s">
        <v>16043</v>
      </c>
      <c r="E5889" s="7">
        <v>1065</v>
      </c>
    </row>
    <row r="5890" spans="1:5" x14ac:dyDescent="0.25">
      <c r="A5890" s="5" t="s">
        <v>6</v>
      </c>
      <c r="B5890" s="5" t="s">
        <v>16044</v>
      </c>
      <c r="C5890" s="1" t="s">
        <v>16045</v>
      </c>
      <c r="D5890" s="1" t="s">
        <v>16046</v>
      </c>
      <c r="E5890" s="7">
        <v>2786</v>
      </c>
    </row>
    <row r="5891" spans="1:5" x14ac:dyDescent="0.25">
      <c r="A5891" s="5" t="s">
        <v>6</v>
      </c>
      <c r="B5891" s="5" t="s">
        <v>16047</v>
      </c>
      <c r="C5891" s="1" t="s">
        <v>16048</v>
      </c>
      <c r="D5891" s="1" t="s">
        <v>16048</v>
      </c>
      <c r="E5891" s="7">
        <v>400</v>
      </c>
    </row>
    <row r="5892" spans="1:5" x14ac:dyDescent="0.25">
      <c r="A5892" s="5" t="s">
        <v>6</v>
      </c>
      <c r="B5892" s="5" t="s">
        <v>16049</v>
      </c>
      <c r="C5892" s="1" t="s">
        <v>16050</v>
      </c>
      <c r="D5892" s="1" t="s">
        <v>16051</v>
      </c>
      <c r="E5892" s="7">
        <v>663</v>
      </c>
    </row>
    <row r="5893" spans="1:5" x14ac:dyDescent="0.25">
      <c r="A5893" s="5" t="s">
        <v>6</v>
      </c>
      <c r="B5893" s="5" t="s">
        <v>16052</v>
      </c>
      <c r="C5893" s="1" t="s">
        <v>16053</v>
      </c>
      <c r="D5893" s="1" t="s">
        <v>16053</v>
      </c>
      <c r="E5893" s="7">
        <v>7305</v>
      </c>
    </row>
    <row r="5894" spans="1:5" x14ac:dyDescent="0.25">
      <c r="A5894" s="5" t="s">
        <v>6</v>
      </c>
      <c r="B5894" s="5" t="s">
        <v>16054</v>
      </c>
      <c r="C5894" s="1" t="s">
        <v>16055</v>
      </c>
      <c r="D5894" s="1" t="s">
        <v>16056</v>
      </c>
      <c r="E5894" s="7">
        <v>6438</v>
      </c>
    </row>
    <row r="5895" spans="1:5" x14ac:dyDescent="0.25">
      <c r="A5895" s="5" t="s">
        <v>6</v>
      </c>
      <c r="B5895" s="5" t="s">
        <v>16057</v>
      </c>
      <c r="C5895" s="1" t="s">
        <v>16058</v>
      </c>
      <c r="D5895" s="1" t="s">
        <v>16058</v>
      </c>
      <c r="E5895" s="7">
        <v>3249</v>
      </c>
    </row>
    <row r="5896" spans="1:5" x14ac:dyDescent="0.25">
      <c r="A5896" s="5" t="s">
        <v>6</v>
      </c>
      <c r="B5896" s="5" t="s">
        <v>16059</v>
      </c>
      <c r="C5896" s="1" t="s">
        <v>16060</v>
      </c>
      <c r="D5896" s="1" t="s">
        <v>16061</v>
      </c>
      <c r="E5896" s="7">
        <v>3453</v>
      </c>
    </row>
    <row r="5897" spans="1:5" x14ac:dyDescent="0.25">
      <c r="A5897" s="5" t="s">
        <v>6</v>
      </c>
      <c r="B5897" s="5" t="s">
        <v>16062</v>
      </c>
      <c r="C5897" s="1" t="s">
        <v>16063</v>
      </c>
      <c r="D5897" s="1" t="s">
        <v>16064</v>
      </c>
      <c r="E5897" s="7">
        <v>6421</v>
      </c>
    </row>
    <row r="5898" spans="1:5" x14ac:dyDescent="0.25">
      <c r="A5898" s="5" t="s">
        <v>6</v>
      </c>
      <c r="B5898" s="5" t="s">
        <v>16065</v>
      </c>
      <c r="C5898" s="1" t="s">
        <v>16066</v>
      </c>
      <c r="D5898" s="1" t="s">
        <v>16066</v>
      </c>
      <c r="E5898" s="7">
        <v>4952</v>
      </c>
    </row>
    <row r="5899" spans="1:5" x14ac:dyDescent="0.25">
      <c r="A5899" s="5" t="s">
        <v>6</v>
      </c>
      <c r="B5899" s="5" t="s">
        <v>16067</v>
      </c>
      <c r="C5899" s="1" t="s">
        <v>16068</v>
      </c>
      <c r="D5899" s="1" t="s">
        <v>16068</v>
      </c>
      <c r="E5899" s="7">
        <v>7961</v>
      </c>
    </row>
    <row r="5900" spans="1:5" x14ac:dyDescent="0.25">
      <c r="A5900" s="5" t="s">
        <v>6</v>
      </c>
      <c r="B5900" s="5" t="s">
        <v>16069</v>
      </c>
      <c r="C5900" s="1" t="s">
        <v>16070</v>
      </c>
      <c r="D5900" s="1" t="s">
        <v>16070</v>
      </c>
      <c r="E5900" s="7">
        <v>5896.22</v>
      </c>
    </row>
    <row r="5901" spans="1:5" x14ac:dyDescent="0.25">
      <c r="A5901" s="5" t="s">
        <v>6</v>
      </c>
      <c r="B5901" s="5" t="s">
        <v>16071</v>
      </c>
      <c r="C5901" s="1" t="s">
        <v>16072</v>
      </c>
      <c r="D5901" s="1" t="s">
        <v>16072</v>
      </c>
      <c r="E5901" s="7">
        <v>6164</v>
      </c>
    </row>
    <row r="5902" spans="1:5" x14ac:dyDescent="0.25">
      <c r="A5902" s="5" t="s">
        <v>6</v>
      </c>
      <c r="B5902" s="5" t="s">
        <v>16073</v>
      </c>
      <c r="C5902" s="1" t="s">
        <v>16074</v>
      </c>
      <c r="D5902" s="1" t="s">
        <v>16075</v>
      </c>
      <c r="E5902" s="7">
        <v>3406</v>
      </c>
    </row>
    <row r="5903" spans="1:5" x14ac:dyDescent="0.25">
      <c r="A5903" s="5" t="s">
        <v>6</v>
      </c>
      <c r="B5903" s="5" t="s">
        <v>16076</v>
      </c>
      <c r="C5903" s="1" t="s">
        <v>16077</v>
      </c>
      <c r="D5903" s="1" t="s">
        <v>16078</v>
      </c>
      <c r="E5903" s="7">
        <v>16426</v>
      </c>
    </row>
    <row r="5904" spans="1:5" x14ac:dyDescent="0.25">
      <c r="A5904" s="5" t="s">
        <v>6</v>
      </c>
      <c r="B5904" s="5" t="s">
        <v>16079</v>
      </c>
      <c r="C5904" s="1" t="s">
        <v>16080</v>
      </c>
      <c r="D5904" s="1" t="s">
        <v>16081</v>
      </c>
      <c r="E5904" s="7">
        <v>7779</v>
      </c>
    </row>
    <row r="5905" spans="1:5" x14ac:dyDescent="0.25">
      <c r="A5905" s="5" t="s">
        <v>6</v>
      </c>
      <c r="B5905" s="5" t="s">
        <v>16082</v>
      </c>
      <c r="C5905" s="1" t="s">
        <v>16083</v>
      </c>
      <c r="D5905" s="1" t="s">
        <v>16084</v>
      </c>
      <c r="E5905" s="7">
        <v>87</v>
      </c>
    </row>
    <row r="5906" spans="1:5" x14ac:dyDescent="0.25">
      <c r="A5906" s="5" t="s">
        <v>6</v>
      </c>
      <c r="B5906" s="5" t="s">
        <v>16085</v>
      </c>
      <c r="C5906" s="1" t="s">
        <v>16086</v>
      </c>
      <c r="D5906" s="1" t="s">
        <v>16087</v>
      </c>
      <c r="E5906" s="7">
        <v>8529</v>
      </c>
    </row>
    <row r="5907" spans="1:5" x14ac:dyDescent="0.25">
      <c r="A5907" s="5" t="s">
        <v>6</v>
      </c>
      <c r="B5907" s="5" t="s">
        <v>16088</v>
      </c>
      <c r="C5907" s="1" t="s">
        <v>16089</v>
      </c>
      <c r="D5907" s="1" t="s">
        <v>16089</v>
      </c>
      <c r="E5907" s="7">
        <v>4716.9799999999996</v>
      </c>
    </row>
    <row r="5908" spans="1:5" x14ac:dyDescent="0.25">
      <c r="A5908" s="5" t="s">
        <v>6</v>
      </c>
      <c r="B5908" s="5" t="s">
        <v>16090</v>
      </c>
      <c r="C5908" s="1" t="s">
        <v>16091</v>
      </c>
      <c r="D5908" s="1" t="s">
        <v>16091</v>
      </c>
      <c r="E5908" s="7">
        <v>6501</v>
      </c>
    </row>
    <row r="5909" spans="1:5" x14ac:dyDescent="0.25">
      <c r="A5909" s="5" t="s">
        <v>6</v>
      </c>
      <c r="B5909" s="5" t="s">
        <v>16092</v>
      </c>
      <c r="C5909" s="1" t="s">
        <v>16093</v>
      </c>
      <c r="D5909" s="1" t="s">
        <v>16093</v>
      </c>
      <c r="E5909" s="7">
        <v>4387</v>
      </c>
    </row>
    <row r="5910" spans="1:5" x14ac:dyDescent="0.25">
      <c r="A5910" s="5" t="s">
        <v>6</v>
      </c>
      <c r="B5910" s="5" t="s">
        <v>16094</v>
      </c>
      <c r="C5910" s="1" t="s">
        <v>16095</v>
      </c>
      <c r="D5910" s="1" t="s">
        <v>16096</v>
      </c>
      <c r="E5910" s="7">
        <v>70657</v>
      </c>
    </row>
    <row r="5911" spans="1:5" x14ac:dyDescent="0.25">
      <c r="A5911" s="5" t="s">
        <v>6</v>
      </c>
      <c r="B5911" s="5" t="s">
        <v>16097</v>
      </c>
      <c r="C5911" s="1" t="s">
        <v>16098</v>
      </c>
      <c r="D5911" s="1" t="s">
        <v>16098</v>
      </c>
      <c r="E5911" s="7">
        <v>189</v>
      </c>
    </row>
    <row r="5912" spans="1:5" x14ac:dyDescent="0.25">
      <c r="A5912" s="5" t="s">
        <v>6</v>
      </c>
      <c r="B5912" s="5" t="s">
        <v>16099</v>
      </c>
      <c r="C5912" s="1" t="s">
        <v>16100</v>
      </c>
      <c r="D5912" s="1" t="s">
        <v>16100</v>
      </c>
      <c r="E5912" s="7">
        <v>963</v>
      </c>
    </row>
    <row r="5913" spans="1:5" x14ac:dyDescent="0.25">
      <c r="A5913" s="5" t="s">
        <v>6</v>
      </c>
      <c r="B5913" s="5" t="s">
        <v>16101</v>
      </c>
      <c r="C5913" s="1" t="s">
        <v>16102</v>
      </c>
      <c r="D5913" s="1" t="s">
        <v>16102</v>
      </c>
      <c r="E5913" s="7">
        <v>2523</v>
      </c>
    </row>
    <row r="5914" spans="1:5" x14ac:dyDescent="0.25">
      <c r="A5914" s="5" t="s">
        <v>6</v>
      </c>
      <c r="B5914" s="5" t="s">
        <v>16103</v>
      </c>
      <c r="C5914" s="1" t="s">
        <v>16104</v>
      </c>
      <c r="D5914" s="1" t="s">
        <v>16104</v>
      </c>
      <c r="E5914" s="7">
        <v>3168</v>
      </c>
    </row>
    <row r="5915" spans="1:5" x14ac:dyDescent="0.25">
      <c r="A5915" s="5" t="s">
        <v>6</v>
      </c>
      <c r="B5915" s="5" t="s">
        <v>16105</v>
      </c>
      <c r="C5915" s="1" t="s">
        <v>16106</v>
      </c>
      <c r="D5915" s="1" t="s">
        <v>16107</v>
      </c>
      <c r="E5915" s="7">
        <v>429</v>
      </c>
    </row>
    <row r="5916" spans="1:5" x14ac:dyDescent="0.25">
      <c r="A5916" s="5" t="s">
        <v>6</v>
      </c>
      <c r="B5916" s="5" t="s">
        <v>16108</v>
      </c>
      <c r="C5916" s="1" t="s">
        <v>16109</v>
      </c>
      <c r="D5916" s="1" t="s">
        <v>16109</v>
      </c>
      <c r="E5916" s="7">
        <v>683</v>
      </c>
    </row>
    <row r="5917" spans="1:5" x14ac:dyDescent="0.25">
      <c r="A5917" s="5" t="s">
        <v>6</v>
      </c>
      <c r="B5917" s="5" t="s">
        <v>16110</v>
      </c>
      <c r="C5917" s="1" t="s">
        <v>16111</v>
      </c>
      <c r="D5917" s="1" t="s">
        <v>16111</v>
      </c>
      <c r="E5917" s="7">
        <v>915</v>
      </c>
    </row>
    <row r="5918" spans="1:5" x14ac:dyDescent="0.25">
      <c r="A5918" s="5" t="s">
        <v>6</v>
      </c>
      <c r="B5918" s="5" t="s">
        <v>16112</v>
      </c>
      <c r="C5918" s="1" t="s">
        <v>16113</v>
      </c>
      <c r="D5918" s="1" t="s">
        <v>16113</v>
      </c>
      <c r="E5918" s="7">
        <v>1047.1600000000001</v>
      </c>
    </row>
    <row r="5919" spans="1:5" x14ac:dyDescent="0.25">
      <c r="A5919" s="5" t="s">
        <v>6</v>
      </c>
      <c r="B5919" s="5" t="s">
        <v>16114</v>
      </c>
      <c r="C5919" s="1" t="s">
        <v>16115</v>
      </c>
      <c r="D5919" s="1" t="s">
        <v>16116</v>
      </c>
      <c r="E5919" s="7">
        <v>37688.67</v>
      </c>
    </row>
    <row r="5920" spans="1:5" x14ac:dyDescent="0.25">
      <c r="A5920" s="5" t="s">
        <v>6</v>
      </c>
      <c r="B5920" s="5" t="s">
        <v>16117</v>
      </c>
      <c r="C5920" s="1" t="s">
        <v>16118</v>
      </c>
      <c r="D5920" s="1" t="s">
        <v>16119</v>
      </c>
      <c r="E5920" s="7">
        <v>16826.919999999998</v>
      </c>
    </row>
    <row r="5921" spans="1:5" x14ac:dyDescent="0.25">
      <c r="A5921" s="5" t="s">
        <v>6</v>
      </c>
      <c r="B5921" s="5" t="s">
        <v>16120</v>
      </c>
      <c r="C5921" s="1" t="s">
        <v>16121</v>
      </c>
      <c r="D5921" s="1" t="s">
        <v>16121</v>
      </c>
      <c r="E5921" s="7">
        <v>17695</v>
      </c>
    </row>
    <row r="5922" spans="1:5" x14ac:dyDescent="0.25">
      <c r="A5922" s="5" t="s">
        <v>6</v>
      </c>
      <c r="B5922" s="5" t="s">
        <v>16122</v>
      </c>
      <c r="C5922" s="1" t="s">
        <v>16123</v>
      </c>
      <c r="D5922" s="1" t="s">
        <v>16123</v>
      </c>
      <c r="E5922" s="7">
        <v>14008</v>
      </c>
    </row>
    <row r="5923" spans="1:5" x14ac:dyDescent="0.25">
      <c r="A5923" s="5" t="s">
        <v>6</v>
      </c>
      <c r="B5923" s="5" t="s">
        <v>16124</v>
      </c>
      <c r="C5923" s="1" t="s">
        <v>16125</v>
      </c>
      <c r="D5923" s="1" t="s">
        <v>16126</v>
      </c>
      <c r="E5923" s="7">
        <v>4322</v>
      </c>
    </row>
    <row r="5924" spans="1:5" x14ac:dyDescent="0.25">
      <c r="A5924" s="5" t="s">
        <v>6</v>
      </c>
      <c r="B5924" s="5" t="s">
        <v>16127</v>
      </c>
      <c r="C5924" s="1" t="s">
        <v>16128</v>
      </c>
      <c r="D5924" s="1" t="s">
        <v>16128</v>
      </c>
      <c r="E5924" s="7">
        <v>2417</v>
      </c>
    </row>
    <row r="5925" spans="1:5" x14ac:dyDescent="0.25">
      <c r="A5925" s="5" t="s">
        <v>6</v>
      </c>
      <c r="B5925" s="5" t="s">
        <v>16129</v>
      </c>
      <c r="C5925" s="1" t="s">
        <v>16130</v>
      </c>
      <c r="D5925" s="1" t="s">
        <v>16131</v>
      </c>
      <c r="E5925" s="7">
        <v>2799</v>
      </c>
    </row>
    <row r="5926" spans="1:5" x14ac:dyDescent="0.25">
      <c r="A5926" s="5" t="s">
        <v>6</v>
      </c>
      <c r="B5926" s="5" t="s">
        <v>16132</v>
      </c>
      <c r="C5926" s="1" t="s">
        <v>16133</v>
      </c>
      <c r="D5926" s="1" t="s">
        <v>16134</v>
      </c>
      <c r="E5926" s="7">
        <v>54392</v>
      </c>
    </row>
    <row r="5927" spans="1:5" x14ac:dyDescent="0.25">
      <c r="A5927" s="5" t="s">
        <v>6</v>
      </c>
      <c r="B5927" s="5" t="s">
        <v>16135</v>
      </c>
      <c r="C5927" s="1" t="s">
        <v>16136</v>
      </c>
      <c r="D5927" s="1" t="s">
        <v>16137</v>
      </c>
      <c r="E5927" s="7">
        <v>12369</v>
      </c>
    </row>
    <row r="5928" spans="1:5" x14ac:dyDescent="0.25">
      <c r="A5928" s="5" t="s">
        <v>6</v>
      </c>
      <c r="B5928" s="5" t="s">
        <v>16138</v>
      </c>
      <c r="C5928" s="1" t="s">
        <v>16139</v>
      </c>
      <c r="D5928" s="1" t="s">
        <v>16139</v>
      </c>
      <c r="E5928" s="7">
        <v>246</v>
      </c>
    </row>
    <row r="5929" spans="1:5" x14ac:dyDescent="0.25">
      <c r="A5929" s="5" t="s">
        <v>6</v>
      </c>
      <c r="B5929" s="5" t="s">
        <v>16140</v>
      </c>
      <c r="C5929" s="1" t="s">
        <v>16141</v>
      </c>
      <c r="D5929" s="1" t="s">
        <v>16142</v>
      </c>
      <c r="E5929" s="7">
        <v>11886</v>
      </c>
    </row>
    <row r="5930" spans="1:5" x14ac:dyDescent="0.25">
      <c r="A5930" s="5" t="s">
        <v>6</v>
      </c>
      <c r="B5930" s="5" t="s">
        <v>16143</v>
      </c>
      <c r="C5930" s="1" t="s">
        <v>16144</v>
      </c>
      <c r="D5930" s="1" t="s">
        <v>16145</v>
      </c>
      <c r="E5930" s="7">
        <v>421</v>
      </c>
    </row>
    <row r="5931" spans="1:5" x14ac:dyDescent="0.25">
      <c r="A5931" s="5" t="s">
        <v>6</v>
      </c>
      <c r="B5931" s="5" t="s">
        <v>16146</v>
      </c>
      <c r="C5931" s="1" t="s">
        <v>16147</v>
      </c>
      <c r="D5931" s="1" t="s">
        <v>16148</v>
      </c>
      <c r="E5931" s="7">
        <v>460</v>
      </c>
    </row>
    <row r="5932" spans="1:5" x14ac:dyDescent="0.25">
      <c r="A5932" s="5" t="s">
        <v>6</v>
      </c>
      <c r="B5932" s="5" t="s">
        <v>16149</v>
      </c>
      <c r="C5932" s="1" t="s">
        <v>16150</v>
      </c>
      <c r="D5932" s="1" t="s">
        <v>16151</v>
      </c>
      <c r="E5932" s="7">
        <v>5666</v>
      </c>
    </row>
    <row r="5933" spans="1:5" x14ac:dyDescent="0.25">
      <c r="A5933" s="5" t="s">
        <v>6</v>
      </c>
      <c r="B5933" s="5" t="s">
        <v>16152</v>
      </c>
      <c r="C5933" s="1" t="s">
        <v>16153</v>
      </c>
      <c r="D5933" s="1" t="s">
        <v>16154</v>
      </c>
      <c r="E5933" s="7">
        <v>15512.56</v>
      </c>
    </row>
    <row r="5934" spans="1:5" x14ac:dyDescent="0.25">
      <c r="A5934" s="5" t="s">
        <v>6</v>
      </c>
      <c r="B5934" s="5" t="s">
        <v>16155</v>
      </c>
      <c r="C5934" s="1" t="s">
        <v>16156</v>
      </c>
      <c r="D5934" s="1" t="s">
        <v>16157</v>
      </c>
      <c r="E5934" s="7">
        <v>21814.9</v>
      </c>
    </row>
    <row r="5935" spans="1:5" x14ac:dyDescent="0.25">
      <c r="A5935" s="5" t="s">
        <v>6</v>
      </c>
      <c r="B5935" s="5" t="s">
        <v>16158</v>
      </c>
      <c r="C5935" s="1" t="s">
        <v>15999</v>
      </c>
      <c r="D5935" s="1" t="s">
        <v>15999</v>
      </c>
      <c r="E5935" s="7">
        <v>11328</v>
      </c>
    </row>
    <row r="5936" spans="1:5" x14ac:dyDescent="0.25">
      <c r="A5936" s="5" t="s">
        <v>6</v>
      </c>
      <c r="B5936" s="5" t="s">
        <v>16159</v>
      </c>
      <c r="C5936" s="1" t="s">
        <v>16160</v>
      </c>
      <c r="D5936" s="1" t="s">
        <v>16160</v>
      </c>
      <c r="E5936" s="7">
        <v>22139</v>
      </c>
    </row>
    <row r="5937" spans="1:5" x14ac:dyDescent="0.25">
      <c r="A5937" s="5" t="s">
        <v>6</v>
      </c>
      <c r="B5937" s="5" t="s">
        <v>16161</v>
      </c>
      <c r="C5937" s="1" t="s">
        <v>16162</v>
      </c>
      <c r="D5937" s="1" t="s">
        <v>16163</v>
      </c>
      <c r="E5937" s="7">
        <v>7744</v>
      </c>
    </row>
    <row r="5938" spans="1:5" x14ac:dyDescent="0.25">
      <c r="A5938" s="5" t="s">
        <v>6</v>
      </c>
      <c r="B5938" s="5" t="s">
        <v>16164</v>
      </c>
      <c r="C5938" s="1" t="s">
        <v>16165</v>
      </c>
      <c r="D5938" s="1" t="s">
        <v>16166</v>
      </c>
      <c r="E5938" s="7">
        <v>4168</v>
      </c>
    </row>
    <row r="5939" spans="1:5" x14ac:dyDescent="0.25">
      <c r="A5939" s="5" t="s">
        <v>6</v>
      </c>
      <c r="B5939" s="5" t="s">
        <v>16167</v>
      </c>
      <c r="C5939" s="1" t="s">
        <v>16168</v>
      </c>
      <c r="D5939" s="1" t="s">
        <v>16169</v>
      </c>
      <c r="E5939" s="7">
        <v>488</v>
      </c>
    </row>
    <row r="5940" spans="1:5" x14ac:dyDescent="0.25">
      <c r="A5940" s="5" t="s">
        <v>6</v>
      </c>
      <c r="B5940" s="5" t="s">
        <v>16170</v>
      </c>
      <c r="C5940" s="1" t="s">
        <v>16171</v>
      </c>
      <c r="D5940" s="1" t="s">
        <v>16172</v>
      </c>
      <c r="E5940" s="7">
        <v>4655</v>
      </c>
    </row>
    <row r="5941" spans="1:5" x14ac:dyDescent="0.25">
      <c r="A5941" s="5" t="s">
        <v>6</v>
      </c>
      <c r="B5941" s="5" t="s">
        <v>16173</v>
      </c>
      <c r="C5941" s="1" t="s">
        <v>16174</v>
      </c>
      <c r="D5941" s="1" t="s">
        <v>16175</v>
      </c>
      <c r="E5941" s="7">
        <v>4655</v>
      </c>
    </row>
    <row r="5942" spans="1:5" x14ac:dyDescent="0.25">
      <c r="A5942" s="5" t="s">
        <v>6</v>
      </c>
      <c r="B5942" s="5" t="s">
        <v>16176</v>
      </c>
      <c r="C5942" s="1" t="s">
        <v>16177</v>
      </c>
      <c r="D5942" s="1" t="s">
        <v>16177</v>
      </c>
      <c r="E5942" s="7">
        <v>8952</v>
      </c>
    </row>
    <row r="5943" spans="1:5" x14ac:dyDescent="0.25">
      <c r="A5943" s="5" t="s">
        <v>6</v>
      </c>
      <c r="B5943" s="5" t="s">
        <v>16178</v>
      </c>
      <c r="C5943" s="1" t="s">
        <v>16179</v>
      </c>
      <c r="D5943" s="1" t="s">
        <v>16180</v>
      </c>
      <c r="E5943" s="7">
        <v>112</v>
      </c>
    </row>
    <row r="5944" spans="1:5" x14ac:dyDescent="0.25">
      <c r="A5944" s="5" t="s">
        <v>6</v>
      </c>
      <c r="B5944" s="5" t="s">
        <v>16181</v>
      </c>
      <c r="C5944" s="1" t="s">
        <v>16182</v>
      </c>
      <c r="D5944" s="1" t="s">
        <v>16183</v>
      </c>
      <c r="E5944" s="7">
        <v>22469</v>
      </c>
    </row>
    <row r="5945" spans="1:5" x14ac:dyDescent="0.25">
      <c r="A5945" s="5" t="s">
        <v>6</v>
      </c>
      <c r="B5945" s="5" t="s">
        <v>16184</v>
      </c>
      <c r="C5945" s="1" t="s">
        <v>16185</v>
      </c>
      <c r="D5945" s="1" t="s">
        <v>16185</v>
      </c>
      <c r="E5945" s="7">
        <v>883</v>
      </c>
    </row>
    <row r="5946" spans="1:5" x14ac:dyDescent="0.25">
      <c r="A5946" s="5" t="s">
        <v>6</v>
      </c>
      <c r="B5946" s="5" t="s">
        <v>16186</v>
      </c>
      <c r="C5946" s="1" t="s">
        <v>16187</v>
      </c>
      <c r="D5946" s="1" t="s">
        <v>16187</v>
      </c>
      <c r="E5946" s="7">
        <v>2856</v>
      </c>
    </row>
    <row r="5947" spans="1:5" x14ac:dyDescent="0.25">
      <c r="A5947" s="5" t="s">
        <v>6</v>
      </c>
      <c r="B5947" s="5" t="s">
        <v>16188</v>
      </c>
      <c r="C5947" s="1" t="s">
        <v>16189</v>
      </c>
      <c r="D5947" s="1" t="s">
        <v>16190</v>
      </c>
      <c r="E5947" s="7">
        <v>76076</v>
      </c>
    </row>
    <row r="5948" spans="1:5" x14ac:dyDescent="0.25">
      <c r="A5948" s="5" t="s">
        <v>6</v>
      </c>
      <c r="B5948" s="5" t="s">
        <v>16191</v>
      </c>
      <c r="C5948" s="1" t="s">
        <v>16192</v>
      </c>
      <c r="D5948" s="1" t="s">
        <v>16193</v>
      </c>
      <c r="E5948" s="7">
        <v>1635</v>
      </c>
    </row>
    <row r="5949" spans="1:5" x14ac:dyDescent="0.25">
      <c r="A5949" s="5" t="s">
        <v>6</v>
      </c>
      <c r="B5949" s="5" t="s">
        <v>16194</v>
      </c>
      <c r="C5949" s="1" t="s">
        <v>16195</v>
      </c>
      <c r="D5949" s="1" t="s">
        <v>16196</v>
      </c>
      <c r="E5949" s="7">
        <v>725</v>
      </c>
    </row>
    <row r="5950" spans="1:5" x14ac:dyDescent="0.25">
      <c r="A5950" s="5" t="s">
        <v>6</v>
      </c>
      <c r="B5950" s="5" t="s">
        <v>16197</v>
      </c>
      <c r="C5950" s="1" t="s">
        <v>16198</v>
      </c>
      <c r="D5950" s="1" t="s">
        <v>16199</v>
      </c>
      <c r="E5950" s="7">
        <v>1836</v>
      </c>
    </row>
    <row r="5951" spans="1:5" x14ac:dyDescent="0.25">
      <c r="A5951" s="5" t="s">
        <v>6</v>
      </c>
      <c r="B5951" s="5" t="s">
        <v>16200</v>
      </c>
      <c r="C5951" s="1" t="s">
        <v>16201</v>
      </c>
      <c r="D5951" s="1" t="s">
        <v>16201</v>
      </c>
      <c r="E5951" s="7">
        <v>72</v>
      </c>
    </row>
    <row r="5952" spans="1:5" x14ac:dyDescent="0.25">
      <c r="A5952" s="5" t="s">
        <v>6</v>
      </c>
      <c r="B5952" s="5" t="s">
        <v>16202</v>
      </c>
      <c r="C5952" s="1" t="s">
        <v>16203</v>
      </c>
      <c r="D5952" s="1" t="s">
        <v>16203</v>
      </c>
      <c r="E5952" s="7">
        <v>17590</v>
      </c>
    </row>
    <row r="5953" spans="1:5" x14ac:dyDescent="0.25">
      <c r="A5953" s="5" t="s">
        <v>6</v>
      </c>
      <c r="B5953" s="5" t="s">
        <v>16204</v>
      </c>
      <c r="C5953" s="1" t="s">
        <v>16205</v>
      </c>
      <c r="D5953" s="1" t="s">
        <v>16205</v>
      </c>
      <c r="E5953" s="7">
        <v>2360</v>
      </c>
    </row>
    <row r="5954" spans="1:5" x14ac:dyDescent="0.25">
      <c r="A5954" s="5" t="s">
        <v>6</v>
      </c>
      <c r="B5954" s="5" t="s">
        <v>16206</v>
      </c>
      <c r="C5954" s="1" t="s">
        <v>16207</v>
      </c>
      <c r="D5954" s="1" t="s">
        <v>16207</v>
      </c>
      <c r="E5954" s="7">
        <v>936</v>
      </c>
    </row>
    <row r="5955" spans="1:5" x14ac:dyDescent="0.25">
      <c r="A5955" s="5" t="s">
        <v>6</v>
      </c>
      <c r="B5955" s="5" t="s">
        <v>16208</v>
      </c>
      <c r="C5955" s="1" t="s">
        <v>16209</v>
      </c>
      <c r="D5955" s="1" t="s">
        <v>16210</v>
      </c>
      <c r="E5955" s="7">
        <v>7004</v>
      </c>
    </row>
    <row r="5956" spans="1:5" x14ac:dyDescent="0.25">
      <c r="A5956" s="5" t="s">
        <v>6</v>
      </c>
      <c r="B5956" s="5" t="s">
        <v>16211</v>
      </c>
      <c r="C5956" s="1" t="s">
        <v>16212</v>
      </c>
      <c r="D5956" s="1" t="s">
        <v>16213</v>
      </c>
      <c r="E5956" s="7">
        <v>5208</v>
      </c>
    </row>
    <row r="5957" spans="1:5" x14ac:dyDescent="0.25">
      <c r="A5957" s="5" t="s">
        <v>6</v>
      </c>
      <c r="B5957" s="5" t="s">
        <v>16214</v>
      </c>
      <c r="C5957" s="1" t="s">
        <v>16215</v>
      </c>
      <c r="D5957" s="1" t="s">
        <v>16215</v>
      </c>
      <c r="E5957" s="7">
        <v>9332</v>
      </c>
    </row>
    <row r="5958" spans="1:5" x14ac:dyDescent="0.25">
      <c r="A5958" s="5" t="s">
        <v>6</v>
      </c>
      <c r="B5958" s="5" t="s">
        <v>16216</v>
      </c>
      <c r="C5958" s="1" t="s">
        <v>16217</v>
      </c>
      <c r="D5958" s="1" t="s">
        <v>16218</v>
      </c>
      <c r="E5958" s="7">
        <v>721</v>
      </c>
    </row>
    <row r="5959" spans="1:5" x14ac:dyDescent="0.25">
      <c r="A5959" s="5" t="s">
        <v>6</v>
      </c>
      <c r="B5959" s="5" t="s">
        <v>16219</v>
      </c>
      <c r="C5959" s="1" t="s">
        <v>16220</v>
      </c>
      <c r="D5959" s="1" t="s">
        <v>16221</v>
      </c>
      <c r="E5959" s="7">
        <v>6165</v>
      </c>
    </row>
    <row r="5960" spans="1:5" x14ac:dyDescent="0.25">
      <c r="A5960" s="5" t="s">
        <v>6</v>
      </c>
      <c r="B5960" s="5" t="s">
        <v>16222</v>
      </c>
      <c r="C5960" s="1" t="s">
        <v>16223</v>
      </c>
      <c r="D5960" s="1" t="s">
        <v>16223</v>
      </c>
      <c r="E5960" s="7">
        <v>4814</v>
      </c>
    </row>
    <row r="5961" spans="1:5" x14ac:dyDescent="0.25">
      <c r="A5961" s="5" t="s">
        <v>6</v>
      </c>
      <c r="B5961" s="5" t="s">
        <v>16224</v>
      </c>
      <c r="C5961" s="1" t="s">
        <v>16225</v>
      </c>
      <c r="D5961" s="1" t="s">
        <v>16225</v>
      </c>
      <c r="E5961" s="7">
        <v>1136</v>
      </c>
    </row>
    <row r="5962" spans="1:5" x14ac:dyDescent="0.25">
      <c r="A5962" s="5" t="s">
        <v>6</v>
      </c>
      <c r="B5962" s="5" t="s">
        <v>16226</v>
      </c>
      <c r="C5962" s="1" t="s">
        <v>16225</v>
      </c>
      <c r="D5962" s="1" t="s">
        <v>16225</v>
      </c>
      <c r="E5962" s="7">
        <v>12014</v>
      </c>
    </row>
    <row r="5963" spans="1:5" x14ac:dyDescent="0.25">
      <c r="A5963" s="5" t="s">
        <v>6</v>
      </c>
      <c r="B5963" s="5" t="s">
        <v>16227</v>
      </c>
      <c r="C5963" s="1" t="s">
        <v>16228</v>
      </c>
      <c r="D5963" s="1" t="s">
        <v>16229</v>
      </c>
      <c r="E5963" s="7">
        <v>318934</v>
      </c>
    </row>
    <row r="5964" spans="1:5" x14ac:dyDescent="0.25">
      <c r="A5964" s="5" t="s">
        <v>6</v>
      </c>
      <c r="B5964" s="5" t="s">
        <v>16230</v>
      </c>
      <c r="C5964" s="1" t="s">
        <v>16231</v>
      </c>
      <c r="D5964" s="1" t="s">
        <v>16232</v>
      </c>
      <c r="E5964" s="7">
        <v>25596</v>
      </c>
    </row>
    <row r="5965" spans="1:5" x14ac:dyDescent="0.25">
      <c r="A5965" s="5" t="s">
        <v>6</v>
      </c>
      <c r="B5965" s="5" t="s">
        <v>16233</v>
      </c>
      <c r="C5965" s="1" t="s">
        <v>16234</v>
      </c>
      <c r="D5965" s="1" t="s">
        <v>16234</v>
      </c>
      <c r="E5965" s="7">
        <v>28336</v>
      </c>
    </row>
    <row r="5966" spans="1:5" x14ac:dyDescent="0.25">
      <c r="A5966" s="5" t="s">
        <v>6</v>
      </c>
      <c r="B5966" s="5" t="s">
        <v>16235</v>
      </c>
      <c r="C5966" s="1" t="s">
        <v>16236</v>
      </c>
      <c r="D5966" s="1" t="s">
        <v>16237</v>
      </c>
      <c r="E5966" s="7">
        <v>47501</v>
      </c>
    </row>
    <row r="5967" spans="1:5" x14ac:dyDescent="0.25">
      <c r="A5967" s="5" t="s">
        <v>6</v>
      </c>
      <c r="B5967" s="5" t="s">
        <v>16238</v>
      </c>
      <c r="C5967" s="1" t="s">
        <v>16239</v>
      </c>
      <c r="D5967" s="1" t="s">
        <v>16239</v>
      </c>
      <c r="E5967" s="7">
        <v>972</v>
      </c>
    </row>
    <row r="5968" spans="1:5" x14ac:dyDescent="0.25">
      <c r="A5968" s="5" t="s">
        <v>6</v>
      </c>
      <c r="B5968" s="5" t="s">
        <v>16240</v>
      </c>
      <c r="C5968" s="1" t="s">
        <v>16241</v>
      </c>
      <c r="D5968" s="1" t="s">
        <v>16241</v>
      </c>
      <c r="E5968" s="7">
        <v>8594</v>
      </c>
    </row>
    <row r="5969" spans="1:5" x14ac:dyDescent="0.25">
      <c r="A5969" s="5" t="s">
        <v>6</v>
      </c>
      <c r="B5969" s="5" t="s">
        <v>16242</v>
      </c>
      <c r="C5969" s="1" t="s">
        <v>16243</v>
      </c>
      <c r="D5969" s="1" t="s">
        <v>16243</v>
      </c>
      <c r="E5969" s="7">
        <v>7127</v>
      </c>
    </row>
    <row r="5970" spans="1:5" x14ac:dyDescent="0.25">
      <c r="A5970" s="5" t="s">
        <v>6</v>
      </c>
      <c r="B5970" s="5" t="s">
        <v>16244</v>
      </c>
      <c r="C5970" s="1" t="s">
        <v>16245</v>
      </c>
      <c r="D5970" s="1" t="s">
        <v>16245</v>
      </c>
      <c r="E5970" s="7">
        <v>589</v>
      </c>
    </row>
    <row r="5971" spans="1:5" x14ac:dyDescent="0.25">
      <c r="A5971" s="5" t="s">
        <v>6</v>
      </c>
      <c r="B5971" s="5" t="s">
        <v>16246</v>
      </c>
      <c r="C5971" s="1" t="s">
        <v>16247</v>
      </c>
      <c r="D5971" s="1" t="s">
        <v>16248</v>
      </c>
      <c r="E5971" s="7">
        <v>282833</v>
      </c>
    </row>
    <row r="5972" spans="1:5" x14ac:dyDescent="0.25">
      <c r="A5972" s="5" t="s">
        <v>6</v>
      </c>
      <c r="B5972" s="5" t="s">
        <v>16249</v>
      </c>
      <c r="C5972" s="1" t="s">
        <v>16250</v>
      </c>
      <c r="D5972" s="1" t="s">
        <v>16251</v>
      </c>
      <c r="E5972" s="7">
        <v>154161</v>
      </c>
    </row>
    <row r="5973" spans="1:5" x14ac:dyDescent="0.25">
      <c r="A5973" s="5" t="s">
        <v>6</v>
      </c>
      <c r="B5973" s="5" t="s">
        <v>16252</v>
      </c>
      <c r="C5973" s="1" t="s">
        <v>16253</v>
      </c>
      <c r="D5973" s="1" t="s">
        <v>16253</v>
      </c>
      <c r="E5973" s="7">
        <v>13771</v>
      </c>
    </row>
    <row r="5974" spans="1:5" x14ac:dyDescent="0.25">
      <c r="A5974" s="5" t="s">
        <v>6</v>
      </c>
      <c r="B5974" s="5" t="s">
        <v>16254</v>
      </c>
      <c r="C5974" s="1" t="s">
        <v>16255</v>
      </c>
      <c r="D5974" s="1" t="s">
        <v>16256</v>
      </c>
      <c r="E5974" s="7">
        <v>5240</v>
      </c>
    </row>
    <row r="5975" spans="1:5" x14ac:dyDescent="0.25">
      <c r="A5975" s="5" t="s">
        <v>6</v>
      </c>
      <c r="B5975" s="5" t="s">
        <v>16257</v>
      </c>
      <c r="C5975" s="1" t="s">
        <v>16258</v>
      </c>
      <c r="D5975" s="1" t="s">
        <v>16259</v>
      </c>
      <c r="E5975" s="7">
        <v>35257</v>
      </c>
    </row>
    <row r="5976" spans="1:5" x14ac:dyDescent="0.25">
      <c r="A5976" s="5" t="s">
        <v>6</v>
      </c>
      <c r="B5976" s="5" t="s">
        <v>16260</v>
      </c>
      <c r="C5976" s="1" t="s">
        <v>16261</v>
      </c>
      <c r="D5976" s="1" t="s">
        <v>16262</v>
      </c>
      <c r="E5976" s="7">
        <v>45280</v>
      </c>
    </row>
    <row r="5977" spans="1:5" x14ac:dyDescent="0.25">
      <c r="A5977" s="5" t="s">
        <v>6</v>
      </c>
      <c r="B5977" s="5" t="s">
        <v>16263</v>
      </c>
      <c r="C5977" s="1" t="s">
        <v>16264</v>
      </c>
      <c r="D5977" s="1" t="s">
        <v>16264</v>
      </c>
      <c r="E5977" s="7">
        <v>3199</v>
      </c>
    </row>
    <row r="5978" spans="1:5" x14ac:dyDescent="0.25">
      <c r="A5978" s="5" t="s">
        <v>6</v>
      </c>
      <c r="B5978" s="5" t="s">
        <v>16265</v>
      </c>
      <c r="C5978" s="1" t="s">
        <v>16266</v>
      </c>
      <c r="D5978" s="1" t="s">
        <v>16266</v>
      </c>
      <c r="E5978" s="7">
        <v>25925</v>
      </c>
    </row>
    <row r="5979" spans="1:5" x14ac:dyDescent="0.25">
      <c r="A5979" s="5" t="s">
        <v>6</v>
      </c>
      <c r="B5979" s="5" t="s">
        <v>16267</v>
      </c>
      <c r="C5979" s="1" t="s">
        <v>16268</v>
      </c>
      <c r="D5979" s="1" t="s">
        <v>16269</v>
      </c>
      <c r="E5979" s="7">
        <v>2808</v>
      </c>
    </row>
    <row r="5980" spans="1:5" x14ac:dyDescent="0.25">
      <c r="A5980" s="5" t="s">
        <v>6</v>
      </c>
      <c r="B5980" s="5" t="s">
        <v>16270</v>
      </c>
      <c r="C5980" s="1" t="s">
        <v>16271</v>
      </c>
      <c r="D5980" s="1" t="s">
        <v>16272</v>
      </c>
      <c r="E5980" s="7">
        <v>1684</v>
      </c>
    </row>
    <row r="5981" spans="1:5" x14ac:dyDescent="0.25">
      <c r="A5981" s="5" t="s">
        <v>6</v>
      </c>
      <c r="B5981" s="5" t="s">
        <v>16273</v>
      </c>
      <c r="C5981" s="1" t="s">
        <v>16274</v>
      </c>
      <c r="D5981" s="1" t="s">
        <v>16275</v>
      </c>
      <c r="E5981" s="7">
        <v>34813</v>
      </c>
    </row>
    <row r="5982" spans="1:5" x14ac:dyDescent="0.25">
      <c r="A5982" s="5" t="s">
        <v>6</v>
      </c>
      <c r="B5982" s="5" t="s">
        <v>16276</v>
      </c>
      <c r="C5982" s="1" t="s">
        <v>16277</v>
      </c>
      <c r="D5982" s="1" t="s">
        <v>16278</v>
      </c>
      <c r="E5982" s="7">
        <v>4627</v>
      </c>
    </row>
    <row r="5983" spans="1:5" x14ac:dyDescent="0.25">
      <c r="A5983" s="5" t="s">
        <v>6</v>
      </c>
      <c r="B5983" s="5" t="s">
        <v>16279</v>
      </c>
      <c r="C5983" s="1" t="s">
        <v>16280</v>
      </c>
      <c r="D5983" s="1" t="s">
        <v>16280</v>
      </c>
      <c r="E5983" s="7">
        <v>14086</v>
      </c>
    </row>
    <row r="5984" spans="1:5" x14ac:dyDescent="0.25">
      <c r="A5984" s="5" t="s">
        <v>6</v>
      </c>
      <c r="B5984" s="5" t="s">
        <v>16281</v>
      </c>
      <c r="C5984" s="1" t="s">
        <v>16282</v>
      </c>
      <c r="D5984" s="1" t="s">
        <v>16282</v>
      </c>
      <c r="E5984" s="7">
        <v>37256</v>
      </c>
    </row>
    <row r="5985" spans="1:5" x14ac:dyDescent="0.25">
      <c r="A5985" s="5" t="s">
        <v>6</v>
      </c>
      <c r="B5985" s="5" t="s">
        <v>16283</v>
      </c>
      <c r="C5985" s="1" t="s">
        <v>16284</v>
      </c>
      <c r="D5985" s="1" t="s">
        <v>16285</v>
      </c>
      <c r="E5985" s="7">
        <v>1824</v>
      </c>
    </row>
    <row r="5986" spans="1:5" x14ac:dyDescent="0.25">
      <c r="A5986" s="5" t="s">
        <v>6</v>
      </c>
      <c r="B5986" s="5" t="s">
        <v>16286</v>
      </c>
      <c r="C5986" s="1" t="s">
        <v>16287</v>
      </c>
      <c r="D5986" s="1" t="s">
        <v>16288</v>
      </c>
      <c r="E5986" s="7">
        <v>1942</v>
      </c>
    </row>
    <row r="5987" spans="1:5" x14ac:dyDescent="0.25">
      <c r="A5987" s="5" t="s">
        <v>6</v>
      </c>
      <c r="B5987" s="5" t="s">
        <v>16289</v>
      </c>
      <c r="C5987" s="1" t="s">
        <v>16290</v>
      </c>
      <c r="D5987" s="1" t="s">
        <v>16291</v>
      </c>
      <c r="E5987" s="7">
        <v>18312</v>
      </c>
    </row>
    <row r="5988" spans="1:5" x14ac:dyDescent="0.25">
      <c r="A5988" s="5" t="s">
        <v>6</v>
      </c>
      <c r="B5988" s="5" t="s">
        <v>16292</v>
      </c>
      <c r="C5988" s="1" t="s">
        <v>16293</v>
      </c>
      <c r="D5988" s="1" t="s">
        <v>16291</v>
      </c>
      <c r="E5988" s="7">
        <v>2644</v>
      </c>
    </row>
    <row r="5989" spans="1:5" x14ac:dyDescent="0.25">
      <c r="A5989" s="5" t="s">
        <v>6</v>
      </c>
      <c r="B5989" s="5" t="s">
        <v>16294</v>
      </c>
      <c r="C5989" s="1" t="s">
        <v>16295</v>
      </c>
      <c r="D5989" s="1" t="s">
        <v>16295</v>
      </c>
      <c r="E5989" s="7">
        <v>4574</v>
      </c>
    </row>
    <row r="5990" spans="1:5" x14ac:dyDescent="0.25">
      <c r="A5990" s="5" t="s">
        <v>6</v>
      </c>
      <c r="B5990" s="5" t="s">
        <v>16296</v>
      </c>
      <c r="C5990" s="1" t="s">
        <v>16297</v>
      </c>
      <c r="D5990" s="1" t="s">
        <v>16297</v>
      </c>
      <c r="E5990" s="7">
        <v>1992</v>
      </c>
    </row>
    <row r="5991" spans="1:5" x14ac:dyDescent="0.25">
      <c r="A5991" s="5" t="s">
        <v>6</v>
      </c>
      <c r="B5991" s="5" t="s">
        <v>16298</v>
      </c>
      <c r="C5991" s="1" t="s">
        <v>16299</v>
      </c>
      <c r="D5991" s="1" t="s">
        <v>16299</v>
      </c>
      <c r="E5991" s="7">
        <v>50486</v>
      </c>
    </row>
    <row r="5992" spans="1:5" x14ac:dyDescent="0.25">
      <c r="A5992" s="5" t="s">
        <v>6</v>
      </c>
      <c r="B5992" s="5" t="s">
        <v>16300</v>
      </c>
      <c r="C5992" s="1" t="s">
        <v>16301</v>
      </c>
      <c r="D5992" s="1" t="s">
        <v>16301</v>
      </c>
      <c r="E5992" s="7">
        <v>13144</v>
      </c>
    </row>
    <row r="5993" spans="1:5" x14ac:dyDescent="0.25">
      <c r="A5993" s="5" t="s">
        <v>6</v>
      </c>
      <c r="B5993" s="5" t="s">
        <v>16302</v>
      </c>
      <c r="C5993" s="1" t="s">
        <v>16303</v>
      </c>
      <c r="D5993" s="1" t="s">
        <v>16303</v>
      </c>
      <c r="E5993" s="7">
        <v>6904</v>
      </c>
    </row>
    <row r="5994" spans="1:5" x14ac:dyDescent="0.25">
      <c r="A5994" s="5" t="s">
        <v>6</v>
      </c>
      <c r="B5994" s="5" t="s">
        <v>16304</v>
      </c>
      <c r="C5994" s="1" t="s">
        <v>16305</v>
      </c>
      <c r="D5994" s="1" t="s">
        <v>16305</v>
      </c>
      <c r="E5994" s="7">
        <v>336</v>
      </c>
    </row>
    <row r="5995" spans="1:5" x14ac:dyDescent="0.25">
      <c r="A5995" s="5" t="s">
        <v>6</v>
      </c>
      <c r="B5995" s="5" t="s">
        <v>16306</v>
      </c>
      <c r="C5995" s="1" t="s">
        <v>16307</v>
      </c>
      <c r="D5995" s="1" t="s">
        <v>16308</v>
      </c>
      <c r="E5995" s="7">
        <v>1891</v>
      </c>
    </row>
    <row r="5996" spans="1:5" x14ac:dyDescent="0.25">
      <c r="A5996" s="5" t="s">
        <v>6</v>
      </c>
      <c r="B5996" s="5" t="s">
        <v>16309</v>
      </c>
      <c r="C5996" s="1" t="s">
        <v>16310</v>
      </c>
      <c r="D5996" s="1" t="s">
        <v>16311</v>
      </c>
      <c r="E5996" s="7">
        <v>10679</v>
      </c>
    </row>
    <row r="5997" spans="1:5" x14ac:dyDescent="0.25">
      <c r="A5997" s="5" t="s">
        <v>6</v>
      </c>
      <c r="B5997" s="5" t="s">
        <v>16312</v>
      </c>
      <c r="C5997" s="1" t="s">
        <v>16313</v>
      </c>
      <c r="D5997" s="1" t="s">
        <v>16314</v>
      </c>
      <c r="E5997" s="7">
        <v>17011</v>
      </c>
    </row>
    <row r="5998" spans="1:5" x14ac:dyDescent="0.25">
      <c r="A5998" s="5" t="s">
        <v>6</v>
      </c>
      <c r="B5998" s="5" t="s">
        <v>16315</v>
      </c>
      <c r="C5998" s="1" t="s">
        <v>16316</v>
      </c>
      <c r="D5998" s="1" t="s">
        <v>16316</v>
      </c>
      <c r="E5998" s="7">
        <v>313</v>
      </c>
    </row>
    <row r="5999" spans="1:5" x14ac:dyDescent="0.25">
      <c r="A5999" s="5" t="s">
        <v>6</v>
      </c>
      <c r="B5999" s="5" t="s">
        <v>16317</v>
      </c>
      <c r="C5999" s="1" t="s">
        <v>16318</v>
      </c>
      <c r="D5999" s="1" t="s">
        <v>16318</v>
      </c>
      <c r="E5999" s="7">
        <v>1854</v>
      </c>
    </row>
    <row r="6000" spans="1:5" x14ac:dyDescent="0.25">
      <c r="A6000" s="5" t="s">
        <v>6</v>
      </c>
      <c r="B6000" s="5" t="s">
        <v>16319</v>
      </c>
      <c r="C6000" s="1" t="s">
        <v>16320</v>
      </c>
      <c r="D6000" s="1" t="s">
        <v>16321</v>
      </c>
      <c r="E6000" s="7">
        <v>5684</v>
      </c>
    </row>
    <row r="6001" spans="1:5" x14ac:dyDescent="0.25">
      <c r="A6001" s="5" t="s">
        <v>6</v>
      </c>
      <c r="B6001" s="5" t="s">
        <v>16322</v>
      </c>
      <c r="C6001" s="1" t="s">
        <v>16323</v>
      </c>
      <c r="D6001" s="1" t="s">
        <v>16324</v>
      </c>
      <c r="E6001" s="7">
        <v>4797</v>
      </c>
    </row>
    <row r="6002" spans="1:5" x14ac:dyDescent="0.25">
      <c r="A6002" s="5" t="s">
        <v>6</v>
      </c>
      <c r="B6002" s="5" t="s">
        <v>16325</v>
      </c>
      <c r="C6002" s="1" t="s">
        <v>16326</v>
      </c>
      <c r="D6002" s="1" t="s">
        <v>16326</v>
      </c>
      <c r="E6002" s="7">
        <v>683</v>
      </c>
    </row>
    <row r="6003" spans="1:5" x14ac:dyDescent="0.25">
      <c r="A6003" s="5" t="s">
        <v>6</v>
      </c>
      <c r="B6003" s="5" t="s">
        <v>16327</v>
      </c>
      <c r="C6003" s="1" t="s">
        <v>16328</v>
      </c>
      <c r="D6003" s="1" t="s">
        <v>16328</v>
      </c>
      <c r="E6003" s="7">
        <v>23966</v>
      </c>
    </row>
    <row r="6004" spans="1:5" x14ac:dyDescent="0.25">
      <c r="A6004" s="5" t="s">
        <v>6</v>
      </c>
      <c r="B6004" s="5" t="s">
        <v>16329</v>
      </c>
      <c r="C6004" s="1" t="s">
        <v>16330</v>
      </c>
      <c r="D6004" s="1" t="s">
        <v>16330</v>
      </c>
      <c r="E6004" s="7">
        <v>982</v>
      </c>
    </row>
    <row r="6005" spans="1:5" x14ac:dyDescent="0.25">
      <c r="A6005" s="5" t="s">
        <v>6</v>
      </c>
      <c r="B6005" s="5" t="s">
        <v>16331</v>
      </c>
      <c r="C6005" s="1" t="s">
        <v>16332</v>
      </c>
      <c r="D6005" s="1" t="s">
        <v>16333</v>
      </c>
      <c r="E6005" s="7">
        <v>551</v>
      </c>
    </row>
    <row r="6006" spans="1:5" x14ac:dyDescent="0.25">
      <c r="A6006" s="5" t="s">
        <v>6</v>
      </c>
      <c r="B6006" s="5" t="s">
        <v>16334</v>
      </c>
      <c r="C6006" s="1" t="s">
        <v>16335</v>
      </c>
      <c r="D6006" s="1" t="s">
        <v>16336</v>
      </c>
      <c r="E6006" s="7">
        <v>24323</v>
      </c>
    </row>
    <row r="6007" spans="1:5" x14ac:dyDescent="0.25">
      <c r="A6007" s="5" t="s">
        <v>6</v>
      </c>
      <c r="B6007" s="5" t="s">
        <v>16337</v>
      </c>
      <c r="C6007" s="1" t="s">
        <v>16338</v>
      </c>
      <c r="D6007" s="1" t="s">
        <v>16339</v>
      </c>
      <c r="E6007" s="7">
        <v>16970</v>
      </c>
    </row>
    <row r="6008" spans="1:5" x14ac:dyDescent="0.25">
      <c r="A6008" s="5" t="s">
        <v>6</v>
      </c>
      <c r="B6008" s="5" t="s">
        <v>16340</v>
      </c>
      <c r="C6008" s="1" t="s">
        <v>16341</v>
      </c>
      <c r="D6008" s="1" t="s">
        <v>16342</v>
      </c>
      <c r="E6008" s="7">
        <v>867</v>
      </c>
    </row>
    <row r="6009" spans="1:5" x14ac:dyDescent="0.25">
      <c r="A6009" s="5" t="s">
        <v>6</v>
      </c>
      <c r="B6009" s="5" t="s">
        <v>16343</v>
      </c>
      <c r="C6009" s="1" t="s">
        <v>16344</v>
      </c>
      <c r="D6009" s="1" t="s">
        <v>16345</v>
      </c>
      <c r="E6009" s="7">
        <v>23553</v>
      </c>
    </row>
    <row r="6010" spans="1:5" x14ac:dyDescent="0.25">
      <c r="A6010" s="5" t="s">
        <v>6</v>
      </c>
      <c r="B6010" s="5" t="s">
        <v>16346</v>
      </c>
      <c r="C6010" s="1" t="s">
        <v>16347</v>
      </c>
      <c r="D6010" s="1" t="s">
        <v>16348</v>
      </c>
      <c r="E6010" s="7">
        <v>2150</v>
      </c>
    </row>
    <row r="6011" spans="1:5" x14ac:dyDescent="0.25">
      <c r="A6011" s="5" t="s">
        <v>6</v>
      </c>
      <c r="B6011" s="5" t="s">
        <v>16349</v>
      </c>
      <c r="C6011" s="1" t="s">
        <v>16350</v>
      </c>
      <c r="D6011" s="1" t="s">
        <v>16351</v>
      </c>
      <c r="E6011" s="7">
        <v>5862</v>
      </c>
    </row>
    <row r="6012" spans="1:5" x14ac:dyDescent="0.25">
      <c r="A6012" s="5" t="s">
        <v>6</v>
      </c>
      <c r="B6012" s="5" t="s">
        <v>16352</v>
      </c>
      <c r="C6012" s="1" t="s">
        <v>16353</v>
      </c>
      <c r="D6012" s="1" t="s">
        <v>16354</v>
      </c>
      <c r="E6012" s="7">
        <v>155480</v>
      </c>
    </row>
    <row r="6013" spans="1:5" x14ac:dyDescent="0.25">
      <c r="A6013" s="5" t="s">
        <v>6</v>
      </c>
      <c r="B6013" s="5" t="s">
        <v>16355</v>
      </c>
      <c r="C6013" s="1" t="s">
        <v>16356</v>
      </c>
      <c r="D6013" s="1" t="s">
        <v>16357</v>
      </c>
      <c r="E6013" s="7">
        <v>12161</v>
      </c>
    </row>
    <row r="6014" spans="1:5" x14ac:dyDescent="0.25">
      <c r="A6014" s="5" t="s">
        <v>6</v>
      </c>
      <c r="B6014" s="5" t="s">
        <v>16358</v>
      </c>
      <c r="C6014" s="1" t="s">
        <v>16359</v>
      </c>
      <c r="D6014" s="1" t="s">
        <v>16360</v>
      </c>
      <c r="E6014" s="7">
        <v>2438</v>
      </c>
    </row>
    <row r="6015" spans="1:5" x14ac:dyDescent="0.25">
      <c r="A6015" s="5" t="s">
        <v>6</v>
      </c>
      <c r="B6015" s="5" t="s">
        <v>16361</v>
      </c>
      <c r="C6015" s="1" t="s">
        <v>16362</v>
      </c>
      <c r="D6015" s="1" t="s">
        <v>16363</v>
      </c>
      <c r="E6015" s="7">
        <v>60506</v>
      </c>
    </row>
    <row r="6016" spans="1:5" x14ac:dyDescent="0.25">
      <c r="A6016" s="5" t="s">
        <v>6</v>
      </c>
      <c r="B6016" s="5" t="s">
        <v>16364</v>
      </c>
      <c r="C6016" s="1" t="s">
        <v>16365</v>
      </c>
      <c r="D6016" s="1" t="s">
        <v>16366</v>
      </c>
      <c r="E6016" s="7">
        <v>11659</v>
      </c>
    </row>
    <row r="6017" spans="1:5" x14ac:dyDescent="0.25">
      <c r="A6017" s="5" t="s">
        <v>6</v>
      </c>
      <c r="B6017" s="5" t="s">
        <v>16367</v>
      </c>
      <c r="C6017" s="1" t="s">
        <v>16368</v>
      </c>
      <c r="D6017" s="1" t="s">
        <v>16369</v>
      </c>
      <c r="E6017" s="7">
        <v>103833</v>
      </c>
    </row>
    <row r="6018" spans="1:5" x14ac:dyDescent="0.25">
      <c r="A6018" s="5" t="s">
        <v>6</v>
      </c>
      <c r="B6018" s="5" t="s">
        <v>16370</v>
      </c>
      <c r="C6018" s="1" t="s">
        <v>16371</v>
      </c>
      <c r="D6018" s="1" t="s">
        <v>16372</v>
      </c>
      <c r="E6018" s="7">
        <v>59244</v>
      </c>
    </row>
    <row r="6019" spans="1:5" x14ac:dyDescent="0.25">
      <c r="A6019" s="5" t="s">
        <v>6</v>
      </c>
      <c r="B6019" s="5" t="s">
        <v>16373</v>
      </c>
      <c r="C6019" s="1" t="s">
        <v>16374</v>
      </c>
      <c r="D6019" s="1" t="s">
        <v>2123</v>
      </c>
      <c r="E6019" s="7">
        <v>211969</v>
      </c>
    </row>
    <row r="6020" spans="1:5" x14ac:dyDescent="0.25">
      <c r="A6020" s="5" t="s">
        <v>6</v>
      </c>
      <c r="B6020" s="5" t="s">
        <v>16375</v>
      </c>
      <c r="C6020" s="1" t="s">
        <v>16376</v>
      </c>
      <c r="D6020" s="1" t="s">
        <v>16377</v>
      </c>
      <c r="E6020" s="7">
        <v>1236</v>
      </c>
    </row>
    <row r="6021" spans="1:5" x14ac:dyDescent="0.25">
      <c r="A6021" s="5" t="s">
        <v>6</v>
      </c>
      <c r="B6021" s="5" t="s">
        <v>16378</v>
      </c>
      <c r="C6021" s="1" t="s">
        <v>16379</v>
      </c>
      <c r="D6021" s="1" t="s">
        <v>16380</v>
      </c>
      <c r="E6021" s="7">
        <v>42198</v>
      </c>
    </row>
    <row r="6022" spans="1:5" x14ac:dyDescent="0.25">
      <c r="A6022" s="5" t="s">
        <v>6</v>
      </c>
      <c r="B6022" s="5" t="s">
        <v>16381</v>
      </c>
      <c r="C6022" s="1" t="s">
        <v>16382</v>
      </c>
      <c r="D6022" s="1" t="s">
        <v>16382</v>
      </c>
      <c r="E6022" s="7">
        <v>2413</v>
      </c>
    </row>
    <row r="6023" spans="1:5" x14ac:dyDescent="0.25">
      <c r="A6023" s="5" t="s">
        <v>6</v>
      </c>
      <c r="B6023" s="5" t="s">
        <v>16383</v>
      </c>
      <c r="C6023" s="1" t="s">
        <v>16384</v>
      </c>
      <c r="D6023" s="1" t="s">
        <v>16385</v>
      </c>
      <c r="E6023" s="7">
        <v>2198</v>
      </c>
    </row>
    <row r="6024" spans="1:5" x14ac:dyDescent="0.25">
      <c r="A6024" s="5" t="s">
        <v>6</v>
      </c>
      <c r="B6024" s="5" t="s">
        <v>16386</v>
      </c>
      <c r="C6024" s="1" t="s">
        <v>16387</v>
      </c>
      <c r="D6024" s="1" t="s">
        <v>16388</v>
      </c>
      <c r="E6024" s="7">
        <v>4222</v>
      </c>
    </row>
    <row r="6025" spans="1:5" x14ac:dyDescent="0.25">
      <c r="A6025" s="5" t="s">
        <v>6</v>
      </c>
      <c r="B6025" s="5" t="s">
        <v>16389</v>
      </c>
      <c r="C6025" s="1" t="s">
        <v>16390</v>
      </c>
      <c r="D6025" s="1" t="s">
        <v>16391</v>
      </c>
      <c r="E6025" s="7">
        <v>8594</v>
      </c>
    </row>
    <row r="6026" spans="1:5" x14ac:dyDescent="0.25">
      <c r="A6026" s="5" t="s">
        <v>6</v>
      </c>
      <c r="B6026" s="5" t="s">
        <v>16392</v>
      </c>
      <c r="C6026" s="1" t="s">
        <v>16393</v>
      </c>
      <c r="D6026" s="1" t="s">
        <v>16394</v>
      </c>
      <c r="E6026" s="7">
        <v>12048</v>
      </c>
    </row>
    <row r="6027" spans="1:5" x14ac:dyDescent="0.25">
      <c r="A6027" s="5" t="s">
        <v>6</v>
      </c>
      <c r="B6027" s="5" t="s">
        <v>16395</v>
      </c>
      <c r="C6027" s="1" t="s">
        <v>16396</v>
      </c>
      <c r="D6027" s="1" t="s">
        <v>16397</v>
      </c>
      <c r="E6027" s="7">
        <v>74175</v>
      </c>
    </row>
    <row r="6028" spans="1:5" x14ac:dyDescent="0.25">
      <c r="A6028" s="5" t="s">
        <v>6</v>
      </c>
      <c r="B6028" s="5" t="s">
        <v>16400</v>
      </c>
      <c r="C6028" s="1" t="s">
        <v>16401</v>
      </c>
      <c r="D6028" s="1" t="s">
        <v>16402</v>
      </c>
      <c r="E6028" s="7">
        <v>3864</v>
      </c>
    </row>
    <row r="6029" spans="1:5" x14ac:dyDescent="0.25">
      <c r="A6029" s="5" t="s">
        <v>6</v>
      </c>
      <c r="B6029" s="5" t="s">
        <v>16403</v>
      </c>
      <c r="C6029" s="1" t="s">
        <v>16404</v>
      </c>
      <c r="D6029" s="1" t="s">
        <v>16405</v>
      </c>
      <c r="E6029" s="7">
        <v>62274</v>
      </c>
    </row>
    <row r="6030" spans="1:5" x14ac:dyDescent="0.25">
      <c r="A6030" s="5" t="s">
        <v>6</v>
      </c>
      <c r="B6030" s="5" t="s">
        <v>16406</v>
      </c>
      <c r="C6030" s="1" t="s">
        <v>16407</v>
      </c>
      <c r="D6030" s="1" t="s">
        <v>16408</v>
      </c>
      <c r="E6030" s="7">
        <v>3846</v>
      </c>
    </row>
    <row r="6031" spans="1:5" x14ac:dyDescent="0.25">
      <c r="A6031" s="5" t="s">
        <v>6</v>
      </c>
      <c r="B6031" s="5" t="s">
        <v>16409</v>
      </c>
      <c r="C6031" s="1" t="s">
        <v>16410</v>
      </c>
      <c r="D6031" s="1" t="s">
        <v>16411</v>
      </c>
      <c r="E6031" s="7">
        <v>1134</v>
      </c>
    </row>
    <row r="6032" spans="1:5" x14ac:dyDescent="0.25">
      <c r="A6032" s="5" t="s">
        <v>6</v>
      </c>
      <c r="B6032" s="5" t="s">
        <v>16412</v>
      </c>
      <c r="C6032" s="1" t="s">
        <v>16413</v>
      </c>
      <c r="D6032" s="1" t="s">
        <v>16414</v>
      </c>
      <c r="E6032" s="7">
        <v>1355</v>
      </c>
    </row>
    <row r="6033" spans="1:5" x14ac:dyDescent="0.25">
      <c r="A6033" s="5" t="s">
        <v>6</v>
      </c>
      <c r="B6033" s="5" t="s">
        <v>16415</v>
      </c>
      <c r="C6033" s="1" t="s">
        <v>16416</v>
      </c>
      <c r="D6033" s="1" t="s">
        <v>16416</v>
      </c>
      <c r="E6033" s="7">
        <v>1109</v>
      </c>
    </row>
    <row r="6034" spans="1:5" x14ac:dyDescent="0.25">
      <c r="A6034" s="5" t="s">
        <v>6</v>
      </c>
      <c r="B6034" s="5" t="s">
        <v>16417</v>
      </c>
      <c r="C6034" s="1" t="s">
        <v>16418</v>
      </c>
      <c r="D6034" s="1" t="s">
        <v>16419</v>
      </c>
      <c r="E6034" s="7">
        <v>3435</v>
      </c>
    </row>
    <row r="6035" spans="1:5" x14ac:dyDescent="0.25">
      <c r="A6035" s="5" t="s">
        <v>6</v>
      </c>
      <c r="B6035" s="5" t="s">
        <v>16420</v>
      </c>
      <c r="C6035" s="1" t="s">
        <v>16421</v>
      </c>
      <c r="D6035" s="1" t="s">
        <v>16422</v>
      </c>
      <c r="E6035" s="7">
        <v>22061</v>
      </c>
    </row>
    <row r="6036" spans="1:5" x14ac:dyDescent="0.25">
      <c r="A6036" s="5" t="s">
        <v>6</v>
      </c>
      <c r="B6036" s="5" t="s">
        <v>16423</v>
      </c>
      <c r="C6036" s="1" t="s">
        <v>16424</v>
      </c>
      <c r="D6036" s="1" t="s">
        <v>16425</v>
      </c>
      <c r="E6036" s="7">
        <v>151687</v>
      </c>
    </row>
    <row r="6037" spans="1:5" x14ac:dyDescent="0.25">
      <c r="A6037" s="5" t="s">
        <v>6</v>
      </c>
      <c r="B6037" s="5" t="s">
        <v>16426</v>
      </c>
      <c r="C6037" s="1" t="s">
        <v>16427</v>
      </c>
      <c r="D6037" s="1" t="s">
        <v>16428</v>
      </c>
      <c r="E6037" s="7">
        <v>88187</v>
      </c>
    </row>
    <row r="6038" spans="1:5" x14ac:dyDescent="0.25">
      <c r="A6038" s="5" t="s">
        <v>6</v>
      </c>
      <c r="B6038" s="5" t="s">
        <v>16429</v>
      </c>
      <c r="C6038" s="1" t="s">
        <v>16430</v>
      </c>
      <c r="D6038" s="1" t="s">
        <v>16431</v>
      </c>
      <c r="E6038" s="7">
        <v>3468</v>
      </c>
    </row>
    <row r="6039" spans="1:5" x14ac:dyDescent="0.25">
      <c r="A6039" s="5" t="s">
        <v>6</v>
      </c>
      <c r="B6039" s="5" t="s">
        <v>16432</v>
      </c>
      <c r="C6039" s="1" t="s">
        <v>16433</v>
      </c>
      <c r="D6039" s="1" t="s">
        <v>16434</v>
      </c>
      <c r="E6039" s="7">
        <v>980</v>
      </c>
    </row>
    <row r="6040" spans="1:5" x14ac:dyDescent="0.25">
      <c r="A6040" s="5" t="s">
        <v>6</v>
      </c>
      <c r="B6040" s="5" t="s">
        <v>16435</v>
      </c>
      <c r="C6040" s="1" t="s">
        <v>16436</v>
      </c>
      <c r="D6040" s="1" t="s">
        <v>16437</v>
      </c>
      <c r="E6040" s="7">
        <v>1832</v>
      </c>
    </row>
    <row r="6041" spans="1:5" x14ac:dyDescent="0.25">
      <c r="A6041" s="5" t="s">
        <v>6</v>
      </c>
      <c r="B6041" s="5" t="s">
        <v>16438</v>
      </c>
      <c r="C6041" s="1" t="s">
        <v>16439</v>
      </c>
      <c r="D6041" s="1" t="s">
        <v>16440</v>
      </c>
      <c r="E6041" s="7">
        <v>2123</v>
      </c>
    </row>
    <row r="6042" spans="1:5" x14ac:dyDescent="0.25">
      <c r="A6042" s="5" t="s">
        <v>6</v>
      </c>
      <c r="B6042" s="5" t="s">
        <v>16441</v>
      </c>
      <c r="C6042" s="1" t="s">
        <v>16442</v>
      </c>
      <c r="D6042" s="1" t="s">
        <v>16442</v>
      </c>
      <c r="E6042" s="7">
        <v>42381</v>
      </c>
    </row>
    <row r="6043" spans="1:5" x14ac:dyDescent="0.25">
      <c r="A6043" s="5" t="s">
        <v>6</v>
      </c>
      <c r="B6043" s="5" t="s">
        <v>16443</v>
      </c>
      <c r="C6043" s="1" t="s">
        <v>16444</v>
      </c>
      <c r="D6043" s="1" t="s">
        <v>16444</v>
      </c>
      <c r="E6043" s="7">
        <v>636</v>
      </c>
    </row>
    <row r="6044" spans="1:5" x14ac:dyDescent="0.25">
      <c r="A6044" s="5" t="s">
        <v>6</v>
      </c>
      <c r="B6044" s="5" t="s">
        <v>16445</v>
      </c>
      <c r="C6044" s="1" t="s">
        <v>16446</v>
      </c>
      <c r="D6044" s="1" t="s">
        <v>16446</v>
      </c>
      <c r="E6044" s="7">
        <v>284</v>
      </c>
    </row>
    <row r="6045" spans="1:5" x14ac:dyDescent="0.25">
      <c r="A6045" s="5" t="s">
        <v>6</v>
      </c>
      <c r="B6045" s="5" t="s">
        <v>16447</v>
      </c>
      <c r="C6045" s="1" t="s">
        <v>16448</v>
      </c>
      <c r="D6045" s="1" t="s">
        <v>16449</v>
      </c>
      <c r="E6045" s="7">
        <v>10895</v>
      </c>
    </row>
    <row r="6046" spans="1:5" x14ac:dyDescent="0.25">
      <c r="A6046" s="5" t="s">
        <v>6</v>
      </c>
      <c r="B6046" s="5" t="s">
        <v>16450</v>
      </c>
      <c r="C6046" s="1" t="s">
        <v>16451</v>
      </c>
      <c r="D6046" s="1" t="s">
        <v>16452</v>
      </c>
      <c r="E6046" s="7">
        <v>7264</v>
      </c>
    </row>
    <row r="6047" spans="1:5" x14ac:dyDescent="0.25">
      <c r="A6047" s="5" t="s">
        <v>6</v>
      </c>
      <c r="B6047" s="5" t="s">
        <v>16453</v>
      </c>
      <c r="C6047" s="1" t="s">
        <v>16454</v>
      </c>
      <c r="D6047" s="1" t="s">
        <v>16455</v>
      </c>
      <c r="E6047" s="7">
        <v>4817</v>
      </c>
    </row>
    <row r="6048" spans="1:5" x14ac:dyDescent="0.25">
      <c r="A6048" s="5" t="s">
        <v>6</v>
      </c>
      <c r="B6048" s="5" t="s">
        <v>16456</v>
      </c>
      <c r="C6048" s="1" t="s">
        <v>16457</v>
      </c>
      <c r="D6048" s="1" t="s">
        <v>16458</v>
      </c>
      <c r="E6048" s="7">
        <v>880</v>
      </c>
    </row>
    <row r="6049" spans="1:5" x14ac:dyDescent="0.25">
      <c r="A6049" s="5" t="s">
        <v>6</v>
      </c>
      <c r="B6049" s="5" t="s">
        <v>16459</v>
      </c>
      <c r="C6049" s="1" t="s">
        <v>16460</v>
      </c>
      <c r="D6049" s="1" t="s">
        <v>16460</v>
      </c>
      <c r="E6049" s="7">
        <v>1871</v>
      </c>
    </row>
    <row r="6050" spans="1:5" x14ac:dyDescent="0.25">
      <c r="A6050" s="5" t="s">
        <v>6</v>
      </c>
      <c r="B6050" s="5" t="s">
        <v>16461</v>
      </c>
      <c r="C6050" s="1" t="s">
        <v>16462</v>
      </c>
      <c r="D6050" s="1" t="s">
        <v>16463</v>
      </c>
      <c r="E6050" s="7">
        <v>36063</v>
      </c>
    </row>
    <row r="6051" spans="1:5" x14ac:dyDescent="0.25">
      <c r="A6051" s="5" t="s">
        <v>6</v>
      </c>
      <c r="B6051" s="5" t="s">
        <v>16464</v>
      </c>
      <c r="C6051" s="1" t="s">
        <v>16465</v>
      </c>
      <c r="D6051" s="1" t="s">
        <v>16466</v>
      </c>
      <c r="E6051" s="7">
        <v>84905.66</v>
      </c>
    </row>
    <row r="6052" spans="1:5" x14ac:dyDescent="0.25">
      <c r="A6052" s="5" t="s">
        <v>6</v>
      </c>
      <c r="B6052" s="5" t="s">
        <v>16467</v>
      </c>
      <c r="C6052" s="1" t="s">
        <v>16468</v>
      </c>
      <c r="D6052" s="1" t="s">
        <v>15768</v>
      </c>
      <c r="E6052" s="7">
        <v>32976</v>
      </c>
    </row>
    <row r="6053" spans="1:5" x14ac:dyDescent="0.25">
      <c r="A6053" s="5" t="s">
        <v>6</v>
      </c>
      <c r="B6053" s="5" t="s">
        <v>16469</v>
      </c>
      <c r="C6053" s="1" t="s">
        <v>16470</v>
      </c>
      <c r="D6053" s="1" t="s">
        <v>16471</v>
      </c>
      <c r="E6053" s="7">
        <v>10513</v>
      </c>
    </row>
    <row r="6054" spans="1:5" x14ac:dyDescent="0.25">
      <c r="A6054" s="5" t="s">
        <v>6</v>
      </c>
      <c r="B6054" s="5" t="s">
        <v>16472</v>
      </c>
      <c r="C6054" s="1" t="s">
        <v>16473</v>
      </c>
      <c r="D6054" s="1" t="s">
        <v>16474</v>
      </c>
      <c r="E6054" s="7">
        <v>1136</v>
      </c>
    </row>
    <row r="6055" spans="1:5" x14ac:dyDescent="0.25">
      <c r="A6055" s="5" t="s">
        <v>6</v>
      </c>
      <c r="B6055" s="5" t="s">
        <v>16475</v>
      </c>
      <c r="C6055" s="1" t="s">
        <v>16476</v>
      </c>
      <c r="D6055" s="1" t="s">
        <v>16477</v>
      </c>
      <c r="E6055" s="7">
        <v>3884</v>
      </c>
    </row>
    <row r="6056" spans="1:5" x14ac:dyDescent="0.25">
      <c r="A6056" s="5" t="s">
        <v>6</v>
      </c>
      <c r="B6056" s="5" t="s">
        <v>16478</v>
      </c>
      <c r="C6056" s="1" t="s">
        <v>16479</v>
      </c>
      <c r="D6056" s="1" t="s">
        <v>16480</v>
      </c>
      <c r="E6056" s="7">
        <v>2065</v>
      </c>
    </row>
    <row r="6057" spans="1:5" x14ac:dyDescent="0.25">
      <c r="A6057" s="5" t="s">
        <v>6</v>
      </c>
      <c r="B6057" s="5" t="s">
        <v>16481</v>
      </c>
      <c r="C6057" s="1" t="s">
        <v>16482</v>
      </c>
      <c r="D6057" s="1" t="s">
        <v>16482</v>
      </c>
      <c r="E6057" s="7">
        <v>3633</v>
      </c>
    </row>
    <row r="6058" spans="1:5" x14ac:dyDescent="0.25">
      <c r="A6058" s="5" t="s">
        <v>6</v>
      </c>
      <c r="B6058" s="5" t="s">
        <v>16483</v>
      </c>
      <c r="C6058" s="1" t="s">
        <v>16484</v>
      </c>
      <c r="D6058" s="1" t="s">
        <v>16485</v>
      </c>
      <c r="E6058" s="7">
        <v>1055</v>
      </c>
    </row>
    <row r="6059" spans="1:5" x14ac:dyDescent="0.25">
      <c r="A6059" s="5" t="s">
        <v>6</v>
      </c>
      <c r="B6059" s="5" t="s">
        <v>16486</v>
      </c>
      <c r="C6059" s="1" t="s">
        <v>16487</v>
      </c>
      <c r="D6059" s="1" t="s">
        <v>16488</v>
      </c>
      <c r="E6059" s="7">
        <v>30322</v>
      </c>
    </row>
    <row r="6060" spans="1:5" x14ac:dyDescent="0.25">
      <c r="A6060" s="5" t="s">
        <v>6</v>
      </c>
      <c r="B6060" s="5" t="s">
        <v>16489</v>
      </c>
      <c r="C6060" s="1" t="s">
        <v>16490</v>
      </c>
      <c r="D6060" s="1" t="s">
        <v>16471</v>
      </c>
      <c r="E6060" s="7">
        <v>1958</v>
      </c>
    </row>
    <row r="6061" spans="1:5" x14ac:dyDescent="0.25">
      <c r="A6061" s="5" t="s">
        <v>6</v>
      </c>
      <c r="B6061" s="5" t="s">
        <v>16491</v>
      </c>
      <c r="C6061" s="1" t="s">
        <v>16492</v>
      </c>
      <c r="D6061" s="1" t="s">
        <v>16493</v>
      </c>
      <c r="E6061" s="7">
        <v>10626</v>
      </c>
    </row>
    <row r="6062" spans="1:5" x14ac:dyDescent="0.25">
      <c r="A6062" s="5" t="s">
        <v>6</v>
      </c>
      <c r="B6062" s="5" t="s">
        <v>16494</v>
      </c>
      <c r="C6062" s="1" t="s">
        <v>16495</v>
      </c>
      <c r="D6062" s="1" t="s">
        <v>16496</v>
      </c>
      <c r="E6062" s="7">
        <v>1026</v>
      </c>
    </row>
    <row r="6063" spans="1:5" x14ac:dyDescent="0.25">
      <c r="A6063" s="5" t="s">
        <v>6</v>
      </c>
      <c r="B6063" s="5" t="s">
        <v>16497</v>
      </c>
      <c r="C6063" s="1" t="s">
        <v>16498</v>
      </c>
      <c r="D6063" s="1" t="s">
        <v>16499</v>
      </c>
      <c r="E6063" s="7">
        <v>315</v>
      </c>
    </row>
    <row r="6064" spans="1:5" x14ac:dyDescent="0.25">
      <c r="A6064" s="5" t="s">
        <v>6</v>
      </c>
      <c r="B6064" s="5" t="s">
        <v>16500</v>
      </c>
      <c r="C6064" s="1" t="s">
        <v>16501</v>
      </c>
      <c r="D6064" s="1" t="s">
        <v>16502</v>
      </c>
      <c r="E6064" s="7">
        <v>165</v>
      </c>
    </row>
    <row r="6065" spans="1:5" x14ac:dyDescent="0.25">
      <c r="A6065" s="5" t="s">
        <v>6</v>
      </c>
      <c r="B6065" s="5" t="s">
        <v>16503</v>
      </c>
      <c r="C6065" s="1" t="s">
        <v>16504</v>
      </c>
      <c r="D6065" s="1" t="s">
        <v>16505</v>
      </c>
      <c r="E6065" s="7">
        <v>2262</v>
      </c>
    </row>
    <row r="6066" spans="1:5" x14ac:dyDescent="0.25">
      <c r="A6066" s="5" t="s">
        <v>6</v>
      </c>
      <c r="B6066" s="5" t="s">
        <v>16506</v>
      </c>
      <c r="C6066" s="1" t="s">
        <v>16507</v>
      </c>
      <c r="D6066" s="1" t="s">
        <v>16508</v>
      </c>
      <c r="E6066" s="7">
        <v>1849</v>
      </c>
    </row>
    <row r="6067" spans="1:5" x14ac:dyDescent="0.25">
      <c r="A6067" s="5" t="s">
        <v>6</v>
      </c>
      <c r="B6067" s="5" t="s">
        <v>16509</v>
      </c>
      <c r="C6067" s="1" t="s">
        <v>16510</v>
      </c>
      <c r="D6067" s="1" t="s">
        <v>16511</v>
      </c>
      <c r="E6067" s="7">
        <v>1413</v>
      </c>
    </row>
    <row r="6068" spans="1:5" x14ac:dyDescent="0.25">
      <c r="A6068" s="5" t="s">
        <v>6</v>
      </c>
      <c r="B6068" s="5" t="s">
        <v>16512</v>
      </c>
      <c r="C6068" s="1" t="s">
        <v>16513</v>
      </c>
      <c r="D6068" s="1" t="s">
        <v>16514</v>
      </c>
      <c r="E6068" s="7">
        <v>2264</v>
      </c>
    </row>
    <row r="6069" spans="1:5" x14ac:dyDescent="0.25">
      <c r="A6069" s="5" t="s">
        <v>6</v>
      </c>
      <c r="B6069" s="5" t="s">
        <v>16515</v>
      </c>
      <c r="C6069" s="1" t="s">
        <v>16516</v>
      </c>
      <c r="D6069" s="1" t="s">
        <v>16517</v>
      </c>
      <c r="E6069" s="7">
        <v>2544</v>
      </c>
    </row>
    <row r="6070" spans="1:5" x14ac:dyDescent="0.25">
      <c r="A6070" s="5" t="s">
        <v>6</v>
      </c>
      <c r="B6070" s="5" t="s">
        <v>16518</v>
      </c>
      <c r="C6070" s="1" t="s">
        <v>16519</v>
      </c>
      <c r="D6070" s="1" t="s">
        <v>16520</v>
      </c>
      <c r="E6070" s="7">
        <v>5509</v>
      </c>
    </row>
    <row r="6071" spans="1:5" x14ac:dyDescent="0.25">
      <c r="A6071" s="5" t="s">
        <v>6</v>
      </c>
      <c r="B6071" s="5" t="s">
        <v>16521</v>
      </c>
      <c r="C6071" s="1" t="s">
        <v>16522</v>
      </c>
      <c r="D6071" s="1" t="s">
        <v>16523</v>
      </c>
      <c r="E6071" s="7">
        <v>5075</v>
      </c>
    </row>
    <row r="6072" spans="1:5" x14ac:dyDescent="0.25">
      <c r="A6072" s="5" t="s">
        <v>6</v>
      </c>
      <c r="B6072" s="5" t="s">
        <v>16524</v>
      </c>
      <c r="C6072" s="1" t="s">
        <v>16525</v>
      </c>
      <c r="D6072" s="1" t="s">
        <v>16526</v>
      </c>
      <c r="E6072" s="7">
        <v>2935</v>
      </c>
    </row>
    <row r="6073" spans="1:5" x14ac:dyDescent="0.25">
      <c r="A6073" s="5" t="s">
        <v>6</v>
      </c>
      <c r="B6073" s="5" t="s">
        <v>16527</v>
      </c>
      <c r="C6073" s="1" t="s">
        <v>16528</v>
      </c>
      <c r="D6073" s="1" t="s">
        <v>16529</v>
      </c>
      <c r="E6073" s="7">
        <v>3097</v>
      </c>
    </row>
    <row r="6074" spans="1:5" x14ac:dyDescent="0.25">
      <c r="A6074" s="5" t="s">
        <v>6</v>
      </c>
      <c r="B6074" s="5" t="s">
        <v>16530</v>
      </c>
      <c r="C6074" s="1" t="s">
        <v>16531</v>
      </c>
      <c r="D6074" s="1" t="s">
        <v>16532</v>
      </c>
      <c r="E6074" s="7">
        <v>2403</v>
      </c>
    </row>
    <row r="6075" spans="1:5" x14ac:dyDescent="0.25">
      <c r="A6075" s="5" t="s">
        <v>6</v>
      </c>
      <c r="B6075" s="5" t="s">
        <v>16533</v>
      </c>
      <c r="C6075" s="1" t="s">
        <v>16534</v>
      </c>
      <c r="D6075" s="1" t="s">
        <v>16535</v>
      </c>
      <c r="E6075" s="7">
        <v>1921</v>
      </c>
    </row>
    <row r="6076" spans="1:5" x14ac:dyDescent="0.25">
      <c r="A6076" s="5" t="s">
        <v>6</v>
      </c>
      <c r="B6076" s="5" t="s">
        <v>16536</v>
      </c>
      <c r="C6076" s="1" t="s">
        <v>16537</v>
      </c>
      <c r="D6076" s="1" t="s">
        <v>16538</v>
      </c>
      <c r="E6076" s="7">
        <v>7887</v>
      </c>
    </row>
    <row r="6077" spans="1:5" x14ac:dyDescent="0.25">
      <c r="A6077" s="5" t="s">
        <v>6</v>
      </c>
      <c r="B6077" s="5" t="s">
        <v>16539</v>
      </c>
      <c r="C6077" s="1" t="s">
        <v>16540</v>
      </c>
      <c r="D6077" s="1" t="s">
        <v>16540</v>
      </c>
      <c r="E6077" s="7">
        <v>2117</v>
      </c>
    </row>
    <row r="6078" spans="1:5" x14ac:dyDescent="0.25">
      <c r="A6078" s="5" t="s">
        <v>6</v>
      </c>
      <c r="B6078" s="5" t="s">
        <v>16541</v>
      </c>
      <c r="C6078" s="1" t="s">
        <v>16542</v>
      </c>
      <c r="D6078" s="1" t="s">
        <v>16543</v>
      </c>
      <c r="E6078" s="7">
        <v>6643</v>
      </c>
    </row>
    <row r="6079" spans="1:5" x14ac:dyDescent="0.25">
      <c r="A6079" s="5" t="s">
        <v>6</v>
      </c>
      <c r="B6079" s="5" t="s">
        <v>16544</v>
      </c>
      <c r="C6079" s="1" t="s">
        <v>16545</v>
      </c>
      <c r="D6079" s="1" t="s">
        <v>16546</v>
      </c>
      <c r="E6079" s="7">
        <v>1118</v>
      </c>
    </row>
    <row r="6080" spans="1:5" x14ac:dyDescent="0.25">
      <c r="A6080" s="5" t="s">
        <v>6</v>
      </c>
      <c r="B6080" s="5" t="s">
        <v>16547</v>
      </c>
      <c r="C6080" s="1" t="s">
        <v>16548</v>
      </c>
      <c r="D6080" s="1" t="s">
        <v>16548</v>
      </c>
      <c r="E6080" s="7">
        <v>693</v>
      </c>
    </row>
    <row r="6081" spans="1:5" x14ac:dyDescent="0.25">
      <c r="A6081" s="5" t="s">
        <v>6</v>
      </c>
      <c r="B6081" s="5" t="s">
        <v>16549</v>
      </c>
      <c r="C6081" s="1" t="s">
        <v>16550</v>
      </c>
      <c r="D6081" s="1" t="s">
        <v>16551</v>
      </c>
      <c r="E6081" s="7">
        <v>2894</v>
      </c>
    </row>
    <row r="6082" spans="1:5" x14ac:dyDescent="0.25">
      <c r="A6082" s="5" t="s">
        <v>6</v>
      </c>
      <c r="B6082" s="5" t="s">
        <v>16552</v>
      </c>
      <c r="C6082" s="1" t="s">
        <v>16553</v>
      </c>
      <c r="D6082" s="1" t="s">
        <v>16551</v>
      </c>
      <c r="E6082" s="7">
        <v>2446</v>
      </c>
    </row>
    <row r="6083" spans="1:5" x14ac:dyDescent="0.25">
      <c r="A6083" s="5" t="s">
        <v>6</v>
      </c>
      <c r="B6083" s="5" t="s">
        <v>16554</v>
      </c>
      <c r="C6083" s="1" t="s">
        <v>16555</v>
      </c>
      <c r="D6083" s="1" t="s">
        <v>16556</v>
      </c>
      <c r="E6083" s="7">
        <v>2665</v>
      </c>
    </row>
    <row r="6084" spans="1:5" x14ac:dyDescent="0.25">
      <c r="A6084" s="5" t="s">
        <v>6</v>
      </c>
      <c r="B6084" s="5" t="s">
        <v>16557</v>
      </c>
      <c r="C6084" s="1" t="s">
        <v>16558</v>
      </c>
      <c r="D6084" s="1" t="s">
        <v>16559</v>
      </c>
      <c r="E6084" s="7">
        <v>3405</v>
      </c>
    </row>
    <row r="6085" spans="1:5" x14ac:dyDescent="0.25">
      <c r="A6085" s="5" t="s">
        <v>6</v>
      </c>
      <c r="B6085" s="5" t="s">
        <v>16560</v>
      </c>
      <c r="C6085" s="1" t="s">
        <v>16561</v>
      </c>
      <c r="D6085" s="1" t="s">
        <v>16561</v>
      </c>
      <c r="E6085" s="7">
        <v>4532</v>
      </c>
    </row>
    <row r="6086" spans="1:5" x14ac:dyDescent="0.25">
      <c r="A6086" s="5" t="s">
        <v>6</v>
      </c>
      <c r="B6086" s="5" t="s">
        <v>16562</v>
      </c>
      <c r="C6086" s="1" t="s">
        <v>16563</v>
      </c>
      <c r="D6086" s="1" t="s">
        <v>16556</v>
      </c>
      <c r="E6086" s="7">
        <v>2659</v>
      </c>
    </row>
    <row r="6087" spans="1:5" x14ac:dyDescent="0.25">
      <c r="A6087" s="5" t="s">
        <v>6</v>
      </c>
      <c r="B6087" s="5" t="s">
        <v>16564</v>
      </c>
      <c r="C6087" s="1" t="s">
        <v>16565</v>
      </c>
      <c r="D6087" s="1" t="s">
        <v>16566</v>
      </c>
      <c r="E6087" s="7">
        <v>5310</v>
      </c>
    </row>
    <row r="6088" spans="1:5" x14ac:dyDescent="0.25">
      <c r="A6088" s="5" t="s">
        <v>6</v>
      </c>
      <c r="B6088" s="5" t="s">
        <v>16567</v>
      </c>
      <c r="C6088" s="1" t="s">
        <v>16568</v>
      </c>
      <c r="D6088" s="1" t="s">
        <v>16569</v>
      </c>
      <c r="E6088" s="7">
        <v>1970</v>
      </c>
    </row>
    <row r="6089" spans="1:5" x14ac:dyDescent="0.25">
      <c r="A6089" s="5" t="s">
        <v>6</v>
      </c>
      <c r="B6089" s="5" t="s">
        <v>16570</v>
      </c>
      <c r="C6089" s="1" t="s">
        <v>16571</v>
      </c>
      <c r="D6089" s="1" t="s">
        <v>16572</v>
      </c>
      <c r="E6089" s="7">
        <v>10495</v>
      </c>
    </row>
    <row r="6090" spans="1:5" x14ac:dyDescent="0.25">
      <c r="A6090" s="5" t="s">
        <v>6</v>
      </c>
      <c r="B6090" s="5" t="s">
        <v>16573</v>
      </c>
      <c r="C6090" s="1" t="s">
        <v>16574</v>
      </c>
      <c r="D6090" s="1" t="s">
        <v>16575</v>
      </c>
      <c r="E6090" s="7">
        <v>5386</v>
      </c>
    </row>
    <row r="6091" spans="1:5" x14ac:dyDescent="0.25">
      <c r="A6091" s="5" t="s">
        <v>6</v>
      </c>
      <c r="B6091" s="5" t="s">
        <v>16576</v>
      </c>
      <c r="C6091" s="1" t="s">
        <v>16577</v>
      </c>
      <c r="D6091" s="1" t="s">
        <v>16577</v>
      </c>
      <c r="E6091" s="7">
        <v>5857</v>
      </c>
    </row>
    <row r="6092" spans="1:5" x14ac:dyDescent="0.25">
      <c r="A6092" s="5" t="s">
        <v>6</v>
      </c>
      <c r="B6092" s="5" t="s">
        <v>16578</v>
      </c>
      <c r="C6092" s="1" t="s">
        <v>16579</v>
      </c>
      <c r="D6092" s="1" t="s">
        <v>16579</v>
      </c>
      <c r="E6092" s="7">
        <v>22385</v>
      </c>
    </row>
    <row r="6093" spans="1:5" x14ac:dyDescent="0.25">
      <c r="A6093" s="5" t="s">
        <v>6</v>
      </c>
      <c r="B6093" s="5" t="s">
        <v>16580</v>
      </c>
      <c r="C6093" s="1" t="s">
        <v>16581</v>
      </c>
      <c r="D6093" s="1" t="s">
        <v>16581</v>
      </c>
      <c r="E6093" s="7">
        <v>2695</v>
      </c>
    </row>
    <row r="6094" spans="1:5" x14ac:dyDescent="0.25">
      <c r="A6094" s="5" t="s">
        <v>6</v>
      </c>
      <c r="B6094" s="5" t="s">
        <v>16582</v>
      </c>
      <c r="C6094" s="1" t="s">
        <v>16583</v>
      </c>
      <c r="D6094" s="1" t="s">
        <v>16583</v>
      </c>
      <c r="E6094" s="7">
        <v>6341</v>
      </c>
    </row>
    <row r="6095" spans="1:5" x14ac:dyDescent="0.25">
      <c r="A6095" s="5" t="s">
        <v>6</v>
      </c>
      <c r="B6095" s="5" t="s">
        <v>16584</v>
      </c>
      <c r="C6095" s="1" t="s">
        <v>16585</v>
      </c>
      <c r="D6095" s="1" t="s">
        <v>16585</v>
      </c>
      <c r="E6095" s="7">
        <v>941</v>
      </c>
    </row>
    <row r="6096" spans="1:5" x14ac:dyDescent="0.25">
      <c r="A6096" s="5" t="s">
        <v>6</v>
      </c>
      <c r="B6096" s="5" t="s">
        <v>16586</v>
      </c>
      <c r="C6096" s="1" t="s">
        <v>16587</v>
      </c>
      <c r="D6096" s="1" t="s">
        <v>16588</v>
      </c>
      <c r="E6096" s="7">
        <v>2459</v>
      </c>
    </row>
    <row r="6097" spans="1:5" x14ac:dyDescent="0.25">
      <c r="A6097" s="5" t="s">
        <v>6</v>
      </c>
      <c r="B6097" s="5" t="s">
        <v>16589</v>
      </c>
      <c r="C6097" s="1" t="s">
        <v>16590</v>
      </c>
      <c r="D6097" s="1" t="s">
        <v>16591</v>
      </c>
      <c r="E6097" s="7">
        <v>1353</v>
      </c>
    </row>
    <row r="6098" spans="1:5" x14ac:dyDescent="0.25">
      <c r="A6098" s="5" t="s">
        <v>6</v>
      </c>
      <c r="B6098" s="5" t="s">
        <v>16592</v>
      </c>
      <c r="C6098" s="1" t="s">
        <v>16593</v>
      </c>
      <c r="D6098" s="1" t="s">
        <v>16591</v>
      </c>
      <c r="E6098" s="7">
        <v>54253</v>
      </c>
    </row>
    <row r="6099" spans="1:5" x14ac:dyDescent="0.25">
      <c r="A6099" s="5" t="s">
        <v>6</v>
      </c>
      <c r="B6099" s="5" t="s">
        <v>16594</v>
      </c>
      <c r="C6099" s="1" t="s">
        <v>16595</v>
      </c>
      <c r="D6099" s="1" t="s">
        <v>2123</v>
      </c>
      <c r="E6099" s="7">
        <v>90628</v>
      </c>
    </row>
    <row r="6100" spans="1:5" x14ac:dyDescent="0.25">
      <c r="A6100" s="5" t="s">
        <v>6</v>
      </c>
      <c r="B6100" s="5" t="s">
        <v>16596</v>
      </c>
      <c r="C6100" s="1" t="s">
        <v>16597</v>
      </c>
      <c r="D6100" s="1" t="s">
        <v>16598</v>
      </c>
      <c r="E6100" s="7">
        <v>57953</v>
      </c>
    </row>
    <row r="6101" spans="1:5" x14ac:dyDescent="0.25">
      <c r="A6101" s="5" t="s">
        <v>6</v>
      </c>
      <c r="B6101" s="5" t="s">
        <v>16599</v>
      </c>
      <c r="C6101" s="1" t="s">
        <v>16600</v>
      </c>
      <c r="D6101" s="1" t="s">
        <v>16600</v>
      </c>
      <c r="E6101" s="7">
        <v>18177</v>
      </c>
    </row>
    <row r="6102" spans="1:5" x14ac:dyDescent="0.25">
      <c r="A6102" s="5" t="s">
        <v>6</v>
      </c>
      <c r="B6102" s="5" t="s">
        <v>16601</v>
      </c>
      <c r="C6102" s="1" t="s">
        <v>16602</v>
      </c>
      <c r="D6102" s="1" t="s">
        <v>16603</v>
      </c>
      <c r="E6102" s="7">
        <v>11754</v>
      </c>
    </row>
    <row r="6103" spans="1:5" x14ac:dyDescent="0.25">
      <c r="A6103" s="5" t="s">
        <v>6</v>
      </c>
      <c r="B6103" s="5" t="s">
        <v>16604</v>
      </c>
      <c r="C6103" s="1" t="s">
        <v>16605</v>
      </c>
      <c r="D6103" s="1" t="s">
        <v>16606</v>
      </c>
      <c r="E6103" s="7">
        <v>7396</v>
      </c>
    </row>
    <row r="6104" spans="1:5" x14ac:dyDescent="0.25">
      <c r="A6104" s="5" t="s">
        <v>6</v>
      </c>
      <c r="B6104" s="5" t="s">
        <v>16607</v>
      </c>
      <c r="C6104" s="1" t="s">
        <v>16608</v>
      </c>
      <c r="D6104" s="1" t="s">
        <v>16608</v>
      </c>
      <c r="E6104" s="7">
        <v>6812</v>
      </c>
    </row>
    <row r="6105" spans="1:5" x14ac:dyDescent="0.25">
      <c r="A6105" s="5" t="s">
        <v>6</v>
      </c>
      <c r="B6105" s="5" t="s">
        <v>16609</v>
      </c>
      <c r="C6105" s="1" t="s">
        <v>16610</v>
      </c>
      <c r="D6105" s="1" t="s">
        <v>16611</v>
      </c>
      <c r="E6105" s="7">
        <v>3642</v>
      </c>
    </row>
    <row r="6106" spans="1:5" x14ac:dyDescent="0.25">
      <c r="A6106" s="5" t="s">
        <v>6</v>
      </c>
      <c r="B6106" s="5" t="s">
        <v>16612</v>
      </c>
      <c r="C6106" s="1" t="s">
        <v>16613</v>
      </c>
      <c r="D6106" s="1" t="s">
        <v>16614</v>
      </c>
      <c r="E6106" s="7">
        <v>3707</v>
      </c>
    </row>
    <row r="6107" spans="1:5" x14ac:dyDescent="0.25">
      <c r="A6107" s="5" t="s">
        <v>6</v>
      </c>
      <c r="B6107" s="5" t="s">
        <v>16615</v>
      </c>
      <c r="C6107" s="1" t="s">
        <v>16616</v>
      </c>
      <c r="D6107" s="1" t="s">
        <v>16617</v>
      </c>
      <c r="E6107" s="7">
        <v>2446</v>
      </c>
    </row>
    <row r="6108" spans="1:5" x14ac:dyDescent="0.25">
      <c r="A6108" s="5" t="s">
        <v>6</v>
      </c>
      <c r="B6108" s="5" t="s">
        <v>16618</v>
      </c>
      <c r="C6108" s="1" t="s">
        <v>16619</v>
      </c>
      <c r="D6108" s="1" t="s">
        <v>16620</v>
      </c>
      <c r="E6108" s="7">
        <v>7531</v>
      </c>
    </row>
    <row r="6109" spans="1:5" x14ac:dyDescent="0.25">
      <c r="A6109" s="5" t="s">
        <v>6</v>
      </c>
      <c r="B6109" s="5" t="s">
        <v>16621</v>
      </c>
      <c r="C6109" s="1" t="s">
        <v>16622</v>
      </c>
      <c r="D6109" s="1" t="s">
        <v>16623</v>
      </c>
      <c r="E6109" s="7">
        <v>6679</v>
      </c>
    </row>
    <row r="6110" spans="1:5" x14ac:dyDescent="0.25">
      <c r="A6110" s="5" t="s">
        <v>6</v>
      </c>
      <c r="B6110" s="5" t="s">
        <v>16624</v>
      </c>
      <c r="C6110" s="1" t="s">
        <v>16625</v>
      </c>
      <c r="D6110" s="1" t="s">
        <v>16625</v>
      </c>
      <c r="E6110" s="7">
        <v>617</v>
      </c>
    </row>
    <row r="6111" spans="1:5" x14ac:dyDescent="0.25">
      <c r="A6111" s="5" t="s">
        <v>6</v>
      </c>
      <c r="B6111" s="5" t="s">
        <v>16626</v>
      </c>
      <c r="C6111" s="1" t="s">
        <v>16627</v>
      </c>
      <c r="D6111" s="1" t="s">
        <v>16627</v>
      </c>
      <c r="E6111" s="7">
        <v>2307</v>
      </c>
    </row>
    <row r="6112" spans="1:5" x14ac:dyDescent="0.25">
      <c r="A6112" s="5" t="s">
        <v>6</v>
      </c>
      <c r="B6112" s="5" t="s">
        <v>16628</v>
      </c>
      <c r="C6112" s="1" t="s">
        <v>16629</v>
      </c>
      <c r="D6112" s="1" t="s">
        <v>16630</v>
      </c>
      <c r="E6112" s="7">
        <v>6679</v>
      </c>
    </row>
    <row r="6113" spans="1:5" x14ac:dyDescent="0.25">
      <c r="A6113" s="5" t="s">
        <v>6</v>
      </c>
      <c r="B6113" s="5" t="s">
        <v>16631</v>
      </c>
      <c r="C6113" s="1" t="s">
        <v>16632</v>
      </c>
      <c r="D6113" s="1" t="s">
        <v>16633</v>
      </c>
      <c r="E6113" s="7">
        <v>10133</v>
      </c>
    </row>
    <row r="6114" spans="1:5" x14ac:dyDescent="0.25">
      <c r="A6114" s="5" t="s">
        <v>6</v>
      </c>
      <c r="B6114" s="5" t="s">
        <v>16634</v>
      </c>
      <c r="C6114" s="1" t="s">
        <v>16635</v>
      </c>
      <c r="D6114" s="1" t="s">
        <v>16636</v>
      </c>
      <c r="E6114" s="7">
        <v>6679</v>
      </c>
    </row>
    <row r="6115" spans="1:5" x14ac:dyDescent="0.25">
      <c r="A6115" s="5" t="s">
        <v>6</v>
      </c>
      <c r="B6115" s="5" t="s">
        <v>16637</v>
      </c>
      <c r="C6115" s="1" t="s">
        <v>16638</v>
      </c>
      <c r="D6115" s="1" t="s">
        <v>16639</v>
      </c>
      <c r="E6115" s="7">
        <v>6672</v>
      </c>
    </row>
    <row r="6116" spans="1:5" x14ac:dyDescent="0.25">
      <c r="A6116" s="5" t="s">
        <v>6</v>
      </c>
      <c r="B6116" s="5" t="s">
        <v>16640</v>
      </c>
      <c r="C6116" s="1" t="s">
        <v>16641</v>
      </c>
      <c r="D6116" s="1" t="s">
        <v>16642</v>
      </c>
      <c r="E6116" s="7">
        <v>5330</v>
      </c>
    </row>
    <row r="6117" spans="1:5" x14ac:dyDescent="0.25">
      <c r="A6117" s="5" t="s">
        <v>6</v>
      </c>
      <c r="B6117" s="5" t="s">
        <v>16643</v>
      </c>
      <c r="C6117" s="1" t="s">
        <v>16644</v>
      </c>
      <c r="D6117" s="1" t="s">
        <v>1209</v>
      </c>
      <c r="E6117" s="7">
        <v>34902</v>
      </c>
    </row>
    <row r="6118" spans="1:5" x14ac:dyDescent="0.25">
      <c r="A6118" s="5" t="s">
        <v>6</v>
      </c>
      <c r="B6118" s="5" t="s">
        <v>16645</v>
      </c>
      <c r="C6118" s="1" t="s">
        <v>16646</v>
      </c>
      <c r="D6118" s="1" t="s">
        <v>1220</v>
      </c>
      <c r="E6118" s="7">
        <v>28976</v>
      </c>
    </row>
    <row r="6119" spans="1:5" x14ac:dyDescent="0.25">
      <c r="A6119" s="5" t="s">
        <v>6</v>
      </c>
      <c r="B6119" s="5" t="s">
        <v>16647</v>
      </c>
      <c r="C6119" s="1" t="s">
        <v>16648</v>
      </c>
      <c r="D6119" s="1" t="s">
        <v>16648</v>
      </c>
      <c r="E6119" s="7">
        <v>6769</v>
      </c>
    </row>
    <row r="6120" spans="1:5" x14ac:dyDescent="0.25">
      <c r="A6120" s="5" t="s">
        <v>6</v>
      </c>
      <c r="B6120" s="5" t="s">
        <v>16649</v>
      </c>
      <c r="C6120" s="1" t="s">
        <v>16650</v>
      </c>
      <c r="D6120" s="1" t="s">
        <v>1220</v>
      </c>
      <c r="E6120" s="7">
        <v>54643</v>
      </c>
    </row>
    <row r="6121" spans="1:5" x14ac:dyDescent="0.25">
      <c r="A6121" s="5" t="s">
        <v>6</v>
      </c>
      <c r="B6121" s="5" t="s">
        <v>16651</v>
      </c>
      <c r="C6121" s="1" t="s">
        <v>16652</v>
      </c>
      <c r="D6121" s="1" t="s">
        <v>16652</v>
      </c>
      <c r="E6121" s="7">
        <v>2602</v>
      </c>
    </row>
    <row r="6122" spans="1:5" x14ac:dyDescent="0.25">
      <c r="A6122" s="5" t="s">
        <v>6</v>
      </c>
      <c r="B6122" s="5" t="s">
        <v>16653</v>
      </c>
      <c r="C6122" s="1" t="s">
        <v>16654</v>
      </c>
      <c r="D6122" s="1" t="s">
        <v>16655</v>
      </c>
      <c r="E6122" s="7">
        <v>7713</v>
      </c>
    </row>
    <row r="6123" spans="1:5" x14ac:dyDescent="0.25">
      <c r="A6123" s="5" t="s">
        <v>6</v>
      </c>
      <c r="B6123" s="5" t="s">
        <v>16656</v>
      </c>
      <c r="C6123" s="1" t="s">
        <v>16657</v>
      </c>
      <c r="D6123" s="1" t="s">
        <v>16655</v>
      </c>
      <c r="E6123" s="7">
        <v>12558</v>
      </c>
    </row>
    <row r="6124" spans="1:5" x14ac:dyDescent="0.25">
      <c r="A6124" s="5" t="s">
        <v>6</v>
      </c>
      <c r="B6124" s="5" t="s">
        <v>16658</v>
      </c>
      <c r="C6124" s="1" t="s">
        <v>16659</v>
      </c>
      <c r="D6124" s="1" t="s">
        <v>16660</v>
      </c>
      <c r="E6124" s="7">
        <v>6405</v>
      </c>
    </row>
    <row r="6125" spans="1:5" x14ac:dyDescent="0.25">
      <c r="A6125" s="5" t="s">
        <v>6</v>
      </c>
      <c r="B6125" s="5" t="s">
        <v>16661</v>
      </c>
      <c r="C6125" s="1" t="s">
        <v>16662</v>
      </c>
      <c r="D6125" s="1" t="s">
        <v>16663</v>
      </c>
      <c r="E6125" s="7">
        <v>5985</v>
      </c>
    </row>
    <row r="6126" spans="1:5" x14ac:dyDescent="0.25">
      <c r="A6126" s="5" t="s">
        <v>6</v>
      </c>
      <c r="B6126" s="5" t="s">
        <v>16664</v>
      </c>
      <c r="C6126" s="1" t="s">
        <v>16665</v>
      </c>
      <c r="D6126" s="1" t="s">
        <v>16666</v>
      </c>
      <c r="E6126" s="7">
        <v>39834</v>
      </c>
    </row>
    <row r="6127" spans="1:5" x14ac:dyDescent="0.25">
      <c r="A6127" s="5" t="s">
        <v>6</v>
      </c>
      <c r="B6127" s="5" t="s">
        <v>16667</v>
      </c>
      <c r="C6127" s="1" t="s">
        <v>16668</v>
      </c>
      <c r="D6127" s="1" t="s">
        <v>16669</v>
      </c>
      <c r="E6127" s="7">
        <v>76692</v>
      </c>
    </row>
    <row r="6128" spans="1:5" x14ac:dyDescent="0.25">
      <c r="A6128" s="5" t="s">
        <v>6</v>
      </c>
      <c r="B6128" s="5" t="s">
        <v>16670</v>
      </c>
      <c r="C6128" s="1" t="s">
        <v>16671</v>
      </c>
      <c r="D6128" s="1" t="s">
        <v>16672</v>
      </c>
      <c r="E6128" s="7">
        <v>33321</v>
      </c>
    </row>
    <row r="6129" spans="1:5" x14ac:dyDescent="0.25">
      <c r="A6129" s="5" t="s">
        <v>6</v>
      </c>
      <c r="B6129" s="5" t="s">
        <v>16673</v>
      </c>
      <c r="C6129" s="1" t="s">
        <v>16674</v>
      </c>
      <c r="D6129" s="1" t="s">
        <v>16675</v>
      </c>
      <c r="E6129" s="7">
        <v>34409</v>
      </c>
    </row>
    <row r="6130" spans="1:5" x14ac:dyDescent="0.25">
      <c r="A6130" s="5" t="s">
        <v>6</v>
      </c>
      <c r="B6130" s="5" t="s">
        <v>16676</v>
      </c>
      <c r="C6130" s="1" t="s">
        <v>16677</v>
      </c>
      <c r="D6130" s="1" t="s">
        <v>16678</v>
      </c>
      <c r="E6130" s="7">
        <v>10457</v>
      </c>
    </row>
    <row r="6131" spans="1:5" x14ac:dyDescent="0.25">
      <c r="A6131" s="5" t="s">
        <v>6</v>
      </c>
      <c r="B6131" s="5" t="s">
        <v>16679</v>
      </c>
      <c r="C6131" s="1" t="s">
        <v>16680</v>
      </c>
      <c r="D6131" s="1" t="s">
        <v>16681</v>
      </c>
      <c r="E6131" s="7">
        <v>6736</v>
      </c>
    </row>
    <row r="6132" spans="1:5" x14ac:dyDescent="0.25">
      <c r="A6132" s="5" t="s">
        <v>6</v>
      </c>
      <c r="B6132" s="5" t="s">
        <v>16682</v>
      </c>
      <c r="C6132" s="1" t="s">
        <v>16683</v>
      </c>
      <c r="D6132" s="1" t="s">
        <v>16684</v>
      </c>
      <c r="E6132" s="7">
        <v>1699</v>
      </c>
    </row>
    <row r="6133" spans="1:5" x14ac:dyDescent="0.25">
      <c r="A6133" s="5" t="s">
        <v>6</v>
      </c>
      <c r="B6133" s="5" t="s">
        <v>16685</v>
      </c>
      <c r="C6133" s="1" t="s">
        <v>16686</v>
      </c>
      <c r="D6133" s="1" t="s">
        <v>16687</v>
      </c>
      <c r="E6133" s="7">
        <v>2607</v>
      </c>
    </row>
    <row r="6134" spans="1:5" x14ac:dyDescent="0.25">
      <c r="A6134" s="5" t="s">
        <v>6</v>
      </c>
      <c r="B6134" s="5" t="s">
        <v>16688</v>
      </c>
      <c r="C6134" s="1" t="s">
        <v>16689</v>
      </c>
      <c r="D6134" s="1" t="s">
        <v>16690</v>
      </c>
      <c r="E6134" s="7">
        <v>6503</v>
      </c>
    </row>
    <row r="6135" spans="1:5" x14ac:dyDescent="0.25">
      <c r="A6135" s="5" t="s">
        <v>6</v>
      </c>
      <c r="B6135" s="5" t="s">
        <v>16691</v>
      </c>
      <c r="C6135" s="1" t="s">
        <v>16692</v>
      </c>
      <c r="D6135" s="1" t="s">
        <v>16693</v>
      </c>
      <c r="E6135" s="7">
        <v>32634</v>
      </c>
    </row>
    <row r="6136" spans="1:5" x14ac:dyDescent="0.25">
      <c r="A6136" s="5" t="s">
        <v>6</v>
      </c>
      <c r="B6136" s="5" t="s">
        <v>16694</v>
      </c>
      <c r="C6136" s="1" t="s">
        <v>16695</v>
      </c>
      <c r="D6136" s="1" t="s">
        <v>16696</v>
      </c>
      <c r="E6136" s="7">
        <v>12239</v>
      </c>
    </row>
    <row r="6137" spans="1:5" x14ac:dyDescent="0.25">
      <c r="A6137" s="5" t="s">
        <v>6</v>
      </c>
      <c r="B6137" s="5" t="s">
        <v>16697</v>
      </c>
      <c r="C6137" s="1" t="s">
        <v>16698</v>
      </c>
      <c r="D6137" s="1" t="s">
        <v>16699</v>
      </c>
      <c r="E6137" s="7">
        <v>297</v>
      </c>
    </row>
    <row r="6138" spans="1:5" x14ac:dyDescent="0.25">
      <c r="A6138" s="5" t="s">
        <v>6</v>
      </c>
      <c r="B6138" s="5" t="s">
        <v>16700</v>
      </c>
      <c r="C6138" s="1" t="s">
        <v>16701</v>
      </c>
      <c r="D6138" s="1" t="s">
        <v>16702</v>
      </c>
      <c r="E6138" s="7">
        <v>1336</v>
      </c>
    </row>
    <row r="6139" spans="1:5" x14ac:dyDescent="0.25">
      <c r="A6139" s="5" t="s">
        <v>6</v>
      </c>
      <c r="B6139" s="5" t="s">
        <v>16703</v>
      </c>
      <c r="C6139" s="1" t="s">
        <v>16704</v>
      </c>
      <c r="D6139" s="1" t="s">
        <v>16705</v>
      </c>
      <c r="E6139" s="7">
        <v>1110</v>
      </c>
    </row>
    <row r="6140" spans="1:5" x14ac:dyDescent="0.25">
      <c r="A6140" s="5" t="s">
        <v>6</v>
      </c>
      <c r="B6140" s="5" t="s">
        <v>16706</v>
      </c>
      <c r="C6140" s="1" t="s">
        <v>16707</v>
      </c>
      <c r="D6140" s="1" t="s">
        <v>16708</v>
      </c>
      <c r="E6140" s="7">
        <v>8216</v>
      </c>
    </row>
    <row r="6141" spans="1:5" x14ac:dyDescent="0.25">
      <c r="A6141" s="5" t="s">
        <v>6</v>
      </c>
      <c r="B6141" s="5" t="s">
        <v>16709</v>
      </c>
      <c r="C6141" s="1" t="s">
        <v>16710</v>
      </c>
      <c r="D6141" s="1" t="s">
        <v>16711</v>
      </c>
      <c r="E6141" s="7">
        <v>1475</v>
      </c>
    </row>
    <row r="6142" spans="1:5" x14ac:dyDescent="0.25">
      <c r="A6142" s="5" t="s">
        <v>6</v>
      </c>
      <c r="B6142" s="5" t="s">
        <v>16712</v>
      </c>
      <c r="C6142" s="1" t="s">
        <v>16713</v>
      </c>
      <c r="D6142" s="1" t="s">
        <v>16714</v>
      </c>
      <c r="E6142" s="7">
        <v>9195</v>
      </c>
    </row>
    <row r="6143" spans="1:5" x14ac:dyDescent="0.25">
      <c r="A6143" s="5" t="s">
        <v>6</v>
      </c>
      <c r="B6143" s="5" t="s">
        <v>16715</v>
      </c>
      <c r="C6143" s="1" t="s">
        <v>16716</v>
      </c>
      <c r="D6143" s="1" t="s">
        <v>16717</v>
      </c>
      <c r="E6143" s="7">
        <v>2083.65</v>
      </c>
    </row>
    <row r="6144" spans="1:5" x14ac:dyDescent="0.25">
      <c r="A6144" s="5" t="s">
        <v>6</v>
      </c>
      <c r="B6144" s="5" t="s">
        <v>16718</v>
      </c>
      <c r="C6144" s="1" t="s">
        <v>16719</v>
      </c>
      <c r="D6144" s="1" t="s">
        <v>16720</v>
      </c>
      <c r="E6144" s="7">
        <v>1496</v>
      </c>
    </row>
    <row r="6145" spans="1:5" x14ac:dyDescent="0.25">
      <c r="A6145" s="5" t="s">
        <v>6</v>
      </c>
      <c r="B6145" s="5" t="s">
        <v>16721</v>
      </c>
      <c r="C6145" s="1" t="s">
        <v>16722</v>
      </c>
      <c r="D6145" s="1" t="s">
        <v>16723</v>
      </c>
      <c r="E6145" s="7">
        <v>818</v>
      </c>
    </row>
    <row r="6146" spans="1:5" x14ac:dyDescent="0.25">
      <c r="A6146" s="5" t="s">
        <v>6</v>
      </c>
      <c r="B6146" s="5" t="s">
        <v>16724</v>
      </c>
      <c r="C6146" s="1" t="s">
        <v>16725</v>
      </c>
      <c r="D6146" s="1" t="s">
        <v>16726</v>
      </c>
      <c r="E6146" s="7">
        <v>1126</v>
      </c>
    </row>
    <row r="6147" spans="1:5" x14ac:dyDescent="0.25">
      <c r="A6147" s="5" t="s">
        <v>6</v>
      </c>
      <c r="B6147" s="5" t="s">
        <v>16727</v>
      </c>
      <c r="C6147" s="1" t="s">
        <v>16728</v>
      </c>
      <c r="D6147" s="1" t="s">
        <v>16729</v>
      </c>
      <c r="E6147" s="7">
        <v>5506</v>
      </c>
    </row>
    <row r="6148" spans="1:5" x14ac:dyDescent="0.25">
      <c r="A6148" s="5" t="s">
        <v>6</v>
      </c>
      <c r="B6148" s="5" t="s">
        <v>16730</v>
      </c>
      <c r="C6148" s="1" t="s">
        <v>16731</v>
      </c>
      <c r="D6148" s="1" t="s">
        <v>16732</v>
      </c>
      <c r="E6148" s="7">
        <v>2453</v>
      </c>
    </row>
    <row r="6149" spans="1:5" x14ac:dyDescent="0.25">
      <c r="A6149" s="5" t="s">
        <v>6</v>
      </c>
      <c r="B6149" s="5" t="s">
        <v>16733</v>
      </c>
      <c r="C6149" s="1" t="s">
        <v>16734</v>
      </c>
      <c r="D6149" s="1" t="s">
        <v>16735</v>
      </c>
      <c r="E6149" s="7">
        <v>1334</v>
      </c>
    </row>
    <row r="6150" spans="1:5" x14ac:dyDescent="0.25">
      <c r="A6150" s="5" t="s">
        <v>6</v>
      </c>
      <c r="B6150" s="5" t="s">
        <v>16736</v>
      </c>
      <c r="C6150" s="1" t="s">
        <v>16737</v>
      </c>
      <c r="D6150" s="1" t="s">
        <v>16738</v>
      </c>
      <c r="E6150" s="7">
        <v>1597</v>
      </c>
    </row>
    <row r="6151" spans="1:5" x14ac:dyDescent="0.25">
      <c r="A6151" s="5" t="s">
        <v>6</v>
      </c>
      <c r="B6151" s="5" t="s">
        <v>16739</v>
      </c>
      <c r="C6151" s="1" t="s">
        <v>16740</v>
      </c>
      <c r="D6151" s="1" t="s">
        <v>16741</v>
      </c>
      <c r="E6151" s="7">
        <v>3927</v>
      </c>
    </row>
    <row r="6152" spans="1:5" x14ac:dyDescent="0.25">
      <c r="A6152" s="5" t="s">
        <v>6</v>
      </c>
      <c r="B6152" s="5" t="s">
        <v>16742</v>
      </c>
      <c r="C6152" s="1" t="s">
        <v>16743</v>
      </c>
      <c r="D6152" s="1" t="s">
        <v>16744</v>
      </c>
      <c r="E6152" s="7">
        <v>693</v>
      </c>
    </row>
    <row r="6153" spans="1:5" x14ac:dyDescent="0.25">
      <c r="A6153" s="5" t="s">
        <v>6</v>
      </c>
      <c r="B6153" s="5" t="s">
        <v>16745</v>
      </c>
      <c r="C6153" s="1" t="s">
        <v>16746</v>
      </c>
      <c r="D6153" s="1" t="s">
        <v>16747</v>
      </c>
      <c r="E6153" s="7">
        <v>3654</v>
      </c>
    </row>
    <row r="6154" spans="1:5" x14ac:dyDescent="0.25">
      <c r="A6154" s="5" t="s">
        <v>6</v>
      </c>
      <c r="B6154" s="5" t="s">
        <v>16748</v>
      </c>
      <c r="C6154" s="1" t="s">
        <v>16749</v>
      </c>
      <c r="D6154" s="1" t="s">
        <v>16749</v>
      </c>
      <c r="E6154" s="7">
        <v>941</v>
      </c>
    </row>
    <row r="6155" spans="1:5" x14ac:dyDescent="0.25">
      <c r="A6155" s="5" t="s">
        <v>6</v>
      </c>
      <c r="B6155" s="5" t="s">
        <v>16750</v>
      </c>
      <c r="C6155" s="1" t="s">
        <v>16751</v>
      </c>
      <c r="D6155" s="1" t="s">
        <v>16752</v>
      </c>
      <c r="E6155" s="7">
        <v>3874</v>
      </c>
    </row>
    <row r="6156" spans="1:5" x14ac:dyDescent="0.25">
      <c r="A6156" s="5" t="s">
        <v>6</v>
      </c>
      <c r="B6156" s="5" t="s">
        <v>16753</v>
      </c>
      <c r="C6156" s="1" t="s">
        <v>16754</v>
      </c>
      <c r="D6156" s="1" t="s">
        <v>16755</v>
      </c>
      <c r="E6156" s="7">
        <v>1842</v>
      </c>
    </row>
    <row r="6157" spans="1:5" x14ac:dyDescent="0.25">
      <c r="A6157" s="5" t="s">
        <v>6</v>
      </c>
      <c r="B6157" s="5" t="s">
        <v>16756</v>
      </c>
      <c r="C6157" s="1" t="s">
        <v>16757</v>
      </c>
      <c r="D6157" s="1" t="s">
        <v>16758</v>
      </c>
      <c r="E6157" s="7">
        <v>1094</v>
      </c>
    </row>
    <row r="6158" spans="1:5" x14ac:dyDescent="0.25">
      <c r="A6158" s="5" t="s">
        <v>6</v>
      </c>
      <c r="B6158" s="5" t="s">
        <v>16759</v>
      </c>
      <c r="C6158" s="1" t="s">
        <v>16760</v>
      </c>
      <c r="D6158" s="1" t="s">
        <v>16760</v>
      </c>
      <c r="E6158" s="7">
        <v>1322</v>
      </c>
    </row>
    <row r="6159" spans="1:5" x14ac:dyDescent="0.25">
      <c r="A6159" s="5" t="s">
        <v>6</v>
      </c>
      <c r="B6159" s="5" t="s">
        <v>16761</v>
      </c>
      <c r="C6159" s="1" t="s">
        <v>16762</v>
      </c>
      <c r="D6159" s="1" t="s">
        <v>16763</v>
      </c>
      <c r="E6159" s="7">
        <v>1904</v>
      </c>
    </row>
    <row r="6160" spans="1:5" x14ac:dyDescent="0.25">
      <c r="A6160" s="5" t="s">
        <v>6</v>
      </c>
      <c r="B6160" s="5" t="s">
        <v>16764</v>
      </c>
      <c r="C6160" s="1" t="s">
        <v>16765</v>
      </c>
      <c r="D6160" s="1" t="s">
        <v>16766</v>
      </c>
      <c r="E6160" s="7">
        <v>2310</v>
      </c>
    </row>
    <row r="6161" spans="1:5" x14ac:dyDescent="0.25">
      <c r="A6161" s="5" t="s">
        <v>6</v>
      </c>
      <c r="B6161" s="5" t="s">
        <v>16767</v>
      </c>
      <c r="C6161" s="1" t="s">
        <v>16768</v>
      </c>
      <c r="D6161" s="1" t="s">
        <v>16769</v>
      </c>
      <c r="E6161" s="7">
        <v>106419</v>
      </c>
    </row>
    <row r="6162" spans="1:5" x14ac:dyDescent="0.25">
      <c r="A6162" s="5" t="s">
        <v>6</v>
      </c>
      <c r="B6162" s="5" t="s">
        <v>16770</v>
      </c>
      <c r="C6162" s="1" t="s">
        <v>16771</v>
      </c>
      <c r="D6162" s="1" t="s">
        <v>16772</v>
      </c>
      <c r="E6162" s="7">
        <v>97002</v>
      </c>
    </row>
    <row r="6163" spans="1:5" x14ac:dyDescent="0.25">
      <c r="A6163" s="5" t="s">
        <v>6</v>
      </c>
      <c r="B6163" s="5" t="s">
        <v>16773</v>
      </c>
      <c r="C6163" s="1" t="s">
        <v>16774</v>
      </c>
      <c r="D6163" s="1" t="s">
        <v>16772</v>
      </c>
      <c r="E6163" s="7">
        <v>50816</v>
      </c>
    </row>
    <row r="6164" spans="1:5" x14ac:dyDescent="0.25">
      <c r="A6164" s="5" t="s">
        <v>6</v>
      </c>
      <c r="B6164" s="5" t="s">
        <v>16775</v>
      </c>
      <c r="C6164" s="1" t="s">
        <v>16776</v>
      </c>
      <c r="D6164" s="1" t="s">
        <v>16777</v>
      </c>
      <c r="E6164" s="7">
        <v>17114</v>
      </c>
    </row>
    <row r="6165" spans="1:5" x14ac:dyDescent="0.25">
      <c r="A6165" s="5" t="s">
        <v>6</v>
      </c>
      <c r="B6165" s="5" t="s">
        <v>16778</v>
      </c>
      <c r="C6165" s="1" t="s">
        <v>16779</v>
      </c>
      <c r="D6165" s="1" t="s">
        <v>16780</v>
      </c>
      <c r="E6165" s="7">
        <v>53254</v>
      </c>
    </row>
    <row r="6166" spans="1:5" x14ac:dyDescent="0.25">
      <c r="A6166" s="5" t="s">
        <v>6</v>
      </c>
      <c r="B6166" s="5" t="s">
        <v>16781</v>
      </c>
      <c r="C6166" s="1" t="s">
        <v>16782</v>
      </c>
      <c r="D6166" s="1" t="s">
        <v>16783</v>
      </c>
      <c r="E6166" s="7">
        <v>1651</v>
      </c>
    </row>
    <row r="6167" spans="1:5" x14ac:dyDescent="0.25">
      <c r="A6167" s="5" t="s">
        <v>6</v>
      </c>
      <c r="B6167" s="5" t="s">
        <v>16784</v>
      </c>
      <c r="C6167" s="1" t="s">
        <v>16785</v>
      </c>
      <c r="D6167" s="1" t="s">
        <v>2522</v>
      </c>
      <c r="E6167" s="7">
        <v>302</v>
      </c>
    </row>
    <row r="6168" spans="1:5" x14ac:dyDescent="0.25">
      <c r="A6168" s="5" t="s">
        <v>6</v>
      </c>
      <c r="B6168" s="5" t="s">
        <v>16786</v>
      </c>
      <c r="C6168" s="1" t="s">
        <v>16787</v>
      </c>
      <c r="D6168" s="1" t="s">
        <v>2522</v>
      </c>
      <c r="E6168" s="7">
        <v>131.6</v>
      </c>
    </row>
    <row r="6169" spans="1:5" x14ac:dyDescent="0.25">
      <c r="A6169" s="5" t="s">
        <v>6</v>
      </c>
      <c r="B6169" s="5" t="s">
        <v>16788</v>
      </c>
      <c r="C6169" s="1" t="s">
        <v>16789</v>
      </c>
      <c r="D6169" s="1" t="s">
        <v>2522</v>
      </c>
      <c r="E6169" s="7">
        <v>168</v>
      </c>
    </row>
    <row r="6170" spans="1:5" x14ac:dyDescent="0.25">
      <c r="A6170" s="5" t="s">
        <v>6</v>
      </c>
      <c r="B6170" s="5" t="s">
        <v>16790</v>
      </c>
      <c r="C6170" s="1" t="s">
        <v>16791</v>
      </c>
      <c r="D6170" s="1" t="s">
        <v>16792</v>
      </c>
      <c r="E6170" s="7">
        <v>2971</v>
      </c>
    </row>
    <row r="6171" spans="1:5" x14ac:dyDescent="0.25">
      <c r="A6171" s="5" t="s">
        <v>6</v>
      </c>
      <c r="B6171" s="5" t="s">
        <v>16793</v>
      </c>
      <c r="C6171" s="1" t="s">
        <v>16794</v>
      </c>
      <c r="D6171" s="1" t="s">
        <v>2163</v>
      </c>
      <c r="E6171" s="7">
        <v>15209</v>
      </c>
    </row>
    <row r="6172" spans="1:5" x14ac:dyDescent="0.25">
      <c r="A6172" s="5" t="s">
        <v>6</v>
      </c>
      <c r="B6172" s="5" t="s">
        <v>16795</v>
      </c>
      <c r="C6172" s="1" t="s">
        <v>16796</v>
      </c>
      <c r="D6172" s="1" t="s">
        <v>16797</v>
      </c>
      <c r="E6172" s="7">
        <v>8048</v>
      </c>
    </row>
    <row r="6173" spans="1:5" x14ac:dyDescent="0.25">
      <c r="A6173" s="5" t="s">
        <v>6</v>
      </c>
      <c r="B6173" s="5" t="s">
        <v>16798</v>
      </c>
      <c r="C6173" s="1" t="s">
        <v>16799</v>
      </c>
      <c r="D6173" s="1" t="s">
        <v>16800</v>
      </c>
      <c r="E6173" s="7">
        <v>36795</v>
      </c>
    </row>
    <row r="6174" spans="1:5" x14ac:dyDescent="0.25">
      <c r="A6174" s="5" t="s">
        <v>6</v>
      </c>
      <c r="B6174" s="5" t="s">
        <v>16801</v>
      </c>
      <c r="C6174" s="1" t="s">
        <v>16802</v>
      </c>
      <c r="D6174" s="1" t="s">
        <v>1220</v>
      </c>
      <c r="E6174" s="7">
        <v>30426</v>
      </c>
    </row>
    <row r="6175" spans="1:5" x14ac:dyDescent="0.25">
      <c r="A6175" s="5" t="s">
        <v>6</v>
      </c>
      <c r="B6175" s="5" t="s">
        <v>16803</v>
      </c>
      <c r="C6175" s="1" t="s">
        <v>16804</v>
      </c>
      <c r="D6175" s="1" t="s">
        <v>1209</v>
      </c>
      <c r="E6175" s="7">
        <v>27812</v>
      </c>
    </row>
    <row r="6176" spans="1:5" x14ac:dyDescent="0.25">
      <c r="A6176" s="5" t="s">
        <v>6</v>
      </c>
      <c r="B6176" s="5" t="s">
        <v>16805</v>
      </c>
      <c r="C6176" s="1" t="s">
        <v>16806</v>
      </c>
      <c r="D6176" s="1" t="s">
        <v>16807</v>
      </c>
      <c r="E6176" s="7">
        <v>10883</v>
      </c>
    </row>
    <row r="6177" spans="1:5" x14ac:dyDescent="0.25">
      <c r="A6177" s="5" t="s">
        <v>6</v>
      </c>
      <c r="B6177" s="5" t="s">
        <v>16808</v>
      </c>
      <c r="C6177" s="1" t="s">
        <v>16809</v>
      </c>
      <c r="D6177" s="1" t="s">
        <v>16810</v>
      </c>
      <c r="E6177" s="7">
        <v>17339</v>
      </c>
    </row>
    <row r="6178" spans="1:5" x14ac:dyDescent="0.25">
      <c r="A6178" s="5" t="s">
        <v>6</v>
      </c>
      <c r="B6178" s="5" t="s">
        <v>16811</v>
      </c>
      <c r="C6178" s="1" t="s">
        <v>16812</v>
      </c>
      <c r="D6178" s="1" t="s">
        <v>1286</v>
      </c>
      <c r="E6178" s="7">
        <v>6330</v>
      </c>
    </row>
    <row r="6179" spans="1:5" x14ac:dyDescent="0.25">
      <c r="A6179" s="5" t="s">
        <v>6</v>
      </c>
      <c r="B6179" s="5" t="s">
        <v>16813</v>
      </c>
      <c r="C6179" s="1" t="s">
        <v>16814</v>
      </c>
      <c r="D6179" s="1" t="s">
        <v>16815</v>
      </c>
      <c r="E6179" s="7">
        <v>13784</v>
      </c>
    </row>
    <row r="6180" spans="1:5" x14ac:dyDescent="0.25">
      <c r="A6180" s="5" t="s">
        <v>6</v>
      </c>
      <c r="B6180" s="5" t="s">
        <v>16816</v>
      </c>
      <c r="C6180" s="1" t="s">
        <v>16817</v>
      </c>
      <c r="D6180" s="1" t="s">
        <v>16815</v>
      </c>
      <c r="E6180" s="7">
        <v>9909</v>
      </c>
    </row>
    <row r="6181" spans="1:5" x14ac:dyDescent="0.25">
      <c r="A6181" s="5" t="s">
        <v>6</v>
      </c>
      <c r="B6181" s="5" t="s">
        <v>16818</v>
      </c>
      <c r="C6181" s="1" t="s">
        <v>16819</v>
      </c>
      <c r="D6181" s="1" t="s">
        <v>16819</v>
      </c>
      <c r="E6181" s="7">
        <v>4072</v>
      </c>
    </row>
    <row r="6182" spans="1:5" x14ac:dyDescent="0.25">
      <c r="A6182" s="5" t="s">
        <v>6</v>
      </c>
      <c r="B6182" s="5" t="s">
        <v>16820</v>
      </c>
      <c r="C6182" s="1" t="s">
        <v>16821</v>
      </c>
      <c r="D6182" s="1" t="s">
        <v>16819</v>
      </c>
      <c r="E6182" s="7">
        <v>3720</v>
      </c>
    </row>
    <row r="6183" spans="1:5" x14ac:dyDescent="0.25">
      <c r="A6183" s="5" t="s">
        <v>6</v>
      </c>
      <c r="B6183" s="5" t="s">
        <v>16822</v>
      </c>
      <c r="C6183" s="1" t="s">
        <v>16823</v>
      </c>
      <c r="D6183" s="1" t="s">
        <v>16824</v>
      </c>
      <c r="E6183" s="7">
        <v>8078</v>
      </c>
    </row>
    <row r="6184" spans="1:5" x14ac:dyDescent="0.25">
      <c r="A6184" s="5" t="s">
        <v>6</v>
      </c>
      <c r="B6184" s="5" t="s">
        <v>16825</v>
      </c>
      <c r="C6184" s="1" t="s">
        <v>16826</v>
      </c>
      <c r="D6184" s="1" t="s">
        <v>16824</v>
      </c>
      <c r="E6184" s="7">
        <v>4072</v>
      </c>
    </row>
    <row r="6185" spans="1:5" x14ac:dyDescent="0.25">
      <c r="A6185" s="5" t="s">
        <v>6</v>
      </c>
      <c r="B6185" s="5" t="s">
        <v>16827</v>
      </c>
      <c r="C6185" s="1" t="s">
        <v>16828</v>
      </c>
      <c r="D6185" s="1" t="s">
        <v>16829</v>
      </c>
      <c r="E6185" s="7">
        <v>4133</v>
      </c>
    </row>
    <row r="6186" spans="1:5" x14ac:dyDescent="0.25">
      <c r="A6186" s="5" t="s">
        <v>6</v>
      </c>
      <c r="B6186" s="5" t="s">
        <v>16830</v>
      </c>
      <c r="C6186" s="1" t="s">
        <v>16831</v>
      </c>
      <c r="D6186" s="1" t="s">
        <v>16832</v>
      </c>
      <c r="E6186" s="7">
        <v>5826</v>
      </c>
    </row>
    <row r="6187" spans="1:5" x14ac:dyDescent="0.25">
      <c r="A6187" s="5" t="s">
        <v>6</v>
      </c>
      <c r="B6187" s="5" t="s">
        <v>16833</v>
      </c>
      <c r="C6187" s="1" t="s">
        <v>16834</v>
      </c>
      <c r="D6187" s="1" t="s">
        <v>16832</v>
      </c>
      <c r="E6187" s="7">
        <v>5826</v>
      </c>
    </row>
    <row r="6188" spans="1:5" x14ac:dyDescent="0.25">
      <c r="A6188" s="5" t="s">
        <v>6</v>
      </c>
      <c r="B6188" s="5" t="s">
        <v>16835</v>
      </c>
      <c r="C6188" s="1" t="s">
        <v>16836</v>
      </c>
      <c r="D6188" s="1" t="s">
        <v>16837</v>
      </c>
      <c r="E6188" s="7">
        <v>6332</v>
      </c>
    </row>
    <row r="6189" spans="1:5" x14ac:dyDescent="0.25">
      <c r="A6189" s="5" t="s">
        <v>6</v>
      </c>
      <c r="B6189" s="5" t="s">
        <v>16838</v>
      </c>
      <c r="C6189" s="1" t="s">
        <v>16839</v>
      </c>
      <c r="D6189" s="1" t="s">
        <v>16840</v>
      </c>
      <c r="E6189" s="7">
        <v>3807</v>
      </c>
    </row>
    <row r="6190" spans="1:5" x14ac:dyDescent="0.25">
      <c r="A6190" s="5" t="s">
        <v>6</v>
      </c>
      <c r="B6190" s="5" t="s">
        <v>16841</v>
      </c>
      <c r="C6190" s="1" t="s">
        <v>16842</v>
      </c>
      <c r="D6190" s="1" t="s">
        <v>16843</v>
      </c>
      <c r="E6190" s="7">
        <v>4587</v>
      </c>
    </row>
    <row r="6191" spans="1:5" x14ac:dyDescent="0.25">
      <c r="A6191" s="5" t="s">
        <v>6</v>
      </c>
      <c r="B6191" s="5" t="s">
        <v>16844</v>
      </c>
      <c r="C6191" s="1" t="s">
        <v>16845</v>
      </c>
      <c r="D6191" s="1" t="s">
        <v>16846</v>
      </c>
      <c r="E6191" s="7">
        <v>5509</v>
      </c>
    </row>
    <row r="6192" spans="1:5" x14ac:dyDescent="0.25">
      <c r="A6192" s="5" t="s">
        <v>6</v>
      </c>
      <c r="B6192" s="5" t="s">
        <v>16847</v>
      </c>
      <c r="C6192" s="1" t="s">
        <v>16848</v>
      </c>
      <c r="D6192" s="1" t="s">
        <v>16849</v>
      </c>
      <c r="E6192" s="7">
        <v>4130</v>
      </c>
    </row>
    <row r="6193" spans="1:5" x14ac:dyDescent="0.25">
      <c r="A6193" s="5" t="s">
        <v>6</v>
      </c>
      <c r="B6193" s="5" t="s">
        <v>16850</v>
      </c>
      <c r="C6193" s="1" t="s">
        <v>16851</v>
      </c>
      <c r="D6193" s="1" t="s">
        <v>16852</v>
      </c>
      <c r="E6193" s="7">
        <v>5509</v>
      </c>
    </row>
    <row r="6194" spans="1:5" x14ac:dyDescent="0.25">
      <c r="A6194" s="5" t="s">
        <v>6</v>
      </c>
      <c r="B6194" s="5" t="s">
        <v>16853</v>
      </c>
      <c r="C6194" s="1" t="s">
        <v>16854</v>
      </c>
      <c r="D6194" s="1" t="s">
        <v>16855</v>
      </c>
      <c r="E6194" s="7">
        <v>4587</v>
      </c>
    </row>
    <row r="6195" spans="1:5" x14ac:dyDescent="0.25">
      <c r="A6195" s="5" t="s">
        <v>6</v>
      </c>
      <c r="B6195" s="5" t="s">
        <v>16856</v>
      </c>
      <c r="C6195" s="1" t="s">
        <v>16857</v>
      </c>
      <c r="D6195" s="1" t="s">
        <v>16858</v>
      </c>
      <c r="E6195" s="7">
        <v>5458</v>
      </c>
    </row>
    <row r="6196" spans="1:5" x14ac:dyDescent="0.25">
      <c r="A6196" s="5" t="s">
        <v>6</v>
      </c>
      <c r="B6196" s="5" t="s">
        <v>16859</v>
      </c>
      <c r="C6196" s="1" t="s">
        <v>16860</v>
      </c>
      <c r="D6196" s="1" t="s">
        <v>16837</v>
      </c>
      <c r="E6196" s="7">
        <v>8070</v>
      </c>
    </row>
    <row r="6197" spans="1:5" x14ac:dyDescent="0.25">
      <c r="A6197" s="5" t="s">
        <v>6</v>
      </c>
      <c r="B6197" s="5" t="s">
        <v>16861</v>
      </c>
      <c r="C6197" s="1" t="s">
        <v>16862</v>
      </c>
      <c r="D6197" s="1" t="s">
        <v>16837</v>
      </c>
      <c r="E6197" s="7">
        <v>6887</v>
      </c>
    </row>
    <row r="6198" spans="1:5" x14ac:dyDescent="0.25">
      <c r="A6198" s="5" t="s">
        <v>6</v>
      </c>
      <c r="B6198" s="5" t="s">
        <v>16863</v>
      </c>
      <c r="C6198" s="1" t="s">
        <v>16864</v>
      </c>
      <c r="D6198" s="1" t="s">
        <v>16865</v>
      </c>
      <c r="E6198" s="7">
        <v>8732</v>
      </c>
    </row>
    <row r="6199" spans="1:5" x14ac:dyDescent="0.25">
      <c r="A6199" s="5" t="s">
        <v>6</v>
      </c>
      <c r="B6199" s="5" t="s">
        <v>16866</v>
      </c>
      <c r="C6199" s="1" t="s">
        <v>16867</v>
      </c>
      <c r="D6199" s="1" t="s">
        <v>16868</v>
      </c>
      <c r="E6199" s="7">
        <v>1803</v>
      </c>
    </row>
    <row r="6200" spans="1:5" x14ac:dyDescent="0.25">
      <c r="A6200" s="5" t="s">
        <v>6</v>
      </c>
      <c r="B6200" s="5" t="s">
        <v>16869</v>
      </c>
      <c r="C6200" s="1" t="s">
        <v>16870</v>
      </c>
      <c r="D6200" s="1" t="s">
        <v>16868</v>
      </c>
      <c r="E6200" s="7">
        <v>1932</v>
      </c>
    </row>
    <row r="6201" spans="1:5" x14ac:dyDescent="0.25">
      <c r="A6201" s="5" t="s">
        <v>6</v>
      </c>
      <c r="B6201" s="5" t="s">
        <v>16871</v>
      </c>
      <c r="C6201" s="1" t="s">
        <v>16872</v>
      </c>
      <c r="D6201" s="1" t="s">
        <v>16873</v>
      </c>
      <c r="E6201" s="7">
        <v>1842</v>
      </c>
    </row>
    <row r="6202" spans="1:5" x14ac:dyDescent="0.25">
      <c r="A6202" s="5" t="s">
        <v>6</v>
      </c>
      <c r="B6202" s="5" t="s">
        <v>16874</v>
      </c>
      <c r="C6202" s="1" t="s">
        <v>16875</v>
      </c>
      <c r="D6202" s="1" t="s">
        <v>16876</v>
      </c>
      <c r="E6202" s="7">
        <v>3079</v>
      </c>
    </row>
    <row r="6203" spans="1:5" x14ac:dyDescent="0.25">
      <c r="A6203" s="5" t="s">
        <v>6</v>
      </c>
      <c r="B6203" s="5" t="s">
        <v>16877</v>
      </c>
      <c r="C6203" s="1" t="s">
        <v>16878</v>
      </c>
      <c r="D6203" s="1" t="s">
        <v>16879</v>
      </c>
      <c r="E6203" s="7">
        <v>4123</v>
      </c>
    </row>
    <row r="6204" spans="1:5" x14ac:dyDescent="0.25">
      <c r="A6204" s="5" t="s">
        <v>6</v>
      </c>
      <c r="B6204" s="5" t="s">
        <v>16880</v>
      </c>
      <c r="C6204" s="1" t="s">
        <v>16881</v>
      </c>
      <c r="D6204" s="1" t="s">
        <v>16882</v>
      </c>
      <c r="E6204" s="7">
        <v>6818</v>
      </c>
    </row>
    <row r="6205" spans="1:5" x14ac:dyDescent="0.25">
      <c r="A6205" s="5" t="s">
        <v>6</v>
      </c>
      <c r="B6205" s="5" t="s">
        <v>16883</v>
      </c>
      <c r="C6205" s="1" t="s">
        <v>16884</v>
      </c>
      <c r="D6205" s="1" t="s">
        <v>16885</v>
      </c>
      <c r="E6205" s="7">
        <v>2269</v>
      </c>
    </row>
    <row r="6206" spans="1:5" x14ac:dyDescent="0.25">
      <c r="A6206" s="5" t="s">
        <v>6</v>
      </c>
      <c r="B6206" s="5" t="s">
        <v>16886</v>
      </c>
      <c r="C6206" s="1" t="s">
        <v>16887</v>
      </c>
      <c r="D6206" s="1" t="s">
        <v>16888</v>
      </c>
      <c r="E6206" s="7">
        <v>4202</v>
      </c>
    </row>
    <row r="6207" spans="1:5" x14ac:dyDescent="0.25">
      <c r="A6207" s="5" t="s">
        <v>6</v>
      </c>
      <c r="B6207" s="5" t="s">
        <v>16889</v>
      </c>
      <c r="C6207" s="1" t="s">
        <v>16890</v>
      </c>
      <c r="D6207" s="1" t="s">
        <v>16891</v>
      </c>
      <c r="E6207" s="7">
        <v>6353</v>
      </c>
    </row>
    <row r="6208" spans="1:5" x14ac:dyDescent="0.25">
      <c r="A6208" s="5" t="s">
        <v>6</v>
      </c>
      <c r="B6208" s="5" t="s">
        <v>16892</v>
      </c>
      <c r="C6208" s="1" t="s">
        <v>16893</v>
      </c>
      <c r="D6208" s="1" t="s">
        <v>16894</v>
      </c>
      <c r="E6208" s="7">
        <v>8823</v>
      </c>
    </row>
    <row r="6209" spans="1:5" x14ac:dyDescent="0.25">
      <c r="A6209" s="5" t="s">
        <v>6</v>
      </c>
      <c r="B6209" s="5" t="s">
        <v>16895</v>
      </c>
      <c r="C6209" s="1" t="s">
        <v>16896</v>
      </c>
      <c r="D6209" s="1" t="s">
        <v>16897</v>
      </c>
      <c r="E6209" s="7">
        <v>5350</v>
      </c>
    </row>
    <row r="6210" spans="1:5" x14ac:dyDescent="0.25">
      <c r="A6210" s="5" t="s">
        <v>6</v>
      </c>
      <c r="B6210" s="5" t="s">
        <v>16898</v>
      </c>
      <c r="C6210" s="1" t="s">
        <v>16899</v>
      </c>
      <c r="D6210" s="1" t="s">
        <v>16900</v>
      </c>
      <c r="E6210" s="7">
        <v>1134</v>
      </c>
    </row>
    <row r="6211" spans="1:5" x14ac:dyDescent="0.25">
      <c r="A6211" s="5" t="s">
        <v>6</v>
      </c>
      <c r="B6211" s="5" t="s">
        <v>16901</v>
      </c>
      <c r="C6211" s="1" t="s">
        <v>16902</v>
      </c>
      <c r="D6211" s="1" t="s">
        <v>16903</v>
      </c>
      <c r="E6211" s="7">
        <v>67</v>
      </c>
    </row>
    <row r="6212" spans="1:5" x14ac:dyDescent="0.25">
      <c r="A6212" s="5" t="s">
        <v>6</v>
      </c>
      <c r="B6212" s="5" t="s">
        <v>16904</v>
      </c>
      <c r="C6212" s="1" t="s">
        <v>16905</v>
      </c>
      <c r="D6212" s="1" t="s">
        <v>16903</v>
      </c>
      <c r="E6212" s="7">
        <v>67</v>
      </c>
    </row>
    <row r="6213" spans="1:5" x14ac:dyDescent="0.25">
      <c r="A6213" s="5" t="s">
        <v>6</v>
      </c>
      <c r="B6213" s="5" t="s">
        <v>16906</v>
      </c>
      <c r="C6213" s="1" t="s">
        <v>16907</v>
      </c>
      <c r="D6213" s="1" t="s">
        <v>16908</v>
      </c>
      <c r="E6213" s="7">
        <v>0.01</v>
      </c>
    </row>
    <row r="6214" spans="1:5" x14ac:dyDescent="0.25">
      <c r="A6214" s="5" t="s">
        <v>6</v>
      </c>
      <c r="B6214" s="5" t="s">
        <v>16909</v>
      </c>
      <c r="C6214" s="1" t="s">
        <v>16910</v>
      </c>
      <c r="D6214" s="1" t="s">
        <v>16911</v>
      </c>
      <c r="E6214" s="7">
        <v>6382</v>
      </c>
    </row>
    <row r="6215" spans="1:5" x14ac:dyDescent="0.25">
      <c r="A6215" s="5" t="s">
        <v>6</v>
      </c>
      <c r="B6215" s="5" t="s">
        <v>16912</v>
      </c>
      <c r="C6215" s="1" t="s">
        <v>16913</v>
      </c>
      <c r="D6215" s="1" t="s">
        <v>16914</v>
      </c>
      <c r="E6215" s="7">
        <v>1482</v>
      </c>
    </row>
    <row r="6216" spans="1:5" x14ac:dyDescent="0.25">
      <c r="A6216" s="5" t="s">
        <v>6</v>
      </c>
      <c r="B6216" s="5" t="s">
        <v>16915</v>
      </c>
      <c r="C6216" s="1" t="s">
        <v>16916</v>
      </c>
      <c r="D6216" s="1" t="s">
        <v>16917</v>
      </c>
      <c r="E6216" s="7">
        <v>1554</v>
      </c>
    </row>
    <row r="6217" spans="1:5" x14ac:dyDescent="0.25">
      <c r="A6217" s="5" t="s">
        <v>6</v>
      </c>
      <c r="B6217" s="5" t="s">
        <v>16918</v>
      </c>
      <c r="C6217" s="1" t="s">
        <v>16919</v>
      </c>
      <c r="D6217" s="1" t="s">
        <v>16920</v>
      </c>
      <c r="E6217" s="7">
        <v>9920</v>
      </c>
    </row>
    <row r="6218" spans="1:5" x14ac:dyDescent="0.25">
      <c r="A6218" s="5" t="s">
        <v>6</v>
      </c>
      <c r="B6218" s="5" t="s">
        <v>16921</v>
      </c>
      <c r="C6218" s="1" t="s">
        <v>16922</v>
      </c>
      <c r="D6218" s="1" t="s">
        <v>16923</v>
      </c>
      <c r="E6218" s="7">
        <v>10101</v>
      </c>
    </row>
    <row r="6219" spans="1:5" x14ac:dyDescent="0.25">
      <c r="A6219" s="5" t="s">
        <v>6</v>
      </c>
      <c r="B6219" s="5" t="s">
        <v>16924</v>
      </c>
      <c r="C6219" s="1" t="s">
        <v>16925</v>
      </c>
      <c r="D6219" s="1" t="s">
        <v>16926</v>
      </c>
      <c r="E6219" s="7">
        <v>7398</v>
      </c>
    </row>
    <row r="6220" spans="1:5" x14ac:dyDescent="0.25">
      <c r="A6220" s="5" t="s">
        <v>6</v>
      </c>
      <c r="B6220" s="5" t="s">
        <v>16927</v>
      </c>
      <c r="C6220" s="1" t="s">
        <v>16928</v>
      </c>
      <c r="D6220" s="1" t="s">
        <v>16929</v>
      </c>
      <c r="E6220" s="7">
        <v>9027</v>
      </c>
    </row>
    <row r="6221" spans="1:5" x14ac:dyDescent="0.25">
      <c r="A6221" s="5" t="s">
        <v>6</v>
      </c>
      <c r="B6221" s="5" t="s">
        <v>16930</v>
      </c>
      <c r="C6221" s="1" t="s">
        <v>16931</v>
      </c>
      <c r="D6221" s="1" t="s">
        <v>16932</v>
      </c>
      <c r="E6221" s="7">
        <v>1306</v>
      </c>
    </row>
    <row r="6222" spans="1:5" x14ac:dyDescent="0.25">
      <c r="A6222" s="5" t="s">
        <v>6</v>
      </c>
      <c r="B6222" s="5" t="s">
        <v>16933</v>
      </c>
      <c r="C6222" s="1" t="s">
        <v>16934</v>
      </c>
      <c r="D6222" s="1" t="s">
        <v>16935</v>
      </c>
      <c r="E6222" s="7">
        <v>568</v>
      </c>
    </row>
    <row r="6223" spans="1:5" x14ac:dyDescent="0.25">
      <c r="A6223" s="5" t="s">
        <v>6</v>
      </c>
      <c r="B6223" s="5" t="s">
        <v>16936</v>
      </c>
      <c r="C6223" s="1" t="s">
        <v>16937</v>
      </c>
      <c r="D6223" s="1" t="s">
        <v>16938</v>
      </c>
      <c r="E6223" s="7">
        <v>2442</v>
      </c>
    </row>
    <row r="6224" spans="1:5" x14ac:dyDescent="0.25">
      <c r="A6224" s="5" t="s">
        <v>6</v>
      </c>
      <c r="B6224" s="5" t="s">
        <v>16939</v>
      </c>
      <c r="C6224" s="1" t="s">
        <v>16940</v>
      </c>
      <c r="D6224" s="1" t="s">
        <v>16940</v>
      </c>
      <c r="E6224" s="7">
        <v>10925</v>
      </c>
    </row>
    <row r="6225" spans="1:5" x14ac:dyDescent="0.25">
      <c r="A6225" s="5" t="s">
        <v>6</v>
      </c>
      <c r="B6225" s="5" t="s">
        <v>16941</v>
      </c>
      <c r="C6225" s="1" t="s">
        <v>16942</v>
      </c>
      <c r="D6225" s="1" t="s">
        <v>16943</v>
      </c>
      <c r="E6225" s="7">
        <v>2418</v>
      </c>
    </row>
    <row r="6226" spans="1:5" x14ac:dyDescent="0.25">
      <c r="A6226" s="5" t="s">
        <v>6</v>
      </c>
      <c r="B6226" s="5" t="s">
        <v>16944</v>
      </c>
      <c r="C6226" s="1" t="s">
        <v>16945</v>
      </c>
      <c r="D6226" s="1" t="s">
        <v>16946</v>
      </c>
      <c r="E6226" s="7">
        <v>1680</v>
      </c>
    </row>
    <row r="6227" spans="1:5" x14ac:dyDescent="0.25">
      <c r="A6227" s="5" t="s">
        <v>6</v>
      </c>
      <c r="B6227" s="5" t="s">
        <v>16947</v>
      </c>
      <c r="C6227" s="1" t="s">
        <v>16948</v>
      </c>
      <c r="D6227" s="1" t="s">
        <v>16948</v>
      </c>
      <c r="E6227" s="7">
        <v>0.01</v>
      </c>
    </row>
    <row r="6228" spans="1:5" x14ac:dyDescent="0.25">
      <c r="A6228" s="5" t="s">
        <v>6</v>
      </c>
      <c r="B6228" s="5" t="s">
        <v>16949</v>
      </c>
      <c r="C6228" s="1" t="s">
        <v>16950</v>
      </c>
      <c r="D6228" s="1" t="s">
        <v>16951</v>
      </c>
      <c r="E6228" s="7">
        <v>5174</v>
      </c>
    </row>
    <row r="6229" spans="1:5" x14ac:dyDescent="0.25">
      <c r="A6229" s="5" t="s">
        <v>6</v>
      </c>
      <c r="B6229" s="5" t="s">
        <v>16952</v>
      </c>
      <c r="C6229" s="1" t="s">
        <v>16953</v>
      </c>
      <c r="D6229" s="1" t="s">
        <v>16951</v>
      </c>
      <c r="E6229" s="7">
        <v>2149</v>
      </c>
    </row>
    <row r="6230" spans="1:5" x14ac:dyDescent="0.25">
      <c r="A6230" s="5" t="s">
        <v>6</v>
      </c>
      <c r="B6230" s="5" t="s">
        <v>16954</v>
      </c>
      <c r="C6230" s="1" t="s">
        <v>16955</v>
      </c>
      <c r="D6230" s="1" t="s">
        <v>2123</v>
      </c>
      <c r="E6230" s="7">
        <v>0.01</v>
      </c>
    </row>
    <row r="6231" spans="1:5" x14ac:dyDescent="0.25">
      <c r="A6231" s="5" t="s">
        <v>6</v>
      </c>
      <c r="B6231" s="5" t="s">
        <v>16956</v>
      </c>
      <c r="C6231" s="1" t="s">
        <v>16957</v>
      </c>
      <c r="D6231" s="1" t="s">
        <v>16958</v>
      </c>
      <c r="E6231" s="7">
        <v>0.01</v>
      </c>
    </row>
    <row r="6232" spans="1:5" x14ac:dyDescent="0.25">
      <c r="A6232" s="5" t="s">
        <v>6</v>
      </c>
      <c r="B6232" s="5" t="s">
        <v>16959</v>
      </c>
      <c r="C6232" s="1" t="s">
        <v>16960</v>
      </c>
      <c r="D6232" s="1" t="s">
        <v>16961</v>
      </c>
      <c r="E6232" s="7">
        <v>1203</v>
      </c>
    </row>
    <row r="6233" spans="1:5" x14ac:dyDescent="0.25">
      <c r="A6233" s="5" t="s">
        <v>6</v>
      </c>
      <c r="B6233" s="5" t="s">
        <v>16962</v>
      </c>
      <c r="C6233" s="1" t="s">
        <v>16963</v>
      </c>
      <c r="D6233" s="1" t="s">
        <v>16964</v>
      </c>
      <c r="E6233" s="7">
        <v>1976</v>
      </c>
    </row>
    <row r="6234" spans="1:5" x14ac:dyDescent="0.25">
      <c r="A6234" s="5" t="s">
        <v>6</v>
      </c>
      <c r="B6234" s="5" t="s">
        <v>16965</v>
      </c>
      <c r="C6234" s="1" t="s">
        <v>16966</v>
      </c>
      <c r="D6234" s="1" t="s">
        <v>16966</v>
      </c>
      <c r="E6234" s="7">
        <v>727</v>
      </c>
    </row>
    <row r="6235" spans="1:5" x14ac:dyDescent="0.25">
      <c r="A6235" s="5" t="s">
        <v>6</v>
      </c>
      <c r="B6235" s="5" t="s">
        <v>16967</v>
      </c>
      <c r="C6235" s="1" t="s">
        <v>16968</v>
      </c>
      <c r="D6235" s="1" t="s">
        <v>16969</v>
      </c>
      <c r="E6235" s="7">
        <v>2669</v>
      </c>
    </row>
    <row r="6236" spans="1:5" x14ac:dyDescent="0.25">
      <c r="A6236" s="5" t="s">
        <v>6</v>
      </c>
      <c r="B6236" s="5" t="s">
        <v>16970</v>
      </c>
      <c r="C6236" s="1" t="s">
        <v>16971</v>
      </c>
      <c r="D6236" s="1" t="s">
        <v>16972</v>
      </c>
      <c r="E6236" s="7">
        <v>1752</v>
      </c>
    </row>
    <row r="6237" spans="1:5" x14ac:dyDescent="0.25">
      <c r="A6237" s="5" t="s">
        <v>6</v>
      </c>
      <c r="B6237" s="5" t="s">
        <v>16973</v>
      </c>
      <c r="C6237" s="1" t="s">
        <v>16974</v>
      </c>
      <c r="D6237" s="1" t="s">
        <v>16975</v>
      </c>
      <c r="E6237" s="7">
        <v>13418</v>
      </c>
    </row>
    <row r="6238" spans="1:5" x14ac:dyDescent="0.25">
      <c r="A6238" s="5" t="s">
        <v>6</v>
      </c>
      <c r="B6238" s="5" t="s">
        <v>16976</v>
      </c>
      <c r="C6238" s="1" t="s">
        <v>16977</v>
      </c>
      <c r="D6238" s="1" t="s">
        <v>16978</v>
      </c>
      <c r="E6238" s="7">
        <v>0.01</v>
      </c>
    </row>
    <row r="6239" spans="1:5" x14ac:dyDescent="0.25">
      <c r="A6239" s="5" t="s">
        <v>6</v>
      </c>
      <c r="B6239" s="5" t="s">
        <v>16979</v>
      </c>
      <c r="C6239" s="1" t="s">
        <v>16980</v>
      </c>
      <c r="D6239" s="1" t="s">
        <v>16981</v>
      </c>
      <c r="E6239" s="7">
        <v>0.01</v>
      </c>
    </row>
    <row r="6240" spans="1:5" x14ac:dyDescent="0.25">
      <c r="A6240" s="5" t="s">
        <v>6</v>
      </c>
      <c r="B6240" s="5" t="s">
        <v>16982</v>
      </c>
      <c r="C6240" s="1" t="s">
        <v>16983</v>
      </c>
      <c r="D6240" s="1" t="s">
        <v>16984</v>
      </c>
      <c r="E6240" s="7">
        <v>21675</v>
      </c>
    </row>
    <row r="6241" spans="1:5" x14ac:dyDescent="0.25">
      <c r="A6241" s="5" t="s">
        <v>6</v>
      </c>
      <c r="B6241" s="5" t="s">
        <v>16985</v>
      </c>
      <c r="C6241" s="1" t="s">
        <v>16986</v>
      </c>
      <c r="D6241" s="1" t="s">
        <v>16987</v>
      </c>
      <c r="E6241" s="7">
        <v>0.01</v>
      </c>
    </row>
    <row r="6242" spans="1:5" x14ac:dyDescent="0.25">
      <c r="A6242" s="5" t="s">
        <v>6</v>
      </c>
      <c r="B6242" s="5" t="s">
        <v>16988</v>
      </c>
      <c r="C6242" s="1" t="s">
        <v>16989</v>
      </c>
      <c r="D6242" s="1" t="s">
        <v>16990</v>
      </c>
      <c r="E6242" s="7">
        <v>5286</v>
      </c>
    </row>
    <row r="6243" spans="1:5" x14ac:dyDescent="0.25">
      <c r="A6243" s="5" t="s">
        <v>6</v>
      </c>
      <c r="B6243" s="5" t="s">
        <v>16991</v>
      </c>
      <c r="C6243" s="1" t="s">
        <v>16992</v>
      </c>
      <c r="D6243" s="1" t="s">
        <v>16990</v>
      </c>
      <c r="E6243" s="7">
        <v>5286</v>
      </c>
    </row>
    <row r="6244" spans="1:5" x14ac:dyDescent="0.25">
      <c r="A6244" s="5" t="s">
        <v>6</v>
      </c>
      <c r="B6244" s="5" t="s">
        <v>16993</v>
      </c>
      <c r="C6244" s="1" t="s">
        <v>16994</v>
      </c>
      <c r="D6244" s="1" t="s">
        <v>16990</v>
      </c>
      <c r="E6244" s="7">
        <v>6156</v>
      </c>
    </row>
    <row r="6245" spans="1:5" x14ac:dyDescent="0.25">
      <c r="A6245" s="5" t="s">
        <v>6</v>
      </c>
      <c r="B6245" s="5" t="s">
        <v>16995</v>
      </c>
      <c r="C6245" s="1" t="s">
        <v>16996</v>
      </c>
      <c r="D6245" s="1" t="s">
        <v>16990</v>
      </c>
      <c r="E6245" s="7">
        <v>6162</v>
      </c>
    </row>
    <row r="6246" spans="1:5" x14ac:dyDescent="0.25">
      <c r="A6246" s="5" t="s">
        <v>6</v>
      </c>
      <c r="B6246" s="5" t="s">
        <v>16997</v>
      </c>
      <c r="C6246" s="1" t="s">
        <v>16998</v>
      </c>
      <c r="D6246" s="1" t="s">
        <v>16990</v>
      </c>
      <c r="E6246" s="7">
        <v>6672</v>
      </c>
    </row>
    <row r="6247" spans="1:5" x14ac:dyDescent="0.25">
      <c r="A6247" s="5" t="s">
        <v>6</v>
      </c>
      <c r="B6247" s="5" t="s">
        <v>16999</v>
      </c>
      <c r="C6247" s="1" t="s">
        <v>17000</v>
      </c>
      <c r="D6247" s="1" t="s">
        <v>16990</v>
      </c>
      <c r="E6247" s="7">
        <v>6679</v>
      </c>
    </row>
    <row r="6248" spans="1:5" x14ac:dyDescent="0.25">
      <c r="A6248" s="5" t="s">
        <v>6</v>
      </c>
      <c r="B6248" s="5" t="s">
        <v>17001</v>
      </c>
      <c r="C6248" s="1" t="s">
        <v>17002</v>
      </c>
      <c r="D6248" s="1" t="s">
        <v>17003</v>
      </c>
      <c r="E6248" s="7">
        <v>156051</v>
      </c>
    </row>
    <row r="6249" spans="1:5" x14ac:dyDescent="0.25">
      <c r="A6249" s="5" t="s">
        <v>6</v>
      </c>
      <c r="B6249" s="5" t="s">
        <v>17004</v>
      </c>
      <c r="C6249" s="1" t="s">
        <v>17005</v>
      </c>
      <c r="D6249" s="1" t="s">
        <v>17006</v>
      </c>
      <c r="E6249" s="7">
        <v>2673</v>
      </c>
    </row>
    <row r="6250" spans="1:5" x14ac:dyDescent="0.25">
      <c r="A6250" s="5" t="s">
        <v>6</v>
      </c>
      <c r="B6250" s="5" t="s">
        <v>17007</v>
      </c>
      <c r="C6250" s="1" t="s">
        <v>17008</v>
      </c>
      <c r="D6250" s="1" t="s">
        <v>17009</v>
      </c>
      <c r="E6250" s="7">
        <v>2467</v>
      </c>
    </row>
    <row r="6251" spans="1:5" x14ac:dyDescent="0.25">
      <c r="A6251" s="5" t="s">
        <v>6</v>
      </c>
      <c r="B6251" s="5" t="s">
        <v>17010</v>
      </c>
      <c r="C6251" s="1" t="s">
        <v>17011</v>
      </c>
      <c r="D6251" s="1" t="s">
        <v>17012</v>
      </c>
      <c r="E6251" s="7">
        <v>7754</v>
      </c>
    </row>
    <row r="6252" spans="1:5" x14ac:dyDescent="0.25">
      <c r="A6252" s="5" t="s">
        <v>6</v>
      </c>
      <c r="B6252" s="5" t="s">
        <v>17013</v>
      </c>
      <c r="C6252" s="1" t="s">
        <v>17014</v>
      </c>
      <c r="D6252" s="1" t="s">
        <v>17015</v>
      </c>
      <c r="E6252" s="7">
        <v>2775</v>
      </c>
    </row>
    <row r="6253" spans="1:5" x14ac:dyDescent="0.25">
      <c r="A6253" s="5" t="s">
        <v>6</v>
      </c>
      <c r="B6253" s="5" t="s">
        <v>17016</v>
      </c>
      <c r="C6253" s="1" t="s">
        <v>17017</v>
      </c>
      <c r="D6253" s="1" t="s">
        <v>17018</v>
      </c>
      <c r="E6253" s="7">
        <v>1899</v>
      </c>
    </row>
    <row r="6254" spans="1:5" x14ac:dyDescent="0.25">
      <c r="A6254" s="5" t="s">
        <v>6</v>
      </c>
      <c r="B6254" s="5" t="s">
        <v>17019</v>
      </c>
      <c r="C6254" s="1" t="s">
        <v>17020</v>
      </c>
      <c r="D6254" s="1" t="s">
        <v>17021</v>
      </c>
      <c r="E6254" s="7">
        <v>4828</v>
      </c>
    </row>
    <row r="6255" spans="1:5" x14ac:dyDescent="0.25">
      <c r="A6255" s="5" t="s">
        <v>6</v>
      </c>
      <c r="B6255" s="5" t="s">
        <v>17022</v>
      </c>
      <c r="C6255" s="1" t="s">
        <v>17023</v>
      </c>
      <c r="D6255" s="1" t="s">
        <v>17024</v>
      </c>
      <c r="E6255" s="7">
        <v>91</v>
      </c>
    </row>
    <row r="6256" spans="1:5" x14ac:dyDescent="0.25">
      <c r="A6256" s="5" t="s">
        <v>6</v>
      </c>
      <c r="B6256" s="5" t="s">
        <v>17025</v>
      </c>
      <c r="C6256" s="1" t="s">
        <v>17026</v>
      </c>
      <c r="D6256" s="1" t="s">
        <v>17027</v>
      </c>
      <c r="E6256" s="7">
        <v>0.01</v>
      </c>
    </row>
    <row r="6257" spans="1:5" x14ac:dyDescent="0.25">
      <c r="A6257" s="5" t="s">
        <v>6</v>
      </c>
      <c r="B6257" s="5" t="s">
        <v>17028</v>
      </c>
      <c r="C6257" s="1" t="s">
        <v>17029</v>
      </c>
      <c r="D6257" s="1" t="s">
        <v>17030</v>
      </c>
      <c r="E6257" s="7">
        <v>6363</v>
      </c>
    </row>
    <row r="6258" spans="1:5" x14ac:dyDescent="0.25">
      <c r="A6258" s="5" t="s">
        <v>6</v>
      </c>
      <c r="B6258" s="5" t="s">
        <v>17031</v>
      </c>
      <c r="C6258" s="1" t="s">
        <v>17032</v>
      </c>
      <c r="D6258" s="1" t="s">
        <v>17033</v>
      </c>
      <c r="E6258" s="7">
        <v>1273</v>
      </c>
    </row>
    <row r="6259" spans="1:5" x14ac:dyDescent="0.25">
      <c r="A6259" s="5" t="s">
        <v>6</v>
      </c>
      <c r="B6259" s="5" t="s">
        <v>17034</v>
      </c>
      <c r="C6259" s="1" t="s">
        <v>17035</v>
      </c>
      <c r="D6259" s="1" t="s">
        <v>17036</v>
      </c>
      <c r="E6259" s="7">
        <v>16708</v>
      </c>
    </row>
    <row r="6260" spans="1:5" x14ac:dyDescent="0.25">
      <c r="A6260" s="5" t="s">
        <v>6</v>
      </c>
      <c r="B6260" s="5" t="s">
        <v>17037</v>
      </c>
      <c r="C6260" s="1" t="s">
        <v>17038</v>
      </c>
      <c r="D6260" s="1" t="s">
        <v>17039</v>
      </c>
      <c r="E6260" s="7">
        <v>970</v>
      </c>
    </row>
    <row r="6261" spans="1:5" x14ac:dyDescent="0.25">
      <c r="A6261" s="5" t="s">
        <v>6</v>
      </c>
      <c r="B6261" s="5" t="s">
        <v>17040</v>
      </c>
      <c r="C6261" s="1" t="s">
        <v>17041</v>
      </c>
      <c r="D6261" s="1" t="s">
        <v>17042</v>
      </c>
      <c r="E6261" s="7">
        <v>5759</v>
      </c>
    </row>
  </sheetData>
  <sheetProtection autoFilter="0"/>
  <autoFilter ref="A3:F3" xr:uid="{1928CBF1-613C-4FB3-ABD4-93E4FF613CA6}"/>
  <sortState xmlns:xlrd2="http://schemas.microsoft.com/office/spreadsheetml/2017/richdata2" ref="A4:Y6261">
    <sortCondition ref="B4:B6261"/>
  </sortState>
  <mergeCells count="1">
    <mergeCell ref="A1:D1"/>
  </mergeCells>
  <printOptions horizontalCentered="1"/>
  <pageMargins left="0.25" right="0.25" top="0.75" bottom="1" header="0.3" footer="0.3"/>
  <pageSetup scale="93" fitToHeight="999" orientation="portrait" r:id="rId1"/>
  <headerFooter>
    <oddFooter>&amp;L&amp;9CDM Run Date: 6/1/2024&amp;R&amp;9&amp;P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05B2-3C89-4656-AA9A-19A2CB8274F5}">
  <dimension ref="A1:C80"/>
  <sheetViews>
    <sheetView workbookViewId="0">
      <pane ySplit="4" topLeftCell="A64" activePane="bottomLeft" state="frozen"/>
      <selection pane="bottomLeft" activeCell="J78" sqref="J78"/>
    </sheetView>
  </sheetViews>
  <sheetFormatPr defaultRowHeight="15" x14ac:dyDescent="0.25"/>
  <cols>
    <col min="1" max="1" width="80.7109375" style="11" customWidth="1"/>
    <col min="2" max="2" width="16.7109375" style="12" bestFit="1" customWidth="1"/>
    <col min="3" max="3" width="17.7109375" style="56" bestFit="1" customWidth="1"/>
  </cols>
  <sheetData>
    <row r="1" spans="1:3" x14ac:dyDescent="0.25">
      <c r="A1" s="20" t="s">
        <v>18459</v>
      </c>
      <c r="B1" s="21"/>
      <c r="C1" s="52"/>
    </row>
    <row r="2" spans="1:3" x14ac:dyDescent="0.25">
      <c r="A2" s="20" t="s">
        <v>17154</v>
      </c>
      <c r="B2" s="21"/>
      <c r="C2" s="52"/>
    </row>
    <row r="3" spans="1:3" x14ac:dyDescent="0.25">
      <c r="A3" s="20" t="s">
        <v>17155</v>
      </c>
      <c r="B3" s="21"/>
      <c r="C3" s="52"/>
    </row>
    <row r="4" spans="1:3" x14ac:dyDescent="0.25">
      <c r="A4" s="22"/>
      <c r="B4" s="21"/>
      <c r="C4" s="52"/>
    </row>
    <row r="5" spans="1:3" ht="67.5" customHeight="1" x14ac:dyDescent="0.25">
      <c r="A5" s="43" t="s">
        <v>17156</v>
      </c>
      <c r="B5" s="44"/>
      <c r="C5" s="44"/>
    </row>
    <row r="6" spans="1:3" ht="15" customHeight="1" x14ac:dyDescent="0.25">
      <c r="A6" s="13" t="s">
        <v>17043</v>
      </c>
      <c r="B6" s="16" t="s">
        <v>17044</v>
      </c>
      <c r="C6" s="53" t="s">
        <v>17045</v>
      </c>
    </row>
    <row r="7" spans="1:3" ht="15" customHeight="1" x14ac:dyDescent="0.25">
      <c r="A7" s="14" t="s">
        <v>17046</v>
      </c>
      <c r="B7" s="17" t="s">
        <v>17047</v>
      </c>
      <c r="C7" s="54">
        <v>1704.15</v>
      </c>
    </row>
    <row r="8" spans="1:3" ht="15" customHeight="1" x14ac:dyDescent="0.25">
      <c r="A8" s="14" t="s">
        <v>17048</v>
      </c>
      <c r="B8" s="17" t="s">
        <v>17049</v>
      </c>
      <c r="C8" s="54">
        <v>2839.62</v>
      </c>
    </row>
    <row r="9" spans="1:3" ht="15" customHeight="1" x14ac:dyDescent="0.25">
      <c r="A9" s="14" t="s">
        <v>17050</v>
      </c>
      <c r="B9" s="17" t="s">
        <v>17051</v>
      </c>
      <c r="C9" s="54">
        <v>4750.22</v>
      </c>
    </row>
    <row r="10" spans="1:3" ht="15" customHeight="1" x14ac:dyDescent="0.25">
      <c r="A10" s="14" t="s">
        <v>17052</v>
      </c>
      <c r="B10" s="17" t="s">
        <v>17053</v>
      </c>
      <c r="C10" s="54">
        <v>5877.4</v>
      </c>
    </row>
    <row r="11" spans="1:3" ht="15" customHeight="1" x14ac:dyDescent="0.25">
      <c r="A11" s="14" t="s">
        <v>17054</v>
      </c>
      <c r="B11" s="17" t="s">
        <v>17055</v>
      </c>
      <c r="C11" s="54"/>
    </row>
    <row r="12" spans="1:3" ht="15" customHeight="1" x14ac:dyDescent="0.25">
      <c r="A12" s="13" t="s">
        <v>17056</v>
      </c>
      <c r="B12" s="16" t="s">
        <v>17044</v>
      </c>
      <c r="C12" s="53" t="s">
        <v>17045</v>
      </c>
    </row>
    <row r="13" spans="1:3" ht="15" customHeight="1" x14ac:dyDescent="0.25">
      <c r="A13" s="14" t="s">
        <v>17057</v>
      </c>
      <c r="B13" s="17" t="s">
        <v>17058</v>
      </c>
      <c r="C13" s="54">
        <v>1833.27</v>
      </c>
    </row>
    <row r="14" spans="1:3" ht="15" customHeight="1" x14ac:dyDescent="0.25">
      <c r="A14" s="14" t="s">
        <v>17059</v>
      </c>
      <c r="B14" s="17" t="s">
        <v>17060</v>
      </c>
      <c r="C14" s="54"/>
    </row>
    <row r="15" spans="1:3" ht="15" customHeight="1" x14ac:dyDescent="0.25">
      <c r="A15" s="14" t="s">
        <v>17061</v>
      </c>
      <c r="B15" s="17" t="s">
        <v>17062</v>
      </c>
      <c r="C15" s="54">
        <v>349</v>
      </c>
    </row>
    <row r="16" spans="1:3" ht="15" customHeight="1" x14ac:dyDescent="0.25">
      <c r="A16" s="14" t="s">
        <v>17063</v>
      </c>
      <c r="B16" s="17" t="s">
        <v>17064</v>
      </c>
      <c r="C16" s="54">
        <v>995.98</v>
      </c>
    </row>
    <row r="17" spans="1:3" ht="15" customHeight="1" x14ac:dyDescent="0.25">
      <c r="A17" s="14" t="s">
        <v>17065</v>
      </c>
      <c r="B17" s="17" t="s">
        <v>17066</v>
      </c>
      <c r="C17" s="54">
        <v>2376.73</v>
      </c>
    </row>
    <row r="18" spans="1:3" ht="15" customHeight="1" x14ac:dyDescent="0.25">
      <c r="A18" s="14" t="s">
        <v>17067</v>
      </c>
      <c r="B18" s="17" t="s">
        <v>17068</v>
      </c>
      <c r="C18" s="54">
        <v>635.9</v>
      </c>
    </row>
    <row r="19" spans="1:3" ht="15" customHeight="1" x14ac:dyDescent="0.25">
      <c r="A19" s="14" t="s">
        <v>17069</v>
      </c>
      <c r="B19" s="17" t="s">
        <v>17070</v>
      </c>
      <c r="C19" s="54">
        <v>633.66999999999996</v>
      </c>
    </row>
    <row r="20" spans="1:3" ht="15" customHeight="1" x14ac:dyDescent="0.25">
      <c r="A20" s="14" t="s">
        <v>17071</v>
      </c>
      <c r="B20" s="17" t="s">
        <v>17072</v>
      </c>
      <c r="C20" s="54">
        <v>747.29</v>
      </c>
    </row>
    <row r="21" spans="1:3" ht="15" customHeight="1" x14ac:dyDescent="0.25">
      <c r="A21" s="14" t="s">
        <v>17073</v>
      </c>
      <c r="B21" s="17" t="s">
        <v>17074</v>
      </c>
      <c r="C21" s="54"/>
    </row>
    <row r="22" spans="1:3" ht="15" customHeight="1" x14ac:dyDescent="0.25">
      <c r="A22" s="14" t="s">
        <v>17075</v>
      </c>
      <c r="B22" s="17" t="s">
        <v>17076</v>
      </c>
      <c r="C22" s="54">
        <v>457.5</v>
      </c>
    </row>
    <row r="23" spans="1:3" ht="15" customHeight="1" x14ac:dyDescent="0.25">
      <c r="A23" s="14" t="s">
        <v>17077</v>
      </c>
      <c r="B23" s="17" t="s">
        <v>17078</v>
      </c>
      <c r="C23" s="54">
        <v>1047.2</v>
      </c>
    </row>
    <row r="24" spans="1:3" ht="15" customHeight="1" x14ac:dyDescent="0.25">
      <c r="A24" s="14" t="s">
        <v>17079</v>
      </c>
      <c r="B24" s="17" t="s">
        <v>17080</v>
      </c>
      <c r="C24" s="54"/>
    </row>
    <row r="25" spans="1:3" ht="15" customHeight="1" x14ac:dyDescent="0.25">
      <c r="A25" s="14" t="s">
        <v>17081</v>
      </c>
      <c r="B25" s="17" t="s">
        <v>17082</v>
      </c>
      <c r="C25" s="54">
        <v>518.08000000000004</v>
      </c>
    </row>
    <row r="26" spans="1:3" ht="15" customHeight="1" x14ac:dyDescent="0.25">
      <c r="A26" s="13" t="s">
        <v>17083</v>
      </c>
      <c r="B26" s="16" t="s">
        <v>17044</v>
      </c>
      <c r="C26" s="53" t="s">
        <v>17045</v>
      </c>
    </row>
    <row r="27" spans="1:3" ht="15" customHeight="1" x14ac:dyDescent="0.25">
      <c r="A27" s="14" t="s">
        <v>17084</v>
      </c>
      <c r="B27" s="17" t="s">
        <v>17085</v>
      </c>
      <c r="C27" s="54">
        <v>7551</v>
      </c>
    </row>
    <row r="28" spans="1:3" ht="15" customHeight="1" x14ac:dyDescent="0.25">
      <c r="A28" s="14" t="s">
        <v>17086</v>
      </c>
      <c r="B28" s="17" t="s">
        <v>17087</v>
      </c>
      <c r="C28" s="54">
        <v>8751.51</v>
      </c>
    </row>
    <row r="29" spans="1:3" ht="15" customHeight="1" x14ac:dyDescent="0.25">
      <c r="A29" s="14" t="s">
        <v>17088</v>
      </c>
      <c r="B29" s="17" t="s">
        <v>17089</v>
      </c>
      <c r="C29" s="54">
        <v>6486.33</v>
      </c>
    </row>
    <row r="30" spans="1:3" ht="15" customHeight="1" x14ac:dyDescent="0.25">
      <c r="A30" s="14" t="s">
        <v>17090</v>
      </c>
      <c r="B30" s="17" t="s">
        <v>17091</v>
      </c>
      <c r="C30" s="54"/>
    </row>
    <row r="31" spans="1:3" ht="15" customHeight="1" x14ac:dyDescent="0.25">
      <c r="A31" s="14" t="s">
        <v>17092</v>
      </c>
      <c r="B31" s="17" t="s">
        <v>17093</v>
      </c>
      <c r="C31" s="54">
        <v>9885.67</v>
      </c>
    </row>
    <row r="32" spans="1:3" ht="15" customHeight="1" x14ac:dyDescent="0.25">
      <c r="A32" s="14" t="s">
        <v>17094</v>
      </c>
      <c r="B32" s="17" t="s">
        <v>17095</v>
      </c>
      <c r="C32" s="54">
        <v>3440.95</v>
      </c>
    </row>
    <row r="33" spans="1:3" ht="15" customHeight="1" x14ac:dyDescent="0.25">
      <c r="A33" s="14" t="s">
        <v>17096</v>
      </c>
      <c r="B33" s="17" t="s">
        <v>17097</v>
      </c>
      <c r="C33" s="54">
        <v>3329.79</v>
      </c>
    </row>
    <row r="34" spans="1:3" ht="15" customHeight="1" x14ac:dyDescent="0.25">
      <c r="A34" s="14" t="s">
        <v>17098</v>
      </c>
      <c r="B34" s="17" t="s">
        <v>17099</v>
      </c>
      <c r="C34" s="54">
        <v>1816.77</v>
      </c>
    </row>
    <row r="35" spans="1:3" ht="15" customHeight="1" x14ac:dyDescent="0.25">
      <c r="A35" s="14" t="s">
        <v>17100</v>
      </c>
      <c r="B35" s="17" t="s">
        <v>17101</v>
      </c>
      <c r="C35" s="54">
        <v>1479.68</v>
      </c>
    </row>
    <row r="36" spans="1:3" ht="15" customHeight="1" x14ac:dyDescent="0.25">
      <c r="A36" s="13" t="s">
        <v>17102</v>
      </c>
      <c r="B36" s="16" t="s">
        <v>17044</v>
      </c>
      <c r="C36" s="53" t="s">
        <v>17045</v>
      </c>
    </row>
    <row r="37" spans="1:3" ht="15" customHeight="1" x14ac:dyDescent="0.25">
      <c r="A37" s="14" t="s">
        <v>17103</v>
      </c>
      <c r="B37" s="17" t="s">
        <v>17104</v>
      </c>
      <c r="C37" s="54"/>
    </row>
    <row r="38" spans="1:3" ht="15" customHeight="1" x14ac:dyDescent="0.25">
      <c r="A38" s="14" t="s">
        <v>17105</v>
      </c>
      <c r="B38" s="17" t="s">
        <v>17106</v>
      </c>
      <c r="C38" s="54"/>
    </row>
    <row r="39" spans="1:3" ht="15" customHeight="1" x14ac:dyDescent="0.25">
      <c r="A39" s="14" t="s">
        <v>17107</v>
      </c>
      <c r="B39" s="17" t="s">
        <v>17108</v>
      </c>
      <c r="C39" s="54"/>
    </row>
    <row r="40" spans="1:3" ht="15" customHeight="1" x14ac:dyDescent="0.25">
      <c r="A40" s="14" t="s">
        <v>17109</v>
      </c>
      <c r="B40" s="17" t="s">
        <v>17110</v>
      </c>
      <c r="C40" s="54">
        <v>672.19</v>
      </c>
    </row>
    <row r="41" spans="1:3" ht="15" customHeight="1" x14ac:dyDescent="0.25">
      <c r="A41" s="14" t="s">
        <v>17111</v>
      </c>
      <c r="B41" s="17" t="s">
        <v>17112</v>
      </c>
      <c r="C41" s="54">
        <v>1076.74</v>
      </c>
    </row>
    <row r="42" spans="1:3" ht="15" customHeight="1" x14ac:dyDescent="0.25">
      <c r="A42" s="14" t="s">
        <v>17113</v>
      </c>
      <c r="B42" s="17" t="s">
        <v>17114</v>
      </c>
      <c r="C42" s="54">
        <v>275.42</v>
      </c>
    </row>
    <row r="43" spans="1:3" ht="15" customHeight="1" x14ac:dyDescent="0.25">
      <c r="A43" s="14" t="s">
        <v>17115</v>
      </c>
      <c r="B43" s="17" t="s">
        <v>17116</v>
      </c>
      <c r="C43" s="54">
        <v>334.5</v>
      </c>
    </row>
    <row r="44" spans="1:3" ht="15" customHeight="1" x14ac:dyDescent="0.25">
      <c r="A44" s="13" t="s">
        <v>17117</v>
      </c>
      <c r="B44" s="16" t="s">
        <v>17044</v>
      </c>
      <c r="C44" s="53" t="s">
        <v>17045</v>
      </c>
    </row>
    <row r="45" spans="1:3" ht="15" customHeight="1" x14ac:dyDescent="0.25">
      <c r="A45" s="14" t="s">
        <v>17118</v>
      </c>
      <c r="B45" s="17" t="s">
        <v>17119</v>
      </c>
      <c r="C45" s="54"/>
    </row>
    <row r="46" spans="1:3" ht="15" customHeight="1" x14ac:dyDescent="0.25">
      <c r="A46" s="14" t="s">
        <v>17120</v>
      </c>
      <c r="B46" s="17" t="s">
        <v>17121</v>
      </c>
      <c r="C46" s="54"/>
    </row>
    <row r="47" spans="1:3" ht="15" customHeight="1" x14ac:dyDescent="0.25">
      <c r="A47" s="14" t="s">
        <v>17122</v>
      </c>
      <c r="B47" s="17" t="s">
        <v>17123</v>
      </c>
      <c r="C47" s="54"/>
    </row>
    <row r="48" spans="1:3" ht="15" customHeight="1" x14ac:dyDescent="0.25">
      <c r="A48" s="14" t="s">
        <v>17124</v>
      </c>
      <c r="B48" s="17" t="s">
        <v>17125</v>
      </c>
      <c r="C48" s="54"/>
    </row>
    <row r="49" spans="1:3" ht="15" customHeight="1" x14ac:dyDescent="0.25">
      <c r="A49" s="14" t="s">
        <v>17126</v>
      </c>
      <c r="B49" s="17" t="s">
        <v>17127</v>
      </c>
      <c r="C49" s="54"/>
    </row>
    <row r="50" spans="1:3" ht="15" customHeight="1" x14ac:dyDescent="0.25">
      <c r="A50" s="14" t="s">
        <v>17128</v>
      </c>
      <c r="B50" s="17" t="s">
        <v>17129</v>
      </c>
      <c r="C50" s="54"/>
    </row>
    <row r="51" spans="1:3" ht="15" customHeight="1" x14ac:dyDescent="0.25">
      <c r="A51" s="14" t="s">
        <v>17130</v>
      </c>
      <c r="B51" s="17" t="s">
        <v>17131</v>
      </c>
      <c r="C51" s="54"/>
    </row>
    <row r="52" spans="1:3" ht="15" customHeight="1" x14ac:dyDescent="0.25">
      <c r="A52" s="14" t="s">
        <v>17132</v>
      </c>
      <c r="B52" s="17" t="s">
        <v>17133</v>
      </c>
      <c r="C52" s="54"/>
    </row>
    <row r="53" spans="1:3" ht="15" customHeight="1" x14ac:dyDescent="0.25">
      <c r="A53" s="14" t="s">
        <v>17134</v>
      </c>
      <c r="B53" s="17" t="s">
        <v>17135</v>
      </c>
      <c r="C53" s="54"/>
    </row>
    <row r="54" spans="1:3" ht="15" customHeight="1" x14ac:dyDescent="0.25">
      <c r="A54" s="14" t="s">
        <v>17136</v>
      </c>
      <c r="B54" s="17" t="s">
        <v>17137</v>
      </c>
      <c r="C54" s="54"/>
    </row>
    <row r="55" spans="1:3" ht="15" customHeight="1" x14ac:dyDescent="0.25">
      <c r="A55" s="14" t="s">
        <v>17138</v>
      </c>
      <c r="B55" s="17" t="s">
        <v>17139</v>
      </c>
      <c r="C55" s="54"/>
    </row>
    <row r="56" spans="1:3" ht="15" customHeight="1" x14ac:dyDescent="0.25">
      <c r="A56" s="14" t="s">
        <v>17140</v>
      </c>
      <c r="B56" s="17" t="s">
        <v>17141</v>
      </c>
      <c r="C56" s="54"/>
    </row>
    <row r="57" spans="1:3" ht="15" customHeight="1" x14ac:dyDescent="0.25">
      <c r="A57" s="14" t="s">
        <v>17142</v>
      </c>
      <c r="B57" s="17" t="s">
        <v>17143</v>
      </c>
      <c r="C57" s="54"/>
    </row>
    <row r="58" spans="1:3" ht="15" customHeight="1" x14ac:dyDescent="0.25">
      <c r="A58" s="14" t="s">
        <v>17144</v>
      </c>
      <c r="B58" s="17" t="s">
        <v>17145</v>
      </c>
      <c r="C58" s="54"/>
    </row>
    <row r="59" spans="1:3" ht="15" customHeight="1" x14ac:dyDescent="0.25">
      <c r="A59" s="14" t="s">
        <v>17146</v>
      </c>
      <c r="B59" s="17" t="s">
        <v>17147</v>
      </c>
      <c r="C59" s="54"/>
    </row>
    <row r="60" spans="1:3" ht="15" customHeight="1" x14ac:dyDescent="0.25">
      <c r="A60" s="14" t="s">
        <v>17148</v>
      </c>
      <c r="B60" s="17" t="s">
        <v>17149</v>
      </c>
      <c r="C60" s="54"/>
    </row>
    <row r="61" spans="1:3" ht="15" customHeight="1" x14ac:dyDescent="0.25">
      <c r="A61" s="14" t="s">
        <v>17150</v>
      </c>
      <c r="B61" s="17" t="s">
        <v>17151</v>
      </c>
      <c r="C61" s="54"/>
    </row>
    <row r="62" spans="1:3" ht="15" customHeight="1" x14ac:dyDescent="0.25">
      <c r="A62" s="13" t="s">
        <v>17152</v>
      </c>
      <c r="B62" s="16" t="s">
        <v>17044</v>
      </c>
      <c r="C62" s="53" t="s">
        <v>17045</v>
      </c>
    </row>
    <row r="63" spans="1:3" ht="15" customHeight="1" x14ac:dyDescent="0.25">
      <c r="A63" s="14" t="s">
        <v>17153</v>
      </c>
      <c r="B63" s="17"/>
      <c r="C63" s="54"/>
    </row>
    <row r="64" spans="1:3" ht="15" customHeight="1" x14ac:dyDescent="0.25">
      <c r="A64" s="15"/>
      <c r="B64" s="17"/>
      <c r="C64" s="54"/>
    </row>
    <row r="65" spans="1:3" ht="15" customHeight="1" x14ac:dyDescent="0.25">
      <c r="A65" s="15"/>
      <c r="B65" s="17"/>
      <c r="C65" s="54"/>
    </row>
    <row r="66" spans="1:3" ht="15" customHeight="1" x14ac:dyDescent="0.25">
      <c r="A66" s="15"/>
      <c r="B66" s="17"/>
      <c r="C66" s="54"/>
    </row>
    <row r="67" spans="1:3" ht="15" customHeight="1" x14ac:dyDescent="0.25">
      <c r="A67" s="15"/>
      <c r="B67" s="17"/>
      <c r="C67" s="54"/>
    </row>
    <row r="68" spans="1:3" ht="15" customHeight="1" x14ac:dyDescent="0.25">
      <c r="A68" s="15"/>
      <c r="B68" s="17"/>
      <c r="C68" s="54"/>
    </row>
    <row r="69" spans="1:3" ht="21" customHeight="1" thickBot="1" x14ac:dyDescent="0.3">
      <c r="A69" s="18" t="s">
        <v>17157</v>
      </c>
      <c r="B69" s="19"/>
      <c r="C69" s="55">
        <f>COUNT(C6:C68)</f>
        <v>26</v>
      </c>
    </row>
    <row r="70" spans="1:3" ht="15" customHeight="1" thickTop="1" x14ac:dyDescent="0.25">
      <c r="A70" s="45" t="s">
        <v>17158</v>
      </c>
      <c r="B70" s="46"/>
      <c r="C70" s="47"/>
    </row>
    <row r="71" spans="1:3" ht="15" customHeight="1" x14ac:dyDescent="0.25">
      <c r="A71" s="48" t="s">
        <v>17159</v>
      </c>
      <c r="B71" s="49"/>
      <c r="C71" s="50"/>
    </row>
    <row r="72" spans="1:3" ht="15" customHeight="1" x14ac:dyDescent="0.25">
      <c r="A72" s="48" t="s">
        <v>17160</v>
      </c>
      <c r="B72" s="49"/>
      <c r="C72" s="50"/>
    </row>
    <row r="73" spans="1:3" ht="15" customHeight="1" x14ac:dyDescent="0.25">
      <c r="A73" s="48" t="s">
        <v>17161</v>
      </c>
      <c r="B73" s="49"/>
      <c r="C73" s="50"/>
    </row>
    <row r="74" spans="1:3" ht="15" customHeight="1" x14ac:dyDescent="0.25">
      <c r="A74" s="48" t="s">
        <v>17162</v>
      </c>
      <c r="B74" s="49"/>
      <c r="C74" s="50"/>
    </row>
    <row r="75" spans="1:3" ht="15" customHeight="1" x14ac:dyDescent="0.25">
      <c r="A75" s="48" t="s">
        <v>17163</v>
      </c>
      <c r="B75" s="49"/>
      <c r="C75" s="50"/>
    </row>
    <row r="76" spans="1:3" ht="15" customHeight="1" x14ac:dyDescent="0.25">
      <c r="A76" s="48" t="s">
        <v>17164</v>
      </c>
      <c r="B76" s="49"/>
      <c r="C76" s="50"/>
    </row>
    <row r="77" spans="1:3" ht="15" customHeight="1" x14ac:dyDescent="0.25">
      <c r="A77" s="48" t="s">
        <v>17165</v>
      </c>
      <c r="B77" s="49"/>
      <c r="C77" s="50"/>
    </row>
    <row r="78" spans="1:3" ht="15" customHeight="1" x14ac:dyDescent="0.25">
      <c r="A78" s="48" t="s">
        <v>17166</v>
      </c>
      <c r="B78" s="49"/>
      <c r="C78" s="50"/>
    </row>
    <row r="79" spans="1:3" ht="15" customHeight="1" x14ac:dyDescent="0.25">
      <c r="A79" s="48" t="s">
        <v>17167</v>
      </c>
      <c r="B79" s="49"/>
      <c r="C79" s="50"/>
    </row>
    <row r="80" spans="1:3" ht="15" customHeight="1" x14ac:dyDescent="0.25">
      <c r="A80" s="40" t="s">
        <v>17168</v>
      </c>
      <c r="B80" s="41"/>
      <c r="C80" s="42"/>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8A03-FC9B-46C1-9FCD-41A186C306D9}">
  <sheetPr>
    <pageSetUpPr fitToPage="1"/>
  </sheetPr>
  <dimension ref="A1:K3406"/>
  <sheetViews>
    <sheetView topLeftCell="A3" workbookViewId="0">
      <selection activeCell="P17" sqref="P17"/>
    </sheetView>
  </sheetViews>
  <sheetFormatPr defaultRowHeight="15" x14ac:dyDescent="0.25"/>
  <cols>
    <col min="1" max="1" width="20.140625" style="5" bestFit="1" customWidth="1"/>
    <col min="2" max="2" width="16.85546875" style="5" bestFit="1" customWidth="1"/>
    <col min="3" max="3" width="34.85546875" style="1" bestFit="1" customWidth="1"/>
    <col min="4" max="4" width="6.7109375" style="5" bestFit="1" customWidth="1"/>
    <col min="5" max="5" width="9.140625" style="32" bestFit="1" customWidth="1"/>
    <col min="6" max="6" width="16.140625" style="27" customWidth="1"/>
    <col min="7" max="7" width="12" style="32" customWidth="1"/>
    <col min="8" max="8" width="13.85546875" style="27" bestFit="1" customWidth="1"/>
    <col min="9" max="10" width="14.42578125" style="27" bestFit="1" customWidth="1"/>
    <col min="11" max="11" width="18.140625" style="29" bestFit="1" customWidth="1"/>
  </cols>
  <sheetData>
    <row r="1" spans="1:11" s="33" customFormat="1" ht="15.75" x14ac:dyDescent="0.25">
      <c r="A1" s="35" t="s">
        <v>18460</v>
      </c>
      <c r="B1" s="5"/>
      <c r="C1" s="5"/>
      <c r="D1" s="5"/>
      <c r="E1" s="32"/>
      <c r="F1" s="30"/>
      <c r="G1" s="32"/>
      <c r="H1" s="30"/>
      <c r="I1" s="30"/>
      <c r="J1" s="30"/>
      <c r="K1" s="31"/>
    </row>
    <row r="2" spans="1:11" x14ac:dyDescent="0.25">
      <c r="A2" s="51" t="s">
        <v>18465</v>
      </c>
    </row>
    <row r="4" spans="1:11" x14ac:dyDescent="0.25">
      <c r="A4" s="24" t="s">
        <v>17169</v>
      </c>
      <c r="B4" s="24" t="s">
        <v>17170</v>
      </c>
      <c r="C4" s="23" t="s">
        <v>17173</v>
      </c>
      <c r="D4" s="24" t="s">
        <v>17174</v>
      </c>
      <c r="E4" s="25" t="s">
        <v>17175</v>
      </c>
      <c r="F4" s="26" t="s">
        <v>17176</v>
      </c>
      <c r="G4" s="25" t="s">
        <v>17177</v>
      </c>
      <c r="H4" s="26" t="s">
        <v>17178</v>
      </c>
      <c r="I4" s="26" t="s">
        <v>17179</v>
      </c>
      <c r="J4" s="26" t="s">
        <v>17180</v>
      </c>
      <c r="K4" s="28" t="s">
        <v>17181</v>
      </c>
    </row>
    <row r="5" spans="1:11" x14ac:dyDescent="0.25">
      <c r="A5" s="5" t="s">
        <v>6</v>
      </c>
      <c r="B5" s="5" t="s">
        <v>7</v>
      </c>
      <c r="C5" s="1" t="s">
        <v>8</v>
      </c>
      <c r="E5" s="32">
        <v>4710</v>
      </c>
      <c r="F5" s="27">
        <v>63282168</v>
      </c>
      <c r="G5" s="32">
        <v>4810</v>
      </c>
      <c r="H5" s="27">
        <v>68615464</v>
      </c>
      <c r="I5" s="27">
        <v>13435.704458598726</v>
      </c>
      <c r="J5" s="27">
        <v>14265.16923076923</v>
      </c>
      <c r="K5" s="29">
        <v>6.173586020193042E-2</v>
      </c>
    </row>
    <row r="6" spans="1:11" x14ac:dyDescent="0.25">
      <c r="A6" s="5" t="s">
        <v>6</v>
      </c>
      <c r="B6" s="5" t="s">
        <v>10</v>
      </c>
      <c r="C6" s="1" t="s">
        <v>11</v>
      </c>
      <c r="E6" s="32">
        <v>121</v>
      </c>
      <c r="F6" s="27">
        <v>1640699</v>
      </c>
      <c r="G6" s="32">
        <v>63</v>
      </c>
      <c r="H6" s="27">
        <v>887516</v>
      </c>
      <c r="I6" s="27">
        <v>13559.495867768595</v>
      </c>
      <c r="J6" s="27">
        <v>14087.555555555555</v>
      </c>
      <c r="K6" s="29">
        <v>3.8943902703800076E-2</v>
      </c>
    </row>
    <row r="7" spans="1:11" x14ac:dyDescent="0.25">
      <c r="A7" s="5" t="s">
        <v>6</v>
      </c>
      <c r="B7" s="5" t="s">
        <v>13</v>
      </c>
      <c r="C7" s="1" t="s">
        <v>14</v>
      </c>
      <c r="E7" s="32">
        <v>231</v>
      </c>
      <c r="F7" s="27">
        <v>4041192</v>
      </c>
      <c r="G7" s="32">
        <v>168</v>
      </c>
      <c r="H7" s="27">
        <v>3173145</v>
      </c>
      <c r="I7" s="27">
        <v>17494.337662337661</v>
      </c>
      <c r="J7" s="27">
        <v>18887.767857142859</v>
      </c>
      <c r="K7" s="29">
        <v>7.9650354400385023E-2</v>
      </c>
    </row>
    <row r="8" spans="1:11" s="2" customFormat="1" ht="15" customHeight="1" x14ac:dyDescent="0.25">
      <c r="A8" s="5" t="s">
        <v>6</v>
      </c>
      <c r="B8" s="5" t="s">
        <v>16</v>
      </c>
      <c r="C8" s="1" t="s">
        <v>17</v>
      </c>
      <c r="D8" s="5"/>
      <c r="E8" s="32">
        <v>717</v>
      </c>
      <c r="F8" s="27">
        <v>5844708</v>
      </c>
      <c r="G8" s="32">
        <v>979</v>
      </c>
      <c r="H8" s="27">
        <v>8446722</v>
      </c>
      <c r="I8" s="27">
        <v>8151.6150627615061</v>
      </c>
      <c r="J8" s="27">
        <v>8627.9080694586319</v>
      </c>
      <c r="K8" s="29">
        <v>5.8429280949850559E-2</v>
      </c>
    </row>
    <row r="9" spans="1:11" x14ac:dyDescent="0.25">
      <c r="A9" s="5" t="s">
        <v>6</v>
      </c>
      <c r="B9" s="5" t="s">
        <v>19</v>
      </c>
      <c r="C9" s="1" t="s">
        <v>11</v>
      </c>
      <c r="E9" s="32">
        <v>2550</v>
      </c>
      <c r="F9" s="27">
        <v>34194780</v>
      </c>
      <c r="G9" s="32">
        <v>2779</v>
      </c>
      <c r="H9" s="27">
        <v>39794380</v>
      </c>
      <c r="I9" s="27">
        <v>13409.717647058824</v>
      </c>
      <c r="J9" s="27">
        <v>14319.676142497301</v>
      </c>
      <c r="K9" s="29">
        <v>6.7858139849652985E-2</v>
      </c>
    </row>
    <row r="10" spans="1:11" x14ac:dyDescent="0.25">
      <c r="A10" s="5" t="s">
        <v>6</v>
      </c>
      <c r="B10" s="5" t="s">
        <v>20</v>
      </c>
      <c r="C10" s="1" t="s">
        <v>14</v>
      </c>
      <c r="E10" s="32">
        <v>334</v>
      </c>
      <c r="F10" s="27">
        <v>5921411</v>
      </c>
      <c r="G10" s="32">
        <v>308</v>
      </c>
      <c r="H10" s="27">
        <v>5805303</v>
      </c>
      <c r="I10" s="27">
        <v>17728.775449101795</v>
      </c>
      <c r="J10" s="27">
        <v>18848.386363636364</v>
      </c>
      <c r="K10" s="29">
        <v>6.3152185425829427E-2</v>
      </c>
    </row>
    <row r="11" spans="1:11" x14ac:dyDescent="0.25">
      <c r="A11" s="5" t="s">
        <v>6</v>
      </c>
      <c r="B11" s="5" t="s">
        <v>21</v>
      </c>
      <c r="C11" s="1" t="s">
        <v>17</v>
      </c>
      <c r="E11" s="32">
        <v>364</v>
      </c>
      <c r="F11" s="27">
        <v>2970868</v>
      </c>
      <c r="G11" s="32">
        <v>365</v>
      </c>
      <c r="H11" s="27">
        <v>3158508</v>
      </c>
      <c r="I11" s="27">
        <v>8161.7252747252751</v>
      </c>
      <c r="J11" s="27">
        <v>8653.4465753424665</v>
      </c>
      <c r="K11" s="29">
        <v>6.024722519635934E-2</v>
      </c>
    </row>
    <row r="12" spans="1:11" x14ac:dyDescent="0.25">
      <c r="A12" s="5" t="s">
        <v>6</v>
      </c>
      <c r="B12" s="5" t="s">
        <v>22</v>
      </c>
      <c r="C12" s="1" t="s">
        <v>23</v>
      </c>
      <c r="E12" s="32">
        <v>-6</v>
      </c>
      <c r="F12" s="27">
        <v>-24324</v>
      </c>
      <c r="G12" s="32">
        <v>-2</v>
      </c>
      <c r="H12" s="27">
        <v>-8464</v>
      </c>
      <c r="I12" s="27">
        <v>4054</v>
      </c>
      <c r="J12" s="27">
        <v>4232</v>
      </c>
      <c r="K12" s="29">
        <v>4.3907252096694625E-2</v>
      </c>
    </row>
    <row r="13" spans="1:11" x14ac:dyDescent="0.25">
      <c r="A13" s="5" t="s">
        <v>6</v>
      </c>
      <c r="B13" s="5" t="s">
        <v>25</v>
      </c>
      <c r="C13" s="1" t="s">
        <v>8</v>
      </c>
      <c r="E13" s="32">
        <v>-5</v>
      </c>
      <c r="F13" s="27">
        <v>-62635</v>
      </c>
      <c r="G13" s="32">
        <v>4</v>
      </c>
      <c r="H13" s="27">
        <v>58768</v>
      </c>
      <c r="I13" s="27">
        <v>12527</v>
      </c>
      <c r="J13" s="27">
        <v>14692</v>
      </c>
      <c r="K13" s="29">
        <v>0.1728266943402251</v>
      </c>
    </row>
    <row r="14" spans="1:11" x14ac:dyDescent="0.25">
      <c r="A14" s="5" t="s">
        <v>6</v>
      </c>
      <c r="B14" s="5" t="s">
        <v>27</v>
      </c>
      <c r="C14" s="1" t="s">
        <v>17</v>
      </c>
      <c r="E14" s="32">
        <v>-19</v>
      </c>
      <c r="F14" s="27">
        <v>-141988</v>
      </c>
      <c r="G14" s="32">
        <v>5</v>
      </c>
      <c r="H14" s="27">
        <v>47062</v>
      </c>
      <c r="I14" s="27">
        <v>7473.0526315789475</v>
      </c>
      <c r="J14" s="27">
        <v>9412.4</v>
      </c>
      <c r="K14" s="29">
        <v>0.25951207144265703</v>
      </c>
    </row>
    <row r="15" spans="1:11" x14ac:dyDescent="0.25">
      <c r="A15" s="5" t="s">
        <v>6</v>
      </c>
      <c r="B15" s="5" t="s">
        <v>28</v>
      </c>
      <c r="C15" s="1" t="s">
        <v>23</v>
      </c>
      <c r="E15" s="32">
        <v>56</v>
      </c>
      <c r="F15" s="27">
        <v>255780</v>
      </c>
      <c r="G15" s="32">
        <v>105</v>
      </c>
      <c r="H15" s="27">
        <v>507288</v>
      </c>
      <c r="I15" s="27">
        <v>4567.5</v>
      </c>
      <c r="J15" s="27">
        <v>4831.3142857142857</v>
      </c>
      <c r="K15" s="29">
        <v>5.7759011650637258E-2</v>
      </c>
    </row>
    <row r="16" spans="1:11" x14ac:dyDescent="0.25">
      <c r="A16" s="5" t="s">
        <v>6</v>
      </c>
      <c r="B16" s="5" t="s">
        <v>29</v>
      </c>
      <c r="C16" s="1" t="s">
        <v>8</v>
      </c>
      <c r="E16" s="32">
        <v>4</v>
      </c>
      <c r="F16" s="27">
        <v>53339</v>
      </c>
      <c r="G16" s="32">
        <v>16</v>
      </c>
      <c r="H16" s="27">
        <v>230720</v>
      </c>
      <c r="I16" s="27">
        <v>13334.75</v>
      </c>
      <c r="J16" s="27">
        <v>14420</v>
      </c>
      <c r="K16" s="29">
        <v>8.1385102832824019E-2</v>
      </c>
    </row>
    <row r="17" spans="1:11" x14ac:dyDescent="0.25">
      <c r="A17" s="5" t="s">
        <v>6</v>
      </c>
      <c r="B17" s="5" t="s">
        <v>30</v>
      </c>
      <c r="C17" s="1" t="s">
        <v>11</v>
      </c>
      <c r="E17" s="32">
        <v>2</v>
      </c>
      <c r="F17" s="27">
        <v>27208</v>
      </c>
      <c r="I17" s="27">
        <v>13604</v>
      </c>
    </row>
    <row r="18" spans="1:11" x14ac:dyDescent="0.25">
      <c r="A18" s="5" t="s">
        <v>6</v>
      </c>
      <c r="B18" s="5" t="s">
        <v>31</v>
      </c>
      <c r="C18" s="1" t="s">
        <v>32</v>
      </c>
      <c r="E18" s="32">
        <v>0</v>
      </c>
      <c r="F18" s="27">
        <v>0</v>
      </c>
      <c r="G18" s="32">
        <v>15</v>
      </c>
      <c r="H18" s="27">
        <v>69368</v>
      </c>
      <c r="J18" s="27">
        <v>4624.5333333333338</v>
      </c>
    </row>
    <row r="19" spans="1:11" x14ac:dyDescent="0.25">
      <c r="A19" s="5" t="s">
        <v>6</v>
      </c>
      <c r="B19" s="5" t="s">
        <v>37</v>
      </c>
      <c r="C19" s="1" t="s">
        <v>17</v>
      </c>
      <c r="E19" s="32">
        <v>4974</v>
      </c>
      <c r="F19" s="27">
        <v>40401864</v>
      </c>
      <c r="G19" s="32">
        <v>5049</v>
      </c>
      <c r="H19" s="27">
        <v>43756684</v>
      </c>
      <c r="I19" s="27">
        <v>8122.6103739445116</v>
      </c>
      <c r="J19" s="27">
        <v>8666.4060209942563</v>
      </c>
      <c r="K19" s="29">
        <v>6.6948385065239327E-2</v>
      </c>
    </row>
    <row r="20" spans="1:11" x14ac:dyDescent="0.25">
      <c r="A20" s="5" t="s">
        <v>6</v>
      </c>
      <c r="B20" s="5" t="s">
        <v>38</v>
      </c>
      <c r="C20" s="1" t="s">
        <v>23</v>
      </c>
      <c r="E20" s="32">
        <v>609</v>
      </c>
      <c r="F20" s="27">
        <v>2783200</v>
      </c>
      <c r="G20" s="32">
        <v>653</v>
      </c>
      <c r="H20" s="27">
        <v>3190008</v>
      </c>
      <c r="I20" s="27">
        <v>4570.1149425287358</v>
      </c>
      <c r="J20" s="27">
        <v>4885.1577335375196</v>
      </c>
      <c r="K20" s="29">
        <v>6.8935419561781147E-2</v>
      </c>
    </row>
    <row r="21" spans="1:11" x14ac:dyDescent="0.25">
      <c r="A21" s="5" t="s">
        <v>6</v>
      </c>
      <c r="B21" s="5" t="s">
        <v>39</v>
      </c>
      <c r="C21" s="1" t="s">
        <v>8</v>
      </c>
      <c r="E21" s="32">
        <v>7</v>
      </c>
      <c r="F21" s="27">
        <v>94151</v>
      </c>
      <c r="G21" s="32">
        <v>13</v>
      </c>
      <c r="H21" s="27">
        <v>188820</v>
      </c>
      <c r="I21" s="27">
        <v>13450.142857142857</v>
      </c>
      <c r="J21" s="27">
        <v>14524.615384615385</v>
      </c>
      <c r="K21" s="29">
        <v>7.9885584776664034E-2</v>
      </c>
    </row>
    <row r="22" spans="1:11" x14ac:dyDescent="0.25">
      <c r="A22" s="5" t="s">
        <v>6</v>
      </c>
      <c r="B22" s="5" t="s">
        <v>41</v>
      </c>
      <c r="C22" s="1" t="s">
        <v>35</v>
      </c>
      <c r="E22" s="32">
        <v>1</v>
      </c>
      <c r="F22" s="27">
        <v>4600</v>
      </c>
      <c r="G22" s="32">
        <v>1</v>
      </c>
      <c r="H22" s="27">
        <v>4968</v>
      </c>
      <c r="I22" s="27">
        <v>4600</v>
      </c>
      <c r="J22" s="27">
        <v>4968</v>
      </c>
      <c r="K22" s="29">
        <v>0.08</v>
      </c>
    </row>
    <row r="23" spans="1:11" x14ac:dyDescent="0.25">
      <c r="A23" s="5" t="s">
        <v>6</v>
      </c>
      <c r="B23" s="5" t="s">
        <v>42</v>
      </c>
      <c r="C23" s="1" t="s">
        <v>17</v>
      </c>
      <c r="E23" s="32">
        <v>7116</v>
      </c>
      <c r="F23" s="27">
        <v>57789564</v>
      </c>
      <c r="G23" s="32">
        <v>7296</v>
      </c>
      <c r="H23" s="27">
        <v>63232000</v>
      </c>
      <c r="I23" s="27">
        <v>8121.0741989881953</v>
      </c>
      <c r="J23" s="27">
        <v>8666.6666666666661</v>
      </c>
      <c r="K23" s="29">
        <v>6.7182303019278661E-2</v>
      </c>
    </row>
    <row r="24" spans="1:11" x14ac:dyDescent="0.25">
      <c r="A24" s="5" t="s">
        <v>6</v>
      </c>
      <c r="B24" s="5" t="s">
        <v>43</v>
      </c>
      <c r="C24" s="1" t="s">
        <v>23</v>
      </c>
      <c r="E24" s="32">
        <v>670</v>
      </c>
      <c r="F24" s="27">
        <v>3052880</v>
      </c>
      <c r="G24" s="32">
        <v>695</v>
      </c>
      <c r="H24" s="27">
        <v>3387256</v>
      </c>
      <c r="I24" s="27">
        <v>4556.5373134328356</v>
      </c>
      <c r="J24" s="27">
        <v>4873.7496402877696</v>
      </c>
      <c r="K24" s="29">
        <v>6.9616971185505416E-2</v>
      </c>
    </row>
    <row r="25" spans="1:11" x14ac:dyDescent="0.25">
      <c r="A25" s="5" t="s">
        <v>6</v>
      </c>
      <c r="B25" s="5" t="s">
        <v>45</v>
      </c>
      <c r="C25" s="1" t="s">
        <v>35</v>
      </c>
      <c r="E25" s="32">
        <v>3</v>
      </c>
      <c r="F25" s="27">
        <v>13800</v>
      </c>
      <c r="I25" s="27">
        <v>4600</v>
      </c>
    </row>
    <row r="26" spans="1:11" x14ac:dyDescent="0.25">
      <c r="A26" s="5" t="s">
        <v>6</v>
      </c>
      <c r="B26" s="5" t="s">
        <v>46</v>
      </c>
      <c r="C26" s="1" t="s">
        <v>17</v>
      </c>
      <c r="E26" s="32">
        <v>8096</v>
      </c>
      <c r="F26" s="27">
        <v>65725864</v>
      </c>
      <c r="G26" s="32">
        <v>8390</v>
      </c>
      <c r="H26" s="27">
        <v>72715746</v>
      </c>
      <c r="I26" s="27">
        <v>8118.313241106719</v>
      </c>
      <c r="J26" s="27">
        <v>8666.9542312276517</v>
      </c>
      <c r="K26" s="29">
        <v>6.7580662857761306E-2</v>
      </c>
    </row>
    <row r="27" spans="1:11" x14ac:dyDescent="0.25">
      <c r="A27" s="5" t="s">
        <v>6</v>
      </c>
      <c r="B27" s="5" t="s">
        <v>47</v>
      </c>
      <c r="C27" s="1" t="s">
        <v>23</v>
      </c>
      <c r="E27" s="32">
        <v>1230</v>
      </c>
      <c r="F27" s="27">
        <v>5575736</v>
      </c>
      <c r="G27" s="32">
        <v>847</v>
      </c>
      <c r="H27" s="27">
        <v>4133928</v>
      </c>
      <c r="I27" s="27">
        <v>4533.1186991869918</v>
      </c>
      <c r="J27" s="27">
        <v>4880.6706021251475</v>
      </c>
      <c r="K27" s="29">
        <v>7.6669490918137378E-2</v>
      </c>
    </row>
    <row r="28" spans="1:11" x14ac:dyDescent="0.25">
      <c r="A28" s="5" t="s">
        <v>6</v>
      </c>
      <c r="B28" s="5" t="s">
        <v>48</v>
      </c>
      <c r="C28" s="1" t="s">
        <v>32</v>
      </c>
      <c r="E28" s="32">
        <v>3</v>
      </c>
      <c r="F28" s="27">
        <v>13800</v>
      </c>
      <c r="G28" s="32">
        <v>30</v>
      </c>
      <c r="H28" s="27">
        <v>141680</v>
      </c>
      <c r="I28" s="27">
        <v>4600</v>
      </c>
      <c r="J28" s="27">
        <v>4722.666666666667</v>
      </c>
      <c r="K28" s="29">
        <v>2.6666666666666734E-2</v>
      </c>
    </row>
    <row r="29" spans="1:11" x14ac:dyDescent="0.25">
      <c r="A29" s="5" t="s">
        <v>6</v>
      </c>
      <c r="B29" s="5" t="s">
        <v>50</v>
      </c>
      <c r="C29" s="1" t="s">
        <v>17</v>
      </c>
      <c r="E29" s="32">
        <v>5740</v>
      </c>
      <c r="F29" s="27">
        <v>46597584</v>
      </c>
      <c r="G29" s="32">
        <v>6307</v>
      </c>
      <c r="H29" s="27">
        <v>54808278</v>
      </c>
      <c r="I29" s="27">
        <v>8118.0459930313591</v>
      </c>
      <c r="J29" s="27">
        <v>8690.071032186459</v>
      </c>
      <c r="K29" s="29">
        <v>7.0463389791845715E-2</v>
      </c>
    </row>
    <row r="30" spans="1:11" x14ac:dyDescent="0.25">
      <c r="A30" s="5" t="s">
        <v>6</v>
      </c>
      <c r="B30" s="5" t="s">
        <v>55</v>
      </c>
      <c r="C30" s="1" t="s">
        <v>23</v>
      </c>
      <c r="E30" s="32">
        <v>6683</v>
      </c>
      <c r="F30" s="27">
        <v>30362162</v>
      </c>
      <c r="G30" s="32">
        <v>7677</v>
      </c>
      <c r="H30" s="27">
        <v>37211976</v>
      </c>
      <c r="I30" s="27">
        <v>4543.1934759838396</v>
      </c>
      <c r="J30" s="27">
        <v>4847.2028135990622</v>
      </c>
      <c r="K30" s="29">
        <v>6.6915340326638567E-2</v>
      </c>
    </row>
    <row r="31" spans="1:11" x14ac:dyDescent="0.25">
      <c r="A31" s="5" t="s">
        <v>6</v>
      </c>
      <c r="B31" s="5" t="s">
        <v>57</v>
      </c>
      <c r="C31" s="1" t="s">
        <v>35</v>
      </c>
      <c r="E31" s="32">
        <v>0</v>
      </c>
      <c r="F31" s="27">
        <v>0</v>
      </c>
      <c r="G31" s="32">
        <v>1</v>
      </c>
      <c r="H31" s="27">
        <v>4968</v>
      </c>
      <c r="J31" s="27">
        <v>4968</v>
      </c>
    </row>
    <row r="32" spans="1:11" x14ac:dyDescent="0.25">
      <c r="A32" s="5" t="s">
        <v>6</v>
      </c>
      <c r="B32" s="5" t="s">
        <v>58</v>
      </c>
      <c r="C32" s="1" t="s">
        <v>17</v>
      </c>
      <c r="E32" s="32">
        <v>2226</v>
      </c>
      <c r="F32" s="27">
        <v>18099690</v>
      </c>
      <c r="G32" s="32">
        <v>1457</v>
      </c>
      <c r="H32" s="27">
        <v>12770558</v>
      </c>
      <c r="I32" s="27">
        <v>8131.0377358490568</v>
      </c>
      <c r="J32" s="27">
        <v>8764.967741935483</v>
      </c>
      <c r="K32" s="29">
        <v>7.7964218920234793E-2</v>
      </c>
    </row>
    <row r="33" spans="1:11" x14ac:dyDescent="0.25">
      <c r="A33" s="5" t="s">
        <v>6</v>
      </c>
      <c r="B33" s="5" t="s">
        <v>59</v>
      </c>
      <c r="C33" s="1" t="s">
        <v>23</v>
      </c>
      <c r="E33" s="32">
        <v>3917</v>
      </c>
      <c r="F33" s="27">
        <v>17785604</v>
      </c>
      <c r="G33" s="32">
        <v>4247</v>
      </c>
      <c r="H33" s="27">
        <v>20600088</v>
      </c>
      <c r="I33" s="27">
        <v>4540.6188409497063</v>
      </c>
      <c r="J33" s="27">
        <v>4850.5034141747119</v>
      </c>
      <c r="K33" s="29">
        <v>6.8247211245811332E-2</v>
      </c>
    </row>
    <row r="34" spans="1:11" x14ac:dyDescent="0.25">
      <c r="A34" s="5" t="s">
        <v>6</v>
      </c>
      <c r="B34" s="5" t="s">
        <v>60</v>
      </c>
      <c r="C34" s="1" t="s">
        <v>32</v>
      </c>
      <c r="E34" s="32">
        <v>0</v>
      </c>
      <c r="F34" s="27">
        <v>0</v>
      </c>
      <c r="G34" s="32">
        <v>37</v>
      </c>
      <c r="H34" s="27">
        <v>183448</v>
      </c>
      <c r="J34" s="27">
        <v>4958.0540540540542</v>
      </c>
    </row>
    <row r="35" spans="1:11" x14ac:dyDescent="0.25">
      <c r="A35" s="5" t="s">
        <v>6</v>
      </c>
      <c r="B35" s="5" t="s">
        <v>62</v>
      </c>
      <c r="C35" s="1" t="s">
        <v>17</v>
      </c>
      <c r="E35" s="32">
        <v>70</v>
      </c>
      <c r="F35" s="27">
        <v>564876</v>
      </c>
      <c r="G35" s="32">
        <v>67</v>
      </c>
      <c r="H35" s="27">
        <v>580886</v>
      </c>
      <c r="I35" s="27">
        <v>8069.6571428571433</v>
      </c>
      <c r="J35" s="27">
        <v>8669.940298507463</v>
      </c>
      <c r="K35" s="29">
        <v>7.4387690210811541E-2</v>
      </c>
    </row>
    <row r="36" spans="1:11" x14ac:dyDescent="0.25">
      <c r="A36" s="5" t="s">
        <v>6</v>
      </c>
      <c r="B36" s="5" t="s">
        <v>66</v>
      </c>
      <c r="C36" s="1" t="s">
        <v>65</v>
      </c>
      <c r="E36" s="32">
        <v>89</v>
      </c>
      <c r="F36" s="27">
        <v>1619260</v>
      </c>
      <c r="G36" s="32">
        <v>96</v>
      </c>
      <c r="H36" s="27">
        <v>1851365</v>
      </c>
      <c r="I36" s="27">
        <v>18193.932584269663</v>
      </c>
      <c r="J36" s="27">
        <v>19285.052083333332</v>
      </c>
      <c r="K36" s="29">
        <v>5.9971613833891102E-2</v>
      </c>
    </row>
    <row r="37" spans="1:11" x14ac:dyDescent="0.25">
      <c r="A37" s="5" t="s">
        <v>6</v>
      </c>
      <c r="B37" s="5" t="s">
        <v>67</v>
      </c>
      <c r="C37" s="1" t="s">
        <v>68</v>
      </c>
      <c r="E37" s="32">
        <v>79</v>
      </c>
      <c r="F37" s="27">
        <v>1555859</v>
      </c>
      <c r="G37" s="32">
        <v>77</v>
      </c>
      <c r="H37" s="27">
        <v>1600284</v>
      </c>
      <c r="I37" s="27">
        <v>19694.417721518988</v>
      </c>
      <c r="J37" s="27">
        <v>20782.909090909092</v>
      </c>
      <c r="K37" s="29">
        <v>5.5269030279619276E-2</v>
      </c>
    </row>
    <row r="38" spans="1:11" x14ac:dyDescent="0.25">
      <c r="A38" s="5" t="s">
        <v>6</v>
      </c>
      <c r="B38" s="5" t="s">
        <v>79</v>
      </c>
      <c r="C38" s="1" t="s">
        <v>80</v>
      </c>
      <c r="E38" s="32">
        <v>2</v>
      </c>
      <c r="F38" s="27">
        <v>18924</v>
      </c>
      <c r="I38" s="27">
        <v>9462</v>
      </c>
    </row>
    <row r="39" spans="1:11" x14ac:dyDescent="0.25">
      <c r="A39" s="5" t="s">
        <v>6</v>
      </c>
      <c r="B39" s="5" t="s">
        <v>82</v>
      </c>
      <c r="C39" s="1" t="s">
        <v>83</v>
      </c>
      <c r="E39" s="32">
        <v>10</v>
      </c>
      <c r="F39" s="27">
        <v>45689</v>
      </c>
      <c r="I39" s="27">
        <v>4568.8999999999996</v>
      </c>
    </row>
    <row r="40" spans="1:11" x14ac:dyDescent="0.25">
      <c r="A40" s="5" t="s">
        <v>6</v>
      </c>
      <c r="B40" s="5" t="s">
        <v>85</v>
      </c>
      <c r="C40" s="1" t="s">
        <v>86</v>
      </c>
      <c r="E40" s="32">
        <v>1943</v>
      </c>
      <c r="F40" s="27">
        <v>19617849</v>
      </c>
      <c r="G40" s="32">
        <v>2013</v>
      </c>
      <c r="H40" s="27">
        <v>21721059</v>
      </c>
      <c r="I40" s="27">
        <v>10096.679876479671</v>
      </c>
      <c r="J40" s="27">
        <v>10790.391952309985</v>
      </c>
      <c r="K40" s="29">
        <v>6.8706949642557608E-2</v>
      </c>
    </row>
    <row r="41" spans="1:11" x14ac:dyDescent="0.25">
      <c r="A41" s="5" t="s">
        <v>6</v>
      </c>
      <c r="B41" s="5" t="s">
        <v>88</v>
      </c>
      <c r="C41" s="1" t="s">
        <v>89</v>
      </c>
      <c r="E41" s="32">
        <v>7394</v>
      </c>
      <c r="F41" s="27">
        <v>34833260</v>
      </c>
      <c r="G41" s="32">
        <v>7573</v>
      </c>
      <c r="H41" s="27">
        <v>38100174</v>
      </c>
      <c r="I41" s="27">
        <v>4711.0170408439271</v>
      </c>
      <c r="J41" s="27">
        <v>5031.0542717549188</v>
      </c>
      <c r="K41" s="29">
        <v>6.7933787574171137E-2</v>
      </c>
    </row>
    <row r="42" spans="1:11" x14ac:dyDescent="0.25">
      <c r="A42" s="5" t="s">
        <v>6</v>
      </c>
      <c r="B42" s="5" t="s">
        <v>91</v>
      </c>
      <c r="C42" s="1" t="s">
        <v>92</v>
      </c>
      <c r="E42" s="32">
        <v>1014</v>
      </c>
      <c r="F42" s="27">
        <v>10809786</v>
      </c>
      <c r="G42" s="32">
        <v>1022</v>
      </c>
      <c r="H42" s="27">
        <v>11673179</v>
      </c>
      <c r="I42" s="27">
        <v>10660.538461538461</v>
      </c>
      <c r="J42" s="27">
        <v>11421.897260273972</v>
      </c>
      <c r="K42" s="29">
        <v>7.1418418636391923E-2</v>
      </c>
    </row>
    <row r="43" spans="1:11" x14ac:dyDescent="0.25">
      <c r="A43" s="5" t="s">
        <v>6</v>
      </c>
      <c r="B43" s="5" t="s">
        <v>94</v>
      </c>
      <c r="C43" s="1" t="s">
        <v>95</v>
      </c>
      <c r="E43" s="32">
        <v>6898</v>
      </c>
      <c r="F43" s="27">
        <v>34377128</v>
      </c>
      <c r="G43" s="32">
        <v>6819</v>
      </c>
      <c r="H43" s="27">
        <v>36381183</v>
      </c>
      <c r="I43" s="27">
        <v>4983.6369962307917</v>
      </c>
      <c r="J43" s="27">
        <v>5335.2666080070394</v>
      </c>
      <c r="K43" s="29">
        <v>7.0556826679429308E-2</v>
      </c>
    </row>
    <row r="44" spans="1:11" x14ac:dyDescent="0.25">
      <c r="A44" s="5" t="s">
        <v>6</v>
      </c>
      <c r="B44" s="5" t="s">
        <v>97</v>
      </c>
      <c r="C44" s="1" t="s">
        <v>98</v>
      </c>
      <c r="E44" s="32">
        <v>7</v>
      </c>
      <c r="F44" s="27">
        <v>78323</v>
      </c>
      <c r="G44" s="32">
        <v>5</v>
      </c>
      <c r="H44" s="27">
        <v>61618</v>
      </c>
      <c r="I44" s="27">
        <v>11189</v>
      </c>
      <c r="J44" s="27">
        <v>12323.6</v>
      </c>
      <c r="K44" s="29">
        <v>0.10140316382161055</v>
      </c>
    </row>
    <row r="45" spans="1:11" x14ac:dyDescent="0.25">
      <c r="A45" s="5" t="s">
        <v>6</v>
      </c>
      <c r="B45" s="5" t="s">
        <v>100</v>
      </c>
      <c r="C45" s="1" t="s">
        <v>101</v>
      </c>
      <c r="E45" s="32">
        <v>75</v>
      </c>
      <c r="F45" s="27">
        <v>397086</v>
      </c>
      <c r="G45" s="32">
        <v>31</v>
      </c>
      <c r="H45" s="27">
        <v>178106</v>
      </c>
      <c r="I45" s="27">
        <v>5294.48</v>
      </c>
      <c r="J45" s="27">
        <v>5745.3548387096771</v>
      </c>
      <c r="K45" s="29">
        <v>8.5159418622731145E-2</v>
      </c>
    </row>
    <row r="46" spans="1:11" x14ac:dyDescent="0.25">
      <c r="A46" s="5" t="s">
        <v>6</v>
      </c>
      <c r="B46" s="5" t="s">
        <v>103</v>
      </c>
      <c r="C46" s="1" t="s">
        <v>104</v>
      </c>
      <c r="E46" s="32">
        <v>50</v>
      </c>
      <c r="F46" s="27">
        <v>528180</v>
      </c>
      <c r="G46" s="32">
        <v>37</v>
      </c>
      <c r="H46" s="27">
        <v>415930</v>
      </c>
      <c r="I46" s="27">
        <v>10563.6</v>
      </c>
      <c r="J46" s="27">
        <v>11241.351351351352</v>
      </c>
      <c r="K46" s="29">
        <v>6.4159126751424822E-2</v>
      </c>
    </row>
    <row r="47" spans="1:11" x14ac:dyDescent="0.25">
      <c r="A47" s="5" t="s">
        <v>6</v>
      </c>
      <c r="B47" s="5" t="s">
        <v>106</v>
      </c>
      <c r="C47" s="1" t="s">
        <v>107</v>
      </c>
      <c r="E47" s="32">
        <v>526</v>
      </c>
      <c r="F47" s="27">
        <v>2589798</v>
      </c>
      <c r="G47" s="32">
        <v>372</v>
      </c>
      <c r="H47" s="27">
        <v>1952882</v>
      </c>
      <c r="I47" s="27">
        <v>4923.570342205323</v>
      </c>
      <c r="J47" s="27">
        <v>5249.6827956989246</v>
      </c>
      <c r="K47" s="29">
        <v>6.6234953667287738E-2</v>
      </c>
    </row>
    <row r="48" spans="1:11" x14ac:dyDescent="0.25">
      <c r="A48" s="5" t="s">
        <v>6</v>
      </c>
      <c r="B48" s="5" t="s">
        <v>108</v>
      </c>
      <c r="C48" s="1" t="s">
        <v>109</v>
      </c>
      <c r="E48" s="32">
        <v>120</v>
      </c>
      <c r="F48" s="27">
        <v>1315620</v>
      </c>
      <c r="G48" s="32">
        <v>129</v>
      </c>
      <c r="H48" s="27">
        <v>1502487</v>
      </c>
      <c r="I48" s="27">
        <v>10963.5</v>
      </c>
      <c r="J48" s="27">
        <v>11647.186046511628</v>
      </c>
      <c r="K48" s="29">
        <v>6.2360199435547763E-2</v>
      </c>
    </row>
    <row r="49" spans="1:11" x14ac:dyDescent="0.25">
      <c r="A49" s="5" t="s">
        <v>6</v>
      </c>
      <c r="B49" s="5" t="s">
        <v>111</v>
      </c>
      <c r="C49" s="1" t="s">
        <v>112</v>
      </c>
      <c r="E49" s="32">
        <v>1255</v>
      </c>
      <c r="F49" s="27">
        <v>6450905</v>
      </c>
      <c r="G49" s="32">
        <v>1441</v>
      </c>
      <c r="H49" s="27">
        <v>7870713</v>
      </c>
      <c r="I49" s="27">
        <v>5140.1633466135454</v>
      </c>
      <c r="J49" s="27">
        <v>5461.9798750867449</v>
      </c>
      <c r="K49" s="29">
        <v>6.2608229889273725E-2</v>
      </c>
    </row>
    <row r="50" spans="1:11" x14ac:dyDescent="0.25">
      <c r="A50" s="5" t="s">
        <v>6</v>
      </c>
      <c r="B50" s="5" t="s">
        <v>118</v>
      </c>
      <c r="C50" s="1" t="s">
        <v>119</v>
      </c>
      <c r="E50" s="32">
        <v>32</v>
      </c>
      <c r="F50" s="27">
        <v>336210</v>
      </c>
      <c r="G50" s="32">
        <v>58</v>
      </c>
      <c r="H50" s="27">
        <v>647572</v>
      </c>
      <c r="I50" s="27">
        <v>10506.5625</v>
      </c>
      <c r="J50" s="27">
        <v>11165.034482758621</v>
      </c>
      <c r="K50" s="29">
        <v>6.2672447126129155E-2</v>
      </c>
    </row>
    <row r="51" spans="1:11" x14ac:dyDescent="0.25">
      <c r="A51" s="5" t="s">
        <v>6</v>
      </c>
      <c r="B51" s="5" t="s">
        <v>121</v>
      </c>
      <c r="C51" s="1" t="s">
        <v>122</v>
      </c>
      <c r="E51" s="32">
        <v>295</v>
      </c>
      <c r="F51" s="27">
        <v>1448711</v>
      </c>
      <c r="G51" s="32">
        <v>392</v>
      </c>
      <c r="H51" s="27">
        <v>2041716</v>
      </c>
      <c r="I51" s="27">
        <v>4910.8847457627116</v>
      </c>
      <c r="J51" s="27">
        <v>5208.4591836734689</v>
      </c>
      <c r="K51" s="29">
        <v>6.0594873086263171E-2</v>
      </c>
    </row>
    <row r="52" spans="1:11" x14ac:dyDescent="0.25">
      <c r="A52" s="5" t="s">
        <v>6</v>
      </c>
      <c r="B52" s="5" t="s">
        <v>123</v>
      </c>
      <c r="C52" s="1" t="s">
        <v>124</v>
      </c>
      <c r="E52" s="32">
        <v>59</v>
      </c>
      <c r="F52" s="27">
        <v>627194</v>
      </c>
      <c r="G52" s="32">
        <v>97</v>
      </c>
      <c r="H52" s="27">
        <v>1104652</v>
      </c>
      <c r="I52" s="27">
        <v>10630.406779661016</v>
      </c>
      <c r="J52" s="27">
        <v>11388.164948453608</v>
      </c>
      <c r="K52" s="29">
        <v>7.1282142301684878E-2</v>
      </c>
    </row>
    <row r="53" spans="1:11" x14ac:dyDescent="0.25">
      <c r="A53" s="5" t="s">
        <v>6</v>
      </c>
      <c r="B53" s="5" t="s">
        <v>126</v>
      </c>
      <c r="C53" s="1" t="s">
        <v>127</v>
      </c>
      <c r="E53" s="32">
        <v>538</v>
      </c>
      <c r="F53" s="27">
        <v>2671226</v>
      </c>
      <c r="G53" s="32">
        <v>703</v>
      </c>
      <c r="H53" s="27">
        <v>3733141</v>
      </c>
      <c r="I53" s="27">
        <v>4965.1040892193305</v>
      </c>
      <c r="J53" s="27">
        <v>5310.3001422475108</v>
      </c>
      <c r="K53" s="29">
        <v>6.9524434296896268E-2</v>
      </c>
    </row>
    <row r="54" spans="1:11" x14ac:dyDescent="0.25">
      <c r="A54" s="5" t="s">
        <v>6</v>
      </c>
      <c r="B54" s="5" t="s">
        <v>136</v>
      </c>
      <c r="C54" s="1" t="s">
        <v>137</v>
      </c>
      <c r="D54" s="5" t="s">
        <v>17182</v>
      </c>
      <c r="E54" s="32">
        <v>10</v>
      </c>
      <c r="F54" s="27">
        <v>9600</v>
      </c>
      <c r="G54" s="32">
        <v>49</v>
      </c>
      <c r="H54" s="27">
        <v>50351</v>
      </c>
      <c r="I54" s="27">
        <v>960</v>
      </c>
      <c r="J54" s="27">
        <v>1027.5714285714287</v>
      </c>
      <c r="K54" s="29">
        <v>7.0386904761904859E-2</v>
      </c>
    </row>
    <row r="55" spans="1:11" x14ac:dyDescent="0.25">
      <c r="A55" s="5" t="s">
        <v>6</v>
      </c>
      <c r="B55" s="5" t="s">
        <v>139</v>
      </c>
      <c r="C55" s="1" t="s">
        <v>140</v>
      </c>
      <c r="D55" s="5" t="s">
        <v>17183</v>
      </c>
      <c r="E55" s="32">
        <v>1</v>
      </c>
      <c r="F55" s="27">
        <v>960</v>
      </c>
      <c r="I55" s="27">
        <v>960</v>
      </c>
    </row>
    <row r="56" spans="1:11" x14ac:dyDescent="0.25">
      <c r="A56" s="5" t="s">
        <v>6</v>
      </c>
      <c r="B56" s="5" t="s">
        <v>141</v>
      </c>
      <c r="C56" s="1" t="s">
        <v>142</v>
      </c>
      <c r="D56" s="5" t="s">
        <v>17184</v>
      </c>
      <c r="E56" s="32">
        <v>1</v>
      </c>
      <c r="F56" s="27">
        <v>960</v>
      </c>
      <c r="I56" s="27">
        <v>960</v>
      </c>
    </row>
    <row r="57" spans="1:11" x14ac:dyDescent="0.25">
      <c r="A57" s="5" t="s">
        <v>6</v>
      </c>
      <c r="B57" s="5" t="s">
        <v>144</v>
      </c>
      <c r="C57" s="1" t="s">
        <v>145</v>
      </c>
      <c r="D57" s="5" t="s">
        <v>17185</v>
      </c>
      <c r="E57" s="32">
        <v>4</v>
      </c>
      <c r="F57" s="27">
        <v>4528</v>
      </c>
      <c r="G57" s="32">
        <v>9</v>
      </c>
      <c r="H57" s="27">
        <v>10734</v>
      </c>
      <c r="I57" s="27">
        <v>1132</v>
      </c>
      <c r="J57" s="27">
        <v>1192.6666666666667</v>
      </c>
      <c r="K57" s="29">
        <v>5.3592461719670269E-2</v>
      </c>
    </row>
    <row r="58" spans="1:11" x14ac:dyDescent="0.25">
      <c r="A58" s="5" t="s">
        <v>6</v>
      </c>
      <c r="B58" s="5" t="s">
        <v>147</v>
      </c>
      <c r="C58" s="1" t="s">
        <v>148</v>
      </c>
      <c r="D58" s="5" t="s">
        <v>17186</v>
      </c>
      <c r="E58" s="32">
        <v>10</v>
      </c>
      <c r="F58" s="27">
        <v>7100</v>
      </c>
      <c r="G58" s="32">
        <v>49</v>
      </c>
      <c r="H58" s="27">
        <v>37184</v>
      </c>
      <c r="I58" s="27">
        <v>710</v>
      </c>
      <c r="J58" s="27">
        <v>758.85714285714289</v>
      </c>
      <c r="K58" s="29">
        <v>6.881287726358154E-2</v>
      </c>
    </row>
    <row r="59" spans="1:11" x14ac:dyDescent="0.25">
      <c r="A59" s="5" t="s">
        <v>6</v>
      </c>
      <c r="B59" s="5" t="s">
        <v>150</v>
      </c>
      <c r="C59" s="1" t="s">
        <v>151</v>
      </c>
      <c r="D59" s="5" t="s">
        <v>17187</v>
      </c>
      <c r="E59" s="32">
        <v>0</v>
      </c>
      <c r="F59" s="27">
        <v>0</v>
      </c>
      <c r="G59" s="32">
        <v>10</v>
      </c>
      <c r="H59" s="27">
        <v>11630</v>
      </c>
      <c r="J59" s="27">
        <v>1163</v>
      </c>
    </row>
    <row r="60" spans="1:11" x14ac:dyDescent="0.25">
      <c r="A60" s="5" t="s">
        <v>6</v>
      </c>
      <c r="B60" s="5" t="s">
        <v>153</v>
      </c>
      <c r="C60" s="1" t="s">
        <v>154</v>
      </c>
      <c r="D60" s="5" t="s">
        <v>17188</v>
      </c>
      <c r="E60" s="32">
        <v>1</v>
      </c>
      <c r="F60" s="27">
        <v>988</v>
      </c>
      <c r="G60" s="32">
        <v>14</v>
      </c>
      <c r="H60" s="27">
        <v>14859</v>
      </c>
      <c r="I60" s="27">
        <v>988</v>
      </c>
      <c r="J60" s="27">
        <v>1061.3571428571429</v>
      </c>
      <c r="K60" s="29">
        <v>7.424812030075191E-2</v>
      </c>
    </row>
    <row r="61" spans="1:11" x14ac:dyDescent="0.25">
      <c r="A61" s="5" t="s">
        <v>6</v>
      </c>
      <c r="B61" s="5" t="s">
        <v>159</v>
      </c>
      <c r="C61" s="1" t="s">
        <v>160</v>
      </c>
      <c r="D61" s="5" t="s">
        <v>17189</v>
      </c>
      <c r="E61" s="32">
        <v>0</v>
      </c>
      <c r="F61" s="27">
        <v>0</v>
      </c>
      <c r="G61" s="32">
        <v>4</v>
      </c>
      <c r="H61" s="27">
        <v>4452</v>
      </c>
      <c r="J61" s="27">
        <v>1113</v>
      </c>
    </row>
    <row r="62" spans="1:11" x14ac:dyDescent="0.25">
      <c r="A62" s="5" t="s">
        <v>6</v>
      </c>
      <c r="B62" s="5" t="s">
        <v>165</v>
      </c>
      <c r="C62" s="1" t="s">
        <v>166</v>
      </c>
      <c r="D62" s="5" t="s">
        <v>17190</v>
      </c>
      <c r="E62" s="32">
        <v>32</v>
      </c>
      <c r="F62" s="27">
        <v>110240</v>
      </c>
      <c r="G62" s="32">
        <v>54</v>
      </c>
      <c r="H62" s="27">
        <v>199002</v>
      </c>
      <c r="I62" s="27">
        <v>3445</v>
      </c>
      <c r="J62" s="27">
        <v>3685.2222222222222</v>
      </c>
      <c r="K62" s="29">
        <v>6.9730688598613116E-2</v>
      </c>
    </row>
    <row r="63" spans="1:11" x14ac:dyDescent="0.25">
      <c r="A63" s="5" t="s">
        <v>6</v>
      </c>
      <c r="B63" s="5" t="s">
        <v>168</v>
      </c>
      <c r="C63" s="1" t="s">
        <v>169</v>
      </c>
      <c r="D63" s="5" t="s">
        <v>17191</v>
      </c>
      <c r="E63" s="32">
        <v>8</v>
      </c>
      <c r="F63" s="27">
        <v>11960</v>
      </c>
      <c r="G63" s="32">
        <v>45</v>
      </c>
      <c r="H63" s="27">
        <v>71115</v>
      </c>
      <c r="I63" s="27">
        <v>1495</v>
      </c>
      <c r="J63" s="27">
        <v>1580.3333333333333</v>
      </c>
      <c r="K63" s="29">
        <v>5.7079152731326591E-2</v>
      </c>
    </row>
    <row r="64" spans="1:11" x14ac:dyDescent="0.25">
      <c r="A64" s="5" t="s">
        <v>6</v>
      </c>
      <c r="B64" s="5" t="s">
        <v>171</v>
      </c>
      <c r="C64" s="1" t="s">
        <v>172</v>
      </c>
      <c r="D64" s="5" t="s">
        <v>17192</v>
      </c>
      <c r="E64" s="32">
        <v>53</v>
      </c>
      <c r="F64" s="27">
        <v>4717</v>
      </c>
      <c r="G64" s="32">
        <v>496</v>
      </c>
      <c r="H64" s="27">
        <v>46825</v>
      </c>
      <c r="I64" s="27">
        <v>89</v>
      </c>
      <c r="J64" s="27">
        <v>94.405241935483872</v>
      </c>
      <c r="K64" s="29">
        <v>6.0733055454874965E-2</v>
      </c>
    </row>
    <row r="65" spans="1:11" x14ac:dyDescent="0.25">
      <c r="A65" s="5" t="s">
        <v>6</v>
      </c>
      <c r="B65" s="5" t="s">
        <v>174</v>
      </c>
      <c r="C65" s="1" t="s">
        <v>175</v>
      </c>
      <c r="D65" s="5" t="s">
        <v>17193</v>
      </c>
      <c r="E65" s="32">
        <v>9</v>
      </c>
      <c r="F65" s="27">
        <v>2619</v>
      </c>
      <c r="G65" s="32">
        <v>46</v>
      </c>
      <c r="H65" s="27">
        <v>14329</v>
      </c>
      <c r="I65" s="27">
        <v>291</v>
      </c>
      <c r="J65" s="27">
        <v>311.5</v>
      </c>
      <c r="K65" s="29">
        <v>7.0446735395189003E-2</v>
      </c>
    </row>
    <row r="66" spans="1:11" x14ac:dyDescent="0.25">
      <c r="A66" s="5" t="s">
        <v>6</v>
      </c>
      <c r="B66" s="5" t="s">
        <v>189</v>
      </c>
      <c r="C66" s="1" t="s">
        <v>190</v>
      </c>
      <c r="D66" s="5" t="s">
        <v>17194</v>
      </c>
      <c r="E66" s="32">
        <v>0</v>
      </c>
      <c r="F66" s="27">
        <v>0</v>
      </c>
      <c r="G66" s="32">
        <v>1</v>
      </c>
      <c r="H66" s="27">
        <v>654</v>
      </c>
      <c r="J66" s="27">
        <v>654</v>
      </c>
    </row>
    <row r="67" spans="1:11" x14ac:dyDescent="0.25">
      <c r="A67" s="5" t="s">
        <v>6</v>
      </c>
      <c r="B67" s="5" t="s">
        <v>201</v>
      </c>
      <c r="C67" s="1" t="s">
        <v>202</v>
      </c>
      <c r="E67" s="32">
        <v>3296</v>
      </c>
      <c r="F67" s="27">
        <v>10699835</v>
      </c>
      <c r="G67" s="32">
        <v>3619</v>
      </c>
      <c r="H67" s="27">
        <v>12567040</v>
      </c>
      <c r="I67" s="27">
        <v>3246.3091626213591</v>
      </c>
      <c r="J67" s="27">
        <v>3472.5172699640784</v>
      </c>
      <c r="K67" s="29">
        <v>6.9681627969179247E-2</v>
      </c>
    </row>
    <row r="68" spans="1:11" x14ac:dyDescent="0.25">
      <c r="A68" s="5" t="s">
        <v>6</v>
      </c>
      <c r="B68" s="5" t="s">
        <v>204</v>
      </c>
      <c r="C68" s="1" t="s">
        <v>205</v>
      </c>
      <c r="E68" s="32">
        <v>8767</v>
      </c>
      <c r="F68" s="27">
        <v>11586205</v>
      </c>
      <c r="G68" s="32">
        <v>8526</v>
      </c>
      <c r="H68" s="27">
        <v>12061884</v>
      </c>
      <c r="I68" s="27">
        <v>1321.5700923919242</v>
      </c>
      <c r="J68" s="27">
        <v>1414.7178043631245</v>
      </c>
      <c r="K68" s="29">
        <v>7.0482611938206999E-2</v>
      </c>
    </row>
    <row r="69" spans="1:11" x14ac:dyDescent="0.25">
      <c r="A69" s="5" t="s">
        <v>6</v>
      </c>
      <c r="B69" s="5" t="s">
        <v>208</v>
      </c>
      <c r="C69" s="1" t="s">
        <v>209</v>
      </c>
      <c r="E69" s="32">
        <v>137</v>
      </c>
      <c r="F69" s="27">
        <v>2003850</v>
      </c>
      <c r="G69" s="32">
        <v>123</v>
      </c>
      <c r="H69" s="27">
        <v>1918778</v>
      </c>
      <c r="I69" s="27">
        <v>14626.642335766423</v>
      </c>
      <c r="J69" s="27">
        <v>15599.821138211382</v>
      </c>
      <c r="K69" s="29">
        <v>6.6534668730174162E-2</v>
      </c>
    </row>
    <row r="70" spans="1:11" x14ac:dyDescent="0.25">
      <c r="A70" s="5" t="s">
        <v>6</v>
      </c>
      <c r="B70" s="5" t="s">
        <v>211</v>
      </c>
      <c r="C70" s="1" t="s">
        <v>212</v>
      </c>
      <c r="E70" s="32">
        <v>2921</v>
      </c>
      <c r="F70" s="27">
        <v>20118290</v>
      </c>
      <c r="G70" s="32">
        <v>2700</v>
      </c>
      <c r="H70" s="27">
        <v>19800825</v>
      </c>
      <c r="I70" s="27">
        <v>6887.4666210201985</v>
      </c>
      <c r="J70" s="27">
        <v>7333.6388888888887</v>
      </c>
      <c r="K70" s="29">
        <v>6.4780316540046096E-2</v>
      </c>
    </row>
    <row r="71" spans="1:11" x14ac:dyDescent="0.25">
      <c r="A71" s="5" t="s">
        <v>6</v>
      </c>
      <c r="B71" s="5" t="s">
        <v>214</v>
      </c>
      <c r="C71" s="1" t="s">
        <v>187</v>
      </c>
      <c r="D71" s="5" t="s">
        <v>17195</v>
      </c>
      <c r="E71" s="32">
        <v>26</v>
      </c>
      <c r="F71" s="27">
        <v>12805</v>
      </c>
      <c r="G71" s="32">
        <v>21</v>
      </c>
      <c r="H71" s="27">
        <v>10854</v>
      </c>
      <c r="I71" s="27">
        <v>492.5</v>
      </c>
      <c r="J71" s="27">
        <v>516.85714285714289</v>
      </c>
      <c r="K71" s="29">
        <v>4.9456127628716526E-2</v>
      </c>
    </row>
    <row r="72" spans="1:11" x14ac:dyDescent="0.25">
      <c r="A72" s="5" t="s">
        <v>6</v>
      </c>
      <c r="B72" s="5" t="s">
        <v>216</v>
      </c>
      <c r="C72" s="1" t="s">
        <v>190</v>
      </c>
      <c r="D72" s="5" t="s">
        <v>17194</v>
      </c>
      <c r="E72" s="32">
        <v>98</v>
      </c>
      <c r="F72" s="27">
        <v>84784</v>
      </c>
      <c r="G72" s="32">
        <v>62</v>
      </c>
      <c r="H72" s="27">
        <v>58012</v>
      </c>
      <c r="I72" s="27">
        <v>865.14285714285711</v>
      </c>
      <c r="J72" s="27">
        <v>935.67741935483866</v>
      </c>
      <c r="K72" s="29">
        <v>8.152938168491923E-2</v>
      </c>
    </row>
    <row r="73" spans="1:11" x14ac:dyDescent="0.25">
      <c r="A73" s="5" t="s">
        <v>6</v>
      </c>
      <c r="B73" s="5" t="s">
        <v>226</v>
      </c>
      <c r="C73" s="1" t="s">
        <v>227</v>
      </c>
      <c r="D73" s="5" t="s">
        <v>17196</v>
      </c>
      <c r="E73" s="32">
        <v>1</v>
      </c>
      <c r="F73" s="27">
        <v>411</v>
      </c>
      <c r="I73" s="27">
        <v>411</v>
      </c>
    </row>
    <row r="74" spans="1:11" x14ac:dyDescent="0.25">
      <c r="A74" s="5" t="s">
        <v>6</v>
      </c>
      <c r="B74" s="5" t="s">
        <v>238</v>
      </c>
      <c r="C74" s="1" t="s">
        <v>239</v>
      </c>
      <c r="E74" s="32">
        <v>4847</v>
      </c>
      <c r="F74" s="27">
        <v>15617922</v>
      </c>
      <c r="G74" s="32">
        <v>5456</v>
      </c>
      <c r="H74" s="27">
        <v>18799351</v>
      </c>
      <c r="I74" s="27">
        <v>3222.1832061068703</v>
      </c>
      <c r="J74" s="27">
        <v>3445.6288489736071</v>
      </c>
      <c r="K74" s="29">
        <v>6.9346039183386429E-2</v>
      </c>
    </row>
    <row r="75" spans="1:11" x14ac:dyDescent="0.25">
      <c r="A75" s="5" t="s">
        <v>6</v>
      </c>
      <c r="B75" s="5" t="s">
        <v>241</v>
      </c>
      <c r="C75" s="1" t="s">
        <v>242</v>
      </c>
      <c r="E75" s="32">
        <v>26339</v>
      </c>
      <c r="F75" s="27">
        <v>34288117</v>
      </c>
      <c r="G75" s="32">
        <v>27873</v>
      </c>
      <c r="H75" s="27">
        <v>38753683</v>
      </c>
      <c r="I75" s="27">
        <v>1301.8002581722919</v>
      </c>
      <c r="J75" s="27">
        <v>1390.3664119398702</v>
      </c>
      <c r="K75" s="29">
        <v>6.8033596714694028E-2</v>
      </c>
    </row>
    <row r="76" spans="1:11" x14ac:dyDescent="0.25">
      <c r="A76" s="5" t="s">
        <v>6</v>
      </c>
      <c r="B76" s="5" t="s">
        <v>244</v>
      </c>
      <c r="C76" s="1" t="s">
        <v>245</v>
      </c>
      <c r="D76" s="5" t="s">
        <v>17197</v>
      </c>
      <c r="E76" s="32">
        <v>1</v>
      </c>
      <c r="F76" s="27">
        <v>449</v>
      </c>
      <c r="I76" s="27">
        <v>449</v>
      </c>
    </row>
    <row r="77" spans="1:11" x14ac:dyDescent="0.25">
      <c r="A77" s="5" t="s">
        <v>6</v>
      </c>
      <c r="B77" s="5" t="s">
        <v>247</v>
      </c>
      <c r="C77" s="1" t="s">
        <v>248</v>
      </c>
      <c r="D77" s="5" t="s">
        <v>17198</v>
      </c>
      <c r="E77" s="32">
        <v>8</v>
      </c>
      <c r="F77" s="27">
        <v>3088</v>
      </c>
      <c r="I77" s="27">
        <v>386</v>
      </c>
    </row>
    <row r="78" spans="1:11" x14ac:dyDescent="0.25">
      <c r="A78" s="5" t="s">
        <v>6</v>
      </c>
      <c r="B78" s="5" t="s">
        <v>250</v>
      </c>
      <c r="C78" s="1" t="s">
        <v>251</v>
      </c>
      <c r="D78" s="5" t="s">
        <v>17199</v>
      </c>
      <c r="E78" s="32">
        <v>1</v>
      </c>
      <c r="F78" s="27">
        <v>121320</v>
      </c>
      <c r="I78" s="27">
        <v>121320</v>
      </c>
    </row>
    <row r="79" spans="1:11" x14ac:dyDescent="0.25">
      <c r="A79" s="5" t="s">
        <v>6</v>
      </c>
      <c r="B79" s="5" t="s">
        <v>253</v>
      </c>
      <c r="C79" s="1" t="s">
        <v>254</v>
      </c>
      <c r="D79" s="5" t="s">
        <v>17199</v>
      </c>
      <c r="E79" s="32">
        <v>4</v>
      </c>
      <c r="F79" s="27">
        <v>516582</v>
      </c>
      <c r="I79" s="27">
        <v>129145.5</v>
      </c>
    </row>
    <row r="80" spans="1:11" x14ac:dyDescent="0.25">
      <c r="A80" s="5" t="s">
        <v>6</v>
      </c>
      <c r="B80" s="5" t="s">
        <v>256</v>
      </c>
      <c r="C80" s="1" t="s">
        <v>257</v>
      </c>
      <c r="D80" s="5" t="s">
        <v>17200</v>
      </c>
      <c r="E80" s="32">
        <v>10</v>
      </c>
      <c r="F80" s="27">
        <v>946525</v>
      </c>
      <c r="I80" s="27">
        <v>94652.5</v>
      </c>
    </row>
    <row r="81" spans="1:11" x14ac:dyDescent="0.25">
      <c r="A81" s="5" t="s">
        <v>6</v>
      </c>
      <c r="B81" s="5" t="s">
        <v>300</v>
      </c>
      <c r="C81" s="1" t="s">
        <v>301</v>
      </c>
      <c r="D81" s="5" t="s">
        <v>17201</v>
      </c>
      <c r="E81" s="32">
        <v>2</v>
      </c>
      <c r="F81" s="27">
        <v>175062</v>
      </c>
      <c r="G81" s="32">
        <v>4</v>
      </c>
      <c r="H81" s="27">
        <v>378132</v>
      </c>
      <c r="I81" s="27">
        <v>87531</v>
      </c>
      <c r="J81" s="27">
        <v>94533</v>
      </c>
      <c r="K81" s="29">
        <v>7.9994516228536178E-2</v>
      </c>
    </row>
    <row r="82" spans="1:11" x14ac:dyDescent="0.25">
      <c r="A82" s="5" t="s">
        <v>6</v>
      </c>
      <c r="B82" s="5" t="s">
        <v>377</v>
      </c>
      <c r="C82" s="1" t="s">
        <v>378</v>
      </c>
      <c r="D82" s="5" t="s">
        <v>17199</v>
      </c>
      <c r="E82" s="32">
        <v>4</v>
      </c>
      <c r="F82" s="27">
        <v>673488</v>
      </c>
      <c r="I82" s="27">
        <v>168372</v>
      </c>
    </row>
    <row r="83" spans="1:11" x14ac:dyDescent="0.25">
      <c r="A83" s="5" t="s">
        <v>6</v>
      </c>
      <c r="B83" s="5" t="s">
        <v>380</v>
      </c>
      <c r="C83" s="1" t="s">
        <v>381</v>
      </c>
      <c r="D83" s="5" t="s">
        <v>17201</v>
      </c>
      <c r="E83" s="32">
        <v>4</v>
      </c>
      <c r="F83" s="27">
        <v>606710</v>
      </c>
      <c r="I83" s="27">
        <v>151677.5</v>
      </c>
    </row>
    <row r="84" spans="1:11" x14ac:dyDescent="0.25">
      <c r="A84" s="5" t="s">
        <v>6</v>
      </c>
      <c r="B84" s="5" t="s">
        <v>382</v>
      </c>
      <c r="C84" s="1" t="s">
        <v>383</v>
      </c>
      <c r="D84" s="5" t="s">
        <v>17200</v>
      </c>
      <c r="E84" s="32">
        <v>3</v>
      </c>
      <c r="F84" s="27">
        <v>414135</v>
      </c>
      <c r="G84" s="32">
        <v>4</v>
      </c>
      <c r="H84" s="27">
        <v>596356</v>
      </c>
      <c r="I84" s="27">
        <v>138045</v>
      </c>
      <c r="J84" s="27">
        <v>149089</v>
      </c>
      <c r="K84" s="29">
        <v>8.0002897605853163E-2</v>
      </c>
    </row>
    <row r="85" spans="1:11" x14ac:dyDescent="0.25">
      <c r="A85" s="5" t="s">
        <v>6</v>
      </c>
      <c r="B85" s="5" t="s">
        <v>384</v>
      </c>
      <c r="C85" s="1" t="s">
        <v>385</v>
      </c>
      <c r="D85" s="5" t="s">
        <v>17199</v>
      </c>
      <c r="E85" s="32">
        <v>6</v>
      </c>
      <c r="F85" s="27">
        <v>790524</v>
      </c>
      <c r="G85" s="32">
        <v>2</v>
      </c>
      <c r="H85" s="27">
        <v>284588</v>
      </c>
      <c r="I85" s="27">
        <v>131754</v>
      </c>
      <c r="J85" s="27">
        <v>142294</v>
      </c>
      <c r="K85" s="29">
        <v>7.9997571231233966E-2</v>
      </c>
    </row>
    <row r="86" spans="1:11" x14ac:dyDescent="0.25">
      <c r="A86" s="5" t="s">
        <v>6</v>
      </c>
      <c r="B86" s="5" t="s">
        <v>387</v>
      </c>
      <c r="C86" s="1" t="s">
        <v>388</v>
      </c>
      <c r="D86" s="5" t="s">
        <v>17201</v>
      </c>
      <c r="E86" s="32">
        <v>2</v>
      </c>
      <c r="F86" s="27">
        <v>197920</v>
      </c>
      <c r="I86" s="27">
        <v>98960</v>
      </c>
    </row>
    <row r="87" spans="1:11" x14ac:dyDescent="0.25">
      <c r="A87" s="5" t="s">
        <v>6</v>
      </c>
      <c r="B87" s="5" t="s">
        <v>390</v>
      </c>
      <c r="C87" s="1" t="s">
        <v>391</v>
      </c>
      <c r="D87" s="5" t="s">
        <v>17200</v>
      </c>
      <c r="E87" s="32">
        <v>1</v>
      </c>
      <c r="F87" s="27">
        <v>98645</v>
      </c>
      <c r="I87" s="27">
        <v>98645</v>
      </c>
    </row>
    <row r="88" spans="1:11" x14ac:dyDescent="0.25">
      <c r="A88" s="5" t="s">
        <v>6</v>
      </c>
      <c r="B88" s="5" t="s">
        <v>396</v>
      </c>
      <c r="C88" s="1" t="s">
        <v>397</v>
      </c>
      <c r="D88" s="5" t="s">
        <v>17200</v>
      </c>
      <c r="E88" s="32">
        <v>0</v>
      </c>
      <c r="F88" s="27">
        <v>0</v>
      </c>
      <c r="G88" s="32">
        <v>3</v>
      </c>
      <c r="H88" s="27">
        <v>297909</v>
      </c>
      <c r="J88" s="27">
        <v>99303</v>
      </c>
    </row>
    <row r="89" spans="1:11" x14ac:dyDescent="0.25">
      <c r="A89" s="5" t="s">
        <v>6</v>
      </c>
      <c r="B89" s="5" t="s">
        <v>403</v>
      </c>
      <c r="C89" s="1" t="s">
        <v>404</v>
      </c>
      <c r="D89" s="5" t="s">
        <v>17201</v>
      </c>
      <c r="E89" s="32">
        <v>1</v>
      </c>
      <c r="F89" s="27">
        <v>133776</v>
      </c>
      <c r="I89" s="27">
        <v>133776</v>
      </c>
    </row>
    <row r="90" spans="1:11" x14ac:dyDescent="0.25">
      <c r="A90" s="5" t="s">
        <v>6</v>
      </c>
      <c r="B90" s="5" t="s">
        <v>406</v>
      </c>
      <c r="C90" s="1" t="s">
        <v>407</v>
      </c>
      <c r="D90" s="5" t="s">
        <v>17200</v>
      </c>
      <c r="E90" s="32">
        <v>6</v>
      </c>
      <c r="F90" s="27">
        <v>700714</v>
      </c>
      <c r="I90" s="27">
        <v>116785.66666666667</v>
      </c>
    </row>
    <row r="91" spans="1:11" x14ac:dyDescent="0.25">
      <c r="A91" s="5" t="s">
        <v>6</v>
      </c>
      <c r="B91" s="5" t="s">
        <v>409</v>
      </c>
      <c r="C91" s="1" t="s">
        <v>410</v>
      </c>
      <c r="D91" s="5" t="s">
        <v>17201</v>
      </c>
      <c r="E91" s="32">
        <v>8</v>
      </c>
      <c r="F91" s="27">
        <v>764009.46</v>
      </c>
      <c r="G91" s="32">
        <v>7</v>
      </c>
      <c r="H91" s="27">
        <v>698340</v>
      </c>
      <c r="I91" s="27">
        <v>95501.182499999995</v>
      </c>
      <c r="J91" s="27">
        <v>99762.857142857145</v>
      </c>
      <c r="K91" s="29">
        <v>4.4624312823112425E-2</v>
      </c>
    </row>
    <row r="92" spans="1:11" x14ac:dyDescent="0.25">
      <c r="A92" s="5" t="s">
        <v>6</v>
      </c>
      <c r="B92" s="5" t="s">
        <v>412</v>
      </c>
      <c r="C92" s="1" t="s">
        <v>413</v>
      </c>
      <c r="D92" s="5" t="s">
        <v>17199</v>
      </c>
      <c r="E92" s="32">
        <v>3</v>
      </c>
      <c r="F92" s="27">
        <v>397996.5</v>
      </c>
      <c r="G92" s="32">
        <v>3</v>
      </c>
      <c r="H92" s="27">
        <v>442590</v>
      </c>
      <c r="I92" s="27">
        <v>132665.5</v>
      </c>
      <c r="J92" s="27">
        <v>147530</v>
      </c>
      <c r="K92" s="29">
        <v>0.11204495516920375</v>
      </c>
    </row>
    <row r="93" spans="1:11" x14ac:dyDescent="0.25">
      <c r="A93" s="5" t="s">
        <v>6</v>
      </c>
      <c r="B93" s="5" t="s">
        <v>449</v>
      </c>
      <c r="C93" s="1" t="s">
        <v>450</v>
      </c>
      <c r="D93" s="5" t="s">
        <v>17202</v>
      </c>
      <c r="E93" s="32">
        <v>3</v>
      </c>
      <c r="F93" s="27">
        <v>97620</v>
      </c>
      <c r="I93" s="27">
        <v>32540</v>
      </c>
    </row>
    <row r="94" spans="1:11" x14ac:dyDescent="0.25">
      <c r="A94" s="5" t="s">
        <v>6</v>
      </c>
      <c r="B94" s="5" t="s">
        <v>458</v>
      </c>
      <c r="C94" s="1" t="s">
        <v>459</v>
      </c>
      <c r="D94" s="5" t="s">
        <v>17203</v>
      </c>
      <c r="E94" s="32">
        <v>3</v>
      </c>
      <c r="F94" s="27">
        <v>45003</v>
      </c>
      <c r="I94" s="27">
        <v>15001</v>
      </c>
    </row>
    <row r="95" spans="1:11" x14ac:dyDescent="0.25">
      <c r="A95" s="5" t="s">
        <v>6</v>
      </c>
      <c r="B95" s="5" t="s">
        <v>496</v>
      </c>
      <c r="C95" s="1" t="s">
        <v>497</v>
      </c>
      <c r="D95" s="5" t="s">
        <v>17204</v>
      </c>
      <c r="E95" s="32">
        <v>5</v>
      </c>
      <c r="F95" s="27">
        <v>19681</v>
      </c>
      <c r="G95" s="32">
        <v>8</v>
      </c>
      <c r="H95" s="27">
        <v>34795</v>
      </c>
      <c r="I95" s="27">
        <v>3936.2</v>
      </c>
      <c r="J95" s="27">
        <v>4349.375</v>
      </c>
      <c r="K95" s="29">
        <v>0.10496798943143137</v>
      </c>
    </row>
    <row r="96" spans="1:11" x14ac:dyDescent="0.25">
      <c r="A96" s="5" t="s">
        <v>6</v>
      </c>
      <c r="B96" s="5" t="s">
        <v>516</v>
      </c>
      <c r="C96" s="1" t="s">
        <v>517</v>
      </c>
      <c r="D96" s="5" t="s">
        <v>17204</v>
      </c>
      <c r="E96" s="32">
        <v>2</v>
      </c>
      <c r="F96" s="27">
        <v>10850</v>
      </c>
      <c r="G96" s="32">
        <v>1</v>
      </c>
      <c r="H96" s="27">
        <v>5859</v>
      </c>
      <c r="I96" s="27">
        <v>5425</v>
      </c>
      <c r="J96" s="27">
        <v>5859</v>
      </c>
      <c r="K96" s="29">
        <v>0.08</v>
      </c>
    </row>
    <row r="97" spans="1:11" x14ac:dyDescent="0.25">
      <c r="A97" s="5" t="s">
        <v>6</v>
      </c>
      <c r="B97" s="5" t="s">
        <v>521</v>
      </c>
      <c r="C97" s="1" t="s">
        <v>522</v>
      </c>
      <c r="D97" s="5" t="s">
        <v>17205</v>
      </c>
      <c r="E97" s="32">
        <v>4</v>
      </c>
      <c r="F97" s="27">
        <v>101768</v>
      </c>
      <c r="I97" s="27">
        <v>25442</v>
      </c>
    </row>
    <row r="98" spans="1:11" x14ac:dyDescent="0.25">
      <c r="A98" s="5" t="s">
        <v>6</v>
      </c>
      <c r="B98" s="5" t="s">
        <v>524</v>
      </c>
      <c r="C98" s="1" t="s">
        <v>525</v>
      </c>
      <c r="D98" s="5" t="s">
        <v>17205</v>
      </c>
      <c r="E98" s="32">
        <v>8</v>
      </c>
      <c r="F98" s="27">
        <v>199506</v>
      </c>
      <c r="I98" s="27">
        <v>24938.25</v>
      </c>
    </row>
    <row r="99" spans="1:11" x14ac:dyDescent="0.25">
      <c r="A99" s="5" t="s">
        <v>6</v>
      </c>
      <c r="B99" s="5" t="s">
        <v>546</v>
      </c>
      <c r="C99" s="1" t="s">
        <v>547</v>
      </c>
      <c r="D99" s="5" t="s">
        <v>17206</v>
      </c>
      <c r="E99" s="32">
        <v>3</v>
      </c>
      <c r="F99" s="27">
        <v>121897</v>
      </c>
      <c r="I99" s="27">
        <v>40632.333333333336</v>
      </c>
    </row>
    <row r="100" spans="1:11" x14ac:dyDescent="0.25">
      <c r="A100" s="5" t="s">
        <v>6</v>
      </c>
      <c r="B100" s="5" t="s">
        <v>548</v>
      </c>
      <c r="C100" s="1" t="s">
        <v>549</v>
      </c>
      <c r="D100" s="5" t="s">
        <v>17207</v>
      </c>
      <c r="E100" s="32">
        <v>23</v>
      </c>
      <c r="F100" s="27">
        <v>1232877</v>
      </c>
      <c r="G100" s="32">
        <v>37</v>
      </c>
      <c r="H100" s="27">
        <v>2113661</v>
      </c>
      <c r="I100" s="27">
        <v>53603.34782608696</v>
      </c>
      <c r="J100" s="27">
        <v>57125.972972972973</v>
      </c>
      <c r="K100" s="29">
        <v>6.5716513795275849E-2</v>
      </c>
    </row>
    <row r="101" spans="1:11" x14ac:dyDescent="0.25">
      <c r="A101" s="5" t="s">
        <v>6</v>
      </c>
      <c r="B101" s="5" t="s">
        <v>551</v>
      </c>
      <c r="C101" s="1" t="s">
        <v>552</v>
      </c>
      <c r="D101" s="5" t="s">
        <v>17207</v>
      </c>
      <c r="E101" s="32">
        <v>20</v>
      </c>
      <c r="F101" s="27">
        <v>801905</v>
      </c>
      <c r="G101" s="32">
        <v>38</v>
      </c>
      <c r="H101" s="27">
        <v>1649278</v>
      </c>
      <c r="I101" s="27">
        <v>40095.25</v>
      </c>
      <c r="J101" s="27">
        <v>43402.052631578947</v>
      </c>
      <c r="K101" s="29">
        <v>8.2473675350046363E-2</v>
      </c>
    </row>
    <row r="102" spans="1:11" x14ac:dyDescent="0.25">
      <c r="A102" s="5" t="s">
        <v>6</v>
      </c>
      <c r="B102" s="5" t="s">
        <v>670</v>
      </c>
      <c r="C102" s="1" t="s">
        <v>671</v>
      </c>
      <c r="D102" s="5" t="s">
        <v>17206</v>
      </c>
      <c r="E102" s="32">
        <v>1</v>
      </c>
      <c r="F102" s="27">
        <v>23036</v>
      </c>
      <c r="I102" s="27">
        <v>23036</v>
      </c>
    </row>
    <row r="103" spans="1:11" x14ac:dyDescent="0.25">
      <c r="A103" s="5" t="s">
        <v>6</v>
      </c>
      <c r="B103" s="5" t="s">
        <v>703</v>
      </c>
      <c r="C103" s="1" t="s">
        <v>704</v>
      </c>
      <c r="D103" s="5" t="s">
        <v>17208</v>
      </c>
      <c r="E103" s="32">
        <v>1</v>
      </c>
      <c r="F103" s="27">
        <v>57937</v>
      </c>
      <c r="I103" s="27">
        <v>57937</v>
      </c>
    </row>
    <row r="104" spans="1:11" x14ac:dyDescent="0.25">
      <c r="A104" s="5" t="s">
        <v>6</v>
      </c>
      <c r="B104" s="5" t="s">
        <v>708</v>
      </c>
      <c r="C104" s="1" t="s">
        <v>709</v>
      </c>
      <c r="D104" s="5" t="s">
        <v>17207</v>
      </c>
      <c r="E104" s="32">
        <v>18</v>
      </c>
      <c r="F104" s="27">
        <v>829701</v>
      </c>
      <c r="G104" s="32">
        <v>12</v>
      </c>
      <c r="H104" s="27">
        <v>597902</v>
      </c>
      <c r="I104" s="27">
        <v>46094.5</v>
      </c>
      <c r="J104" s="27">
        <v>49825.166666666664</v>
      </c>
      <c r="K104" s="29">
        <v>8.0935180263733503E-2</v>
      </c>
    </row>
    <row r="105" spans="1:11" x14ac:dyDescent="0.25">
      <c r="A105" s="5" t="s">
        <v>6</v>
      </c>
      <c r="B105" s="5" t="s">
        <v>717</v>
      </c>
      <c r="C105" s="1" t="s">
        <v>718</v>
      </c>
      <c r="D105" s="5" t="s">
        <v>17206</v>
      </c>
      <c r="E105" s="32">
        <v>3</v>
      </c>
      <c r="F105" s="27">
        <v>108324</v>
      </c>
      <c r="I105" s="27">
        <v>36108</v>
      </c>
    </row>
    <row r="106" spans="1:11" x14ac:dyDescent="0.25">
      <c r="A106" s="5" t="s">
        <v>6</v>
      </c>
      <c r="B106" s="5" t="s">
        <v>719</v>
      </c>
      <c r="C106" s="1" t="s">
        <v>720</v>
      </c>
      <c r="D106" s="5" t="s">
        <v>17207</v>
      </c>
      <c r="E106" s="32">
        <v>9</v>
      </c>
      <c r="F106" s="27">
        <v>320959</v>
      </c>
      <c r="G106" s="32">
        <v>15</v>
      </c>
      <c r="H106" s="27">
        <v>573555</v>
      </c>
      <c r="I106" s="27">
        <v>35662.111111111109</v>
      </c>
      <c r="J106" s="27">
        <v>38237</v>
      </c>
      <c r="K106" s="29">
        <v>7.2202368526821228E-2</v>
      </c>
    </row>
    <row r="107" spans="1:11" x14ac:dyDescent="0.25">
      <c r="A107" s="5" t="s">
        <v>6</v>
      </c>
      <c r="B107" s="5" t="s">
        <v>727</v>
      </c>
      <c r="C107" s="1" t="s">
        <v>728</v>
      </c>
      <c r="D107" s="5" t="s">
        <v>17208</v>
      </c>
      <c r="E107" s="32">
        <v>1</v>
      </c>
      <c r="F107" s="27">
        <v>39051</v>
      </c>
      <c r="I107" s="27">
        <v>39051</v>
      </c>
    </row>
    <row r="108" spans="1:11" x14ac:dyDescent="0.25">
      <c r="A108" s="5" t="s">
        <v>6</v>
      </c>
      <c r="B108" s="5" t="s">
        <v>748</v>
      </c>
      <c r="C108" s="1" t="s">
        <v>749</v>
      </c>
      <c r="D108" s="5" t="s">
        <v>17206</v>
      </c>
      <c r="E108" s="32">
        <v>2</v>
      </c>
      <c r="F108" s="27">
        <v>90506</v>
      </c>
      <c r="I108" s="27">
        <v>45253</v>
      </c>
    </row>
    <row r="109" spans="1:11" x14ac:dyDescent="0.25">
      <c r="A109" s="5" t="s">
        <v>6</v>
      </c>
      <c r="B109" s="5" t="s">
        <v>764</v>
      </c>
      <c r="C109" s="1" t="s">
        <v>765</v>
      </c>
      <c r="D109" s="5" t="s">
        <v>17207</v>
      </c>
      <c r="E109" s="32">
        <v>19</v>
      </c>
      <c r="F109" s="27">
        <v>727632</v>
      </c>
      <c r="G109" s="32">
        <v>6</v>
      </c>
      <c r="H109" s="27">
        <v>251466</v>
      </c>
      <c r="I109" s="27">
        <v>38296.42105263158</v>
      </c>
      <c r="J109" s="27">
        <v>41911</v>
      </c>
      <c r="K109" s="29">
        <v>9.43842491809046E-2</v>
      </c>
    </row>
    <row r="110" spans="1:11" x14ac:dyDescent="0.25">
      <c r="A110" s="5" t="s">
        <v>6</v>
      </c>
      <c r="B110" s="5" t="s">
        <v>767</v>
      </c>
      <c r="C110" s="1" t="s">
        <v>768</v>
      </c>
      <c r="D110" s="5" t="s">
        <v>17208</v>
      </c>
      <c r="E110" s="32">
        <v>1</v>
      </c>
      <c r="F110" s="27">
        <v>61804</v>
      </c>
      <c r="I110" s="27">
        <v>61804</v>
      </c>
    </row>
    <row r="111" spans="1:11" x14ac:dyDescent="0.25">
      <c r="A111" s="5" t="s">
        <v>6</v>
      </c>
      <c r="B111" s="5" t="s">
        <v>770</v>
      </c>
      <c r="C111" s="1" t="s">
        <v>771</v>
      </c>
      <c r="D111" s="5" t="s">
        <v>17208</v>
      </c>
      <c r="E111" s="32">
        <v>1</v>
      </c>
      <c r="F111" s="27">
        <v>53610</v>
      </c>
      <c r="G111" s="32">
        <v>2</v>
      </c>
      <c r="H111" s="27">
        <v>115798</v>
      </c>
      <c r="I111" s="27">
        <v>53610</v>
      </c>
      <c r="J111" s="27">
        <v>57899</v>
      </c>
      <c r="K111" s="29">
        <v>8.0003730647267304E-2</v>
      </c>
    </row>
    <row r="112" spans="1:11" x14ac:dyDescent="0.25">
      <c r="A112" s="5" t="s">
        <v>6</v>
      </c>
      <c r="B112" s="5" t="s">
        <v>776</v>
      </c>
      <c r="C112" s="1" t="s">
        <v>777</v>
      </c>
      <c r="D112" s="5" t="s">
        <v>17208</v>
      </c>
      <c r="E112" s="32">
        <v>1</v>
      </c>
      <c r="F112" s="27">
        <v>62424</v>
      </c>
      <c r="I112" s="27">
        <v>62424</v>
      </c>
    </row>
    <row r="113" spans="1:11" x14ac:dyDescent="0.25">
      <c r="A113" s="5" t="s">
        <v>6</v>
      </c>
      <c r="B113" s="5" t="s">
        <v>781</v>
      </c>
      <c r="C113" s="1" t="s">
        <v>782</v>
      </c>
      <c r="D113" s="5" t="s">
        <v>17208</v>
      </c>
      <c r="E113" s="32">
        <v>0</v>
      </c>
      <c r="F113" s="27">
        <v>0</v>
      </c>
      <c r="G113" s="32">
        <v>4</v>
      </c>
      <c r="H113" s="27">
        <v>302245</v>
      </c>
      <c r="J113" s="27">
        <v>75561.25</v>
      </c>
    </row>
    <row r="114" spans="1:11" x14ac:dyDescent="0.25">
      <c r="A114" s="5" t="s">
        <v>6</v>
      </c>
      <c r="B114" s="5" t="s">
        <v>783</v>
      </c>
      <c r="C114" s="1" t="s">
        <v>784</v>
      </c>
      <c r="D114" s="5" t="s">
        <v>17207</v>
      </c>
      <c r="E114" s="32">
        <v>9</v>
      </c>
      <c r="F114" s="27">
        <v>233752</v>
      </c>
      <c r="I114" s="27">
        <v>25972.444444444445</v>
      </c>
    </row>
    <row r="115" spans="1:11" x14ac:dyDescent="0.25">
      <c r="A115" s="5" t="s">
        <v>6</v>
      </c>
      <c r="B115" s="5" t="s">
        <v>786</v>
      </c>
      <c r="C115" s="1" t="s">
        <v>787</v>
      </c>
      <c r="D115" s="5" t="s">
        <v>17206</v>
      </c>
      <c r="E115" s="32">
        <v>1</v>
      </c>
      <c r="F115" s="27">
        <v>29144</v>
      </c>
      <c r="I115" s="27">
        <v>29144</v>
      </c>
    </row>
    <row r="116" spans="1:11" x14ac:dyDescent="0.25">
      <c r="A116" s="5" t="s">
        <v>6</v>
      </c>
      <c r="B116" s="5" t="s">
        <v>795</v>
      </c>
      <c r="C116" s="1" t="s">
        <v>796</v>
      </c>
      <c r="D116" s="5" t="s">
        <v>17208</v>
      </c>
      <c r="G116" s="32">
        <v>2</v>
      </c>
      <c r="H116" s="27">
        <v>110240</v>
      </c>
      <c r="J116" s="27">
        <v>55120</v>
      </c>
    </row>
    <row r="117" spans="1:11" x14ac:dyDescent="0.25">
      <c r="A117" s="5" t="s">
        <v>6</v>
      </c>
      <c r="B117" s="5" t="s">
        <v>798</v>
      </c>
      <c r="C117" s="1" t="s">
        <v>799</v>
      </c>
      <c r="D117" s="5" t="s">
        <v>17208</v>
      </c>
      <c r="E117" s="32">
        <v>1</v>
      </c>
      <c r="F117" s="27">
        <v>55298.07</v>
      </c>
      <c r="I117" s="27">
        <v>55298.07</v>
      </c>
    </row>
    <row r="118" spans="1:11" x14ac:dyDescent="0.25">
      <c r="A118" s="5" t="s">
        <v>6</v>
      </c>
      <c r="B118" s="5" t="s">
        <v>804</v>
      </c>
      <c r="C118" s="1" t="s">
        <v>805</v>
      </c>
      <c r="D118" s="5" t="s">
        <v>17208</v>
      </c>
      <c r="E118" s="32">
        <v>2</v>
      </c>
      <c r="F118" s="27">
        <v>91285.7</v>
      </c>
      <c r="I118" s="27">
        <v>45642.85</v>
      </c>
    </row>
    <row r="119" spans="1:11" x14ac:dyDescent="0.25">
      <c r="A119" s="5" t="s">
        <v>6</v>
      </c>
      <c r="B119" s="5" t="s">
        <v>806</v>
      </c>
      <c r="C119" s="1" t="s">
        <v>807</v>
      </c>
      <c r="D119" s="5" t="s">
        <v>17206</v>
      </c>
      <c r="E119" s="32">
        <v>5</v>
      </c>
      <c r="F119" s="27">
        <v>413786</v>
      </c>
      <c r="I119" s="27">
        <v>82757.2</v>
      </c>
    </row>
    <row r="120" spans="1:11" x14ac:dyDescent="0.25">
      <c r="A120" s="5" t="s">
        <v>6</v>
      </c>
      <c r="B120" s="5" t="s">
        <v>809</v>
      </c>
      <c r="C120" s="1" t="s">
        <v>810</v>
      </c>
      <c r="D120" s="5" t="s">
        <v>17206</v>
      </c>
      <c r="E120" s="32">
        <v>7</v>
      </c>
      <c r="F120" s="27">
        <v>707466</v>
      </c>
      <c r="G120" s="32">
        <v>7</v>
      </c>
      <c r="H120" s="27">
        <v>748273</v>
      </c>
      <c r="I120" s="27">
        <v>101066.57142857143</v>
      </c>
      <c r="J120" s="27">
        <v>106896.14285714286</v>
      </c>
      <c r="K120" s="29">
        <v>5.7680510441491098E-2</v>
      </c>
    </row>
    <row r="121" spans="1:11" x14ac:dyDescent="0.25">
      <c r="A121" s="5" t="s">
        <v>6</v>
      </c>
      <c r="B121" s="5" t="s">
        <v>812</v>
      </c>
      <c r="C121" s="1" t="s">
        <v>813</v>
      </c>
      <c r="D121" s="5" t="s">
        <v>17209</v>
      </c>
      <c r="E121" s="32">
        <v>104</v>
      </c>
      <c r="F121" s="27">
        <v>67184</v>
      </c>
      <c r="I121" s="27">
        <v>646</v>
      </c>
    </row>
    <row r="122" spans="1:11" x14ac:dyDescent="0.25">
      <c r="A122" s="5" t="s">
        <v>6</v>
      </c>
      <c r="B122" s="5" t="s">
        <v>818</v>
      </c>
      <c r="C122" s="1" t="s">
        <v>819</v>
      </c>
      <c r="D122" s="5" t="s">
        <v>17199</v>
      </c>
      <c r="G122" s="32">
        <v>2</v>
      </c>
      <c r="H122" s="27">
        <v>306923.06</v>
      </c>
      <c r="J122" s="27">
        <v>153461.53</v>
      </c>
    </row>
    <row r="123" spans="1:11" x14ac:dyDescent="0.25">
      <c r="A123" s="5" t="s">
        <v>6</v>
      </c>
      <c r="B123" s="5" t="s">
        <v>820</v>
      </c>
      <c r="C123" s="1" t="s">
        <v>821</v>
      </c>
      <c r="D123" s="5" t="s">
        <v>17199</v>
      </c>
      <c r="G123" s="32">
        <v>3</v>
      </c>
      <c r="H123" s="27">
        <v>460384.59</v>
      </c>
      <c r="J123" s="27">
        <v>153461.53</v>
      </c>
    </row>
    <row r="124" spans="1:11" x14ac:dyDescent="0.25">
      <c r="A124" s="5" t="s">
        <v>6</v>
      </c>
      <c r="B124" s="5" t="s">
        <v>825</v>
      </c>
      <c r="C124" s="1" t="s">
        <v>826</v>
      </c>
      <c r="D124" s="5" t="s">
        <v>17199</v>
      </c>
      <c r="E124" s="32">
        <v>1</v>
      </c>
      <c r="F124" s="27">
        <v>183456</v>
      </c>
      <c r="I124" s="27">
        <v>183456</v>
      </c>
    </row>
    <row r="125" spans="1:11" x14ac:dyDescent="0.25">
      <c r="A125" s="5" t="s">
        <v>6</v>
      </c>
      <c r="B125" s="5" t="s">
        <v>830</v>
      </c>
      <c r="C125" s="1" t="s">
        <v>831</v>
      </c>
      <c r="D125" s="5" t="s">
        <v>17199</v>
      </c>
      <c r="E125" s="32">
        <v>1</v>
      </c>
      <c r="F125" s="27">
        <v>149941</v>
      </c>
      <c r="I125" s="27">
        <v>149941</v>
      </c>
    </row>
    <row r="126" spans="1:11" x14ac:dyDescent="0.25">
      <c r="A126" s="5" t="s">
        <v>6</v>
      </c>
      <c r="B126" s="5" t="s">
        <v>835</v>
      </c>
      <c r="C126" s="1" t="s">
        <v>836</v>
      </c>
      <c r="D126" s="5" t="s">
        <v>17199</v>
      </c>
      <c r="E126" s="32">
        <v>4</v>
      </c>
      <c r="F126" s="27">
        <v>590234</v>
      </c>
      <c r="G126" s="32">
        <v>3</v>
      </c>
      <c r="H126" s="27">
        <v>497799</v>
      </c>
      <c r="I126" s="27">
        <v>147558.5</v>
      </c>
      <c r="J126" s="27">
        <v>165933</v>
      </c>
      <c r="K126" s="29">
        <v>0.1245234940718427</v>
      </c>
    </row>
    <row r="127" spans="1:11" x14ac:dyDescent="0.25">
      <c r="A127" s="5" t="s">
        <v>6</v>
      </c>
      <c r="B127" s="5" t="s">
        <v>839</v>
      </c>
      <c r="C127" s="1" t="s">
        <v>840</v>
      </c>
      <c r="D127" s="5" t="s">
        <v>17201</v>
      </c>
      <c r="E127" s="32">
        <v>4</v>
      </c>
      <c r="F127" s="27">
        <v>458612</v>
      </c>
      <c r="I127" s="27">
        <v>114653</v>
      </c>
    </row>
    <row r="128" spans="1:11" x14ac:dyDescent="0.25">
      <c r="A128" s="5" t="s">
        <v>6</v>
      </c>
      <c r="B128" s="5" t="s">
        <v>892</v>
      </c>
      <c r="C128" s="1" t="s">
        <v>893</v>
      </c>
      <c r="D128" s="5" t="s">
        <v>17201</v>
      </c>
      <c r="E128" s="32">
        <v>2</v>
      </c>
      <c r="F128" s="27">
        <v>402398</v>
      </c>
      <c r="I128" s="27">
        <v>201199</v>
      </c>
    </row>
    <row r="129" spans="1:11" x14ac:dyDescent="0.25">
      <c r="A129" s="5" t="s">
        <v>6</v>
      </c>
      <c r="B129" s="5" t="s">
        <v>897</v>
      </c>
      <c r="C129" s="1" t="s">
        <v>898</v>
      </c>
      <c r="D129" s="5" t="s">
        <v>17200</v>
      </c>
      <c r="E129" s="32">
        <v>3</v>
      </c>
      <c r="F129" s="27">
        <v>695862</v>
      </c>
      <c r="I129" s="27">
        <v>231954</v>
      </c>
    </row>
    <row r="130" spans="1:11" x14ac:dyDescent="0.25">
      <c r="A130" s="5" t="s">
        <v>6</v>
      </c>
      <c r="B130" s="5" t="s">
        <v>1028</v>
      </c>
      <c r="C130" s="1" t="s">
        <v>1029</v>
      </c>
      <c r="D130" s="5" t="s">
        <v>17199</v>
      </c>
      <c r="E130" s="32">
        <v>1</v>
      </c>
      <c r="F130" s="27">
        <v>191154</v>
      </c>
      <c r="I130" s="27">
        <v>191154</v>
      </c>
    </row>
    <row r="131" spans="1:11" x14ac:dyDescent="0.25">
      <c r="A131" s="5" t="s">
        <v>6</v>
      </c>
      <c r="B131" s="5" t="s">
        <v>1073</v>
      </c>
      <c r="C131" s="1" t="s">
        <v>1074</v>
      </c>
      <c r="D131" s="5" t="s">
        <v>17199</v>
      </c>
      <c r="E131" s="32">
        <v>1</v>
      </c>
      <c r="F131" s="27">
        <v>120875</v>
      </c>
      <c r="I131" s="27">
        <v>120875</v>
      </c>
    </row>
    <row r="132" spans="1:11" x14ac:dyDescent="0.25">
      <c r="A132" s="5" t="s">
        <v>6</v>
      </c>
      <c r="B132" s="5" t="s">
        <v>1084</v>
      </c>
      <c r="C132" s="1" t="s">
        <v>1085</v>
      </c>
      <c r="D132" s="5" t="s">
        <v>17199</v>
      </c>
      <c r="E132" s="32">
        <v>1</v>
      </c>
      <c r="F132" s="27">
        <v>163568</v>
      </c>
      <c r="I132" s="27">
        <v>163568</v>
      </c>
    </row>
    <row r="133" spans="1:11" x14ac:dyDescent="0.25">
      <c r="A133" s="5" t="s">
        <v>6</v>
      </c>
      <c r="B133" s="5" t="s">
        <v>1089</v>
      </c>
      <c r="C133" s="1" t="s">
        <v>1090</v>
      </c>
      <c r="D133" s="5" t="s">
        <v>17199</v>
      </c>
      <c r="E133" s="32">
        <v>5</v>
      </c>
      <c r="F133" s="27">
        <v>733480</v>
      </c>
      <c r="I133" s="27">
        <v>146696</v>
      </c>
    </row>
    <row r="134" spans="1:11" x14ac:dyDescent="0.25">
      <c r="A134" s="5" t="s">
        <v>6</v>
      </c>
      <c r="B134" s="5" t="s">
        <v>1094</v>
      </c>
      <c r="C134" s="1" t="s">
        <v>1095</v>
      </c>
      <c r="D134" s="5" t="s">
        <v>17199</v>
      </c>
      <c r="E134" s="32">
        <v>1</v>
      </c>
      <c r="F134" s="27">
        <v>133644.23000000001</v>
      </c>
      <c r="I134" s="27">
        <v>133644.23000000001</v>
      </c>
    </row>
    <row r="135" spans="1:11" x14ac:dyDescent="0.25">
      <c r="A135" s="5" t="s">
        <v>6</v>
      </c>
      <c r="B135" s="5" t="s">
        <v>1102</v>
      </c>
      <c r="C135" s="1" t="s">
        <v>1103</v>
      </c>
      <c r="D135" s="5" t="s">
        <v>17199</v>
      </c>
      <c r="E135" s="32">
        <v>2</v>
      </c>
      <c r="F135" s="27">
        <v>379690</v>
      </c>
      <c r="I135" s="27">
        <v>189845</v>
      </c>
    </row>
    <row r="136" spans="1:11" x14ac:dyDescent="0.25">
      <c r="A136" s="5" t="s">
        <v>6</v>
      </c>
      <c r="B136" s="5" t="s">
        <v>1116</v>
      </c>
      <c r="C136" s="1" t="s">
        <v>1117</v>
      </c>
      <c r="D136" s="5" t="s">
        <v>17200</v>
      </c>
      <c r="E136" s="32">
        <v>5</v>
      </c>
      <c r="F136" s="27">
        <v>888920</v>
      </c>
      <c r="I136" s="27">
        <v>177784</v>
      </c>
    </row>
    <row r="137" spans="1:11" x14ac:dyDescent="0.25">
      <c r="A137" s="5" t="s">
        <v>6</v>
      </c>
      <c r="B137" s="5" t="s">
        <v>1130</v>
      </c>
      <c r="C137" s="1" t="s">
        <v>1131</v>
      </c>
      <c r="D137" s="5" t="s">
        <v>17199</v>
      </c>
      <c r="E137" s="32">
        <v>7</v>
      </c>
      <c r="F137" s="27">
        <v>1489822</v>
      </c>
      <c r="I137" s="27">
        <v>212831.71428571429</v>
      </c>
    </row>
    <row r="138" spans="1:11" x14ac:dyDescent="0.25">
      <c r="A138" s="5" t="s">
        <v>6</v>
      </c>
      <c r="B138" s="5" t="s">
        <v>1132</v>
      </c>
      <c r="C138" s="1" t="s">
        <v>1133</v>
      </c>
      <c r="D138" s="5" t="s">
        <v>17199</v>
      </c>
      <c r="E138" s="32">
        <v>1</v>
      </c>
      <c r="F138" s="27">
        <v>212514</v>
      </c>
      <c r="I138" s="27">
        <v>212514</v>
      </c>
    </row>
    <row r="139" spans="1:11" x14ac:dyDescent="0.25">
      <c r="A139" s="5" t="s">
        <v>6</v>
      </c>
      <c r="B139" s="5" t="s">
        <v>1134</v>
      </c>
      <c r="C139" s="1" t="s">
        <v>1135</v>
      </c>
      <c r="D139" s="5" t="s">
        <v>17199</v>
      </c>
      <c r="E139" s="32">
        <v>5</v>
      </c>
      <c r="F139" s="27">
        <v>1153950</v>
      </c>
      <c r="I139" s="27">
        <v>230790</v>
      </c>
    </row>
    <row r="140" spans="1:11" x14ac:dyDescent="0.25">
      <c r="A140" s="5" t="s">
        <v>6</v>
      </c>
      <c r="B140" s="5" t="s">
        <v>1145</v>
      </c>
      <c r="C140" s="1" t="s">
        <v>1146</v>
      </c>
      <c r="D140" s="5" t="s">
        <v>17202</v>
      </c>
      <c r="E140" s="32">
        <v>1</v>
      </c>
      <c r="F140" s="27">
        <v>35141</v>
      </c>
      <c r="I140" s="27">
        <v>35141</v>
      </c>
    </row>
    <row r="141" spans="1:11" x14ac:dyDescent="0.25">
      <c r="A141" s="5" t="s">
        <v>6</v>
      </c>
      <c r="B141" s="5" t="s">
        <v>1148</v>
      </c>
      <c r="C141" s="1" t="s">
        <v>1149</v>
      </c>
      <c r="D141" s="5" t="s">
        <v>17202</v>
      </c>
      <c r="E141" s="32">
        <v>2</v>
      </c>
      <c r="F141" s="27">
        <v>69533.33</v>
      </c>
      <c r="I141" s="27">
        <v>34766.665000000001</v>
      </c>
    </row>
    <row r="142" spans="1:11" x14ac:dyDescent="0.25">
      <c r="A142" s="5" t="s">
        <v>6</v>
      </c>
      <c r="B142" s="5" t="s">
        <v>1160</v>
      </c>
      <c r="C142" s="1" t="s">
        <v>1161</v>
      </c>
      <c r="D142" s="5" t="s">
        <v>17210</v>
      </c>
      <c r="E142" s="32">
        <v>4</v>
      </c>
      <c r="F142" s="27">
        <v>23692</v>
      </c>
      <c r="G142" s="32">
        <v>4</v>
      </c>
      <c r="H142" s="27">
        <v>24640</v>
      </c>
      <c r="I142" s="27">
        <v>5923</v>
      </c>
      <c r="J142" s="27">
        <v>6160</v>
      </c>
      <c r="K142" s="29">
        <v>4.001350666891778E-2</v>
      </c>
    </row>
    <row r="143" spans="1:11" x14ac:dyDescent="0.25">
      <c r="A143" s="5" t="s">
        <v>6</v>
      </c>
      <c r="B143" s="5" t="s">
        <v>1166</v>
      </c>
      <c r="C143" s="1" t="s">
        <v>1167</v>
      </c>
      <c r="D143" s="5" t="s">
        <v>17203</v>
      </c>
      <c r="E143" s="32">
        <v>2</v>
      </c>
      <c r="F143" s="27">
        <v>53362</v>
      </c>
      <c r="I143" s="27">
        <v>26681</v>
      </c>
    </row>
    <row r="144" spans="1:11" x14ac:dyDescent="0.25">
      <c r="A144" s="5" t="s">
        <v>6</v>
      </c>
      <c r="B144" s="5" t="s">
        <v>1176</v>
      </c>
      <c r="C144" s="1" t="s">
        <v>1177</v>
      </c>
      <c r="D144" s="5" t="s">
        <v>17203</v>
      </c>
      <c r="E144" s="32">
        <v>3</v>
      </c>
      <c r="F144" s="27">
        <v>44214</v>
      </c>
      <c r="G144" s="32">
        <v>2</v>
      </c>
      <c r="H144" s="27">
        <v>31834</v>
      </c>
      <c r="I144" s="27">
        <v>14738</v>
      </c>
      <c r="J144" s="27">
        <v>15917</v>
      </c>
      <c r="K144" s="29">
        <v>7.9997285927534259E-2</v>
      </c>
    </row>
    <row r="145" spans="1:11" x14ac:dyDescent="0.25">
      <c r="A145" s="5" t="s">
        <v>6</v>
      </c>
      <c r="B145" s="5" t="s">
        <v>1178</v>
      </c>
      <c r="C145" s="1" t="s">
        <v>1179</v>
      </c>
      <c r="D145" s="5" t="s">
        <v>17203</v>
      </c>
      <c r="E145" s="32">
        <v>2</v>
      </c>
      <c r="F145" s="27">
        <v>57850</v>
      </c>
      <c r="I145" s="27">
        <v>28925</v>
      </c>
    </row>
    <row r="146" spans="1:11" x14ac:dyDescent="0.25">
      <c r="A146" s="5" t="s">
        <v>6</v>
      </c>
      <c r="B146" s="5" t="s">
        <v>1180</v>
      </c>
      <c r="C146" s="1" t="s">
        <v>1181</v>
      </c>
      <c r="D146" s="5" t="s">
        <v>17203</v>
      </c>
      <c r="E146" s="32">
        <v>1</v>
      </c>
      <c r="F146" s="27">
        <v>25375</v>
      </c>
      <c r="I146" s="27">
        <v>25375</v>
      </c>
    </row>
    <row r="147" spans="1:11" x14ac:dyDescent="0.25">
      <c r="A147" s="5" t="s">
        <v>6</v>
      </c>
      <c r="B147" s="5" t="s">
        <v>1182</v>
      </c>
      <c r="C147" s="1" t="s">
        <v>1183</v>
      </c>
      <c r="D147" s="5" t="s">
        <v>17205</v>
      </c>
      <c r="E147" s="32">
        <v>4</v>
      </c>
      <c r="F147" s="27">
        <v>102510</v>
      </c>
      <c r="G147" s="32">
        <v>7</v>
      </c>
      <c r="H147" s="27">
        <v>189291</v>
      </c>
      <c r="I147" s="27">
        <v>25627.5</v>
      </c>
      <c r="J147" s="27">
        <v>27041.571428571428</v>
      </c>
      <c r="K147" s="29">
        <v>5.5177892052343282E-2</v>
      </c>
    </row>
    <row r="148" spans="1:11" x14ac:dyDescent="0.25">
      <c r="A148" s="5" t="s">
        <v>6</v>
      </c>
      <c r="B148" s="5" t="s">
        <v>1232</v>
      </c>
      <c r="C148" s="1" t="s">
        <v>1233</v>
      </c>
      <c r="D148" s="5" t="s">
        <v>17211</v>
      </c>
      <c r="E148" s="32">
        <v>12</v>
      </c>
      <c r="F148" s="27">
        <v>502992</v>
      </c>
      <c r="G148" s="32">
        <v>21</v>
      </c>
      <c r="H148" s="27">
        <v>927178</v>
      </c>
      <c r="I148" s="27">
        <v>41916</v>
      </c>
      <c r="J148" s="27">
        <v>44151.333333333336</v>
      </c>
      <c r="K148" s="29">
        <v>5.3328879982186654E-2</v>
      </c>
    </row>
    <row r="149" spans="1:11" x14ac:dyDescent="0.25">
      <c r="A149" s="5" t="s">
        <v>6</v>
      </c>
      <c r="B149" s="5" t="s">
        <v>1234</v>
      </c>
      <c r="C149" s="1" t="s">
        <v>1235</v>
      </c>
      <c r="D149" s="5" t="s">
        <v>17205</v>
      </c>
      <c r="E149" s="32">
        <v>10</v>
      </c>
      <c r="F149" s="27">
        <v>349312</v>
      </c>
      <c r="G149" s="32">
        <v>10</v>
      </c>
      <c r="H149" s="27">
        <v>371819</v>
      </c>
      <c r="I149" s="27">
        <v>34931.199999999997</v>
      </c>
      <c r="J149" s="27">
        <v>37181.9</v>
      </c>
      <c r="K149" s="29">
        <v>6.443236991572017E-2</v>
      </c>
    </row>
    <row r="150" spans="1:11" x14ac:dyDescent="0.25">
      <c r="A150" s="5" t="s">
        <v>6</v>
      </c>
      <c r="B150" s="5" t="s">
        <v>1243</v>
      </c>
      <c r="C150" s="1" t="s">
        <v>1244</v>
      </c>
      <c r="D150" s="5" t="s">
        <v>17211</v>
      </c>
      <c r="E150" s="32">
        <v>4</v>
      </c>
      <c r="F150" s="27">
        <v>132476</v>
      </c>
      <c r="I150" s="27">
        <v>33119</v>
      </c>
    </row>
    <row r="151" spans="1:11" x14ac:dyDescent="0.25">
      <c r="A151" s="5" t="s">
        <v>6</v>
      </c>
      <c r="B151" s="5" t="s">
        <v>1250</v>
      </c>
      <c r="C151" s="1" t="s">
        <v>1251</v>
      </c>
      <c r="D151" s="5" t="s">
        <v>17205</v>
      </c>
      <c r="E151" s="32">
        <v>4</v>
      </c>
      <c r="F151" s="27">
        <v>130380</v>
      </c>
      <c r="I151" s="27">
        <v>32595</v>
      </c>
    </row>
    <row r="152" spans="1:11" x14ac:dyDescent="0.25">
      <c r="A152" s="5" t="s">
        <v>6</v>
      </c>
      <c r="B152" s="5" t="s">
        <v>1254</v>
      </c>
      <c r="C152" s="1" t="s">
        <v>1255</v>
      </c>
      <c r="D152" s="5" t="s">
        <v>17211</v>
      </c>
      <c r="E152" s="32">
        <v>1</v>
      </c>
      <c r="F152" s="27">
        <v>33939</v>
      </c>
      <c r="I152" s="27">
        <v>33939</v>
      </c>
    </row>
    <row r="153" spans="1:11" x14ac:dyDescent="0.25">
      <c r="A153" s="5" t="s">
        <v>6</v>
      </c>
      <c r="B153" s="5" t="s">
        <v>1258</v>
      </c>
      <c r="C153" s="1" t="s">
        <v>1259</v>
      </c>
      <c r="D153" s="5" t="s">
        <v>17211</v>
      </c>
      <c r="E153" s="32">
        <v>2</v>
      </c>
      <c r="F153" s="27">
        <v>45274</v>
      </c>
      <c r="I153" s="27">
        <v>22637</v>
      </c>
    </row>
    <row r="154" spans="1:11" x14ac:dyDescent="0.25">
      <c r="A154" s="5" t="s">
        <v>6</v>
      </c>
      <c r="B154" s="5" t="s">
        <v>1264</v>
      </c>
      <c r="C154" s="1" t="s">
        <v>1265</v>
      </c>
      <c r="D154" s="5" t="s">
        <v>17212</v>
      </c>
      <c r="E154" s="32">
        <v>3</v>
      </c>
      <c r="F154" s="27">
        <v>125703</v>
      </c>
      <c r="I154" s="27">
        <v>41901</v>
      </c>
    </row>
    <row r="155" spans="1:11" x14ac:dyDescent="0.25">
      <c r="A155" s="5" t="s">
        <v>6</v>
      </c>
      <c r="B155" s="5" t="s">
        <v>1267</v>
      </c>
      <c r="C155" s="1" t="s">
        <v>1268</v>
      </c>
      <c r="D155" s="5" t="s">
        <v>17204</v>
      </c>
      <c r="E155" s="32">
        <v>3</v>
      </c>
      <c r="F155" s="27">
        <v>21108</v>
      </c>
      <c r="G155" s="32">
        <v>4</v>
      </c>
      <c r="H155" s="27">
        <v>29833</v>
      </c>
      <c r="I155" s="27">
        <v>7036</v>
      </c>
      <c r="J155" s="27">
        <v>7458.25</v>
      </c>
      <c r="K155" s="29">
        <v>6.0012791358726551E-2</v>
      </c>
    </row>
    <row r="156" spans="1:11" x14ac:dyDescent="0.25">
      <c r="A156" s="5" t="s">
        <v>6</v>
      </c>
      <c r="B156" s="5" t="s">
        <v>1270</v>
      </c>
      <c r="C156" s="1" t="s">
        <v>1271</v>
      </c>
      <c r="D156" s="5" t="s">
        <v>17204</v>
      </c>
      <c r="E156" s="32">
        <v>3</v>
      </c>
      <c r="F156" s="27">
        <v>19065</v>
      </c>
      <c r="G156" s="32">
        <v>15</v>
      </c>
      <c r="H156" s="27">
        <v>100405</v>
      </c>
      <c r="I156" s="27">
        <v>6355</v>
      </c>
      <c r="J156" s="27">
        <v>6693.666666666667</v>
      </c>
      <c r="K156" s="29">
        <v>5.3291371623393702E-2</v>
      </c>
    </row>
    <row r="157" spans="1:11" x14ac:dyDescent="0.25">
      <c r="A157" s="5" t="s">
        <v>6</v>
      </c>
      <c r="B157" s="5" t="s">
        <v>1278</v>
      </c>
      <c r="C157" s="1" t="s">
        <v>1279</v>
      </c>
      <c r="D157" s="5" t="s">
        <v>17210</v>
      </c>
      <c r="E157" s="32">
        <v>1</v>
      </c>
      <c r="F157" s="27">
        <v>22377</v>
      </c>
      <c r="I157" s="27">
        <v>22377</v>
      </c>
    </row>
    <row r="158" spans="1:11" x14ac:dyDescent="0.25">
      <c r="A158" s="5" t="s">
        <v>6</v>
      </c>
      <c r="B158" s="5" t="s">
        <v>1290</v>
      </c>
      <c r="C158" s="1" t="s">
        <v>1291</v>
      </c>
      <c r="D158" s="5" t="s">
        <v>17204</v>
      </c>
      <c r="E158" s="32">
        <v>8</v>
      </c>
      <c r="F158" s="27">
        <v>23172</v>
      </c>
      <c r="G158" s="32">
        <v>10</v>
      </c>
      <c r="H158" s="27">
        <v>32329</v>
      </c>
      <c r="I158" s="27">
        <v>2896.5</v>
      </c>
      <c r="J158" s="27">
        <v>3232.9</v>
      </c>
      <c r="K158" s="29">
        <v>0.11614016916968758</v>
      </c>
    </row>
    <row r="159" spans="1:11" x14ac:dyDescent="0.25">
      <c r="A159" s="5" t="s">
        <v>6</v>
      </c>
      <c r="B159" s="5" t="s">
        <v>1297</v>
      </c>
      <c r="C159" s="1" t="s">
        <v>1298</v>
      </c>
      <c r="D159" s="5" t="s">
        <v>17204</v>
      </c>
      <c r="E159" s="32">
        <v>8</v>
      </c>
      <c r="F159" s="27">
        <v>51384</v>
      </c>
      <c r="I159" s="27">
        <v>6423</v>
      </c>
    </row>
    <row r="160" spans="1:11" x14ac:dyDescent="0.25">
      <c r="A160" s="5" t="s">
        <v>6</v>
      </c>
      <c r="B160" s="5" t="s">
        <v>1299</v>
      </c>
      <c r="C160" s="1" t="s">
        <v>1300</v>
      </c>
      <c r="D160" s="5" t="s">
        <v>17204</v>
      </c>
      <c r="E160" s="32">
        <v>1</v>
      </c>
      <c r="F160" s="27">
        <v>6423</v>
      </c>
      <c r="G160" s="32">
        <v>4</v>
      </c>
      <c r="H160" s="27">
        <v>27234</v>
      </c>
      <c r="I160" s="27">
        <v>6423</v>
      </c>
      <c r="J160" s="27">
        <v>6808.5</v>
      </c>
      <c r="K160" s="29">
        <v>6.0018682858477349E-2</v>
      </c>
    </row>
    <row r="161" spans="1:11" x14ac:dyDescent="0.25">
      <c r="A161" s="5" t="s">
        <v>6</v>
      </c>
      <c r="B161" s="5" t="s">
        <v>1301</v>
      </c>
      <c r="C161" s="1" t="s">
        <v>1302</v>
      </c>
      <c r="D161" s="5" t="s">
        <v>17204</v>
      </c>
      <c r="E161" s="32">
        <v>3</v>
      </c>
      <c r="F161" s="27">
        <v>14769</v>
      </c>
      <c r="I161" s="27">
        <v>4923</v>
      </c>
    </row>
    <row r="162" spans="1:11" x14ac:dyDescent="0.25">
      <c r="A162" s="5" t="s">
        <v>6</v>
      </c>
      <c r="B162" s="5" t="s">
        <v>1303</v>
      </c>
      <c r="C162" s="1" t="s">
        <v>1304</v>
      </c>
      <c r="D162" s="5" t="s">
        <v>17204</v>
      </c>
      <c r="E162" s="32">
        <v>2</v>
      </c>
      <c r="F162" s="27">
        <v>12337</v>
      </c>
      <c r="G162" s="32">
        <v>5</v>
      </c>
      <c r="H162" s="27">
        <v>34171</v>
      </c>
      <c r="I162" s="27">
        <v>6168.5</v>
      </c>
      <c r="J162" s="27">
        <v>6834.2</v>
      </c>
      <c r="K162" s="29">
        <v>0.10791926724487312</v>
      </c>
    </row>
    <row r="163" spans="1:11" x14ac:dyDescent="0.25">
      <c r="A163" s="5" t="s">
        <v>6</v>
      </c>
      <c r="B163" s="5" t="s">
        <v>1309</v>
      </c>
      <c r="C163" s="1" t="s">
        <v>1310</v>
      </c>
      <c r="D163" s="5" t="s">
        <v>17204</v>
      </c>
      <c r="E163" s="32">
        <v>21</v>
      </c>
      <c r="F163" s="27">
        <v>101823</v>
      </c>
      <c r="G163" s="32">
        <v>24</v>
      </c>
      <c r="H163" s="27">
        <v>123274</v>
      </c>
      <c r="I163" s="27">
        <v>4848.7142857142853</v>
      </c>
      <c r="J163" s="27">
        <v>5136.416666666667</v>
      </c>
      <c r="K163" s="29">
        <v>5.9335808216218484E-2</v>
      </c>
    </row>
    <row r="164" spans="1:11" x14ac:dyDescent="0.25">
      <c r="A164" s="5" t="s">
        <v>6</v>
      </c>
      <c r="B164" s="5" t="s">
        <v>1312</v>
      </c>
      <c r="C164" s="1" t="s">
        <v>1313</v>
      </c>
      <c r="D164" s="5" t="s">
        <v>17204</v>
      </c>
      <c r="E164" s="32">
        <v>18</v>
      </c>
      <c r="F164" s="27">
        <v>87444</v>
      </c>
      <c r="G164" s="32">
        <v>15</v>
      </c>
      <c r="H164" s="27">
        <v>77785</v>
      </c>
      <c r="I164" s="27">
        <v>4858</v>
      </c>
      <c r="J164" s="27">
        <v>5185.666666666667</v>
      </c>
      <c r="K164" s="29">
        <v>6.74488815699191E-2</v>
      </c>
    </row>
    <row r="165" spans="1:11" x14ac:dyDescent="0.25">
      <c r="A165" s="5" t="s">
        <v>6</v>
      </c>
      <c r="B165" s="5" t="s">
        <v>1314</v>
      </c>
      <c r="C165" s="1" t="s">
        <v>1315</v>
      </c>
      <c r="D165" s="5" t="s">
        <v>17204</v>
      </c>
      <c r="E165" s="32">
        <v>4</v>
      </c>
      <c r="F165" s="27">
        <v>19302</v>
      </c>
      <c r="G165" s="32">
        <v>6</v>
      </c>
      <c r="H165" s="27">
        <v>31114</v>
      </c>
      <c r="I165" s="27">
        <v>4825.5</v>
      </c>
      <c r="J165" s="27">
        <v>5185.666666666667</v>
      </c>
      <c r="K165" s="29">
        <v>7.4638206748868924E-2</v>
      </c>
    </row>
    <row r="166" spans="1:11" x14ac:dyDescent="0.25">
      <c r="A166" s="5" t="s">
        <v>6</v>
      </c>
      <c r="B166" s="5" t="s">
        <v>1324</v>
      </c>
      <c r="C166" s="1" t="s">
        <v>1325</v>
      </c>
      <c r="D166" s="5" t="s">
        <v>17204</v>
      </c>
      <c r="E166" s="32">
        <v>32</v>
      </c>
      <c r="F166" s="27">
        <v>177046</v>
      </c>
      <c r="G166" s="32">
        <v>5</v>
      </c>
      <c r="H166" s="27">
        <v>30635</v>
      </c>
      <c r="I166" s="27">
        <v>5532.6875</v>
      </c>
      <c r="J166" s="27">
        <v>6127</v>
      </c>
      <c r="K166" s="29">
        <v>0.10741841103442043</v>
      </c>
    </row>
    <row r="167" spans="1:11" x14ac:dyDescent="0.25">
      <c r="A167" s="5" t="s">
        <v>6</v>
      </c>
      <c r="B167" s="5" t="s">
        <v>1326</v>
      </c>
      <c r="C167" s="1" t="s">
        <v>1327</v>
      </c>
      <c r="D167" s="5" t="s">
        <v>17204</v>
      </c>
      <c r="E167" s="32">
        <v>6</v>
      </c>
      <c r="F167" s="27">
        <v>22306</v>
      </c>
      <c r="I167" s="27">
        <v>3717.6666666666665</v>
      </c>
    </row>
    <row r="168" spans="1:11" x14ac:dyDescent="0.25">
      <c r="A168" s="5" t="s">
        <v>6</v>
      </c>
      <c r="B168" s="5" t="s">
        <v>1328</v>
      </c>
      <c r="C168" s="1" t="s">
        <v>1329</v>
      </c>
      <c r="D168" s="5" t="s">
        <v>17204</v>
      </c>
      <c r="E168" s="32">
        <v>4</v>
      </c>
      <c r="F168" s="27">
        <v>14767</v>
      </c>
      <c r="I168" s="27">
        <v>3691.75</v>
      </c>
    </row>
    <row r="169" spans="1:11" x14ac:dyDescent="0.25">
      <c r="A169" s="5" t="s">
        <v>6</v>
      </c>
      <c r="B169" s="5" t="s">
        <v>1333</v>
      </c>
      <c r="C169" s="1" t="s">
        <v>1334</v>
      </c>
      <c r="D169" s="5" t="s">
        <v>17204</v>
      </c>
      <c r="E169" s="32">
        <v>36</v>
      </c>
      <c r="F169" s="27">
        <v>184554</v>
      </c>
      <c r="G169" s="32">
        <v>44</v>
      </c>
      <c r="H169" s="27">
        <v>241060</v>
      </c>
      <c r="I169" s="27">
        <v>5126.5</v>
      </c>
      <c r="J169" s="27">
        <v>5478.636363636364</v>
      </c>
      <c r="K169" s="29">
        <v>6.8689430144614053E-2</v>
      </c>
    </row>
    <row r="170" spans="1:11" x14ac:dyDescent="0.25">
      <c r="A170" s="5" t="s">
        <v>6</v>
      </c>
      <c r="B170" s="5" t="s">
        <v>1342</v>
      </c>
      <c r="C170" s="1" t="s">
        <v>1343</v>
      </c>
      <c r="D170" s="5" t="s">
        <v>17205</v>
      </c>
      <c r="E170" s="32">
        <v>6</v>
      </c>
      <c r="F170" s="27">
        <v>200310</v>
      </c>
      <c r="G170" s="32">
        <v>12</v>
      </c>
      <c r="H170" s="27">
        <v>419317</v>
      </c>
      <c r="I170" s="27">
        <v>33385</v>
      </c>
      <c r="J170" s="27">
        <v>34943.083333333336</v>
      </c>
      <c r="K170" s="29">
        <v>4.6670161250062479E-2</v>
      </c>
    </row>
    <row r="171" spans="1:11" x14ac:dyDescent="0.25">
      <c r="A171" s="5" t="s">
        <v>6</v>
      </c>
      <c r="B171" s="5" t="s">
        <v>1345</v>
      </c>
      <c r="C171" s="1" t="s">
        <v>1346</v>
      </c>
      <c r="D171" s="5" t="s">
        <v>17205</v>
      </c>
      <c r="E171" s="32">
        <v>6</v>
      </c>
      <c r="F171" s="27">
        <v>185472</v>
      </c>
      <c r="I171" s="27">
        <v>30912</v>
      </c>
    </row>
    <row r="172" spans="1:11" x14ac:dyDescent="0.25">
      <c r="A172" s="5" t="s">
        <v>6</v>
      </c>
      <c r="B172" s="5" t="s">
        <v>1347</v>
      </c>
      <c r="C172" s="1" t="s">
        <v>1348</v>
      </c>
      <c r="D172" s="5" t="s">
        <v>17211</v>
      </c>
      <c r="E172" s="32">
        <v>1</v>
      </c>
      <c r="F172" s="27">
        <v>28464</v>
      </c>
      <c r="I172" s="27">
        <v>28464</v>
      </c>
    </row>
    <row r="173" spans="1:11" x14ac:dyDescent="0.25">
      <c r="A173" s="5" t="s">
        <v>6</v>
      </c>
      <c r="B173" s="5" t="s">
        <v>1351</v>
      </c>
      <c r="C173" s="1" t="s">
        <v>1352</v>
      </c>
      <c r="D173" s="5" t="s">
        <v>17203</v>
      </c>
      <c r="E173" s="32">
        <v>1</v>
      </c>
      <c r="F173" s="27">
        <v>14585</v>
      </c>
      <c r="I173" s="27">
        <v>14585</v>
      </c>
    </row>
    <row r="174" spans="1:11" x14ac:dyDescent="0.25">
      <c r="A174" s="5" t="s">
        <v>6</v>
      </c>
      <c r="B174" s="5" t="s">
        <v>1354</v>
      </c>
      <c r="C174" s="1" t="s">
        <v>1355</v>
      </c>
      <c r="D174" s="5" t="s">
        <v>17203</v>
      </c>
      <c r="E174" s="32">
        <v>3</v>
      </c>
      <c r="F174" s="27">
        <v>66776</v>
      </c>
      <c r="G174" s="32">
        <v>5</v>
      </c>
      <c r="H174" s="27">
        <v>119797</v>
      </c>
      <c r="I174" s="27">
        <v>22258.666666666668</v>
      </c>
      <c r="J174" s="27">
        <v>23959.4</v>
      </c>
      <c r="K174" s="29">
        <v>7.6407691386126755E-2</v>
      </c>
    </row>
    <row r="175" spans="1:11" x14ac:dyDescent="0.25">
      <c r="A175" s="5" t="s">
        <v>6</v>
      </c>
      <c r="B175" s="5" t="s">
        <v>1365</v>
      </c>
      <c r="C175" s="1" t="s">
        <v>1366</v>
      </c>
      <c r="D175" s="5" t="s">
        <v>17203</v>
      </c>
      <c r="E175" s="32">
        <v>3</v>
      </c>
      <c r="F175" s="27">
        <v>69390</v>
      </c>
      <c r="I175" s="27">
        <v>23130</v>
      </c>
    </row>
    <row r="176" spans="1:11" x14ac:dyDescent="0.25">
      <c r="A176" s="5" t="s">
        <v>6</v>
      </c>
      <c r="B176" s="5" t="s">
        <v>1370</v>
      </c>
      <c r="C176" s="1" t="s">
        <v>1371</v>
      </c>
      <c r="D176" s="5" t="s">
        <v>17206</v>
      </c>
      <c r="G176" s="32">
        <v>2</v>
      </c>
      <c r="H176" s="27">
        <v>86792.44</v>
      </c>
      <c r="J176" s="27">
        <v>43396.22</v>
      </c>
    </row>
    <row r="177" spans="1:11" x14ac:dyDescent="0.25">
      <c r="A177" s="5" t="s">
        <v>6</v>
      </c>
      <c r="B177" s="5" t="s">
        <v>1373</v>
      </c>
      <c r="C177" s="1" t="s">
        <v>1374</v>
      </c>
      <c r="D177" s="5" t="s">
        <v>17207</v>
      </c>
      <c r="G177" s="32">
        <v>3</v>
      </c>
      <c r="H177" s="27">
        <v>99056.58</v>
      </c>
      <c r="J177" s="27">
        <v>33018.86</v>
      </c>
    </row>
    <row r="178" spans="1:11" x14ac:dyDescent="0.25">
      <c r="A178" s="5" t="s">
        <v>6</v>
      </c>
      <c r="B178" s="5" t="s">
        <v>1376</v>
      </c>
      <c r="C178" s="1" t="s">
        <v>1377</v>
      </c>
      <c r="D178" s="5" t="s">
        <v>17204</v>
      </c>
      <c r="G178" s="32">
        <v>2</v>
      </c>
      <c r="H178" s="27">
        <v>8867.92</v>
      </c>
      <c r="J178" s="27">
        <v>4433.96</v>
      </c>
    </row>
    <row r="179" spans="1:11" x14ac:dyDescent="0.25">
      <c r="A179" s="5" t="s">
        <v>6</v>
      </c>
      <c r="B179" s="5" t="s">
        <v>1406</v>
      </c>
      <c r="C179" s="1" t="s">
        <v>1407</v>
      </c>
      <c r="D179" s="5" t="s">
        <v>17213</v>
      </c>
      <c r="E179" s="32">
        <v>87</v>
      </c>
      <c r="F179" s="27">
        <v>110419</v>
      </c>
      <c r="G179" s="32">
        <v>72</v>
      </c>
      <c r="H179" s="27">
        <v>98814</v>
      </c>
      <c r="I179" s="27">
        <v>1269.183908045977</v>
      </c>
      <c r="J179" s="27">
        <v>1372.4166666666667</v>
      </c>
      <c r="K179" s="29">
        <v>8.1337903802787659E-2</v>
      </c>
    </row>
    <row r="180" spans="1:11" x14ac:dyDescent="0.25">
      <c r="A180" s="5" t="s">
        <v>6</v>
      </c>
      <c r="B180" s="5" t="s">
        <v>1409</v>
      </c>
      <c r="C180" s="1" t="s">
        <v>1410</v>
      </c>
      <c r="D180" s="5" t="s">
        <v>17213</v>
      </c>
      <c r="E180" s="32">
        <v>1</v>
      </c>
      <c r="F180" s="27">
        <v>6725</v>
      </c>
      <c r="I180" s="27">
        <v>6725</v>
      </c>
    </row>
    <row r="181" spans="1:11" x14ac:dyDescent="0.25">
      <c r="A181" s="5" t="s">
        <v>6</v>
      </c>
      <c r="B181" s="5" t="s">
        <v>1412</v>
      </c>
      <c r="C181" s="1" t="s">
        <v>1413</v>
      </c>
      <c r="D181" s="5" t="s">
        <v>17213</v>
      </c>
      <c r="E181" s="32">
        <v>2</v>
      </c>
      <c r="F181" s="27">
        <v>20259.72</v>
      </c>
      <c r="G181" s="32">
        <v>15</v>
      </c>
      <c r="H181" s="27">
        <v>269302.34000000003</v>
      </c>
      <c r="I181" s="27">
        <v>10129.86</v>
      </c>
      <c r="J181" s="27">
        <v>17953.489333333335</v>
      </c>
      <c r="K181" s="29">
        <v>0.77233341164965097</v>
      </c>
    </row>
    <row r="182" spans="1:11" x14ac:dyDescent="0.25">
      <c r="A182" s="5" t="s">
        <v>6</v>
      </c>
      <c r="B182" s="5" t="s">
        <v>1415</v>
      </c>
      <c r="C182" s="1" t="s">
        <v>1416</v>
      </c>
      <c r="D182" s="5" t="s">
        <v>17213</v>
      </c>
      <c r="E182" s="32">
        <v>7</v>
      </c>
      <c r="F182" s="27">
        <v>12895.06</v>
      </c>
      <c r="G182" s="32">
        <v>9</v>
      </c>
      <c r="H182" s="27">
        <v>49715.32</v>
      </c>
      <c r="I182" s="27">
        <v>1842.1514285714286</v>
      </c>
      <c r="J182" s="27">
        <v>5523.9244444444448</v>
      </c>
      <c r="K182" s="29">
        <v>1.9986266920131519</v>
      </c>
    </row>
    <row r="183" spans="1:11" x14ac:dyDescent="0.25">
      <c r="A183" s="5" t="s">
        <v>6</v>
      </c>
      <c r="B183" s="5" t="s">
        <v>1418</v>
      </c>
      <c r="C183" s="1" t="s">
        <v>1419</v>
      </c>
      <c r="D183" s="5" t="s">
        <v>17213</v>
      </c>
      <c r="E183" s="32">
        <v>34</v>
      </c>
      <c r="F183" s="27">
        <v>98377</v>
      </c>
      <c r="G183" s="32">
        <v>21</v>
      </c>
      <c r="H183" s="27">
        <v>65838</v>
      </c>
      <c r="I183" s="27">
        <v>2893.4411764705883</v>
      </c>
      <c r="J183" s="27">
        <v>3135.1428571428573</v>
      </c>
      <c r="K183" s="29">
        <v>8.3534333663937171E-2</v>
      </c>
    </row>
    <row r="184" spans="1:11" x14ac:dyDescent="0.25">
      <c r="A184" s="5" t="s">
        <v>6</v>
      </c>
      <c r="B184" s="5" t="s">
        <v>1420</v>
      </c>
      <c r="C184" s="1" t="s">
        <v>1421</v>
      </c>
      <c r="D184" s="5" t="s">
        <v>17213</v>
      </c>
      <c r="E184" s="32">
        <v>6</v>
      </c>
      <c r="F184" s="27">
        <v>74502</v>
      </c>
      <c r="I184" s="27">
        <v>12417</v>
      </c>
    </row>
    <row r="185" spans="1:11" x14ac:dyDescent="0.25">
      <c r="A185" s="5" t="s">
        <v>6</v>
      </c>
      <c r="B185" s="5" t="s">
        <v>1423</v>
      </c>
      <c r="C185" s="1" t="s">
        <v>1424</v>
      </c>
      <c r="D185" s="5" t="s">
        <v>17213</v>
      </c>
      <c r="E185" s="32">
        <v>1</v>
      </c>
      <c r="F185" s="27">
        <v>13927</v>
      </c>
      <c r="I185" s="27">
        <v>13927</v>
      </c>
    </row>
    <row r="186" spans="1:11" x14ac:dyDescent="0.25">
      <c r="A186" s="5" t="s">
        <v>6</v>
      </c>
      <c r="B186" s="5" t="s">
        <v>1426</v>
      </c>
      <c r="C186" s="1" t="s">
        <v>1427</v>
      </c>
      <c r="D186" s="5" t="s">
        <v>17213</v>
      </c>
      <c r="E186" s="32">
        <v>1</v>
      </c>
      <c r="F186" s="27">
        <v>16042</v>
      </c>
      <c r="I186" s="27">
        <v>16042</v>
      </c>
    </row>
    <row r="187" spans="1:11" x14ac:dyDescent="0.25">
      <c r="A187" s="5" t="s">
        <v>6</v>
      </c>
      <c r="B187" s="5" t="s">
        <v>1432</v>
      </c>
      <c r="C187" s="1" t="s">
        <v>1433</v>
      </c>
      <c r="D187" s="5" t="s">
        <v>17213</v>
      </c>
      <c r="E187" s="32">
        <v>39</v>
      </c>
      <c r="F187" s="27">
        <v>116321</v>
      </c>
      <c r="I187" s="27">
        <v>2982.5897435897436</v>
      </c>
    </row>
    <row r="188" spans="1:11" x14ac:dyDescent="0.25">
      <c r="A188" s="5" t="s">
        <v>6</v>
      </c>
      <c r="B188" s="5" t="s">
        <v>1435</v>
      </c>
      <c r="C188" s="1" t="s">
        <v>1436</v>
      </c>
      <c r="D188" s="5" t="s">
        <v>17213</v>
      </c>
      <c r="E188" s="32">
        <v>1</v>
      </c>
      <c r="F188" s="27">
        <v>13903</v>
      </c>
      <c r="I188" s="27">
        <v>13903</v>
      </c>
    </row>
    <row r="189" spans="1:11" x14ac:dyDescent="0.25">
      <c r="A189" s="5" t="s">
        <v>6</v>
      </c>
      <c r="B189" s="5" t="s">
        <v>1438</v>
      </c>
      <c r="C189" s="1" t="s">
        <v>1439</v>
      </c>
      <c r="D189" s="5" t="s">
        <v>17214</v>
      </c>
      <c r="E189" s="32">
        <v>13</v>
      </c>
      <c r="F189" s="27">
        <v>314393</v>
      </c>
      <c r="I189" s="27">
        <v>24184.076923076922</v>
      </c>
    </row>
    <row r="190" spans="1:11" x14ac:dyDescent="0.25">
      <c r="A190" s="5" t="s">
        <v>6</v>
      </c>
      <c r="B190" s="5" t="s">
        <v>1441</v>
      </c>
      <c r="C190" s="1" t="s">
        <v>1442</v>
      </c>
      <c r="D190" s="5" t="s">
        <v>17215</v>
      </c>
      <c r="E190" s="32">
        <v>5</v>
      </c>
      <c r="F190" s="27">
        <v>37315</v>
      </c>
      <c r="I190" s="27">
        <v>7463</v>
      </c>
    </row>
    <row r="191" spans="1:11" x14ac:dyDescent="0.25">
      <c r="A191" s="5" t="s">
        <v>6</v>
      </c>
      <c r="B191" s="5" t="s">
        <v>1444</v>
      </c>
      <c r="C191" s="1" t="s">
        <v>1445</v>
      </c>
      <c r="D191" s="5" t="s">
        <v>17213</v>
      </c>
      <c r="E191" s="32">
        <v>0</v>
      </c>
      <c r="F191" s="27">
        <v>0</v>
      </c>
      <c r="G191" s="32">
        <v>2</v>
      </c>
      <c r="H191" s="27">
        <v>37748</v>
      </c>
      <c r="J191" s="27">
        <v>18874</v>
      </c>
    </row>
    <row r="192" spans="1:11" x14ac:dyDescent="0.25">
      <c r="A192" s="5" t="s">
        <v>6</v>
      </c>
      <c r="B192" s="5" t="s">
        <v>1450</v>
      </c>
      <c r="C192" s="1" t="s">
        <v>1451</v>
      </c>
      <c r="D192" s="5" t="s">
        <v>17213</v>
      </c>
      <c r="E192" s="32">
        <v>4</v>
      </c>
      <c r="F192" s="27">
        <v>154520</v>
      </c>
      <c r="I192" s="27">
        <v>38630</v>
      </c>
    </row>
    <row r="193" spans="1:11" x14ac:dyDescent="0.25">
      <c r="A193" s="5" t="s">
        <v>6</v>
      </c>
      <c r="B193" s="5" t="s">
        <v>1453</v>
      </c>
      <c r="C193" s="1" t="s">
        <v>1454</v>
      </c>
      <c r="D193" s="5" t="s">
        <v>17213</v>
      </c>
      <c r="E193" s="32">
        <v>0</v>
      </c>
      <c r="F193" s="27">
        <v>0</v>
      </c>
      <c r="G193" s="32">
        <v>21</v>
      </c>
      <c r="H193" s="27">
        <v>305424</v>
      </c>
      <c r="J193" s="27">
        <v>14544</v>
      </c>
    </row>
    <row r="194" spans="1:11" x14ac:dyDescent="0.25">
      <c r="A194" s="5" t="s">
        <v>6</v>
      </c>
      <c r="B194" s="5" t="s">
        <v>1456</v>
      </c>
      <c r="C194" s="1" t="s">
        <v>1457</v>
      </c>
      <c r="D194" s="5" t="s">
        <v>17213</v>
      </c>
      <c r="E194" s="32">
        <v>93</v>
      </c>
      <c r="F194" s="27">
        <v>923874</v>
      </c>
      <c r="G194" s="32">
        <v>83</v>
      </c>
      <c r="H194" s="27">
        <v>884040</v>
      </c>
      <c r="I194" s="27">
        <v>9934.1290322580644</v>
      </c>
      <c r="J194" s="27">
        <v>10651.084337349397</v>
      </c>
      <c r="K194" s="29">
        <v>7.2170927392148657E-2</v>
      </c>
    </row>
    <row r="195" spans="1:11" x14ac:dyDescent="0.25">
      <c r="A195" s="5" t="s">
        <v>6</v>
      </c>
      <c r="B195" s="5" t="s">
        <v>1461</v>
      </c>
      <c r="C195" s="1" t="s">
        <v>1462</v>
      </c>
      <c r="D195" s="5" t="s">
        <v>17213</v>
      </c>
      <c r="E195" s="32">
        <v>22</v>
      </c>
      <c r="F195" s="27">
        <v>512663</v>
      </c>
      <c r="I195" s="27">
        <v>23302.863636363636</v>
      </c>
    </row>
    <row r="196" spans="1:11" x14ac:dyDescent="0.25">
      <c r="A196" s="5" t="s">
        <v>6</v>
      </c>
      <c r="B196" s="5" t="s">
        <v>1466</v>
      </c>
      <c r="C196" s="1" t="s">
        <v>1467</v>
      </c>
      <c r="D196" s="5" t="s">
        <v>17213</v>
      </c>
      <c r="E196" s="32">
        <v>4</v>
      </c>
      <c r="F196" s="27">
        <v>13984</v>
      </c>
      <c r="I196" s="27">
        <v>3496</v>
      </c>
    </row>
    <row r="197" spans="1:11" x14ac:dyDescent="0.25">
      <c r="A197" s="5" t="s">
        <v>6</v>
      </c>
      <c r="B197" s="5" t="s">
        <v>1477</v>
      </c>
      <c r="C197" s="1" t="s">
        <v>1478</v>
      </c>
      <c r="D197" s="5" t="s">
        <v>17213</v>
      </c>
      <c r="E197" s="32">
        <v>2</v>
      </c>
      <c r="F197" s="27">
        <v>29182</v>
      </c>
      <c r="I197" s="27">
        <v>14591</v>
      </c>
    </row>
    <row r="198" spans="1:11" x14ac:dyDescent="0.25">
      <c r="A198" s="5" t="s">
        <v>6</v>
      </c>
      <c r="B198" s="5" t="s">
        <v>1480</v>
      </c>
      <c r="C198" s="1" t="s">
        <v>1481</v>
      </c>
      <c r="G198" s="32">
        <v>131</v>
      </c>
      <c r="H198" s="27">
        <v>242475.76</v>
      </c>
      <c r="J198" s="27">
        <v>1850.96</v>
      </c>
    </row>
    <row r="199" spans="1:11" x14ac:dyDescent="0.25">
      <c r="A199" s="5" t="s">
        <v>6</v>
      </c>
      <c r="B199" s="5" t="s">
        <v>17216</v>
      </c>
      <c r="C199" s="1" t="s">
        <v>17217</v>
      </c>
      <c r="D199" s="5" t="s">
        <v>17218</v>
      </c>
      <c r="E199" s="32">
        <v>5</v>
      </c>
      <c r="F199" s="27">
        <v>177171.19</v>
      </c>
      <c r="I199" s="27">
        <v>35434.237999999998</v>
      </c>
    </row>
    <row r="200" spans="1:11" x14ac:dyDescent="0.25">
      <c r="A200" s="5" t="s">
        <v>6</v>
      </c>
      <c r="B200" s="5" t="s">
        <v>17219</v>
      </c>
      <c r="C200" s="1" t="s">
        <v>17220</v>
      </c>
      <c r="D200" s="5" t="s">
        <v>17218</v>
      </c>
      <c r="E200" s="32">
        <v>4</v>
      </c>
      <c r="F200" s="27">
        <v>104612.34</v>
      </c>
      <c r="I200" s="27">
        <v>26153.084999999999</v>
      </c>
    </row>
    <row r="201" spans="1:11" x14ac:dyDescent="0.25">
      <c r="A201" s="5" t="s">
        <v>6</v>
      </c>
      <c r="B201" s="5" t="s">
        <v>17221</v>
      </c>
      <c r="C201" s="1" t="s">
        <v>17222</v>
      </c>
      <c r="D201" s="5" t="s">
        <v>17218</v>
      </c>
      <c r="E201" s="32">
        <v>4</v>
      </c>
      <c r="F201" s="27">
        <v>313511.67999999999</v>
      </c>
      <c r="I201" s="27">
        <v>78377.919999999998</v>
      </c>
    </row>
    <row r="202" spans="1:11" x14ac:dyDescent="0.25">
      <c r="A202" s="5" t="s">
        <v>6</v>
      </c>
      <c r="B202" s="5" t="s">
        <v>1489</v>
      </c>
      <c r="C202" s="1" t="s">
        <v>1490</v>
      </c>
      <c r="D202" s="5" t="s">
        <v>17213</v>
      </c>
      <c r="E202" s="32">
        <v>97</v>
      </c>
      <c r="F202" s="27">
        <v>230526</v>
      </c>
      <c r="G202" s="32">
        <v>92</v>
      </c>
      <c r="H202" s="27">
        <v>234256</v>
      </c>
      <c r="I202" s="27">
        <v>2376.5567010309278</v>
      </c>
      <c r="J202" s="27">
        <v>2546.2608695652175</v>
      </c>
      <c r="K202" s="29">
        <v>7.140758243246359E-2</v>
      </c>
    </row>
    <row r="203" spans="1:11" x14ac:dyDescent="0.25">
      <c r="A203" s="5" t="s">
        <v>6</v>
      </c>
      <c r="B203" s="5" t="s">
        <v>17223</v>
      </c>
      <c r="C203" s="1" t="s">
        <v>17224</v>
      </c>
      <c r="D203" s="5" t="s">
        <v>17218</v>
      </c>
      <c r="E203" s="32">
        <v>15</v>
      </c>
      <c r="F203" s="27">
        <v>540943.81999999995</v>
      </c>
      <c r="I203" s="27">
        <v>36062.921333333332</v>
      </c>
    </row>
    <row r="204" spans="1:11" x14ac:dyDescent="0.25">
      <c r="A204" s="5" t="s">
        <v>6</v>
      </c>
      <c r="B204" s="5" t="s">
        <v>17225</v>
      </c>
      <c r="C204" s="1" t="s">
        <v>17226</v>
      </c>
      <c r="D204" s="5" t="s">
        <v>17218</v>
      </c>
      <c r="E204" s="32">
        <v>8</v>
      </c>
      <c r="F204" s="27">
        <v>182020.09</v>
      </c>
      <c r="I204" s="27">
        <v>22752.51125</v>
      </c>
    </row>
    <row r="205" spans="1:11" x14ac:dyDescent="0.25">
      <c r="A205" s="5" t="s">
        <v>6</v>
      </c>
      <c r="B205" s="5" t="s">
        <v>1492</v>
      </c>
      <c r="C205" s="1" t="s">
        <v>1493</v>
      </c>
      <c r="D205" s="5" t="s">
        <v>17218</v>
      </c>
      <c r="E205" s="32">
        <v>10</v>
      </c>
      <c r="F205" s="27">
        <v>342675.51</v>
      </c>
      <c r="G205" s="32">
        <v>41</v>
      </c>
      <c r="H205" s="27">
        <v>1995387.87</v>
      </c>
      <c r="I205" s="27">
        <v>34267.550999999999</v>
      </c>
      <c r="J205" s="27">
        <v>48667.996829268297</v>
      </c>
      <c r="K205" s="29">
        <v>0.42023562843076523</v>
      </c>
    </row>
    <row r="206" spans="1:11" x14ac:dyDescent="0.25">
      <c r="A206" s="5" t="s">
        <v>6</v>
      </c>
      <c r="B206" s="5" t="s">
        <v>17227</v>
      </c>
      <c r="C206" s="1" t="s">
        <v>17228</v>
      </c>
      <c r="D206" s="5" t="s">
        <v>17218</v>
      </c>
      <c r="E206" s="32">
        <v>7</v>
      </c>
      <c r="F206" s="27">
        <v>234021.51</v>
      </c>
      <c r="I206" s="27">
        <v>33431.64428571429</v>
      </c>
    </row>
    <row r="207" spans="1:11" x14ac:dyDescent="0.25">
      <c r="A207" s="5" t="s">
        <v>6</v>
      </c>
      <c r="B207" s="5" t="s">
        <v>1495</v>
      </c>
      <c r="C207" s="1" t="s">
        <v>1496</v>
      </c>
      <c r="D207" s="5" t="s">
        <v>17218</v>
      </c>
      <c r="E207" s="32">
        <v>76</v>
      </c>
      <c r="F207" s="27">
        <v>2658855.94</v>
      </c>
      <c r="G207" s="32">
        <v>62</v>
      </c>
      <c r="H207" s="27">
        <v>2399861.88</v>
      </c>
      <c r="I207" s="27">
        <v>34984.946578947369</v>
      </c>
      <c r="J207" s="27">
        <v>38707.449677419354</v>
      </c>
      <c r="K207" s="29">
        <v>0.10640299507308804</v>
      </c>
    </row>
    <row r="208" spans="1:11" x14ac:dyDescent="0.25">
      <c r="A208" s="5" t="s">
        <v>6</v>
      </c>
      <c r="B208" s="5" t="s">
        <v>17229</v>
      </c>
      <c r="C208" s="1" t="s">
        <v>17230</v>
      </c>
      <c r="D208" s="5" t="s">
        <v>17218</v>
      </c>
      <c r="E208" s="32">
        <v>2</v>
      </c>
      <c r="F208" s="27">
        <v>56274.17</v>
      </c>
      <c r="I208" s="27">
        <v>28137.084999999999</v>
      </c>
    </row>
    <row r="209" spans="1:11" x14ac:dyDescent="0.25">
      <c r="A209" s="5" t="s">
        <v>6</v>
      </c>
      <c r="B209" s="5" t="s">
        <v>1498</v>
      </c>
      <c r="C209" s="1" t="s">
        <v>1499</v>
      </c>
      <c r="D209" s="5" t="s">
        <v>17218</v>
      </c>
      <c r="E209" s="32">
        <v>11</v>
      </c>
      <c r="F209" s="27">
        <v>1352780.99</v>
      </c>
      <c r="G209" s="32">
        <v>20</v>
      </c>
      <c r="H209" s="27">
        <v>2561162.2400000002</v>
      </c>
      <c r="I209" s="27">
        <v>122980.09</v>
      </c>
      <c r="J209" s="27">
        <v>128058.11200000001</v>
      </c>
      <c r="K209" s="29">
        <v>4.1291415545394478E-2</v>
      </c>
    </row>
    <row r="210" spans="1:11" x14ac:dyDescent="0.25">
      <c r="A210" s="5" t="s">
        <v>6</v>
      </c>
      <c r="B210" s="5" t="s">
        <v>1504</v>
      </c>
      <c r="C210" s="1" t="s">
        <v>1505</v>
      </c>
      <c r="D210" s="5" t="s">
        <v>17213</v>
      </c>
      <c r="E210" s="32">
        <v>1</v>
      </c>
      <c r="F210" s="27">
        <v>13050.75</v>
      </c>
      <c r="I210" s="27">
        <v>13050.75</v>
      </c>
    </row>
    <row r="211" spans="1:11" x14ac:dyDescent="0.25">
      <c r="A211" s="5" t="s">
        <v>6</v>
      </c>
      <c r="B211" s="5" t="s">
        <v>17231</v>
      </c>
      <c r="C211" s="1" t="s">
        <v>17232</v>
      </c>
      <c r="D211" s="5" t="s">
        <v>17218</v>
      </c>
      <c r="E211" s="32">
        <v>4</v>
      </c>
      <c r="F211" s="27">
        <v>192926.22</v>
      </c>
      <c r="I211" s="27">
        <v>48231.555</v>
      </c>
    </row>
    <row r="212" spans="1:11" x14ac:dyDescent="0.25">
      <c r="A212" s="5" t="s">
        <v>6</v>
      </c>
      <c r="B212" s="5" t="s">
        <v>1507</v>
      </c>
      <c r="C212" s="1" t="s">
        <v>1508</v>
      </c>
      <c r="D212" s="5" t="s">
        <v>17218</v>
      </c>
      <c r="E212" s="32">
        <v>11</v>
      </c>
      <c r="F212" s="27">
        <v>440347.99</v>
      </c>
      <c r="G212" s="32">
        <v>7</v>
      </c>
      <c r="H212" s="27">
        <v>407699.52</v>
      </c>
      <c r="I212" s="27">
        <v>40031.635454545452</v>
      </c>
      <c r="J212" s="27">
        <v>58242.788571428573</v>
      </c>
      <c r="K212" s="29">
        <v>0.454919038657845</v>
      </c>
    </row>
    <row r="213" spans="1:11" x14ac:dyDescent="0.25">
      <c r="A213" s="5" t="s">
        <v>6</v>
      </c>
      <c r="B213" s="5" t="s">
        <v>1521</v>
      </c>
      <c r="C213" s="1" t="s">
        <v>1522</v>
      </c>
      <c r="D213" s="5" t="s">
        <v>17218</v>
      </c>
      <c r="E213" s="32">
        <v>32</v>
      </c>
      <c r="F213" s="27">
        <v>241077</v>
      </c>
      <c r="G213" s="32">
        <v>46</v>
      </c>
      <c r="H213" s="27">
        <v>367957</v>
      </c>
      <c r="I213" s="27">
        <v>7533.65625</v>
      </c>
      <c r="J213" s="27">
        <v>7999.065217391304</v>
      </c>
      <c r="K213" s="29">
        <v>6.1777303336783392E-2</v>
      </c>
    </row>
    <row r="214" spans="1:11" x14ac:dyDescent="0.25">
      <c r="A214" s="5" t="s">
        <v>6</v>
      </c>
      <c r="B214" s="5" t="s">
        <v>1524</v>
      </c>
      <c r="C214" s="1" t="s">
        <v>1525</v>
      </c>
      <c r="D214" s="5" t="s">
        <v>17218</v>
      </c>
      <c r="G214" s="32">
        <v>2</v>
      </c>
      <c r="H214" s="27">
        <v>36792.44</v>
      </c>
      <c r="J214" s="27">
        <v>18396.22</v>
      </c>
    </row>
    <row r="215" spans="1:11" x14ac:dyDescent="0.25">
      <c r="A215" s="5" t="s">
        <v>6</v>
      </c>
      <c r="B215" s="5" t="s">
        <v>1527</v>
      </c>
      <c r="C215" s="1" t="s">
        <v>1528</v>
      </c>
      <c r="D215" s="5" t="s">
        <v>17218</v>
      </c>
      <c r="E215" s="32">
        <v>2</v>
      </c>
      <c r="F215" s="27">
        <v>15656</v>
      </c>
      <c r="I215" s="27">
        <v>7828</v>
      </c>
    </row>
    <row r="216" spans="1:11" x14ac:dyDescent="0.25">
      <c r="A216" s="5" t="s">
        <v>6</v>
      </c>
      <c r="B216" s="5" t="s">
        <v>1533</v>
      </c>
      <c r="C216" s="1" t="s">
        <v>1534</v>
      </c>
      <c r="D216" s="5" t="s">
        <v>17218</v>
      </c>
      <c r="E216" s="32">
        <v>1</v>
      </c>
      <c r="F216" s="27">
        <v>5437</v>
      </c>
      <c r="I216" s="27">
        <v>5437</v>
      </c>
    </row>
    <row r="217" spans="1:11" x14ac:dyDescent="0.25">
      <c r="A217" s="5" t="s">
        <v>6</v>
      </c>
      <c r="B217" s="5" t="s">
        <v>1542</v>
      </c>
      <c r="C217" s="1" t="s">
        <v>1543</v>
      </c>
      <c r="D217" s="5" t="s">
        <v>17218</v>
      </c>
      <c r="E217" s="32">
        <v>1</v>
      </c>
      <c r="F217" s="27">
        <v>13047</v>
      </c>
      <c r="I217" s="27">
        <v>13047</v>
      </c>
    </row>
    <row r="218" spans="1:11" x14ac:dyDescent="0.25">
      <c r="A218" s="5" t="s">
        <v>6</v>
      </c>
      <c r="B218" s="5" t="s">
        <v>1548</v>
      </c>
      <c r="C218" s="1" t="s">
        <v>1549</v>
      </c>
      <c r="D218" s="5" t="s">
        <v>17218</v>
      </c>
      <c r="E218" s="32">
        <v>1</v>
      </c>
      <c r="F218" s="27">
        <v>17397</v>
      </c>
      <c r="G218" s="32">
        <v>1</v>
      </c>
      <c r="H218" s="27">
        <v>18789</v>
      </c>
      <c r="I218" s="27">
        <v>17397</v>
      </c>
      <c r="J218" s="27">
        <v>18789</v>
      </c>
      <c r="K218" s="29">
        <v>8.0013795481979649E-2</v>
      </c>
    </row>
    <row r="219" spans="1:11" x14ac:dyDescent="0.25">
      <c r="A219" s="5" t="s">
        <v>6</v>
      </c>
      <c r="B219" s="5" t="s">
        <v>1554</v>
      </c>
      <c r="C219" s="1" t="s">
        <v>1555</v>
      </c>
      <c r="D219" s="5" t="s">
        <v>17218</v>
      </c>
      <c r="E219" s="32">
        <v>10</v>
      </c>
      <c r="F219" s="27">
        <v>34524</v>
      </c>
      <c r="G219" s="32">
        <v>9</v>
      </c>
      <c r="H219" s="27">
        <v>32710</v>
      </c>
      <c r="I219" s="27">
        <v>3452.4</v>
      </c>
      <c r="J219" s="27">
        <v>3634.4444444444443</v>
      </c>
      <c r="K219" s="29">
        <v>5.2729824019361674E-2</v>
      </c>
    </row>
    <row r="220" spans="1:11" x14ac:dyDescent="0.25">
      <c r="A220" s="5" t="s">
        <v>6</v>
      </c>
      <c r="B220" s="5" t="s">
        <v>1557</v>
      </c>
      <c r="C220" s="1" t="s">
        <v>1558</v>
      </c>
      <c r="D220" s="5" t="s">
        <v>17218</v>
      </c>
      <c r="E220" s="32">
        <v>4</v>
      </c>
      <c r="F220" s="27">
        <v>31312</v>
      </c>
      <c r="G220" s="32">
        <v>3</v>
      </c>
      <c r="H220" s="27">
        <v>24736</v>
      </c>
      <c r="I220" s="27">
        <v>7828</v>
      </c>
      <c r="J220" s="27">
        <v>8245.3333333333339</v>
      </c>
      <c r="K220" s="29">
        <v>5.3312893885198512E-2</v>
      </c>
    </row>
    <row r="221" spans="1:11" x14ac:dyDescent="0.25">
      <c r="A221" s="5" t="s">
        <v>6</v>
      </c>
      <c r="B221" s="5" t="s">
        <v>1560</v>
      </c>
      <c r="C221" s="1" t="s">
        <v>1561</v>
      </c>
      <c r="D221" s="5" t="s">
        <v>17218</v>
      </c>
      <c r="E221" s="32">
        <v>7</v>
      </c>
      <c r="F221" s="27">
        <v>115689</v>
      </c>
      <c r="G221" s="32">
        <v>9</v>
      </c>
      <c r="H221" s="27">
        <v>156675</v>
      </c>
      <c r="I221" s="27">
        <v>16527</v>
      </c>
      <c r="J221" s="27">
        <v>17408.333333333332</v>
      </c>
      <c r="K221" s="29">
        <v>5.3326879248098993E-2</v>
      </c>
    </row>
    <row r="222" spans="1:11" x14ac:dyDescent="0.25">
      <c r="A222" s="5" t="s">
        <v>6</v>
      </c>
      <c r="B222" s="5" t="s">
        <v>1563</v>
      </c>
      <c r="C222" s="1" t="s">
        <v>1564</v>
      </c>
      <c r="D222" s="5" t="s">
        <v>17218</v>
      </c>
      <c r="E222" s="32">
        <v>2</v>
      </c>
      <c r="F222" s="27">
        <v>17396</v>
      </c>
      <c r="I222" s="27">
        <v>8698</v>
      </c>
    </row>
    <row r="223" spans="1:11" x14ac:dyDescent="0.25">
      <c r="A223" s="5" t="s">
        <v>6</v>
      </c>
      <c r="B223" s="5" t="s">
        <v>1569</v>
      </c>
      <c r="C223" s="1" t="s">
        <v>1570</v>
      </c>
      <c r="D223" s="5" t="s">
        <v>17218</v>
      </c>
      <c r="E223" s="32">
        <v>15</v>
      </c>
      <c r="F223" s="27">
        <v>32438</v>
      </c>
      <c r="G223" s="32">
        <v>7</v>
      </c>
      <c r="H223" s="27">
        <v>15914</v>
      </c>
      <c r="I223" s="27">
        <v>2162.5333333333333</v>
      </c>
      <c r="J223" s="27">
        <v>2273.4285714285716</v>
      </c>
      <c r="K223" s="29">
        <v>5.128024451040674E-2</v>
      </c>
    </row>
    <row r="224" spans="1:11" x14ac:dyDescent="0.25">
      <c r="A224" s="5" t="s">
        <v>6</v>
      </c>
      <c r="B224" s="5" t="s">
        <v>1572</v>
      </c>
      <c r="C224" s="1" t="s">
        <v>1573</v>
      </c>
      <c r="D224" s="5" t="s">
        <v>17218</v>
      </c>
      <c r="E224" s="32">
        <v>13</v>
      </c>
      <c r="F224" s="27">
        <v>22620</v>
      </c>
      <c r="G224" s="32">
        <v>5</v>
      </c>
      <c r="H224" s="27">
        <v>9117</v>
      </c>
      <c r="I224" s="27">
        <v>1740</v>
      </c>
      <c r="J224" s="27">
        <v>1823.4</v>
      </c>
      <c r="K224" s="29">
        <v>4.7931034482758671E-2</v>
      </c>
    </row>
    <row r="225" spans="1:11" x14ac:dyDescent="0.25">
      <c r="A225" s="5" t="s">
        <v>6</v>
      </c>
      <c r="B225" s="5" t="s">
        <v>1575</v>
      </c>
      <c r="C225" s="1" t="s">
        <v>1576</v>
      </c>
      <c r="D225" s="5" t="s">
        <v>17218</v>
      </c>
      <c r="E225" s="32">
        <v>6</v>
      </c>
      <c r="F225" s="27">
        <v>57408</v>
      </c>
      <c r="G225" s="32">
        <v>2</v>
      </c>
      <c r="H225" s="27">
        <v>20666</v>
      </c>
      <c r="I225" s="27">
        <v>9568</v>
      </c>
      <c r="J225" s="27">
        <v>10333</v>
      </c>
      <c r="K225" s="29">
        <v>7.9954013377926417E-2</v>
      </c>
    </row>
    <row r="226" spans="1:11" x14ac:dyDescent="0.25">
      <c r="A226" s="5" t="s">
        <v>6</v>
      </c>
      <c r="B226" s="5" t="s">
        <v>1578</v>
      </c>
      <c r="C226" s="1" t="s">
        <v>1579</v>
      </c>
      <c r="D226" s="5" t="s">
        <v>17218</v>
      </c>
      <c r="E226" s="32">
        <v>2</v>
      </c>
      <c r="F226" s="27">
        <v>19260</v>
      </c>
      <c r="G226" s="32">
        <v>2</v>
      </c>
      <c r="H226" s="27">
        <v>20800</v>
      </c>
      <c r="I226" s="27">
        <v>9630</v>
      </c>
      <c r="J226" s="27">
        <v>10400</v>
      </c>
      <c r="K226" s="29">
        <v>7.9958463136033234E-2</v>
      </c>
    </row>
    <row r="227" spans="1:11" x14ac:dyDescent="0.25">
      <c r="A227" s="5" t="s">
        <v>6</v>
      </c>
      <c r="B227" s="5" t="s">
        <v>1581</v>
      </c>
      <c r="C227" s="1" t="s">
        <v>1582</v>
      </c>
      <c r="D227" s="5" t="s">
        <v>17218</v>
      </c>
      <c r="E227" s="32">
        <v>1</v>
      </c>
      <c r="F227" s="27">
        <v>10334</v>
      </c>
      <c r="I227" s="27">
        <v>10334</v>
      </c>
    </row>
    <row r="228" spans="1:11" x14ac:dyDescent="0.25">
      <c r="A228" s="5" t="s">
        <v>6</v>
      </c>
      <c r="B228" s="5" t="s">
        <v>1587</v>
      </c>
      <c r="C228" s="1" t="s">
        <v>1588</v>
      </c>
      <c r="D228" s="5" t="s">
        <v>17218</v>
      </c>
      <c r="E228" s="32">
        <v>2</v>
      </c>
      <c r="F228" s="27">
        <v>23486</v>
      </c>
      <c r="G228" s="32">
        <v>2</v>
      </c>
      <c r="H228" s="27">
        <v>25364</v>
      </c>
      <c r="I228" s="27">
        <v>11743</v>
      </c>
      <c r="J228" s="27">
        <v>12682</v>
      </c>
      <c r="K228" s="29">
        <v>7.9962530869454138E-2</v>
      </c>
    </row>
    <row r="229" spans="1:11" x14ac:dyDescent="0.25">
      <c r="A229" s="5" t="s">
        <v>6</v>
      </c>
      <c r="B229" s="5" t="s">
        <v>1590</v>
      </c>
      <c r="C229" s="1" t="s">
        <v>1591</v>
      </c>
      <c r="D229" s="5" t="s">
        <v>17218</v>
      </c>
      <c r="E229" s="32">
        <v>4</v>
      </c>
      <c r="F229" s="27">
        <v>101464</v>
      </c>
      <c r="G229" s="32">
        <v>3</v>
      </c>
      <c r="H229" s="27">
        <v>80156</v>
      </c>
      <c r="I229" s="27">
        <v>25366</v>
      </c>
      <c r="J229" s="27">
        <v>26718.666666666668</v>
      </c>
      <c r="K229" s="29">
        <v>5.3325974401429783E-2</v>
      </c>
    </row>
    <row r="230" spans="1:11" x14ac:dyDescent="0.25">
      <c r="A230" s="5" t="s">
        <v>6</v>
      </c>
      <c r="B230" s="5" t="s">
        <v>1596</v>
      </c>
      <c r="C230" s="1" t="s">
        <v>1597</v>
      </c>
      <c r="D230" s="5" t="s">
        <v>17213</v>
      </c>
      <c r="E230" s="32">
        <v>8</v>
      </c>
      <c r="F230" s="27">
        <v>5264</v>
      </c>
      <c r="G230" s="32">
        <v>9</v>
      </c>
      <c r="H230" s="27">
        <v>6399</v>
      </c>
      <c r="I230" s="27">
        <v>658</v>
      </c>
      <c r="J230" s="27">
        <v>711</v>
      </c>
      <c r="K230" s="29">
        <v>8.0547112462006076E-2</v>
      </c>
    </row>
    <row r="231" spans="1:11" x14ac:dyDescent="0.25">
      <c r="A231" s="5" t="s">
        <v>6</v>
      </c>
      <c r="B231" s="5" t="s">
        <v>1602</v>
      </c>
      <c r="C231" s="1" t="s">
        <v>1603</v>
      </c>
      <c r="D231" s="5" t="s">
        <v>17218</v>
      </c>
      <c r="E231" s="32">
        <v>2</v>
      </c>
      <c r="F231" s="27">
        <v>29124</v>
      </c>
      <c r="I231" s="27">
        <v>14562</v>
      </c>
    </row>
    <row r="232" spans="1:11" x14ac:dyDescent="0.25">
      <c r="A232" s="5" t="s">
        <v>6</v>
      </c>
      <c r="B232" s="5" t="s">
        <v>1611</v>
      </c>
      <c r="C232" s="1" t="s">
        <v>1612</v>
      </c>
      <c r="D232" s="5" t="s">
        <v>17213</v>
      </c>
      <c r="E232" s="32">
        <v>87</v>
      </c>
      <c r="F232" s="27">
        <v>40409</v>
      </c>
      <c r="G232" s="32">
        <v>73</v>
      </c>
      <c r="H232" s="27">
        <v>36286</v>
      </c>
      <c r="I232" s="27">
        <v>464.4712643678161</v>
      </c>
      <c r="J232" s="27">
        <v>497.06849315068496</v>
      </c>
      <c r="K232" s="29">
        <v>7.0181368113776385E-2</v>
      </c>
    </row>
    <row r="233" spans="1:11" x14ac:dyDescent="0.25">
      <c r="A233" s="5" t="s">
        <v>6</v>
      </c>
      <c r="B233" s="5" t="s">
        <v>1620</v>
      </c>
      <c r="C233" s="1" t="s">
        <v>1621</v>
      </c>
      <c r="D233" s="5" t="s">
        <v>17218</v>
      </c>
      <c r="E233" s="32">
        <v>2</v>
      </c>
      <c r="F233" s="27">
        <v>28184</v>
      </c>
      <c r="G233" s="32">
        <v>2</v>
      </c>
      <c r="H233" s="27">
        <v>30438</v>
      </c>
      <c r="I233" s="27">
        <v>14092</v>
      </c>
      <c r="J233" s="27">
        <v>15219</v>
      </c>
      <c r="K233" s="29">
        <v>7.9974453590689748E-2</v>
      </c>
    </row>
    <row r="234" spans="1:11" x14ac:dyDescent="0.25">
      <c r="A234" s="5" t="s">
        <v>6</v>
      </c>
      <c r="B234" s="5" t="s">
        <v>1623</v>
      </c>
      <c r="C234" s="1" t="s">
        <v>1624</v>
      </c>
      <c r="D234" s="5" t="s">
        <v>17218</v>
      </c>
      <c r="E234" s="32">
        <v>27</v>
      </c>
      <c r="F234" s="27">
        <v>251942</v>
      </c>
      <c r="G234" s="32">
        <v>25</v>
      </c>
      <c r="H234" s="27">
        <v>249640</v>
      </c>
      <c r="I234" s="27">
        <v>9331.1851851851843</v>
      </c>
      <c r="J234" s="27">
        <v>9985.6</v>
      </c>
      <c r="K234" s="29">
        <v>7.0132014511276541E-2</v>
      </c>
    </row>
    <row r="235" spans="1:11" x14ac:dyDescent="0.25">
      <c r="A235" s="5" t="s">
        <v>6</v>
      </c>
      <c r="B235" s="5" t="s">
        <v>1632</v>
      </c>
      <c r="C235" s="1" t="s">
        <v>1633</v>
      </c>
      <c r="D235" s="5" t="s">
        <v>17218</v>
      </c>
      <c r="E235" s="32">
        <v>120</v>
      </c>
      <c r="F235" s="27">
        <v>1936934</v>
      </c>
      <c r="G235" s="32">
        <v>87</v>
      </c>
      <c r="H235" s="27">
        <v>1488810</v>
      </c>
      <c r="I235" s="27">
        <v>16141.116666666667</v>
      </c>
      <c r="J235" s="27">
        <v>17112.758620689656</v>
      </c>
      <c r="K235" s="29">
        <v>6.0196699775396934E-2</v>
      </c>
    </row>
    <row r="236" spans="1:11" x14ac:dyDescent="0.25">
      <c r="A236" s="5" t="s">
        <v>6</v>
      </c>
      <c r="B236" s="5" t="s">
        <v>1641</v>
      </c>
      <c r="C236" s="1" t="s">
        <v>1642</v>
      </c>
      <c r="D236" s="5" t="s">
        <v>17218</v>
      </c>
      <c r="E236" s="32">
        <v>11</v>
      </c>
      <c r="F236" s="27">
        <v>35388</v>
      </c>
      <c r="G236" s="32">
        <v>24</v>
      </c>
      <c r="H236" s="27">
        <v>83646</v>
      </c>
      <c r="I236" s="27">
        <v>3217.090909090909</v>
      </c>
      <c r="J236" s="27">
        <v>3485.25</v>
      </c>
      <c r="K236" s="29">
        <v>8.3354526958290973E-2</v>
      </c>
    </row>
    <row r="237" spans="1:11" x14ac:dyDescent="0.25">
      <c r="A237" s="5" t="s">
        <v>6</v>
      </c>
      <c r="B237" s="5" t="s">
        <v>1644</v>
      </c>
      <c r="C237" s="1" t="s">
        <v>1645</v>
      </c>
      <c r="D237" s="5" t="s">
        <v>17218</v>
      </c>
      <c r="E237" s="32">
        <v>43</v>
      </c>
      <c r="F237" s="27">
        <v>760523</v>
      </c>
      <c r="G237" s="32">
        <v>32</v>
      </c>
      <c r="H237" s="27">
        <v>601220</v>
      </c>
      <c r="I237" s="27">
        <v>17686.581395348836</v>
      </c>
      <c r="J237" s="27">
        <v>18788.125</v>
      </c>
      <c r="K237" s="29">
        <v>6.2281318250730168E-2</v>
      </c>
    </row>
    <row r="238" spans="1:11" x14ac:dyDescent="0.25">
      <c r="A238" s="5" t="s">
        <v>6</v>
      </c>
      <c r="B238" s="5" t="s">
        <v>1647</v>
      </c>
      <c r="C238" s="1" t="s">
        <v>1648</v>
      </c>
      <c r="D238" s="5" t="s">
        <v>17218</v>
      </c>
      <c r="E238" s="32">
        <v>0</v>
      </c>
      <c r="F238" s="27">
        <v>0</v>
      </c>
      <c r="G238" s="32">
        <v>2</v>
      </c>
      <c r="H238" s="27">
        <v>29426</v>
      </c>
      <c r="J238" s="27">
        <v>14713</v>
      </c>
    </row>
    <row r="239" spans="1:11" x14ac:dyDescent="0.25">
      <c r="A239" s="5" t="s">
        <v>6</v>
      </c>
      <c r="B239" s="5" t="s">
        <v>1653</v>
      </c>
      <c r="C239" s="1" t="s">
        <v>1654</v>
      </c>
      <c r="D239" s="5" t="s">
        <v>17218</v>
      </c>
      <c r="E239" s="32">
        <v>114</v>
      </c>
      <c r="F239" s="27">
        <v>792642</v>
      </c>
      <c r="G239" s="32">
        <v>81</v>
      </c>
      <c r="H239" s="27">
        <v>596106</v>
      </c>
      <c r="I239" s="27">
        <v>6953</v>
      </c>
      <c r="J239" s="27">
        <v>7359.333333333333</v>
      </c>
      <c r="K239" s="29">
        <v>5.844000191763743E-2</v>
      </c>
    </row>
    <row r="240" spans="1:11" x14ac:dyDescent="0.25">
      <c r="A240" s="5" t="s">
        <v>6</v>
      </c>
      <c r="B240" s="5" t="s">
        <v>1659</v>
      </c>
      <c r="C240" s="1" t="s">
        <v>1660</v>
      </c>
      <c r="D240" s="5" t="s">
        <v>17218</v>
      </c>
      <c r="E240" s="32">
        <v>14</v>
      </c>
      <c r="F240" s="27">
        <v>116374</v>
      </c>
      <c r="G240" s="32">
        <v>17</v>
      </c>
      <c r="H240" s="27">
        <v>153892</v>
      </c>
      <c r="I240" s="27">
        <v>8312.4285714285706</v>
      </c>
      <c r="J240" s="27">
        <v>9052.4705882352937</v>
      </c>
      <c r="K240" s="29">
        <v>8.9028376057316269E-2</v>
      </c>
    </row>
    <row r="241" spans="1:11" x14ac:dyDescent="0.25">
      <c r="A241" s="5" t="s">
        <v>6</v>
      </c>
      <c r="B241" s="5" t="s">
        <v>1665</v>
      </c>
      <c r="C241" s="1" t="s">
        <v>1666</v>
      </c>
      <c r="D241" s="5" t="s">
        <v>17218</v>
      </c>
      <c r="E241" s="32">
        <v>92</v>
      </c>
      <c r="F241" s="27">
        <v>214248</v>
      </c>
      <c r="G241" s="32">
        <v>61</v>
      </c>
      <c r="H241" s="27">
        <v>149493</v>
      </c>
      <c r="I241" s="27">
        <v>2328.782608695652</v>
      </c>
      <c r="J241" s="27">
        <v>2450.7049180327867</v>
      </c>
      <c r="K241" s="29">
        <v>5.2354525871963306E-2</v>
      </c>
    </row>
    <row r="242" spans="1:11" x14ac:dyDescent="0.25">
      <c r="A242" s="5" t="s">
        <v>6</v>
      </c>
      <c r="B242" s="5" t="s">
        <v>1668</v>
      </c>
      <c r="C242" s="1" t="s">
        <v>1669</v>
      </c>
      <c r="D242" s="5" t="s">
        <v>17218</v>
      </c>
      <c r="E242" s="32">
        <v>9</v>
      </c>
      <c r="F242" s="27">
        <v>39297</v>
      </c>
      <c r="G242" s="32">
        <v>5</v>
      </c>
      <c r="H242" s="27">
        <v>25365</v>
      </c>
      <c r="I242" s="27">
        <v>4366.333333333333</v>
      </c>
      <c r="J242" s="27">
        <v>5073</v>
      </c>
      <c r="K242" s="29">
        <v>0.16184441560424467</v>
      </c>
    </row>
    <row r="243" spans="1:11" x14ac:dyDescent="0.25">
      <c r="A243" s="5" t="s">
        <v>6</v>
      </c>
      <c r="B243" s="5" t="s">
        <v>1674</v>
      </c>
      <c r="C243" s="1" t="s">
        <v>1675</v>
      </c>
      <c r="D243" s="5" t="s">
        <v>17218</v>
      </c>
      <c r="E243" s="32">
        <v>119</v>
      </c>
      <c r="F243" s="27">
        <v>1026340</v>
      </c>
      <c r="G243" s="32">
        <v>89</v>
      </c>
      <c r="H243" s="27">
        <v>815583</v>
      </c>
      <c r="I243" s="27">
        <v>8624.7058823529405</v>
      </c>
      <c r="J243" s="27">
        <v>9163.8539325842703</v>
      </c>
      <c r="K243" s="29">
        <v>6.2512050565629571E-2</v>
      </c>
    </row>
    <row r="244" spans="1:11" x14ac:dyDescent="0.25">
      <c r="A244" s="5" t="s">
        <v>6</v>
      </c>
      <c r="B244" s="5" t="s">
        <v>1714</v>
      </c>
      <c r="C244" s="1" t="s">
        <v>1715</v>
      </c>
      <c r="D244" s="5" t="s">
        <v>17218</v>
      </c>
      <c r="E244" s="32">
        <v>38</v>
      </c>
      <c r="F244" s="27">
        <v>304096</v>
      </c>
      <c r="G244" s="32">
        <v>26</v>
      </c>
      <c r="H244" s="27">
        <v>220510</v>
      </c>
      <c r="I244" s="27">
        <v>8002.5263157894733</v>
      </c>
      <c r="J244" s="27">
        <v>8481.1538461538457</v>
      </c>
      <c r="K244" s="29">
        <v>5.980955406794615E-2</v>
      </c>
    </row>
    <row r="245" spans="1:11" x14ac:dyDescent="0.25">
      <c r="A245" s="5" t="s">
        <v>6</v>
      </c>
      <c r="B245" s="5" t="s">
        <v>1717</v>
      </c>
      <c r="C245" s="1" t="s">
        <v>1718</v>
      </c>
      <c r="D245" s="5" t="s">
        <v>17218</v>
      </c>
      <c r="E245" s="32">
        <v>2</v>
      </c>
      <c r="F245" s="27">
        <v>13394</v>
      </c>
      <c r="I245" s="27">
        <v>6697</v>
      </c>
    </row>
    <row r="246" spans="1:11" x14ac:dyDescent="0.25">
      <c r="A246" s="5" t="s">
        <v>6</v>
      </c>
      <c r="B246" s="5" t="s">
        <v>1720</v>
      </c>
      <c r="C246" s="1" t="s">
        <v>1721</v>
      </c>
      <c r="D246" s="5" t="s">
        <v>17218</v>
      </c>
      <c r="E246" s="32">
        <v>1</v>
      </c>
      <c r="F246" s="27">
        <v>6697</v>
      </c>
      <c r="I246" s="27">
        <v>6697</v>
      </c>
    </row>
    <row r="247" spans="1:11" x14ac:dyDescent="0.25">
      <c r="A247" s="5" t="s">
        <v>6</v>
      </c>
      <c r="B247" s="5" t="s">
        <v>1723</v>
      </c>
      <c r="C247" s="1" t="s">
        <v>1724</v>
      </c>
      <c r="D247" s="5" t="s">
        <v>17218</v>
      </c>
      <c r="E247" s="32">
        <v>34</v>
      </c>
      <c r="F247" s="27">
        <v>541390</v>
      </c>
      <c r="G247" s="32">
        <v>33</v>
      </c>
      <c r="H247" s="27">
        <v>562559</v>
      </c>
      <c r="I247" s="27">
        <v>15923.235294117647</v>
      </c>
      <c r="J247" s="27">
        <v>17047.242424242424</v>
      </c>
      <c r="K247" s="29">
        <v>7.0589117686404301E-2</v>
      </c>
    </row>
    <row r="248" spans="1:11" x14ac:dyDescent="0.25">
      <c r="A248" s="5" t="s">
        <v>6</v>
      </c>
      <c r="B248" s="5" t="s">
        <v>1726</v>
      </c>
      <c r="C248" s="1" t="s">
        <v>1727</v>
      </c>
      <c r="D248" s="5" t="s">
        <v>17218</v>
      </c>
      <c r="E248" s="32">
        <v>70</v>
      </c>
      <c r="F248" s="27">
        <v>924042</v>
      </c>
      <c r="G248" s="32">
        <v>88</v>
      </c>
      <c r="H248" s="27">
        <v>1229448</v>
      </c>
      <c r="I248" s="27">
        <v>13200.6</v>
      </c>
      <c r="J248" s="27">
        <v>13971</v>
      </c>
      <c r="K248" s="29">
        <v>5.8360983591654897E-2</v>
      </c>
    </row>
    <row r="249" spans="1:11" x14ac:dyDescent="0.25">
      <c r="A249" s="5" t="s">
        <v>6</v>
      </c>
      <c r="B249" s="5" t="s">
        <v>1729</v>
      </c>
      <c r="C249" s="1" t="s">
        <v>1730</v>
      </c>
      <c r="D249" s="5" t="s">
        <v>17218</v>
      </c>
      <c r="E249" s="32">
        <v>10</v>
      </c>
      <c r="F249" s="27">
        <v>26154</v>
      </c>
      <c r="G249" s="32">
        <v>9</v>
      </c>
      <c r="H249" s="27">
        <v>26037</v>
      </c>
      <c r="I249" s="27">
        <v>2615.4</v>
      </c>
      <c r="J249" s="27">
        <v>2893</v>
      </c>
      <c r="K249" s="29">
        <v>0.10614055211439929</v>
      </c>
    </row>
    <row r="250" spans="1:11" x14ac:dyDescent="0.25">
      <c r="A250" s="5" t="s">
        <v>6</v>
      </c>
      <c r="B250" s="5" t="s">
        <v>1732</v>
      </c>
      <c r="C250" s="1" t="s">
        <v>1733</v>
      </c>
      <c r="D250" s="5" t="s">
        <v>17218</v>
      </c>
      <c r="E250" s="32">
        <v>9</v>
      </c>
      <c r="F250" s="27">
        <v>23475</v>
      </c>
      <c r="G250" s="32">
        <v>7</v>
      </c>
      <c r="H250" s="27">
        <v>20251</v>
      </c>
      <c r="I250" s="27">
        <v>2608.3333333333335</v>
      </c>
      <c r="J250" s="27">
        <v>2893</v>
      </c>
      <c r="K250" s="29">
        <v>0.10913738019169322</v>
      </c>
    </row>
    <row r="251" spans="1:11" x14ac:dyDescent="0.25">
      <c r="A251" s="5" t="s">
        <v>6</v>
      </c>
      <c r="B251" s="5" t="s">
        <v>1735</v>
      </c>
      <c r="C251" s="1" t="s">
        <v>1736</v>
      </c>
      <c r="D251" s="5" t="s">
        <v>17218</v>
      </c>
      <c r="E251" s="32">
        <v>49</v>
      </c>
      <c r="F251" s="27">
        <v>308652</v>
      </c>
      <c r="G251" s="32">
        <v>31</v>
      </c>
      <c r="H251" s="27">
        <v>206680</v>
      </c>
      <c r="I251" s="27">
        <v>6299.0204081632655</v>
      </c>
      <c r="J251" s="27">
        <v>6667.0967741935483</v>
      </c>
      <c r="K251" s="29">
        <v>5.8433905937702833E-2</v>
      </c>
    </row>
    <row r="252" spans="1:11" x14ac:dyDescent="0.25">
      <c r="A252" s="5" t="s">
        <v>6</v>
      </c>
      <c r="B252" s="5" t="s">
        <v>1741</v>
      </c>
      <c r="C252" s="1" t="s">
        <v>1742</v>
      </c>
      <c r="D252" s="5" t="s">
        <v>17218</v>
      </c>
      <c r="E252" s="32">
        <v>40</v>
      </c>
      <c r="F252" s="27">
        <v>655528</v>
      </c>
      <c r="G252" s="32">
        <v>27</v>
      </c>
      <c r="H252" s="27">
        <v>469809</v>
      </c>
      <c r="I252" s="27">
        <v>16388.2</v>
      </c>
      <c r="J252" s="27">
        <v>17400.333333333332</v>
      </c>
      <c r="K252" s="29">
        <v>6.1759884144282552E-2</v>
      </c>
    </row>
    <row r="253" spans="1:11" x14ac:dyDescent="0.25">
      <c r="A253" s="5" t="s">
        <v>6</v>
      </c>
      <c r="B253" s="5" t="s">
        <v>1746</v>
      </c>
      <c r="C253" s="1" t="s">
        <v>1747</v>
      </c>
      <c r="D253" s="5" t="s">
        <v>17218</v>
      </c>
      <c r="E253" s="32">
        <v>1</v>
      </c>
      <c r="F253" s="27">
        <v>12947</v>
      </c>
      <c r="G253" s="32">
        <v>3</v>
      </c>
      <c r="H253" s="27">
        <v>40913</v>
      </c>
      <c r="I253" s="27">
        <v>12947</v>
      </c>
      <c r="J253" s="27">
        <v>13637.666666666666</v>
      </c>
      <c r="K253" s="29">
        <v>5.3345691408563073E-2</v>
      </c>
    </row>
    <row r="254" spans="1:11" x14ac:dyDescent="0.25">
      <c r="A254" s="5" t="s">
        <v>6</v>
      </c>
      <c r="B254" s="5" t="s">
        <v>1749</v>
      </c>
      <c r="C254" s="1" t="s">
        <v>1750</v>
      </c>
      <c r="D254" s="5" t="s">
        <v>17218</v>
      </c>
      <c r="E254" s="32">
        <v>63</v>
      </c>
      <c r="F254" s="27">
        <v>558992</v>
      </c>
      <c r="G254" s="32">
        <v>102</v>
      </c>
      <c r="H254" s="27">
        <v>957882</v>
      </c>
      <c r="I254" s="27">
        <v>8872.8888888888887</v>
      </c>
      <c r="J254" s="27">
        <v>9391</v>
      </c>
      <c r="K254" s="29">
        <v>5.8392606692045705E-2</v>
      </c>
    </row>
    <row r="255" spans="1:11" x14ac:dyDescent="0.25">
      <c r="A255" s="5" t="s">
        <v>6</v>
      </c>
      <c r="B255" s="5" t="s">
        <v>1752</v>
      </c>
      <c r="C255" s="1" t="s">
        <v>1753</v>
      </c>
      <c r="D255" s="5" t="s">
        <v>17218</v>
      </c>
      <c r="E255" s="32">
        <v>66</v>
      </c>
      <c r="F255" s="27">
        <v>145962</v>
      </c>
      <c r="G255" s="32">
        <v>80</v>
      </c>
      <c r="H255" s="27">
        <v>187411</v>
      </c>
      <c r="I255" s="27">
        <v>2211.5454545454545</v>
      </c>
      <c r="J255" s="27">
        <v>2342.6374999999998</v>
      </c>
      <c r="K255" s="29">
        <v>5.9276215727381038E-2</v>
      </c>
    </row>
    <row r="256" spans="1:11" x14ac:dyDescent="0.25">
      <c r="A256" s="5" t="s">
        <v>6</v>
      </c>
      <c r="B256" s="5" t="s">
        <v>1755</v>
      </c>
      <c r="C256" s="1" t="s">
        <v>1756</v>
      </c>
      <c r="D256" s="5" t="s">
        <v>17218</v>
      </c>
      <c r="E256" s="32">
        <v>32</v>
      </c>
      <c r="F256" s="27">
        <v>70748</v>
      </c>
      <c r="G256" s="32">
        <v>30</v>
      </c>
      <c r="H256" s="27">
        <v>70749</v>
      </c>
      <c r="I256" s="27">
        <v>2210.875</v>
      </c>
      <c r="J256" s="27">
        <v>2358.3000000000002</v>
      </c>
      <c r="K256" s="29">
        <v>6.6681743653530925E-2</v>
      </c>
    </row>
    <row r="257" spans="1:11" x14ac:dyDescent="0.25">
      <c r="A257" s="5" t="s">
        <v>6</v>
      </c>
      <c r="B257" s="5" t="s">
        <v>1758</v>
      </c>
      <c r="C257" s="1" t="s">
        <v>1759</v>
      </c>
      <c r="D257" s="5" t="s">
        <v>17218</v>
      </c>
      <c r="E257" s="32">
        <v>32</v>
      </c>
      <c r="F257" s="27">
        <v>367780</v>
      </c>
      <c r="G257" s="32">
        <v>31</v>
      </c>
      <c r="H257" s="27">
        <v>382144</v>
      </c>
      <c r="I257" s="27">
        <v>11493.125</v>
      </c>
      <c r="J257" s="27">
        <v>12327.225806451614</v>
      </c>
      <c r="K257" s="29">
        <v>7.2573891474391306E-2</v>
      </c>
    </row>
    <row r="258" spans="1:11" x14ac:dyDescent="0.25">
      <c r="A258" s="5" t="s">
        <v>6</v>
      </c>
      <c r="B258" s="5" t="s">
        <v>1764</v>
      </c>
      <c r="C258" s="1" t="s">
        <v>1765</v>
      </c>
      <c r="D258" s="5" t="s">
        <v>17218</v>
      </c>
      <c r="E258" s="32">
        <v>79</v>
      </c>
      <c r="F258" s="27">
        <v>803934</v>
      </c>
      <c r="G258" s="32">
        <v>85</v>
      </c>
      <c r="H258" s="27">
        <v>913965</v>
      </c>
      <c r="I258" s="27">
        <v>10176.379746835442</v>
      </c>
      <c r="J258" s="27">
        <v>10752.529411764706</v>
      </c>
      <c r="K258" s="29">
        <v>5.6616368420059182E-2</v>
      </c>
    </row>
    <row r="259" spans="1:11" x14ac:dyDescent="0.25">
      <c r="A259" s="5" t="s">
        <v>6</v>
      </c>
      <c r="B259" s="5" t="s">
        <v>1769</v>
      </c>
      <c r="C259" s="1" t="s">
        <v>1770</v>
      </c>
      <c r="D259" s="5" t="s">
        <v>17218</v>
      </c>
      <c r="E259" s="32">
        <v>3</v>
      </c>
      <c r="F259" s="27">
        <v>36513</v>
      </c>
      <c r="G259" s="32">
        <v>11</v>
      </c>
      <c r="H259" s="27">
        <v>146511</v>
      </c>
      <c r="I259" s="27">
        <v>12171</v>
      </c>
      <c r="J259" s="27">
        <v>13319.181818181818</v>
      </c>
      <c r="K259" s="29">
        <v>9.4337508683084215E-2</v>
      </c>
    </row>
    <row r="260" spans="1:11" x14ac:dyDescent="0.25">
      <c r="A260" s="5" t="s">
        <v>6</v>
      </c>
      <c r="B260" s="5" t="s">
        <v>1772</v>
      </c>
      <c r="C260" s="1" t="s">
        <v>1773</v>
      </c>
      <c r="D260" s="5" t="s">
        <v>17218</v>
      </c>
      <c r="E260" s="32">
        <v>4</v>
      </c>
      <c r="F260" s="27">
        <v>21004</v>
      </c>
      <c r="G260" s="32">
        <v>12</v>
      </c>
      <c r="H260" s="27">
        <v>68574</v>
      </c>
      <c r="I260" s="27">
        <v>5251</v>
      </c>
      <c r="J260" s="27">
        <v>5714.5</v>
      </c>
      <c r="K260" s="29">
        <v>8.8268901161683483E-2</v>
      </c>
    </row>
    <row r="261" spans="1:11" x14ac:dyDescent="0.25">
      <c r="A261" s="5" t="s">
        <v>6</v>
      </c>
      <c r="B261" s="5" t="s">
        <v>1775</v>
      </c>
      <c r="C261" s="1" t="s">
        <v>1776</v>
      </c>
      <c r="D261" s="5" t="s">
        <v>17218</v>
      </c>
      <c r="E261" s="32">
        <v>3</v>
      </c>
      <c r="F261" s="27">
        <v>25300</v>
      </c>
      <c r="G261" s="32">
        <v>12</v>
      </c>
      <c r="H261" s="27">
        <v>110874</v>
      </c>
      <c r="I261" s="27">
        <v>8433.3333333333339</v>
      </c>
      <c r="J261" s="27">
        <v>9239.5</v>
      </c>
      <c r="K261" s="29">
        <v>9.5592885375493986E-2</v>
      </c>
    </row>
    <row r="262" spans="1:11" x14ac:dyDescent="0.25">
      <c r="A262" s="5" t="s">
        <v>6</v>
      </c>
      <c r="B262" s="5" t="s">
        <v>1796</v>
      </c>
      <c r="C262" s="1" t="s">
        <v>1797</v>
      </c>
      <c r="D262" s="5" t="s">
        <v>17213</v>
      </c>
      <c r="G262" s="32">
        <v>2</v>
      </c>
      <c r="H262" s="27">
        <v>13461.54</v>
      </c>
      <c r="J262" s="27">
        <v>6730.77</v>
      </c>
    </row>
    <row r="263" spans="1:11" x14ac:dyDescent="0.25">
      <c r="A263" s="5" t="s">
        <v>6</v>
      </c>
      <c r="B263" s="5" t="s">
        <v>1799</v>
      </c>
      <c r="C263" s="1" t="s">
        <v>1800</v>
      </c>
      <c r="D263" s="5" t="s">
        <v>17218</v>
      </c>
      <c r="E263" s="32">
        <v>1</v>
      </c>
      <c r="F263" s="27">
        <v>491</v>
      </c>
      <c r="G263" s="32">
        <v>6</v>
      </c>
      <c r="H263" s="27">
        <v>3141</v>
      </c>
      <c r="I263" s="27">
        <v>491</v>
      </c>
      <c r="J263" s="27">
        <v>523.5</v>
      </c>
      <c r="K263" s="29">
        <v>6.6191446028513234E-2</v>
      </c>
    </row>
    <row r="264" spans="1:11" x14ac:dyDescent="0.25">
      <c r="A264" s="5" t="s">
        <v>6</v>
      </c>
      <c r="B264" s="5" t="s">
        <v>1802</v>
      </c>
      <c r="C264" s="1" t="s">
        <v>1803</v>
      </c>
      <c r="D264" s="5" t="s">
        <v>17213</v>
      </c>
      <c r="E264" s="32">
        <v>92</v>
      </c>
      <c r="F264" s="27">
        <v>45133</v>
      </c>
      <c r="G264" s="32">
        <v>47</v>
      </c>
      <c r="H264" s="27">
        <v>24247</v>
      </c>
      <c r="I264" s="27">
        <v>490.57608695652175</v>
      </c>
      <c r="J264" s="27">
        <v>515.89361702127655</v>
      </c>
      <c r="K264" s="29">
        <v>5.1607754103592536E-2</v>
      </c>
    </row>
    <row r="265" spans="1:11" x14ac:dyDescent="0.25">
      <c r="A265" s="5" t="s">
        <v>6</v>
      </c>
      <c r="B265" s="5" t="s">
        <v>1805</v>
      </c>
      <c r="C265" s="1" t="s">
        <v>1806</v>
      </c>
      <c r="D265" s="5" t="s">
        <v>17218</v>
      </c>
      <c r="E265" s="32">
        <v>11</v>
      </c>
      <c r="F265" s="27">
        <v>48053</v>
      </c>
      <c r="G265" s="32">
        <v>8</v>
      </c>
      <c r="H265" s="27">
        <v>38219</v>
      </c>
      <c r="I265" s="27">
        <v>4368.454545454545</v>
      </c>
      <c r="J265" s="27">
        <v>4777.375</v>
      </c>
      <c r="K265" s="29">
        <v>9.3607579131375879E-2</v>
      </c>
    </row>
    <row r="266" spans="1:11" x14ac:dyDescent="0.25">
      <c r="A266" s="5" t="s">
        <v>6</v>
      </c>
      <c r="B266" s="5" t="s">
        <v>1808</v>
      </c>
      <c r="C266" s="1" t="s">
        <v>1809</v>
      </c>
      <c r="D266" s="5" t="s">
        <v>17218</v>
      </c>
      <c r="E266" s="32">
        <v>9</v>
      </c>
      <c r="F266" s="27">
        <v>152703</v>
      </c>
      <c r="G266" s="32">
        <v>8</v>
      </c>
      <c r="H266" s="27">
        <v>141164</v>
      </c>
      <c r="I266" s="27">
        <v>16967</v>
      </c>
      <c r="J266" s="27">
        <v>17645.5</v>
      </c>
      <c r="K266" s="29">
        <v>3.9989391171096837E-2</v>
      </c>
    </row>
    <row r="267" spans="1:11" x14ac:dyDescent="0.25">
      <c r="A267" s="5" t="s">
        <v>6</v>
      </c>
      <c r="B267" s="5" t="s">
        <v>1811</v>
      </c>
      <c r="C267" s="1" t="s">
        <v>1812</v>
      </c>
      <c r="D267" s="5" t="s">
        <v>17218</v>
      </c>
      <c r="E267" s="32">
        <v>9</v>
      </c>
      <c r="F267" s="27">
        <v>120546</v>
      </c>
      <c r="I267" s="27">
        <v>13394</v>
      </c>
    </row>
    <row r="268" spans="1:11" x14ac:dyDescent="0.25">
      <c r="A268" s="5" t="s">
        <v>6</v>
      </c>
      <c r="B268" s="5" t="s">
        <v>1817</v>
      </c>
      <c r="C268" s="1" t="s">
        <v>1818</v>
      </c>
      <c r="D268" s="5" t="s">
        <v>17218</v>
      </c>
      <c r="E268" s="32">
        <v>44</v>
      </c>
      <c r="F268" s="27">
        <v>390048</v>
      </c>
      <c r="G268" s="32">
        <v>26</v>
      </c>
      <c r="H268" s="27">
        <v>245006</v>
      </c>
      <c r="I268" s="27">
        <v>8864.7272727272721</v>
      </c>
      <c r="J268" s="27">
        <v>9423.3076923076915</v>
      </c>
      <c r="K268" s="29">
        <v>6.3011574117899483E-2</v>
      </c>
    </row>
    <row r="269" spans="1:11" x14ac:dyDescent="0.25">
      <c r="A269" s="5" t="s">
        <v>6</v>
      </c>
      <c r="B269" s="5" t="s">
        <v>1820</v>
      </c>
      <c r="C269" s="1" t="s">
        <v>1821</v>
      </c>
      <c r="D269" s="5" t="s">
        <v>17213</v>
      </c>
      <c r="E269" s="32">
        <v>2</v>
      </c>
      <c r="F269" s="27">
        <v>34754</v>
      </c>
      <c r="I269" s="27">
        <v>17377</v>
      </c>
    </row>
    <row r="270" spans="1:11" x14ac:dyDescent="0.25">
      <c r="A270" s="5" t="s">
        <v>6</v>
      </c>
      <c r="B270" s="5" t="s">
        <v>1823</v>
      </c>
      <c r="C270" s="1" t="s">
        <v>1824</v>
      </c>
      <c r="D270" s="5" t="s">
        <v>17213</v>
      </c>
      <c r="E270" s="32">
        <v>0</v>
      </c>
      <c r="F270" s="27">
        <v>0</v>
      </c>
      <c r="G270" s="32">
        <v>7</v>
      </c>
      <c r="H270" s="27">
        <v>50400</v>
      </c>
      <c r="J270" s="27">
        <v>7200</v>
      </c>
    </row>
    <row r="271" spans="1:11" x14ac:dyDescent="0.25">
      <c r="A271" s="5" t="s">
        <v>6</v>
      </c>
      <c r="B271" s="5" t="s">
        <v>1862</v>
      </c>
      <c r="C271" s="1" t="s">
        <v>1863</v>
      </c>
      <c r="D271" s="5" t="s">
        <v>17218</v>
      </c>
      <c r="E271" s="32">
        <v>1</v>
      </c>
      <c r="F271" s="27">
        <v>13357</v>
      </c>
      <c r="I271" s="27">
        <v>13357</v>
      </c>
    </row>
    <row r="272" spans="1:11" x14ac:dyDescent="0.25">
      <c r="A272" s="5" t="s">
        <v>6</v>
      </c>
      <c r="B272" s="5" t="s">
        <v>1868</v>
      </c>
      <c r="C272" s="1" t="s">
        <v>1869</v>
      </c>
      <c r="D272" s="5" t="s">
        <v>17218</v>
      </c>
      <c r="E272" s="32">
        <v>1</v>
      </c>
      <c r="F272" s="27">
        <v>6149</v>
      </c>
      <c r="I272" s="27">
        <v>6149</v>
      </c>
    </row>
    <row r="273" spans="1:11" x14ac:dyDescent="0.25">
      <c r="A273" s="5" t="s">
        <v>6</v>
      </c>
      <c r="B273" s="5" t="s">
        <v>1871</v>
      </c>
      <c r="C273" s="1" t="s">
        <v>1872</v>
      </c>
      <c r="D273" s="5" t="s">
        <v>17218</v>
      </c>
      <c r="E273" s="32">
        <v>3</v>
      </c>
      <c r="F273" s="27">
        <v>72114</v>
      </c>
      <c r="I273" s="27">
        <v>24038</v>
      </c>
    </row>
    <row r="274" spans="1:11" x14ac:dyDescent="0.25">
      <c r="A274" s="5" t="s">
        <v>6</v>
      </c>
      <c r="B274" s="5" t="s">
        <v>1873</v>
      </c>
      <c r="C274" s="1" t="s">
        <v>1874</v>
      </c>
      <c r="D274" s="5" t="s">
        <v>17218</v>
      </c>
      <c r="E274" s="32">
        <v>1</v>
      </c>
      <c r="F274" s="27">
        <v>7379</v>
      </c>
      <c r="I274" s="27">
        <v>7379</v>
      </c>
    </row>
    <row r="275" spans="1:11" x14ac:dyDescent="0.25">
      <c r="A275" s="5" t="s">
        <v>6</v>
      </c>
      <c r="B275" s="5" t="s">
        <v>1879</v>
      </c>
      <c r="C275" s="1" t="s">
        <v>1880</v>
      </c>
      <c r="D275" s="5" t="s">
        <v>17218</v>
      </c>
      <c r="E275" s="32">
        <v>8</v>
      </c>
      <c r="F275" s="27">
        <v>177104</v>
      </c>
      <c r="I275" s="27">
        <v>22138</v>
      </c>
    </row>
    <row r="276" spans="1:11" x14ac:dyDescent="0.25">
      <c r="A276" s="5" t="s">
        <v>6</v>
      </c>
      <c r="B276" s="5" t="s">
        <v>1882</v>
      </c>
      <c r="C276" s="1" t="s">
        <v>1883</v>
      </c>
      <c r="D276" s="5" t="s">
        <v>17218</v>
      </c>
      <c r="E276" s="32">
        <v>8</v>
      </c>
      <c r="F276" s="27">
        <v>79558</v>
      </c>
      <c r="I276" s="27">
        <v>9944.75</v>
      </c>
    </row>
    <row r="277" spans="1:11" x14ac:dyDescent="0.25">
      <c r="A277" s="5" t="s">
        <v>6</v>
      </c>
      <c r="B277" s="5" t="s">
        <v>1888</v>
      </c>
      <c r="C277" s="1" t="s">
        <v>1889</v>
      </c>
      <c r="D277" s="5" t="s">
        <v>17218</v>
      </c>
      <c r="E277" s="32">
        <v>3</v>
      </c>
      <c r="F277" s="27">
        <v>22137</v>
      </c>
      <c r="I277" s="27">
        <v>7379</v>
      </c>
    </row>
    <row r="278" spans="1:11" x14ac:dyDescent="0.25">
      <c r="A278" s="5" t="s">
        <v>6</v>
      </c>
      <c r="B278" s="5" t="s">
        <v>1894</v>
      </c>
      <c r="C278" s="1" t="s">
        <v>1895</v>
      </c>
      <c r="D278" s="5" t="s">
        <v>17218</v>
      </c>
      <c r="E278" s="32">
        <v>10</v>
      </c>
      <c r="F278" s="27">
        <v>30750</v>
      </c>
      <c r="I278" s="27">
        <v>3075</v>
      </c>
    </row>
    <row r="279" spans="1:11" x14ac:dyDescent="0.25">
      <c r="A279" s="5" t="s">
        <v>6</v>
      </c>
      <c r="B279" s="5" t="s">
        <v>1897</v>
      </c>
      <c r="C279" s="1" t="s">
        <v>1898</v>
      </c>
      <c r="D279" s="5" t="s">
        <v>17218</v>
      </c>
      <c r="E279" s="32">
        <v>2</v>
      </c>
      <c r="F279" s="27">
        <v>56820</v>
      </c>
      <c r="I279" s="27">
        <v>28410</v>
      </c>
    </row>
    <row r="280" spans="1:11" x14ac:dyDescent="0.25">
      <c r="A280" s="5" t="s">
        <v>6</v>
      </c>
      <c r="B280" s="5" t="s">
        <v>1900</v>
      </c>
      <c r="C280" s="1" t="s">
        <v>1901</v>
      </c>
      <c r="D280" s="5" t="s">
        <v>17218</v>
      </c>
      <c r="E280" s="32">
        <v>7</v>
      </c>
      <c r="F280" s="27">
        <v>94703</v>
      </c>
      <c r="I280" s="27">
        <v>13529</v>
      </c>
    </row>
    <row r="281" spans="1:11" x14ac:dyDescent="0.25">
      <c r="A281" s="5" t="s">
        <v>6</v>
      </c>
      <c r="B281" s="5" t="s">
        <v>1914</v>
      </c>
      <c r="C281" s="1" t="s">
        <v>1915</v>
      </c>
      <c r="D281" s="5" t="s">
        <v>17218</v>
      </c>
      <c r="E281" s="32">
        <v>2</v>
      </c>
      <c r="F281" s="27">
        <v>29799.71</v>
      </c>
      <c r="G281" s="32">
        <v>7</v>
      </c>
      <c r="H281" s="27">
        <v>114803</v>
      </c>
      <c r="I281" s="27">
        <v>14899.855</v>
      </c>
      <c r="J281" s="27">
        <v>16400.428571428572</v>
      </c>
      <c r="K281" s="29">
        <v>0.10071061573609763</v>
      </c>
    </row>
    <row r="282" spans="1:11" x14ac:dyDescent="0.25">
      <c r="A282" s="5" t="s">
        <v>6</v>
      </c>
      <c r="B282" s="5" t="s">
        <v>1920</v>
      </c>
      <c r="C282" s="1" t="s">
        <v>1921</v>
      </c>
      <c r="D282" s="5" t="s">
        <v>17218</v>
      </c>
      <c r="E282" s="32">
        <v>1</v>
      </c>
      <c r="F282" s="27">
        <v>9481</v>
      </c>
      <c r="I282" s="27">
        <v>9481</v>
      </c>
    </row>
    <row r="283" spans="1:11" x14ac:dyDescent="0.25">
      <c r="A283" s="5" t="s">
        <v>6</v>
      </c>
      <c r="B283" s="5" t="s">
        <v>1923</v>
      </c>
      <c r="C283" s="1" t="s">
        <v>1924</v>
      </c>
      <c r="D283" s="5" t="s">
        <v>17218</v>
      </c>
      <c r="E283" s="32">
        <v>1</v>
      </c>
      <c r="F283" s="27">
        <v>11111.11</v>
      </c>
      <c r="I283" s="27">
        <v>11111.11</v>
      </c>
    </row>
    <row r="284" spans="1:11" x14ac:dyDescent="0.25">
      <c r="A284" s="5" t="s">
        <v>6</v>
      </c>
      <c r="B284" s="5" t="s">
        <v>1931</v>
      </c>
      <c r="C284" s="1" t="s">
        <v>1932</v>
      </c>
      <c r="D284" s="5" t="s">
        <v>17218</v>
      </c>
      <c r="E284" s="32">
        <v>1</v>
      </c>
      <c r="F284" s="27">
        <v>7142.85</v>
      </c>
      <c r="G284" s="32">
        <v>4</v>
      </c>
      <c r="H284" s="27">
        <v>32891</v>
      </c>
      <c r="I284" s="27">
        <v>7142.85</v>
      </c>
      <c r="J284" s="27">
        <v>8222.75</v>
      </c>
      <c r="K284" s="29">
        <v>0.15118615118615114</v>
      </c>
    </row>
    <row r="285" spans="1:11" x14ac:dyDescent="0.25">
      <c r="A285" s="5" t="s">
        <v>6</v>
      </c>
      <c r="B285" s="5" t="s">
        <v>1934</v>
      </c>
      <c r="C285" s="1" t="s">
        <v>1935</v>
      </c>
      <c r="D285" s="5" t="s">
        <v>17218</v>
      </c>
      <c r="E285" s="32">
        <v>0</v>
      </c>
      <c r="F285" s="27">
        <v>0</v>
      </c>
      <c r="G285" s="32">
        <v>4</v>
      </c>
      <c r="H285" s="27">
        <v>98670</v>
      </c>
      <c r="J285" s="27">
        <v>24667.5</v>
      </c>
    </row>
    <row r="286" spans="1:11" x14ac:dyDescent="0.25">
      <c r="A286" s="5" t="s">
        <v>6</v>
      </c>
      <c r="B286" s="5" t="s">
        <v>1937</v>
      </c>
      <c r="C286" s="1" t="s">
        <v>1938</v>
      </c>
      <c r="D286" s="5" t="s">
        <v>17213</v>
      </c>
      <c r="E286" s="32">
        <v>7</v>
      </c>
      <c r="F286" s="27">
        <v>2880.28</v>
      </c>
      <c r="G286" s="32">
        <v>18</v>
      </c>
      <c r="H286" s="27">
        <v>8234</v>
      </c>
      <c r="I286" s="27">
        <v>411.46857142857147</v>
      </c>
      <c r="J286" s="27">
        <v>457.44444444444446</v>
      </c>
      <c r="K286" s="29">
        <v>0.11173605035312918</v>
      </c>
    </row>
    <row r="287" spans="1:11" x14ac:dyDescent="0.25">
      <c r="A287" s="5" t="s">
        <v>6</v>
      </c>
      <c r="B287" s="5" t="s">
        <v>1940</v>
      </c>
      <c r="C287" s="1" t="s">
        <v>1941</v>
      </c>
      <c r="D287" s="5" t="s">
        <v>17233</v>
      </c>
      <c r="E287" s="32">
        <v>1</v>
      </c>
      <c r="F287" s="27">
        <v>7936.51</v>
      </c>
      <c r="I287" s="27">
        <v>7936.51</v>
      </c>
    </row>
    <row r="288" spans="1:11" x14ac:dyDescent="0.25">
      <c r="A288" s="5" t="s">
        <v>6</v>
      </c>
      <c r="B288" s="5" t="s">
        <v>1943</v>
      </c>
      <c r="C288" s="1" t="s">
        <v>1944</v>
      </c>
      <c r="D288" s="5" t="s">
        <v>17213</v>
      </c>
      <c r="E288" s="32">
        <v>2</v>
      </c>
      <c r="F288" s="27">
        <v>22617.599999999999</v>
      </c>
      <c r="I288" s="27">
        <v>11308.8</v>
      </c>
    </row>
    <row r="289" spans="1:11" x14ac:dyDescent="0.25">
      <c r="A289" s="5" t="s">
        <v>6</v>
      </c>
      <c r="B289" s="5" t="s">
        <v>1951</v>
      </c>
      <c r="C289" s="1" t="s">
        <v>1952</v>
      </c>
      <c r="D289" s="5" t="s">
        <v>17218</v>
      </c>
      <c r="E289" s="32">
        <v>17</v>
      </c>
      <c r="F289" s="27">
        <v>47014</v>
      </c>
      <c r="G289" s="32">
        <v>12</v>
      </c>
      <c r="H289" s="27">
        <v>35841</v>
      </c>
      <c r="I289" s="27">
        <v>2765.5294117647059</v>
      </c>
      <c r="J289" s="27">
        <v>2986.75</v>
      </c>
      <c r="K289" s="29">
        <v>7.9992130003828654E-2</v>
      </c>
    </row>
    <row r="290" spans="1:11" x14ac:dyDescent="0.25">
      <c r="A290" s="5" t="s">
        <v>6</v>
      </c>
      <c r="B290" s="5" t="s">
        <v>1954</v>
      </c>
      <c r="C290" s="1" t="s">
        <v>1955</v>
      </c>
      <c r="D290" s="5" t="s">
        <v>17218</v>
      </c>
      <c r="E290" s="32">
        <v>11</v>
      </c>
      <c r="F290" s="27">
        <v>81486</v>
      </c>
      <c r="G290" s="32">
        <v>11</v>
      </c>
      <c r="H290" s="27">
        <v>88085</v>
      </c>
      <c r="I290" s="27">
        <v>7407.818181818182</v>
      </c>
      <c r="J290" s="27">
        <v>8007.727272727273</v>
      </c>
      <c r="K290" s="29">
        <v>8.0983236384164159E-2</v>
      </c>
    </row>
    <row r="291" spans="1:11" x14ac:dyDescent="0.25">
      <c r="A291" s="5" t="s">
        <v>6</v>
      </c>
      <c r="B291" s="5" t="s">
        <v>1957</v>
      </c>
      <c r="C291" s="1" t="s">
        <v>1958</v>
      </c>
      <c r="D291" s="5" t="s">
        <v>17218</v>
      </c>
      <c r="E291" s="32">
        <v>11</v>
      </c>
      <c r="F291" s="27">
        <v>162961</v>
      </c>
      <c r="G291" s="32">
        <v>6</v>
      </c>
      <c r="H291" s="27">
        <v>96196</v>
      </c>
      <c r="I291" s="27">
        <v>14814.636363636364</v>
      </c>
      <c r="J291" s="27">
        <v>16032.666666666666</v>
      </c>
      <c r="K291" s="29">
        <v>8.2218035808158535E-2</v>
      </c>
    </row>
    <row r="292" spans="1:11" x14ac:dyDescent="0.25">
      <c r="A292" s="5" t="s">
        <v>6</v>
      </c>
      <c r="B292" s="5" t="s">
        <v>1959</v>
      </c>
      <c r="C292" s="1" t="s">
        <v>1960</v>
      </c>
      <c r="D292" s="5" t="s">
        <v>17218</v>
      </c>
      <c r="E292" s="32">
        <v>81</v>
      </c>
      <c r="F292" s="27">
        <v>903371</v>
      </c>
      <c r="G292" s="32">
        <v>88</v>
      </c>
      <c r="H292" s="27">
        <v>1043526</v>
      </c>
      <c r="I292" s="27">
        <v>11152.728395061727</v>
      </c>
      <c r="J292" s="27">
        <v>11858.25</v>
      </c>
      <c r="K292" s="29">
        <v>6.3260000597761143E-2</v>
      </c>
    </row>
    <row r="293" spans="1:11" x14ac:dyDescent="0.25">
      <c r="A293" s="5" t="s">
        <v>6</v>
      </c>
      <c r="B293" s="5" t="s">
        <v>1962</v>
      </c>
      <c r="C293" s="1" t="s">
        <v>1963</v>
      </c>
      <c r="D293" s="5" t="s">
        <v>17218</v>
      </c>
      <c r="E293" s="32">
        <v>27</v>
      </c>
      <c r="F293" s="27">
        <v>187452</v>
      </c>
      <c r="G293" s="32">
        <v>23</v>
      </c>
      <c r="H293" s="27">
        <v>170518</v>
      </c>
      <c r="I293" s="27">
        <v>6942.666666666667</v>
      </c>
      <c r="J293" s="27">
        <v>7413.826086956522</v>
      </c>
      <c r="K293" s="29">
        <v>6.7864329790165406E-2</v>
      </c>
    </row>
    <row r="294" spans="1:11" x14ac:dyDescent="0.25">
      <c r="A294" s="5" t="s">
        <v>6</v>
      </c>
      <c r="B294" s="5" t="s">
        <v>1965</v>
      </c>
      <c r="C294" s="1" t="s">
        <v>1966</v>
      </c>
      <c r="D294" s="5" t="s">
        <v>17218</v>
      </c>
      <c r="E294" s="32">
        <v>85</v>
      </c>
      <c r="F294" s="27">
        <v>157927</v>
      </c>
      <c r="G294" s="32">
        <v>88</v>
      </c>
      <c r="H294" s="27">
        <v>173752</v>
      </c>
      <c r="I294" s="27">
        <v>1857.964705882353</v>
      </c>
      <c r="J294" s="27">
        <v>1974.4545454545455</v>
      </c>
      <c r="K294" s="29">
        <v>6.2697552436482451E-2</v>
      </c>
    </row>
    <row r="295" spans="1:11" x14ac:dyDescent="0.25">
      <c r="A295" s="5" t="s">
        <v>6</v>
      </c>
      <c r="B295" s="5" t="s">
        <v>1968</v>
      </c>
      <c r="C295" s="1" t="s">
        <v>1969</v>
      </c>
      <c r="D295" s="5" t="s">
        <v>17218</v>
      </c>
      <c r="E295" s="32">
        <v>83</v>
      </c>
      <c r="F295" s="27">
        <v>539639</v>
      </c>
      <c r="G295" s="32">
        <v>90</v>
      </c>
      <c r="H295" s="27">
        <v>622438</v>
      </c>
      <c r="I295" s="27">
        <v>6501.674698795181</v>
      </c>
      <c r="J295" s="27">
        <v>6915.9777777777781</v>
      </c>
      <c r="K295" s="29">
        <v>6.3722517378387314E-2</v>
      </c>
    </row>
    <row r="296" spans="1:11" x14ac:dyDescent="0.25">
      <c r="A296" s="5" t="s">
        <v>6</v>
      </c>
      <c r="B296" s="5" t="s">
        <v>1971</v>
      </c>
      <c r="C296" s="1" t="s">
        <v>1972</v>
      </c>
      <c r="D296" s="5" t="s">
        <v>17218</v>
      </c>
      <c r="E296" s="32">
        <v>10</v>
      </c>
      <c r="F296" s="27">
        <v>119714.11</v>
      </c>
      <c r="I296" s="27">
        <v>11971.411</v>
      </c>
    </row>
    <row r="297" spans="1:11" x14ac:dyDescent="0.25">
      <c r="A297" s="5" t="s">
        <v>6</v>
      </c>
      <c r="B297" s="5" t="s">
        <v>1973</v>
      </c>
      <c r="C297" s="1" t="s">
        <v>1974</v>
      </c>
      <c r="D297" s="5" t="s">
        <v>17218</v>
      </c>
      <c r="E297" s="32">
        <v>12</v>
      </c>
      <c r="F297" s="27">
        <v>123296.8</v>
      </c>
      <c r="I297" s="27">
        <v>10274.733333333334</v>
      </c>
    </row>
    <row r="298" spans="1:11" x14ac:dyDescent="0.25">
      <c r="A298" s="5" t="s">
        <v>6</v>
      </c>
      <c r="B298" s="5" t="s">
        <v>1976</v>
      </c>
      <c r="C298" s="1" t="s">
        <v>1977</v>
      </c>
      <c r="D298" s="5" t="s">
        <v>17218</v>
      </c>
      <c r="E298" s="32">
        <v>9</v>
      </c>
      <c r="F298" s="27">
        <v>92267.8</v>
      </c>
      <c r="I298" s="27">
        <v>10251.977777777778</v>
      </c>
    </row>
    <row r="299" spans="1:11" x14ac:dyDescent="0.25">
      <c r="A299" s="5" t="s">
        <v>6</v>
      </c>
      <c r="B299" s="5" t="s">
        <v>1979</v>
      </c>
      <c r="C299" s="1" t="s">
        <v>1980</v>
      </c>
      <c r="D299" s="5" t="s">
        <v>17213</v>
      </c>
      <c r="E299" s="32">
        <v>44</v>
      </c>
      <c r="F299" s="27">
        <v>37654.6</v>
      </c>
      <c r="I299" s="27">
        <v>855.7863636363636</v>
      </c>
    </row>
    <row r="300" spans="1:11" x14ac:dyDescent="0.25">
      <c r="A300" s="5" t="s">
        <v>6</v>
      </c>
      <c r="B300" s="5" t="s">
        <v>1991</v>
      </c>
      <c r="C300" s="1" t="s">
        <v>1992</v>
      </c>
      <c r="D300" s="5" t="s">
        <v>17213</v>
      </c>
      <c r="E300" s="32">
        <v>0</v>
      </c>
      <c r="F300" s="27">
        <v>0</v>
      </c>
      <c r="G300" s="32">
        <v>1</v>
      </c>
      <c r="H300" s="27">
        <v>33853</v>
      </c>
      <c r="J300" s="27">
        <v>33853</v>
      </c>
    </row>
    <row r="301" spans="1:11" x14ac:dyDescent="0.25">
      <c r="A301" s="5" t="s">
        <v>6</v>
      </c>
      <c r="B301" s="5" t="s">
        <v>1997</v>
      </c>
      <c r="C301" s="1" t="s">
        <v>1998</v>
      </c>
      <c r="E301" s="32">
        <v>0</v>
      </c>
      <c r="F301" s="27">
        <v>0</v>
      </c>
      <c r="G301" s="32">
        <v>2</v>
      </c>
      <c r="H301" s="27">
        <v>62620.4</v>
      </c>
      <c r="J301" s="27">
        <v>31310.2</v>
      </c>
    </row>
    <row r="302" spans="1:11" x14ac:dyDescent="0.25">
      <c r="A302" s="5" t="s">
        <v>6</v>
      </c>
      <c r="B302" s="5" t="s">
        <v>2030</v>
      </c>
      <c r="C302" s="1" t="s">
        <v>2031</v>
      </c>
      <c r="D302" s="5" t="s">
        <v>17234</v>
      </c>
      <c r="E302" s="32">
        <v>221</v>
      </c>
      <c r="F302" s="27">
        <v>83650.399999999994</v>
      </c>
      <c r="G302" s="32">
        <v>84</v>
      </c>
      <c r="H302" s="27">
        <v>33248</v>
      </c>
      <c r="I302" s="27">
        <v>378.50859728506782</v>
      </c>
      <c r="J302" s="27">
        <v>395.8095238095238</v>
      </c>
      <c r="K302" s="29">
        <v>4.5708146785966006E-2</v>
      </c>
    </row>
    <row r="303" spans="1:11" x14ac:dyDescent="0.25">
      <c r="A303" s="5" t="s">
        <v>6</v>
      </c>
      <c r="B303" s="5" t="s">
        <v>2045</v>
      </c>
      <c r="C303" s="1" t="s">
        <v>2046</v>
      </c>
      <c r="D303" s="5" t="s">
        <v>17235</v>
      </c>
      <c r="E303" s="32">
        <v>30</v>
      </c>
      <c r="F303" s="27">
        <v>11891.7</v>
      </c>
      <c r="I303" s="27">
        <v>396.39000000000004</v>
      </c>
    </row>
    <row r="304" spans="1:11" x14ac:dyDescent="0.25">
      <c r="A304" s="5" t="s">
        <v>6</v>
      </c>
      <c r="B304" s="5" t="s">
        <v>2053</v>
      </c>
      <c r="C304" s="1" t="s">
        <v>2054</v>
      </c>
      <c r="D304" s="5" t="s">
        <v>17236</v>
      </c>
      <c r="E304" s="32">
        <v>44</v>
      </c>
      <c r="F304" s="27">
        <v>26092</v>
      </c>
      <c r="I304" s="27">
        <v>593</v>
      </c>
    </row>
    <row r="305" spans="1:11" x14ac:dyDescent="0.25">
      <c r="A305" s="5" t="s">
        <v>6</v>
      </c>
      <c r="B305" s="5" t="s">
        <v>2056</v>
      </c>
      <c r="C305" s="1" t="s">
        <v>2057</v>
      </c>
      <c r="D305" s="5" t="s">
        <v>17237</v>
      </c>
      <c r="E305" s="32">
        <v>306</v>
      </c>
      <c r="F305" s="27">
        <v>449756</v>
      </c>
      <c r="G305" s="32">
        <v>256</v>
      </c>
      <c r="H305" s="27">
        <v>401093</v>
      </c>
      <c r="I305" s="27">
        <v>1469.7908496732025</v>
      </c>
      <c r="J305" s="27">
        <v>1566.76953125</v>
      </c>
      <c r="K305" s="29">
        <v>6.598127998848273E-2</v>
      </c>
    </row>
    <row r="306" spans="1:11" x14ac:dyDescent="0.25">
      <c r="A306" s="5" t="s">
        <v>6</v>
      </c>
      <c r="B306" s="5" t="s">
        <v>2058</v>
      </c>
      <c r="C306" s="1" t="s">
        <v>2059</v>
      </c>
      <c r="D306" s="5" t="s">
        <v>17238</v>
      </c>
      <c r="E306" s="32">
        <v>2</v>
      </c>
      <c r="F306" s="27">
        <v>1248</v>
      </c>
      <c r="I306" s="27">
        <v>624</v>
      </c>
    </row>
    <row r="307" spans="1:11" x14ac:dyDescent="0.25">
      <c r="A307" s="5" t="s">
        <v>6</v>
      </c>
      <c r="B307" s="5" t="s">
        <v>2061</v>
      </c>
      <c r="C307" s="1" t="s">
        <v>2062</v>
      </c>
      <c r="E307" s="32">
        <v>7</v>
      </c>
      <c r="F307" s="27">
        <v>194397</v>
      </c>
      <c r="I307" s="27">
        <v>27771</v>
      </c>
    </row>
    <row r="308" spans="1:11" x14ac:dyDescent="0.25">
      <c r="A308" s="5" t="s">
        <v>6</v>
      </c>
      <c r="B308" s="5" t="s">
        <v>2067</v>
      </c>
      <c r="C308" s="1" t="s">
        <v>2068</v>
      </c>
      <c r="E308" s="32">
        <v>11</v>
      </c>
      <c r="F308" s="27">
        <v>7372</v>
      </c>
      <c r="I308" s="27">
        <v>670.18181818181813</v>
      </c>
    </row>
    <row r="309" spans="1:11" x14ac:dyDescent="0.25">
      <c r="A309" s="5" t="s">
        <v>6</v>
      </c>
      <c r="B309" s="5" t="s">
        <v>2072</v>
      </c>
      <c r="C309" s="1" t="s">
        <v>2073</v>
      </c>
      <c r="D309" s="5" t="s">
        <v>17239</v>
      </c>
      <c r="E309" s="32">
        <v>11</v>
      </c>
      <c r="F309" s="27">
        <v>217921</v>
      </c>
      <c r="I309" s="27">
        <v>19811</v>
      </c>
    </row>
    <row r="310" spans="1:11" x14ac:dyDescent="0.25">
      <c r="A310" s="5" t="s">
        <v>6</v>
      </c>
      <c r="B310" s="5" t="s">
        <v>2084</v>
      </c>
      <c r="C310" s="1" t="s">
        <v>2085</v>
      </c>
      <c r="D310" s="5" t="s">
        <v>17240</v>
      </c>
      <c r="E310" s="32">
        <v>1</v>
      </c>
      <c r="F310" s="27">
        <v>101961.72</v>
      </c>
      <c r="I310" s="27">
        <v>101961.72</v>
      </c>
    </row>
    <row r="311" spans="1:11" x14ac:dyDescent="0.25">
      <c r="A311" s="5" t="s">
        <v>6</v>
      </c>
      <c r="B311" s="5" t="s">
        <v>2087</v>
      </c>
      <c r="C311" s="1" t="s">
        <v>2088</v>
      </c>
      <c r="D311" s="5" t="s">
        <v>17240</v>
      </c>
      <c r="E311" s="32">
        <v>1</v>
      </c>
      <c r="F311" s="27">
        <v>303075.84000000003</v>
      </c>
      <c r="I311" s="27">
        <v>303075.84000000003</v>
      </c>
    </row>
    <row r="312" spans="1:11" x14ac:dyDescent="0.25">
      <c r="A312" s="5" t="s">
        <v>6</v>
      </c>
      <c r="B312" s="5" t="s">
        <v>2090</v>
      </c>
      <c r="C312" s="1" t="s">
        <v>2091</v>
      </c>
      <c r="D312" s="5" t="s">
        <v>17241</v>
      </c>
      <c r="E312" s="32">
        <v>2</v>
      </c>
      <c r="F312" s="27">
        <v>142029</v>
      </c>
      <c r="I312" s="27">
        <v>71014.5</v>
      </c>
    </row>
    <row r="313" spans="1:11" x14ac:dyDescent="0.25">
      <c r="A313" s="5" t="s">
        <v>6</v>
      </c>
      <c r="B313" s="5" t="s">
        <v>2112</v>
      </c>
      <c r="C313" s="1" t="s">
        <v>2113</v>
      </c>
      <c r="D313" s="5" t="s">
        <v>17241</v>
      </c>
      <c r="E313" s="32">
        <v>4</v>
      </c>
      <c r="F313" s="27">
        <v>122064</v>
      </c>
      <c r="I313" s="27">
        <v>30516</v>
      </c>
    </row>
    <row r="314" spans="1:11" x14ac:dyDescent="0.25">
      <c r="A314" s="5" t="s">
        <v>6</v>
      </c>
      <c r="B314" s="5" t="s">
        <v>2133</v>
      </c>
      <c r="C314" s="1" t="s">
        <v>2134</v>
      </c>
      <c r="E314" s="32">
        <v>28</v>
      </c>
      <c r="F314" s="27">
        <v>162068</v>
      </c>
      <c r="G314" s="32">
        <v>41</v>
      </c>
      <c r="H314" s="27">
        <v>254596</v>
      </c>
      <c r="I314" s="27">
        <v>5788.1428571428569</v>
      </c>
      <c r="J314" s="27">
        <v>6209.6585365853662</v>
      </c>
      <c r="K314" s="29">
        <v>7.2823993782796484E-2</v>
      </c>
    </row>
    <row r="315" spans="1:11" x14ac:dyDescent="0.25">
      <c r="A315" s="5" t="s">
        <v>6</v>
      </c>
      <c r="B315" s="5" t="s">
        <v>2142</v>
      </c>
      <c r="C315" s="1" t="s">
        <v>2143</v>
      </c>
      <c r="D315" s="5" t="s">
        <v>17213</v>
      </c>
      <c r="E315" s="32">
        <v>1</v>
      </c>
      <c r="F315" s="27">
        <v>1730.04</v>
      </c>
      <c r="I315" s="27">
        <v>1730.04</v>
      </c>
    </row>
    <row r="316" spans="1:11" x14ac:dyDescent="0.25">
      <c r="A316" s="5" t="s">
        <v>6</v>
      </c>
      <c r="B316" s="5" t="s">
        <v>2144</v>
      </c>
      <c r="C316" s="1" t="s">
        <v>2145</v>
      </c>
      <c r="E316" s="32">
        <v>49</v>
      </c>
      <c r="F316" s="27">
        <v>395853</v>
      </c>
      <c r="G316" s="32">
        <v>47</v>
      </c>
      <c r="H316" s="27">
        <v>400367</v>
      </c>
      <c r="I316" s="27">
        <v>8078.6326530612241</v>
      </c>
      <c r="J316" s="27">
        <v>8518.4468085106382</v>
      </c>
      <c r="K316" s="29">
        <v>5.4441657931154477E-2</v>
      </c>
    </row>
    <row r="317" spans="1:11" x14ac:dyDescent="0.25">
      <c r="A317" s="5" t="s">
        <v>6</v>
      </c>
      <c r="B317" s="5" t="s">
        <v>2158</v>
      </c>
      <c r="C317" s="1" t="s">
        <v>2159</v>
      </c>
      <c r="D317" s="5" t="s">
        <v>17213</v>
      </c>
      <c r="E317" s="32">
        <v>6</v>
      </c>
      <c r="F317" s="27">
        <v>103362.43</v>
      </c>
      <c r="G317" s="32">
        <v>1</v>
      </c>
      <c r="H317" s="27">
        <v>20700.71</v>
      </c>
      <c r="I317" s="27">
        <v>17227.071666666667</v>
      </c>
      <c r="J317" s="27">
        <v>20700.71</v>
      </c>
      <c r="K317" s="29">
        <v>0.20163835157513221</v>
      </c>
    </row>
    <row r="318" spans="1:11" x14ac:dyDescent="0.25">
      <c r="A318" s="5" t="s">
        <v>6</v>
      </c>
      <c r="B318" s="5" t="s">
        <v>2176</v>
      </c>
      <c r="C318" s="1" t="s">
        <v>2177</v>
      </c>
      <c r="D318" s="5" t="s">
        <v>17242</v>
      </c>
      <c r="E318" s="32">
        <v>1</v>
      </c>
      <c r="F318" s="27">
        <v>63791</v>
      </c>
      <c r="I318" s="27">
        <v>63791</v>
      </c>
    </row>
    <row r="319" spans="1:11" x14ac:dyDescent="0.25">
      <c r="A319" s="5" t="s">
        <v>6</v>
      </c>
      <c r="B319" s="5" t="s">
        <v>2178</v>
      </c>
      <c r="C319" s="1" t="s">
        <v>2179</v>
      </c>
      <c r="E319" s="32">
        <v>39</v>
      </c>
      <c r="F319" s="27">
        <v>295463.40999999997</v>
      </c>
      <c r="G319" s="32">
        <v>15</v>
      </c>
      <c r="H319" s="27">
        <v>109152.89</v>
      </c>
      <c r="I319" s="27">
        <v>7575.9848717948707</v>
      </c>
      <c r="J319" s="27">
        <v>7276.8593333333329</v>
      </c>
      <c r="K319" s="29">
        <v>-3.948338645384205E-2</v>
      </c>
    </row>
    <row r="320" spans="1:11" x14ac:dyDescent="0.25">
      <c r="A320" s="5" t="s">
        <v>6</v>
      </c>
      <c r="B320" s="5" t="s">
        <v>2184</v>
      </c>
      <c r="C320" s="1" t="s">
        <v>2185</v>
      </c>
      <c r="D320" s="5" t="s">
        <v>17243</v>
      </c>
      <c r="E320" s="32">
        <v>67</v>
      </c>
      <c r="F320" s="27">
        <v>740897</v>
      </c>
      <c r="G320" s="32">
        <v>16</v>
      </c>
      <c r="H320" s="27">
        <v>184172</v>
      </c>
      <c r="I320" s="27">
        <v>11058.164179104477</v>
      </c>
      <c r="J320" s="27">
        <v>11510.75</v>
      </c>
      <c r="K320" s="29">
        <v>4.0927753790338015E-2</v>
      </c>
    </row>
    <row r="321" spans="1:11" x14ac:dyDescent="0.25">
      <c r="A321" s="5" t="s">
        <v>6</v>
      </c>
      <c r="B321" s="5" t="s">
        <v>2202</v>
      </c>
      <c r="C321" s="1" t="s">
        <v>2203</v>
      </c>
      <c r="D321" s="5" t="s">
        <v>17244</v>
      </c>
      <c r="E321" s="32">
        <v>236</v>
      </c>
      <c r="F321" s="27">
        <v>342488</v>
      </c>
      <c r="I321" s="27">
        <v>1451.2203389830509</v>
      </c>
    </row>
    <row r="322" spans="1:11" x14ac:dyDescent="0.25">
      <c r="A322" s="5" t="s">
        <v>6</v>
      </c>
      <c r="B322" s="5" t="s">
        <v>2208</v>
      </c>
      <c r="C322" s="1" t="s">
        <v>2209</v>
      </c>
      <c r="D322" s="5" t="s">
        <v>17245</v>
      </c>
      <c r="E322" s="32">
        <v>5</v>
      </c>
      <c r="F322" s="27">
        <v>9312.42</v>
      </c>
      <c r="G322" s="32">
        <v>5200</v>
      </c>
      <c r="H322" s="27">
        <v>92600</v>
      </c>
      <c r="I322" s="27">
        <v>1862.4839999999999</v>
      </c>
      <c r="J322" s="27">
        <v>17.807692307692307</v>
      </c>
      <c r="K322" s="29">
        <v>-0.99043874078505245</v>
      </c>
    </row>
    <row r="323" spans="1:11" x14ac:dyDescent="0.25">
      <c r="A323" s="5" t="s">
        <v>6</v>
      </c>
      <c r="B323" s="5" t="s">
        <v>2235</v>
      </c>
      <c r="C323" s="1" t="s">
        <v>2236</v>
      </c>
      <c r="D323" s="5" t="s">
        <v>17242</v>
      </c>
      <c r="E323" s="32">
        <v>2</v>
      </c>
      <c r="F323" s="27">
        <v>13306</v>
      </c>
      <c r="I323" s="27">
        <v>6653</v>
      </c>
    </row>
    <row r="324" spans="1:11" x14ac:dyDescent="0.25">
      <c r="A324" s="5" t="s">
        <v>6</v>
      </c>
      <c r="B324" s="5" t="s">
        <v>2270</v>
      </c>
      <c r="C324" s="1" t="s">
        <v>2271</v>
      </c>
      <c r="D324" s="5" t="s">
        <v>17242</v>
      </c>
      <c r="E324" s="32">
        <v>1</v>
      </c>
      <c r="F324" s="27">
        <v>449</v>
      </c>
      <c r="I324" s="27">
        <v>449</v>
      </c>
    </row>
    <row r="325" spans="1:11" x14ac:dyDescent="0.25">
      <c r="A325" s="5" t="s">
        <v>6</v>
      </c>
      <c r="B325" s="5" t="s">
        <v>2272</v>
      </c>
      <c r="C325" s="1" t="s">
        <v>2273</v>
      </c>
      <c r="D325" s="5" t="s">
        <v>17242</v>
      </c>
      <c r="E325" s="32">
        <v>1</v>
      </c>
      <c r="F325" s="27">
        <v>1220</v>
      </c>
      <c r="I325" s="27">
        <v>1220</v>
      </c>
    </row>
    <row r="326" spans="1:11" x14ac:dyDescent="0.25">
      <c r="A326" s="5" t="s">
        <v>6</v>
      </c>
      <c r="B326" s="5" t="s">
        <v>2274</v>
      </c>
      <c r="C326" s="1" t="s">
        <v>2275</v>
      </c>
      <c r="D326" s="5" t="s">
        <v>17242</v>
      </c>
      <c r="E326" s="32">
        <v>33</v>
      </c>
      <c r="F326" s="27">
        <v>70643</v>
      </c>
      <c r="I326" s="27">
        <v>2140.6969696969695</v>
      </c>
    </row>
    <row r="327" spans="1:11" x14ac:dyDescent="0.25">
      <c r="A327" s="5" t="s">
        <v>6</v>
      </c>
      <c r="B327" s="5" t="s">
        <v>2287</v>
      </c>
      <c r="C327" s="1" t="s">
        <v>2288</v>
      </c>
      <c r="D327" s="5" t="s">
        <v>17242</v>
      </c>
      <c r="E327" s="32">
        <v>1</v>
      </c>
      <c r="F327" s="27">
        <v>4778</v>
      </c>
      <c r="I327" s="27">
        <v>4778</v>
      </c>
    </row>
    <row r="328" spans="1:11" x14ac:dyDescent="0.25">
      <c r="A328" s="5" t="s">
        <v>6</v>
      </c>
      <c r="B328" s="5" t="s">
        <v>2293</v>
      </c>
      <c r="C328" s="1" t="s">
        <v>2294</v>
      </c>
      <c r="D328" s="5" t="s">
        <v>17242</v>
      </c>
      <c r="E328" s="32">
        <v>7</v>
      </c>
      <c r="F328" s="27">
        <v>14748</v>
      </c>
      <c r="I328" s="27">
        <v>2106.8571428571427</v>
      </c>
    </row>
    <row r="329" spans="1:11" x14ac:dyDescent="0.25">
      <c r="A329" s="5" t="s">
        <v>6</v>
      </c>
      <c r="B329" s="5" t="s">
        <v>2296</v>
      </c>
      <c r="C329" s="1" t="s">
        <v>2297</v>
      </c>
      <c r="E329" s="32">
        <v>1</v>
      </c>
      <c r="F329" s="27">
        <v>6394</v>
      </c>
      <c r="I329" s="27">
        <v>6394</v>
      </c>
    </row>
    <row r="330" spans="1:11" x14ac:dyDescent="0.25">
      <c r="A330" s="5" t="s">
        <v>6</v>
      </c>
      <c r="B330" s="5" t="s">
        <v>2302</v>
      </c>
      <c r="C330" s="1" t="s">
        <v>2303</v>
      </c>
      <c r="D330" s="5" t="s">
        <v>17246</v>
      </c>
      <c r="E330" s="32">
        <v>1376</v>
      </c>
      <c r="F330" s="27">
        <v>250596</v>
      </c>
      <c r="I330" s="27">
        <v>182.11918604651163</v>
      </c>
    </row>
    <row r="331" spans="1:11" x14ac:dyDescent="0.25">
      <c r="A331" s="5" t="s">
        <v>6</v>
      </c>
      <c r="B331" s="5" t="s">
        <v>2329</v>
      </c>
      <c r="C331" s="1" t="s">
        <v>2330</v>
      </c>
      <c r="D331" s="5" t="s">
        <v>17247</v>
      </c>
      <c r="E331" s="32">
        <v>18</v>
      </c>
      <c r="F331" s="27">
        <v>11972</v>
      </c>
      <c r="G331" s="32">
        <v>15</v>
      </c>
      <c r="H331" s="27">
        <v>10443</v>
      </c>
      <c r="I331" s="27">
        <v>665.11111111111109</v>
      </c>
      <c r="J331" s="27">
        <v>696.2</v>
      </c>
      <c r="K331" s="29">
        <v>4.674239893083873E-2</v>
      </c>
    </row>
    <row r="332" spans="1:11" x14ac:dyDescent="0.25">
      <c r="A332" s="5" t="s">
        <v>6</v>
      </c>
      <c r="B332" s="5" t="s">
        <v>2332</v>
      </c>
      <c r="C332" s="1" t="s">
        <v>2333</v>
      </c>
      <c r="D332" s="5" t="s">
        <v>17248</v>
      </c>
      <c r="E332" s="32">
        <v>6</v>
      </c>
      <c r="F332" s="27">
        <v>54108</v>
      </c>
      <c r="I332" s="27">
        <v>9018</v>
      </c>
    </row>
    <row r="333" spans="1:11" x14ac:dyDescent="0.25">
      <c r="A333" s="5" t="s">
        <v>6</v>
      </c>
      <c r="B333" s="5" t="s">
        <v>2344</v>
      </c>
      <c r="C333" s="1" t="s">
        <v>2345</v>
      </c>
      <c r="D333" s="5" t="s">
        <v>17248</v>
      </c>
      <c r="E333" s="32">
        <v>1</v>
      </c>
      <c r="F333" s="27">
        <v>25848</v>
      </c>
      <c r="I333" s="27">
        <v>25848</v>
      </c>
    </row>
    <row r="334" spans="1:11" x14ac:dyDescent="0.25">
      <c r="A334" s="5" t="s">
        <v>6</v>
      </c>
      <c r="B334" s="5" t="s">
        <v>2350</v>
      </c>
      <c r="C334" s="1" t="s">
        <v>2351</v>
      </c>
      <c r="D334" s="5" t="s">
        <v>17248</v>
      </c>
      <c r="E334" s="32">
        <v>1</v>
      </c>
      <c r="F334" s="27">
        <v>12334</v>
      </c>
      <c r="I334" s="27">
        <v>12334</v>
      </c>
    </row>
    <row r="335" spans="1:11" x14ac:dyDescent="0.25">
      <c r="A335" s="5" t="s">
        <v>6</v>
      </c>
      <c r="B335" s="5" t="s">
        <v>2353</v>
      </c>
      <c r="C335" s="1" t="s">
        <v>2354</v>
      </c>
      <c r="D335" s="5" t="s">
        <v>17239</v>
      </c>
      <c r="E335" s="32">
        <v>3</v>
      </c>
      <c r="F335" s="27">
        <v>63444</v>
      </c>
      <c r="I335" s="27">
        <v>21148</v>
      </c>
    </row>
    <row r="336" spans="1:11" x14ac:dyDescent="0.25">
      <c r="A336" s="5" t="s">
        <v>6</v>
      </c>
      <c r="B336" s="5" t="s">
        <v>2359</v>
      </c>
      <c r="C336" s="1" t="s">
        <v>2360</v>
      </c>
      <c r="D336" s="5" t="s">
        <v>17249</v>
      </c>
      <c r="E336" s="32">
        <v>1</v>
      </c>
      <c r="F336" s="27">
        <v>1272</v>
      </c>
      <c r="I336" s="27">
        <v>1272</v>
      </c>
    </row>
    <row r="337" spans="1:11" x14ac:dyDescent="0.25">
      <c r="A337" s="5" t="s">
        <v>6</v>
      </c>
      <c r="B337" s="5" t="s">
        <v>2362</v>
      </c>
      <c r="C337" s="1" t="s">
        <v>2363</v>
      </c>
      <c r="D337" s="5" t="s">
        <v>17249</v>
      </c>
      <c r="E337" s="32">
        <v>120</v>
      </c>
      <c r="F337" s="27">
        <v>123915</v>
      </c>
      <c r="G337" s="32">
        <v>68</v>
      </c>
      <c r="H337" s="27">
        <v>71588</v>
      </c>
      <c r="I337" s="27">
        <v>1032.625</v>
      </c>
      <c r="J337" s="27">
        <v>1052.7647058823529</v>
      </c>
      <c r="K337" s="29">
        <v>1.9503407221743544E-2</v>
      </c>
    </row>
    <row r="338" spans="1:11" x14ac:dyDescent="0.25">
      <c r="A338" s="5" t="s">
        <v>6</v>
      </c>
      <c r="B338" s="5" t="s">
        <v>2374</v>
      </c>
      <c r="C338" s="1" t="s">
        <v>2375</v>
      </c>
      <c r="D338" s="5" t="s">
        <v>17215</v>
      </c>
      <c r="E338" s="32">
        <v>7</v>
      </c>
      <c r="F338" s="27">
        <v>32846</v>
      </c>
      <c r="G338" s="32">
        <v>7</v>
      </c>
      <c r="H338" s="27">
        <v>35122</v>
      </c>
      <c r="I338" s="27">
        <v>4692.2857142857147</v>
      </c>
      <c r="J338" s="27">
        <v>5017.4285714285716</v>
      </c>
      <c r="K338" s="29">
        <v>6.9293064604517993E-2</v>
      </c>
    </row>
    <row r="339" spans="1:11" x14ac:dyDescent="0.25">
      <c r="A339" s="5" t="s">
        <v>6</v>
      </c>
      <c r="B339" s="5" t="s">
        <v>2404</v>
      </c>
      <c r="C339" s="1" t="s">
        <v>2405</v>
      </c>
      <c r="D339" s="5" t="s">
        <v>17250</v>
      </c>
      <c r="E339" s="32">
        <v>6</v>
      </c>
      <c r="F339" s="27">
        <v>106108</v>
      </c>
      <c r="G339" s="32">
        <v>3</v>
      </c>
      <c r="H339" s="27">
        <v>60018.47</v>
      </c>
      <c r="I339" s="27">
        <v>17684.666666666668</v>
      </c>
      <c r="J339" s="27">
        <v>20006.156666666666</v>
      </c>
      <c r="K339" s="29">
        <v>0.13127134617559455</v>
      </c>
    </row>
    <row r="340" spans="1:11" x14ac:dyDescent="0.25">
      <c r="A340" s="5" t="s">
        <v>6</v>
      </c>
      <c r="B340" s="5" t="s">
        <v>2415</v>
      </c>
      <c r="C340" s="1" t="s">
        <v>2416</v>
      </c>
      <c r="D340" s="5" t="s">
        <v>17251</v>
      </c>
      <c r="E340" s="32">
        <v>0</v>
      </c>
      <c r="F340" s="27">
        <v>0</v>
      </c>
      <c r="G340" s="32">
        <v>520</v>
      </c>
      <c r="H340" s="27">
        <v>51680</v>
      </c>
      <c r="J340" s="27">
        <v>99.384615384615387</v>
      </c>
    </row>
    <row r="341" spans="1:11" x14ac:dyDescent="0.25">
      <c r="A341" s="5" t="s">
        <v>6</v>
      </c>
      <c r="B341" s="5" t="s">
        <v>2420</v>
      </c>
      <c r="C341" s="1" t="s">
        <v>2421</v>
      </c>
      <c r="D341" s="5" t="s">
        <v>17241</v>
      </c>
      <c r="E341" s="32">
        <v>0</v>
      </c>
      <c r="F341" s="27">
        <v>0</v>
      </c>
      <c r="G341" s="32">
        <v>6</v>
      </c>
      <c r="H341" s="27">
        <v>38110</v>
      </c>
      <c r="J341" s="27">
        <v>6351.666666666667</v>
      </c>
    </row>
    <row r="342" spans="1:11" x14ac:dyDescent="0.25">
      <c r="A342" s="5" t="s">
        <v>6</v>
      </c>
      <c r="B342" s="5" t="s">
        <v>2438</v>
      </c>
      <c r="C342" s="1" t="s">
        <v>2439</v>
      </c>
      <c r="D342" s="5" t="s">
        <v>17252</v>
      </c>
      <c r="E342" s="32">
        <v>150</v>
      </c>
      <c r="F342" s="27">
        <v>25800</v>
      </c>
      <c r="I342" s="27">
        <v>172</v>
      </c>
    </row>
    <row r="343" spans="1:11" x14ac:dyDescent="0.25">
      <c r="A343" s="5" t="s">
        <v>6</v>
      </c>
      <c r="B343" s="5" t="s">
        <v>2441</v>
      </c>
      <c r="C343" s="1" t="s">
        <v>2442</v>
      </c>
      <c r="D343" s="5" t="s">
        <v>17238</v>
      </c>
      <c r="E343" s="32">
        <v>72</v>
      </c>
      <c r="F343" s="27">
        <v>43920</v>
      </c>
      <c r="I343" s="27">
        <v>610</v>
      </c>
    </row>
    <row r="344" spans="1:11" x14ac:dyDescent="0.25">
      <c r="A344" s="5" t="s">
        <v>6</v>
      </c>
      <c r="B344" s="5" t="s">
        <v>2444</v>
      </c>
      <c r="C344" s="1" t="s">
        <v>2445</v>
      </c>
      <c r="D344" s="5" t="s">
        <v>17253</v>
      </c>
      <c r="E344" s="32">
        <v>16</v>
      </c>
      <c r="F344" s="27">
        <v>3315.04</v>
      </c>
      <c r="I344" s="27">
        <v>207.19</v>
      </c>
    </row>
    <row r="345" spans="1:11" x14ac:dyDescent="0.25">
      <c r="A345" s="5" t="s">
        <v>6</v>
      </c>
      <c r="B345" s="5" t="s">
        <v>2447</v>
      </c>
      <c r="C345" s="1" t="s">
        <v>2448</v>
      </c>
      <c r="D345" s="5" t="s">
        <v>17248</v>
      </c>
      <c r="E345" s="32">
        <v>2</v>
      </c>
      <c r="F345" s="27">
        <v>14416</v>
      </c>
      <c r="I345" s="27">
        <v>7208</v>
      </c>
    </row>
    <row r="346" spans="1:11" x14ac:dyDescent="0.25">
      <c r="A346" s="5" t="s">
        <v>6</v>
      </c>
      <c r="B346" s="5" t="s">
        <v>2450</v>
      </c>
      <c r="C346" s="1" t="s">
        <v>2451</v>
      </c>
      <c r="D346" s="5" t="s">
        <v>17254</v>
      </c>
      <c r="E346" s="32">
        <v>1251</v>
      </c>
      <c r="F346" s="27">
        <v>288555</v>
      </c>
      <c r="I346" s="27">
        <v>230.65947242206235</v>
      </c>
    </row>
    <row r="347" spans="1:11" x14ac:dyDescent="0.25">
      <c r="A347" s="5" t="s">
        <v>6</v>
      </c>
      <c r="B347" s="5" t="s">
        <v>2462</v>
      </c>
      <c r="C347" s="1" t="s">
        <v>2463</v>
      </c>
      <c r="D347" s="5" t="s">
        <v>17255</v>
      </c>
      <c r="E347" s="32">
        <v>0</v>
      </c>
      <c r="F347" s="27">
        <v>0</v>
      </c>
      <c r="G347" s="32">
        <v>2</v>
      </c>
      <c r="H347" s="27">
        <v>29484.53</v>
      </c>
      <c r="J347" s="27">
        <v>14742.264999999999</v>
      </c>
    </row>
    <row r="348" spans="1:11" x14ac:dyDescent="0.25">
      <c r="A348" s="5" t="s">
        <v>6</v>
      </c>
      <c r="B348" s="5" t="s">
        <v>2477</v>
      </c>
      <c r="C348" s="1" t="s">
        <v>2478</v>
      </c>
      <c r="D348" s="5" t="s">
        <v>17256</v>
      </c>
      <c r="E348" s="32">
        <v>125</v>
      </c>
      <c r="F348" s="27">
        <v>31200</v>
      </c>
      <c r="G348" s="32">
        <v>835</v>
      </c>
      <c r="H348" s="27">
        <v>215290.8</v>
      </c>
      <c r="I348" s="27">
        <v>249.6</v>
      </c>
      <c r="J348" s="27">
        <v>257.83329341317364</v>
      </c>
      <c r="K348" s="29">
        <v>3.2985951174573883E-2</v>
      </c>
    </row>
    <row r="349" spans="1:11" x14ac:dyDescent="0.25">
      <c r="A349" s="5" t="s">
        <v>6</v>
      </c>
      <c r="B349" s="5" t="s">
        <v>2480</v>
      </c>
      <c r="C349" s="1" t="s">
        <v>2481</v>
      </c>
      <c r="D349" s="5" t="s">
        <v>17257</v>
      </c>
      <c r="E349" s="32">
        <v>0</v>
      </c>
      <c r="F349" s="27">
        <v>0</v>
      </c>
      <c r="G349" s="32">
        <v>2</v>
      </c>
      <c r="H349" s="27">
        <v>2508</v>
      </c>
      <c r="J349" s="27">
        <v>1254</v>
      </c>
    </row>
    <row r="350" spans="1:11" x14ac:dyDescent="0.25">
      <c r="A350" s="5" t="s">
        <v>6</v>
      </c>
      <c r="B350" s="5" t="s">
        <v>2489</v>
      </c>
      <c r="C350" s="1" t="s">
        <v>2490</v>
      </c>
      <c r="D350" s="5" t="s">
        <v>17258</v>
      </c>
      <c r="E350" s="32">
        <v>128</v>
      </c>
      <c r="F350" s="27">
        <v>483184</v>
      </c>
      <c r="G350" s="32">
        <v>172</v>
      </c>
      <c r="H350" s="27">
        <v>698990</v>
      </c>
      <c r="I350" s="27">
        <v>3774.875</v>
      </c>
      <c r="J350" s="27">
        <v>4063.8953488372094</v>
      </c>
      <c r="K350" s="29">
        <v>7.656421705015648E-2</v>
      </c>
    </row>
    <row r="351" spans="1:11" x14ac:dyDescent="0.25">
      <c r="A351" s="5" t="s">
        <v>6</v>
      </c>
      <c r="B351" s="5" t="s">
        <v>2492</v>
      </c>
      <c r="C351" s="1" t="s">
        <v>2493</v>
      </c>
      <c r="D351" s="5" t="s">
        <v>17259</v>
      </c>
      <c r="E351" s="32">
        <v>7</v>
      </c>
      <c r="F351" s="27">
        <v>82323</v>
      </c>
      <c r="I351" s="27">
        <v>11760.428571428571</v>
      </c>
    </row>
    <row r="352" spans="1:11" x14ac:dyDescent="0.25">
      <c r="A352" s="5" t="s">
        <v>6</v>
      </c>
      <c r="B352" s="5" t="s">
        <v>2507</v>
      </c>
      <c r="C352" s="1" t="s">
        <v>2508</v>
      </c>
      <c r="D352" s="5" t="s">
        <v>17260</v>
      </c>
      <c r="E352" s="32">
        <v>47</v>
      </c>
      <c r="F352" s="27">
        <v>296152</v>
      </c>
      <c r="G352" s="32">
        <v>34</v>
      </c>
      <c r="H352" s="27">
        <v>230616</v>
      </c>
      <c r="I352" s="27">
        <v>6301.1063829787236</v>
      </c>
      <c r="J352" s="27">
        <v>6782.8235294117649</v>
      </c>
      <c r="K352" s="29">
        <v>7.6449613314625395E-2</v>
      </c>
    </row>
    <row r="353" spans="1:11" x14ac:dyDescent="0.25">
      <c r="A353" s="5" t="s">
        <v>6</v>
      </c>
      <c r="B353" s="5" t="s">
        <v>2510</v>
      </c>
      <c r="C353" s="1" t="s">
        <v>2511</v>
      </c>
      <c r="D353" s="5" t="s">
        <v>17261</v>
      </c>
      <c r="E353" s="32">
        <v>2</v>
      </c>
      <c r="F353" s="27">
        <v>1720</v>
      </c>
      <c r="I353" s="27">
        <v>860</v>
      </c>
    </row>
    <row r="354" spans="1:11" x14ac:dyDescent="0.25">
      <c r="A354" s="5" t="s">
        <v>6</v>
      </c>
      <c r="B354" s="5" t="s">
        <v>2513</v>
      </c>
      <c r="C354" s="1" t="s">
        <v>2514</v>
      </c>
      <c r="D354" s="5" t="s">
        <v>17262</v>
      </c>
      <c r="E354" s="32">
        <v>32</v>
      </c>
      <c r="F354" s="27">
        <v>21120</v>
      </c>
      <c r="I354" s="27">
        <v>660</v>
      </c>
    </row>
    <row r="355" spans="1:11" x14ac:dyDescent="0.25">
      <c r="A355" s="5" t="s">
        <v>6</v>
      </c>
      <c r="B355" s="5" t="s">
        <v>2516</v>
      </c>
      <c r="C355" s="1" t="s">
        <v>2517</v>
      </c>
      <c r="D355" s="5" t="s">
        <v>17263</v>
      </c>
      <c r="E355" s="32">
        <v>62</v>
      </c>
      <c r="F355" s="27">
        <v>89977</v>
      </c>
      <c r="G355" s="32">
        <v>64</v>
      </c>
      <c r="H355" s="27">
        <v>98810</v>
      </c>
      <c r="I355" s="27">
        <v>1451.241935483871</v>
      </c>
      <c r="J355" s="27">
        <v>1543.90625</v>
      </c>
      <c r="K355" s="29">
        <v>6.3851734332107085E-2</v>
      </c>
    </row>
    <row r="356" spans="1:11" x14ac:dyDescent="0.25">
      <c r="A356" s="5" t="s">
        <v>6</v>
      </c>
      <c r="B356" s="5" t="s">
        <v>2518</v>
      </c>
      <c r="C356" s="1" t="s">
        <v>2519</v>
      </c>
      <c r="D356" s="5" t="s">
        <v>17263</v>
      </c>
      <c r="E356" s="32">
        <v>6</v>
      </c>
      <c r="F356" s="27">
        <v>4716</v>
      </c>
      <c r="I356" s="27">
        <v>786</v>
      </c>
    </row>
    <row r="357" spans="1:11" x14ac:dyDescent="0.25">
      <c r="A357" s="5" t="s">
        <v>6</v>
      </c>
      <c r="B357" s="5" t="s">
        <v>2520</v>
      </c>
      <c r="C357" s="1" t="s">
        <v>2521</v>
      </c>
      <c r="D357" s="5" t="s">
        <v>17264</v>
      </c>
      <c r="E357" s="32">
        <v>0</v>
      </c>
      <c r="F357" s="27">
        <v>0</v>
      </c>
      <c r="G357" s="32">
        <v>825</v>
      </c>
      <c r="H357" s="27">
        <v>249150</v>
      </c>
      <c r="J357" s="27">
        <v>302</v>
      </c>
    </row>
    <row r="358" spans="1:11" x14ac:dyDescent="0.25">
      <c r="A358" s="5" t="s">
        <v>6</v>
      </c>
      <c r="B358" s="5" t="s">
        <v>2523</v>
      </c>
      <c r="C358" s="1" t="s">
        <v>2524</v>
      </c>
      <c r="D358" s="5" t="s">
        <v>17265</v>
      </c>
      <c r="E358" s="32">
        <v>56</v>
      </c>
      <c r="F358" s="27">
        <v>8272</v>
      </c>
      <c r="G358" s="32">
        <v>67</v>
      </c>
      <c r="H358" s="27">
        <v>10571</v>
      </c>
      <c r="I358" s="27">
        <v>147.71428571428572</v>
      </c>
      <c r="J358" s="27">
        <v>157.77611940298507</v>
      </c>
      <c r="K358" s="29">
        <v>6.8116862496030425E-2</v>
      </c>
    </row>
    <row r="359" spans="1:11" x14ac:dyDescent="0.25">
      <c r="A359" s="5" t="s">
        <v>6</v>
      </c>
      <c r="B359" s="5" t="s">
        <v>2526</v>
      </c>
      <c r="C359" s="1" t="s">
        <v>2527</v>
      </c>
      <c r="D359" s="5" t="s">
        <v>17265</v>
      </c>
      <c r="E359" s="32">
        <v>182</v>
      </c>
      <c r="F359" s="27">
        <v>81590</v>
      </c>
      <c r="G359" s="32">
        <v>99</v>
      </c>
      <c r="H359" s="27">
        <v>47759</v>
      </c>
      <c r="I359" s="27">
        <v>448.2967032967033</v>
      </c>
      <c r="J359" s="27">
        <v>482.4141414141414</v>
      </c>
      <c r="K359" s="29">
        <v>7.6104592932635537E-2</v>
      </c>
    </row>
    <row r="360" spans="1:11" x14ac:dyDescent="0.25">
      <c r="A360" s="5" t="s">
        <v>6</v>
      </c>
      <c r="B360" s="5" t="s">
        <v>2529</v>
      </c>
      <c r="C360" s="1" t="s">
        <v>2530</v>
      </c>
      <c r="D360" s="5" t="s">
        <v>17260</v>
      </c>
      <c r="E360" s="32">
        <v>22</v>
      </c>
      <c r="F360" s="27">
        <v>56154</v>
      </c>
      <c r="G360" s="32">
        <v>33</v>
      </c>
      <c r="H360" s="27">
        <v>88963</v>
      </c>
      <c r="I360" s="27">
        <v>2552.4545454545455</v>
      </c>
      <c r="J360" s="27">
        <v>2695.848484848485</v>
      </c>
      <c r="K360" s="29">
        <v>5.6178841519155691E-2</v>
      </c>
    </row>
    <row r="361" spans="1:11" x14ac:dyDescent="0.25">
      <c r="A361" s="5" t="s">
        <v>6</v>
      </c>
      <c r="B361" s="5" t="s">
        <v>2532</v>
      </c>
      <c r="C361" s="1" t="s">
        <v>2533</v>
      </c>
      <c r="D361" s="5" t="s">
        <v>17260</v>
      </c>
      <c r="E361" s="32">
        <v>15</v>
      </c>
      <c r="F361" s="27">
        <v>154680</v>
      </c>
      <c r="G361" s="32">
        <v>13</v>
      </c>
      <c r="H361" s="27">
        <v>140490</v>
      </c>
      <c r="I361" s="27">
        <v>10312</v>
      </c>
      <c r="J361" s="27">
        <v>10806.923076923076</v>
      </c>
      <c r="K361" s="29">
        <v>4.7994867816434854E-2</v>
      </c>
    </row>
    <row r="362" spans="1:11" x14ac:dyDescent="0.25">
      <c r="A362" s="5" t="s">
        <v>6</v>
      </c>
      <c r="B362" s="5" t="s">
        <v>2535</v>
      </c>
      <c r="C362" s="1" t="s">
        <v>2536</v>
      </c>
      <c r="D362" s="5" t="s">
        <v>17260</v>
      </c>
      <c r="E362" s="32">
        <v>6</v>
      </c>
      <c r="F362" s="27">
        <v>14080</v>
      </c>
      <c r="G362" s="32">
        <v>12</v>
      </c>
      <c r="H362" s="27">
        <v>30816</v>
      </c>
      <c r="I362" s="27">
        <v>2346.6666666666665</v>
      </c>
      <c r="J362" s="27">
        <v>2568</v>
      </c>
      <c r="K362" s="29">
        <v>9.4318181818181884E-2</v>
      </c>
    </row>
    <row r="363" spans="1:11" x14ac:dyDescent="0.25">
      <c r="A363" s="5" t="s">
        <v>6</v>
      </c>
      <c r="B363" s="5" t="s">
        <v>2540</v>
      </c>
      <c r="C363" s="1" t="s">
        <v>2541</v>
      </c>
      <c r="D363" s="5" t="s">
        <v>17260</v>
      </c>
      <c r="E363" s="32">
        <v>1</v>
      </c>
      <c r="F363" s="27">
        <v>8364</v>
      </c>
      <c r="I363" s="27">
        <v>8364</v>
      </c>
    </row>
    <row r="364" spans="1:11" x14ac:dyDescent="0.25">
      <c r="A364" s="5" t="s">
        <v>6</v>
      </c>
      <c r="B364" s="5" t="s">
        <v>2543</v>
      </c>
      <c r="C364" s="1" t="s">
        <v>2544</v>
      </c>
      <c r="D364" s="5" t="s">
        <v>17260</v>
      </c>
      <c r="E364" s="32">
        <v>2</v>
      </c>
      <c r="F364" s="27">
        <v>11346.14</v>
      </c>
      <c r="I364" s="27">
        <v>5673.07</v>
      </c>
    </row>
    <row r="365" spans="1:11" x14ac:dyDescent="0.25">
      <c r="A365" s="5" t="s">
        <v>6</v>
      </c>
      <c r="B365" s="5" t="s">
        <v>2546</v>
      </c>
      <c r="C365" s="1" t="s">
        <v>2547</v>
      </c>
      <c r="D365" s="5" t="s">
        <v>17260</v>
      </c>
      <c r="E365" s="32">
        <v>7</v>
      </c>
      <c r="F365" s="27">
        <v>39575</v>
      </c>
      <c r="I365" s="27">
        <v>5653.5714285714284</v>
      </c>
    </row>
    <row r="366" spans="1:11" x14ac:dyDescent="0.25">
      <c r="A366" s="5" t="s">
        <v>6</v>
      </c>
      <c r="B366" s="5" t="s">
        <v>2549</v>
      </c>
      <c r="C366" s="1" t="s">
        <v>2550</v>
      </c>
      <c r="D366" s="5" t="s">
        <v>17260</v>
      </c>
      <c r="E366" s="32">
        <v>7</v>
      </c>
      <c r="F366" s="27">
        <v>67914</v>
      </c>
      <c r="G366" s="32">
        <v>9</v>
      </c>
      <c r="H366" s="27">
        <v>93027</v>
      </c>
      <c r="I366" s="27">
        <v>9702</v>
      </c>
      <c r="J366" s="27">
        <v>10336.333333333334</v>
      </c>
      <c r="K366" s="29">
        <v>6.5381708238851158E-2</v>
      </c>
    </row>
    <row r="367" spans="1:11" x14ac:dyDescent="0.25">
      <c r="A367" s="5" t="s">
        <v>6</v>
      </c>
      <c r="B367" s="5" t="s">
        <v>2552</v>
      </c>
      <c r="C367" s="1" t="s">
        <v>2553</v>
      </c>
      <c r="D367" s="5" t="s">
        <v>17260</v>
      </c>
      <c r="E367" s="32">
        <v>7</v>
      </c>
      <c r="F367" s="27">
        <v>22613</v>
      </c>
      <c r="I367" s="27">
        <v>3230.4285714285716</v>
      </c>
    </row>
    <row r="368" spans="1:11" x14ac:dyDescent="0.25">
      <c r="A368" s="5" t="s">
        <v>6</v>
      </c>
      <c r="B368" s="5" t="s">
        <v>2555</v>
      </c>
      <c r="C368" s="1" t="s">
        <v>2556</v>
      </c>
      <c r="D368" s="5" t="s">
        <v>17260</v>
      </c>
      <c r="E368" s="32">
        <v>18</v>
      </c>
      <c r="F368" s="27">
        <v>224874</v>
      </c>
      <c r="G368" s="32">
        <v>27</v>
      </c>
      <c r="H368" s="27">
        <v>353295</v>
      </c>
      <c r="I368" s="27">
        <v>12493</v>
      </c>
      <c r="J368" s="27">
        <v>13085</v>
      </c>
      <c r="K368" s="29">
        <v>4.7386536460417836E-2</v>
      </c>
    </row>
    <row r="369" spans="1:11" x14ac:dyDescent="0.25">
      <c r="A369" s="5" t="s">
        <v>6</v>
      </c>
      <c r="B369" s="5" t="s">
        <v>2558</v>
      </c>
      <c r="C369" s="1" t="s">
        <v>2559</v>
      </c>
      <c r="D369" s="5" t="s">
        <v>17266</v>
      </c>
      <c r="E369" s="32">
        <v>49</v>
      </c>
      <c r="F369" s="27">
        <v>14308</v>
      </c>
      <c r="G369" s="32">
        <v>48</v>
      </c>
      <c r="H369" s="27">
        <v>14982</v>
      </c>
      <c r="I369" s="27">
        <v>292</v>
      </c>
      <c r="J369" s="27">
        <v>312.125</v>
      </c>
      <c r="K369" s="29">
        <v>6.8921232876712327E-2</v>
      </c>
    </row>
    <row r="370" spans="1:11" x14ac:dyDescent="0.25">
      <c r="A370" s="5" t="s">
        <v>6</v>
      </c>
      <c r="B370" s="5" t="s">
        <v>2561</v>
      </c>
      <c r="C370" s="1" t="s">
        <v>2562</v>
      </c>
      <c r="D370" s="5" t="s">
        <v>17267</v>
      </c>
      <c r="E370" s="32">
        <v>1803</v>
      </c>
      <c r="F370" s="27">
        <v>1657577</v>
      </c>
      <c r="G370" s="32">
        <v>1581</v>
      </c>
      <c r="H370" s="27">
        <v>1543839</v>
      </c>
      <c r="I370" s="27">
        <v>919.34387132556844</v>
      </c>
      <c r="J370" s="27">
        <v>976.49525616698293</v>
      </c>
      <c r="K370" s="29">
        <v>6.216540581165781E-2</v>
      </c>
    </row>
    <row r="371" spans="1:11" x14ac:dyDescent="0.25">
      <c r="A371" s="5" t="s">
        <v>6</v>
      </c>
      <c r="B371" s="5" t="s">
        <v>2563</v>
      </c>
      <c r="C371" s="1" t="s">
        <v>2564</v>
      </c>
      <c r="D371" s="5" t="s">
        <v>17267</v>
      </c>
      <c r="E371" s="32">
        <v>1610</v>
      </c>
      <c r="F371" s="27">
        <v>1408610</v>
      </c>
      <c r="G371" s="32">
        <v>1680</v>
      </c>
      <c r="H371" s="27">
        <v>1570225</v>
      </c>
      <c r="I371" s="27">
        <v>874.91304347826087</v>
      </c>
      <c r="J371" s="27">
        <v>934.65773809523807</v>
      </c>
      <c r="K371" s="29">
        <v>6.8286437220616988E-2</v>
      </c>
    </row>
    <row r="372" spans="1:11" x14ac:dyDescent="0.25">
      <c r="A372" s="5" t="s">
        <v>6</v>
      </c>
      <c r="B372" s="5" t="s">
        <v>2567</v>
      </c>
      <c r="C372" s="1" t="s">
        <v>2568</v>
      </c>
      <c r="D372" s="5" t="s">
        <v>17268</v>
      </c>
      <c r="E372" s="32">
        <v>20</v>
      </c>
      <c r="F372" s="27">
        <v>34702</v>
      </c>
      <c r="G372" s="32">
        <v>48</v>
      </c>
      <c r="H372" s="27">
        <v>88620</v>
      </c>
      <c r="I372" s="27">
        <v>1735.1</v>
      </c>
      <c r="J372" s="27">
        <v>1846.25</v>
      </c>
      <c r="K372" s="29">
        <v>6.405970837415717E-2</v>
      </c>
    </row>
    <row r="373" spans="1:11" x14ac:dyDescent="0.25">
      <c r="A373" s="5" t="s">
        <v>6</v>
      </c>
      <c r="B373" s="5" t="s">
        <v>2570</v>
      </c>
      <c r="C373" s="1" t="s">
        <v>2571</v>
      </c>
      <c r="D373" s="5" t="s">
        <v>17062</v>
      </c>
      <c r="E373" s="32">
        <v>19334</v>
      </c>
      <c r="F373" s="27">
        <v>6294940</v>
      </c>
      <c r="G373" s="32">
        <v>20090</v>
      </c>
      <c r="H373" s="27">
        <v>6987330</v>
      </c>
      <c r="I373" s="27">
        <v>325.58911761663393</v>
      </c>
      <c r="J373" s="27">
        <v>347.80139372822299</v>
      </c>
      <c r="K373" s="29">
        <v>6.8221801374034205E-2</v>
      </c>
    </row>
    <row r="374" spans="1:11" x14ac:dyDescent="0.25">
      <c r="A374" s="5" t="s">
        <v>6</v>
      </c>
      <c r="B374" s="5" t="s">
        <v>2573</v>
      </c>
      <c r="C374" s="1" t="s">
        <v>2574</v>
      </c>
      <c r="D374" s="5" t="s">
        <v>17070</v>
      </c>
      <c r="E374" s="32">
        <v>2546</v>
      </c>
      <c r="F374" s="27">
        <v>1515750</v>
      </c>
      <c r="G374" s="32">
        <v>2861</v>
      </c>
      <c r="H374" s="27">
        <v>1815999</v>
      </c>
      <c r="I374" s="27">
        <v>595.34564021995288</v>
      </c>
      <c r="J374" s="27">
        <v>634.74274729115689</v>
      </c>
      <c r="K374" s="29">
        <v>6.6175183640630311E-2</v>
      </c>
    </row>
    <row r="375" spans="1:11" x14ac:dyDescent="0.25">
      <c r="A375" s="5" t="s">
        <v>6</v>
      </c>
      <c r="B375" s="5" t="s">
        <v>2575</v>
      </c>
      <c r="C375" s="1" t="s">
        <v>2576</v>
      </c>
      <c r="D375" s="5" t="s">
        <v>17269</v>
      </c>
      <c r="E375" s="32">
        <v>1446</v>
      </c>
      <c r="F375" s="27">
        <v>367182</v>
      </c>
      <c r="G375" s="32">
        <v>1721</v>
      </c>
      <c r="H375" s="27">
        <v>466132</v>
      </c>
      <c r="I375" s="27">
        <v>253.92946058091286</v>
      </c>
      <c r="J375" s="27">
        <v>270.849506101104</v>
      </c>
      <c r="K375" s="29">
        <v>6.6632857335589393E-2</v>
      </c>
    </row>
    <row r="376" spans="1:11" x14ac:dyDescent="0.25">
      <c r="A376" s="5" t="s">
        <v>6</v>
      </c>
      <c r="B376" s="5" t="s">
        <v>2578</v>
      </c>
      <c r="C376" s="1" t="s">
        <v>2579</v>
      </c>
      <c r="D376" s="5" t="s">
        <v>17269</v>
      </c>
      <c r="E376" s="32">
        <v>1502</v>
      </c>
      <c r="F376" s="27">
        <v>381474</v>
      </c>
      <c r="G376" s="32">
        <v>1786</v>
      </c>
      <c r="H376" s="27">
        <v>483803</v>
      </c>
      <c r="I376" s="27">
        <v>253.9773635153129</v>
      </c>
      <c r="J376" s="27">
        <v>270.88633818589028</v>
      </c>
      <c r="K376" s="29">
        <v>6.6576699736305034E-2</v>
      </c>
    </row>
    <row r="377" spans="1:11" x14ac:dyDescent="0.25">
      <c r="A377" s="5" t="s">
        <v>6</v>
      </c>
      <c r="B377" s="5" t="s">
        <v>2580</v>
      </c>
      <c r="C377" s="1" t="s">
        <v>2581</v>
      </c>
      <c r="D377" s="5" t="s">
        <v>17270</v>
      </c>
      <c r="E377" s="32">
        <v>3997</v>
      </c>
      <c r="F377" s="27">
        <v>3215513</v>
      </c>
      <c r="G377" s="32">
        <v>4157</v>
      </c>
      <c r="H377" s="27">
        <v>3545261</v>
      </c>
      <c r="I377" s="27">
        <v>804.48161120840632</v>
      </c>
      <c r="J377" s="27">
        <v>852.84123165744529</v>
      </c>
      <c r="K377" s="29">
        <v>6.0112772964938645E-2</v>
      </c>
    </row>
    <row r="378" spans="1:11" x14ac:dyDescent="0.25">
      <c r="A378" s="5" t="s">
        <v>6</v>
      </c>
      <c r="B378" s="5" t="s">
        <v>2583</v>
      </c>
      <c r="C378" s="1" t="s">
        <v>2584</v>
      </c>
      <c r="D378" s="5" t="s">
        <v>17066</v>
      </c>
      <c r="E378" s="32">
        <v>29399</v>
      </c>
      <c r="F378" s="27">
        <v>65490763</v>
      </c>
      <c r="G378" s="32">
        <v>32367</v>
      </c>
      <c r="H378" s="27">
        <v>77000110</v>
      </c>
      <c r="I378" s="27">
        <v>2227.6527432905882</v>
      </c>
      <c r="J378" s="27">
        <v>2378.9696295609724</v>
      </c>
      <c r="K378" s="29">
        <v>6.7926604236738311E-2</v>
      </c>
    </row>
    <row r="379" spans="1:11" x14ac:dyDescent="0.25">
      <c r="A379" s="5" t="s">
        <v>6</v>
      </c>
      <c r="B379" s="5" t="s">
        <v>2586</v>
      </c>
      <c r="C379" s="1" t="s">
        <v>2587</v>
      </c>
      <c r="D379" s="5" t="s">
        <v>17058</v>
      </c>
      <c r="E379" s="32">
        <v>46040</v>
      </c>
      <c r="F379" s="27">
        <v>79139770</v>
      </c>
      <c r="G379" s="32">
        <v>46193</v>
      </c>
      <c r="H379" s="27">
        <v>84719521</v>
      </c>
      <c r="I379" s="27">
        <v>1718.9350564726326</v>
      </c>
      <c r="J379" s="27">
        <v>1834.0337497023359</v>
      </c>
      <c r="K379" s="29">
        <v>6.6959302968602738E-2</v>
      </c>
    </row>
    <row r="380" spans="1:11" x14ac:dyDescent="0.25">
      <c r="A380" s="5" t="s">
        <v>6</v>
      </c>
      <c r="B380" s="5" t="s">
        <v>2589</v>
      </c>
      <c r="C380" s="1" t="s">
        <v>2590</v>
      </c>
      <c r="D380" s="5" t="s">
        <v>17271</v>
      </c>
      <c r="E380" s="32">
        <v>1926</v>
      </c>
      <c r="F380" s="27">
        <v>491268</v>
      </c>
      <c r="G380" s="32">
        <v>927</v>
      </c>
      <c r="H380" s="27">
        <v>250338</v>
      </c>
      <c r="I380" s="27">
        <v>255.07165109034267</v>
      </c>
      <c r="J380" s="27">
        <v>270.05177993527508</v>
      </c>
      <c r="K380" s="29">
        <v>5.8729101336418864E-2</v>
      </c>
    </row>
    <row r="381" spans="1:11" x14ac:dyDescent="0.25">
      <c r="A381" s="5" t="s">
        <v>6</v>
      </c>
      <c r="B381" s="5" t="s">
        <v>2592</v>
      </c>
      <c r="C381" s="1" t="s">
        <v>2593</v>
      </c>
      <c r="D381" s="5" t="s">
        <v>17272</v>
      </c>
      <c r="E381" s="32">
        <v>14603</v>
      </c>
      <c r="F381" s="27">
        <v>11161518</v>
      </c>
      <c r="G381" s="32">
        <v>9239</v>
      </c>
      <c r="H381" s="27">
        <v>7502650</v>
      </c>
      <c r="I381" s="27">
        <v>764.33048003834824</v>
      </c>
      <c r="J381" s="27">
        <v>812.06299383050111</v>
      </c>
      <c r="K381" s="29">
        <v>6.245009853559421E-2</v>
      </c>
    </row>
    <row r="382" spans="1:11" x14ac:dyDescent="0.25">
      <c r="A382" s="5" t="s">
        <v>6</v>
      </c>
      <c r="B382" s="5" t="s">
        <v>17273</v>
      </c>
      <c r="C382" s="1" t="s">
        <v>17274</v>
      </c>
      <c r="D382" s="5" t="s">
        <v>17275</v>
      </c>
      <c r="E382" s="32">
        <v>5041</v>
      </c>
      <c r="F382" s="27">
        <v>143755</v>
      </c>
      <c r="I382" s="27">
        <v>28.517159293790915</v>
      </c>
    </row>
    <row r="383" spans="1:11" x14ac:dyDescent="0.25">
      <c r="A383" s="5" t="s">
        <v>6</v>
      </c>
      <c r="B383" s="5" t="s">
        <v>2594</v>
      </c>
      <c r="C383" s="1" t="s">
        <v>2595</v>
      </c>
      <c r="D383" s="5" t="s">
        <v>17171</v>
      </c>
      <c r="E383" s="32">
        <v>13943</v>
      </c>
      <c r="F383" s="27">
        <v>6770646</v>
      </c>
      <c r="G383" s="32">
        <v>14980</v>
      </c>
      <c r="H383" s="27">
        <v>7762032</v>
      </c>
      <c r="I383" s="27">
        <v>485.59463530086782</v>
      </c>
      <c r="J383" s="27">
        <v>518.15967957276371</v>
      </c>
      <c r="K383" s="29">
        <v>6.7062199424256466E-2</v>
      </c>
    </row>
    <row r="384" spans="1:11" x14ac:dyDescent="0.25">
      <c r="A384" s="5" t="s">
        <v>6</v>
      </c>
      <c r="B384" s="5" t="s">
        <v>2601</v>
      </c>
      <c r="C384" s="1" t="s">
        <v>2602</v>
      </c>
      <c r="D384" s="5" t="s">
        <v>17276</v>
      </c>
      <c r="E384" s="32">
        <v>127</v>
      </c>
      <c r="F384" s="27">
        <v>25161</v>
      </c>
      <c r="G384" s="32">
        <v>51</v>
      </c>
      <c r="H384" s="27">
        <v>10741</v>
      </c>
      <c r="I384" s="27">
        <v>198.11811023622047</v>
      </c>
      <c r="J384" s="27">
        <v>210.60784313725489</v>
      </c>
      <c r="K384" s="29">
        <v>6.3041853600070377E-2</v>
      </c>
    </row>
    <row r="385" spans="1:11" x14ac:dyDescent="0.25">
      <c r="A385" s="5" t="s">
        <v>6</v>
      </c>
      <c r="B385" s="5" t="s">
        <v>2607</v>
      </c>
      <c r="C385" s="1" t="s">
        <v>2608</v>
      </c>
      <c r="D385" s="5" t="s">
        <v>17277</v>
      </c>
      <c r="E385" s="32">
        <v>9</v>
      </c>
      <c r="F385" s="27">
        <v>549</v>
      </c>
      <c r="I385" s="27">
        <v>61</v>
      </c>
    </row>
    <row r="386" spans="1:11" x14ac:dyDescent="0.25">
      <c r="A386" s="5" t="s">
        <v>6</v>
      </c>
      <c r="B386" s="5" t="s">
        <v>2610</v>
      </c>
      <c r="C386" s="1" t="s">
        <v>2611</v>
      </c>
      <c r="D386" s="5" t="s">
        <v>17278</v>
      </c>
      <c r="E386" s="32">
        <v>1614</v>
      </c>
      <c r="F386" s="27">
        <v>579579</v>
      </c>
      <c r="G386" s="32">
        <v>1822</v>
      </c>
      <c r="H386" s="27">
        <v>700038</v>
      </c>
      <c r="I386" s="27">
        <v>359.09479553903344</v>
      </c>
      <c r="J386" s="27">
        <v>384.2140504939627</v>
      </c>
      <c r="K386" s="29">
        <v>6.9951598483133148E-2</v>
      </c>
    </row>
    <row r="387" spans="1:11" x14ac:dyDescent="0.25">
      <c r="A387" s="5" t="s">
        <v>6</v>
      </c>
      <c r="B387" s="5" t="s">
        <v>2613</v>
      </c>
      <c r="C387" s="1" t="s">
        <v>2614</v>
      </c>
      <c r="D387" s="5" t="s">
        <v>17279</v>
      </c>
      <c r="E387" s="32">
        <v>3</v>
      </c>
      <c r="F387" s="27">
        <v>180</v>
      </c>
      <c r="I387" s="27">
        <v>60</v>
      </c>
    </row>
    <row r="388" spans="1:11" x14ac:dyDescent="0.25">
      <c r="A388" s="5" t="s">
        <v>6</v>
      </c>
      <c r="B388" s="5" t="s">
        <v>2616</v>
      </c>
      <c r="C388" s="1" t="s">
        <v>2617</v>
      </c>
      <c r="D388" s="5" t="s">
        <v>17269</v>
      </c>
      <c r="E388" s="32">
        <v>917</v>
      </c>
      <c r="F388" s="27">
        <v>828759</v>
      </c>
      <c r="G388" s="32">
        <v>973</v>
      </c>
      <c r="H388" s="27">
        <v>934460</v>
      </c>
      <c r="I388" s="27">
        <v>903.77208287895314</v>
      </c>
      <c r="J388" s="27">
        <v>960.39054470709152</v>
      </c>
      <c r="K388" s="29">
        <v>6.2646836410105822E-2</v>
      </c>
    </row>
    <row r="389" spans="1:11" x14ac:dyDescent="0.25">
      <c r="A389" s="5" t="s">
        <v>6</v>
      </c>
      <c r="B389" s="5" t="s">
        <v>2621</v>
      </c>
      <c r="C389" s="1" t="s">
        <v>2622</v>
      </c>
      <c r="D389" s="5" t="s">
        <v>17269</v>
      </c>
      <c r="E389" s="32">
        <v>866</v>
      </c>
      <c r="F389" s="27">
        <v>648688</v>
      </c>
      <c r="G389" s="32">
        <v>935</v>
      </c>
      <c r="H389" s="27">
        <v>744598</v>
      </c>
      <c r="I389" s="27">
        <v>749.06235565819861</v>
      </c>
      <c r="J389" s="27">
        <v>796.36149732620322</v>
      </c>
      <c r="K389" s="29">
        <v>6.3144464957717722E-2</v>
      </c>
    </row>
    <row r="390" spans="1:11" x14ac:dyDescent="0.25">
      <c r="A390" s="5" t="s">
        <v>6</v>
      </c>
      <c r="B390" s="5" t="s">
        <v>2623</v>
      </c>
      <c r="C390" s="1" t="s">
        <v>2624</v>
      </c>
      <c r="D390" s="5" t="s">
        <v>17280</v>
      </c>
      <c r="E390" s="32">
        <v>340</v>
      </c>
      <c r="F390" s="27">
        <v>70805</v>
      </c>
      <c r="G390" s="32">
        <v>165</v>
      </c>
      <c r="H390" s="27">
        <v>34922</v>
      </c>
      <c r="I390" s="27">
        <v>208.25</v>
      </c>
      <c r="J390" s="27">
        <v>211.64848484848486</v>
      </c>
      <c r="K390" s="29">
        <v>1.6319254974717194E-2</v>
      </c>
    </row>
    <row r="391" spans="1:11" x14ac:dyDescent="0.25">
      <c r="A391" s="5" t="s">
        <v>6</v>
      </c>
      <c r="B391" s="5" t="s">
        <v>2626</v>
      </c>
      <c r="C391" s="1" t="s">
        <v>2627</v>
      </c>
      <c r="D391" s="5" t="s">
        <v>17281</v>
      </c>
      <c r="E391" s="32">
        <v>443</v>
      </c>
      <c r="F391" s="27">
        <v>30632</v>
      </c>
      <c r="G391" s="32">
        <v>474</v>
      </c>
      <c r="H391" s="27">
        <v>34908</v>
      </c>
      <c r="I391" s="27">
        <v>69.146726862302486</v>
      </c>
      <c r="J391" s="27">
        <v>73.64556962025317</v>
      </c>
      <c r="K391" s="29">
        <v>6.5062266315361467E-2</v>
      </c>
    </row>
    <row r="392" spans="1:11" x14ac:dyDescent="0.25">
      <c r="A392" s="5" t="s">
        <v>6</v>
      </c>
      <c r="B392" s="5" t="s">
        <v>2631</v>
      </c>
      <c r="C392" s="1" t="s">
        <v>2632</v>
      </c>
      <c r="D392" s="5" t="s">
        <v>17269</v>
      </c>
      <c r="E392" s="32">
        <v>1596</v>
      </c>
      <c r="F392" s="27">
        <v>1317360</v>
      </c>
      <c r="G392" s="32">
        <v>1772</v>
      </c>
      <c r="H392" s="27">
        <v>1560519</v>
      </c>
      <c r="I392" s="27">
        <v>825.41353383458647</v>
      </c>
      <c r="J392" s="27">
        <v>880.65406320541763</v>
      </c>
      <c r="K392" s="29">
        <v>6.6924671218077464E-2</v>
      </c>
    </row>
    <row r="393" spans="1:11" x14ac:dyDescent="0.25">
      <c r="A393" s="5" t="s">
        <v>6</v>
      </c>
      <c r="B393" s="5" t="s">
        <v>2633</v>
      </c>
      <c r="C393" s="1" t="s">
        <v>2634</v>
      </c>
      <c r="D393" s="5" t="s">
        <v>17269</v>
      </c>
      <c r="E393" s="32">
        <v>609</v>
      </c>
      <c r="F393" s="27">
        <v>393242</v>
      </c>
      <c r="G393" s="32">
        <v>950</v>
      </c>
      <c r="H393" s="27">
        <v>655984</v>
      </c>
      <c r="I393" s="27">
        <v>645.71756978653525</v>
      </c>
      <c r="J393" s="27">
        <v>690.50947368421055</v>
      </c>
      <c r="K393" s="29">
        <v>6.936763996135778E-2</v>
      </c>
    </row>
    <row r="394" spans="1:11" x14ac:dyDescent="0.25">
      <c r="A394" s="5" t="s">
        <v>6</v>
      </c>
      <c r="B394" s="5" t="s">
        <v>2635</v>
      </c>
      <c r="C394" s="1" t="s">
        <v>2636</v>
      </c>
      <c r="D394" s="5" t="s">
        <v>17282</v>
      </c>
      <c r="E394" s="32">
        <v>135</v>
      </c>
      <c r="F394" s="27">
        <v>47248</v>
      </c>
      <c r="G394" s="32">
        <v>132</v>
      </c>
      <c r="H394" s="27">
        <v>49344</v>
      </c>
      <c r="I394" s="27">
        <v>349.98518518518517</v>
      </c>
      <c r="J394" s="27">
        <v>373.81818181818181</v>
      </c>
      <c r="K394" s="29">
        <v>6.80971585136841E-2</v>
      </c>
    </row>
    <row r="395" spans="1:11" x14ac:dyDescent="0.25">
      <c r="A395" s="5" t="s">
        <v>6</v>
      </c>
      <c r="B395" s="5" t="s">
        <v>2638</v>
      </c>
      <c r="C395" s="1" t="s">
        <v>2639</v>
      </c>
      <c r="D395" s="5" t="s">
        <v>17283</v>
      </c>
      <c r="E395" s="32">
        <v>10</v>
      </c>
      <c r="F395" s="27">
        <v>2814</v>
      </c>
      <c r="G395" s="32">
        <v>38</v>
      </c>
      <c r="H395" s="27">
        <v>11512</v>
      </c>
      <c r="I395" s="27">
        <v>281.39999999999998</v>
      </c>
      <c r="J395" s="27">
        <v>302.94736842105266</v>
      </c>
      <c r="K395" s="29">
        <v>7.6572027082632138E-2</v>
      </c>
    </row>
    <row r="396" spans="1:11" x14ac:dyDescent="0.25">
      <c r="A396" s="5" t="s">
        <v>6</v>
      </c>
      <c r="B396" s="5" t="s">
        <v>2640</v>
      </c>
      <c r="C396" s="1" t="s">
        <v>2641</v>
      </c>
      <c r="D396" s="5" t="s">
        <v>17283</v>
      </c>
      <c r="E396" s="32">
        <v>28</v>
      </c>
      <c r="F396" s="27">
        <v>7847</v>
      </c>
      <c r="G396" s="32">
        <v>24</v>
      </c>
      <c r="H396" s="27">
        <v>7071</v>
      </c>
      <c r="I396" s="27">
        <v>280.25</v>
      </c>
      <c r="J396" s="27">
        <v>294.625</v>
      </c>
      <c r="K396" s="29">
        <v>5.129348795718109E-2</v>
      </c>
    </row>
    <row r="397" spans="1:11" x14ac:dyDescent="0.25">
      <c r="A397" s="5" t="s">
        <v>6</v>
      </c>
      <c r="B397" s="5" t="s">
        <v>2642</v>
      </c>
      <c r="C397" s="1" t="s">
        <v>2643</v>
      </c>
      <c r="D397" s="5" t="s">
        <v>17283</v>
      </c>
      <c r="E397" s="32">
        <v>23</v>
      </c>
      <c r="F397" s="27">
        <v>6417</v>
      </c>
      <c r="G397" s="32">
        <v>21</v>
      </c>
      <c r="H397" s="27">
        <v>6190</v>
      </c>
      <c r="I397" s="27">
        <v>279</v>
      </c>
      <c r="J397" s="27">
        <v>294.76190476190476</v>
      </c>
      <c r="K397" s="29">
        <v>5.6494282300733903E-2</v>
      </c>
    </row>
    <row r="398" spans="1:11" x14ac:dyDescent="0.25">
      <c r="A398" s="5" t="s">
        <v>6</v>
      </c>
      <c r="B398" s="5" t="s">
        <v>17284</v>
      </c>
      <c r="C398" s="1" t="s">
        <v>17285</v>
      </c>
      <c r="D398" s="5" t="s">
        <v>17286</v>
      </c>
      <c r="E398" s="32">
        <v>5031</v>
      </c>
      <c r="F398" s="27">
        <v>1633671</v>
      </c>
      <c r="I398" s="27">
        <v>324.72093023255815</v>
      </c>
    </row>
    <row r="399" spans="1:11" x14ac:dyDescent="0.25">
      <c r="A399" s="5" t="s">
        <v>6</v>
      </c>
      <c r="B399" s="5" t="s">
        <v>2644</v>
      </c>
      <c r="C399" s="1" t="s">
        <v>2645</v>
      </c>
      <c r="D399" s="5" t="s">
        <v>17287</v>
      </c>
      <c r="E399" s="32">
        <v>1</v>
      </c>
      <c r="F399" s="27">
        <v>409</v>
      </c>
      <c r="I399" s="27">
        <v>409</v>
      </c>
    </row>
    <row r="400" spans="1:11" x14ac:dyDescent="0.25">
      <c r="A400" s="5" t="s">
        <v>6</v>
      </c>
      <c r="B400" s="5" t="s">
        <v>2646</v>
      </c>
      <c r="C400" s="1" t="s">
        <v>2647</v>
      </c>
      <c r="D400" s="5" t="s">
        <v>17288</v>
      </c>
      <c r="E400" s="32">
        <v>2337</v>
      </c>
      <c r="F400" s="27">
        <v>1234098</v>
      </c>
      <c r="G400" s="32">
        <v>2681</v>
      </c>
      <c r="H400" s="27">
        <v>1507119</v>
      </c>
      <c r="I400" s="27">
        <v>528.0693196405648</v>
      </c>
      <c r="J400" s="27">
        <v>562.14807907497197</v>
      </c>
      <c r="K400" s="29">
        <v>6.4534632418340829E-2</v>
      </c>
    </row>
    <row r="401" spans="1:11" x14ac:dyDescent="0.25">
      <c r="A401" s="5" t="s">
        <v>6</v>
      </c>
      <c r="B401" s="5" t="s">
        <v>2648</v>
      </c>
      <c r="C401" s="1" t="s">
        <v>2649</v>
      </c>
      <c r="D401" s="5" t="s">
        <v>17289</v>
      </c>
      <c r="E401" s="32">
        <v>329</v>
      </c>
      <c r="F401" s="27">
        <v>102868</v>
      </c>
      <c r="G401" s="32">
        <v>344</v>
      </c>
      <c r="H401" s="27">
        <v>114323</v>
      </c>
      <c r="I401" s="27">
        <v>312.66869300911856</v>
      </c>
      <c r="J401" s="27">
        <v>332.3343023255814</v>
      </c>
      <c r="K401" s="29">
        <v>6.2895997444455773E-2</v>
      </c>
    </row>
    <row r="402" spans="1:11" x14ac:dyDescent="0.25">
      <c r="A402" s="5" t="s">
        <v>6</v>
      </c>
      <c r="B402" s="5" t="s">
        <v>2654</v>
      </c>
      <c r="C402" s="1" t="s">
        <v>2655</v>
      </c>
      <c r="D402" s="5" t="s">
        <v>17269</v>
      </c>
      <c r="E402" s="32">
        <v>1439</v>
      </c>
      <c r="F402" s="27">
        <v>365443</v>
      </c>
      <c r="G402" s="32">
        <v>1698</v>
      </c>
      <c r="H402" s="27">
        <v>459990</v>
      </c>
      <c r="I402" s="27">
        <v>253.95621959694233</v>
      </c>
      <c r="J402" s="27">
        <v>270.90106007067141</v>
      </c>
      <c r="K402" s="29">
        <v>6.6723471079473781E-2</v>
      </c>
    </row>
    <row r="403" spans="1:11" x14ac:dyDescent="0.25">
      <c r="A403" s="5" t="s">
        <v>6</v>
      </c>
      <c r="B403" s="5" t="s">
        <v>2656</v>
      </c>
      <c r="C403" s="1" t="s">
        <v>2657</v>
      </c>
      <c r="D403" s="5" t="s">
        <v>17290</v>
      </c>
      <c r="E403" s="32">
        <v>24</v>
      </c>
      <c r="F403" s="27">
        <v>1308</v>
      </c>
      <c r="G403" s="32">
        <v>60</v>
      </c>
      <c r="H403" s="27">
        <v>3452</v>
      </c>
      <c r="I403" s="27">
        <v>54.5</v>
      </c>
      <c r="J403" s="27">
        <v>57.533333333333331</v>
      </c>
      <c r="K403" s="29">
        <v>5.5657492354740025E-2</v>
      </c>
    </row>
    <row r="404" spans="1:11" x14ac:dyDescent="0.25">
      <c r="A404" s="5" t="s">
        <v>6</v>
      </c>
      <c r="B404" s="5" t="s">
        <v>2659</v>
      </c>
      <c r="C404" s="1" t="s">
        <v>2660</v>
      </c>
      <c r="D404" s="5" t="s">
        <v>17291</v>
      </c>
      <c r="E404" s="32">
        <v>632</v>
      </c>
      <c r="F404" s="27">
        <v>44230</v>
      </c>
      <c r="G404" s="32">
        <v>552</v>
      </c>
      <c r="H404" s="27">
        <v>41394</v>
      </c>
      <c r="I404" s="27">
        <v>69.984177215189874</v>
      </c>
      <c r="J404" s="27">
        <v>74.989130434782609</v>
      </c>
      <c r="K404" s="29">
        <v>7.1515497055903432E-2</v>
      </c>
    </row>
    <row r="405" spans="1:11" x14ac:dyDescent="0.25">
      <c r="A405" s="5" t="s">
        <v>6</v>
      </c>
      <c r="B405" s="5" t="s">
        <v>2665</v>
      </c>
      <c r="C405" s="1" t="s">
        <v>2666</v>
      </c>
      <c r="D405" s="5" t="s">
        <v>17292</v>
      </c>
      <c r="E405" s="32">
        <v>891</v>
      </c>
      <c r="F405" s="27">
        <v>207293</v>
      </c>
      <c r="G405" s="32">
        <v>697</v>
      </c>
      <c r="H405" s="27">
        <v>173004</v>
      </c>
      <c r="I405" s="27">
        <v>232.65207631874298</v>
      </c>
      <c r="J405" s="27">
        <v>248.21233859397418</v>
      </c>
      <c r="K405" s="29">
        <v>6.6882112214261921E-2</v>
      </c>
    </row>
    <row r="406" spans="1:11" x14ac:dyDescent="0.25">
      <c r="A406" s="5" t="s">
        <v>6</v>
      </c>
      <c r="B406" s="5" t="s">
        <v>2668</v>
      </c>
      <c r="C406" s="1" t="s">
        <v>2669</v>
      </c>
      <c r="D406" s="5" t="s">
        <v>17293</v>
      </c>
      <c r="E406" s="32">
        <v>17</v>
      </c>
      <c r="F406" s="27">
        <v>3240</v>
      </c>
      <c r="G406" s="32">
        <v>16</v>
      </c>
      <c r="H406" s="27">
        <v>3360</v>
      </c>
      <c r="I406" s="27">
        <v>190.58823529411765</v>
      </c>
      <c r="J406" s="27">
        <v>210</v>
      </c>
      <c r="K406" s="29">
        <v>0.10185185185185182</v>
      </c>
    </row>
    <row r="407" spans="1:11" x14ac:dyDescent="0.25">
      <c r="A407" s="5" t="s">
        <v>6</v>
      </c>
      <c r="B407" s="5" t="s">
        <v>2671</v>
      </c>
      <c r="C407" s="1" t="s">
        <v>2672</v>
      </c>
      <c r="D407" s="5" t="s">
        <v>17294</v>
      </c>
      <c r="E407" s="32">
        <v>29</v>
      </c>
      <c r="F407" s="27">
        <v>1627</v>
      </c>
      <c r="G407" s="32">
        <v>36</v>
      </c>
      <c r="H407" s="27">
        <v>2178</v>
      </c>
      <c r="I407" s="27">
        <v>56.103448275862071</v>
      </c>
      <c r="J407" s="27">
        <v>60.5</v>
      </c>
      <c r="K407" s="29">
        <v>7.8365089121081699E-2</v>
      </c>
    </row>
    <row r="408" spans="1:11" x14ac:dyDescent="0.25">
      <c r="A408" s="5" t="s">
        <v>6</v>
      </c>
      <c r="B408" s="5" t="s">
        <v>2678</v>
      </c>
      <c r="C408" s="1" t="s">
        <v>2679</v>
      </c>
      <c r="D408" s="5" t="s">
        <v>17295</v>
      </c>
      <c r="E408" s="32">
        <v>9</v>
      </c>
      <c r="F408" s="27">
        <v>2293</v>
      </c>
      <c r="I408" s="27">
        <v>254.77777777777777</v>
      </c>
    </row>
    <row r="409" spans="1:11" x14ac:dyDescent="0.25">
      <c r="A409" s="5" t="s">
        <v>6</v>
      </c>
      <c r="B409" s="5" t="s">
        <v>2680</v>
      </c>
      <c r="C409" s="1" t="s">
        <v>2681</v>
      </c>
      <c r="D409" s="5" t="s">
        <v>17296</v>
      </c>
      <c r="E409" s="32">
        <v>40</v>
      </c>
      <c r="F409" s="27">
        <v>21148</v>
      </c>
      <c r="G409" s="32">
        <v>25</v>
      </c>
      <c r="H409" s="27">
        <v>14278</v>
      </c>
      <c r="I409" s="27">
        <v>528.70000000000005</v>
      </c>
      <c r="J409" s="27">
        <v>571.12</v>
      </c>
      <c r="K409" s="29">
        <v>8.0234537544921422E-2</v>
      </c>
    </row>
    <row r="410" spans="1:11" x14ac:dyDescent="0.25">
      <c r="A410" s="5" t="s">
        <v>6</v>
      </c>
      <c r="B410" s="5" t="s">
        <v>2686</v>
      </c>
      <c r="C410" s="1" t="s">
        <v>2687</v>
      </c>
      <c r="D410" s="5" t="s">
        <v>17297</v>
      </c>
      <c r="E410" s="32">
        <v>28</v>
      </c>
      <c r="F410" s="27">
        <v>5930</v>
      </c>
      <c r="G410" s="32">
        <v>27</v>
      </c>
      <c r="H410" s="27">
        <v>6108</v>
      </c>
      <c r="I410" s="27">
        <v>211.78571428571428</v>
      </c>
      <c r="J410" s="27">
        <v>226.22222222222223</v>
      </c>
      <c r="K410" s="29">
        <v>6.816563612516402E-2</v>
      </c>
    </row>
    <row r="411" spans="1:11" x14ac:dyDescent="0.25">
      <c r="A411" s="5" t="s">
        <v>6</v>
      </c>
      <c r="B411" s="5" t="s">
        <v>2692</v>
      </c>
      <c r="C411" s="1" t="s">
        <v>2693</v>
      </c>
      <c r="D411" s="5" t="s">
        <v>17298</v>
      </c>
      <c r="E411" s="32">
        <v>5</v>
      </c>
      <c r="F411" s="27">
        <v>1065</v>
      </c>
      <c r="I411" s="27">
        <v>213</v>
      </c>
    </row>
    <row r="412" spans="1:11" x14ac:dyDescent="0.25">
      <c r="A412" s="5" t="s">
        <v>6</v>
      </c>
      <c r="B412" s="5" t="s">
        <v>2694</v>
      </c>
      <c r="C412" s="1" t="s">
        <v>2695</v>
      </c>
      <c r="D412" s="5" t="s">
        <v>17299</v>
      </c>
      <c r="E412" s="32">
        <v>5</v>
      </c>
      <c r="F412" s="27">
        <v>240</v>
      </c>
      <c r="I412" s="27">
        <v>48</v>
      </c>
    </row>
    <row r="413" spans="1:11" x14ac:dyDescent="0.25">
      <c r="A413" s="5" t="s">
        <v>6</v>
      </c>
      <c r="B413" s="5" t="s">
        <v>2697</v>
      </c>
      <c r="C413" s="1" t="s">
        <v>2698</v>
      </c>
      <c r="D413" s="5" t="s">
        <v>17300</v>
      </c>
      <c r="E413" s="32">
        <v>11</v>
      </c>
      <c r="F413" s="27">
        <v>2406</v>
      </c>
      <c r="I413" s="27">
        <v>218.72727272727272</v>
      </c>
    </row>
    <row r="414" spans="1:11" x14ac:dyDescent="0.25">
      <c r="A414" s="5" t="s">
        <v>6</v>
      </c>
      <c r="B414" s="5" t="s">
        <v>2700</v>
      </c>
      <c r="C414" s="1" t="s">
        <v>2701</v>
      </c>
      <c r="D414" s="5" t="s">
        <v>17068</v>
      </c>
      <c r="E414" s="32">
        <v>2851</v>
      </c>
      <c r="F414" s="27">
        <v>1707911</v>
      </c>
      <c r="G414" s="32">
        <v>2943</v>
      </c>
      <c r="H414" s="27">
        <v>1874547</v>
      </c>
      <c r="I414" s="27">
        <v>599.05682216766047</v>
      </c>
      <c r="J414" s="27">
        <v>636.95107033639147</v>
      </c>
      <c r="K414" s="29">
        <v>6.3256517189158021E-2</v>
      </c>
    </row>
    <row r="415" spans="1:11" x14ac:dyDescent="0.25">
      <c r="A415" s="5" t="s">
        <v>6</v>
      </c>
      <c r="B415" s="5" t="s">
        <v>2703</v>
      </c>
      <c r="C415" s="1" t="s">
        <v>2704</v>
      </c>
      <c r="D415" s="5" t="s">
        <v>17301</v>
      </c>
      <c r="E415" s="32">
        <v>113</v>
      </c>
      <c r="F415" s="27">
        <v>147433</v>
      </c>
      <c r="G415" s="32">
        <v>144</v>
      </c>
      <c r="H415" s="27">
        <v>201252</v>
      </c>
      <c r="I415" s="27">
        <v>1304.716814159292</v>
      </c>
      <c r="J415" s="27">
        <v>1397.5833333333333</v>
      </c>
      <c r="K415" s="29">
        <v>7.1177529227965691E-2</v>
      </c>
    </row>
    <row r="416" spans="1:11" x14ac:dyDescent="0.25">
      <c r="A416" s="5" t="s">
        <v>6</v>
      </c>
      <c r="B416" s="5" t="s">
        <v>2706</v>
      </c>
      <c r="C416" s="1" t="s">
        <v>2707</v>
      </c>
      <c r="D416" s="5" t="s">
        <v>17269</v>
      </c>
      <c r="E416" s="32">
        <v>1400</v>
      </c>
      <c r="F416" s="27">
        <v>355400</v>
      </c>
      <c r="G416" s="32">
        <v>1764</v>
      </c>
      <c r="H416" s="27">
        <v>477918</v>
      </c>
      <c r="I416" s="27">
        <v>253.85714285714286</v>
      </c>
      <c r="J416" s="27">
        <v>270.92857142857144</v>
      </c>
      <c r="K416" s="29">
        <v>6.7248171074845292E-2</v>
      </c>
    </row>
    <row r="417" spans="1:11" x14ac:dyDescent="0.25">
      <c r="A417" s="5" t="s">
        <v>6</v>
      </c>
      <c r="B417" s="5" t="s">
        <v>2708</v>
      </c>
      <c r="C417" s="1" t="s">
        <v>2709</v>
      </c>
      <c r="D417" s="5" t="s">
        <v>17302</v>
      </c>
      <c r="E417" s="32">
        <v>57</v>
      </c>
      <c r="F417" s="27">
        <v>14823</v>
      </c>
      <c r="G417" s="32">
        <v>54</v>
      </c>
      <c r="H417" s="27">
        <v>14874</v>
      </c>
      <c r="I417" s="27">
        <v>260.05263157894734</v>
      </c>
      <c r="J417" s="27">
        <v>275.44444444444446</v>
      </c>
      <c r="K417" s="29">
        <v>5.9187299017293103E-2</v>
      </c>
    </row>
    <row r="418" spans="1:11" x14ac:dyDescent="0.25">
      <c r="A418" s="5" t="s">
        <v>6</v>
      </c>
      <c r="B418" s="5" t="s">
        <v>2714</v>
      </c>
      <c r="C418" s="1" t="s">
        <v>2715</v>
      </c>
      <c r="D418" s="5" t="s">
        <v>17303</v>
      </c>
      <c r="E418" s="32">
        <v>22</v>
      </c>
      <c r="F418" s="27">
        <v>4330</v>
      </c>
      <c r="G418" s="32">
        <v>13</v>
      </c>
      <c r="H418" s="27">
        <v>2699</v>
      </c>
      <c r="I418" s="27">
        <v>196.81818181818181</v>
      </c>
      <c r="J418" s="27">
        <v>207.61538461538461</v>
      </c>
      <c r="K418" s="29">
        <v>5.485876709895187E-2</v>
      </c>
    </row>
    <row r="419" spans="1:11" x14ac:dyDescent="0.25">
      <c r="A419" s="5" t="s">
        <v>6</v>
      </c>
      <c r="B419" s="5" t="s">
        <v>2716</v>
      </c>
      <c r="C419" s="1" t="s">
        <v>2717</v>
      </c>
      <c r="D419" s="5" t="s">
        <v>17303</v>
      </c>
      <c r="E419" s="32">
        <v>935</v>
      </c>
      <c r="F419" s="27">
        <v>270704</v>
      </c>
      <c r="G419" s="32">
        <v>905</v>
      </c>
      <c r="H419" s="27">
        <v>280662</v>
      </c>
      <c r="I419" s="27">
        <v>289.5229946524064</v>
      </c>
      <c r="J419" s="27">
        <v>310.12375690607735</v>
      </c>
      <c r="K419" s="29">
        <v>7.1154148838518602E-2</v>
      </c>
    </row>
    <row r="420" spans="1:11" x14ac:dyDescent="0.25">
      <c r="A420" s="5" t="s">
        <v>6</v>
      </c>
      <c r="B420" s="5" t="s">
        <v>2718</v>
      </c>
      <c r="C420" s="1" t="s">
        <v>2719</v>
      </c>
      <c r="D420" s="5" t="s">
        <v>17304</v>
      </c>
      <c r="E420" s="32">
        <v>58</v>
      </c>
      <c r="F420" s="27">
        <v>31748</v>
      </c>
      <c r="G420" s="32">
        <v>81</v>
      </c>
      <c r="H420" s="27">
        <v>47268</v>
      </c>
      <c r="I420" s="27">
        <v>547.37931034482756</v>
      </c>
      <c r="J420" s="27">
        <v>583.55555555555554</v>
      </c>
      <c r="K420" s="29">
        <v>6.6089902426049618E-2</v>
      </c>
    </row>
    <row r="421" spans="1:11" x14ac:dyDescent="0.25">
      <c r="A421" s="5" t="s">
        <v>6</v>
      </c>
      <c r="B421" s="5" t="s">
        <v>2721</v>
      </c>
      <c r="C421" s="1" t="s">
        <v>2722</v>
      </c>
      <c r="D421" s="5" t="s">
        <v>17305</v>
      </c>
      <c r="E421" s="32">
        <v>1888</v>
      </c>
      <c r="F421" s="27">
        <v>1010439</v>
      </c>
      <c r="G421" s="32">
        <v>1850</v>
      </c>
      <c r="H421" s="27">
        <v>1054257</v>
      </c>
      <c r="I421" s="27">
        <v>535.19014830508479</v>
      </c>
      <c r="J421" s="27">
        <v>569.86864864864867</v>
      </c>
      <c r="K421" s="29">
        <v>6.4796596972849035E-2</v>
      </c>
    </row>
    <row r="422" spans="1:11" x14ac:dyDescent="0.25">
      <c r="A422" s="5" t="s">
        <v>6</v>
      </c>
      <c r="B422" s="5" t="s">
        <v>2724</v>
      </c>
      <c r="C422" s="1" t="s">
        <v>2725</v>
      </c>
      <c r="D422" s="5" t="s">
        <v>17306</v>
      </c>
      <c r="E422" s="32">
        <v>177</v>
      </c>
      <c r="F422" s="27">
        <v>182204</v>
      </c>
      <c r="G422" s="32">
        <v>176</v>
      </c>
      <c r="H422" s="27">
        <v>192366</v>
      </c>
      <c r="I422" s="27">
        <v>1029.4011299435028</v>
      </c>
      <c r="J422" s="27">
        <v>1092.9886363636363</v>
      </c>
      <c r="K422" s="29">
        <v>6.1771358676887531E-2</v>
      </c>
    </row>
    <row r="423" spans="1:11" x14ac:dyDescent="0.25">
      <c r="A423" s="5" t="s">
        <v>6</v>
      </c>
      <c r="B423" s="5" t="s">
        <v>2726</v>
      </c>
      <c r="C423" s="1" t="s">
        <v>2727</v>
      </c>
      <c r="D423" s="5" t="s">
        <v>17307</v>
      </c>
      <c r="E423" s="32">
        <v>127</v>
      </c>
      <c r="F423" s="27">
        <v>59971</v>
      </c>
      <c r="G423" s="32">
        <v>111</v>
      </c>
      <c r="H423" s="27">
        <v>55683</v>
      </c>
      <c r="I423" s="27">
        <v>472.21259842519686</v>
      </c>
      <c r="J423" s="27">
        <v>501.64864864864865</v>
      </c>
      <c r="K423" s="29">
        <v>6.2336435583504976E-2</v>
      </c>
    </row>
    <row r="424" spans="1:11" x14ac:dyDescent="0.25">
      <c r="A424" s="5" t="s">
        <v>6</v>
      </c>
      <c r="B424" s="5" t="s">
        <v>2728</v>
      </c>
      <c r="C424" s="1" t="s">
        <v>2729</v>
      </c>
      <c r="D424" s="5" t="s">
        <v>17308</v>
      </c>
      <c r="E424" s="32">
        <v>1686</v>
      </c>
      <c r="F424" s="27">
        <v>1423074</v>
      </c>
      <c r="G424" s="32">
        <v>1462</v>
      </c>
      <c r="H424" s="27">
        <v>1316552</v>
      </c>
      <c r="I424" s="27">
        <v>844.05338078291811</v>
      </c>
      <c r="J424" s="27">
        <v>900.51436388508887</v>
      </c>
      <c r="K424" s="29">
        <v>6.6892668624583054E-2</v>
      </c>
    </row>
    <row r="425" spans="1:11" x14ac:dyDescent="0.25">
      <c r="A425" s="5" t="s">
        <v>6</v>
      </c>
      <c r="B425" s="5" t="s">
        <v>2730</v>
      </c>
      <c r="C425" s="1" t="s">
        <v>2731</v>
      </c>
      <c r="D425" s="5" t="s">
        <v>17309</v>
      </c>
      <c r="E425" s="32">
        <v>1514</v>
      </c>
      <c r="F425" s="27">
        <v>1107773</v>
      </c>
      <c r="G425" s="32">
        <v>1451</v>
      </c>
      <c r="H425" s="27">
        <v>1131182</v>
      </c>
      <c r="I425" s="27">
        <v>731.68626155878462</v>
      </c>
      <c r="J425" s="27">
        <v>779.58787043418329</v>
      </c>
      <c r="K425" s="29">
        <v>6.5467416011541699E-2</v>
      </c>
    </row>
    <row r="426" spans="1:11" x14ac:dyDescent="0.25">
      <c r="A426" s="5" t="s">
        <v>6</v>
      </c>
      <c r="B426" s="5" t="s">
        <v>2732</v>
      </c>
      <c r="C426" s="1" t="s">
        <v>2733</v>
      </c>
      <c r="D426" s="5" t="s">
        <v>17310</v>
      </c>
      <c r="E426" s="32">
        <v>385</v>
      </c>
      <c r="F426" s="27">
        <v>202839</v>
      </c>
      <c r="G426" s="32">
        <v>268</v>
      </c>
      <c r="H426" s="27">
        <v>149532</v>
      </c>
      <c r="I426" s="27">
        <v>526.85454545454547</v>
      </c>
      <c r="J426" s="27">
        <v>557.95522388059703</v>
      </c>
      <c r="K426" s="29">
        <v>5.9030862871685671E-2</v>
      </c>
    </row>
    <row r="427" spans="1:11" x14ac:dyDescent="0.25">
      <c r="A427" s="5" t="s">
        <v>6</v>
      </c>
      <c r="B427" s="5" t="s">
        <v>2738</v>
      </c>
      <c r="C427" s="1" t="s">
        <v>2739</v>
      </c>
      <c r="D427" s="5" t="s">
        <v>17311</v>
      </c>
      <c r="E427" s="32">
        <v>612</v>
      </c>
      <c r="F427" s="27">
        <v>121968</v>
      </c>
      <c r="G427" s="32">
        <v>544</v>
      </c>
      <c r="H427" s="27">
        <v>113152</v>
      </c>
      <c r="I427" s="27">
        <v>199.29411764705881</v>
      </c>
      <c r="J427" s="27">
        <v>208</v>
      </c>
      <c r="K427" s="29">
        <v>4.3683589138134651E-2</v>
      </c>
    </row>
    <row r="428" spans="1:11" x14ac:dyDescent="0.25">
      <c r="A428" s="5" t="s">
        <v>6</v>
      </c>
      <c r="B428" s="5" t="s">
        <v>2741</v>
      </c>
      <c r="C428" s="1" t="s">
        <v>2742</v>
      </c>
      <c r="D428" s="5" t="s">
        <v>17312</v>
      </c>
      <c r="E428" s="32">
        <v>-1</v>
      </c>
      <c r="F428" s="27">
        <v>-294</v>
      </c>
      <c r="I428" s="27">
        <v>294</v>
      </c>
    </row>
    <row r="429" spans="1:11" x14ac:dyDescent="0.25">
      <c r="A429" s="5" t="s">
        <v>6</v>
      </c>
      <c r="B429" s="5" t="s">
        <v>2750</v>
      </c>
      <c r="C429" s="1" t="s">
        <v>2751</v>
      </c>
      <c r="D429" s="5" t="s">
        <v>17313</v>
      </c>
      <c r="E429" s="32">
        <v>3</v>
      </c>
      <c r="F429" s="27">
        <v>1038</v>
      </c>
      <c r="I429" s="27">
        <v>346</v>
      </c>
    </row>
    <row r="430" spans="1:11" x14ac:dyDescent="0.25">
      <c r="A430" s="5" t="s">
        <v>6</v>
      </c>
      <c r="B430" s="5" t="s">
        <v>2752</v>
      </c>
      <c r="C430" s="1" t="s">
        <v>2753</v>
      </c>
      <c r="D430" s="5" t="s">
        <v>17313</v>
      </c>
      <c r="E430" s="32">
        <v>69</v>
      </c>
      <c r="F430" s="27">
        <v>17453</v>
      </c>
      <c r="G430" s="32">
        <v>84</v>
      </c>
      <c r="H430" s="27">
        <v>22617</v>
      </c>
      <c r="I430" s="27">
        <v>252.94202898550725</v>
      </c>
      <c r="J430" s="27">
        <v>269.25</v>
      </c>
      <c r="K430" s="29">
        <v>6.4473156477396418E-2</v>
      </c>
    </row>
    <row r="431" spans="1:11" x14ac:dyDescent="0.25">
      <c r="A431" s="5" t="s">
        <v>6</v>
      </c>
      <c r="B431" s="5" t="s">
        <v>2754</v>
      </c>
      <c r="C431" s="1" t="s">
        <v>2755</v>
      </c>
      <c r="D431" s="5" t="s">
        <v>17314</v>
      </c>
      <c r="E431" s="32">
        <v>109991</v>
      </c>
      <c r="F431" s="27">
        <v>15182524</v>
      </c>
      <c r="G431" s="32">
        <v>112234</v>
      </c>
      <c r="H431" s="27">
        <v>16534933</v>
      </c>
      <c r="I431" s="27">
        <v>138.0342391650226</v>
      </c>
      <c r="J431" s="27">
        <v>147.3255252419053</v>
      </c>
      <c r="K431" s="29">
        <v>6.7311459338539811E-2</v>
      </c>
    </row>
    <row r="432" spans="1:11" x14ac:dyDescent="0.25">
      <c r="A432" s="5" t="s">
        <v>6</v>
      </c>
      <c r="B432" s="5" t="s">
        <v>2757</v>
      </c>
      <c r="C432" s="1" t="s">
        <v>2758</v>
      </c>
      <c r="D432" s="5" t="s">
        <v>17315</v>
      </c>
      <c r="E432" s="32">
        <v>53</v>
      </c>
      <c r="F432" s="27">
        <v>2528</v>
      </c>
      <c r="G432" s="32">
        <v>48</v>
      </c>
      <c r="H432" s="27">
        <v>2460</v>
      </c>
      <c r="I432" s="27">
        <v>47.698113207547166</v>
      </c>
      <c r="J432" s="27">
        <v>51.25</v>
      </c>
      <c r="K432" s="29">
        <v>7.4465981012658305E-2</v>
      </c>
    </row>
    <row r="433" spans="1:11" x14ac:dyDescent="0.25">
      <c r="A433" s="5" t="s">
        <v>6</v>
      </c>
      <c r="B433" s="5" t="s">
        <v>2759</v>
      </c>
      <c r="C433" s="1" t="s">
        <v>2760</v>
      </c>
      <c r="D433" s="5" t="s">
        <v>17316</v>
      </c>
      <c r="E433" s="32">
        <v>3305</v>
      </c>
      <c r="F433" s="27">
        <v>1433585</v>
      </c>
      <c r="G433" s="32">
        <v>3850</v>
      </c>
      <c r="H433" s="27">
        <v>1786610</v>
      </c>
      <c r="I433" s="27">
        <v>433.7624810892587</v>
      </c>
      <c r="J433" s="27">
        <v>464.05454545454546</v>
      </c>
      <c r="K433" s="29">
        <v>6.9835602860850762E-2</v>
      </c>
    </row>
    <row r="434" spans="1:11" x14ac:dyDescent="0.25">
      <c r="A434" s="5" t="s">
        <v>6</v>
      </c>
      <c r="B434" s="5" t="s">
        <v>2762</v>
      </c>
      <c r="C434" s="1" t="s">
        <v>2763</v>
      </c>
      <c r="D434" s="5" t="s">
        <v>17317</v>
      </c>
      <c r="E434" s="32">
        <v>74</v>
      </c>
      <c r="F434" s="27">
        <v>49579</v>
      </c>
      <c r="G434" s="32">
        <v>95</v>
      </c>
      <c r="H434" s="27">
        <v>67095</v>
      </c>
      <c r="I434" s="27">
        <v>669.98648648648646</v>
      </c>
      <c r="J434" s="27">
        <v>706.26315789473688</v>
      </c>
      <c r="K434" s="29">
        <v>5.4145377764991856E-2</v>
      </c>
    </row>
    <row r="435" spans="1:11" x14ac:dyDescent="0.25">
      <c r="A435" s="5" t="s">
        <v>6</v>
      </c>
      <c r="B435" s="5" t="s">
        <v>2764</v>
      </c>
      <c r="C435" s="1" t="s">
        <v>2765</v>
      </c>
      <c r="D435" s="5" t="s">
        <v>17317</v>
      </c>
      <c r="E435" s="32">
        <v>55</v>
      </c>
      <c r="F435" s="27">
        <v>34855</v>
      </c>
      <c r="G435" s="32">
        <v>53</v>
      </c>
      <c r="H435" s="27">
        <v>35915</v>
      </c>
      <c r="I435" s="27">
        <v>633.72727272727275</v>
      </c>
      <c r="J435" s="27">
        <v>677.64150943396226</v>
      </c>
      <c r="K435" s="29">
        <v>6.9295166227741289E-2</v>
      </c>
    </row>
    <row r="436" spans="1:11" x14ac:dyDescent="0.25">
      <c r="A436" s="5" t="s">
        <v>6</v>
      </c>
      <c r="B436" s="5" t="s">
        <v>2766</v>
      </c>
      <c r="C436" s="1" t="s">
        <v>2767</v>
      </c>
      <c r="D436" s="5" t="s">
        <v>17317</v>
      </c>
      <c r="E436" s="32">
        <v>38</v>
      </c>
      <c r="F436" s="27">
        <v>25226</v>
      </c>
      <c r="G436" s="32">
        <v>41</v>
      </c>
      <c r="H436" s="27">
        <v>29295</v>
      </c>
      <c r="I436" s="27">
        <v>663.84210526315792</v>
      </c>
      <c r="J436" s="27">
        <v>714.51219512195121</v>
      </c>
      <c r="K436" s="29">
        <v>7.632852670396198E-2</v>
      </c>
    </row>
    <row r="437" spans="1:11" x14ac:dyDescent="0.25">
      <c r="A437" s="5" t="s">
        <v>6</v>
      </c>
      <c r="B437" s="5" t="s">
        <v>2768</v>
      </c>
      <c r="C437" s="1" t="s">
        <v>2769</v>
      </c>
      <c r="D437" s="5" t="s">
        <v>17318</v>
      </c>
      <c r="E437" s="32">
        <v>4268</v>
      </c>
      <c r="F437" s="27">
        <v>2282468</v>
      </c>
      <c r="G437" s="32">
        <v>4073</v>
      </c>
      <c r="H437" s="27">
        <v>2320269</v>
      </c>
      <c r="I437" s="27">
        <v>534.78631677600754</v>
      </c>
      <c r="J437" s="27">
        <v>569.67075865455433</v>
      </c>
      <c r="K437" s="29">
        <v>6.5230617882764491E-2</v>
      </c>
    </row>
    <row r="438" spans="1:11" x14ac:dyDescent="0.25">
      <c r="A438" s="5" t="s">
        <v>6</v>
      </c>
      <c r="B438" s="5" t="s">
        <v>2771</v>
      </c>
      <c r="C438" s="1" t="s">
        <v>2772</v>
      </c>
      <c r="D438" s="5" t="s">
        <v>17319</v>
      </c>
      <c r="E438" s="32">
        <v>654</v>
      </c>
      <c r="F438" s="27">
        <v>373560</v>
      </c>
      <c r="G438" s="32">
        <v>633</v>
      </c>
      <c r="H438" s="27">
        <v>385597</v>
      </c>
      <c r="I438" s="27">
        <v>571.19266055045875</v>
      </c>
      <c r="J438" s="27">
        <v>609.15797788309635</v>
      </c>
      <c r="K438" s="29">
        <v>6.6466745731729809E-2</v>
      </c>
    </row>
    <row r="439" spans="1:11" x14ac:dyDescent="0.25">
      <c r="A439" s="5" t="s">
        <v>6</v>
      </c>
      <c r="B439" s="5" t="s">
        <v>2777</v>
      </c>
      <c r="C439" s="1" t="s">
        <v>2778</v>
      </c>
      <c r="D439" s="5" t="s">
        <v>17320</v>
      </c>
      <c r="E439" s="32">
        <v>8154</v>
      </c>
      <c r="F439" s="27">
        <v>9135846</v>
      </c>
      <c r="G439" s="32">
        <v>9445</v>
      </c>
      <c r="H439" s="27">
        <v>11292939</v>
      </c>
      <c r="I439" s="27">
        <v>1120.4128035320089</v>
      </c>
      <c r="J439" s="27">
        <v>1195.6526204340921</v>
      </c>
      <c r="K439" s="29">
        <v>6.7153656817287286E-2</v>
      </c>
    </row>
    <row r="440" spans="1:11" x14ac:dyDescent="0.25">
      <c r="A440" s="5" t="s">
        <v>6</v>
      </c>
      <c r="B440" s="5" t="s">
        <v>2780</v>
      </c>
      <c r="C440" s="1" t="s">
        <v>2781</v>
      </c>
      <c r="D440" s="5" t="s">
        <v>17321</v>
      </c>
      <c r="E440" s="32">
        <v>1334</v>
      </c>
      <c r="F440" s="27">
        <v>463884</v>
      </c>
      <c r="G440" s="32">
        <v>1845</v>
      </c>
      <c r="H440" s="27">
        <v>684552</v>
      </c>
      <c r="I440" s="27">
        <v>347.73913043478262</v>
      </c>
      <c r="J440" s="27">
        <v>371.03089430894306</v>
      </c>
      <c r="K440" s="29">
        <v>6.6980566279781203E-2</v>
      </c>
    </row>
    <row r="441" spans="1:11" x14ac:dyDescent="0.25">
      <c r="A441" s="5" t="s">
        <v>6</v>
      </c>
      <c r="B441" s="5" t="s">
        <v>2782</v>
      </c>
      <c r="C441" s="1" t="s">
        <v>2783</v>
      </c>
      <c r="D441" s="5" t="s">
        <v>17322</v>
      </c>
      <c r="E441" s="32">
        <v>386</v>
      </c>
      <c r="F441" s="27">
        <v>122406</v>
      </c>
      <c r="G441" s="32">
        <v>390</v>
      </c>
      <c r="H441" s="27">
        <v>131638</v>
      </c>
      <c r="I441" s="27">
        <v>317.11398963730568</v>
      </c>
      <c r="J441" s="27">
        <v>337.53333333333336</v>
      </c>
      <c r="K441" s="29">
        <v>6.439117908163558E-2</v>
      </c>
    </row>
    <row r="442" spans="1:11" x14ac:dyDescent="0.25">
      <c r="A442" s="5" t="s">
        <v>6</v>
      </c>
      <c r="B442" s="5" t="s">
        <v>2784</v>
      </c>
      <c r="C442" s="1" t="s">
        <v>2785</v>
      </c>
      <c r="D442" s="5" t="s">
        <v>17323</v>
      </c>
      <c r="E442" s="32">
        <v>1071</v>
      </c>
      <c r="F442" s="27">
        <v>467537</v>
      </c>
      <c r="G442" s="32">
        <v>1065</v>
      </c>
      <c r="H442" s="27">
        <v>494600</v>
      </c>
      <c r="I442" s="27">
        <v>436.5424836601307</v>
      </c>
      <c r="J442" s="27">
        <v>464.41314553990611</v>
      </c>
      <c r="K442" s="29">
        <v>6.3844099768017221E-2</v>
      </c>
    </row>
    <row r="443" spans="1:11" x14ac:dyDescent="0.25">
      <c r="A443" s="5" t="s">
        <v>6</v>
      </c>
      <c r="B443" s="5" t="s">
        <v>2787</v>
      </c>
      <c r="C443" s="1" t="s">
        <v>2788</v>
      </c>
      <c r="D443" s="5" t="s">
        <v>17324</v>
      </c>
      <c r="E443" s="32">
        <v>11142</v>
      </c>
      <c r="F443" s="27">
        <v>5053374</v>
      </c>
      <c r="G443" s="32">
        <v>12611</v>
      </c>
      <c r="H443" s="27">
        <v>6103097</v>
      </c>
      <c r="I443" s="27">
        <v>453.54281098546039</v>
      </c>
      <c r="J443" s="27">
        <v>483.95028150027753</v>
      </c>
      <c r="K443" s="29">
        <v>6.7044322560747049E-2</v>
      </c>
    </row>
    <row r="444" spans="1:11" x14ac:dyDescent="0.25">
      <c r="A444" s="5" t="s">
        <v>6</v>
      </c>
      <c r="B444" s="5" t="s">
        <v>2790</v>
      </c>
      <c r="C444" s="1" t="s">
        <v>2791</v>
      </c>
      <c r="D444" s="5" t="s">
        <v>17325</v>
      </c>
      <c r="E444" s="32">
        <v>814</v>
      </c>
      <c r="F444" s="27">
        <v>129905</v>
      </c>
      <c r="G444" s="32">
        <v>880</v>
      </c>
      <c r="H444" s="27">
        <v>150217</v>
      </c>
      <c r="I444" s="27">
        <v>159.5884520884521</v>
      </c>
      <c r="J444" s="27">
        <v>170.70113636363635</v>
      </c>
      <c r="K444" s="29">
        <v>6.9633385935876049E-2</v>
      </c>
    </row>
    <row r="445" spans="1:11" x14ac:dyDescent="0.25">
      <c r="A445" s="5" t="s">
        <v>6</v>
      </c>
      <c r="B445" s="5" t="s">
        <v>2796</v>
      </c>
      <c r="C445" s="1" t="s">
        <v>2797</v>
      </c>
      <c r="D445" s="5" t="s">
        <v>17326</v>
      </c>
      <c r="E445" s="32">
        <v>8098</v>
      </c>
      <c r="F445" s="27">
        <v>4027872</v>
      </c>
      <c r="G445" s="32">
        <v>8674</v>
      </c>
      <c r="H445" s="27">
        <v>4602736</v>
      </c>
      <c r="I445" s="27">
        <v>497.39096073104469</v>
      </c>
      <c r="J445" s="27">
        <v>530.635923449389</v>
      </c>
      <c r="K445" s="29">
        <v>6.6838694996552081E-2</v>
      </c>
    </row>
    <row r="446" spans="1:11" x14ac:dyDescent="0.25">
      <c r="A446" s="5" t="s">
        <v>6</v>
      </c>
      <c r="B446" s="5" t="s">
        <v>2798</v>
      </c>
      <c r="C446" s="1" t="s">
        <v>2799</v>
      </c>
      <c r="D446" s="5" t="s">
        <v>17327</v>
      </c>
      <c r="E446" s="32">
        <v>14</v>
      </c>
      <c r="F446" s="27">
        <v>3336</v>
      </c>
      <c r="G446" s="32">
        <v>8</v>
      </c>
      <c r="H446" s="27">
        <v>2023</v>
      </c>
      <c r="I446" s="27">
        <v>238.28571428571428</v>
      </c>
      <c r="J446" s="27">
        <v>252.875</v>
      </c>
      <c r="K446" s="29">
        <v>6.1226019184652314E-2</v>
      </c>
    </row>
    <row r="447" spans="1:11" x14ac:dyDescent="0.25">
      <c r="A447" s="5" t="s">
        <v>6</v>
      </c>
      <c r="B447" s="5" t="s">
        <v>2800</v>
      </c>
      <c r="C447" s="1" t="s">
        <v>2801</v>
      </c>
      <c r="D447" s="5" t="s">
        <v>17328</v>
      </c>
      <c r="E447" s="32">
        <v>26282</v>
      </c>
      <c r="F447" s="27">
        <v>15003822</v>
      </c>
      <c r="G447" s="32">
        <v>29951</v>
      </c>
      <c r="H447" s="27">
        <v>18244466</v>
      </c>
      <c r="I447" s="27">
        <v>570.87824366486564</v>
      </c>
      <c r="J447" s="27">
        <v>609.14380154251944</v>
      </c>
      <c r="K447" s="29">
        <v>6.7029280415383322E-2</v>
      </c>
    </row>
    <row r="448" spans="1:11" x14ac:dyDescent="0.25">
      <c r="A448" s="5" t="s">
        <v>6</v>
      </c>
      <c r="B448" s="5" t="s">
        <v>2802</v>
      </c>
      <c r="C448" s="1" t="s">
        <v>2803</v>
      </c>
      <c r="D448" s="5" t="s">
        <v>17328</v>
      </c>
      <c r="E448" s="32">
        <v>6</v>
      </c>
      <c r="F448" s="27">
        <v>2790</v>
      </c>
      <c r="I448" s="27">
        <v>465</v>
      </c>
    </row>
    <row r="449" spans="1:11" x14ac:dyDescent="0.25">
      <c r="A449" s="5" t="s">
        <v>6</v>
      </c>
      <c r="B449" s="5" t="s">
        <v>2804</v>
      </c>
      <c r="C449" s="1" t="s">
        <v>2805</v>
      </c>
      <c r="D449" s="5" t="s">
        <v>17328</v>
      </c>
      <c r="E449" s="32">
        <v>1</v>
      </c>
      <c r="F449" s="27">
        <v>504</v>
      </c>
      <c r="I449" s="27">
        <v>504</v>
      </c>
    </row>
    <row r="450" spans="1:11" x14ac:dyDescent="0.25">
      <c r="A450" s="5" t="s">
        <v>6</v>
      </c>
      <c r="B450" s="5" t="s">
        <v>2806</v>
      </c>
      <c r="C450" s="1" t="s">
        <v>2807</v>
      </c>
      <c r="D450" s="5" t="s">
        <v>17329</v>
      </c>
      <c r="E450" s="32">
        <v>89</v>
      </c>
      <c r="F450" s="27">
        <v>63806</v>
      </c>
      <c r="G450" s="32">
        <v>35</v>
      </c>
      <c r="H450" s="27">
        <v>25712</v>
      </c>
      <c r="I450" s="27">
        <v>716.92134831460669</v>
      </c>
      <c r="J450" s="27">
        <v>734.62857142857138</v>
      </c>
      <c r="K450" s="29">
        <v>2.4698975913595232E-2</v>
      </c>
    </row>
    <row r="451" spans="1:11" x14ac:dyDescent="0.25">
      <c r="A451" s="5" t="s">
        <v>6</v>
      </c>
      <c r="B451" s="5" t="s">
        <v>2808</v>
      </c>
      <c r="C451" s="1" t="s">
        <v>2809</v>
      </c>
      <c r="D451" s="5" t="s">
        <v>17269</v>
      </c>
      <c r="E451" s="32">
        <v>1459</v>
      </c>
      <c r="F451" s="27">
        <v>370583</v>
      </c>
      <c r="G451" s="32">
        <v>1711</v>
      </c>
      <c r="H451" s="27">
        <v>463583</v>
      </c>
      <c r="I451" s="27">
        <v>253.99794379712131</v>
      </c>
      <c r="J451" s="27">
        <v>270.94272355347749</v>
      </c>
      <c r="K451" s="29">
        <v>6.6712271379215107E-2</v>
      </c>
    </row>
    <row r="452" spans="1:11" x14ac:dyDescent="0.25">
      <c r="A452" s="5" t="s">
        <v>6</v>
      </c>
      <c r="B452" s="5" t="s">
        <v>2819</v>
      </c>
      <c r="C452" s="1" t="s">
        <v>2820</v>
      </c>
      <c r="D452" s="5" t="s">
        <v>17330</v>
      </c>
      <c r="E452" s="32">
        <v>36</v>
      </c>
      <c r="F452" s="27">
        <v>29390</v>
      </c>
      <c r="G452" s="32">
        <v>29</v>
      </c>
      <c r="H452" s="27">
        <v>24968</v>
      </c>
      <c r="I452" s="27">
        <v>816.38888888888891</v>
      </c>
      <c r="J452" s="27">
        <v>860.9655172413793</v>
      </c>
      <c r="K452" s="29">
        <v>5.4602198730508811E-2</v>
      </c>
    </row>
    <row r="453" spans="1:11" x14ac:dyDescent="0.25">
      <c r="A453" s="5" t="s">
        <v>6</v>
      </c>
      <c r="B453" s="5" t="s">
        <v>2821</v>
      </c>
      <c r="C453" s="1" t="s">
        <v>2822</v>
      </c>
      <c r="D453" s="5" t="s">
        <v>17331</v>
      </c>
      <c r="E453" s="32">
        <v>4</v>
      </c>
      <c r="F453" s="27">
        <v>336</v>
      </c>
      <c r="G453" s="32">
        <v>2</v>
      </c>
      <c r="H453" s="27">
        <v>182</v>
      </c>
      <c r="I453" s="27">
        <v>84</v>
      </c>
      <c r="J453" s="27">
        <v>91</v>
      </c>
      <c r="K453" s="29">
        <v>8.3333333333333329E-2</v>
      </c>
    </row>
    <row r="454" spans="1:11" x14ac:dyDescent="0.25">
      <c r="A454" s="5" t="s">
        <v>6</v>
      </c>
      <c r="B454" s="5" t="s">
        <v>2824</v>
      </c>
      <c r="C454" s="1" t="s">
        <v>2825</v>
      </c>
      <c r="D454" s="5" t="s">
        <v>17332</v>
      </c>
      <c r="E454" s="32">
        <v>18088</v>
      </c>
      <c r="F454" s="27">
        <v>4952802</v>
      </c>
      <c r="G454" s="32">
        <v>22052</v>
      </c>
      <c r="H454" s="27">
        <v>6431716</v>
      </c>
      <c r="I454" s="27">
        <v>273.81700574966828</v>
      </c>
      <c r="J454" s="27">
        <v>291.66134590966806</v>
      </c>
      <c r="K454" s="29">
        <v>6.5168852866332214E-2</v>
      </c>
    </row>
    <row r="455" spans="1:11" x14ac:dyDescent="0.25">
      <c r="A455" s="5" t="s">
        <v>6</v>
      </c>
      <c r="B455" s="5" t="s">
        <v>2826</v>
      </c>
      <c r="C455" s="1" t="s">
        <v>2827</v>
      </c>
      <c r="D455" s="5" t="s">
        <v>17333</v>
      </c>
      <c r="E455" s="32">
        <v>7</v>
      </c>
      <c r="F455" s="27">
        <v>3507</v>
      </c>
      <c r="G455" s="32">
        <v>9</v>
      </c>
      <c r="H455" s="27">
        <v>4869</v>
      </c>
      <c r="I455" s="27">
        <v>501</v>
      </c>
      <c r="J455" s="27">
        <v>541</v>
      </c>
      <c r="K455" s="29">
        <v>7.9840319361277445E-2</v>
      </c>
    </row>
    <row r="456" spans="1:11" x14ac:dyDescent="0.25">
      <c r="A456" s="5" t="s">
        <v>6</v>
      </c>
      <c r="B456" s="5" t="s">
        <v>2829</v>
      </c>
      <c r="C456" s="1" t="s">
        <v>2830</v>
      </c>
      <c r="D456" s="5" t="s">
        <v>17334</v>
      </c>
      <c r="E456" s="32">
        <v>1287</v>
      </c>
      <c r="F456" s="27">
        <v>462251</v>
      </c>
      <c r="G456" s="32">
        <v>986</v>
      </c>
      <c r="H456" s="27">
        <v>375173</v>
      </c>
      <c r="I456" s="27">
        <v>359.16938616938614</v>
      </c>
      <c r="J456" s="27">
        <v>380.5</v>
      </c>
      <c r="K456" s="29">
        <v>5.9388730365104746E-2</v>
      </c>
    </row>
    <row r="457" spans="1:11" x14ac:dyDescent="0.25">
      <c r="A457" s="5" t="s">
        <v>6</v>
      </c>
      <c r="B457" s="5" t="s">
        <v>2831</v>
      </c>
      <c r="C457" s="1" t="s">
        <v>2832</v>
      </c>
      <c r="D457" s="5" t="s">
        <v>17335</v>
      </c>
      <c r="E457" s="32">
        <v>119</v>
      </c>
      <c r="F457" s="27">
        <v>49895</v>
      </c>
      <c r="G457" s="32">
        <v>117</v>
      </c>
      <c r="H457" s="27">
        <v>52683</v>
      </c>
      <c r="I457" s="27">
        <v>419.28571428571428</v>
      </c>
      <c r="J457" s="27">
        <v>450.28205128205127</v>
      </c>
      <c r="K457" s="29">
        <v>7.3926527759577157E-2</v>
      </c>
    </row>
    <row r="458" spans="1:11" x14ac:dyDescent="0.25">
      <c r="A458" s="5" t="s">
        <v>6</v>
      </c>
      <c r="B458" s="5" t="s">
        <v>2833</v>
      </c>
      <c r="C458" s="1" t="s">
        <v>2834</v>
      </c>
      <c r="D458" s="5" t="s">
        <v>17335</v>
      </c>
      <c r="E458" s="32">
        <v>2</v>
      </c>
      <c r="F458" s="27">
        <v>784</v>
      </c>
      <c r="I458" s="27">
        <v>392</v>
      </c>
    </row>
    <row r="459" spans="1:11" x14ac:dyDescent="0.25">
      <c r="A459" s="5" t="s">
        <v>6</v>
      </c>
      <c r="B459" s="5" t="s">
        <v>2838</v>
      </c>
      <c r="C459" s="1" t="s">
        <v>2839</v>
      </c>
      <c r="D459" s="5" t="s">
        <v>17336</v>
      </c>
      <c r="E459" s="32">
        <v>232</v>
      </c>
      <c r="F459" s="27">
        <v>82447</v>
      </c>
      <c r="G459" s="32">
        <v>240</v>
      </c>
      <c r="H459" s="27">
        <v>91222</v>
      </c>
      <c r="I459" s="27">
        <v>355.375</v>
      </c>
      <c r="J459" s="27">
        <v>380.09166666666664</v>
      </c>
      <c r="K459" s="29">
        <v>6.9550943838668E-2</v>
      </c>
    </row>
    <row r="460" spans="1:11" x14ac:dyDescent="0.25">
      <c r="A460" s="5" t="s">
        <v>6</v>
      </c>
      <c r="B460" s="5" t="s">
        <v>2844</v>
      </c>
      <c r="C460" s="1" t="s">
        <v>2845</v>
      </c>
      <c r="D460" s="5" t="s">
        <v>17337</v>
      </c>
      <c r="E460" s="32">
        <v>4</v>
      </c>
      <c r="F460" s="27">
        <v>136</v>
      </c>
      <c r="G460" s="32">
        <v>26</v>
      </c>
      <c r="H460" s="27">
        <v>944</v>
      </c>
      <c r="I460" s="27">
        <v>34</v>
      </c>
      <c r="J460" s="27">
        <v>36.307692307692307</v>
      </c>
      <c r="K460" s="29">
        <v>6.7873303167420782E-2</v>
      </c>
    </row>
    <row r="461" spans="1:11" x14ac:dyDescent="0.25">
      <c r="A461" s="5" t="s">
        <v>6</v>
      </c>
      <c r="B461" s="5" t="s">
        <v>2846</v>
      </c>
      <c r="C461" s="1" t="s">
        <v>2847</v>
      </c>
      <c r="D461" s="5" t="s">
        <v>17338</v>
      </c>
      <c r="E461" s="32">
        <v>534</v>
      </c>
      <c r="F461" s="27">
        <v>233631</v>
      </c>
      <c r="G461" s="32">
        <v>533</v>
      </c>
      <c r="H461" s="27">
        <v>249468</v>
      </c>
      <c r="I461" s="27">
        <v>437.51123595505618</v>
      </c>
      <c r="J461" s="27">
        <v>468.0450281425891</v>
      </c>
      <c r="K461" s="29">
        <v>6.9789732647390898E-2</v>
      </c>
    </row>
    <row r="462" spans="1:11" x14ac:dyDescent="0.25">
      <c r="A462" s="5" t="s">
        <v>6</v>
      </c>
      <c r="B462" s="5" t="s">
        <v>2848</v>
      </c>
      <c r="C462" s="1" t="s">
        <v>2849</v>
      </c>
      <c r="D462" s="5" t="s">
        <v>17338</v>
      </c>
      <c r="E462" s="32">
        <v>57</v>
      </c>
      <c r="F462" s="27">
        <v>11766</v>
      </c>
      <c r="G462" s="32">
        <v>73</v>
      </c>
      <c r="H462" s="27">
        <v>16146</v>
      </c>
      <c r="I462" s="27">
        <v>206.42105263157896</v>
      </c>
      <c r="J462" s="27">
        <v>221.17808219178082</v>
      </c>
      <c r="K462" s="29">
        <v>7.1489944325302215E-2</v>
      </c>
    </row>
    <row r="463" spans="1:11" x14ac:dyDescent="0.25">
      <c r="A463" s="5" t="s">
        <v>6</v>
      </c>
      <c r="B463" s="5" t="s">
        <v>2852</v>
      </c>
      <c r="C463" s="1" t="s">
        <v>2853</v>
      </c>
      <c r="D463" s="5" t="s">
        <v>17339</v>
      </c>
      <c r="E463" s="32">
        <v>70</v>
      </c>
      <c r="F463" s="27">
        <v>26866</v>
      </c>
      <c r="G463" s="32">
        <v>86</v>
      </c>
      <c r="H463" s="27">
        <v>35121</v>
      </c>
      <c r="I463" s="27">
        <v>383.8</v>
      </c>
      <c r="J463" s="27">
        <v>408.38372093023258</v>
      </c>
      <c r="K463" s="29">
        <v>6.4053467770277678E-2</v>
      </c>
    </row>
    <row r="464" spans="1:11" x14ac:dyDescent="0.25">
      <c r="A464" s="5" t="s">
        <v>6</v>
      </c>
      <c r="B464" s="5" t="s">
        <v>2854</v>
      </c>
      <c r="C464" s="1" t="s">
        <v>2855</v>
      </c>
      <c r="D464" s="5" t="s">
        <v>17340</v>
      </c>
      <c r="E464" s="32">
        <v>4</v>
      </c>
      <c r="F464" s="27">
        <v>1176</v>
      </c>
      <c r="I464" s="27">
        <v>294</v>
      </c>
    </row>
    <row r="465" spans="1:11" x14ac:dyDescent="0.25">
      <c r="A465" s="5" t="s">
        <v>6</v>
      </c>
      <c r="B465" s="5" t="s">
        <v>2857</v>
      </c>
      <c r="C465" s="1" t="s">
        <v>2858</v>
      </c>
      <c r="D465" s="5" t="s">
        <v>17341</v>
      </c>
      <c r="E465" s="32">
        <v>11</v>
      </c>
      <c r="F465" s="27">
        <v>1922</v>
      </c>
      <c r="G465" s="32">
        <v>8</v>
      </c>
      <c r="H465" s="27">
        <v>1506</v>
      </c>
      <c r="I465" s="27">
        <v>174.72727272727272</v>
      </c>
      <c r="J465" s="27">
        <v>188.25</v>
      </c>
      <c r="K465" s="29">
        <v>7.7393340270551558E-2</v>
      </c>
    </row>
    <row r="466" spans="1:11" x14ac:dyDescent="0.25">
      <c r="A466" s="5" t="s">
        <v>6</v>
      </c>
      <c r="B466" s="5" t="s">
        <v>2860</v>
      </c>
      <c r="C466" s="1" t="s">
        <v>2861</v>
      </c>
      <c r="D466" s="5" t="s">
        <v>17342</v>
      </c>
      <c r="E466" s="32">
        <v>1763</v>
      </c>
      <c r="F466" s="27">
        <v>373185</v>
      </c>
      <c r="G466" s="32">
        <v>1943</v>
      </c>
      <c r="H466" s="27">
        <v>434757</v>
      </c>
      <c r="I466" s="27">
        <v>211.67612024957458</v>
      </c>
      <c r="J466" s="27">
        <v>223.75553268142048</v>
      </c>
      <c r="K466" s="29">
        <v>5.7065541533942457E-2</v>
      </c>
    </row>
    <row r="467" spans="1:11" x14ac:dyDescent="0.25">
      <c r="A467" s="5" t="s">
        <v>6</v>
      </c>
      <c r="B467" s="5" t="s">
        <v>2862</v>
      </c>
      <c r="C467" s="1" t="s">
        <v>2863</v>
      </c>
      <c r="D467" s="5" t="s">
        <v>17343</v>
      </c>
      <c r="E467" s="32">
        <v>1056</v>
      </c>
      <c r="F467" s="27">
        <v>344336</v>
      </c>
      <c r="G467" s="32">
        <v>1030</v>
      </c>
      <c r="H467" s="27">
        <v>359780</v>
      </c>
      <c r="I467" s="27">
        <v>326.07575757575756</v>
      </c>
      <c r="J467" s="27">
        <v>349.30097087378641</v>
      </c>
      <c r="K467" s="29">
        <v>7.1226433607634587E-2</v>
      </c>
    </row>
    <row r="468" spans="1:11" x14ac:dyDescent="0.25">
      <c r="A468" s="5" t="s">
        <v>6</v>
      </c>
      <c r="B468" s="5" t="s">
        <v>2864</v>
      </c>
      <c r="C468" s="1" t="s">
        <v>2865</v>
      </c>
      <c r="D468" s="5" t="s">
        <v>17343</v>
      </c>
      <c r="E468" s="32">
        <v>3</v>
      </c>
      <c r="F468" s="27">
        <v>602</v>
      </c>
      <c r="I468" s="27">
        <v>200.66666666666666</v>
      </c>
    </row>
    <row r="469" spans="1:11" x14ac:dyDescent="0.25">
      <c r="A469" s="5" t="s">
        <v>6</v>
      </c>
      <c r="B469" s="5" t="s">
        <v>2866</v>
      </c>
      <c r="C469" s="1" t="s">
        <v>2867</v>
      </c>
      <c r="D469" s="5" t="s">
        <v>17269</v>
      </c>
      <c r="E469" s="32">
        <v>1485</v>
      </c>
      <c r="F469" s="27">
        <v>377225</v>
      </c>
      <c r="G469" s="32">
        <v>1765</v>
      </c>
      <c r="H469" s="27">
        <v>478154</v>
      </c>
      <c r="I469" s="27">
        <v>254.02356902356902</v>
      </c>
      <c r="J469" s="27">
        <v>270.90878186968837</v>
      </c>
      <c r="K469" s="29">
        <v>6.6471047985916173E-2</v>
      </c>
    </row>
    <row r="470" spans="1:11" x14ac:dyDescent="0.25">
      <c r="A470" s="5" t="s">
        <v>6</v>
      </c>
      <c r="B470" s="5" t="s">
        <v>2868</v>
      </c>
      <c r="C470" s="1" t="s">
        <v>2869</v>
      </c>
      <c r="D470" s="5" t="s">
        <v>17344</v>
      </c>
      <c r="E470" s="32">
        <v>137</v>
      </c>
      <c r="F470" s="27">
        <v>79136</v>
      </c>
      <c r="G470" s="32">
        <v>86</v>
      </c>
      <c r="H470" s="27">
        <v>52825</v>
      </c>
      <c r="I470" s="27">
        <v>577.63503649635038</v>
      </c>
      <c r="J470" s="27">
        <v>614.24418604651157</v>
      </c>
      <c r="K470" s="29">
        <v>6.3377647194350017E-2</v>
      </c>
    </row>
    <row r="471" spans="1:11" x14ac:dyDescent="0.25">
      <c r="A471" s="5" t="s">
        <v>6</v>
      </c>
      <c r="B471" s="5" t="s">
        <v>2871</v>
      </c>
      <c r="C471" s="1" t="s">
        <v>2872</v>
      </c>
      <c r="D471" s="5" t="s">
        <v>17076</v>
      </c>
      <c r="E471" s="32">
        <v>4729</v>
      </c>
      <c r="F471" s="27">
        <v>2033893</v>
      </c>
      <c r="G471" s="32">
        <v>5166</v>
      </c>
      <c r="H471" s="27">
        <v>2368625</v>
      </c>
      <c r="I471" s="27">
        <v>430.08944808627615</v>
      </c>
      <c r="J471" s="27">
        <v>458.50271002710025</v>
      </c>
      <c r="K471" s="29">
        <v>6.6063610877345649E-2</v>
      </c>
    </row>
    <row r="472" spans="1:11" x14ac:dyDescent="0.25">
      <c r="A472" s="5" t="s">
        <v>6</v>
      </c>
      <c r="B472" s="5" t="s">
        <v>2873</v>
      </c>
      <c r="C472" s="1" t="s">
        <v>2874</v>
      </c>
      <c r="D472" s="5" t="s">
        <v>17345</v>
      </c>
      <c r="E472" s="32">
        <v>25</v>
      </c>
      <c r="F472" s="27">
        <v>3304</v>
      </c>
      <c r="G472" s="32">
        <v>16</v>
      </c>
      <c r="H472" s="27">
        <v>2291</v>
      </c>
      <c r="I472" s="27">
        <v>132.16</v>
      </c>
      <c r="J472" s="27">
        <v>143.1875</v>
      </c>
      <c r="K472" s="29">
        <v>8.3440526634382589E-2</v>
      </c>
    </row>
    <row r="473" spans="1:11" x14ac:dyDescent="0.25">
      <c r="A473" s="5" t="s">
        <v>6</v>
      </c>
      <c r="B473" s="5" t="s">
        <v>2876</v>
      </c>
      <c r="C473" s="1" t="s">
        <v>2877</v>
      </c>
      <c r="D473" s="5" t="s">
        <v>17346</v>
      </c>
      <c r="E473" s="32">
        <v>24</v>
      </c>
      <c r="F473" s="27">
        <v>3167</v>
      </c>
      <c r="G473" s="32">
        <v>13</v>
      </c>
      <c r="H473" s="27">
        <v>1891</v>
      </c>
      <c r="I473" s="27">
        <v>131.95833333333334</v>
      </c>
      <c r="J473" s="27">
        <v>145.46153846153845</v>
      </c>
      <c r="K473" s="29">
        <v>0.10232930946540025</v>
      </c>
    </row>
    <row r="474" spans="1:11" x14ac:dyDescent="0.25">
      <c r="A474" s="5" t="s">
        <v>6</v>
      </c>
      <c r="B474" s="5" t="s">
        <v>2879</v>
      </c>
      <c r="C474" s="1" t="s">
        <v>2880</v>
      </c>
      <c r="D474" s="5" t="s">
        <v>17347</v>
      </c>
      <c r="E474" s="32">
        <v>44</v>
      </c>
      <c r="F474" s="27">
        <v>27898</v>
      </c>
      <c r="G474" s="32">
        <v>89</v>
      </c>
      <c r="H474" s="27">
        <v>60313</v>
      </c>
      <c r="I474" s="27">
        <v>634.0454545454545</v>
      </c>
      <c r="J474" s="27">
        <v>677.67415730337075</v>
      </c>
      <c r="K474" s="29">
        <v>6.8810055249419841E-2</v>
      </c>
    </row>
    <row r="475" spans="1:11" x14ac:dyDescent="0.25">
      <c r="A475" s="5" t="s">
        <v>6</v>
      </c>
      <c r="B475" s="5" t="s">
        <v>2881</v>
      </c>
      <c r="C475" s="1" t="s">
        <v>2882</v>
      </c>
      <c r="D475" s="5" t="s">
        <v>17348</v>
      </c>
      <c r="E475" s="32">
        <v>20</v>
      </c>
      <c r="F475" s="27">
        <v>9084</v>
      </c>
      <c r="G475" s="32">
        <v>14</v>
      </c>
      <c r="H475" s="27">
        <v>6492</v>
      </c>
      <c r="I475" s="27">
        <v>454.2</v>
      </c>
      <c r="J475" s="27">
        <v>463.71428571428572</v>
      </c>
      <c r="K475" s="29">
        <v>2.0947348556331426E-2</v>
      </c>
    </row>
    <row r="476" spans="1:11" x14ac:dyDescent="0.25">
      <c r="A476" s="5" t="s">
        <v>6</v>
      </c>
      <c r="B476" s="5" t="s">
        <v>2883</v>
      </c>
      <c r="C476" s="1" t="s">
        <v>2884</v>
      </c>
      <c r="D476" s="5" t="s">
        <v>17348</v>
      </c>
      <c r="E476" s="32">
        <v>16</v>
      </c>
      <c r="F476" s="27">
        <v>11380</v>
      </c>
      <c r="I476" s="27">
        <v>711.25</v>
      </c>
    </row>
    <row r="477" spans="1:11" x14ac:dyDescent="0.25">
      <c r="A477" s="5" t="s">
        <v>6</v>
      </c>
      <c r="B477" s="5" t="s">
        <v>2885</v>
      </c>
      <c r="C477" s="1" t="s">
        <v>2886</v>
      </c>
      <c r="D477" s="5" t="s">
        <v>17348</v>
      </c>
      <c r="E477" s="32">
        <v>10</v>
      </c>
      <c r="F477" s="27">
        <v>7040</v>
      </c>
      <c r="I477" s="27">
        <v>704</v>
      </c>
    </row>
    <row r="478" spans="1:11" x14ac:dyDescent="0.25">
      <c r="A478" s="5" t="s">
        <v>6</v>
      </c>
      <c r="B478" s="5" t="s">
        <v>2887</v>
      </c>
      <c r="C478" s="1" t="s">
        <v>2888</v>
      </c>
      <c r="D478" s="5" t="s">
        <v>17349</v>
      </c>
      <c r="E478" s="32">
        <v>322</v>
      </c>
      <c r="F478" s="27">
        <v>37564</v>
      </c>
      <c r="G478" s="32">
        <v>274</v>
      </c>
      <c r="H478" s="27">
        <v>33547</v>
      </c>
      <c r="I478" s="27">
        <v>116.65838509316769</v>
      </c>
      <c r="J478" s="27">
        <v>122.43430656934306</v>
      </c>
      <c r="K478" s="29">
        <v>4.95114129306908E-2</v>
      </c>
    </row>
    <row r="479" spans="1:11" x14ac:dyDescent="0.25">
      <c r="A479" s="5" t="s">
        <v>6</v>
      </c>
      <c r="B479" s="5" t="s">
        <v>2890</v>
      </c>
      <c r="C479" s="1" t="s">
        <v>2891</v>
      </c>
      <c r="D479" s="5" t="s">
        <v>17350</v>
      </c>
      <c r="E479" s="32">
        <v>46</v>
      </c>
      <c r="F479" s="27">
        <v>8451</v>
      </c>
      <c r="G479" s="32">
        <v>47</v>
      </c>
      <c r="H479" s="27">
        <v>9147</v>
      </c>
      <c r="I479" s="27">
        <v>183.71739130434781</v>
      </c>
      <c r="J479" s="27">
        <v>194.61702127659575</v>
      </c>
      <c r="K479" s="29">
        <v>5.9328242660443155E-2</v>
      </c>
    </row>
    <row r="480" spans="1:11" x14ac:dyDescent="0.25">
      <c r="A480" s="5" t="s">
        <v>6</v>
      </c>
      <c r="B480" s="5" t="s">
        <v>2893</v>
      </c>
      <c r="C480" s="1" t="s">
        <v>2894</v>
      </c>
      <c r="D480" s="5" t="s">
        <v>17351</v>
      </c>
      <c r="E480" s="32">
        <v>11</v>
      </c>
      <c r="F480" s="27">
        <v>4713</v>
      </c>
      <c r="G480" s="32">
        <v>12</v>
      </c>
      <c r="H480" s="27">
        <v>5641</v>
      </c>
      <c r="I480" s="27">
        <v>428.45454545454544</v>
      </c>
      <c r="J480" s="27">
        <v>470.08333333333331</v>
      </c>
      <c r="K480" s="29">
        <v>9.7160336657472229E-2</v>
      </c>
    </row>
    <row r="481" spans="1:11" x14ac:dyDescent="0.25">
      <c r="A481" s="5" t="s">
        <v>6</v>
      </c>
      <c r="B481" s="5" t="s">
        <v>2896</v>
      </c>
      <c r="C481" s="1" t="s">
        <v>2897</v>
      </c>
      <c r="D481" s="5" t="s">
        <v>17352</v>
      </c>
      <c r="E481" s="32">
        <v>376</v>
      </c>
      <c r="F481" s="27">
        <v>162474</v>
      </c>
      <c r="G481" s="32">
        <v>359</v>
      </c>
      <c r="H481" s="27">
        <v>166211</v>
      </c>
      <c r="I481" s="27">
        <v>432.11170212765956</v>
      </c>
      <c r="J481" s="27">
        <v>462.98328690807801</v>
      </c>
      <c r="K481" s="29">
        <v>7.1443528671894213E-2</v>
      </c>
    </row>
    <row r="482" spans="1:11" x14ac:dyDescent="0.25">
      <c r="A482" s="5" t="s">
        <v>6</v>
      </c>
      <c r="B482" s="5" t="s">
        <v>2899</v>
      </c>
      <c r="C482" s="1" t="s">
        <v>2900</v>
      </c>
      <c r="D482" s="5" t="s">
        <v>17352</v>
      </c>
      <c r="E482" s="32">
        <v>16</v>
      </c>
      <c r="F482" s="27">
        <v>3566</v>
      </c>
      <c r="G482" s="32">
        <v>28</v>
      </c>
      <c r="H482" s="27">
        <v>6488</v>
      </c>
      <c r="I482" s="27">
        <v>222.875</v>
      </c>
      <c r="J482" s="27">
        <v>231.71428571428572</v>
      </c>
      <c r="K482" s="29">
        <v>3.9660283631119335E-2</v>
      </c>
    </row>
    <row r="483" spans="1:11" x14ac:dyDescent="0.25">
      <c r="A483" s="5" t="s">
        <v>6</v>
      </c>
      <c r="B483" s="5" t="s">
        <v>2901</v>
      </c>
      <c r="C483" s="1" t="s">
        <v>2902</v>
      </c>
      <c r="D483" s="5" t="s">
        <v>17353</v>
      </c>
      <c r="E483" s="32">
        <v>818</v>
      </c>
      <c r="F483" s="27">
        <v>61936</v>
      </c>
      <c r="G483" s="32">
        <v>768</v>
      </c>
      <c r="H483" s="27">
        <v>62382</v>
      </c>
      <c r="I483" s="27">
        <v>75.716381418092908</v>
      </c>
      <c r="J483" s="27">
        <v>81.2265625</v>
      </c>
      <c r="K483" s="29">
        <v>7.2773962235210557E-2</v>
      </c>
    </row>
    <row r="484" spans="1:11" x14ac:dyDescent="0.25">
      <c r="A484" s="5" t="s">
        <v>6</v>
      </c>
      <c r="B484" s="5" t="s">
        <v>2906</v>
      </c>
      <c r="C484" s="1" t="s">
        <v>2907</v>
      </c>
      <c r="D484" s="5" t="s">
        <v>17354</v>
      </c>
      <c r="E484" s="32">
        <v>12</v>
      </c>
      <c r="F484" s="27">
        <v>4200</v>
      </c>
      <c r="G484" s="32">
        <v>12</v>
      </c>
      <c r="H484" s="27">
        <v>4516</v>
      </c>
      <c r="I484" s="27">
        <v>350</v>
      </c>
      <c r="J484" s="27">
        <v>376.33333333333331</v>
      </c>
      <c r="K484" s="29">
        <v>7.5238095238095187E-2</v>
      </c>
    </row>
    <row r="485" spans="1:11" x14ac:dyDescent="0.25">
      <c r="A485" s="5" t="s">
        <v>6</v>
      </c>
      <c r="B485" s="5" t="s">
        <v>2908</v>
      </c>
      <c r="C485" s="1" t="s">
        <v>2909</v>
      </c>
      <c r="D485" s="5" t="s">
        <v>17354</v>
      </c>
      <c r="E485" s="32">
        <v>2</v>
      </c>
      <c r="F485" s="27">
        <v>684</v>
      </c>
      <c r="I485" s="27">
        <v>342</v>
      </c>
    </row>
    <row r="486" spans="1:11" x14ac:dyDescent="0.25">
      <c r="A486" s="5" t="s">
        <v>6</v>
      </c>
      <c r="B486" s="5" t="s">
        <v>2910</v>
      </c>
      <c r="C486" s="1" t="s">
        <v>2911</v>
      </c>
      <c r="D486" s="5" t="s">
        <v>17355</v>
      </c>
      <c r="E486" s="32">
        <v>129</v>
      </c>
      <c r="F486" s="27">
        <v>80591</v>
      </c>
      <c r="G486" s="32">
        <v>138</v>
      </c>
      <c r="H486" s="27">
        <v>91602</v>
      </c>
      <c r="I486" s="27">
        <v>624.73643410852708</v>
      </c>
      <c r="J486" s="27">
        <v>663.78260869565213</v>
      </c>
      <c r="K486" s="29">
        <v>6.250023602808169E-2</v>
      </c>
    </row>
    <row r="487" spans="1:11" x14ac:dyDescent="0.25">
      <c r="A487" s="5" t="s">
        <v>6</v>
      </c>
      <c r="B487" s="5" t="s">
        <v>2913</v>
      </c>
      <c r="C487" s="1" t="s">
        <v>2914</v>
      </c>
      <c r="D487" s="5" t="s">
        <v>17356</v>
      </c>
      <c r="E487" s="32">
        <v>329</v>
      </c>
      <c r="F487" s="27">
        <v>127170</v>
      </c>
      <c r="G487" s="32">
        <v>307</v>
      </c>
      <c r="H487" s="27">
        <v>126761</v>
      </c>
      <c r="I487" s="27">
        <v>386.53495440729483</v>
      </c>
      <c r="J487" s="27">
        <v>412.90228013029315</v>
      </c>
      <c r="K487" s="29">
        <v>6.821459591779859E-2</v>
      </c>
    </row>
    <row r="488" spans="1:11" x14ac:dyDescent="0.25">
      <c r="A488" s="5" t="s">
        <v>6</v>
      </c>
      <c r="B488" s="5" t="s">
        <v>2916</v>
      </c>
      <c r="C488" s="1" t="s">
        <v>2917</v>
      </c>
      <c r="D488" s="5" t="s">
        <v>17357</v>
      </c>
      <c r="E488" s="32">
        <v>164</v>
      </c>
      <c r="F488" s="27">
        <v>62999</v>
      </c>
      <c r="G488" s="32">
        <v>162</v>
      </c>
      <c r="H488" s="27">
        <v>66714</v>
      </c>
      <c r="I488" s="27">
        <v>384.14024390243901</v>
      </c>
      <c r="J488" s="27">
        <v>411.81481481481484</v>
      </c>
      <c r="K488" s="29">
        <v>7.2042883690687717E-2</v>
      </c>
    </row>
    <row r="489" spans="1:11" x14ac:dyDescent="0.25">
      <c r="A489" s="5" t="s">
        <v>6</v>
      </c>
      <c r="B489" s="5" t="s">
        <v>2930</v>
      </c>
      <c r="C489" s="1" t="s">
        <v>2931</v>
      </c>
      <c r="D489" s="5" t="s">
        <v>17358</v>
      </c>
      <c r="E489" s="32">
        <v>7626</v>
      </c>
      <c r="F489" s="27">
        <v>1812135</v>
      </c>
      <c r="G489" s="32">
        <v>7989</v>
      </c>
      <c r="H489" s="27">
        <v>2030400</v>
      </c>
      <c r="I489" s="27">
        <v>237.62588512981904</v>
      </c>
      <c r="J489" s="27">
        <v>254.14945550131432</v>
      </c>
      <c r="K489" s="29">
        <v>6.9536070796614502E-2</v>
      </c>
    </row>
    <row r="490" spans="1:11" x14ac:dyDescent="0.25">
      <c r="A490" s="5" t="s">
        <v>6</v>
      </c>
      <c r="B490" s="5" t="s">
        <v>2933</v>
      </c>
      <c r="C490" s="1" t="s">
        <v>2934</v>
      </c>
      <c r="D490" s="5" t="s">
        <v>17359</v>
      </c>
      <c r="E490" s="32">
        <v>3</v>
      </c>
      <c r="F490" s="27">
        <v>204</v>
      </c>
      <c r="I490" s="27">
        <v>68</v>
      </c>
    </row>
    <row r="491" spans="1:11" x14ac:dyDescent="0.25">
      <c r="A491" s="5" t="s">
        <v>6</v>
      </c>
      <c r="B491" s="5" t="s">
        <v>2935</v>
      </c>
      <c r="C491" s="1" t="s">
        <v>2936</v>
      </c>
      <c r="D491" s="5" t="s">
        <v>17360</v>
      </c>
      <c r="E491" s="32">
        <v>0</v>
      </c>
      <c r="F491" s="27">
        <v>0</v>
      </c>
      <c r="G491" s="32">
        <v>12</v>
      </c>
      <c r="H491" s="27">
        <v>3108</v>
      </c>
      <c r="J491" s="27">
        <v>259</v>
      </c>
    </row>
    <row r="492" spans="1:11" x14ac:dyDescent="0.25">
      <c r="A492" s="5" t="s">
        <v>6</v>
      </c>
      <c r="B492" s="5" t="s">
        <v>2938</v>
      </c>
      <c r="C492" s="1" t="s">
        <v>2939</v>
      </c>
      <c r="D492" s="5" t="s">
        <v>17361</v>
      </c>
      <c r="E492" s="32">
        <v>5</v>
      </c>
      <c r="F492" s="27">
        <v>1025</v>
      </c>
      <c r="G492" s="32">
        <v>11</v>
      </c>
      <c r="H492" s="27">
        <v>2351</v>
      </c>
      <c r="I492" s="27">
        <v>205</v>
      </c>
      <c r="J492" s="27">
        <v>213.72727272727272</v>
      </c>
      <c r="K492" s="29">
        <v>4.2572062084257171E-2</v>
      </c>
    </row>
    <row r="493" spans="1:11" x14ac:dyDescent="0.25">
      <c r="A493" s="5" t="s">
        <v>6</v>
      </c>
      <c r="B493" s="5" t="s">
        <v>2940</v>
      </c>
      <c r="C493" s="1" t="s">
        <v>2941</v>
      </c>
      <c r="D493" s="5" t="s">
        <v>17362</v>
      </c>
      <c r="E493" s="32">
        <v>409</v>
      </c>
      <c r="F493" s="27">
        <v>129630</v>
      </c>
      <c r="G493" s="32">
        <v>617</v>
      </c>
      <c r="H493" s="27">
        <v>207658</v>
      </c>
      <c r="I493" s="27">
        <v>316.94376528117357</v>
      </c>
      <c r="J493" s="27">
        <v>336.56077795786064</v>
      </c>
      <c r="K493" s="29">
        <v>6.1894300584471276E-2</v>
      </c>
    </row>
    <row r="494" spans="1:11" x14ac:dyDescent="0.25">
      <c r="A494" s="5" t="s">
        <v>6</v>
      </c>
      <c r="B494" s="5" t="s">
        <v>2942</v>
      </c>
      <c r="C494" s="1" t="s">
        <v>2943</v>
      </c>
      <c r="D494" s="5" t="s">
        <v>17363</v>
      </c>
      <c r="E494" s="32">
        <v>419</v>
      </c>
      <c r="F494" s="27">
        <v>28032</v>
      </c>
      <c r="G494" s="32">
        <v>682</v>
      </c>
      <c r="H494" s="27">
        <v>48696</v>
      </c>
      <c r="I494" s="27">
        <v>66.902147971360378</v>
      </c>
      <c r="J494" s="27">
        <v>71.401759530791793</v>
      </c>
      <c r="K494" s="29">
        <v>6.7256608283453298E-2</v>
      </c>
    </row>
    <row r="495" spans="1:11" x14ac:dyDescent="0.25">
      <c r="A495" s="5" t="s">
        <v>6</v>
      </c>
      <c r="B495" s="5" t="s">
        <v>2945</v>
      </c>
      <c r="C495" s="1" t="s">
        <v>2946</v>
      </c>
      <c r="D495" s="5" t="s">
        <v>17064</v>
      </c>
      <c r="E495" s="32">
        <v>53895</v>
      </c>
      <c r="F495" s="27">
        <v>50328645</v>
      </c>
      <c r="G495" s="32">
        <v>56230</v>
      </c>
      <c r="H495" s="27">
        <v>56020476</v>
      </c>
      <c r="I495" s="27">
        <v>933.82772056777071</v>
      </c>
      <c r="J495" s="27">
        <v>996.27380401920686</v>
      </c>
      <c r="K495" s="29">
        <v>6.6871096323279741E-2</v>
      </c>
    </row>
    <row r="496" spans="1:11" x14ac:dyDescent="0.25">
      <c r="A496" s="5" t="s">
        <v>6</v>
      </c>
      <c r="B496" s="5" t="s">
        <v>2951</v>
      </c>
      <c r="C496" s="1" t="s">
        <v>2952</v>
      </c>
      <c r="D496" s="5" t="s">
        <v>17364</v>
      </c>
      <c r="E496" s="32">
        <v>529</v>
      </c>
      <c r="F496" s="27">
        <v>103671</v>
      </c>
      <c r="G496" s="32">
        <v>424</v>
      </c>
      <c r="H496" s="27">
        <v>88712</v>
      </c>
      <c r="I496" s="27">
        <v>195.97542533081287</v>
      </c>
      <c r="J496" s="27">
        <v>209.22641509433961</v>
      </c>
      <c r="K496" s="29">
        <v>6.7615568335461687E-2</v>
      </c>
    </row>
    <row r="497" spans="1:11" x14ac:dyDescent="0.25">
      <c r="A497" s="5" t="s">
        <v>6</v>
      </c>
      <c r="B497" s="5" t="s">
        <v>2957</v>
      </c>
      <c r="C497" s="1" t="s">
        <v>2958</v>
      </c>
      <c r="D497" s="5" t="s">
        <v>17365</v>
      </c>
      <c r="E497" s="32">
        <v>1086</v>
      </c>
      <c r="F497" s="27">
        <v>341884</v>
      </c>
      <c r="G497" s="32">
        <v>1414</v>
      </c>
      <c r="H497" s="27">
        <v>475012</v>
      </c>
      <c r="I497" s="27">
        <v>314.81031307550643</v>
      </c>
      <c r="J497" s="27">
        <v>335.93493635077795</v>
      </c>
      <c r="K497" s="29">
        <v>6.7102704066130239E-2</v>
      </c>
    </row>
    <row r="498" spans="1:11" x14ac:dyDescent="0.25">
      <c r="A498" s="5" t="s">
        <v>6</v>
      </c>
      <c r="B498" s="5" t="s">
        <v>2960</v>
      </c>
      <c r="C498" s="1" t="s">
        <v>2961</v>
      </c>
      <c r="D498" s="5" t="s">
        <v>17366</v>
      </c>
      <c r="E498" s="32">
        <v>1775</v>
      </c>
      <c r="F498" s="27">
        <v>1109750</v>
      </c>
      <c r="G498" s="32">
        <v>1885</v>
      </c>
      <c r="H498" s="27">
        <v>1263379</v>
      </c>
      <c r="I498" s="27">
        <v>625.21126760563379</v>
      </c>
      <c r="J498" s="27">
        <v>670.2275862068966</v>
      </c>
      <c r="K498" s="29">
        <v>7.2001771135157905E-2</v>
      </c>
    </row>
    <row r="499" spans="1:11" x14ac:dyDescent="0.25">
      <c r="A499" s="5" t="s">
        <v>6</v>
      </c>
      <c r="B499" s="5" t="s">
        <v>2966</v>
      </c>
      <c r="C499" s="1" t="s">
        <v>2967</v>
      </c>
      <c r="D499" s="5" t="s">
        <v>17367</v>
      </c>
      <c r="E499" s="32">
        <v>1153</v>
      </c>
      <c r="F499" s="27">
        <v>614708</v>
      </c>
      <c r="G499" s="32">
        <v>948</v>
      </c>
      <c r="H499" s="27">
        <v>542106</v>
      </c>
      <c r="I499" s="27">
        <v>533.13790112749348</v>
      </c>
      <c r="J499" s="27">
        <v>571.84177215189868</v>
      </c>
      <c r="K499" s="29">
        <v>7.2596360045971753E-2</v>
      </c>
    </row>
    <row r="500" spans="1:11" x14ac:dyDescent="0.25">
      <c r="A500" s="5" t="s">
        <v>6</v>
      </c>
      <c r="B500" s="5" t="s">
        <v>2972</v>
      </c>
      <c r="C500" s="1" t="s">
        <v>2973</v>
      </c>
      <c r="D500" s="5" t="s">
        <v>17368</v>
      </c>
      <c r="E500" s="32">
        <v>10</v>
      </c>
      <c r="F500" s="27">
        <v>2867</v>
      </c>
      <c r="G500" s="32">
        <v>11</v>
      </c>
      <c r="H500" s="27">
        <v>3271</v>
      </c>
      <c r="I500" s="27">
        <v>286.7</v>
      </c>
      <c r="J500" s="27">
        <v>297.36363636363637</v>
      </c>
      <c r="K500" s="29">
        <v>3.7194406570060644E-2</v>
      </c>
    </row>
    <row r="501" spans="1:11" x14ac:dyDescent="0.25">
      <c r="A501" s="5" t="s">
        <v>6</v>
      </c>
      <c r="B501" s="5" t="s">
        <v>2977</v>
      </c>
      <c r="C501" s="1" t="s">
        <v>2978</v>
      </c>
      <c r="D501" s="5" t="s">
        <v>17368</v>
      </c>
      <c r="E501" s="32">
        <v>28</v>
      </c>
      <c r="F501" s="27">
        <v>7080</v>
      </c>
      <c r="G501" s="32">
        <v>18</v>
      </c>
      <c r="H501" s="27">
        <v>4830</v>
      </c>
      <c r="I501" s="27">
        <v>252.85714285714286</v>
      </c>
      <c r="J501" s="27">
        <v>268.33333333333331</v>
      </c>
      <c r="K501" s="29">
        <v>6.120527306967976E-2</v>
      </c>
    </row>
    <row r="502" spans="1:11" x14ac:dyDescent="0.25">
      <c r="A502" s="5" t="s">
        <v>6</v>
      </c>
      <c r="B502" s="5" t="s">
        <v>2979</v>
      </c>
      <c r="C502" s="1" t="s">
        <v>2980</v>
      </c>
      <c r="D502" s="5" t="s">
        <v>17369</v>
      </c>
      <c r="E502" s="32">
        <v>35</v>
      </c>
      <c r="F502" s="27">
        <v>10059</v>
      </c>
      <c r="G502" s="32">
        <v>43</v>
      </c>
      <c r="H502" s="27">
        <v>13246</v>
      </c>
      <c r="I502" s="27">
        <v>287.39999999999998</v>
      </c>
      <c r="J502" s="27">
        <v>308.04651162790697</v>
      </c>
      <c r="K502" s="29">
        <v>7.1838940946092528E-2</v>
      </c>
    </row>
    <row r="503" spans="1:11" x14ac:dyDescent="0.25">
      <c r="A503" s="5" t="s">
        <v>6</v>
      </c>
      <c r="B503" s="5" t="s">
        <v>2981</v>
      </c>
      <c r="C503" s="1" t="s">
        <v>2982</v>
      </c>
      <c r="D503" s="5" t="s">
        <v>17074</v>
      </c>
      <c r="E503" s="32">
        <v>13908</v>
      </c>
      <c r="F503" s="27">
        <v>8705272</v>
      </c>
      <c r="G503" s="32">
        <v>14752</v>
      </c>
      <c r="H503" s="27">
        <v>9870469</v>
      </c>
      <c r="I503" s="27">
        <v>625.91832039114183</v>
      </c>
      <c r="J503" s="27">
        <v>669.09361442516274</v>
      </c>
      <c r="K503" s="29">
        <v>6.8979118564608061E-2</v>
      </c>
    </row>
    <row r="504" spans="1:11" x14ac:dyDescent="0.25">
      <c r="A504" s="5" t="s">
        <v>6</v>
      </c>
      <c r="B504" s="5" t="s">
        <v>2984</v>
      </c>
      <c r="C504" s="1" t="s">
        <v>2985</v>
      </c>
      <c r="D504" s="5" t="s">
        <v>17370</v>
      </c>
      <c r="E504" s="32">
        <v>1471</v>
      </c>
      <c r="F504" s="27">
        <v>394370</v>
      </c>
      <c r="G504" s="32">
        <v>1739</v>
      </c>
      <c r="H504" s="27">
        <v>498858</v>
      </c>
      <c r="I504" s="27">
        <v>268.09653297076818</v>
      </c>
      <c r="J504" s="27">
        <v>286.86486486486484</v>
      </c>
      <c r="K504" s="29">
        <v>7.0005873205913713E-2</v>
      </c>
    </row>
    <row r="505" spans="1:11" x14ac:dyDescent="0.25">
      <c r="A505" s="5" t="s">
        <v>6</v>
      </c>
      <c r="B505" s="5" t="s">
        <v>2987</v>
      </c>
      <c r="C505" s="1" t="s">
        <v>2988</v>
      </c>
      <c r="D505" s="5" t="s">
        <v>17072</v>
      </c>
      <c r="E505" s="32">
        <v>13299</v>
      </c>
      <c r="F505" s="27">
        <v>9324354</v>
      </c>
      <c r="G505" s="32">
        <v>14881</v>
      </c>
      <c r="H505" s="27">
        <v>11146853</v>
      </c>
      <c r="I505" s="27">
        <v>701.13196480938416</v>
      </c>
      <c r="J505" s="27">
        <v>749.06612458840129</v>
      </c>
      <c r="K505" s="29">
        <v>6.8366815642257786E-2</v>
      </c>
    </row>
    <row r="506" spans="1:11" x14ac:dyDescent="0.25">
      <c r="A506" s="5" t="s">
        <v>6</v>
      </c>
      <c r="B506" s="5" t="s">
        <v>2991</v>
      </c>
      <c r="C506" s="1" t="s">
        <v>2992</v>
      </c>
      <c r="D506" s="5" t="s">
        <v>17371</v>
      </c>
      <c r="E506" s="32">
        <v>17</v>
      </c>
      <c r="F506" s="27">
        <v>6246</v>
      </c>
      <c r="I506" s="27">
        <v>367.41176470588238</v>
      </c>
    </row>
    <row r="507" spans="1:11" x14ac:dyDescent="0.25">
      <c r="A507" s="5" t="s">
        <v>6</v>
      </c>
      <c r="B507" s="5" t="s">
        <v>2994</v>
      </c>
      <c r="C507" s="1" t="s">
        <v>2995</v>
      </c>
      <c r="D507" s="5" t="s">
        <v>17372</v>
      </c>
      <c r="E507" s="32">
        <v>144</v>
      </c>
      <c r="F507" s="27">
        <v>43704</v>
      </c>
      <c r="G507" s="32">
        <v>151</v>
      </c>
      <c r="H507" s="27">
        <v>48758</v>
      </c>
      <c r="I507" s="27">
        <v>303.5</v>
      </c>
      <c r="J507" s="27">
        <v>322.9006622516556</v>
      </c>
      <c r="K507" s="29">
        <v>6.3923104618305124E-2</v>
      </c>
    </row>
    <row r="508" spans="1:11" x14ac:dyDescent="0.25">
      <c r="A508" s="5" t="s">
        <v>6</v>
      </c>
      <c r="B508" s="5" t="s">
        <v>3000</v>
      </c>
      <c r="C508" s="1" t="s">
        <v>3001</v>
      </c>
      <c r="D508" s="5" t="s">
        <v>17373</v>
      </c>
      <c r="E508" s="32">
        <v>3422</v>
      </c>
      <c r="F508" s="27">
        <v>2805534</v>
      </c>
      <c r="G508" s="32">
        <v>3570</v>
      </c>
      <c r="H508" s="27">
        <v>3125466</v>
      </c>
      <c r="I508" s="27">
        <v>819.85213325540622</v>
      </c>
      <c r="J508" s="27">
        <v>875.4806722689076</v>
      </c>
      <c r="K508" s="29">
        <v>6.7851917140979837E-2</v>
      </c>
    </row>
    <row r="509" spans="1:11" x14ac:dyDescent="0.25">
      <c r="A509" s="5" t="s">
        <v>6</v>
      </c>
      <c r="B509" s="5" t="s">
        <v>3003</v>
      </c>
      <c r="C509" s="1" t="s">
        <v>3004</v>
      </c>
      <c r="D509" s="5" t="s">
        <v>17374</v>
      </c>
      <c r="E509" s="32">
        <v>2190</v>
      </c>
      <c r="F509" s="27">
        <v>895881</v>
      </c>
      <c r="G509" s="32">
        <v>1909</v>
      </c>
      <c r="H509" s="27">
        <v>829756</v>
      </c>
      <c r="I509" s="27">
        <v>409.07808219178082</v>
      </c>
      <c r="J509" s="27">
        <v>434.65479308538499</v>
      </c>
      <c r="K509" s="29">
        <v>6.2522809231352311E-2</v>
      </c>
    </row>
    <row r="510" spans="1:11" x14ac:dyDescent="0.25">
      <c r="A510" s="5" t="s">
        <v>6</v>
      </c>
      <c r="B510" s="5" t="s">
        <v>3008</v>
      </c>
      <c r="C510" s="1" t="s">
        <v>3009</v>
      </c>
      <c r="D510" s="5" t="s">
        <v>17375</v>
      </c>
      <c r="E510" s="32">
        <v>119</v>
      </c>
      <c r="F510" s="27">
        <v>139849</v>
      </c>
      <c r="G510" s="32">
        <v>99</v>
      </c>
      <c r="H510" s="27">
        <v>124084</v>
      </c>
      <c r="I510" s="27">
        <v>1175.2016806722688</v>
      </c>
      <c r="J510" s="27">
        <v>1253.3737373737374</v>
      </c>
      <c r="K510" s="29">
        <v>6.6517992602555351E-2</v>
      </c>
    </row>
    <row r="511" spans="1:11" x14ac:dyDescent="0.25">
      <c r="A511" s="5" t="s">
        <v>6</v>
      </c>
      <c r="B511" s="5" t="s">
        <v>3017</v>
      </c>
      <c r="C511" s="1" t="s">
        <v>3018</v>
      </c>
      <c r="D511" s="5" t="s">
        <v>17376</v>
      </c>
      <c r="E511" s="32">
        <v>10</v>
      </c>
      <c r="F511" s="27">
        <v>1768</v>
      </c>
      <c r="G511" s="32">
        <v>12</v>
      </c>
      <c r="H511" s="27">
        <v>2326</v>
      </c>
      <c r="I511" s="27">
        <v>176.8</v>
      </c>
      <c r="J511" s="27">
        <v>193.83333333333334</v>
      </c>
      <c r="K511" s="29">
        <v>9.6342383107088966E-2</v>
      </c>
    </row>
    <row r="512" spans="1:11" x14ac:dyDescent="0.25">
      <c r="A512" s="5" t="s">
        <v>6</v>
      </c>
      <c r="B512" s="5" t="s">
        <v>3020</v>
      </c>
      <c r="C512" s="1" t="s">
        <v>3021</v>
      </c>
      <c r="D512" s="5" t="s">
        <v>17377</v>
      </c>
      <c r="E512" s="32">
        <v>1</v>
      </c>
      <c r="F512" s="27">
        <v>286</v>
      </c>
      <c r="I512" s="27">
        <v>286</v>
      </c>
    </row>
    <row r="513" spans="1:11" x14ac:dyDescent="0.25">
      <c r="A513" s="5" t="s">
        <v>6</v>
      </c>
      <c r="B513" s="5" t="s">
        <v>3023</v>
      </c>
      <c r="C513" s="1" t="s">
        <v>3024</v>
      </c>
      <c r="D513" s="5" t="s">
        <v>17376</v>
      </c>
      <c r="E513" s="32">
        <v>122</v>
      </c>
      <c r="F513" s="27">
        <v>17440</v>
      </c>
      <c r="G513" s="32">
        <v>62</v>
      </c>
      <c r="H513" s="27">
        <v>9544</v>
      </c>
      <c r="I513" s="27">
        <v>142.95081967213116</v>
      </c>
      <c r="J513" s="27">
        <v>153.93548387096774</v>
      </c>
      <c r="K513" s="29">
        <v>7.68422610239715E-2</v>
      </c>
    </row>
    <row r="514" spans="1:11" x14ac:dyDescent="0.25">
      <c r="A514" s="5" t="s">
        <v>6</v>
      </c>
      <c r="B514" s="5" t="s">
        <v>3032</v>
      </c>
      <c r="C514" s="1" t="s">
        <v>3033</v>
      </c>
      <c r="D514" s="5" t="s">
        <v>17378</v>
      </c>
      <c r="E514" s="32">
        <v>6</v>
      </c>
      <c r="F514" s="27">
        <v>1056</v>
      </c>
      <c r="I514" s="27">
        <v>176</v>
      </c>
    </row>
    <row r="515" spans="1:11" x14ac:dyDescent="0.25">
      <c r="A515" s="5" t="s">
        <v>6</v>
      </c>
      <c r="B515" s="5" t="s">
        <v>3038</v>
      </c>
      <c r="C515" s="1" t="s">
        <v>3039</v>
      </c>
      <c r="D515" s="5" t="s">
        <v>17379</v>
      </c>
      <c r="E515" s="32">
        <v>3879</v>
      </c>
      <c r="F515" s="27">
        <v>1752930</v>
      </c>
      <c r="G515" s="32">
        <v>3990</v>
      </c>
      <c r="H515" s="27">
        <v>1927727</v>
      </c>
      <c r="I515" s="27">
        <v>451.90255220417635</v>
      </c>
      <c r="J515" s="27">
        <v>483.13959899749375</v>
      </c>
      <c r="K515" s="29">
        <v>6.9123413091953592E-2</v>
      </c>
    </row>
    <row r="516" spans="1:11" x14ac:dyDescent="0.25">
      <c r="A516" s="5" t="s">
        <v>6</v>
      </c>
      <c r="B516" s="5" t="s">
        <v>3040</v>
      </c>
      <c r="C516" s="1" t="s">
        <v>3041</v>
      </c>
      <c r="D516" s="5" t="s">
        <v>17380</v>
      </c>
      <c r="E516" s="32">
        <v>55</v>
      </c>
      <c r="F516" s="27">
        <v>23433</v>
      </c>
      <c r="G516" s="32">
        <v>39</v>
      </c>
      <c r="H516" s="27">
        <v>17727</v>
      </c>
      <c r="I516" s="27">
        <v>426.05454545454546</v>
      </c>
      <c r="J516" s="27">
        <v>454.53846153846155</v>
      </c>
      <c r="K516" s="29">
        <v>6.6855092588033321E-2</v>
      </c>
    </row>
    <row r="517" spans="1:11" x14ac:dyDescent="0.25">
      <c r="A517" s="5" t="s">
        <v>6</v>
      </c>
      <c r="B517" s="5" t="s">
        <v>3043</v>
      </c>
      <c r="C517" s="1" t="s">
        <v>3044</v>
      </c>
      <c r="D517" s="5" t="s">
        <v>17381</v>
      </c>
      <c r="E517" s="32">
        <v>3878</v>
      </c>
      <c r="F517" s="27">
        <v>1752472</v>
      </c>
      <c r="G517" s="32">
        <v>3990</v>
      </c>
      <c r="H517" s="27">
        <v>1927727</v>
      </c>
      <c r="I517" s="27">
        <v>451.90097988653946</v>
      </c>
      <c r="J517" s="27">
        <v>483.13959899749375</v>
      </c>
      <c r="K517" s="29">
        <v>6.9127132936948915E-2</v>
      </c>
    </row>
    <row r="518" spans="1:11" x14ac:dyDescent="0.25">
      <c r="A518" s="5" t="s">
        <v>6</v>
      </c>
      <c r="B518" s="5" t="s">
        <v>3045</v>
      </c>
      <c r="C518" s="1" t="s">
        <v>3046</v>
      </c>
      <c r="D518" s="5" t="s">
        <v>17382</v>
      </c>
      <c r="E518" s="32">
        <v>288</v>
      </c>
      <c r="F518" s="27">
        <v>103523</v>
      </c>
      <c r="G518" s="32">
        <v>266</v>
      </c>
      <c r="H518" s="27">
        <v>102141</v>
      </c>
      <c r="I518" s="27">
        <v>359.45486111111109</v>
      </c>
      <c r="J518" s="27">
        <v>383.98872180451127</v>
      </c>
      <c r="K518" s="29">
        <v>6.8252966777423901E-2</v>
      </c>
    </row>
    <row r="519" spans="1:11" x14ac:dyDescent="0.25">
      <c r="A519" s="5" t="s">
        <v>6</v>
      </c>
      <c r="B519" s="5" t="s">
        <v>3048</v>
      </c>
      <c r="C519" s="1" t="s">
        <v>3049</v>
      </c>
      <c r="D519" s="5" t="s">
        <v>17383</v>
      </c>
      <c r="E519" s="32">
        <v>4842</v>
      </c>
      <c r="F519" s="27">
        <v>3152820</v>
      </c>
      <c r="G519" s="32">
        <v>4654</v>
      </c>
      <c r="H519" s="27">
        <v>3237795</v>
      </c>
      <c r="I519" s="27">
        <v>651.14002478314751</v>
      </c>
      <c r="J519" s="27">
        <v>695.70154705629568</v>
      </c>
      <c r="K519" s="29">
        <v>6.8436159008945466E-2</v>
      </c>
    </row>
    <row r="520" spans="1:11" x14ac:dyDescent="0.25">
      <c r="A520" s="5" t="s">
        <v>6</v>
      </c>
      <c r="B520" s="5" t="s">
        <v>3051</v>
      </c>
      <c r="C520" s="1" t="s">
        <v>3052</v>
      </c>
      <c r="D520" s="5" t="s">
        <v>17384</v>
      </c>
      <c r="E520" s="32">
        <v>156</v>
      </c>
      <c r="F520" s="27">
        <v>48340</v>
      </c>
      <c r="G520" s="32">
        <v>59</v>
      </c>
      <c r="H520" s="27">
        <v>19510</v>
      </c>
      <c r="I520" s="27">
        <v>309.87179487179486</v>
      </c>
      <c r="J520" s="27">
        <v>330.67796610169489</v>
      </c>
      <c r="K520" s="29">
        <v>6.7144449976508175E-2</v>
      </c>
    </row>
    <row r="521" spans="1:11" x14ac:dyDescent="0.25">
      <c r="A521" s="5" t="s">
        <v>6</v>
      </c>
      <c r="B521" s="5" t="s">
        <v>3054</v>
      </c>
      <c r="C521" s="1" t="s">
        <v>3055</v>
      </c>
      <c r="D521" s="5" t="s">
        <v>17385</v>
      </c>
      <c r="E521" s="32">
        <v>299</v>
      </c>
      <c r="F521" s="27">
        <v>341826</v>
      </c>
      <c r="G521" s="32">
        <v>219</v>
      </c>
      <c r="H521" s="27">
        <v>268389</v>
      </c>
      <c r="I521" s="27">
        <v>1143.2307692307693</v>
      </c>
      <c r="J521" s="27">
        <v>1225.5205479452054</v>
      </c>
      <c r="K521" s="29">
        <v>7.1980024444063359E-2</v>
      </c>
    </row>
    <row r="522" spans="1:11" x14ac:dyDescent="0.25">
      <c r="A522" s="5" t="s">
        <v>6</v>
      </c>
      <c r="B522" s="5" t="s">
        <v>3057</v>
      </c>
      <c r="C522" s="1" t="s">
        <v>3058</v>
      </c>
      <c r="D522" s="5" t="s">
        <v>17386</v>
      </c>
      <c r="E522" s="32">
        <v>1727</v>
      </c>
      <c r="F522" s="27">
        <v>243892</v>
      </c>
      <c r="G522" s="32">
        <v>1778</v>
      </c>
      <c r="H522" s="27">
        <v>266970</v>
      </c>
      <c r="I522" s="27">
        <v>141.22292993630575</v>
      </c>
      <c r="J522" s="27">
        <v>150.15185601799774</v>
      </c>
      <c r="K522" s="29">
        <v>6.3225752968863583E-2</v>
      </c>
    </row>
    <row r="523" spans="1:11" x14ac:dyDescent="0.25">
      <c r="A523" s="5" t="s">
        <v>6</v>
      </c>
      <c r="B523" s="5" t="s">
        <v>3059</v>
      </c>
      <c r="C523" s="1" t="s">
        <v>3060</v>
      </c>
      <c r="D523" s="5" t="s">
        <v>17387</v>
      </c>
      <c r="E523" s="32">
        <v>1284</v>
      </c>
      <c r="F523" s="27">
        <v>733362</v>
      </c>
      <c r="G523" s="32">
        <v>1363</v>
      </c>
      <c r="H523" s="27">
        <v>831083</v>
      </c>
      <c r="I523" s="27">
        <v>571.15420560747668</v>
      </c>
      <c r="J523" s="27">
        <v>609.7454145267792</v>
      </c>
      <c r="K523" s="29">
        <v>6.7567057268285546E-2</v>
      </c>
    </row>
    <row r="524" spans="1:11" x14ac:dyDescent="0.25">
      <c r="A524" s="5" t="s">
        <v>6</v>
      </c>
      <c r="B524" s="5" t="s">
        <v>3065</v>
      </c>
      <c r="C524" s="1" t="s">
        <v>3066</v>
      </c>
      <c r="D524" s="5" t="s">
        <v>17388</v>
      </c>
      <c r="E524" s="32">
        <v>334</v>
      </c>
      <c r="F524" s="27">
        <v>126272</v>
      </c>
      <c r="G524" s="32">
        <v>263</v>
      </c>
      <c r="H524" s="27">
        <v>105689</v>
      </c>
      <c r="I524" s="27">
        <v>378.05988023952096</v>
      </c>
      <c r="J524" s="27">
        <v>401.85931558935363</v>
      </c>
      <c r="K524" s="29">
        <v>6.2951496823081196E-2</v>
      </c>
    </row>
    <row r="525" spans="1:11" x14ac:dyDescent="0.25">
      <c r="A525" s="5" t="s">
        <v>6</v>
      </c>
      <c r="B525" s="5" t="s">
        <v>3071</v>
      </c>
      <c r="C525" s="1" t="s">
        <v>3072</v>
      </c>
      <c r="D525" s="5" t="s">
        <v>17389</v>
      </c>
      <c r="E525" s="32">
        <v>801</v>
      </c>
      <c r="F525" s="27">
        <v>184275</v>
      </c>
      <c r="G525" s="32">
        <v>842</v>
      </c>
      <c r="H525" s="27">
        <v>206446</v>
      </c>
      <c r="I525" s="27">
        <v>230.0561797752809</v>
      </c>
      <c r="J525" s="27">
        <v>245.18527315914488</v>
      </c>
      <c r="K525" s="29">
        <v>6.576260371984835E-2</v>
      </c>
    </row>
    <row r="526" spans="1:11" x14ac:dyDescent="0.25">
      <c r="A526" s="5" t="s">
        <v>6</v>
      </c>
      <c r="B526" s="5" t="s">
        <v>3076</v>
      </c>
      <c r="C526" s="1" t="s">
        <v>3077</v>
      </c>
      <c r="D526" s="5" t="s">
        <v>17269</v>
      </c>
      <c r="E526" s="32">
        <v>1463</v>
      </c>
      <c r="F526" s="27">
        <v>371571</v>
      </c>
      <c r="G526" s="32">
        <v>1713</v>
      </c>
      <c r="H526" s="27">
        <v>464097</v>
      </c>
      <c r="I526" s="27">
        <v>253.97881066302119</v>
      </c>
      <c r="J526" s="27">
        <v>270.92644483362523</v>
      </c>
      <c r="K526" s="29">
        <v>6.6728535842661835E-2</v>
      </c>
    </row>
    <row r="527" spans="1:11" x14ac:dyDescent="0.25">
      <c r="A527" s="5" t="s">
        <v>6</v>
      </c>
      <c r="B527" s="5" t="s">
        <v>3081</v>
      </c>
      <c r="C527" s="1" t="s">
        <v>3082</v>
      </c>
      <c r="D527" s="5" t="s">
        <v>17390</v>
      </c>
      <c r="E527" s="32">
        <v>694</v>
      </c>
      <c r="F527" s="27">
        <v>159758</v>
      </c>
      <c r="G527" s="32">
        <v>740</v>
      </c>
      <c r="H527" s="27">
        <v>182832</v>
      </c>
      <c r="I527" s="27">
        <v>230.19884726224785</v>
      </c>
      <c r="J527" s="27">
        <v>247.07027027027027</v>
      </c>
      <c r="K527" s="29">
        <v>7.3290649404521568E-2</v>
      </c>
    </row>
    <row r="528" spans="1:11" x14ac:dyDescent="0.25">
      <c r="A528" s="5" t="s">
        <v>6</v>
      </c>
      <c r="B528" s="5" t="s">
        <v>3084</v>
      </c>
      <c r="C528" s="1" t="s">
        <v>3085</v>
      </c>
      <c r="D528" s="5" t="s">
        <v>17391</v>
      </c>
      <c r="E528" s="32">
        <v>681</v>
      </c>
      <c r="F528" s="27">
        <v>255246</v>
      </c>
      <c r="G528" s="32">
        <v>1587</v>
      </c>
      <c r="H528" s="27">
        <v>641712</v>
      </c>
      <c r="I528" s="27">
        <v>374.81057268722469</v>
      </c>
      <c r="J528" s="27">
        <v>404.35538752362947</v>
      </c>
      <c r="K528" s="29">
        <v>7.8825991018827549E-2</v>
      </c>
    </row>
    <row r="529" spans="1:11" x14ac:dyDescent="0.25">
      <c r="A529" s="5" t="s">
        <v>6</v>
      </c>
      <c r="B529" s="5" t="s">
        <v>3086</v>
      </c>
      <c r="C529" s="1" t="s">
        <v>3087</v>
      </c>
      <c r="D529" s="5" t="s">
        <v>17392</v>
      </c>
      <c r="E529" s="32">
        <v>108</v>
      </c>
      <c r="F529" s="27">
        <v>12672</v>
      </c>
      <c r="G529" s="32">
        <v>-1</v>
      </c>
      <c r="H529" s="27">
        <v>-119</v>
      </c>
      <c r="I529" s="27">
        <v>117.33333333333333</v>
      </c>
      <c r="J529" s="27">
        <v>119</v>
      </c>
      <c r="K529" s="29">
        <v>1.4204545454545496E-2</v>
      </c>
    </row>
    <row r="530" spans="1:11" x14ac:dyDescent="0.25">
      <c r="A530" s="5" t="s">
        <v>6</v>
      </c>
      <c r="B530" s="5" t="s">
        <v>3089</v>
      </c>
      <c r="C530" s="1" t="s">
        <v>3090</v>
      </c>
      <c r="D530" s="5" t="s">
        <v>17393</v>
      </c>
      <c r="E530" s="32">
        <v>258</v>
      </c>
      <c r="F530" s="27">
        <v>34022</v>
      </c>
      <c r="G530" s="32">
        <v>370</v>
      </c>
      <c r="H530" s="27">
        <v>52330</v>
      </c>
      <c r="I530" s="27">
        <v>131.86821705426357</v>
      </c>
      <c r="J530" s="27">
        <v>141.43243243243242</v>
      </c>
      <c r="K530" s="29">
        <v>7.2528586431355124E-2</v>
      </c>
    </row>
    <row r="531" spans="1:11" x14ac:dyDescent="0.25">
      <c r="A531" s="5" t="s">
        <v>6</v>
      </c>
      <c r="B531" s="5" t="s">
        <v>3103</v>
      </c>
      <c r="C531" s="1" t="s">
        <v>3104</v>
      </c>
      <c r="D531" s="5" t="s">
        <v>17394</v>
      </c>
      <c r="E531" s="32">
        <v>240</v>
      </c>
      <c r="F531" s="27">
        <v>101710</v>
      </c>
      <c r="G531" s="32">
        <v>186</v>
      </c>
      <c r="H531" s="27">
        <v>84598</v>
      </c>
      <c r="I531" s="27">
        <v>423.79166666666669</v>
      </c>
      <c r="J531" s="27">
        <v>454.8279569892473</v>
      </c>
      <c r="K531" s="29">
        <v>7.3234782001959944E-2</v>
      </c>
    </row>
    <row r="532" spans="1:11" x14ac:dyDescent="0.25">
      <c r="A532" s="5" t="s">
        <v>6</v>
      </c>
      <c r="B532" s="5" t="s">
        <v>3112</v>
      </c>
      <c r="C532" s="1" t="s">
        <v>3113</v>
      </c>
      <c r="D532" s="5" t="s">
        <v>17395</v>
      </c>
      <c r="E532" s="32">
        <v>853</v>
      </c>
      <c r="F532" s="27">
        <v>869685</v>
      </c>
      <c r="G532" s="32">
        <v>1063</v>
      </c>
      <c r="H532" s="27">
        <v>1152779</v>
      </c>
      <c r="I532" s="27">
        <v>1019.5603751465417</v>
      </c>
      <c r="J532" s="27">
        <v>1084.4581373471308</v>
      </c>
      <c r="K532" s="29">
        <v>6.3652691672390016E-2</v>
      </c>
    </row>
    <row r="533" spans="1:11" x14ac:dyDescent="0.25">
      <c r="A533" s="5" t="s">
        <v>6</v>
      </c>
      <c r="B533" s="5" t="s">
        <v>3115</v>
      </c>
      <c r="C533" s="1" t="s">
        <v>3116</v>
      </c>
      <c r="D533" s="5" t="s">
        <v>17395</v>
      </c>
      <c r="E533" s="32">
        <v>11</v>
      </c>
      <c r="F533" s="27">
        <v>11341</v>
      </c>
      <c r="G533" s="32">
        <v>9</v>
      </c>
      <c r="H533" s="27">
        <v>9771</v>
      </c>
      <c r="I533" s="27">
        <v>1031</v>
      </c>
      <c r="J533" s="27">
        <v>1085.6666666666667</v>
      </c>
      <c r="K533" s="29">
        <v>5.3022955059812554E-2</v>
      </c>
    </row>
    <row r="534" spans="1:11" x14ac:dyDescent="0.25">
      <c r="A534" s="5" t="s">
        <v>6</v>
      </c>
      <c r="B534" s="5" t="s">
        <v>3117</v>
      </c>
      <c r="C534" s="1" t="s">
        <v>3118</v>
      </c>
      <c r="D534" s="5" t="s">
        <v>17396</v>
      </c>
      <c r="E534" s="32">
        <v>13111</v>
      </c>
      <c r="F534" s="27">
        <v>13566028</v>
      </c>
      <c r="G534" s="32">
        <v>14722</v>
      </c>
      <c r="H534" s="27">
        <v>16267648</v>
      </c>
      <c r="I534" s="27">
        <v>1034.7058195408435</v>
      </c>
      <c r="J534" s="27">
        <v>1104.988996060318</v>
      </c>
      <c r="K534" s="29">
        <v>6.7925757439600526E-2</v>
      </c>
    </row>
    <row r="535" spans="1:11" x14ac:dyDescent="0.25">
      <c r="A535" s="5" t="s">
        <v>6</v>
      </c>
      <c r="B535" s="5" t="s">
        <v>3120</v>
      </c>
      <c r="C535" s="1" t="s">
        <v>3121</v>
      </c>
      <c r="D535" s="5" t="s">
        <v>17395</v>
      </c>
      <c r="E535" s="32">
        <v>165</v>
      </c>
      <c r="F535" s="27">
        <v>157124</v>
      </c>
      <c r="G535" s="32">
        <v>161</v>
      </c>
      <c r="H535" s="27">
        <v>163346</v>
      </c>
      <c r="I535" s="27">
        <v>952.26666666666665</v>
      </c>
      <c r="J535" s="27">
        <v>1014.5714285714286</v>
      </c>
      <c r="K535" s="29">
        <v>6.5427851342161059E-2</v>
      </c>
    </row>
    <row r="536" spans="1:11" x14ac:dyDescent="0.25">
      <c r="A536" s="5" t="s">
        <v>6</v>
      </c>
      <c r="B536" s="5" t="s">
        <v>3122</v>
      </c>
      <c r="C536" s="1" t="s">
        <v>3123</v>
      </c>
      <c r="D536" s="5" t="s">
        <v>17397</v>
      </c>
      <c r="E536" s="32">
        <v>166</v>
      </c>
      <c r="F536" s="27">
        <v>181570</v>
      </c>
      <c r="G536" s="32">
        <v>200</v>
      </c>
      <c r="H536" s="27">
        <v>236528</v>
      </c>
      <c r="I536" s="27">
        <v>1093.7951807228915</v>
      </c>
      <c r="J536" s="27">
        <v>1182.6400000000001</v>
      </c>
      <c r="K536" s="29">
        <v>8.122619375447504E-2</v>
      </c>
    </row>
    <row r="537" spans="1:11" x14ac:dyDescent="0.25">
      <c r="A537" s="5" t="s">
        <v>6</v>
      </c>
      <c r="B537" s="5" t="s">
        <v>3125</v>
      </c>
      <c r="C537" s="1" t="s">
        <v>3126</v>
      </c>
      <c r="D537" s="5" t="s">
        <v>17395</v>
      </c>
      <c r="E537" s="32">
        <v>154</v>
      </c>
      <c r="F537" s="27">
        <v>148071</v>
      </c>
      <c r="G537" s="32">
        <v>226</v>
      </c>
      <c r="H537" s="27">
        <v>229516</v>
      </c>
      <c r="I537" s="27">
        <v>961.5</v>
      </c>
      <c r="J537" s="27">
        <v>1015.5575221238938</v>
      </c>
      <c r="K537" s="29">
        <v>5.6222071891725241E-2</v>
      </c>
    </row>
    <row r="538" spans="1:11" x14ac:dyDescent="0.25">
      <c r="A538" s="5" t="s">
        <v>6</v>
      </c>
      <c r="B538" s="5" t="s">
        <v>3127</v>
      </c>
      <c r="C538" s="1" t="s">
        <v>3128</v>
      </c>
      <c r="D538" s="5" t="s">
        <v>17398</v>
      </c>
      <c r="E538" s="32">
        <v>1</v>
      </c>
      <c r="F538" s="27">
        <v>263</v>
      </c>
      <c r="I538" s="27">
        <v>263</v>
      </c>
    </row>
    <row r="539" spans="1:11" x14ac:dyDescent="0.25">
      <c r="A539" s="5" t="s">
        <v>6</v>
      </c>
      <c r="B539" s="5" t="s">
        <v>3132</v>
      </c>
      <c r="C539" s="1" t="s">
        <v>3133</v>
      </c>
      <c r="D539" s="5" t="s">
        <v>17395</v>
      </c>
      <c r="E539" s="32">
        <v>51</v>
      </c>
      <c r="F539" s="27">
        <v>48623</v>
      </c>
      <c r="G539" s="32">
        <v>73</v>
      </c>
      <c r="H539" s="27">
        <v>74554</v>
      </c>
      <c r="I539" s="27">
        <v>953.39215686274508</v>
      </c>
      <c r="J539" s="27">
        <v>1021.2876712328767</v>
      </c>
      <c r="K539" s="29">
        <v>7.1214676858209369E-2</v>
      </c>
    </row>
    <row r="540" spans="1:11" x14ac:dyDescent="0.25">
      <c r="A540" s="5" t="s">
        <v>6</v>
      </c>
      <c r="B540" s="5" t="s">
        <v>3134</v>
      </c>
      <c r="C540" s="1" t="s">
        <v>3135</v>
      </c>
      <c r="D540" s="5" t="s">
        <v>17395</v>
      </c>
      <c r="E540" s="32">
        <v>2</v>
      </c>
      <c r="F540" s="27">
        <v>2062</v>
      </c>
      <c r="G540" s="32">
        <v>4</v>
      </c>
      <c r="H540" s="27">
        <v>4452</v>
      </c>
      <c r="I540" s="27">
        <v>1031</v>
      </c>
      <c r="J540" s="27">
        <v>1113</v>
      </c>
      <c r="K540" s="29">
        <v>7.953443258971872E-2</v>
      </c>
    </row>
    <row r="541" spans="1:11" x14ac:dyDescent="0.25">
      <c r="A541" s="5" t="s">
        <v>6</v>
      </c>
      <c r="B541" s="5" t="s">
        <v>3136</v>
      </c>
      <c r="C541" s="1" t="s">
        <v>3137</v>
      </c>
      <c r="D541" s="5" t="s">
        <v>17395</v>
      </c>
      <c r="E541" s="32">
        <v>190</v>
      </c>
      <c r="F541" s="27">
        <v>182067</v>
      </c>
      <c r="G541" s="32">
        <v>176</v>
      </c>
      <c r="H541" s="27">
        <v>179300</v>
      </c>
      <c r="I541" s="27">
        <v>958.24736842105267</v>
      </c>
      <c r="J541" s="27">
        <v>1018.75</v>
      </c>
      <c r="K541" s="29">
        <v>6.31388444913136E-2</v>
      </c>
    </row>
    <row r="542" spans="1:11" x14ac:dyDescent="0.25">
      <c r="A542" s="5" t="s">
        <v>6</v>
      </c>
      <c r="B542" s="5" t="s">
        <v>3138</v>
      </c>
      <c r="C542" s="1" t="s">
        <v>3139</v>
      </c>
      <c r="D542" s="5" t="s">
        <v>17395</v>
      </c>
      <c r="E542" s="32">
        <v>45</v>
      </c>
      <c r="F542" s="27">
        <v>43188</v>
      </c>
      <c r="G542" s="32">
        <v>45</v>
      </c>
      <c r="H542" s="27">
        <v>45444</v>
      </c>
      <c r="I542" s="27">
        <v>959.73333333333335</v>
      </c>
      <c r="J542" s="27">
        <v>1009.8666666666667</v>
      </c>
      <c r="K542" s="29">
        <v>5.2236732425673789E-2</v>
      </c>
    </row>
    <row r="543" spans="1:11" x14ac:dyDescent="0.25">
      <c r="A543" s="5" t="s">
        <v>6</v>
      </c>
      <c r="B543" s="5" t="s">
        <v>3142</v>
      </c>
      <c r="C543" s="1" t="s">
        <v>3143</v>
      </c>
      <c r="D543" s="5" t="s">
        <v>17395</v>
      </c>
      <c r="E543" s="32">
        <v>4</v>
      </c>
      <c r="F543" s="27">
        <v>4042</v>
      </c>
      <c r="G543" s="32">
        <v>14</v>
      </c>
      <c r="H543" s="27">
        <v>15008</v>
      </c>
      <c r="I543" s="27">
        <v>1010.5</v>
      </c>
      <c r="J543" s="27">
        <v>1072</v>
      </c>
      <c r="K543" s="29">
        <v>6.0860959920831272E-2</v>
      </c>
    </row>
    <row r="544" spans="1:11" x14ac:dyDescent="0.25">
      <c r="A544" s="5" t="s">
        <v>6</v>
      </c>
      <c r="B544" s="5" t="s">
        <v>3144</v>
      </c>
      <c r="C544" s="1" t="s">
        <v>3145</v>
      </c>
      <c r="D544" s="5" t="s">
        <v>17395</v>
      </c>
      <c r="E544" s="32">
        <v>453</v>
      </c>
      <c r="F544" s="27">
        <v>434174</v>
      </c>
      <c r="G544" s="32">
        <v>632</v>
      </c>
      <c r="H544" s="27">
        <v>648608</v>
      </c>
      <c r="I544" s="27">
        <v>958.44150110375278</v>
      </c>
      <c r="J544" s="27">
        <v>1026.2784810126582</v>
      </c>
      <c r="K544" s="29">
        <v>7.0778425006412501E-2</v>
      </c>
    </row>
    <row r="545" spans="1:11" x14ac:dyDescent="0.25">
      <c r="A545" s="5" t="s">
        <v>6</v>
      </c>
      <c r="B545" s="5" t="s">
        <v>3146</v>
      </c>
      <c r="C545" s="1" t="s">
        <v>3147</v>
      </c>
      <c r="D545" s="5" t="s">
        <v>17399</v>
      </c>
      <c r="E545" s="32">
        <v>654</v>
      </c>
      <c r="F545" s="27">
        <v>669920</v>
      </c>
      <c r="G545" s="32">
        <v>867</v>
      </c>
      <c r="H545" s="27">
        <v>945651</v>
      </c>
      <c r="I545" s="27">
        <v>1024.34250764526</v>
      </c>
      <c r="J545" s="27">
        <v>1090.7162629757786</v>
      </c>
      <c r="K545" s="29">
        <v>6.4796447316335062E-2</v>
      </c>
    </row>
    <row r="546" spans="1:11" x14ac:dyDescent="0.25">
      <c r="A546" s="5" t="s">
        <v>6</v>
      </c>
      <c r="B546" s="5" t="s">
        <v>3152</v>
      </c>
      <c r="C546" s="1" t="s">
        <v>3153</v>
      </c>
      <c r="D546" s="5" t="s">
        <v>17395</v>
      </c>
      <c r="E546" s="32">
        <v>77</v>
      </c>
      <c r="F546" s="27">
        <v>78403</v>
      </c>
      <c r="G546" s="32">
        <v>81</v>
      </c>
      <c r="H546" s="27">
        <v>87447</v>
      </c>
      <c r="I546" s="27">
        <v>1018.2207792207793</v>
      </c>
      <c r="J546" s="27">
        <v>1079.5925925925926</v>
      </c>
      <c r="K546" s="29">
        <v>6.0273581745974358E-2</v>
      </c>
    </row>
    <row r="547" spans="1:11" x14ac:dyDescent="0.25">
      <c r="A547" s="5" t="s">
        <v>6</v>
      </c>
      <c r="B547" s="5" t="s">
        <v>3162</v>
      </c>
      <c r="C547" s="1" t="s">
        <v>3163</v>
      </c>
      <c r="D547" s="5" t="s">
        <v>17400</v>
      </c>
      <c r="E547" s="32">
        <v>7107</v>
      </c>
      <c r="F547" s="27">
        <v>7541765</v>
      </c>
      <c r="G547" s="32">
        <v>7575</v>
      </c>
      <c r="H547" s="27">
        <v>8574157</v>
      </c>
      <c r="I547" s="27">
        <v>1061.17419445617</v>
      </c>
      <c r="J547" s="27">
        <v>1131.9019141914191</v>
      </c>
      <c r="K547" s="29">
        <v>6.6650433175578352E-2</v>
      </c>
    </row>
    <row r="548" spans="1:11" x14ac:dyDescent="0.25">
      <c r="A548" s="5" t="s">
        <v>6</v>
      </c>
      <c r="B548" s="5" t="s">
        <v>3167</v>
      </c>
      <c r="C548" s="1" t="s">
        <v>3168</v>
      </c>
      <c r="D548" s="5" t="s">
        <v>17401</v>
      </c>
      <c r="E548" s="32">
        <v>159</v>
      </c>
      <c r="F548" s="27">
        <v>30465</v>
      </c>
      <c r="G548" s="32">
        <v>204</v>
      </c>
      <c r="H548" s="27">
        <v>42052</v>
      </c>
      <c r="I548" s="27">
        <v>191.60377358490567</v>
      </c>
      <c r="J548" s="27">
        <v>206.13725490196077</v>
      </c>
      <c r="K548" s="29">
        <v>7.5851748872862682E-2</v>
      </c>
    </row>
    <row r="549" spans="1:11" x14ac:dyDescent="0.25">
      <c r="A549" s="5" t="s">
        <v>6</v>
      </c>
      <c r="B549" s="5" t="s">
        <v>3170</v>
      </c>
      <c r="C549" s="1" t="s">
        <v>3171</v>
      </c>
      <c r="D549" s="5" t="s">
        <v>17395</v>
      </c>
      <c r="E549" s="32">
        <v>1062</v>
      </c>
      <c r="F549" s="27">
        <v>1082048</v>
      </c>
      <c r="G549" s="32">
        <v>1261</v>
      </c>
      <c r="H549" s="27">
        <v>1369135</v>
      </c>
      <c r="I549" s="27">
        <v>1018.8775894538607</v>
      </c>
      <c r="J549" s="27">
        <v>1085.7533703409993</v>
      </c>
      <c r="K549" s="29">
        <v>6.5636717874014094E-2</v>
      </c>
    </row>
    <row r="550" spans="1:11" x14ac:dyDescent="0.25">
      <c r="A550" s="5" t="s">
        <v>6</v>
      </c>
      <c r="B550" s="5" t="s">
        <v>3172</v>
      </c>
      <c r="C550" s="1" t="s">
        <v>3173</v>
      </c>
      <c r="D550" s="5" t="s">
        <v>17402</v>
      </c>
      <c r="E550" s="32">
        <v>4</v>
      </c>
      <c r="F550" s="27">
        <v>827</v>
      </c>
      <c r="G550" s="32">
        <v>18</v>
      </c>
      <c r="H550" s="27">
        <v>4053</v>
      </c>
      <c r="I550" s="27">
        <v>206.75</v>
      </c>
      <c r="J550" s="27">
        <v>225.16666666666666</v>
      </c>
      <c r="K550" s="29">
        <v>8.9076985086658553E-2</v>
      </c>
    </row>
    <row r="551" spans="1:11" x14ac:dyDescent="0.25">
      <c r="A551" s="5" t="s">
        <v>6</v>
      </c>
      <c r="B551" s="5" t="s">
        <v>3174</v>
      </c>
      <c r="C551" s="1" t="s">
        <v>3175</v>
      </c>
      <c r="D551" s="5" t="s">
        <v>17403</v>
      </c>
      <c r="E551" s="32">
        <v>4344</v>
      </c>
      <c r="F551" s="27">
        <v>3831067</v>
      </c>
      <c r="G551" s="32">
        <v>4548</v>
      </c>
      <c r="H551" s="27">
        <v>4277232</v>
      </c>
      <c r="I551" s="27">
        <v>881.92150092081033</v>
      </c>
      <c r="J551" s="27">
        <v>940.46437994722953</v>
      </c>
      <c r="K551" s="29">
        <v>6.6381054283510307E-2</v>
      </c>
    </row>
    <row r="552" spans="1:11" x14ac:dyDescent="0.25">
      <c r="A552" s="5" t="s">
        <v>6</v>
      </c>
      <c r="B552" s="5" t="s">
        <v>3177</v>
      </c>
      <c r="C552" s="1" t="s">
        <v>3178</v>
      </c>
      <c r="D552" s="5" t="s">
        <v>17404</v>
      </c>
      <c r="E552" s="32">
        <v>8</v>
      </c>
      <c r="F552" s="27">
        <v>1504</v>
      </c>
      <c r="I552" s="27">
        <v>188</v>
      </c>
    </row>
    <row r="553" spans="1:11" x14ac:dyDescent="0.25">
      <c r="A553" s="5" t="s">
        <v>6</v>
      </c>
      <c r="B553" s="5" t="s">
        <v>3180</v>
      </c>
      <c r="C553" s="1" t="s">
        <v>3181</v>
      </c>
      <c r="D553" s="5" t="s">
        <v>17405</v>
      </c>
      <c r="E553" s="32">
        <v>69</v>
      </c>
      <c r="F553" s="27">
        <v>38037</v>
      </c>
      <c r="G553" s="32">
        <v>109</v>
      </c>
      <c r="H553" s="27">
        <v>65057</v>
      </c>
      <c r="I553" s="27">
        <v>551.26086956521738</v>
      </c>
      <c r="J553" s="27">
        <v>596.85321100917429</v>
      </c>
      <c r="K553" s="29">
        <v>8.2705564572206722E-2</v>
      </c>
    </row>
    <row r="554" spans="1:11" x14ac:dyDescent="0.25">
      <c r="A554" s="5" t="s">
        <v>6</v>
      </c>
      <c r="B554" s="5" t="s">
        <v>3183</v>
      </c>
      <c r="C554" s="1" t="s">
        <v>3184</v>
      </c>
      <c r="D554" s="5" t="s">
        <v>17406</v>
      </c>
      <c r="E554" s="32">
        <v>1016</v>
      </c>
      <c r="F554" s="27">
        <v>364313</v>
      </c>
      <c r="G554" s="32">
        <v>1215</v>
      </c>
      <c r="H554" s="27">
        <v>464187</v>
      </c>
      <c r="I554" s="27">
        <v>358.57578740157481</v>
      </c>
      <c r="J554" s="27">
        <v>382.04691358024689</v>
      </c>
      <c r="K554" s="29">
        <v>6.5456528308160386E-2</v>
      </c>
    </row>
    <row r="555" spans="1:11" x14ac:dyDescent="0.25">
      <c r="A555" s="5" t="s">
        <v>6</v>
      </c>
      <c r="B555" s="5" t="s">
        <v>3186</v>
      </c>
      <c r="C555" s="1" t="s">
        <v>3187</v>
      </c>
      <c r="D555" s="5" t="s">
        <v>17407</v>
      </c>
      <c r="E555" s="32">
        <v>206</v>
      </c>
      <c r="F555" s="27">
        <v>67428</v>
      </c>
      <c r="G555" s="32">
        <v>185</v>
      </c>
      <c r="H555" s="27">
        <v>65169</v>
      </c>
      <c r="I555" s="27">
        <v>327.32038834951459</v>
      </c>
      <c r="J555" s="27">
        <v>352.26486486486488</v>
      </c>
      <c r="K555" s="29">
        <v>7.6208135524739859E-2</v>
      </c>
    </row>
    <row r="556" spans="1:11" x14ac:dyDescent="0.25">
      <c r="A556" s="5" t="s">
        <v>6</v>
      </c>
      <c r="B556" s="5" t="s">
        <v>3189</v>
      </c>
      <c r="C556" s="1" t="s">
        <v>3190</v>
      </c>
      <c r="D556" s="5" t="s">
        <v>17407</v>
      </c>
      <c r="E556" s="32">
        <v>21</v>
      </c>
      <c r="F556" s="27">
        <v>4527</v>
      </c>
      <c r="G556" s="32">
        <v>9</v>
      </c>
      <c r="H556" s="27">
        <v>2030</v>
      </c>
      <c r="I556" s="27">
        <v>215.57142857142858</v>
      </c>
      <c r="J556" s="27">
        <v>225.55555555555554</v>
      </c>
      <c r="K556" s="29">
        <v>4.6314704366394108E-2</v>
      </c>
    </row>
    <row r="557" spans="1:11" x14ac:dyDescent="0.25">
      <c r="A557" s="5" t="s">
        <v>6</v>
      </c>
      <c r="B557" s="5" t="s">
        <v>3193</v>
      </c>
      <c r="C557" s="1" t="s">
        <v>3194</v>
      </c>
      <c r="D557" s="5" t="s">
        <v>17078</v>
      </c>
      <c r="E557" s="32">
        <v>21501</v>
      </c>
      <c r="F557" s="27">
        <v>21089411</v>
      </c>
      <c r="G557" s="32">
        <v>22717</v>
      </c>
      <c r="H557" s="27">
        <v>23802538</v>
      </c>
      <c r="I557" s="27">
        <v>980.85721594344454</v>
      </c>
      <c r="J557" s="27">
        <v>1047.785270942466</v>
      </c>
      <c r="K557" s="29">
        <v>6.823424848299274E-2</v>
      </c>
    </row>
    <row r="558" spans="1:11" x14ac:dyDescent="0.25">
      <c r="A558" s="5" t="s">
        <v>6</v>
      </c>
      <c r="B558" s="5" t="s">
        <v>3195</v>
      </c>
      <c r="C558" s="1" t="s">
        <v>3196</v>
      </c>
      <c r="D558" s="5" t="s">
        <v>17408</v>
      </c>
      <c r="E558" s="32">
        <v>198</v>
      </c>
      <c r="F558" s="27">
        <v>40244</v>
      </c>
      <c r="G558" s="32">
        <v>185</v>
      </c>
      <c r="H558" s="27">
        <v>40318</v>
      </c>
      <c r="I558" s="27">
        <v>203.25252525252526</v>
      </c>
      <c r="J558" s="27">
        <v>217.93513513513514</v>
      </c>
      <c r="K558" s="29">
        <v>7.2238265499372734E-2</v>
      </c>
    </row>
    <row r="559" spans="1:11" x14ac:dyDescent="0.25">
      <c r="A559" s="5" t="s">
        <v>6</v>
      </c>
      <c r="B559" s="5" t="s">
        <v>3200</v>
      </c>
      <c r="C559" s="1" t="s">
        <v>3201</v>
      </c>
      <c r="D559" s="5" t="s">
        <v>17409</v>
      </c>
      <c r="E559" s="32">
        <v>4044</v>
      </c>
      <c r="F559" s="27">
        <v>1845804</v>
      </c>
      <c r="G559" s="32">
        <v>4818</v>
      </c>
      <c r="H559" s="27">
        <v>2367351</v>
      </c>
      <c r="I559" s="27">
        <v>456.43026706231456</v>
      </c>
      <c r="J559" s="27">
        <v>491.3555417185554</v>
      </c>
      <c r="K559" s="29">
        <v>7.6518314355065856E-2</v>
      </c>
    </row>
    <row r="560" spans="1:11" x14ac:dyDescent="0.25">
      <c r="A560" s="5" t="s">
        <v>6</v>
      </c>
      <c r="B560" s="5" t="s">
        <v>3203</v>
      </c>
      <c r="C560" s="1" t="s">
        <v>3204</v>
      </c>
      <c r="D560" s="5" t="s">
        <v>17409</v>
      </c>
      <c r="E560" s="32">
        <v>4029</v>
      </c>
      <c r="F560" s="27">
        <v>1938865</v>
      </c>
      <c r="G560" s="32">
        <v>4790</v>
      </c>
      <c r="H560" s="27">
        <v>2481412</v>
      </c>
      <c r="I560" s="27">
        <v>481.22735170017376</v>
      </c>
      <c r="J560" s="27">
        <v>518.04008350730692</v>
      </c>
      <c r="K560" s="29">
        <v>7.6497588254437268E-2</v>
      </c>
    </row>
    <row r="561" spans="1:11" x14ac:dyDescent="0.25">
      <c r="A561" s="5" t="s">
        <v>6</v>
      </c>
      <c r="B561" s="5" t="s">
        <v>3206</v>
      </c>
      <c r="C561" s="1" t="s">
        <v>3207</v>
      </c>
      <c r="D561" s="5" t="s">
        <v>17410</v>
      </c>
      <c r="E561" s="32">
        <v>198</v>
      </c>
      <c r="F561" s="27">
        <v>40244</v>
      </c>
      <c r="G561" s="32">
        <v>185</v>
      </c>
      <c r="H561" s="27">
        <v>40318</v>
      </c>
      <c r="I561" s="27">
        <v>203.25252525252526</v>
      </c>
      <c r="J561" s="27">
        <v>217.93513513513514</v>
      </c>
      <c r="K561" s="29">
        <v>7.2238265499372734E-2</v>
      </c>
    </row>
    <row r="562" spans="1:11" x14ac:dyDescent="0.25">
      <c r="A562" s="5" t="s">
        <v>6</v>
      </c>
      <c r="B562" s="5" t="s">
        <v>3209</v>
      </c>
      <c r="C562" s="1" t="s">
        <v>3210</v>
      </c>
      <c r="D562" s="5" t="s">
        <v>17411</v>
      </c>
      <c r="E562" s="32">
        <v>5</v>
      </c>
      <c r="F562" s="27">
        <v>1530</v>
      </c>
      <c r="G562" s="32">
        <v>5</v>
      </c>
      <c r="H562" s="27">
        <v>1680</v>
      </c>
      <c r="I562" s="27">
        <v>306</v>
      </c>
      <c r="J562" s="27">
        <v>336</v>
      </c>
      <c r="K562" s="29">
        <v>9.8039215686274508E-2</v>
      </c>
    </row>
    <row r="563" spans="1:11" x14ac:dyDescent="0.25">
      <c r="A563" s="5" t="s">
        <v>6</v>
      </c>
      <c r="B563" s="5" t="s">
        <v>3212</v>
      </c>
      <c r="C563" s="1" t="s">
        <v>3213</v>
      </c>
      <c r="D563" s="5" t="s">
        <v>17412</v>
      </c>
      <c r="E563" s="32">
        <v>47</v>
      </c>
      <c r="F563" s="27">
        <v>78187.5</v>
      </c>
      <c r="G563" s="32">
        <v>317</v>
      </c>
      <c r="H563" s="27">
        <v>572742</v>
      </c>
      <c r="I563" s="27">
        <v>1663.563829787234</v>
      </c>
      <c r="J563" s="27">
        <v>1806.7570977917981</v>
      </c>
      <c r="K563" s="29">
        <v>8.6076209064294307E-2</v>
      </c>
    </row>
    <row r="564" spans="1:11" x14ac:dyDescent="0.25">
      <c r="A564" s="5" t="s">
        <v>6</v>
      </c>
      <c r="B564" s="5" t="s">
        <v>3221</v>
      </c>
      <c r="C564" s="1" t="s">
        <v>3222</v>
      </c>
      <c r="D564" s="5" t="s">
        <v>17413</v>
      </c>
      <c r="E564" s="32">
        <v>214</v>
      </c>
      <c r="F564" s="27">
        <v>44926</v>
      </c>
      <c r="G564" s="32">
        <v>307</v>
      </c>
      <c r="H564" s="27">
        <v>68875</v>
      </c>
      <c r="I564" s="27">
        <v>209.93457943925233</v>
      </c>
      <c r="J564" s="27">
        <v>224.34853420195441</v>
      </c>
      <c r="K564" s="29">
        <v>6.8659269002765533E-2</v>
      </c>
    </row>
    <row r="565" spans="1:11" x14ac:dyDescent="0.25">
      <c r="A565" s="5" t="s">
        <v>6</v>
      </c>
      <c r="B565" s="5" t="s">
        <v>3227</v>
      </c>
      <c r="C565" s="1" t="s">
        <v>3228</v>
      </c>
      <c r="D565" s="5" t="s">
        <v>17414</v>
      </c>
      <c r="E565" s="32">
        <v>3880</v>
      </c>
      <c r="F565" s="27">
        <v>1551496</v>
      </c>
      <c r="G565" s="32">
        <v>5484</v>
      </c>
      <c r="H565" s="27">
        <v>2340124</v>
      </c>
      <c r="I565" s="27">
        <v>399.87010309278349</v>
      </c>
      <c r="J565" s="27">
        <v>426.71845368344276</v>
      </c>
      <c r="K565" s="29">
        <v>6.7142680543010064E-2</v>
      </c>
    </row>
    <row r="566" spans="1:11" x14ac:dyDescent="0.25">
      <c r="A566" s="5" t="s">
        <v>6</v>
      </c>
      <c r="B566" s="5" t="s">
        <v>3229</v>
      </c>
      <c r="C566" s="1" t="s">
        <v>3230</v>
      </c>
      <c r="D566" s="5" t="s">
        <v>17406</v>
      </c>
      <c r="E566" s="32">
        <v>303</v>
      </c>
      <c r="F566" s="27">
        <v>71864</v>
      </c>
      <c r="G566" s="32">
        <v>268</v>
      </c>
      <c r="H566" s="27">
        <v>67875</v>
      </c>
      <c r="I566" s="27">
        <v>237.17491749174917</v>
      </c>
      <c r="J566" s="27">
        <v>253.26492537313433</v>
      </c>
      <c r="K566" s="29">
        <v>6.7840259212675391E-2</v>
      </c>
    </row>
    <row r="567" spans="1:11" x14ac:dyDescent="0.25">
      <c r="A567" s="5" t="s">
        <v>6</v>
      </c>
      <c r="B567" s="5" t="s">
        <v>3232</v>
      </c>
      <c r="C567" s="1" t="s">
        <v>3233</v>
      </c>
      <c r="D567" s="5" t="s">
        <v>17415</v>
      </c>
      <c r="E567" s="32">
        <v>4279</v>
      </c>
      <c r="F567" s="27">
        <v>3775229</v>
      </c>
      <c r="G567" s="32">
        <v>4494</v>
      </c>
      <c r="H567" s="27">
        <v>4228020</v>
      </c>
      <c r="I567" s="27">
        <v>882.26898808132739</v>
      </c>
      <c r="J567" s="27">
        <v>940.8144192256342</v>
      </c>
      <c r="K567" s="29">
        <v>6.6357802365495933E-2</v>
      </c>
    </row>
    <row r="568" spans="1:11" x14ac:dyDescent="0.25">
      <c r="A568" s="5" t="s">
        <v>6</v>
      </c>
      <c r="B568" s="5" t="s">
        <v>3235</v>
      </c>
      <c r="C568" s="1" t="s">
        <v>3236</v>
      </c>
      <c r="D568" s="5" t="s">
        <v>17416</v>
      </c>
      <c r="E568" s="32">
        <v>9</v>
      </c>
      <c r="F568" s="27">
        <v>4050</v>
      </c>
      <c r="G568" s="32">
        <v>12</v>
      </c>
      <c r="H568" s="27">
        <v>5724</v>
      </c>
      <c r="I568" s="27">
        <v>450</v>
      </c>
      <c r="J568" s="27">
        <v>477</v>
      </c>
      <c r="K568" s="29">
        <v>0.06</v>
      </c>
    </row>
    <row r="569" spans="1:11" x14ac:dyDescent="0.25">
      <c r="A569" s="5" t="s">
        <v>6</v>
      </c>
      <c r="B569" s="5" t="s">
        <v>3238</v>
      </c>
      <c r="C569" s="1" t="s">
        <v>3239</v>
      </c>
      <c r="D569" s="5" t="s">
        <v>17402</v>
      </c>
      <c r="E569" s="32">
        <v>2984</v>
      </c>
      <c r="F569" s="27">
        <v>921417</v>
      </c>
      <c r="G569" s="32">
        <v>3204</v>
      </c>
      <c r="H569" s="27">
        <v>1058627</v>
      </c>
      <c r="I569" s="27">
        <v>308.78585790884716</v>
      </c>
      <c r="J569" s="27">
        <v>330.40792759051186</v>
      </c>
      <c r="K569" s="29">
        <v>7.0022862536818248E-2</v>
      </c>
    </row>
    <row r="570" spans="1:11" x14ac:dyDescent="0.25">
      <c r="A570" s="5" t="s">
        <v>6</v>
      </c>
      <c r="B570" s="5" t="s">
        <v>3240</v>
      </c>
      <c r="C570" s="1" t="s">
        <v>3241</v>
      </c>
      <c r="D570" s="5" t="s">
        <v>17417</v>
      </c>
      <c r="E570" s="32">
        <v>338</v>
      </c>
      <c r="F570" s="27">
        <v>119632</v>
      </c>
      <c r="G570" s="32">
        <v>556</v>
      </c>
      <c r="H570" s="27">
        <v>210822</v>
      </c>
      <c r="I570" s="27">
        <v>353.94082840236689</v>
      </c>
      <c r="J570" s="27">
        <v>379.17625899280574</v>
      </c>
      <c r="K570" s="29">
        <v>7.1298444726898585E-2</v>
      </c>
    </row>
    <row r="571" spans="1:11" x14ac:dyDescent="0.25">
      <c r="A571" s="5" t="s">
        <v>6</v>
      </c>
      <c r="B571" s="5" t="s">
        <v>3243</v>
      </c>
      <c r="C571" s="1" t="s">
        <v>3244</v>
      </c>
      <c r="D571" s="5" t="s">
        <v>17418</v>
      </c>
      <c r="E571" s="32">
        <v>84</v>
      </c>
      <c r="F571" s="27">
        <v>35694</v>
      </c>
      <c r="G571" s="32">
        <v>94</v>
      </c>
      <c r="H571" s="27">
        <v>42418</v>
      </c>
      <c r="I571" s="27">
        <v>424.92857142857144</v>
      </c>
      <c r="J571" s="27">
        <v>451.25531914893617</v>
      </c>
      <c r="K571" s="29">
        <v>6.195570147673661E-2</v>
      </c>
    </row>
    <row r="572" spans="1:11" x14ac:dyDescent="0.25">
      <c r="A572" s="5" t="s">
        <v>6</v>
      </c>
      <c r="B572" s="5" t="s">
        <v>3249</v>
      </c>
      <c r="C572" s="1" t="s">
        <v>3250</v>
      </c>
      <c r="D572" s="5" t="s">
        <v>17419</v>
      </c>
      <c r="E572" s="32">
        <v>28</v>
      </c>
      <c r="F572" s="27">
        <v>5896</v>
      </c>
      <c r="G572" s="32">
        <v>31</v>
      </c>
      <c r="H572" s="27">
        <v>6943</v>
      </c>
      <c r="I572" s="27">
        <v>210.57142857142858</v>
      </c>
      <c r="J572" s="27">
        <v>223.96774193548387</v>
      </c>
      <c r="K572" s="29">
        <v>6.3618855867291046E-2</v>
      </c>
    </row>
    <row r="573" spans="1:11" x14ac:dyDescent="0.25">
      <c r="A573" s="5" t="s">
        <v>6</v>
      </c>
      <c r="B573" s="5" t="s">
        <v>3268</v>
      </c>
      <c r="C573" s="1" t="s">
        <v>3269</v>
      </c>
      <c r="D573" s="5" t="s">
        <v>17420</v>
      </c>
      <c r="E573" s="32">
        <v>7183</v>
      </c>
      <c r="F573" s="27">
        <v>346723</v>
      </c>
      <c r="G573" s="32">
        <v>8777</v>
      </c>
      <c r="H573" s="27">
        <v>453897</v>
      </c>
      <c r="I573" s="27">
        <v>48.269942920785191</v>
      </c>
      <c r="J573" s="27">
        <v>51.714367095818616</v>
      </c>
      <c r="K573" s="29">
        <v>7.1357535696406335E-2</v>
      </c>
    </row>
    <row r="574" spans="1:11" x14ac:dyDescent="0.25">
      <c r="A574" s="5" t="s">
        <v>6</v>
      </c>
      <c r="B574" s="5" t="s">
        <v>3270</v>
      </c>
      <c r="C574" s="1" t="s">
        <v>3271</v>
      </c>
      <c r="D574" s="5" t="s">
        <v>17420</v>
      </c>
      <c r="E574" s="32">
        <v>73410</v>
      </c>
      <c r="F574" s="27">
        <v>6383122</v>
      </c>
      <c r="G574" s="32">
        <v>88170</v>
      </c>
      <c r="H574" s="27">
        <v>8170441</v>
      </c>
      <c r="I574" s="27">
        <v>86.951668709985015</v>
      </c>
      <c r="J574" s="27">
        <v>92.666904842917091</v>
      </c>
      <c r="K574" s="29">
        <v>6.5728883846892447E-2</v>
      </c>
    </row>
    <row r="575" spans="1:11" x14ac:dyDescent="0.25">
      <c r="A575" s="5" t="s">
        <v>6</v>
      </c>
      <c r="B575" s="5" t="s">
        <v>3275</v>
      </c>
      <c r="C575" s="1" t="s">
        <v>3276</v>
      </c>
      <c r="D575" s="5" t="s">
        <v>17421</v>
      </c>
      <c r="E575" s="32">
        <v>59</v>
      </c>
      <c r="F575" s="27">
        <v>71225</v>
      </c>
      <c r="G575" s="32">
        <v>80</v>
      </c>
      <c r="H575" s="27">
        <v>102954</v>
      </c>
      <c r="I575" s="27">
        <v>1207.2033898305085</v>
      </c>
      <c r="J575" s="27">
        <v>1286.925</v>
      </c>
      <c r="K575" s="29">
        <v>6.6038259038258967E-2</v>
      </c>
    </row>
    <row r="576" spans="1:11" x14ac:dyDescent="0.25">
      <c r="A576" s="5" t="s">
        <v>6</v>
      </c>
      <c r="B576" s="5" t="s">
        <v>3281</v>
      </c>
      <c r="C576" s="1" t="s">
        <v>3282</v>
      </c>
      <c r="D576" s="5" t="s">
        <v>17422</v>
      </c>
      <c r="E576" s="32">
        <v>3649</v>
      </c>
      <c r="F576" s="27">
        <v>2701940</v>
      </c>
      <c r="G576" s="32">
        <v>4435</v>
      </c>
      <c r="H576" s="27">
        <v>3510270</v>
      </c>
      <c r="I576" s="27">
        <v>740.46040010961906</v>
      </c>
      <c r="J576" s="27">
        <v>791.49267192784669</v>
      </c>
      <c r="K576" s="29">
        <v>6.8919650275251348E-2</v>
      </c>
    </row>
    <row r="577" spans="1:11" x14ac:dyDescent="0.25">
      <c r="A577" s="5" t="s">
        <v>6</v>
      </c>
      <c r="B577" s="5" t="s">
        <v>3284</v>
      </c>
      <c r="C577" s="1" t="s">
        <v>3285</v>
      </c>
      <c r="D577" s="5" t="s">
        <v>17423</v>
      </c>
      <c r="E577" s="32">
        <v>18</v>
      </c>
      <c r="F577" s="27">
        <v>9616</v>
      </c>
      <c r="G577" s="32">
        <v>40</v>
      </c>
      <c r="H577" s="27">
        <v>22291</v>
      </c>
      <c r="I577" s="27">
        <v>534.22222222222217</v>
      </c>
      <c r="J577" s="27">
        <v>557.27499999999998</v>
      </c>
      <c r="K577" s="29">
        <v>4.3152038269550802E-2</v>
      </c>
    </row>
    <row r="578" spans="1:11" x14ac:dyDescent="0.25">
      <c r="A578" s="5" t="s">
        <v>6</v>
      </c>
      <c r="B578" s="5" t="s">
        <v>3287</v>
      </c>
      <c r="C578" s="1" t="s">
        <v>3288</v>
      </c>
      <c r="D578" s="5" t="s">
        <v>17424</v>
      </c>
      <c r="E578" s="32">
        <v>29</v>
      </c>
      <c r="F578" s="27">
        <v>10867</v>
      </c>
      <c r="G578" s="32">
        <v>48</v>
      </c>
      <c r="H578" s="27">
        <v>19407</v>
      </c>
      <c r="I578" s="27">
        <v>374.72413793103448</v>
      </c>
      <c r="J578" s="27">
        <v>404.3125</v>
      </c>
      <c r="K578" s="29">
        <v>7.8960384650777607E-2</v>
      </c>
    </row>
    <row r="579" spans="1:11" x14ac:dyDescent="0.25">
      <c r="A579" s="5" t="s">
        <v>6</v>
      </c>
      <c r="B579" s="5" t="s">
        <v>3293</v>
      </c>
      <c r="C579" s="1" t="s">
        <v>3294</v>
      </c>
      <c r="D579" s="5" t="s">
        <v>17425</v>
      </c>
      <c r="E579" s="32">
        <v>12</v>
      </c>
      <c r="F579" s="27">
        <v>3330</v>
      </c>
      <c r="G579" s="32">
        <v>12</v>
      </c>
      <c r="H579" s="27">
        <v>3626</v>
      </c>
      <c r="I579" s="27">
        <v>277.5</v>
      </c>
      <c r="J579" s="27">
        <v>302.16666666666669</v>
      </c>
      <c r="K579" s="29">
        <v>8.8888888888888962E-2</v>
      </c>
    </row>
    <row r="580" spans="1:11" x14ac:dyDescent="0.25">
      <c r="A580" s="5" t="s">
        <v>6</v>
      </c>
      <c r="B580" s="5" t="s">
        <v>3298</v>
      </c>
      <c r="C580" s="1" t="s">
        <v>3299</v>
      </c>
      <c r="D580" s="5" t="s">
        <v>17426</v>
      </c>
      <c r="E580" s="32">
        <v>1</v>
      </c>
      <c r="F580" s="27">
        <v>1222</v>
      </c>
      <c r="G580" s="32">
        <v>2</v>
      </c>
      <c r="H580" s="27">
        <v>2640</v>
      </c>
      <c r="I580" s="27">
        <v>1222</v>
      </c>
      <c r="J580" s="27">
        <v>1320</v>
      </c>
      <c r="K580" s="29">
        <v>8.0196399345335512E-2</v>
      </c>
    </row>
    <row r="581" spans="1:11" x14ac:dyDescent="0.25">
      <c r="A581" s="5" t="s">
        <v>6</v>
      </c>
      <c r="B581" s="5" t="s">
        <v>3304</v>
      </c>
      <c r="C581" s="1" t="s">
        <v>3305</v>
      </c>
      <c r="D581" s="5" t="s">
        <v>17427</v>
      </c>
      <c r="E581" s="32">
        <v>20</v>
      </c>
      <c r="F581" s="27">
        <v>11030</v>
      </c>
      <c r="G581" s="32">
        <v>20</v>
      </c>
      <c r="H581" s="27">
        <v>11705</v>
      </c>
      <c r="I581" s="27">
        <v>551.5</v>
      </c>
      <c r="J581" s="27">
        <v>585.25</v>
      </c>
      <c r="K581" s="29">
        <v>6.1196736174070718E-2</v>
      </c>
    </row>
    <row r="582" spans="1:11" x14ac:dyDescent="0.25">
      <c r="A582" s="5" t="s">
        <v>6</v>
      </c>
      <c r="B582" s="5" t="s">
        <v>3307</v>
      </c>
      <c r="C582" s="1" t="s">
        <v>3308</v>
      </c>
      <c r="D582" s="5" t="s">
        <v>17428</v>
      </c>
      <c r="E582" s="32">
        <v>3</v>
      </c>
      <c r="F582" s="27">
        <v>2079</v>
      </c>
      <c r="I582" s="27">
        <v>693</v>
      </c>
    </row>
    <row r="583" spans="1:11" x14ac:dyDescent="0.25">
      <c r="A583" s="5" t="s">
        <v>6</v>
      </c>
      <c r="B583" s="5" t="s">
        <v>3310</v>
      </c>
      <c r="C583" s="1" t="s">
        <v>3311</v>
      </c>
      <c r="D583" s="5" t="s">
        <v>17429</v>
      </c>
      <c r="E583" s="32">
        <v>243</v>
      </c>
      <c r="F583" s="27">
        <v>59324</v>
      </c>
      <c r="G583" s="32">
        <v>274</v>
      </c>
      <c r="H583" s="27">
        <v>71392</v>
      </c>
      <c r="I583" s="27">
        <v>244.13168724279836</v>
      </c>
      <c r="J583" s="27">
        <v>260.55474452554745</v>
      </c>
      <c r="K583" s="29">
        <v>6.7271305368957382E-2</v>
      </c>
    </row>
    <row r="584" spans="1:11" x14ac:dyDescent="0.25">
      <c r="A584" s="5" t="s">
        <v>6</v>
      </c>
      <c r="B584" s="5" t="s">
        <v>3313</v>
      </c>
      <c r="C584" s="1" t="s">
        <v>3314</v>
      </c>
      <c r="D584" s="5" t="s">
        <v>17430</v>
      </c>
      <c r="E584" s="32">
        <v>133</v>
      </c>
      <c r="F584" s="27">
        <v>59856</v>
      </c>
      <c r="G584" s="32">
        <v>109</v>
      </c>
      <c r="H584" s="27">
        <v>52404</v>
      </c>
      <c r="I584" s="27">
        <v>450.04511278195491</v>
      </c>
      <c r="J584" s="27">
        <v>480.77064220183485</v>
      </c>
      <c r="K584" s="29">
        <v>6.8272109944600895E-2</v>
      </c>
    </row>
    <row r="585" spans="1:11" x14ac:dyDescent="0.25">
      <c r="A585" s="5" t="s">
        <v>6</v>
      </c>
      <c r="B585" s="5" t="s">
        <v>3316</v>
      </c>
      <c r="C585" s="1" t="s">
        <v>3317</v>
      </c>
      <c r="D585" s="5" t="s">
        <v>17431</v>
      </c>
      <c r="E585" s="32">
        <v>447</v>
      </c>
      <c r="F585" s="27">
        <v>930504</v>
      </c>
      <c r="G585" s="32">
        <v>451</v>
      </c>
      <c r="H585" s="27">
        <v>1009500</v>
      </c>
      <c r="I585" s="27">
        <v>2081.6644295302012</v>
      </c>
      <c r="J585" s="27">
        <v>2238.359201773836</v>
      </c>
      <c r="K585" s="29">
        <v>7.527379054029297E-2</v>
      </c>
    </row>
    <row r="586" spans="1:11" x14ac:dyDescent="0.25">
      <c r="A586" s="5" t="s">
        <v>6</v>
      </c>
      <c r="B586" s="5" t="s">
        <v>3319</v>
      </c>
      <c r="C586" s="1" t="s">
        <v>3320</v>
      </c>
      <c r="D586" s="5" t="s">
        <v>17432</v>
      </c>
      <c r="E586" s="32">
        <v>91</v>
      </c>
      <c r="F586" s="27">
        <v>295317</v>
      </c>
      <c r="G586" s="32">
        <v>79</v>
      </c>
      <c r="H586" s="27">
        <v>275538</v>
      </c>
      <c r="I586" s="27">
        <v>3245.2417582417584</v>
      </c>
      <c r="J586" s="27">
        <v>3487.8227848101264</v>
      </c>
      <c r="K586" s="29">
        <v>7.4749755069032586E-2</v>
      </c>
    </row>
    <row r="587" spans="1:11" x14ac:dyDescent="0.25">
      <c r="A587" s="5" t="s">
        <v>6</v>
      </c>
      <c r="B587" s="5" t="s">
        <v>3322</v>
      </c>
      <c r="C587" s="1" t="s">
        <v>3323</v>
      </c>
      <c r="D587" s="5" t="s">
        <v>17433</v>
      </c>
      <c r="E587" s="32">
        <v>982</v>
      </c>
      <c r="F587" s="27">
        <v>220142</v>
      </c>
      <c r="G587" s="32">
        <v>999</v>
      </c>
      <c r="H587" s="27">
        <v>239013</v>
      </c>
      <c r="I587" s="27">
        <v>224.17718940936862</v>
      </c>
      <c r="J587" s="27">
        <v>239.25225225225225</v>
      </c>
      <c r="K587" s="29">
        <v>6.7246194327805334E-2</v>
      </c>
    </row>
    <row r="588" spans="1:11" x14ac:dyDescent="0.25">
      <c r="A588" s="5" t="s">
        <v>6</v>
      </c>
      <c r="B588" s="5" t="s">
        <v>3324</v>
      </c>
      <c r="C588" s="1" t="s">
        <v>3325</v>
      </c>
      <c r="D588" s="5" t="s">
        <v>17434</v>
      </c>
      <c r="E588" s="32">
        <v>10</v>
      </c>
      <c r="F588" s="27">
        <v>5744</v>
      </c>
      <c r="I588" s="27">
        <v>574.4</v>
      </c>
    </row>
    <row r="589" spans="1:11" x14ac:dyDescent="0.25">
      <c r="A589" s="5" t="s">
        <v>6</v>
      </c>
      <c r="B589" s="5" t="s">
        <v>3330</v>
      </c>
      <c r="C589" s="1" t="s">
        <v>3331</v>
      </c>
      <c r="D589" s="5" t="s">
        <v>17435</v>
      </c>
      <c r="E589" s="32">
        <v>114</v>
      </c>
      <c r="F589" s="27">
        <v>22740</v>
      </c>
      <c r="G589" s="32">
        <v>135</v>
      </c>
      <c r="H589" s="27">
        <v>28486</v>
      </c>
      <c r="I589" s="27">
        <v>199.47368421052633</v>
      </c>
      <c r="J589" s="27">
        <v>211.00740740740741</v>
      </c>
      <c r="K589" s="29">
        <v>5.7820775921039728E-2</v>
      </c>
    </row>
    <row r="590" spans="1:11" x14ac:dyDescent="0.25">
      <c r="A590" s="5" t="s">
        <v>6</v>
      </c>
      <c r="B590" s="5" t="s">
        <v>3333</v>
      </c>
      <c r="C590" s="1" t="s">
        <v>3334</v>
      </c>
      <c r="D590" s="5" t="s">
        <v>17436</v>
      </c>
      <c r="E590" s="32">
        <v>70</v>
      </c>
      <c r="F590" s="27">
        <v>36060</v>
      </c>
      <c r="G590" s="32">
        <v>45</v>
      </c>
      <c r="H590" s="27">
        <v>24915</v>
      </c>
      <c r="I590" s="27">
        <v>515.14285714285711</v>
      </c>
      <c r="J590" s="27">
        <v>553.66666666666663</v>
      </c>
      <c r="K590" s="29">
        <v>7.4782769458310222E-2</v>
      </c>
    </row>
    <row r="591" spans="1:11" x14ac:dyDescent="0.25">
      <c r="A591" s="5" t="s">
        <v>6</v>
      </c>
      <c r="B591" s="5" t="s">
        <v>3336</v>
      </c>
      <c r="C591" s="1" t="s">
        <v>3337</v>
      </c>
      <c r="D591" s="5" t="s">
        <v>17437</v>
      </c>
      <c r="E591" s="32">
        <v>10</v>
      </c>
      <c r="F591" s="27">
        <v>2473</v>
      </c>
      <c r="I591" s="27">
        <v>247.3</v>
      </c>
    </row>
    <row r="592" spans="1:11" x14ac:dyDescent="0.25">
      <c r="A592" s="5" t="s">
        <v>6</v>
      </c>
      <c r="B592" s="5" t="s">
        <v>3345</v>
      </c>
      <c r="C592" s="1" t="s">
        <v>3346</v>
      </c>
      <c r="D592" s="5" t="s">
        <v>17438</v>
      </c>
      <c r="E592" s="32">
        <v>1003</v>
      </c>
      <c r="F592" s="27">
        <v>794700</v>
      </c>
      <c r="G592" s="32">
        <v>1043</v>
      </c>
      <c r="H592" s="27">
        <v>883116</v>
      </c>
      <c r="I592" s="27">
        <v>792.32303090727817</v>
      </c>
      <c r="J592" s="27">
        <v>846.7075743048897</v>
      </c>
      <c r="K592" s="29">
        <v>6.8639357025046394E-2</v>
      </c>
    </row>
    <row r="593" spans="1:11" x14ac:dyDescent="0.25">
      <c r="A593" s="5" t="s">
        <v>6</v>
      </c>
      <c r="B593" s="5" t="s">
        <v>3348</v>
      </c>
      <c r="C593" s="1" t="s">
        <v>3349</v>
      </c>
      <c r="D593" s="5" t="s">
        <v>17419</v>
      </c>
      <c r="E593" s="32">
        <v>39</v>
      </c>
      <c r="F593" s="27">
        <v>7515</v>
      </c>
      <c r="G593" s="32">
        <v>52</v>
      </c>
      <c r="H593" s="27">
        <v>10652</v>
      </c>
      <c r="I593" s="27">
        <v>192.69230769230768</v>
      </c>
      <c r="J593" s="27">
        <v>204.84615384615384</v>
      </c>
      <c r="K593" s="29">
        <v>6.3073852295409225E-2</v>
      </c>
    </row>
    <row r="594" spans="1:11" x14ac:dyDescent="0.25">
      <c r="A594" s="5" t="s">
        <v>6</v>
      </c>
      <c r="B594" s="5" t="s">
        <v>3355</v>
      </c>
      <c r="C594" s="1" t="s">
        <v>3356</v>
      </c>
      <c r="D594" s="5" t="s">
        <v>17439</v>
      </c>
      <c r="E594" s="32">
        <v>3141</v>
      </c>
      <c r="F594" s="27">
        <v>1747359</v>
      </c>
      <c r="G594" s="32">
        <v>2988</v>
      </c>
      <c r="H594" s="27">
        <v>1775862</v>
      </c>
      <c r="I594" s="27">
        <v>556.30659025787963</v>
      </c>
      <c r="J594" s="27">
        <v>594.33132530120486</v>
      </c>
      <c r="K594" s="29">
        <v>6.8352120412053005E-2</v>
      </c>
    </row>
    <row r="595" spans="1:11" x14ac:dyDescent="0.25">
      <c r="A595" s="5" t="s">
        <v>6</v>
      </c>
      <c r="B595" s="5" t="s">
        <v>3358</v>
      </c>
      <c r="C595" s="1" t="s">
        <v>3359</v>
      </c>
      <c r="D595" s="5" t="s">
        <v>17440</v>
      </c>
      <c r="E595" s="32">
        <v>452</v>
      </c>
      <c r="F595" s="27">
        <v>99848</v>
      </c>
      <c r="G595" s="32">
        <v>538</v>
      </c>
      <c r="H595" s="27">
        <v>129490</v>
      </c>
      <c r="I595" s="27">
        <v>220.90265486725664</v>
      </c>
      <c r="J595" s="27">
        <v>240.68773234200742</v>
      </c>
      <c r="K595" s="29">
        <v>8.956468851241238E-2</v>
      </c>
    </row>
    <row r="596" spans="1:11" x14ac:dyDescent="0.25">
      <c r="A596" s="5" t="s">
        <v>6</v>
      </c>
      <c r="B596" s="5" t="s">
        <v>3361</v>
      </c>
      <c r="C596" s="1" t="s">
        <v>3362</v>
      </c>
      <c r="D596" s="5" t="s">
        <v>17441</v>
      </c>
      <c r="E596" s="32">
        <v>763</v>
      </c>
      <c r="F596" s="27">
        <v>907350</v>
      </c>
      <c r="G596" s="32">
        <v>739</v>
      </c>
      <c r="H596" s="27">
        <v>937823</v>
      </c>
      <c r="I596" s="27">
        <v>1189.1874180865007</v>
      </c>
      <c r="J596" s="27">
        <v>1269.043301759134</v>
      </c>
      <c r="K596" s="29">
        <v>6.71516385542726E-2</v>
      </c>
    </row>
    <row r="597" spans="1:11" x14ac:dyDescent="0.25">
      <c r="A597" s="5" t="s">
        <v>6</v>
      </c>
      <c r="B597" s="5" t="s">
        <v>3366</v>
      </c>
      <c r="C597" s="1" t="s">
        <v>3367</v>
      </c>
      <c r="D597" s="5" t="s">
        <v>17442</v>
      </c>
      <c r="E597" s="32">
        <v>265</v>
      </c>
      <c r="F597" s="27">
        <v>59386</v>
      </c>
      <c r="G597" s="32">
        <v>220</v>
      </c>
      <c r="H597" s="27">
        <v>52690</v>
      </c>
      <c r="I597" s="27">
        <v>224.09811320754716</v>
      </c>
      <c r="J597" s="27">
        <v>239.5</v>
      </c>
      <c r="K597" s="29">
        <v>6.8728319806014945E-2</v>
      </c>
    </row>
    <row r="598" spans="1:11" x14ac:dyDescent="0.25">
      <c r="A598" s="5" t="s">
        <v>6</v>
      </c>
      <c r="B598" s="5" t="s">
        <v>3387</v>
      </c>
      <c r="C598" s="1" t="s">
        <v>3388</v>
      </c>
      <c r="D598" s="5" t="s">
        <v>17443</v>
      </c>
      <c r="E598" s="32">
        <v>11</v>
      </c>
      <c r="F598" s="27">
        <v>13255</v>
      </c>
      <c r="I598" s="27">
        <v>1205</v>
      </c>
    </row>
    <row r="599" spans="1:11" x14ac:dyDescent="0.25">
      <c r="A599" s="5" t="s">
        <v>6</v>
      </c>
      <c r="B599" s="5" t="s">
        <v>3390</v>
      </c>
      <c r="C599" s="1" t="s">
        <v>3391</v>
      </c>
      <c r="D599" s="5" t="s">
        <v>17444</v>
      </c>
      <c r="E599" s="32">
        <v>7</v>
      </c>
      <c r="F599" s="27">
        <v>4732</v>
      </c>
      <c r="G599" s="32">
        <v>19</v>
      </c>
      <c r="H599" s="27">
        <v>13965</v>
      </c>
      <c r="I599" s="27">
        <v>676</v>
      </c>
      <c r="J599" s="27">
        <v>735</v>
      </c>
      <c r="K599" s="29">
        <v>8.7278106508875741E-2</v>
      </c>
    </row>
    <row r="600" spans="1:11" x14ac:dyDescent="0.25">
      <c r="A600" s="5" t="s">
        <v>6</v>
      </c>
      <c r="B600" s="5" t="s">
        <v>3402</v>
      </c>
      <c r="C600" s="1" t="s">
        <v>3403</v>
      </c>
      <c r="D600" s="5" t="s">
        <v>17445</v>
      </c>
      <c r="E600" s="32">
        <v>15</v>
      </c>
      <c r="F600" s="27">
        <v>55834</v>
      </c>
      <c r="G600" s="32">
        <v>8</v>
      </c>
      <c r="H600" s="27">
        <v>31300</v>
      </c>
      <c r="I600" s="27">
        <v>3722.2666666666669</v>
      </c>
      <c r="J600" s="27">
        <v>3912.5</v>
      </c>
      <c r="K600" s="29">
        <v>5.1106852455493006E-2</v>
      </c>
    </row>
    <row r="601" spans="1:11" x14ac:dyDescent="0.25">
      <c r="A601" s="5" t="s">
        <v>6</v>
      </c>
      <c r="B601" s="5" t="s">
        <v>3405</v>
      </c>
      <c r="C601" s="1" t="s">
        <v>3406</v>
      </c>
      <c r="D601" s="5" t="s">
        <v>17446</v>
      </c>
      <c r="E601" s="32">
        <v>22586</v>
      </c>
      <c r="F601" s="27">
        <v>28922212</v>
      </c>
      <c r="G601" s="32">
        <v>24223</v>
      </c>
      <c r="H601" s="27">
        <v>33112327</v>
      </c>
      <c r="I601" s="27">
        <v>1280.5371469051624</v>
      </c>
      <c r="J601" s="27">
        <v>1366.9787804978739</v>
      </c>
      <c r="K601" s="29">
        <v>6.7504198376147073E-2</v>
      </c>
    </row>
    <row r="602" spans="1:11" x14ac:dyDescent="0.25">
      <c r="A602" s="5" t="s">
        <v>6</v>
      </c>
      <c r="B602" s="5" t="s">
        <v>3407</v>
      </c>
      <c r="C602" s="1" t="s">
        <v>3408</v>
      </c>
      <c r="D602" s="5" t="s">
        <v>17447</v>
      </c>
      <c r="E602" s="32">
        <v>815</v>
      </c>
      <c r="F602" s="27">
        <v>2984574</v>
      </c>
      <c r="G602" s="32">
        <v>869</v>
      </c>
      <c r="H602" s="27">
        <v>3397944</v>
      </c>
      <c r="I602" s="27">
        <v>3662.0539877300612</v>
      </c>
      <c r="J602" s="27">
        <v>3910.1772151898736</v>
      </c>
      <c r="K602" s="29">
        <v>6.7755207403048842E-2</v>
      </c>
    </row>
    <row r="603" spans="1:11" x14ac:dyDescent="0.25">
      <c r="A603" s="5" t="s">
        <v>6</v>
      </c>
      <c r="B603" s="5" t="s">
        <v>3416</v>
      </c>
      <c r="C603" s="1" t="s">
        <v>3417</v>
      </c>
      <c r="D603" s="5" t="s">
        <v>17448</v>
      </c>
      <c r="E603" s="32">
        <v>78</v>
      </c>
      <c r="F603" s="27">
        <v>116604</v>
      </c>
      <c r="G603" s="32">
        <v>82</v>
      </c>
      <c r="H603" s="27">
        <v>131494</v>
      </c>
      <c r="I603" s="27">
        <v>1494.9230769230769</v>
      </c>
      <c r="J603" s="27">
        <v>1603.5853658536585</v>
      </c>
      <c r="K603" s="29">
        <v>7.2687545337941764E-2</v>
      </c>
    </row>
    <row r="604" spans="1:11" x14ac:dyDescent="0.25">
      <c r="A604" s="5" t="s">
        <v>6</v>
      </c>
      <c r="B604" s="5" t="s">
        <v>3419</v>
      </c>
      <c r="C604" s="1" t="s">
        <v>3420</v>
      </c>
      <c r="D604" s="5" t="s">
        <v>17449</v>
      </c>
      <c r="E604" s="32">
        <v>12</v>
      </c>
      <c r="F604" s="27">
        <v>13974</v>
      </c>
      <c r="I604" s="27">
        <v>1164.5</v>
      </c>
    </row>
    <row r="605" spans="1:11" x14ac:dyDescent="0.25">
      <c r="A605" s="5" t="s">
        <v>6</v>
      </c>
      <c r="B605" s="5" t="s">
        <v>3422</v>
      </c>
      <c r="C605" s="1" t="s">
        <v>3423</v>
      </c>
      <c r="D605" s="5" t="s">
        <v>17450</v>
      </c>
      <c r="E605" s="32">
        <v>12</v>
      </c>
      <c r="F605" s="27">
        <v>16614</v>
      </c>
      <c r="I605" s="27">
        <v>1384.5</v>
      </c>
    </row>
    <row r="606" spans="1:11" x14ac:dyDescent="0.25">
      <c r="A606" s="5" t="s">
        <v>6</v>
      </c>
      <c r="B606" s="5" t="s">
        <v>3428</v>
      </c>
      <c r="C606" s="1" t="s">
        <v>3429</v>
      </c>
      <c r="D606" s="5" t="s">
        <v>17451</v>
      </c>
      <c r="E606" s="32">
        <v>3623</v>
      </c>
      <c r="F606" s="27">
        <v>26669625</v>
      </c>
      <c r="G606" s="32">
        <v>4073</v>
      </c>
      <c r="H606" s="27">
        <v>32000235</v>
      </c>
      <c r="I606" s="27">
        <v>7361.1992823626824</v>
      </c>
      <c r="J606" s="27">
        <v>7856.6744414436534</v>
      </c>
      <c r="K606" s="29">
        <v>6.7309026705488287E-2</v>
      </c>
    </row>
    <row r="607" spans="1:11" x14ac:dyDescent="0.25">
      <c r="A607" s="5" t="s">
        <v>6</v>
      </c>
      <c r="B607" s="5" t="s">
        <v>3431</v>
      </c>
      <c r="C607" s="1" t="s">
        <v>3432</v>
      </c>
      <c r="D607" s="5" t="s">
        <v>17452</v>
      </c>
      <c r="E607" s="32">
        <v>196</v>
      </c>
      <c r="F607" s="27">
        <v>661244</v>
      </c>
      <c r="G607" s="32">
        <v>248</v>
      </c>
      <c r="H607" s="27">
        <v>893424</v>
      </c>
      <c r="I607" s="27">
        <v>3373.6938775510203</v>
      </c>
      <c r="J607" s="27">
        <v>3602.516129032258</v>
      </c>
      <c r="K607" s="29">
        <v>6.7825434015768168E-2</v>
      </c>
    </row>
    <row r="608" spans="1:11" x14ac:dyDescent="0.25">
      <c r="A608" s="5" t="s">
        <v>6</v>
      </c>
      <c r="B608" s="5" t="s">
        <v>3441</v>
      </c>
      <c r="C608" s="1" t="s">
        <v>3442</v>
      </c>
      <c r="D608" s="5" t="s">
        <v>17453</v>
      </c>
      <c r="E608" s="32">
        <v>79</v>
      </c>
      <c r="F608" s="27">
        <v>887190</v>
      </c>
      <c r="G608" s="32">
        <v>91</v>
      </c>
      <c r="H608" s="27">
        <v>1093601</v>
      </c>
      <c r="I608" s="27">
        <v>11230.253164556962</v>
      </c>
      <c r="J608" s="27">
        <v>12017.593406593407</v>
      </c>
      <c r="K608" s="29">
        <v>7.010885956884004E-2</v>
      </c>
    </row>
    <row r="609" spans="1:11" x14ac:dyDescent="0.25">
      <c r="A609" s="5" t="s">
        <v>6</v>
      </c>
      <c r="B609" s="5" t="s">
        <v>3447</v>
      </c>
      <c r="C609" s="1" t="s">
        <v>3448</v>
      </c>
      <c r="D609" s="5" t="s">
        <v>17454</v>
      </c>
      <c r="E609" s="32">
        <v>253</v>
      </c>
      <c r="F609" s="27">
        <v>1568149</v>
      </c>
      <c r="G609" s="32">
        <v>281</v>
      </c>
      <c r="H609" s="27">
        <v>1854093</v>
      </c>
      <c r="I609" s="27">
        <v>6198.217391304348</v>
      </c>
      <c r="J609" s="27">
        <v>6598.1957295373668</v>
      </c>
      <c r="K609" s="29">
        <v>6.4531189047057236E-2</v>
      </c>
    </row>
    <row r="610" spans="1:11" x14ac:dyDescent="0.25">
      <c r="A610" s="5" t="s">
        <v>6</v>
      </c>
      <c r="B610" s="5" t="s">
        <v>3450</v>
      </c>
      <c r="C610" s="1" t="s">
        <v>3451</v>
      </c>
      <c r="D610" s="5" t="s">
        <v>17455</v>
      </c>
      <c r="E610" s="32">
        <v>24</v>
      </c>
      <c r="F610" s="27">
        <v>49776</v>
      </c>
      <c r="G610" s="32">
        <v>16</v>
      </c>
      <c r="H610" s="27">
        <v>36348</v>
      </c>
      <c r="I610" s="27">
        <v>2074</v>
      </c>
      <c r="J610" s="27">
        <v>2271.75</v>
      </c>
      <c r="K610" s="29">
        <v>9.5347155255544838E-2</v>
      </c>
    </row>
    <row r="611" spans="1:11" x14ac:dyDescent="0.25">
      <c r="A611" s="5" t="s">
        <v>6</v>
      </c>
      <c r="B611" s="5" t="s">
        <v>3456</v>
      </c>
      <c r="C611" s="1" t="s">
        <v>3457</v>
      </c>
      <c r="D611" s="5" t="s">
        <v>17456</v>
      </c>
      <c r="E611" s="32">
        <v>0</v>
      </c>
      <c r="F611" s="27">
        <v>0</v>
      </c>
      <c r="G611" s="32">
        <v>2</v>
      </c>
      <c r="H611" s="27">
        <v>11374</v>
      </c>
      <c r="J611" s="27">
        <v>5687</v>
      </c>
    </row>
    <row r="612" spans="1:11" x14ac:dyDescent="0.25">
      <c r="A612" s="5" t="s">
        <v>6</v>
      </c>
      <c r="B612" s="5" t="s">
        <v>3465</v>
      </c>
      <c r="C612" s="1" t="s">
        <v>3466</v>
      </c>
      <c r="E612" s="32">
        <v>2</v>
      </c>
      <c r="F612" s="27">
        <v>45354</v>
      </c>
      <c r="I612" s="27">
        <v>22677</v>
      </c>
    </row>
    <row r="613" spans="1:11" x14ac:dyDescent="0.25">
      <c r="A613" s="5" t="s">
        <v>6</v>
      </c>
      <c r="B613" s="5" t="s">
        <v>3468</v>
      </c>
      <c r="C613" s="1" t="s">
        <v>3469</v>
      </c>
      <c r="E613" s="32">
        <v>1</v>
      </c>
      <c r="F613" s="27">
        <v>23051</v>
      </c>
      <c r="I613" s="27">
        <v>23051</v>
      </c>
    </row>
    <row r="614" spans="1:11" x14ac:dyDescent="0.25">
      <c r="A614" s="5" t="s">
        <v>6</v>
      </c>
      <c r="B614" s="5" t="s">
        <v>3471</v>
      </c>
      <c r="C614" s="1" t="s">
        <v>3472</v>
      </c>
      <c r="E614" s="32">
        <v>5</v>
      </c>
      <c r="F614" s="27">
        <v>160512</v>
      </c>
      <c r="G614" s="32">
        <v>2</v>
      </c>
      <c r="H614" s="27">
        <v>67848</v>
      </c>
      <c r="I614" s="27">
        <v>32102.400000000001</v>
      </c>
      <c r="J614" s="27">
        <v>33924</v>
      </c>
      <c r="K614" s="29">
        <v>5.6743421052631533E-2</v>
      </c>
    </row>
    <row r="615" spans="1:11" x14ac:dyDescent="0.25">
      <c r="A615" s="5" t="s">
        <v>6</v>
      </c>
      <c r="B615" s="5" t="s">
        <v>3474</v>
      </c>
      <c r="C615" s="1" t="s">
        <v>3475</v>
      </c>
      <c r="E615" s="32">
        <v>1</v>
      </c>
      <c r="F615" s="27">
        <v>35981</v>
      </c>
      <c r="I615" s="27">
        <v>35981</v>
      </c>
    </row>
    <row r="616" spans="1:11" x14ac:dyDescent="0.25">
      <c r="A616" s="5" t="s">
        <v>6</v>
      </c>
      <c r="B616" s="5" t="s">
        <v>3477</v>
      </c>
      <c r="C616" s="1" t="s">
        <v>3478</v>
      </c>
      <c r="E616" s="32">
        <v>8</v>
      </c>
      <c r="F616" s="27">
        <v>183286</v>
      </c>
      <c r="G616" s="32">
        <v>12</v>
      </c>
      <c r="H616" s="27">
        <v>302234</v>
      </c>
      <c r="I616" s="27">
        <v>22910.75</v>
      </c>
      <c r="J616" s="27">
        <v>25186.166666666668</v>
      </c>
      <c r="K616" s="29">
        <v>9.9316550818575031E-2</v>
      </c>
    </row>
    <row r="617" spans="1:11" x14ac:dyDescent="0.25">
      <c r="A617" s="5" t="s">
        <v>6</v>
      </c>
      <c r="B617" s="5" t="s">
        <v>3480</v>
      </c>
      <c r="C617" s="1" t="s">
        <v>3481</v>
      </c>
      <c r="E617" s="32">
        <v>2</v>
      </c>
      <c r="F617" s="27">
        <v>57538</v>
      </c>
      <c r="I617" s="27">
        <v>28769</v>
      </c>
    </row>
    <row r="618" spans="1:11" x14ac:dyDescent="0.25">
      <c r="A618" s="5" t="s">
        <v>6</v>
      </c>
      <c r="B618" s="5" t="s">
        <v>3483</v>
      </c>
      <c r="C618" s="1" t="s">
        <v>3484</v>
      </c>
      <c r="E618" s="32">
        <v>4</v>
      </c>
      <c r="F618" s="27">
        <v>154848</v>
      </c>
      <c r="I618" s="27">
        <v>38712</v>
      </c>
    </row>
    <row r="619" spans="1:11" x14ac:dyDescent="0.25">
      <c r="A619" s="5" t="s">
        <v>6</v>
      </c>
      <c r="B619" s="5" t="s">
        <v>3486</v>
      </c>
      <c r="C619" s="1" t="s">
        <v>3487</v>
      </c>
      <c r="E619" s="32">
        <v>1</v>
      </c>
      <c r="F619" s="27">
        <v>52176</v>
      </c>
      <c r="I619" s="27">
        <v>52176</v>
      </c>
    </row>
    <row r="620" spans="1:11" x14ac:dyDescent="0.25">
      <c r="A620" s="5" t="s">
        <v>6</v>
      </c>
      <c r="B620" s="5" t="s">
        <v>3489</v>
      </c>
      <c r="C620" s="1" t="s">
        <v>3490</v>
      </c>
      <c r="E620" s="32">
        <v>7</v>
      </c>
      <c r="F620" s="27">
        <v>161544</v>
      </c>
      <c r="G620" s="32">
        <v>15</v>
      </c>
      <c r="H620" s="27">
        <v>371181</v>
      </c>
      <c r="I620" s="27">
        <v>23077.714285714286</v>
      </c>
      <c r="J620" s="27">
        <v>24745.4</v>
      </c>
      <c r="K620" s="29">
        <v>7.226390333283815E-2</v>
      </c>
    </row>
    <row r="621" spans="1:11" x14ac:dyDescent="0.25">
      <c r="A621" s="5" t="s">
        <v>6</v>
      </c>
      <c r="B621" s="5" t="s">
        <v>3492</v>
      </c>
      <c r="C621" s="1" t="s">
        <v>3493</v>
      </c>
      <c r="E621" s="32">
        <v>6</v>
      </c>
      <c r="F621" s="27">
        <v>209112</v>
      </c>
      <c r="G621" s="32">
        <v>6</v>
      </c>
      <c r="H621" s="27">
        <v>223374</v>
      </c>
      <c r="I621" s="27">
        <v>34852</v>
      </c>
      <c r="J621" s="27">
        <v>37229</v>
      </c>
      <c r="K621" s="29">
        <v>6.820268564214392E-2</v>
      </c>
    </row>
    <row r="622" spans="1:11" x14ac:dyDescent="0.25">
      <c r="A622" s="5" t="s">
        <v>6</v>
      </c>
      <c r="B622" s="5" t="s">
        <v>3507</v>
      </c>
      <c r="C622" s="1" t="s">
        <v>3508</v>
      </c>
      <c r="E622" s="32">
        <v>1</v>
      </c>
      <c r="F622" s="27">
        <v>46308</v>
      </c>
      <c r="I622" s="27">
        <v>46308</v>
      </c>
    </row>
    <row r="623" spans="1:11" x14ac:dyDescent="0.25">
      <c r="A623" s="5" t="s">
        <v>6</v>
      </c>
      <c r="B623" s="5" t="s">
        <v>3516</v>
      </c>
      <c r="C623" s="1" t="s">
        <v>3517</v>
      </c>
      <c r="E623" s="32">
        <v>3</v>
      </c>
      <c r="F623" s="27">
        <v>413577</v>
      </c>
      <c r="I623" s="27">
        <v>137859</v>
      </c>
    </row>
    <row r="624" spans="1:11" x14ac:dyDescent="0.25">
      <c r="A624" s="5" t="s">
        <v>6</v>
      </c>
      <c r="B624" s="5" t="s">
        <v>3519</v>
      </c>
      <c r="C624" s="1" t="s">
        <v>3520</v>
      </c>
      <c r="E624" s="32">
        <v>12</v>
      </c>
      <c r="F624" s="27">
        <v>331412</v>
      </c>
      <c r="G624" s="32">
        <v>11</v>
      </c>
      <c r="H624" s="27">
        <v>323530</v>
      </c>
      <c r="I624" s="27">
        <v>27617.666666666668</v>
      </c>
      <c r="J624" s="27">
        <v>29411.81818181818</v>
      </c>
      <c r="K624" s="29">
        <v>6.4963906502535057E-2</v>
      </c>
    </row>
    <row r="625" spans="1:11" x14ac:dyDescent="0.25">
      <c r="A625" s="5" t="s">
        <v>6</v>
      </c>
      <c r="B625" s="5" t="s">
        <v>3522</v>
      </c>
      <c r="C625" s="1" t="s">
        <v>3523</v>
      </c>
      <c r="D625" s="5" t="s">
        <v>17457</v>
      </c>
      <c r="E625" s="32">
        <v>1</v>
      </c>
      <c r="F625" s="27">
        <v>46592</v>
      </c>
      <c r="I625" s="27">
        <v>46592</v>
      </c>
    </row>
    <row r="626" spans="1:11" x14ac:dyDescent="0.25">
      <c r="A626" s="5" t="s">
        <v>6</v>
      </c>
      <c r="B626" s="5" t="s">
        <v>3525</v>
      </c>
      <c r="C626" s="1" t="s">
        <v>3526</v>
      </c>
      <c r="D626" s="5" t="s">
        <v>17458</v>
      </c>
      <c r="E626" s="32">
        <v>14</v>
      </c>
      <c r="F626" s="27">
        <v>239862</v>
      </c>
      <c r="G626" s="32">
        <v>17</v>
      </c>
      <c r="H626" s="27">
        <v>307067</v>
      </c>
      <c r="I626" s="27">
        <v>17133</v>
      </c>
      <c r="J626" s="27">
        <v>18062.764705882353</v>
      </c>
      <c r="K626" s="29">
        <v>5.4267478309832085E-2</v>
      </c>
    </row>
    <row r="627" spans="1:11" x14ac:dyDescent="0.25">
      <c r="A627" s="5" t="s">
        <v>6</v>
      </c>
      <c r="B627" s="5" t="s">
        <v>3531</v>
      </c>
      <c r="C627" s="1" t="s">
        <v>3532</v>
      </c>
      <c r="D627" s="5" t="s">
        <v>17459</v>
      </c>
      <c r="E627" s="32">
        <v>11</v>
      </c>
      <c r="F627" s="27">
        <v>394006</v>
      </c>
      <c r="G627" s="32">
        <v>18</v>
      </c>
      <c r="H627" s="27">
        <v>691947</v>
      </c>
      <c r="I627" s="27">
        <v>35818.727272727272</v>
      </c>
      <c r="J627" s="27">
        <v>38441.5</v>
      </c>
      <c r="K627" s="29">
        <v>7.32235042105958E-2</v>
      </c>
    </row>
    <row r="628" spans="1:11" x14ac:dyDescent="0.25">
      <c r="A628" s="5" t="s">
        <v>6</v>
      </c>
      <c r="B628" s="5" t="s">
        <v>3534</v>
      </c>
      <c r="C628" s="1" t="s">
        <v>3535</v>
      </c>
      <c r="D628" s="5" t="s">
        <v>17460</v>
      </c>
      <c r="E628" s="32">
        <v>0</v>
      </c>
      <c r="F628" s="27">
        <v>0</v>
      </c>
      <c r="G628" s="32">
        <v>1</v>
      </c>
      <c r="H628" s="27">
        <v>20588</v>
      </c>
      <c r="J628" s="27">
        <v>20588</v>
      </c>
    </row>
    <row r="629" spans="1:11" x14ac:dyDescent="0.25">
      <c r="A629" s="5" t="s">
        <v>6</v>
      </c>
      <c r="B629" s="5" t="s">
        <v>3537</v>
      </c>
      <c r="C629" s="1" t="s">
        <v>3538</v>
      </c>
      <c r="D629" s="5" t="s">
        <v>17461</v>
      </c>
      <c r="E629" s="32">
        <v>13</v>
      </c>
      <c r="F629" s="27">
        <v>120814</v>
      </c>
      <c r="G629" s="32">
        <v>17</v>
      </c>
      <c r="H629" s="27">
        <v>167466</v>
      </c>
      <c r="I629" s="27">
        <v>9293.3846153846152</v>
      </c>
      <c r="J629" s="27">
        <v>9850.9411764705874</v>
      </c>
      <c r="K629" s="29">
        <v>5.9994994736683148E-2</v>
      </c>
    </row>
    <row r="630" spans="1:11" x14ac:dyDescent="0.25">
      <c r="A630" s="5" t="s">
        <v>6</v>
      </c>
      <c r="B630" s="5" t="s">
        <v>3540</v>
      </c>
      <c r="C630" s="1" t="s">
        <v>3541</v>
      </c>
      <c r="D630" s="5" t="s">
        <v>17462</v>
      </c>
      <c r="E630" s="32">
        <v>14</v>
      </c>
      <c r="F630" s="27">
        <v>77868</v>
      </c>
      <c r="I630" s="27">
        <v>5562</v>
      </c>
    </row>
    <row r="631" spans="1:11" x14ac:dyDescent="0.25">
      <c r="A631" s="5" t="s">
        <v>6</v>
      </c>
      <c r="B631" s="5" t="s">
        <v>3543</v>
      </c>
      <c r="C631" s="1" t="s">
        <v>3544</v>
      </c>
      <c r="D631" s="5" t="s">
        <v>17463</v>
      </c>
      <c r="E631" s="32">
        <v>3</v>
      </c>
      <c r="F631" s="27">
        <v>17838</v>
      </c>
      <c r="I631" s="27">
        <v>5946</v>
      </c>
    </row>
    <row r="632" spans="1:11" x14ac:dyDescent="0.25">
      <c r="A632" s="5" t="s">
        <v>6</v>
      </c>
      <c r="B632" s="5" t="s">
        <v>3546</v>
      </c>
      <c r="C632" s="1" t="s">
        <v>3547</v>
      </c>
      <c r="D632" s="5" t="s">
        <v>17464</v>
      </c>
      <c r="E632" s="32">
        <v>2</v>
      </c>
      <c r="F632" s="27">
        <v>29540</v>
      </c>
      <c r="I632" s="27">
        <v>14770</v>
      </c>
    </row>
    <row r="633" spans="1:11" x14ac:dyDescent="0.25">
      <c r="A633" s="5" t="s">
        <v>6</v>
      </c>
      <c r="B633" s="5" t="s">
        <v>3549</v>
      </c>
      <c r="C633" s="1" t="s">
        <v>3550</v>
      </c>
      <c r="D633" s="5" t="s">
        <v>17465</v>
      </c>
      <c r="E633" s="32">
        <v>4</v>
      </c>
      <c r="F633" s="27">
        <v>18800</v>
      </c>
      <c r="G633" s="32">
        <v>27</v>
      </c>
      <c r="H633" s="27">
        <v>134796</v>
      </c>
      <c r="I633" s="27">
        <v>4700</v>
      </c>
      <c r="J633" s="27">
        <v>4992.4444444444443</v>
      </c>
      <c r="K633" s="29">
        <v>6.22222222222222E-2</v>
      </c>
    </row>
    <row r="634" spans="1:11" x14ac:dyDescent="0.25">
      <c r="A634" s="5" t="s">
        <v>6</v>
      </c>
      <c r="B634" s="5" t="s">
        <v>3555</v>
      </c>
      <c r="C634" s="1" t="s">
        <v>3556</v>
      </c>
      <c r="D634" s="5" t="s">
        <v>17466</v>
      </c>
      <c r="E634" s="32">
        <v>71</v>
      </c>
      <c r="F634" s="27">
        <v>332518</v>
      </c>
      <c r="G634" s="32">
        <v>76</v>
      </c>
      <c r="H634" s="27">
        <v>382943</v>
      </c>
      <c r="I634" s="27">
        <v>4683.3521126760561</v>
      </c>
      <c r="J634" s="27">
        <v>5038.7236842105267</v>
      </c>
      <c r="K634" s="29">
        <v>7.5879746597018544E-2</v>
      </c>
    </row>
    <row r="635" spans="1:11" x14ac:dyDescent="0.25">
      <c r="A635" s="5" t="s">
        <v>6</v>
      </c>
      <c r="B635" s="5" t="s">
        <v>3558</v>
      </c>
      <c r="C635" s="1" t="s">
        <v>3559</v>
      </c>
      <c r="E635" s="32">
        <v>1</v>
      </c>
      <c r="F635" s="27">
        <v>4440</v>
      </c>
      <c r="I635" s="27">
        <v>4440</v>
      </c>
    </row>
    <row r="636" spans="1:11" x14ac:dyDescent="0.25">
      <c r="A636" s="5" t="s">
        <v>6</v>
      </c>
      <c r="B636" s="5" t="s">
        <v>3561</v>
      </c>
      <c r="C636" s="1" t="s">
        <v>3562</v>
      </c>
      <c r="E636" s="32">
        <v>2</v>
      </c>
      <c r="F636" s="27">
        <v>13711</v>
      </c>
      <c r="I636" s="27">
        <v>6855.5</v>
      </c>
    </row>
    <row r="637" spans="1:11" x14ac:dyDescent="0.25">
      <c r="A637" s="5" t="s">
        <v>6</v>
      </c>
      <c r="B637" s="5" t="s">
        <v>3564</v>
      </c>
      <c r="C637" s="1" t="s">
        <v>3565</v>
      </c>
      <c r="E637" s="32">
        <v>2</v>
      </c>
      <c r="F637" s="27">
        <v>38970</v>
      </c>
      <c r="G637" s="32">
        <v>2</v>
      </c>
      <c r="H637" s="27">
        <v>42088</v>
      </c>
      <c r="I637" s="27">
        <v>19485</v>
      </c>
      <c r="J637" s="27">
        <v>21044</v>
      </c>
      <c r="K637" s="29">
        <v>8.0010264305876322E-2</v>
      </c>
    </row>
    <row r="638" spans="1:11" x14ac:dyDescent="0.25">
      <c r="A638" s="5" t="s">
        <v>6</v>
      </c>
      <c r="B638" s="5" t="s">
        <v>3567</v>
      </c>
      <c r="C638" s="1" t="s">
        <v>3568</v>
      </c>
      <c r="E638" s="32">
        <v>10</v>
      </c>
      <c r="F638" s="27">
        <v>149454</v>
      </c>
      <c r="G638" s="32">
        <v>12</v>
      </c>
      <c r="H638" s="27">
        <v>193167</v>
      </c>
      <c r="I638" s="27">
        <v>14945.4</v>
      </c>
      <c r="J638" s="27">
        <v>16097.25</v>
      </c>
      <c r="K638" s="29">
        <v>7.7070536753783794E-2</v>
      </c>
    </row>
    <row r="639" spans="1:11" x14ac:dyDescent="0.25">
      <c r="A639" s="5" t="s">
        <v>6</v>
      </c>
      <c r="B639" s="5" t="s">
        <v>3570</v>
      </c>
      <c r="C639" s="1" t="s">
        <v>3571</v>
      </c>
      <c r="E639" s="32">
        <v>1</v>
      </c>
      <c r="F639" s="27">
        <v>4440</v>
      </c>
      <c r="I639" s="27">
        <v>4440</v>
      </c>
    </row>
    <row r="640" spans="1:11" x14ac:dyDescent="0.25">
      <c r="A640" s="5" t="s">
        <v>6</v>
      </c>
      <c r="B640" s="5" t="s">
        <v>3573</v>
      </c>
      <c r="C640" s="1" t="s">
        <v>3574</v>
      </c>
      <c r="D640" s="5" t="s">
        <v>17467</v>
      </c>
      <c r="E640" s="32">
        <v>40</v>
      </c>
      <c r="F640" s="27">
        <v>1384830</v>
      </c>
      <c r="G640" s="32">
        <v>34</v>
      </c>
      <c r="H640" s="27">
        <v>1255727</v>
      </c>
      <c r="I640" s="27">
        <v>34620.75</v>
      </c>
      <c r="J640" s="27">
        <v>36933.147058823532</v>
      </c>
      <c r="K640" s="29">
        <v>6.6792228903866366E-2</v>
      </c>
    </row>
    <row r="641" spans="1:11" x14ac:dyDescent="0.25">
      <c r="A641" s="5" t="s">
        <v>6</v>
      </c>
      <c r="B641" s="5" t="s">
        <v>3576</v>
      </c>
      <c r="C641" s="1" t="s">
        <v>3577</v>
      </c>
      <c r="D641" s="5" t="s">
        <v>17468</v>
      </c>
      <c r="E641" s="32">
        <v>89</v>
      </c>
      <c r="F641" s="27">
        <v>852268</v>
      </c>
      <c r="G641" s="32">
        <v>144</v>
      </c>
      <c r="H641" s="27">
        <v>1465536</v>
      </c>
      <c r="I641" s="27">
        <v>9576.0449438202249</v>
      </c>
      <c r="J641" s="27">
        <v>10177.333333333334</v>
      </c>
      <c r="K641" s="29">
        <v>6.2790890502361585E-2</v>
      </c>
    </row>
    <row r="642" spans="1:11" x14ac:dyDescent="0.25">
      <c r="A642" s="5" t="s">
        <v>6</v>
      </c>
      <c r="B642" s="5" t="s">
        <v>3579</v>
      </c>
      <c r="C642" s="1" t="s">
        <v>3580</v>
      </c>
      <c r="D642" s="5" t="s">
        <v>17469</v>
      </c>
      <c r="E642" s="32">
        <v>19</v>
      </c>
      <c r="F642" s="27">
        <v>520675</v>
      </c>
      <c r="G642" s="32">
        <v>18</v>
      </c>
      <c r="H642" s="27">
        <v>523938</v>
      </c>
      <c r="I642" s="27">
        <v>27403.947368421053</v>
      </c>
      <c r="J642" s="27">
        <v>29107.666666666668</v>
      </c>
      <c r="K642" s="29">
        <v>6.2170579856276324E-2</v>
      </c>
    </row>
    <row r="643" spans="1:11" x14ac:dyDescent="0.25">
      <c r="A643" s="5" t="s">
        <v>6</v>
      </c>
      <c r="B643" s="5" t="s">
        <v>3582</v>
      </c>
      <c r="C643" s="1" t="s">
        <v>3583</v>
      </c>
      <c r="D643" s="5" t="s">
        <v>17470</v>
      </c>
      <c r="E643" s="32">
        <v>6</v>
      </c>
      <c r="F643" s="27">
        <v>25788</v>
      </c>
      <c r="G643" s="32">
        <v>11</v>
      </c>
      <c r="H643" s="27">
        <v>50374</v>
      </c>
      <c r="I643" s="27">
        <v>4298</v>
      </c>
      <c r="J643" s="27">
        <v>4579.454545454545</v>
      </c>
      <c r="K643" s="29">
        <v>6.5485003595752683E-2</v>
      </c>
    </row>
    <row r="644" spans="1:11" x14ac:dyDescent="0.25">
      <c r="A644" s="5" t="s">
        <v>6</v>
      </c>
      <c r="B644" s="5" t="s">
        <v>3585</v>
      </c>
      <c r="C644" s="1" t="s">
        <v>3586</v>
      </c>
      <c r="D644" s="5" t="s">
        <v>17471</v>
      </c>
      <c r="E644" s="32">
        <v>0</v>
      </c>
      <c r="F644" s="27">
        <v>0</v>
      </c>
      <c r="G644" s="32">
        <v>2</v>
      </c>
      <c r="H644" s="27">
        <v>89470</v>
      </c>
      <c r="J644" s="27">
        <v>44735</v>
      </c>
    </row>
    <row r="645" spans="1:11" x14ac:dyDescent="0.25">
      <c r="A645" s="5" t="s">
        <v>6</v>
      </c>
      <c r="B645" s="5" t="s">
        <v>3588</v>
      </c>
      <c r="C645" s="1" t="s">
        <v>3589</v>
      </c>
      <c r="D645" s="5" t="s">
        <v>17472</v>
      </c>
      <c r="E645" s="32">
        <v>1</v>
      </c>
      <c r="F645" s="27">
        <v>33545</v>
      </c>
      <c r="I645" s="27">
        <v>33545</v>
      </c>
    </row>
    <row r="646" spans="1:11" x14ac:dyDescent="0.25">
      <c r="A646" s="5" t="s">
        <v>6</v>
      </c>
      <c r="B646" s="5" t="s">
        <v>3597</v>
      </c>
      <c r="C646" s="1" t="s">
        <v>3598</v>
      </c>
      <c r="D646" s="5" t="s">
        <v>17473</v>
      </c>
      <c r="E646" s="32">
        <v>1</v>
      </c>
      <c r="F646" s="27">
        <v>36430</v>
      </c>
      <c r="I646" s="27">
        <v>36430</v>
      </c>
    </row>
    <row r="647" spans="1:11" x14ac:dyDescent="0.25">
      <c r="A647" s="5" t="s">
        <v>6</v>
      </c>
      <c r="B647" s="5" t="s">
        <v>3600</v>
      </c>
      <c r="C647" s="1" t="s">
        <v>3601</v>
      </c>
      <c r="D647" s="5" t="s">
        <v>17474</v>
      </c>
      <c r="E647" s="32">
        <v>1</v>
      </c>
      <c r="F647" s="27">
        <v>33332</v>
      </c>
      <c r="I647" s="27">
        <v>33332</v>
      </c>
    </row>
    <row r="648" spans="1:11" x14ac:dyDescent="0.25">
      <c r="A648" s="5" t="s">
        <v>6</v>
      </c>
      <c r="B648" s="5" t="s">
        <v>3603</v>
      </c>
      <c r="C648" s="1" t="s">
        <v>3604</v>
      </c>
      <c r="D648" s="5" t="s">
        <v>17475</v>
      </c>
      <c r="E648" s="32">
        <v>7</v>
      </c>
      <c r="F648" s="27">
        <v>305789</v>
      </c>
      <c r="G648" s="32">
        <v>5</v>
      </c>
      <c r="H648" s="27">
        <v>238595</v>
      </c>
      <c r="I648" s="27">
        <v>43684.142857142855</v>
      </c>
      <c r="J648" s="27">
        <v>47719</v>
      </c>
      <c r="K648" s="29">
        <v>9.2364342733061086E-2</v>
      </c>
    </row>
    <row r="649" spans="1:11" x14ac:dyDescent="0.25">
      <c r="A649" s="5" t="s">
        <v>6</v>
      </c>
      <c r="B649" s="5" t="s">
        <v>3612</v>
      </c>
      <c r="C649" s="1" t="s">
        <v>3613</v>
      </c>
      <c r="D649" s="5" t="s">
        <v>17476</v>
      </c>
      <c r="E649" s="32">
        <v>10</v>
      </c>
      <c r="F649" s="27">
        <v>44130</v>
      </c>
      <c r="G649" s="32">
        <v>16</v>
      </c>
      <c r="H649" s="27">
        <v>75693</v>
      </c>
      <c r="I649" s="27">
        <v>4413</v>
      </c>
      <c r="J649" s="27">
        <v>4730.8125</v>
      </c>
      <c r="K649" s="29">
        <v>7.2017335146159073E-2</v>
      </c>
    </row>
    <row r="650" spans="1:11" x14ac:dyDescent="0.25">
      <c r="A650" s="5" t="s">
        <v>6</v>
      </c>
      <c r="B650" s="5" t="s">
        <v>3618</v>
      </c>
      <c r="C650" s="1" t="s">
        <v>3619</v>
      </c>
      <c r="E650" s="32">
        <v>0</v>
      </c>
      <c r="F650" s="27">
        <v>0</v>
      </c>
      <c r="G650" s="32">
        <v>11</v>
      </c>
      <c r="H650" s="27">
        <v>44709</v>
      </c>
      <c r="J650" s="27">
        <v>4064.4545454545455</v>
      </c>
    </row>
    <row r="651" spans="1:11" x14ac:dyDescent="0.25">
      <c r="A651" s="5" t="s">
        <v>6</v>
      </c>
      <c r="B651" s="5" t="s">
        <v>3624</v>
      </c>
      <c r="C651" s="1" t="s">
        <v>3625</v>
      </c>
      <c r="E651" s="32">
        <v>6</v>
      </c>
      <c r="F651" s="27">
        <v>208782</v>
      </c>
      <c r="I651" s="27">
        <v>34797</v>
      </c>
    </row>
    <row r="652" spans="1:11" x14ac:dyDescent="0.25">
      <c r="A652" s="5" t="s">
        <v>6</v>
      </c>
      <c r="B652" s="5" t="s">
        <v>3627</v>
      </c>
      <c r="C652" s="1" t="s">
        <v>3628</v>
      </c>
      <c r="E652" s="32">
        <v>64</v>
      </c>
      <c r="F652" s="27">
        <v>3169338</v>
      </c>
      <c r="G652" s="32">
        <v>77</v>
      </c>
      <c r="H652" s="27">
        <v>4126885</v>
      </c>
      <c r="I652" s="27">
        <v>49520.90625</v>
      </c>
      <c r="J652" s="27">
        <v>53595.909090909088</v>
      </c>
      <c r="K652" s="29">
        <v>8.2288535277140418E-2</v>
      </c>
    </row>
    <row r="653" spans="1:11" x14ac:dyDescent="0.25">
      <c r="A653" s="5" t="s">
        <v>6</v>
      </c>
      <c r="B653" s="5" t="s">
        <v>3632</v>
      </c>
      <c r="C653" s="1" t="s">
        <v>3633</v>
      </c>
      <c r="E653" s="32">
        <v>2</v>
      </c>
      <c r="F653" s="27">
        <v>18472</v>
      </c>
      <c r="G653" s="32">
        <v>2</v>
      </c>
      <c r="H653" s="27">
        <v>19211</v>
      </c>
      <c r="I653" s="27">
        <v>9236</v>
      </c>
      <c r="J653" s="27">
        <v>9605.5</v>
      </c>
      <c r="K653" s="29">
        <v>4.0006496318752707E-2</v>
      </c>
    </row>
    <row r="654" spans="1:11" x14ac:dyDescent="0.25">
      <c r="A654" s="5" t="s">
        <v>6</v>
      </c>
      <c r="B654" s="5" t="s">
        <v>3635</v>
      </c>
      <c r="C654" s="1" t="s">
        <v>3636</v>
      </c>
      <c r="E654" s="32">
        <v>1</v>
      </c>
      <c r="F654" s="27">
        <v>26374</v>
      </c>
      <c r="I654" s="27">
        <v>26374</v>
      </c>
    </row>
    <row r="655" spans="1:11" x14ac:dyDescent="0.25">
      <c r="A655" s="5" t="s">
        <v>6</v>
      </c>
      <c r="B655" s="5" t="s">
        <v>3638</v>
      </c>
      <c r="C655" s="1" t="s">
        <v>3639</v>
      </c>
      <c r="E655" s="32">
        <v>45</v>
      </c>
      <c r="F655" s="27">
        <v>253731</v>
      </c>
      <c r="G655" s="32">
        <v>46</v>
      </c>
      <c r="H655" s="27">
        <v>279104</v>
      </c>
      <c r="I655" s="27">
        <v>5638.4666666666662</v>
      </c>
      <c r="J655" s="27">
        <v>6067.478260869565</v>
      </c>
      <c r="K655" s="29">
        <v>7.6086570971345427E-2</v>
      </c>
    </row>
    <row r="656" spans="1:11" x14ac:dyDescent="0.25">
      <c r="A656" s="5" t="s">
        <v>6</v>
      </c>
      <c r="B656" s="5" t="s">
        <v>3641</v>
      </c>
      <c r="C656" s="1" t="s">
        <v>3642</v>
      </c>
      <c r="E656" s="32">
        <v>38</v>
      </c>
      <c r="F656" s="27">
        <v>268566</v>
      </c>
      <c r="G656" s="32">
        <v>35</v>
      </c>
      <c r="H656" s="27">
        <v>263103</v>
      </c>
      <c r="I656" s="27">
        <v>7067.5263157894733</v>
      </c>
      <c r="J656" s="27">
        <v>7517.2285714285717</v>
      </c>
      <c r="K656" s="29">
        <v>6.3629371231971807E-2</v>
      </c>
    </row>
    <row r="657" spans="1:11" x14ac:dyDescent="0.25">
      <c r="A657" s="5" t="s">
        <v>6</v>
      </c>
      <c r="B657" s="5" t="s">
        <v>3644</v>
      </c>
      <c r="C657" s="1" t="s">
        <v>3645</v>
      </c>
      <c r="E657" s="32">
        <v>6</v>
      </c>
      <c r="F657" s="27">
        <v>141359</v>
      </c>
      <c r="G657" s="32">
        <v>14</v>
      </c>
      <c r="H657" s="27">
        <v>349530</v>
      </c>
      <c r="I657" s="27">
        <v>23559.833333333332</v>
      </c>
      <c r="J657" s="27">
        <v>24966.428571428572</v>
      </c>
      <c r="K657" s="29">
        <v>5.9703106477631017E-2</v>
      </c>
    </row>
    <row r="658" spans="1:11" x14ac:dyDescent="0.25">
      <c r="A658" s="5" t="s">
        <v>6</v>
      </c>
      <c r="B658" s="5" t="s">
        <v>3647</v>
      </c>
      <c r="C658" s="1" t="s">
        <v>3648</v>
      </c>
      <c r="E658" s="32">
        <v>16</v>
      </c>
      <c r="F658" s="27">
        <v>305744</v>
      </c>
      <c r="G658" s="32">
        <v>17</v>
      </c>
      <c r="H658" s="27">
        <v>348778</v>
      </c>
      <c r="I658" s="27">
        <v>19109</v>
      </c>
      <c r="J658" s="27">
        <v>20516.352941176472</v>
      </c>
      <c r="K658" s="29">
        <v>7.3648696487334353E-2</v>
      </c>
    </row>
    <row r="659" spans="1:11" x14ac:dyDescent="0.25">
      <c r="A659" s="5" t="s">
        <v>6</v>
      </c>
      <c r="B659" s="5" t="s">
        <v>3653</v>
      </c>
      <c r="C659" s="1" t="s">
        <v>3654</v>
      </c>
      <c r="E659" s="32">
        <v>4</v>
      </c>
      <c r="F659" s="27">
        <v>129610</v>
      </c>
      <c r="I659" s="27">
        <v>32402.5</v>
      </c>
    </row>
    <row r="660" spans="1:11" x14ac:dyDescent="0.25">
      <c r="A660" s="5" t="s">
        <v>6</v>
      </c>
      <c r="B660" s="5" t="s">
        <v>3656</v>
      </c>
      <c r="C660" s="1" t="s">
        <v>3657</v>
      </c>
      <c r="E660" s="32">
        <v>34</v>
      </c>
      <c r="F660" s="27">
        <v>1125078</v>
      </c>
      <c r="G660" s="32">
        <v>41</v>
      </c>
      <c r="H660" s="27">
        <v>1465311</v>
      </c>
      <c r="I660" s="27">
        <v>33090.529411764706</v>
      </c>
      <c r="J660" s="27">
        <v>35739.292682926833</v>
      </c>
      <c r="K660" s="29">
        <v>8.0045962341733015E-2</v>
      </c>
    </row>
    <row r="661" spans="1:11" x14ac:dyDescent="0.25">
      <c r="A661" s="5" t="s">
        <v>6</v>
      </c>
      <c r="B661" s="5" t="s">
        <v>3659</v>
      </c>
      <c r="C661" s="1" t="s">
        <v>3660</v>
      </c>
      <c r="E661" s="32">
        <v>8</v>
      </c>
      <c r="F661" s="27">
        <v>242624</v>
      </c>
      <c r="G661" s="32">
        <v>9</v>
      </c>
      <c r="H661" s="27">
        <v>285082</v>
      </c>
      <c r="I661" s="27">
        <v>30328</v>
      </c>
      <c r="J661" s="27">
        <v>31675.777777777777</v>
      </c>
      <c r="K661" s="29">
        <v>4.4440048067059396E-2</v>
      </c>
    </row>
    <row r="662" spans="1:11" x14ac:dyDescent="0.25">
      <c r="A662" s="5" t="s">
        <v>6</v>
      </c>
      <c r="B662" s="5" t="s">
        <v>3662</v>
      </c>
      <c r="C662" s="1" t="s">
        <v>3663</v>
      </c>
      <c r="E662" s="32">
        <v>1</v>
      </c>
      <c r="F662" s="27">
        <v>8443</v>
      </c>
      <c r="I662" s="27">
        <v>8443</v>
      </c>
    </row>
    <row r="663" spans="1:11" x14ac:dyDescent="0.25">
      <c r="A663" s="5" t="s">
        <v>6</v>
      </c>
      <c r="B663" s="5" t="s">
        <v>3665</v>
      </c>
      <c r="C663" s="1" t="s">
        <v>3666</v>
      </c>
      <c r="E663" s="32">
        <v>1</v>
      </c>
      <c r="F663" s="27">
        <v>29006</v>
      </c>
      <c r="I663" s="27">
        <v>29006</v>
      </c>
    </row>
    <row r="664" spans="1:11" x14ac:dyDescent="0.25">
      <c r="A664" s="5" t="s">
        <v>6</v>
      </c>
      <c r="B664" s="5" t="s">
        <v>3668</v>
      </c>
      <c r="C664" s="1" t="s">
        <v>3669</v>
      </c>
      <c r="E664" s="32">
        <v>59</v>
      </c>
      <c r="F664" s="27">
        <v>4821909</v>
      </c>
      <c r="G664" s="32">
        <v>61</v>
      </c>
      <c r="H664" s="27">
        <v>5298968</v>
      </c>
      <c r="I664" s="27">
        <v>81727.271186440674</v>
      </c>
      <c r="J664" s="27">
        <v>86868.327868852459</v>
      </c>
      <c r="K664" s="29">
        <v>6.2905032895124183E-2</v>
      </c>
    </row>
    <row r="665" spans="1:11" x14ac:dyDescent="0.25">
      <c r="A665" s="5" t="s">
        <v>6</v>
      </c>
      <c r="B665" s="5" t="s">
        <v>3671</v>
      </c>
      <c r="C665" s="1" t="s">
        <v>3672</v>
      </c>
      <c r="E665" s="32">
        <v>1</v>
      </c>
      <c r="F665" s="27">
        <v>53189</v>
      </c>
      <c r="I665" s="27">
        <v>53189</v>
      </c>
    </row>
    <row r="666" spans="1:11" x14ac:dyDescent="0.25">
      <c r="A666" s="5" t="s">
        <v>6</v>
      </c>
      <c r="B666" s="5" t="s">
        <v>3674</v>
      </c>
      <c r="C666" s="1" t="s">
        <v>3675</v>
      </c>
      <c r="E666" s="32">
        <v>6</v>
      </c>
      <c r="F666" s="27">
        <v>130548</v>
      </c>
      <c r="I666" s="27">
        <v>21758</v>
      </c>
    </row>
    <row r="667" spans="1:11" x14ac:dyDescent="0.25">
      <c r="A667" s="5" t="s">
        <v>6</v>
      </c>
      <c r="B667" s="5" t="s">
        <v>3677</v>
      </c>
      <c r="C667" s="1" t="s">
        <v>3678</v>
      </c>
      <c r="E667" s="32">
        <v>3</v>
      </c>
      <c r="F667" s="27">
        <v>2556</v>
      </c>
      <c r="G667" s="32">
        <v>5</v>
      </c>
      <c r="H667" s="27">
        <v>4585</v>
      </c>
      <c r="I667" s="27">
        <v>852</v>
      </c>
      <c r="J667" s="27">
        <v>917</v>
      </c>
      <c r="K667" s="29">
        <v>7.6291079812206578E-2</v>
      </c>
    </row>
    <row r="668" spans="1:11" x14ac:dyDescent="0.25">
      <c r="A668" s="5" t="s">
        <v>6</v>
      </c>
      <c r="B668" s="5" t="s">
        <v>3684</v>
      </c>
      <c r="C668" s="1" t="s">
        <v>3685</v>
      </c>
      <c r="E668" s="32">
        <v>34</v>
      </c>
      <c r="F668" s="27">
        <v>1249074</v>
      </c>
      <c r="G668" s="32">
        <v>29</v>
      </c>
      <c r="H668" s="27">
        <v>1131780</v>
      </c>
      <c r="I668" s="27">
        <v>36737.470588235294</v>
      </c>
      <c r="J668" s="27">
        <v>39026.896551724138</v>
      </c>
      <c r="K668" s="29">
        <v>6.2318551790062633E-2</v>
      </c>
    </row>
    <row r="669" spans="1:11" x14ac:dyDescent="0.25">
      <c r="A669" s="5" t="s">
        <v>6</v>
      </c>
      <c r="B669" s="5" t="s">
        <v>3686</v>
      </c>
      <c r="C669" s="1" t="s">
        <v>3687</v>
      </c>
      <c r="D669" s="5" t="s">
        <v>17477</v>
      </c>
      <c r="E669" s="32">
        <v>18</v>
      </c>
      <c r="F669" s="27">
        <v>293190</v>
      </c>
      <c r="G669" s="32">
        <v>22</v>
      </c>
      <c r="H669" s="27">
        <v>393482</v>
      </c>
      <c r="I669" s="27">
        <v>16288.333333333334</v>
      </c>
      <c r="J669" s="27">
        <v>17885.545454545456</v>
      </c>
      <c r="K669" s="29">
        <v>9.8058658828125769E-2</v>
      </c>
    </row>
    <row r="670" spans="1:11" x14ac:dyDescent="0.25">
      <c r="A670" s="5" t="s">
        <v>6</v>
      </c>
      <c r="B670" s="5" t="s">
        <v>3689</v>
      </c>
      <c r="C670" s="1" t="s">
        <v>3690</v>
      </c>
      <c r="D670" s="5" t="s">
        <v>17478</v>
      </c>
      <c r="E670" s="32">
        <v>0</v>
      </c>
      <c r="F670" s="27">
        <v>0</v>
      </c>
      <c r="G670" s="32">
        <v>1</v>
      </c>
      <c r="H670" s="27">
        <v>47199</v>
      </c>
      <c r="J670" s="27">
        <v>47199</v>
      </c>
    </row>
    <row r="671" spans="1:11" x14ac:dyDescent="0.25">
      <c r="A671" s="5" t="s">
        <v>6</v>
      </c>
      <c r="B671" s="5" t="s">
        <v>3692</v>
      </c>
      <c r="C671" s="1" t="s">
        <v>3693</v>
      </c>
      <c r="D671" s="5" t="s">
        <v>17479</v>
      </c>
      <c r="E671" s="32">
        <v>262</v>
      </c>
      <c r="F671" s="27">
        <v>8583348</v>
      </c>
      <c r="G671" s="32">
        <v>248</v>
      </c>
      <c r="H671" s="27">
        <v>8656560</v>
      </c>
      <c r="I671" s="27">
        <v>32760.870229007633</v>
      </c>
      <c r="J671" s="27">
        <v>34905.483870967742</v>
      </c>
      <c r="K671" s="29">
        <v>6.5462657950434822E-2</v>
      </c>
    </row>
    <row r="672" spans="1:11" x14ac:dyDescent="0.25">
      <c r="A672" s="5" t="s">
        <v>6</v>
      </c>
      <c r="B672" s="5" t="s">
        <v>3695</v>
      </c>
      <c r="C672" s="1" t="s">
        <v>3696</v>
      </c>
      <c r="D672" s="5" t="s">
        <v>17480</v>
      </c>
      <c r="E672" s="32">
        <v>11</v>
      </c>
      <c r="F672" s="27">
        <v>337218</v>
      </c>
      <c r="G672" s="32">
        <v>27</v>
      </c>
      <c r="H672" s="27">
        <v>882104</v>
      </c>
      <c r="I672" s="27">
        <v>30656.18181818182</v>
      </c>
      <c r="J672" s="27">
        <v>32670.518518518518</v>
      </c>
      <c r="K672" s="29">
        <v>6.5707357566036462E-2</v>
      </c>
    </row>
    <row r="673" spans="1:11" x14ac:dyDescent="0.25">
      <c r="A673" s="5" t="s">
        <v>6</v>
      </c>
      <c r="B673" s="5" t="s">
        <v>3698</v>
      </c>
      <c r="C673" s="1" t="s">
        <v>3699</v>
      </c>
      <c r="D673" s="5" t="s">
        <v>17481</v>
      </c>
      <c r="E673" s="32">
        <v>6</v>
      </c>
      <c r="F673" s="27">
        <v>254994</v>
      </c>
      <c r="G673" s="32">
        <v>13</v>
      </c>
      <c r="H673" s="27">
        <v>603583</v>
      </c>
      <c r="I673" s="27">
        <v>42499</v>
      </c>
      <c r="J673" s="27">
        <v>46429.461538461539</v>
      </c>
      <c r="K673" s="29">
        <v>9.2483624049072663E-2</v>
      </c>
    </row>
    <row r="674" spans="1:11" x14ac:dyDescent="0.25">
      <c r="A674" s="5" t="s">
        <v>6</v>
      </c>
      <c r="B674" s="5" t="s">
        <v>3701</v>
      </c>
      <c r="C674" s="1" t="s">
        <v>3702</v>
      </c>
      <c r="D674" s="5" t="s">
        <v>17482</v>
      </c>
      <c r="E674" s="32">
        <v>456</v>
      </c>
      <c r="F674" s="27">
        <v>17624034</v>
      </c>
      <c r="G674" s="32">
        <v>587</v>
      </c>
      <c r="H674" s="27">
        <v>24254419</v>
      </c>
      <c r="I674" s="27">
        <v>38649.197368421053</v>
      </c>
      <c r="J674" s="27">
        <v>41319.282793867118</v>
      </c>
      <c r="K674" s="29">
        <v>6.9085145546326429E-2</v>
      </c>
    </row>
    <row r="675" spans="1:11" x14ac:dyDescent="0.25">
      <c r="A675" s="5" t="s">
        <v>6</v>
      </c>
      <c r="B675" s="5" t="s">
        <v>3704</v>
      </c>
      <c r="C675" s="1" t="s">
        <v>3705</v>
      </c>
      <c r="D675" s="5" t="s">
        <v>17483</v>
      </c>
      <c r="E675" s="32">
        <v>52</v>
      </c>
      <c r="F675" s="27">
        <v>2143072</v>
      </c>
      <c r="G675" s="32">
        <v>52</v>
      </c>
      <c r="H675" s="27">
        <v>2279281</v>
      </c>
      <c r="I675" s="27">
        <v>41212.923076923078</v>
      </c>
      <c r="J675" s="27">
        <v>43832.326923076922</v>
      </c>
      <c r="K675" s="29">
        <v>6.3557827268519149E-2</v>
      </c>
    </row>
    <row r="676" spans="1:11" x14ac:dyDescent="0.25">
      <c r="A676" s="5" t="s">
        <v>6</v>
      </c>
      <c r="B676" s="5" t="s">
        <v>3707</v>
      </c>
      <c r="C676" s="1" t="s">
        <v>3708</v>
      </c>
      <c r="D676" s="5" t="s">
        <v>17484</v>
      </c>
      <c r="E676" s="32">
        <v>90</v>
      </c>
      <c r="F676" s="27">
        <v>3688091</v>
      </c>
      <c r="G676" s="32">
        <v>69</v>
      </c>
      <c r="H676" s="27">
        <v>2996213</v>
      </c>
      <c r="I676" s="27">
        <v>40978.788888888892</v>
      </c>
      <c r="J676" s="27">
        <v>43423.3768115942</v>
      </c>
      <c r="K676" s="29">
        <v>5.9654957820584616E-2</v>
      </c>
    </row>
    <row r="677" spans="1:11" x14ac:dyDescent="0.25">
      <c r="A677" s="5" t="s">
        <v>6</v>
      </c>
      <c r="B677" s="5" t="s">
        <v>3710</v>
      </c>
      <c r="C677" s="1" t="s">
        <v>3711</v>
      </c>
      <c r="D677" s="5" t="s">
        <v>17485</v>
      </c>
      <c r="E677" s="32">
        <v>4</v>
      </c>
      <c r="F677" s="27">
        <v>183452</v>
      </c>
      <c r="I677" s="27">
        <v>45863</v>
      </c>
    </row>
    <row r="678" spans="1:11" x14ac:dyDescent="0.25">
      <c r="A678" s="5" t="s">
        <v>6</v>
      </c>
      <c r="B678" s="5" t="s">
        <v>3713</v>
      </c>
      <c r="C678" s="1" t="s">
        <v>3714</v>
      </c>
      <c r="D678" s="5" t="s">
        <v>17486</v>
      </c>
      <c r="E678" s="32">
        <v>6</v>
      </c>
      <c r="F678" s="27">
        <v>87780</v>
      </c>
      <c r="G678" s="32">
        <v>10</v>
      </c>
      <c r="H678" s="27">
        <v>159644</v>
      </c>
      <c r="I678" s="27">
        <v>14630</v>
      </c>
      <c r="J678" s="27">
        <v>15964.4</v>
      </c>
      <c r="K678" s="29">
        <v>9.120984278879013E-2</v>
      </c>
    </row>
    <row r="679" spans="1:11" x14ac:dyDescent="0.25">
      <c r="A679" s="5" t="s">
        <v>6</v>
      </c>
      <c r="B679" s="5" t="s">
        <v>3716</v>
      </c>
      <c r="C679" s="1" t="s">
        <v>3717</v>
      </c>
      <c r="D679" s="5" t="s">
        <v>17487</v>
      </c>
      <c r="E679" s="32">
        <v>8</v>
      </c>
      <c r="F679" s="27">
        <v>185446</v>
      </c>
      <c r="G679" s="32">
        <v>15</v>
      </c>
      <c r="H679" s="27">
        <v>373655</v>
      </c>
      <c r="I679" s="27">
        <v>23180.75</v>
      </c>
      <c r="J679" s="27">
        <v>24910.333333333332</v>
      </c>
      <c r="K679" s="29">
        <v>7.461291517027413E-2</v>
      </c>
    </row>
    <row r="680" spans="1:11" x14ac:dyDescent="0.25">
      <c r="A680" s="5" t="s">
        <v>6</v>
      </c>
      <c r="B680" s="5" t="s">
        <v>3722</v>
      </c>
      <c r="C680" s="1" t="s">
        <v>3723</v>
      </c>
      <c r="D680" s="5" t="s">
        <v>17488</v>
      </c>
      <c r="E680" s="32">
        <v>57</v>
      </c>
      <c r="F680" s="27">
        <v>145368</v>
      </c>
      <c r="G680" s="32">
        <v>39</v>
      </c>
      <c r="H680" s="27">
        <v>105619</v>
      </c>
      <c r="I680" s="27">
        <v>2550.3157894736842</v>
      </c>
      <c r="J680" s="27">
        <v>2708.1794871794873</v>
      </c>
      <c r="K680" s="29">
        <v>6.1899666840231543E-2</v>
      </c>
    </row>
    <row r="681" spans="1:11" x14ac:dyDescent="0.25">
      <c r="A681" s="5" t="s">
        <v>6</v>
      </c>
      <c r="B681" s="5" t="s">
        <v>3734</v>
      </c>
      <c r="C681" s="1" t="s">
        <v>3735</v>
      </c>
      <c r="E681" s="32">
        <v>11</v>
      </c>
      <c r="F681" s="27">
        <v>167372</v>
      </c>
      <c r="G681" s="32">
        <v>15</v>
      </c>
      <c r="H681" s="27">
        <v>244602</v>
      </c>
      <c r="I681" s="27">
        <v>15215.636363636364</v>
      </c>
      <c r="J681" s="27">
        <v>16306.8</v>
      </c>
      <c r="K681" s="29">
        <v>7.1713309275147505E-2</v>
      </c>
    </row>
    <row r="682" spans="1:11" x14ac:dyDescent="0.25">
      <c r="A682" s="5" t="s">
        <v>6</v>
      </c>
      <c r="B682" s="5" t="s">
        <v>3737</v>
      </c>
      <c r="C682" s="1" t="s">
        <v>3738</v>
      </c>
      <c r="D682" s="5" t="s">
        <v>17489</v>
      </c>
      <c r="E682" s="32">
        <v>6</v>
      </c>
      <c r="F682" s="27">
        <v>87823</v>
      </c>
      <c r="G682" s="32">
        <v>4</v>
      </c>
      <c r="H682" s="27">
        <v>61706</v>
      </c>
      <c r="I682" s="27">
        <v>14637.166666666666</v>
      </c>
      <c r="J682" s="27">
        <v>15426.5</v>
      </c>
      <c r="K682" s="29">
        <v>5.3926647916832764E-2</v>
      </c>
    </row>
    <row r="683" spans="1:11" x14ac:dyDescent="0.25">
      <c r="A683" s="5" t="s">
        <v>6</v>
      </c>
      <c r="B683" s="5" t="s">
        <v>3740</v>
      </c>
      <c r="C683" s="1" t="s">
        <v>3741</v>
      </c>
      <c r="D683" s="5" t="s">
        <v>17490</v>
      </c>
      <c r="E683" s="32">
        <v>37</v>
      </c>
      <c r="F683" s="27">
        <v>2350710</v>
      </c>
      <c r="G683" s="32">
        <v>56</v>
      </c>
      <c r="H683" s="27">
        <v>3796702</v>
      </c>
      <c r="I683" s="27">
        <v>63532.7027027027</v>
      </c>
      <c r="J683" s="27">
        <v>67798.25</v>
      </c>
      <c r="K683" s="29">
        <v>6.7139396182430033E-2</v>
      </c>
    </row>
    <row r="684" spans="1:11" x14ac:dyDescent="0.25">
      <c r="A684" s="5" t="s">
        <v>6</v>
      </c>
      <c r="B684" s="5" t="s">
        <v>3743</v>
      </c>
      <c r="C684" s="1" t="s">
        <v>3744</v>
      </c>
      <c r="D684" s="5" t="s">
        <v>17491</v>
      </c>
      <c r="E684" s="32">
        <v>8</v>
      </c>
      <c r="F684" s="27">
        <v>532132</v>
      </c>
      <c r="G684" s="32">
        <v>5</v>
      </c>
      <c r="H684" s="27">
        <v>366445</v>
      </c>
      <c r="I684" s="27">
        <v>66516.5</v>
      </c>
      <c r="J684" s="27">
        <v>73289</v>
      </c>
      <c r="K684" s="29">
        <v>0.10181684243759068</v>
      </c>
    </row>
    <row r="685" spans="1:11" x14ac:dyDescent="0.25">
      <c r="A685" s="5" t="s">
        <v>6</v>
      </c>
      <c r="B685" s="5" t="s">
        <v>3746</v>
      </c>
      <c r="C685" s="1" t="s">
        <v>3747</v>
      </c>
      <c r="D685" s="5" t="s">
        <v>17492</v>
      </c>
      <c r="E685" s="32">
        <v>42</v>
      </c>
      <c r="F685" s="27">
        <v>517080</v>
      </c>
      <c r="G685" s="32">
        <v>45</v>
      </c>
      <c r="H685" s="27">
        <v>594500</v>
      </c>
      <c r="I685" s="27">
        <v>12311.428571428571</v>
      </c>
      <c r="J685" s="27">
        <v>13211.111111111111</v>
      </c>
      <c r="K685" s="29">
        <v>7.30770222531653E-2</v>
      </c>
    </row>
    <row r="686" spans="1:11" x14ac:dyDescent="0.25">
      <c r="A686" s="5" t="s">
        <v>6</v>
      </c>
      <c r="B686" s="5" t="s">
        <v>3749</v>
      </c>
      <c r="C686" s="1" t="s">
        <v>3750</v>
      </c>
      <c r="D686" s="5" t="s">
        <v>17493</v>
      </c>
      <c r="E686" s="32">
        <v>4</v>
      </c>
      <c r="F686" s="27">
        <v>7469</v>
      </c>
      <c r="I686" s="27">
        <v>1867.25</v>
      </c>
    </row>
    <row r="687" spans="1:11" x14ac:dyDescent="0.25">
      <c r="A687" s="5" t="s">
        <v>6</v>
      </c>
      <c r="B687" s="5" t="s">
        <v>3752</v>
      </c>
      <c r="C687" s="1" t="s">
        <v>3753</v>
      </c>
      <c r="D687" s="5" t="s">
        <v>17494</v>
      </c>
      <c r="E687" s="32">
        <v>19</v>
      </c>
      <c r="F687" s="27">
        <v>349114</v>
      </c>
      <c r="G687" s="32">
        <v>25</v>
      </c>
      <c r="H687" s="27">
        <v>485090</v>
      </c>
      <c r="I687" s="27">
        <v>18374.42105263158</v>
      </c>
      <c r="J687" s="27">
        <v>19403.599999999999</v>
      </c>
      <c r="K687" s="29">
        <v>5.6011503405764163E-2</v>
      </c>
    </row>
    <row r="688" spans="1:11" x14ac:dyDescent="0.25">
      <c r="A688" s="5" t="s">
        <v>6</v>
      </c>
      <c r="B688" s="5" t="s">
        <v>3755</v>
      </c>
      <c r="C688" s="1" t="s">
        <v>3756</v>
      </c>
      <c r="D688" s="5" t="s">
        <v>17495</v>
      </c>
      <c r="E688" s="32">
        <v>21</v>
      </c>
      <c r="F688" s="27">
        <v>183004</v>
      </c>
      <c r="G688" s="32">
        <v>34</v>
      </c>
      <c r="H688" s="27">
        <v>318532</v>
      </c>
      <c r="I688" s="27">
        <v>8714.4761904761908</v>
      </c>
      <c r="J688" s="27">
        <v>9368.5882352941171</v>
      </c>
      <c r="K688" s="29">
        <v>7.5060397265504855E-2</v>
      </c>
    </row>
    <row r="689" spans="1:11" x14ac:dyDescent="0.25">
      <c r="A689" s="5" t="s">
        <v>6</v>
      </c>
      <c r="B689" s="5" t="s">
        <v>3757</v>
      </c>
      <c r="C689" s="1" t="s">
        <v>3758</v>
      </c>
      <c r="D689" s="5" t="s">
        <v>17496</v>
      </c>
      <c r="E689" s="32">
        <v>48</v>
      </c>
      <c r="F689" s="27">
        <v>3157688</v>
      </c>
      <c r="G689" s="32">
        <v>79</v>
      </c>
      <c r="H689" s="27">
        <v>5522519</v>
      </c>
      <c r="I689" s="27">
        <v>65785.166666666672</v>
      </c>
      <c r="J689" s="27">
        <v>69905.303797468354</v>
      </c>
      <c r="K689" s="29">
        <v>6.2630184577602582E-2</v>
      </c>
    </row>
    <row r="690" spans="1:11" x14ac:dyDescent="0.25">
      <c r="A690" s="5" t="s">
        <v>6</v>
      </c>
      <c r="B690" s="5" t="s">
        <v>3760</v>
      </c>
      <c r="C690" s="1" t="s">
        <v>3761</v>
      </c>
      <c r="D690" s="5" t="s">
        <v>17497</v>
      </c>
      <c r="E690" s="32">
        <v>5</v>
      </c>
      <c r="F690" s="27">
        <v>99720</v>
      </c>
      <c r="G690" s="32">
        <v>3</v>
      </c>
      <c r="H690" s="27">
        <v>63024</v>
      </c>
      <c r="I690" s="27">
        <v>19944</v>
      </c>
      <c r="J690" s="27">
        <v>21008</v>
      </c>
      <c r="K690" s="29">
        <v>5.334937825912555E-2</v>
      </c>
    </row>
    <row r="691" spans="1:11" x14ac:dyDescent="0.25">
      <c r="A691" s="5" t="s">
        <v>6</v>
      </c>
      <c r="B691" s="5" t="s">
        <v>3763</v>
      </c>
      <c r="C691" s="1" t="s">
        <v>3764</v>
      </c>
      <c r="E691" s="32">
        <v>12</v>
      </c>
      <c r="F691" s="27">
        <v>210124</v>
      </c>
      <c r="G691" s="32">
        <v>18</v>
      </c>
      <c r="H691" s="27">
        <v>342437</v>
      </c>
      <c r="I691" s="27">
        <v>17510.333333333332</v>
      </c>
      <c r="J691" s="27">
        <v>19024.277777777777</v>
      </c>
      <c r="K691" s="29">
        <v>8.6460058505136703E-2</v>
      </c>
    </row>
    <row r="692" spans="1:11" x14ac:dyDescent="0.25">
      <c r="A692" s="5" t="s">
        <v>6</v>
      </c>
      <c r="B692" s="5" t="s">
        <v>3766</v>
      </c>
      <c r="C692" s="1" t="s">
        <v>3767</v>
      </c>
      <c r="E692" s="32">
        <v>1</v>
      </c>
      <c r="F692" s="27">
        <v>1905</v>
      </c>
      <c r="I692" s="27">
        <v>1905</v>
      </c>
    </row>
    <row r="693" spans="1:11" x14ac:dyDescent="0.25">
      <c r="A693" s="5" t="s">
        <v>6</v>
      </c>
      <c r="B693" s="5" t="s">
        <v>3769</v>
      </c>
      <c r="C693" s="1" t="s">
        <v>3770</v>
      </c>
      <c r="E693" s="32">
        <v>20</v>
      </c>
      <c r="F693" s="27">
        <v>992152</v>
      </c>
      <c r="G693" s="32">
        <v>16</v>
      </c>
      <c r="H693" s="27">
        <v>838752</v>
      </c>
      <c r="I693" s="27">
        <v>49607.6</v>
      </c>
      <c r="J693" s="27">
        <v>52422</v>
      </c>
      <c r="K693" s="29">
        <v>5.6733242487038309E-2</v>
      </c>
    </row>
    <row r="694" spans="1:11" x14ac:dyDescent="0.25">
      <c r="A694" s="5" t="s">
        <v>6</v>
      </c>
      <c r="B694" s="5" t="s">
        <v>3772</v>
      </c>
      <c r="C694" s="1" t="s">
        <v>3773</v>
      </c>
      <c r="E694" s="32">
        <v>4</v>
      </c>
      <c r="F694" s="27">
        <v>101004</v>
      </c>
      <c r="I694" s="27">
        <v>25251</v>
      </c>
    </row>
    <row r="695" spans="1:11" x14ac:dyDescent="0.25">
      <c r="A695" s="5" t="s">
        <v>6</v>
      </c>
      <c r="B695" s="5" t="s">
        <v>3775</v>
      </c>
      <c r="C695" s="1" t="s">
        <v>3776</v>
      </c>
      <c r="E695" s="32">
        <v>2</v>
      </c>
      <c r="F695" s="27">
        <v>28002</v>
      </c>
      <c r="I695" s="27">
        <v>14001</v>
      </c>
    </row>
    <row r="696" spans="1:11" x14ac:dyDescent="0.25">
      <c r="A696" s="5" t="s">
        <v>6</v>
      </c>
      <c r="B696" s="5" t="s">
        <v>3778</v>
      </c>
      <c r="C696" s="1" t="s">
        <v>3779</v>
      </c>
      <c r="E696" s="32">
        <v>2</v>
      </c>
      <c r="F696" s="27">
        <v>24400</v>
      </c>
      <c r="I696" s="27">
        <v>12200</v>
      </c>
    </row>
    <row r="697" spans="1:11" x14ac:dyDescent="0.25">
      <c r="A697" s="5" t="s">
        <v>6</v>
      </c>
      <c r="B697" s="5" t="s">
        <v>3781</v>
      </c>
      <c r="C697" s="1" t="s">
        <v>3782</v>
      </c>
      <c r="E697" s="32">
        <v>2</v>
      </c>
      <c r="F697" s="27">
        <v>22185</v>
      </c>
      <c r="I697" s="27">
        <v>11092.5</v>
      </c>
    </row>
    <row r="698" spans="1:11" x14ac:dyDescent="0.25">
      <c r="A698" s="5" t="s">
        <v>6</v>
      </c>
      <c r="B698" s="5" t="s">
        <v>3787</v>
      </c>
      <c r="C698" s="1" t="s">
        <v>3788</v>
      </c>
      <c r="E698" s="32">
        <v>4</v>
      </c>
      <c r="F698" s="27">
        <v>7334</v>
      </c>
      <c r="I698" s="27">
        <v>1833.5</v>
      </c>
    </row>
    <row r="699" spans="1:11" x14ac:dyDescent="0.25">
      <c r="A699" s="5" t="s">
        <v>6</v>
      </c>
      <c r="B699" s="5" t="s">
        <v>3796</v>
      </c>
      <c r="C699" s="1" t="s">
        <v>3797</v>
      </c>
      <c r="D699" s="5" t="s">
        <v>17498</v>
      </c>
      <c r="E699" s="32">
        <v>12</v>
      </c>
      <c r="F699" s="27">
        <v>99456</v>
      </c>
      <c r="G699" s="32">
        <v>14</v>
      </c>
      <c r="H699" s="27">
        <v>122662</v>
      </c>
      <c r="I699" s="27">
        <v>8288</v>
      </c>
      <c r="J699" s="27">
        <v>8761.5714285714294</v>
      </c>
      <c r="K699" s="29">
        <v>5.7139409817981338E-2</v>
      </c>
    </row>
    <row r="700" spans="1:11" x14ac:dyDescent="0.25">
      <c r="A700" s="5" t="s">
        <v>6</v>
      </c>
      <c r="B700" s="5" t="s">
        <v>3802</v>
      </c>
      <c r="C700" s="1" t="s">
        <v>3803</v>
      </c>
      <c r="D700" s="5" t="s">
        <v>17499</v>
      </c>
      <c r="E700" s="32">
        <v>15</v>
      </c>
      <c r="F700" s="27">
        <v>165516</v>
      </c>
      <c r="G700" s="32">
        <v>26</v>
      </c>
      <c r="H700" s="27">
        <v>308555</v>
      </c>
      <c r="I700" s="27">
        <v>11034.4</v>
      </c>
      <c r="J700" s="27">
        <v>11867.5</v>
      </c>
      <c r="K700" s="29">
        <v>7.5500253751903168E-2</v>
      </c>
    </row>
    <row r="701" spans="1:11" x14ac:dyDescent="0.25">
      <c r="A701" s="5" t="s">
        <v>6</v>
      </c>
      <c r="B701" s="5" t="s">
        <v>3805</v>
      </c>
      <c r="C701" s="1" t="s">
        <v>3806</v>
      </c>
      <c r="D701" s="5" t="s">
        <v>17500</v>
      </c>
      <c r="E701" s="32">
        <v>34</v>
      </c>
      <c r="F701" s="27">
        <v>391485</v>
      </c>
      <c r="G701" s="32">
        <v>43</v>
      </c>
      <c r="H701" s="27">
        <v>526114</v>
      </c>
      <c r="I701" s="27">
        <v>11514.264705882353</v>
      </c>
      <c r="J701" s="27">
        <v>12235.209302325582</v>
      </c>
      <c r="K701" s="29">
        <v>6.261316852259928E-2</v>
      </c>
    </row>
    <row r="702" spans="1:11" x14ac:dyDescent="0.25">
      <c r="A702" s="5" t="s">
        <v>6</v>
      </c>
      <c r="B702" s="5" t="s">
        <v>3808</v>
      </c>
      <c r="C702" s="1" t="s">
        <v>3809</v>
      </c>
      <c r="D702" s="5" t="s">
        <v>17501</v>
      </c>
      <c r="E702" s="32">
        <v>4</v>
      </c>
      <c r="F702" s="27">
        <v>33774</v>
      </c>
      <c r="G702" s="32">
        <v>5</v>
      </c>
      <c r="H702" s="27">
        <v>44448</v>
      </c>
      <c r="I702" s="27">
        <v>8443.5</v>
      </c>
      <c r="J702" s="27">
        <v>8889.6</v>
      </c>
      <c r="K702" s="29">
        <v>5.2833540593355877E-2</v>
      </c>
    </row>
    <row r="703" spans="1:11" x14ac:dyDescent="0.25">
      <c r="A703" s="5" t="s">
        <v>6</v>
      </c>
      <c r="B703" s="5" t="s">
        <v>3811</v>
      </c>
      <c r="C703" s="1" t="s">
        <v>3812</v>
      </c>
      <c r="D703" s="5" t="s">
        <v>17502</v>
      </c>
      <c r="E703" s="32">
        <v>121</v>
      </c>
      <c r="F703" s="27">
        <v>511195</v>
      </c>
      <c r="G703" s="32">
        <v>145</v>
      </c>
      <c r="H703" s="27">
        <v>655799</v>
      </c>
      <c r="I703" s="27">
        <v>4224.7520661157023</v>
      </c>
      <c r="J703" s="27">
        <v>4522.751724137931</v>
      </c>
      <c r="K703" s="29">
        <v>7.0536602706774656E-2</v>
      </c>
    </row>
    <row r="704" spans="1:11" x14ac:dyDescent="0.25">
      <c r="A704" s="5" t="s">
        <v>6</v>
      </c>
      <c r="B704" s="5" t="s">
        <v>3817</v>
      </c>
      <c r="C704" s="1" t="s">
        <v>3818</v>
      </c>
      <c r="D704" s="5" t="s">
        <v>17503</v>
      </c>
      <c r="E704" s="32">
        <v>1</v>
      </c>
      <c r="F704" s="27">
        <v>7696</v>
      </c>
      <c r="I704" s="27">
        <v>7696</v>
      </c>
    </row>
    <row r="705" spans="1:11" x14ac:dyDescent="0.25">
      <c r="A705" s="5" t="s">
        <v>6</v>
      </c>
      <c r="B705" s="5" t="s">
        <v>3826</v>
      </c>
      <c r="C705" s="1" t="s">
        <v>3827</v>
      </c>
      <c r="E705" s="32">
        <v>2</v>
      </c>
      <c r="F705" s="27">
        <v>8814</v>
      </c>
      <c r="I705" s="27">
        <v>4407</v>
      </c>
    </row>
    <row r="706" spans="1:11" x14ac:dyDescent="0.25">
      <c r="A706" s="5" t="s">
        <v>6</v>
      </c>
      <c r="B706" s="5" t="s">
        <v>3840</v>
      </c>
      <c r="C706" s="1" t="s">
        <v>3841</v>
      </c>
      <c r="E706" s="32">
        <v>2</v>
      </c>
      <c r="F706" s="27">
        <v>64652</v>
      </c>
      <c r="I706" s="27">
        <v>32326</v>
      </c>
    </row>
    <row r="707" spans="1:11" x14ac:dyDescent="0.25">
      <c r="A707" s="5" t="s">
        <v>6</v>
      </c>
      <c r="B707" s="5" t="s">
        <v>3845</v>
      </c>
      <c r="C707" s="1" t="s">
        <v>3846</v>
      </c>
      <c r="E707" s="32">
        <v>7</v>
      </c>
      <c r="F707" s="27">
        <v>368111</v>
      </c>
      <c r="G707" s="32">
        <v>13</v>
      </c>
      <c r="H707" s="27">
        <v>734007</v>
      </c>
      <c r="I707" s="27">
        <v>52587.285714285717</v>
      </c>
      <c r="J707" s="27">
        <v>56462.076923076922</v>
      </c>
      <c r="K707" s="29">
        <v>7.3683042510379826E-2</v>
      </c>
    </row>
    <row r="708" spans="1:11" x14ac:dyDescent="0.25">
      <c r="A708" s="5" t="s">
        <v>6</v>
      </c>
      <c r="B708" s="5" t="s">
        <v>3848</v>
      </c>
      <c r="C708" s="1" t="s">
        <v>3849</v>
      </c>
      <c r="E708" s="32">
        <v>28</v>
      </c>
      <c r="F708" s="27">
        <v>1476656</v>
      </c>
      <c r="G708" s="32">
        <v>24</v>
      </c>
      <c r="H708" s="27">
        <v>1336106</v>
      </c>
      <c r="I708" s="27">
        <v>52737.714285714283</v>
      </c>
      <c r="J708" s="27">
        <v>55671.083333333336</v>
      </c>
      <c r="K708" s="29">
        <v>5.562184647834939E-2</v>
      </c>
    </row>
    <row r="709" spans="1:11" x14ac:dyDescent="0.25">
      <c r="A709" s="5" t="s">
        <v>6</v>
      </c>
      <c r="B709" s="5" t="s">
        <v>3855</v>
      </c>
      <c r="C709" s="1" t="s">
        <v>3856</v>
      </c>
      <c r="E709" s="32">
        <v>14</v>
      </c>
      <c r="F709" s="27">
        <v>263674</v>
      </c>
      <c r="I709" s="27">
        <v>18833.857142857141</v>
      </c>
    </row>
    <row r="710" spans="1:11" x14ac:dyDescent="0.25">
      <c r="A710" s="5" t="s">
        <v>6</v>
      </c>
      <c r="B710" s="5" t="s">
        <v>3858</v>
      </c>
      <c r="C710" s="1" t="s">
        <v>3859</v>
      </c>
      <c r="E710" s="32">
        <v>3</v>
      </c>
      <c r="F710" s="27">
        <v>16977</v>
      </c>
      <c r="G710" s="32">
        <v>3</v>
      </c>
      <c r="H710" s="27">
        <v>17883</v>
      </c>
      <c r="I710" s="27">
        <v>5659</v>
      </c>
      <c r="J710" s="27">
        <v>5961</v>
      </c>
      <c r="K710" s="29">
        <v>5.3366319137656833E-2</v>
      </c>
    </row>
    <row r="711" spans="1:11" x14ac:dyDescent="0.25">
      <c r="A711" s="5" t="s">
        <v>6</v>
      </c>
      <c r="B711" s="5" t="s">
        <v>3861</v>
      </c>
      <c r="C711" s="1" t="s">
        <v>3862</v>
      </c>
      <c r="D711" s="5" t="s">
        <v>17504</v>
      </c>
      <c r="E711" s="32">
        <v>329</v>
      </c>
      <c r="F711" s="27">
        <v>1189988</v>
      </c>
      <c r="G711" s="32">
        <v>667</v>
      </c>
      <c r="H711" s="27">
        <v>2574083</v>
      </c>
      <c r="I711" s="27">
        <v>3616.9848024316111</v>
      </c>
      <c r="J711" s="27">
        <v>3859.1949025487256</v>
      </c>
      <c r="K711" s="29">
        <v>6.6964644129630435E-2</v>
      </c>
    </row>
    <row r="712" spans="1:11" x14ac:dyDescent="0.25">
      <c r="A712" s="5" t="s">
        <v>6</v>
      </c>
      <c r="B712" s="5" t="s">
        <v>3864</v>
      </c>
      <c r="C712" s="1" t="s">
        <v>3865</v>
      </c>
      <c r="E712" s="32">
        <v>1</v>
      </c>
      <c r="F712" s="27">
        <v>4787</v>
      </c>
      <c r="I712" s="27">
        <v>4787</v>
      </c>
    </row>
    <row r="713" spans="1:11" x14ac:dyDescent="0.25">
      <c r="A713" s="5" t="s">
        <v>6</v>
      </c>
      <c r="B713" s="5" t="s">
        <v>3873</v>
      </c>
      <c r="C713" s="1" t="s">
        <v>3874</v>
      </c>
      <c r="E713" s="32">
        <v>1</v>
      </c>
      <c r="F713" s="27">
        <v>48214</v>
      </c>
      <c r="I713" s="27">
        <v>48214</v>
      </c>
    </row>
    <row r="714" spans="1:11" x14ac:dyDescent="0.25">
      <c r="A714" s="5" t="s">
        <v>6</v>
      </c>
      <c r="B714" s="5" t="s">
        <v>3901</v>
      </c>
      <c r="C714" s="1" t="s">
        <v>3902</v>
      </c>
      <c r="E714" s="32">
        <v>1</v>
      </c>
      <c r="F714" s="27">
        <v>36515</v>
      </c>
      <c r="I714" s="27">
        <v>36515</v>
      </c>
    </row>
    <row r="715" spans="1:11" x14ac:dyDescent="0.25">
      <c r="A715" s="5" t="s">
        <v>6</v>
      </c>
      <c r="B715" s="5" t="s">
        <v>3904</v>
      </c>
      <c r="C715" s="1" t="s">
        <v>3905</v>
      </c>
      <c r="E715" s="32">
        <v>0</v>
      </c>
      <c r="F715" s="27">
        <v>0</v>
      </c>
      <c r="G715" s="32">
        <v>6</v>
      </c>
      <c r="H715" s="27">
        <v>274704</v>
      </c>
      <c r="J715" s="27">
        <v>45784</v>
      </c>
    </row>
    <row r="716" spans="1:11" x14ac:dyDescent="0.25">
      <c r="A716" s="5" t="s">
        <v>6</v>
      </c>
      <c r="B716" s="5" t="s">
        <v>3913</v>
      </c>
      <c r="C716" s="1" t="s">
        <v>3914</v>
      </c>
      <c r="E716" s="32">
        <v>9</v>
      </c>
      <c r="F716" s="27">
        <v>33685</v>
      </c>
      <c r="G716" s="32">
        <v>19</v>
      </c>
      <c r="H716" s="27">
        <v>75066</v>
      </c>
      <c r="I716" s="27">
        <v>3742.7777777777778</v>
      </c>
      <c r="J716" s="27">
        <v>3950.8421052631579</v>
      </c>
      <c r="K716" s="29">
        <v>5.5590884588642447E-2</v>
      </c>
    </row>
    <row r="717" spans="1:11" x14ac:dyDescent="0.25">
      <c r="A717" s="5" t="s">
        <v>6</v>
      </c>
      <c r="B717" s="5" t="s">
        <v>3919</v>
      </c>
      <c r="C717" s="1" t="s">
        <v>3920</v>
      </c>
      <c r="E717" s="32">
        <v>4</v>
      </c>
      <c r="F717" s="27">
        <v>18220</v>
      </c>
      <c r="I717" s="27">
        <v>4555</v>
      </c>
    </row>
    <row r="718" spans="1:11" x14ac:dyDescent="0.25">
      <c r="A718" s="5" t="s">
        <v>6</v>
      </c>
      <c r="B718" s="5" t="s">
        <v>3921</v>
      </c>
      <c r="C718" s="1" t="s">
        <v>3922</v>
      </c>
      <c r="E718" s="32">
        <v>4</v>
      </c>
      <c r="F718" s="27">
        <v>16679</v>
      </c>
      <c r="G718" s="32">
        <v>6</v>
      </c>
      <c r="H718" s="27">
        <v>27224</v>
      </c>
      <c r="I718" s="27">
        <v>4169.75</v>
      </c>
      <c r="J718" s="27">
        <v>4537.333333333333</v>
      </c>
      <c r="K718" s="29">
        <v>8.8154765473549501E-2</v>
      </c>
    </row>
    <row r="719" spans="1:11" x14ac:dyDescent="0.25">
      <c r="A719" s="5" t="s">
        <v>6</v>
      </c>
      <c r="B719" s="5" t="s">
        <v>3923</v>
      </c>
      <c r="C719" s="1" t="s">
        <v>3924</v>
      </c>
      <c r="E719" s="32">
        <v>32</v>
      </c>
      <c r="F719" s="27">
        <v>181392</v>
      </c>
      <c r="G719" s="32">
        <v>47</v>
      </c>
      <c r="H719" s="27">
        <v>286078</v>
      </c>
      <c r="I719" s="27">
        <v>5668.5</v>
      </c>
      <c r="J719" s="27">
        <v>6086.7659574468089</v>
      </c>
      <c r="K719" s="29">
        <v>7.3787767036572097E-2</v>
      </c>
    </row>
    <row r="720" spans="1:11" x14ac:dyDescent="0.25">
      <c r="A720" s="5" t="s">
        <v>6</v>
      </c>
      <c r="B720" s="5" t="s">
        <v>3931</v>
      </c>
      <c r="C720" s="1" t="s">
        <v>3932</v>
      </c>
      <c r="E720" s="32">
        <v>4</v>
      </c>
      <c r="F720" s="27">
        <v>1792</v>
      </c>
      <c r="I720" s="27">
        <v>448</v>
      </c>
    </row>
    <row r="721" spans="1:11" x14ac:dyDescent="0.25">
      <c r="A721" s="5" t="s">
        <v>6</v>
      </c>
      <c r="B721" s="5" t="s">
        <v>3933</v>
      </c>
      <c r="C721" s="1" t="s">
        <v>3934</v>
      </c>
      <c r="E721" s="32">
        <v>1</v>
      </c>
      <c r="F721" s="27">
        <v>3500</v>
      </c>
      <c r="I721" s="27">
        <v>3500</v>
      </c>
    </row>
    <row r="722" spans="1:11" x14ac:dyDescent="0.25">
      <c r="A722" s="5" t="s">
        <v>6</v>
      </c>
      <c r="B722" s="5" t="s">
        <v>3936</v>
      </c>
      <c r="C722" s="1" t="s">
        <v>3937</v>
      </c>
      <c r="D722" s="5" t="s">
        <v>17505</v>
      </c>
      <c r="E722" s="32">
        <v>7</v>
      </c>
      <c r="F722" s="27">
        <v>27552</v>
      </c>
      <c r="G722" s="32">
        <v>4</v>
      </c>
      <c r="H722" s="27">
        <v>16689</v>
      </c>
      <c r="I722" s="27">
        <v>3936</v>
      </c>
      <c r="J722" s="27">
        <v>4172.25</v>
      </c>
      <c r="K722" s="29">
        <v>6.0022865853658534E-2</v>
      </c>
    </row>
    <row r="723" spans="1:11" x14ac:dyDescent="0.25">
      <c r="A723" s="5" t="s">
        <v>6</v>
      </c>
      <c r="B723" s="5" t="s">
        <v>3938</v>
      </c>
      <c r="C723" s="1" t="s">
        <v>245</v>
      </c>
      <c r="D723" s="5" t="s">
        <v>17197</v>
      </c>
      <c r="E723" s="32">
        <v>914</v>
      </c>
      <c r="F723" s="27">
        <v>465433</v>
      </c>
      <c r="G723" s="32">
        <v>1001</v>
      </c>
      <c r="H723" s="27">
        <v>544355</v>
      </c>
      <c r="I723" s="27">
        <v>509.22647702407005</v>
      </c>
      <c r="J723" s="27">
        <v>543.8111888111888</v>
      </c>
      <c r="K723" s="29">
        <v>6.7916169617166247E-2</v>
      </c>
    </row>
    <row r="724" spans="1:11" x14ac:dyDescent="0.25">
      <c r="A724" s="5" t="s">
        <v>6</v>
      </c>
      <c r="B724" s="5" t="s">
        <v>3939</v>
      </c>
      <c r="C724" s="1" t="s">
        <v>248</v>
      </c>
      <c r="D724" s="5" t="s">
        <v>17198</v>
      </c>
      <c r="E724" s="32">
        <v>1700</v>
      </c>
      <c r="F724" s="27">
        <v>695270</v>
      </c>
      <c r="G724" s="32">
        <v>1827</v>
      </c>
      <c r="H724" s="27">
        <v>799587</v>
      </c>
      <c r="I724" s="27">
        <v>408.98235294117649</v>
      </c>
      <c r="J724" s="27">
        <v>437.6502463054187</v>
      </c>
      <c r="K724" s="29">
        <v>7.0095673219341792E-2</v>
      </c>
    </row>
    <row r="725" spans="1:11" x14ac:dyDescent="0.25">
      <c r="A725" s="5" t="s">
        <v>6</v>
      </c>
      <c r="B725" s="5" t="s">
        <v>3940</v>
      </c>
      <c r="C725" s="1" t="s">
        <v>3941</v>
      </c>
      <c r="D725" s="5" t="s">
        <v>17506</v>
      </c>
      <c r="E725" s="32">
        <v>239</v>
      </c>
      <c r="F725" s="27">
        <v>12109214</v>
      </c>
      <c r="G725" s="32">
        <v>265</v>
      </c>
      <c r="H725" s="27">
        <v>14327550</v>
      </c>
      <c r="I725" s="27">
        <v>50666.167364016736</v>
      </c>
      <c r="J725" s="27">
        <v>54066.226415094337</v>
      </c>
      <c r="K725" s="29">
        <v>6.7107089957081187E-2</v>
      </c>
    </row>
    <row r="726" spans="1:11" x14ac:dyDescent="0.25">
      <c r="A726" s="5" t="s">
        <v>6</v>
      </c>
      <c r="B726" s="5" t="s">
        <v>3943</v>
      </c>
      <c r="C726" s="1" t="s">
        <v>3944</v>
      </c>
      <c r="D726" s="5" t="s">
        <v>17507</v>
      </c>
      <c r="E726" s="32">
        <v>35</v>
      </c>
      <c r="F726" s="27">
        <v>1775504</v>
      </c>
      <c r="G726" s="32">
        <v>33</v>
      </c>
      <c r="H726" s="27">
        <v>1783521</v>
      </c>
      <c r="I726" s="27">
        <v>50728.685714285712</v>
      </c>
      <c r="J726" s="27">
        <v>54046.090909090912</v>
      </c>
      <c r="K726" s="29">
        <v>6.5395055048133949E-2</v>
      </c>
    </row>
    <row r="727" spans="1:11" x14ac:dyDescent="0.25">
      <c r="A727" s="5" t="s">
        <v>6</v>
      </c>
      <c r="B727" s="5" t="s">
        <v>3946</v>
      </c>
      <c r="C727" s="1" t="s">
        <v>3947</v>
      </c>
      <c r="D727" s="5" t="s">
        <v>17508</v>
      </c>
      <c r="E727" s="32">
        <v>30</v>
      </c>
      <c r="F727" s="27">
        <v>2984086</v>
      </c>
      <c r="G727" s="32">
        <v>38</v>
      </c>
      <c r="H727" s="27">
        <v>3948850</v>
      </c>
      <c r="I727" s="27">
        <v>99469.53333333334</v>
      </c>
      <c r="J727" s="27">
        <v>103917.10526315789</v>
      </c>
      <c r="K727" s="29">
        <v>4.4712906362194854E-2</v>
      </c>
    </row>
    <row r="728" spans="1:11" x14ac:dyDescent="0.25">
      <c r="A728" s="5" t="s">
        <v>6</v>
      </c>
      <c r="B728" s="5" t="s">
        <v>3949</v>
      </c>
      <c r="C728" s="1" t="s">
        <v>3950</v>
      </c>
      <c r="D728" s="5" t="s">
        <v>17509</v>
      </c>
      <c r="E728" s="32">
        <v>2</v>
      </c>
      <c r="F728" s="27">
        <v>129254</v>
      </c>
      <c r="I728" s="27">
        <v>64627</v>
      </c>
    </row>
    <row r="729" spans="1:11" x14ac:dyDescent="0.25">
      <c r="A729" s="5" t="s">
        <v>6</v>
      </c>
      <c r="B729" s="5" t="s">
        <v>3952</v>
      </c>
      <c r="C729" s="1" t="s">
        <v>3953</v>
      </c>
      <c r="D729" s="5" t="s">
        <v>17510</v>
      </c>
      <c r="E729" s="32">
        <v>67</v>
      </c>
      <c r="F729" s="27">
        <v>6962120</v>
      </c>
      <c r="G729" s="32">
        <v>86</v>
      </c>
      <c r="H729" s="27">
        <v>9534220</v>
      </c>
      <c r="I729" s="27">
        <v>103912.23880597015</v>
      </c>
      <c r="J729" s="27">
        <v>110863.02325581395</v>
      </c>
      <c r="K729" s="29">
        <v>6.689091227090814E-2</v>
      </c>
    </row>
    <row r="730" spans="1:11" x14ac:dyDescent="0.25">
      <c r="A730" s="5" t="s">
        <v>6</v>
      </c>
      <c r="B730" s="5" t="s">
        <v>3955</v>
      </c>
      <c r="C730" s="1" t="s">
        <v>3956</v>
      </c>
      <c r="D730" s="5" t="s">
        <v>17511</v>
      </c>
      <c r="E730" s="32">
        <v>5</v>
      </c>
      <c r="F730" s="27">
        <v>195243</v>
      </c>
      <c r="I730" s="27">
        <v>39048.6</v>
      </c>
    </row>
    <row r="731" spans="1:11" x14ac:dyDescent="0.25">
      <c r="A731" s="5" t="s">
        <v>6</v>
      </c>
      <c r="B731" s="5" t="s">
        <v>3961</v>
      </c>
      <c r="C731" s="1" t="s">
        <v>3962</v>
      </c>
      <c r="E731" s="32">
        <v>1</v>
      </c>
      <c r="F731" s="27">
        <v>31726</v>
      </c>
      <c r="G731" s="32">
        <v>6</v>
      </c>
      <c r="H731" s="27">
        <v>223260</v>
      </c>
      <c r="I731" s="27">
        <v>31726</v>
      </c>
      <c r="J731" s="27">
        <v>37210</v>
      </c>
      <c r="K731" s="29">
        <v>0.17285507155014815</v>
      </c>
    </row>
    <row r="732" spans="1:11" x14ac:dyDescent="0.25">
      <c r="A732" s="5" t="s">
        <v>6</v>
      </c>
      <c r="B732" s="5" t="s">
        <v>3974</v>
      </c>
      <c r="C732" s="1" t="s">
        <v>3968</v>
      </c>
      <c r="E732" s="32">
        <v>1</v>
      </c>
      <c r="F732" s="27">
        <v>110862</v>
      </c>
      <c r="I732" s="27">
        <v>110862</v>
      </c>
    </row>
    <row r="733" spans="1:11" x14ac:dyDescent="0.25">
      <c r="A733" s="5" t="s">
        <v>6</v>
      </c>
      <c r="B733" s="5" t="s">
        <v>3976</v>
      </c>
      <c r="C733" s="1" t="s">
        <v>3977</v>
      </c>
      <c r="D733" s="5" t="s">
        <v>17512</v>
      </c>
      <c r="E733" s="32">
        <v>12</v>
      </c>
      <c r="F733" s="27">
        <v>20981</v>
      </c>
      <c r="G733" s="32">
        <v>9</v>
      </c>
      <c r="H733" s="27">
        <v>16263</v>
      </c>
      <c r="I733" s="27">
        <v>1748.4166666666667</v>
      </c>
      <c r="J733" s="27">
        <v>1807</v>
      </c>
      <c r="K733" s="29">
        <v>3.3506505886278015E-2</v>
      </c>
    </row>
    <row r="734" spans="1:11" x14ac:dyDescent="0.25">
      <c r="A734" s="5" t="s">
        <v>6</v>
      </c>
      <c r="B734" s="5" t="s">
        <v>3979</v>
      </c>
      <c r="C734" s="1" t="s">
        <v>3980</v>
      </c>
      <c r="D734" s="5" t="s">
        <v>17513</v>
      </c>
      <c r="E734" s="32">
        <v>228</v>
      </c>
      <c r="F734" s="27">
        <v>1560109</v>
      </c>
      <c r="G734" s="32">
        <v>194</v>
      </c>
      <c r="H734" s="27">
        <v>1411759</v>
      </c>
      <c r="I734" s="27">
        <v>6842.583333333333</v>
      </c>
      <c r="J734" s="27">
        <v>7277.1082474226805</v>
      </c>
      <c r="K734" s="29">
        <v>6.3503050371718411E-2</v>
      </c>
    </row>
    <row r="735" spans="1:11" x14ac:dyDescent="0.25">
      <c r="A735" s="5" t="s">
        <v>6</v>
      </c>
      <c r="B735" s="5" t="s">
        <v>3985</v>
      </c>
      <c r="C735" s="1" t="s">
        <v>3986</v>
      </c>
      <c r="D735" s="5" t="s">
        <v>17514</v>
      </c>
      <c r="E735" s="32">
        <v>415</v>
      </c>
      <c r="F735" s="27">
        <v>895565</v>
      </c>
      <c r="G735" s="32">
        <v>600</v>
      </c>
      <c r="H735" s="27">
        <v>1380850</v>
      </c>
      <c r="I735" s="27">
        <v>2157.9879518072289</v>
      </c>
      <c r="J735" s="27">
        <v>2301.4166666666665</v>
      </c>
      <c r="K735" s="29">
        <v>6.6464094361287682E-2</v>
      </c>
    </row>
    <row r="736" spans="1:11" x14ac:dyDescent="0.25">
      <c r="A736" s="5" t="s">
        <v>6</v>
      </c>
      <c r="B736" s="5" t="s">
        <v>3993</v>
      </c>
      <c r="C736" s="1" t="s">
        <v>3994</v>
      </c>
      <c r="D736" s="5" t="s">
        <v>17515</v>
      </c>
      <c r="E736" s="32">
        <v>4</v>
      </c>
      <c r="F736" s="27">
        <v>4838</v>
      </c>
      <c r="G736" s="32">
        <v>1</v>
      </c>
      <c r="H736" s="27">
        <v>1333</v>
      </c>
      <c r="I736" s="27">
        <v>1209.5</v>
      </c>
      <c r="J736" s="27">
        <v>1333</v>
      </c>
      <c r="K736" s="29">
        <v>0.10210830921868541</v>
      </c>
    </row>
    <row r="737" spans="1:11" x14ac:dyDescent="0.25">
      <c r="A737" s="5" t="s">
        <v>6</v>
      </c>
      <c r="B737" s="5" t="s">
        <v>3996</v>
      </c>
      <c r="C737" s="1" t="s">
        <v>3997</v>
      </c>
      <c r="D737" s="5" t="s">
        <v>17516</v>
      </c>
      <c r="E737" s="32">
        <v>4</v>
      </c>
      <c r="F737" s="27">
        <v>6473.8</v>
      </c>
      <c r="G737" s="32">
        <v>5</v>
      </c>
      <c r="H737" s="27">
        <v>9100</v>
      </c>
      <c r="I737" s="27">
        <v>1618.45</v>
      </c>
      <c r="J737" s="27">
        <v>1820</v>
      </c>
      <c r="K737" s="29">
        <v>0.12453273193487593</v>
      </c>
    </row>
    <row r="738" spans="1:11" x14ac:dyDescent="0.25">
      <c r="A738" s="5" t="s">
        <v>6</v>
      </c>
      <c r="B738" s="5" t="s">
        <v>4005</v>
      </c>
      <c r="C738" s="1" t="s">
        <v>4006</v>
      </c>
      <c r="D738" s="5" t="s">
        <v>17517</v>
      </c>
      <c r="E738" s="32">
        <v>10</v>
      </c>
      <c r="F738" s="27">
        <v>10540</v>
      </c>
      <c r="G738" s="32">
        <v>9</v>
      </c>
      <c r="H738" s="27">
        <v>9983</v>
      </c>
      <c r="I738" s="27">
        <v>1054</v>
      </c>
      <c r="J738" s="27">
        <v>1109.2222222222222</v>
      </c>
      <c r="K738" s="29">
        <v>5.2393000210836975E-2</v>
      </c>
    </row>
    <row r="739" spans="1:11" x14ac:dyDescent="0.25">
      <c r="A739" s="5" t="s">
        <v>6</v>
      </c>
      <c r="B739" s="5" t="s">
        <v>4014</v>
      </c>
      <c r="C739" s="1" t="s">
        <v>4015</v>
      </c>
      <c r="D739" s="5" t="s">
        <v>17518</v>
      </c>
      <c r="E739" s="32">
        <v>1</v>
      </c>
      <c r="F739" s="27">
        <v>1286</v>
      </c>
      <c r="I739" s="27">
        <v>1286</v>
      </c>
    </row>
    <row r="740" spans="1:11" x14ac:dyDescent="0.25">
      <c r="A740" s="5" t="s">
        <v>6</v>
      </c>
      <c r="B740" s="5" t="s">
        <v>4017</v>
      </c>
      <c r="C740" s="1" t="s">
        <v>4018</v>
      </c>
      <c r="D740" s="5" t="s">
        <v>17519</v>
      </c>
      <c r="E740" s="32">
        <v>2</v>
      </c>
      <c r="F740" s="27">
        <v>1674</v>
      </c>
      <c r="I740" s="27">
        <v>837</v>
      </c>
    </row>
    <row r="741" spans="1:11" x14ac:dyDescent="0.25">
      <c r="A741" s="5" t="s">
        <v>6</v>
      </c>
      <c r="B741" s="5" t="s">
        <v>4020</v>
      </c>
      <c r="C741" s="1" t="s">
        <v>4021</v>
      </c>
      <c r="D741" s="5" t="s">
        <v>17520</v>
      </c>
      <c r="E741" s="32">
        <v>23</v>
      </c>
      <c r="F741" s="27">
        <v>22789</v>
      </c>
      <c r="G741" s="32">
        <v>15</v>
      </c>
      <c r="H741" s="27">
        <v>16269</v>
      </c>
      <c r="I741" s="27">
        <v>990.82608695652175</v>
      </c>
      <c r="J741" s="27">
        <v>1084.5999999999999</v>
      </c>
      <c r="K741" s="29">
        <v>9.4642151915397682E-2</v>
      </c>
    </row>
    <row r="742" spans="1:11" x14ac:dyDescent="0.25">
      <c r="A742" s="5" t="s">
        <v>6</v>
      </c>
      <c r="B742" s="5" t="s">
        <v>4034</v>
      </c>
      <c r="C742" s="1" t="s">
        <v>4035</v>
      </c>
      <c r="D742" s="5" t="s">
        <v>17521</v>
      </c>
      <c r="E742" s="32">
        <v>9</v>
      </c>
      <c r="F742" s="27">
        <v>7190</v>
      </c>
      <c r="G742" s="32">
        <v>13</v>
      </c>
      <c r="H742" s="27">
        <v>11246</v>
      </c>
      <c r="I742" s="27">
        <v>798.88888888888891</v>
      </c>
      <c r="J742" s="27">
        <v>865.07692307692309</v>
      </c>
      <c r="K742" s="29">
        <v>8.2850112335508708E-2</v>
      </c>
    </row>
    <row r="743" spans="1:11" x14ac:dyDescent="0.25">
      <c r="A743" s="5" t="s">
        <v>6</v>
      </c>
      <c r="B743" s="5" t="s">
        <v>4036</v>
      </c>
      <c r="C743" s="1" t="s">
        <v>4037</v>
      </c>
      <c r="D743" s="5" t="s">
        <v>17522</v>
      </c>
      <c r="E743" s="32">
        <v>2</v>
      </c>
      <c r="F743" s="27">
        <v>2402</v>
      </c>
      <c r="G743" s="32">
        <v>3</v>
      </c>
      <c r="H743" s="27">
        <v>3699</v>
      </c>
      <c r="I743" s="27">
        <v>1201</v>
      </c>
      <c r="J743" s="27">
        <v>1233</v>
      </c>
      <c r="K743" s="29">
        <v>2.6644462947543714E-2</v>
      </c>
    </row>
    <row r="744" spans="1:11" x14ac:dyDescent="0.25">
      <c r="A744" s="5" t="s">
        <v>6</v>
      </c>
      <c r="B744" s="5" t="s">
        <v>4039</v>
      </c>
      <c r="C744" s="1" t="s">
        <v>4040</v>
      </c>
      <c r="D744" s="5" t="s">
        <v>17523</v>
      </c>
      <c r="E744" s="32">
        <v>4</v>
      </c>
      <c r="F744" s="27">
        <v>3188</v>
      </c>
      <c r="I744" s="27">
        <v>797</v>
      </c>
    </row>
    <row r="745" spans="1:11" x14ac:dyDescent="0.25">
      <c r="A745" s="5" t="s">
        <v>6</v>
      </c>
      <c r="B745" s="5" t="s">
        <v>4042</v>
      </c>
      <c r="C745" s="1" t="s">
        <v>4043</v>
      </c>
      <c r="D745" s="5" t="s">
        <v>17524</v>
      </c>
      <c r="E745" s="32">
        <v>62</v>
      </c>
      <c r="F745" s="27">
        <v>51192</v>
      </c>
      <c r="G745" s="32">
        <v>65</v>
      </c>
      <c r="H745" s="27">
        <v>57579</v>
      </c>
      <c r="I745" s="27">
        <v>825.67741935483866</v>
      </c>
      <c r="J745" s="27">
        <v>885.83076923076919</v>
      </c>
      <c r="K745" s="29">
        <v>7.2853330448267167E-2</v>
      </c>
    </row>
    <row r="746" spans="1:11" x14ac:dyDescent="0.25">
      <c r="A746" s="5" t="s">
        <v>6</v>
      </c>
      <c r="B746" s="5" t="s">
        <v>4045</v>
      </c>
      <c r="C746" s="1" t="s">
        <v>4046</v>
      </c>
      <c r="E746" s="32">
        <v>3</v>
      </c>
      <c r="F746" s="27">
        <v>4857</v>
      </c>
      <c r="I746" s="27">
        <v>1619</v>
      </c>
    </row>
    <row r="747" spans="1:11" x14ac:dyDescent="0.25">
      <c r="A747" s="5" t="s">
        <v>6</v>
      </c>
      <c r="B747" s="5" t="s">
        <v>4048</v>
      </c>
      <c r="C747" s="1" t="s">
        <v>4049</v>
      </c>
      <c r="D747" s="5" t="s">
        <v>17525</v>
      </c>
      <c r="E747" s="32">
        <v>27976</v>
      </c>
      <c r="F747" s="27">
        <v>29246207.18</v>
      </c>
      <c r="G747" s="32">
        <v>26656</v>
      </c>
      <c r="H747" s="27">
        <v>29748895</v>
      </c>
      <c r="I747" s="27">
        <v>1045.4034593937661</v>
      </c>
      <c r="J747" s="27">
        <v>1116.0299744897959</v>
      </c>
      <c r="K747" s="29">
        <v>6.755909831883132E-2</v>
      </c>
    </row>
    <row r="748" spans="1:11" x14ac:dyDescent="0.25">
      <c r="A748" s="5" t="s">
        <v>6</v>
      </c>
      <c r="B748" s="5" t="s">
        <v>4050</v>
      </c>
      <c r="C748" s="1" t="s">
        <v>4051</v>
      </c>
      <c r="D748" s="5" t="s">
        <v>17101</v>
      </c>
      <c r="E748" s="32">
        <v>3153</v>
      </c>
      <c r="F748" s="27">
        <v>4407009</v>
      </c>
      <c r="G748" s="32">
        <v>4015</v>
      </c>
      <c r="H748" s="27">
        <v>5939253</v>
      </c>
      <c r="I748" s="27">
        <v>1397.7193149381542</v>
      </c>
      <c r="J748" s="27">
        <v>1479.26600249066</v>
      </c>
      <c r="K748" s="29">
        <v>5.8342677732913795E-2</v>
      </c>
    </row>
    <row r="749" spans="1:11" x14ac:dyDescent="0.25">
      <c r="A749" s="5" t="s">
        <v>6</v>
      </c>
      <c r="B749" s="5" t="s">
        <v>4052</v>
      </c>
      <c r="C749" s="1" t="s">
        <v>4053</v>
      </c>
      <c r="D749" s="5" t="s">
        <v>17526</v>
      </c>
      <c r="E749" s="32">
        <v>1</v>
      </c>
      <c r="F749" s="27">
        <v>993</v>
      </c>
      <c r="I749" s="27">
        <v>993</v>
      </c>
    </row>
    <row r="750" spans="1:11" x14ac:dyDescent="0.25">
      <c r="A750" s="5" t="s">
        <v>6</v>
      </c>
      <c r="B750" s="5" t="s">
        <v>4054</v>
      </c>
      <c r="C750" s="1" t="s">
        <v>4055</v>
      </c>
      <c r="D750" s="5" t="s">
        <v>17527</v>
      </c>
      <c r="E750" s="32">
        <v>254</v>
      </c>
      <c r="F750" s="27">
        <v>255295</v>
      </c>
      <c r="G750" s="32">
        <v>211</v>
      </c>
      <c r="H750" s="27">
        <v>226384</v>
      </c>
      <c r="I750" s="27">
        <v>1005.0984251968504</v>
      </c>
      <c r="J750" s="27">
        <v>1072.909952606635</v>
      </c>
      <c r="K750" s="29">
        <v>6.7467549157191845E-2</v>
      </c>
    </row>
    <row r="751" spans="1:11" x14ac:dyDescent="0.25">
      <c r="A751" s="5" t="s">
        <v>6</v>
      </c>
      <c r="B751" s="5" t="s">
        <v>4057</v>
      </c>
      <c r="C751" s="1" t="s">
        <v>4058</v>
      </c>
      <c r="D751" s="5" t="s">
        <v>17528</v>
      </c>
      <c r="E751" s="32">
        <v>31</v>
      </c>
      <c r="F751" s="27">
        <v>30035</v>
      </c>
      <c r="G751" s="32">
        <v>17</v>
      </c>
      <c r="H751" s="27">
        <v>17524</v>
      </c>
      <c r="I751" s="27">
        <v>968.87096774193549</v>
      </c>
      <c r="J751" s="27">
        <v>1030.8235294117646</v>
      </c>
      <c r="K751" s="29">
        <v>6.3943046837513021E-2</v>
      </c>
    </row>
    <row r="752" spans="1:11" x14ac:dyDescent="0.25">
      <c r="A752" s="5" t="s">
        <v>6</v>
      </c>
      <c r="B752" s="5" t="s">
        <v>4060</v>
      </c>
      <c r="C752" s="1" t="s">
        <v>4061</v>
      </c>
      <c r="D752" s="5" t="s">
        <v>17529</v>
      </c>
      <c r="E752" s="32">
        <v>13</v>
      </c>
      <c r="F752" s="27">
        <v>11477</v>
      </c>
      <c r="I752" s="27">
        <v>882.84615384615381</v>
      </c>
    </row>
    <row r="753" spans="1:11" x14ac:dyDescent="0.25">
      <c r="A753" s="5" t="s">
        <v>6</v>
      </c>
      <c r="B753" s="5" t="s">
        <v>4066</v>
      </c>
      <c r="C753" s="1" t="s">
        <v>4067</v>
      </c>
      <c r="D753" s="5" t="s">
        <v>17530</v>
      </c>
      <c r="E753" s="32">
        <v>113</v>
      </c>
      <c r="F753" s="27">
        <v>78151</v>
      </c>
      <c r="G753" s="32">
        <v>119</v>
      </c>
      <c r="H753" s="27">
        <v>88193</v>
      </c>
      <c r="I753" s="27">
        <v>691.60176991150445</v>
      </c>
      <c r="J753" s="27">
        <v>741.11764705882354</v>
      </c>
      <c r="K753" s="29">
        <v>7.1595937577856414E-2</v>
      </c>
    </row>
    <row r="754" spans="1:11" x14ac:dyDescent="0.25">
      <c r="A754" s="5" t="s">
        <v>6</v>
      </c>
      <c r="B754" s="5" t="s">
        <v>4069</v>
      </c>
      <c r="C754" s="1" t="s">
        <v>4070</v>
      </c>
      <c r="D754" s="5" t="s">
        <v>17531</v>
      </c>
      <c r="E754" s="32">
        <v>23</v>
      </c>
      <c r="F754" s="27">
        <v>27174</v>
      </c>
      <c r="G754" s="32">
        <v>25</v>
      </c>
      <c r="H754" s="27">
        <v>31582</v>
      </c>
      <c r="I754" s="27">
        <v>1181.4782608695652</v>
      </c>
      <c r="J754" s="27">
        <v>1263.28</v>
      </c>
      <c r="K754" s="29">
        <v>6.9236770442334533E-2</v>
      </c>
    </row>
    <row r="755" spans="1:11" x14ac:dyDescent="0.25">
      <c r="A755" s="5" t="s">
        <v>6</v>
      </c>
      <c r="B755" s="5" t="s">
        <v>4072</v>
      </c>
      <c r="C755" s="1" t="s">
        <v>4073</v>
      </c>
      <c r="D755" s="5" t="s">
        <v>17531</v>
      </c>
      <c r="E755" s="32">
        <v>352</v>
      </c>
      <c r="F755" s="27">
        <v>414571</v>
      </c>
      <c r="G755" s="32">
        <v>229</v>
      </c>
      <c r="H755" s="27">
        <v>289798</v>
      </c>
      <c r="I755" s="27">
        <v>1177.7585227272727</v>
      </c>
      <c r="J755" s="27">
        <v>1265.4934497816594</v>
      </c>
      <c r="K755" s="29">
        <v>7.4493137057691172E-2</v>
      </c>
    </row>
    <row r="756" spans="1:11" x14ac:dyDescent="0.25">
      <c r="A756" s="5" t="s">
        <v>6</v>
      </c>
      <c r="B756" s="5" t="s">
        <v>4075</v>
      </c>
      <c r="C756" s="1" t="s">
        <v>4076</v>
      </c>
      <c r="D756" s="5" t="s">
        <v>17532</v>
      </c>
      <c r="E756" s="32">
        <v>30</v>
      </c>
      <c r="F756" s="27">
        <v>53770</v>
      </c>
      <c r="G756" s="32">
        <v>19</v>
      </c>
      <c r="H756" s="27">
        <v>36833</v>
      </c>
      <c r="I756" s="27">
        <v>1792.3333333333333</v>
      </c>
      <c r="J756" s="27">
        <v>1938.578947368421</v>
      </c>
      <c r="K756" s="29">
        <v>8.1595098029619367E-2</v>
      </c>
    </row>
    <row r="757" spans="1:11" x14ac:dyDescent="0.25">
      <c r="A757" s="5" t="s">
        <v>6</v>
      </c>
      <c r="B757" s="5" t="s">
        <v>4078</v>
      </c>
      <c r="C757" s="1" t="s">
        <v>4079</v>
      </c>
      <c r="D757" s="5" t="s">
        <v>17533</v>
      </c>
      <c r="E757" s="32">
        <v>28</v>
      </c>
      <c r="F757" s="27">
        <v>19572</v>
      </c>
      <c r="G757" s="32">
        <v>28</v>
      </c>
      <c r="H757" s="27">
        <v>20860</v>
      </c>
      <c r="I757" s="27">
        <v>699</v>
      </c>
      <c r="J757" s="27">
        <v>745</v>
      </c>
      <c r="K757" s="29">
        <v>6.5808297567954227E-2</v>
      </c>
    </row>
    <row r="758" spans="1:11" x14ac:dyDescent="0.25">
      <c r="A758" s="5" t="s">
        <v>6</v>
      </c>
      <c r="B758" s="5" t="s">
        <v>4081</v>
      </c>
      <c r="C758" s="1" t="s">
        <v>4082</v>
      </c>
      <c r="D758" s="5" t="s">
        <v>17534</v>
      </c>
      <c r="E758" s="32">
        <v>280</v>
      </c>
      <c r="F758" s="27">
        <v>292012</v>
      </c>
      <c r="G758" s="32">
        <v>202</v>
      </c>
      <c r="H758" s="27">
        <v>225340</v>
      </c>
      <c r="I758" s="27">
        <v>1042.9000000000001</v>
      </c>
      <c r="J758" s="27">
        <v>1115.5445544554455</v>
      </c>
      <c r="K758" s="29">
        <v>6.9656299218952306E-2</v>
      </c>
    </row>
    <row r="759" spans="1:11" x14ac:dyDescent="0.25">
      <c r="A759" s="5" t="s">
        <v>6</v>
      </c>
      <c r="B759" s="5" t="s">
        <v>4084</v>
      </c>
      <c r="C759" s="1" t="s">
        <v>4085</v>
      </c>
      <c r="D759" s="5" t="s">
        <v>17535</v>
      </c>
      <c r="E759" s="32">
        <v>1</v>
      </c>
      <c r="F759" s="27">
        <v>935</v>
      </c>
      <c r="I759" s="27">
        <v>935</v>
      </c>
    </row>
    <row r="760" spans="1:11" x14ac:dyDescent="0.25">
      <c r="A760" s="5" t="s">
        <v>6</v>
      </c>
      <c r="B760" s="5" t="s">
        <v>4093</v>
      </c>
      <c r="C760" s="1" t="s">
        <v>4094</v>
      </c>
      <c r="D760" s="5" t="s">
        <v>17536</v>
      </c>
      <c r="E760" s="32">
        <v>3</v>
      </c>
      <c r="F760" s="27">
        <v>5367</v>
      </c>
      <c r="I760" s="27">
        <v>1789</v>
      </c>
    </row>
    <row r="761" spans="1:11" x14ac:dyDescent="0.25">
      <c r="A761" s="5" t="s">
        <v>6</v>
      </c>
      <c r="B761" s="5" t="s">
        <v>4096</v>
      </c>
      <c r="C761" s="1" t="s">
        <v>4097</v>
      </c>
      <c r="D761" s="5" t="s">
        <v>17537</v>
      </c>
      <c r="E761" s="32">
        <v>6</v>
      </c>
      <c r="F761" s="27">
        <v>12037</v>
      </c>
      <c r="I761" s="27">
        <v>2006.1666666666667</v>
      </c>
    </row>
    <row r="762" spans="1:11" x14ac:dyDescent="0.25">
      <c r="A762" s="5" t="s">
        <v>6</v>
      </c>
      <c r="B762" s="5" t="s">
        <v>4099</v>
      </c>
      <c r="C762" s="1" t="s">
        <v>4100</v>
      </c>
      <c r="D762" s="5" t="s">
        <v>17538</v>
      </c>
      <c r="E762" s="32">
        <v>41</v>
      </c>
      <c r="F762" s="27">
        <v>45782</v>
      </c>
      <c r="G762" s="32">
        <v>50</v>
      </c>
      <c r="H762" s="27">
        <v>59967</v>
      </c>
      <c r="I762" s="27">
        <v>1116.6341463414635</v>
      </c>
      <c r="J762" s="27">
        <v>1199.3399999999999</v>
      </c>
      <c r="K762" s="29">
        <v>7.4067100607225378E-2</v>
      </c>
    </row>
    <row r="763" spans="1:11" x14ac:dyDescent="0.25">
      <c r="A763" s="5" t="s">
        <v>6</v>
      </c>
      <c r="B763" s="5" t="s">
        <v>4102</v>
      </c>
      <c r="C763" s="1" t="s">
        <v>4103</v>
      </c>
      <c r="D763" s="5" t="s">
        <v>17538</v>
      </c>
      <c r="E763" s="32">
        <v>955</v>
      </c>
      <c r="F763" s="27">
        <v>1315376</v>
      </c>
      <c r="G763" s="32">
        <v>759</v>
      </c>
      <c r="H763" s="27">
        <v>1118899</v>
      </c>
      <c r="I763" s="27">
        <v>1377.3570680628272</v>
      </c>
      <c r="J763" s="27">
        <v>1474.175230566535</v>
      </c>
      <c r="K763" s="29">
        <v>7.0292711126735546E-2</v>
      </c>
    </row>
    <row r="764" spans="1:11" x14ac:dyDescent="0.25">
      <c r="A764" s="5" t="s">
        <v>6</v>
      </c>
      <c r="B764" s="5" t="s">
        <v>4105</v>
      </c>
      <c r="C764" s="1" t="s">
        <v>4106</v>
      </c>
      <c r="D764" s="5" t="s">
        <v>17099</v>
      </c>
      <c r="E764" s="32">
        <v>64</v>
      </c>
      <c r="F764" s="27">
        <v>107504</v>
      </c>
      <c r="G764" s="32">
        <v>48</v>
      </c>
      <c r="H764" s="27">
        <v>87122</v>
      </c>
      <c r="I764" s="27">
        <v>1679.75</v>
      </c>
      <c r="J764" s="27">
        <v>1815.0416666666667</v>
      </c>
      <c r="K764" s="29">
        <v>8.0542739494964571E-2</v>
      </c>
    </row>
    <row r="765" spans="1:11" x14ac:dyDescent="0.25">
      <c r="A765" s="5" t="s">
        <v>6</v>
      </c>
      <c r="B765" s="5" t="s">
        <v>4108</v>
      </c>
      <c r="C765" s="1" t="s">
        <v>4109</v>
      </c>
      <c r="D765" s="5" t="s">
        <v>17539</v>
      </c>
      <c r="E765" s="32">
        <v>5</v>
      </c>
      <c r="F765" s="27">
        <v>8055</v>
      </c>
      <c r="G765" s="32">
        <v>5</v>
      </c>
      <c r="H765" s="27">
        <v>8709</v>
      </c>
      <c r="I765" s="27">
        <v>1611</v>
      </c>
      <c r="J765" s="27">
        <v>1741.8</v>
      </c>
      <c r="K765" s="29">
        <v>8.1191806331471106E-2</v>
      </c>
    </row>
    <row r="766" spans="1:11" x14ac:dyDescent="0.25">
      <c r="A766" s="5" t="s">
        <v>6</v>
      </c>
      <c r="B766" s="5" t="s">
        <v>4114</v>
      </c>
      <c r="C766" s="1" t="s">
        <v>4115</v>
      </c>
      <c r="D766" s="5" t="s">
        <v>17540</v>
      </c>
      <c r="E766" s="32">
        <v>245</v>
      </c>
      <c r="F766" s="27">
        <v>223309</v>
      </c>
      <c r="G766" s="32">
        <v>260</v>
      </c>
      <c r="H766" s="27">
        <v>253224</v>
      </c>
      <c r="I766" s="27">
        <v>911.46530612244896</v>
      </c>
      <c r="J766" s="27">
        <v>973.93846153846152</v>
      </c>
      <c r="K766" s="29">
        <v>6.8541451875755471E-2</v>
      </c>
    </row>
    <row r="767" spans="1:11" x14ac:dyDescent="0.25">
      <c r="A767" s="5" t="s">
        <v>6</v>
      </c>
      <c r="B767" s="5" t="s">
        <v>4116</v>
      </c>
      <c r="C767" s="1" t="s">
        <v>4117</v>
      </c>
      <c r="D767" s="5" t="s">
        <v>17540</v>
      </c>
      <c r="E767" s="32">
        <v>11</v>
      </c>
      <c r="F767" s="27">
        <v>6898</v>
      </c>
      <c r="G767" s="32">
        <v>10</v>
      </c>
      <c r="H767" s="27">
        <v>6716</v>
      </c>
      <c r="I767" s="27">
        <v>627.09090909090912</v>
      </c>
      <c r="J767" s="27">
        <v>671.6</v>
      </c>
      <c r="K767" s="29">
        <v>7.0977094810089861E-2</v>
      </c>
    </row>
    <row r="768" spans="1:11" x14ac:dyDescent="0.25">
      <c r="A768" s="5" t="s">
        <v>6</v>
      </c>
      <c r="B768" s="5" t="s">
        <v>4118</v>
      </c>
      <c r="C768" s="1" t="s">
        <v>4119</v>
      </c>
      <c r="D768" s="5" t="s">
        <v>17541</v>
      </c>
      <c r="E768" s="32">
        <v>3</v>
      </c>
      <c r="F768" s="27">
        <v>1920</v>
      </c>
      <c r="G768" s="32">
        <v>2</v>
      </c>
      <c r="H768" s="27">
        <v>1382</v>
      </c>
      <c r="I768" s="27">
        <v>640</v>
      </c>
      <c r="J768" s="27">
        <v>691</v>
      </c>
      <c r="K768" s="29">
        <v>7.9687499999999994E-2</v>
      </c>
    </row>
    <row r="769" spans="1:11" x14ac:dyDescent="0.25">
      <c r="A769" s="5" t="s">
        <v>6</v>
      </c>
      <c r="B769" s="5" t="s">
        <v>4121</v>
      </c>
      <c r="C769" s="1" t="s">
        <v>4122</v>
      </c>
      <c r="D769" s="5" t="s">
        <v>17542</v>
      </c>
      <c r="E769" s="32">
        <v>56</v>
      </c>
      <c r="F769" s="27">
        <v>58856</v>
      </c>
      <c r="G769" s="32">
        <v>47</v>
      </c>
      <c r="H769" s="27">
        <v>52086</v>
      </c>
      <c r="I769" s="27">
        <v>1051</v>
      </c>
      <c r="J769" s="27">
        <v>1108.2127659574469</v>
      </c>
      <c r="K769" s="29">
        <v>5.4436504241148327E-2</v>
      </c>
    </row>
    <row r="770" spans="1:11" x14ac:dyDescent="0.25">
      <c r="A770" s="5" t="s">
        <v>6</v>
      </c>
      <c r="B770" s="5" t="s">
        <v>4127</v>
      </c>
      <c r="C770" s="1" t="s">
        <v>4128</v>
      </c>
      <c r="D770" s="5" t="s">
        <v>17543</v>
      </c>
      <c r="E770" s="32">
        <v>1</v>
      </c>
      <c r="F770" s="27">
        <v>2893</v>
      </c>
      <c r="I770" s="27">
        <v>2893</v>
      </c>
    </row>
    <row r="771" spans="1:11" x14ac:dyDescent="0.25">
      <c r="A771" s="5" t="s">
        <v>6</v>
      </c>
      <c r="B771" s="5" t="s">
        <v>4139</v>
      </c>
      <c r="C771" s="1" t="s">
        <v>4140</v>
      </c>
      <c r="E771" s="32">
        <v>0</v>
      </c>
      <c r="F771" s="27">
        <v>0</v>
      </c>
      <c r="G771" s="32">
        <v>1</v>
      </c>
      <c r="H771" s="27">
        <v>7340</v>
      </c>
      <c r="J771" s="27">
        <v>7340</v>
      </c>
    </row>
    <row r="772" spans="1:11" x14ac:dyDescent="0.25">
      <c r="A772" s="5" t="s">
        <v>6</v>
      </c>
      <c r="B772" s="5" t="s">
        <v>4142</v>
      </c>
      <c r="C772" s="1" t="s">
        <v>4143</v>
      </c>
      <c r="E772" s="32">
        <v>5</v>
      </c>
      <c r="F772" s="27">
        <v>32595</v>
      </c>
      <c r="I772" s="27">
        <v>6519</v>
      </c>
    </row>
    <row r="773" spans="1:11" x14ac:dyDescent="0.25">
      <c r="A773" s="5" t="s">
        <v>6</v>
      </c>
      <c r="B773" s="5" t="s">
        <v>4147</v>
      </c>
      <c r="C773" s="1" t="s">
        <v>4148</v>
      </c>
      <c r="E773" s="32">
        <v>31</v>
      </c>
      <c r="F773" s="27">
        <v>145347</v>
      </c>
      <c r="G773" s="32">
        <v>9</v>
      </c>
      <c r="H773" s="27">
        <v>43770</v>
      </c>
      <c r="I773" s="27">
        <v>4688.6129032258068</v>
      </c>
      <c r="J773" s="27">
        <v>4863.333333333333</v>
      </c>
      <c r="K773" s="29">
        <v>3.7264844360965915E-2</v>
      </c>
    </row>
    <row r="774" spans="1:11" x14ac:dyDescent="0.25">
      <c r="A774" s="5" t="s">
        <v>6</v>
      </c>
      <c r="B774" s="5" t="s">
        <v>4150</v>
      </c>
      <c r="C774" s="1" t="s">
        <v>4151</v>
      </c>
      <c r="E774" s="32">
        <v>3</v>
      </c>
      <c r="F774" s="27">
        <v>14211</v>
      </c>
      <c r="I774" s="27">
        <v>4737</v>
      </c>
    </row>
    <row r="775" spans="1:11" x14ac:dyDescent="0.25">
      <c r="A775" s="5" t="s">
        <v>6</v>
      </c>
      <c r="B775" s="5" t="s">
        <v>4153</v>
      </c>
      <c r="C775" s="1" t="s">
        <v>4154</v>
      </c>
      <c r="D775" s="5" t="s">
        <v>17544</v>
      </c>
      <c r="E775" s="32">
        <v>43</v>
      </c>
      <c r="F775" s="27">
        <v>36375</v>
      </c>
      <c r="G775" s="32">
        <v>44</v>
      </c>
      <c r="H775" s="27">
        <v>39640</v>
      </c>
      <c r="I775" s="27">
        <v>845.93023255813955</v>
      </c>
      <c r="J775" s="27">
        <v>900.90909090909088</v>
      </c>
      <c r="K775" s="29">
        <v>6.4992189940643486E-2</v>
      </c>
    </row>
    <row r="776" spans="1:11" x14ac:dyDescent="0.25">
      <c r="A776" s="5" t="s">
        <v>6</v>
      </c>
      <c r="B776" s="5" t="s">
        <v>4156</v>
      </c>
      <c r="C776" s="1" t="s">
        <v>4157</v>
      </c>
      <c r="D776" s="5" t="s">
        <v>17545</v>
      </c>
      <c r="E776" s="32">
        <v>21</v>
      </c>
      <c r="F776" s="27">
        <v>13943</v>
      </c>
      <c r="G776" s="32">
        <v>8</v>
      </c>
      <c r="H776" s="27">
        <v>5514</v>
      </c>
      <c r="I776" s="27">
        <v>663.95238095238096</v>
      </c>
      <c r="J776" s="27">
        <v>689.25</v>
      </c>
      <c r="K776" s="29">
        <v>3.810155633651293E-2</v>
      </c>
    </row>
    <row r="777" spans="1:11" x14ac:dyDescent="0.25">
      <c r="A777" s="5" t="s">
        <v>6</v>
      </c>
      <c r="B777" s="5" t="s">
        <v>4159</v>
      </c>
      <c r="C777" s="1" t="s">
        <v>4160</v>
      </c>
      <c r="D777" s="5" t="s">
        <v>17546</v>
      </c>
      <c r="E777" s="32">
        <v>56</v>
      </c>
      <c r="F777" s="27">
        <v>38864</v>
      </c>
      <c r="G777" s="32">
        <v>66</v>
      </c>
      <c r="H777" s="27">
        <v>48750</v>
      </c>
      <c r="I777" s="27">
        <v>694</v>
      </c>
      <c r="J777" s="27">
        <v>738.63636363636363</v>
      </c>
      <c r="K777" s="29">
        <v>6.4317526853549897E-2</v>
      </c>
    </row>
    <row r="778" spans="1:11" x14ac:dyDescent="0.25">
      <c r="A778" s="5" t="s">
        <v>6</v>
      </c>
      <c r="B778" s="5" t="s">
        <v>4162</v>
      </c>
      <c r="C778" s="1" t="s">
        <v>4163</v>
      </c>
      <c r="D778" s="5" t="s">
        <v>17547</v>
      </c>
      <c r="E778" s="32">
        <v>927</v>
      </c>
      <c r="F778" s="27">
        <v>1144593</v>
      </c>
      <c r="G778" s="32">
        <v>997</v>
      </c>
      <c r="H778" s="27">
        <v>1312050</v>
      </c>
      <c r="I778" s="27">
        <v>1234.7281553398059</v>
      </c>
      <c r="J778" s="27">
        <v>1315.9979939819459</v>
      </c>
      <c r="K778" s="29">
        <v>6.5820025477408825E-2</v>
      </c>
    </row>
    <row r="779" spans="1:11" x14ac:dyDescent="0.25">
      <c r="A779" s="5" t="s">
        <v>6</v>
      </c>
      <c r="B779" s="5" t="s">
        <v>4165</v>
      </c>
      <c r="C779" s="1" t="s">
        <v>4166</v>
      </c>
      <c r="D779" s="5" t="s">
        <v>17548</v>
      </c>
      <c r="E779" s="32">
        <v>2</v>
      </c>
      <c r="F779" s="27">
        <v>4072</v>
      </c>
      <c r="I779" s="27">
        <v>2036</v>
      </c>
    </row>
    <row r="780" spans="1:11" x14ac:dyDescent="0.25">
      <c r="A780" s="5" t="s">
        <v>6</v>
      </c>
      <c r="B780" s="5" t="s">
        <v>4171</v>
      </c>
      <c r="C780" s="1" t="s">
        <v>4172</v>
      </c>
      <c r="D780" s="5" t="s">
        <v>17549</v>
      </c>
      <c r="E780" s="32">
        <v>182</v>
      </c>
      <c r="F780" s="27">
        <v>144890</v>
      </c>
      <c r="G780" s="32">
        <v>168</v>
      </c>
      <c r="H780" s="27">
        <v>142141</v>
      </c>
      <c r="I780" s="27">
        <v>796.09890109890114</v>
      </c>
      <c r="J780" s="27">
        <v>846.07738095238096</v>
      </c>
      <c r="K780" s="29">
        <v>6.2779234821818811E-2</v>
      </c>
    </row>
    <row r="781" spans="1:11" x14ac:dyDescent="0.25">
      <c r="A781" s="5" t="s">
        <v>6</v>
      </c>
      <c r="B781" s="5" t="s">
        <v>4174</v>
      </c>
      <c r="C781" s="1" t="s">
        <v>4175</v>
      </c>
      <c r="D781" s="5" t="s">
        <v>17550</v>
      </c>
      <c r="E781" s="32">
        <v>65</v>
      </c>
      <c r="F781" s="27">
        <v>40140</v>
      </c>
      <c r="G781" s="32">
        <v>74</v>
      </c>
      <c r="H781" s="27">
        <v>49074</v>
      </c>
      <c r="I781" s="27">
        <v>617.53846153846155</v>
      </c>
      <c r="J781" s="27">
        <v>663.16216216216219</v>
      </c>
      <c r="K781" s="29">
        <v>7.3879933745404622E-2</v>
      </c>
    </row>
    <row r="782" spans="1:11" x14ac:dyDescent="0.25">
      <c r="A782" s="5" t="s">
        <v>6</v>
      </c>
      <c r="B782" s="5" t="s">
        <v>4176</v>
      </c>
      <c r="C782" s="1" t="s">
        <v>4177</v>
      </c>
      <c r="D782" s="5" t="s">
        <v>17551</v>
      </c>
      <c r="E782" s="32">
        <v>343</v>
      </c>
      <c r="F782" s="27">
        <v>343766</v>
      </c>
      <c r="G782" s="32">
        <v>344</v>
      </c>
      <c r="H782" s="27">
        <v>369888</v>
      </c>
      <c r="I782" s="27">
        <v>1002.2332361516035</v>
      </c>
      <c r="J782" s="27">
        <v>1075.2558139534883</v>
      </c>
      <c r="K782" s="29">
        <v>7.2859864518441328E-2</v>
      </c>
    </row>
    <row r="783" spans="1:11" x14ac:dyDescent="0.25">
      <c r="A783" s="5" t="s">
        <v>6</v>
      </c>
      <c r="B783" s="5" t="s">
        <v>4179</v>
      </c>
      <c r="C783" s="1" t="s">
        <v>4180</v>
      </c>
      <c r="D783" s="5" t="s">
        <v>17552</v>
      </c>
      <c r="E783" s="32">
        <v>310</v>
      </c>
      <c r="F783" s="27">
        <v>287605</v>
      </c>
      <c r="G783" s="32">
        <v>256</v>
      </c>
      <c r="H783" s="27">
        <v>253183</v>
      </c>
      <c r="I783" s="27">
        <v>927.75806451612902</v>
      </c>
      <c r="J783" s="27">
        <v>988.99609375</v>
      </c>
      <c r="K783" s="29">
        <v>6.6006463943603211E-2</v>
      </c>
    </row>
    <row r="784" spans="1:11" x14ac:dyDescent="0.25">
      <c r="A784" s="5" t="s">
        <v>6</v>
      </c>
      <c r="B784" s="5" t="s">
        <v>4182</v>
      </c>
      <c r="C784" s="1" t="s">
        <v>4183</v>
      </c>
      <c r="D784" s="5" t="s">
        <v>17553</v>
      </c>
      <c r="E784" s="32">
        <v>1</v>
      </c>
      <c r="F784" s="27">
        <v>607</v>
      </c>
      <c r="I784" s="27">
        <v>607</v>
      </c>
    </row>
    <row r="785" spans="1:11" x14ac:dyDescent="0.25">
      <c r="A785" s="5" t="s">
        <v>6</v>
      </c>
      <c r="B785" s="5" t="s">
        <v>4185</v>
      </c>
      <c r="C785" s="1" t="s">
        <v>4186</v>
      </c>
      <c r="D785" s="5" t="s">
        <v>17554</v>
      </c>
      <c r="E785" s="32">
        <v>120</v>
      </c>
      <c r="F785" s="27">
        <v>101988</v>
      </c>
      <c r="G785" s="32">
        <v>114</v>
      </c>
      <c r="H785" s="27">
        <v>104313</v>
      </c>
      <c r="I785" s="27">
        <v>849.9</v>
      </c>
      <c r="J785" s="27">
        <v>915.02631578947364</v>
      </c>
      <c r="K785" s="29">
        <v>7.6628210129984317E-2</v>
      </c>
    </row>
    <row r="786" spans="1:11" x14ac:dyDescent="0.25">
      <c r="A786" s="5" t="s">
        <v>6</v>
      </c>
      <c r="B786" s="5" t="s">
        <v>4188</v>
      </c>
      <c r="C786" s="1" t="s">
        <v>4189</v>
      </c>
      <c r="D786" s="5" t="s">
        <v>17555</v>
      </c>
      <c r="E786" s="32">
        <v>452</v>
      </c>
      <c r="F786" s="27">
        <v>452974</v>
      </c>
      <c r="G786" s="32">
        <v>488</v>
      </c>
      <c r="H786" s="27">
        <v>522610</v>
      </c>
      <c r="I786" s="27">
        <v>1002.1548672566372</v>
      </c>
      <c r="J786" s="27">
        <v>1070.922131147541</v>
      </c>
      <c r="K786" s="29">
        <v>6.8619398196559878E-2</v>
      </c>
    </row>
    <row r="787" spans="1:11" x14ac:dyDescent="0.25">
      <c r="A787" s="5" t="s">
        <v>6</v>
      </c>
      <c r="B787" s="5" t="s">
        <v>4194</v>
      </c>
      <c r="C787" s="1" t="s">
        <v>4195</v>
      </c>
      <c r="D787" s="5" t="s">
        <v>17556</v>
      </c>
      <c r="E787" s="32">
        <v>49</v>
      </c>
      <c r="F787" s="27">
        <v>23434</v>
      </c>
      <c r="G787" s="32">
        <v>75</v>
      </c>
      <c r="H787" s="27">
        <v>38592</v>
      </c>
      <c r="I787" s="27">
        <v>478.24489795918367</v>
      </c>
      <c r="J787" s="27">
        <v>514.55999999999995</v>
      </c>
      <c r="K787" s="29">
        <v>7.5934112827515457E-2</v>
      </c>
    </row>
    <row r="788" spans="1:11" x14ac:dyDescent="0.25">
      <c r="A788" s="5" t="s">
        <v>6</v>
      </c>
      <c r="B788" s="5" t="s">
        <v>4197</v>
      </c>
      <c r="C788" s="1" t="s">
        <v>4198</v>
      </c>
      <c r="D788" s="5" t="s">
        <v>17557</v>
      </c>
      <c r="E788" s="32">
        <v>800</v>
      </c>
      <c r="F788" s="27">
        <v>796400</v>
      </c>
      <c r="G788" s="32">
        <v>807</v>
      </c>
      <c r="H788" s="27">
        <v>855087</v>
      </c>
      <c r="I788" s="27">
        <v>995.5</v>
      </c>
      <c r="J788" s="27">
        <v>1059.5873605947954</v>
      </c>
      <c r="K788" s="29">
        <v>6.4377057352883404E-2</v>
      </c>
    </row>
    <row r="789" spans="1:11" x14ac:dyDescent="0.25">
      <c r="A789" s="5" t="s">
        <v>6</v>
      </c>
      <c r="B789" s="5" t="s">
        <v>4200</v>
      </c>
      <c r="C789" s="1" t="s">
        <v>4201</v>
      </c>
      <c r="D789" s="5" t="s">
        <v>17558</v>
      </c>
      <c r="E789" s="32">
        <v>329</v>
      </c>
      <c r="F789" s="27">
        <v>264369</v>
      </c>
      <c r="G789" s="32">
        <v>297</v>
      </c>
      <c r="H789" s="27">
        <v>254572</v>
      </c>
      <c r="I789" s="27">
        <v>803.55319148936167</v>
      </c>
      <c r="J789" s="27">
        <v>857.14478114478118</v>
      </c>
      <c r="K789" s="29">
        <v>6.6693269621752246E-2</v>
      </c>
    </row>
    <row r="790" spans="1:11" x14ac:dyDescent="0.25">
      <c r="A790" s="5" t="s">
        <v>6</v>
      </c>
      <c r="B790" s="5" t="s">
        <v>4203</v>
      </c>
      <c r="C790" s="1" t="s">
        <v>4204</v>
      </c>
      <c r="D790" s="5" t="s">
        <v>17559</v>
      </c>
      <c r="E790" s="32">
        <v>238</v>
      </c>
      <c r="F790" s="27">
        <v>192561</v>
      </c>
      <c r="G790" s="32">
        <v>238</v>
      </c>
      <c r="H790" s="27">
        <v>205171</v>
      </c>
      <c r="I790" s="27">
        <v>809.07983193277312</v>
      </c>
      <c r="J790" s="27">
        <v>862.06302521008399</v>
      </c>
      <c r="K790" s="29">
        <v>6.5485742180399917E-2</v>
      </c>
    </row>
    <row r="791" spans="1:11" x14ac:dyDescent="0.25">
      <c r="A791" s="5" t="s">
        <v>6</v>
      </c>
      <c r="B791" s="5" t="s">
        <v>4206</v>
      </c>
      <c r="C791" s="1" t="s">
        <v>4207</v>
      </c>
      <c r="D791" s="5" t="s">
        <v>17559</v>
      </c>
      <c r="E791" s="32">
        <v>15</v>
      </c>
      <c r="F791" s="27">
        <v>19991</v>
      </c>
      <c r="G791" s="32">
        <v>17</v>
      </c>
      <c r="H791" s="27">
        <v>24411</v>
      </c>
      <c r="I791" s="27">
        <v>1332.7333333333333</v>
      </c>
      <c r="J791" s="27">
        <v>1435.9411764705883</v>
      </c>
      <c r="K791" s="29">
        <v>7.7440730681747991E-2</v>
      </c>
    </row>
    <row r="792" spans="1:11" x14ac:dyDescent="0.25">
      <c r="A792" s="5" t="s">
        <v>6</v>
      </c>
      <c r="B792" s="5" t="s">
        <v>4209</v>
      </c>
      <c r="C792" s="1" t="s">
        <v>4210</v>
      </c>
      <c r="D792" s="5" t="s">
        <v>17560</v>
      </c>
      <c r="E792" s="32">
        <v>14</v>
      </c>
      <c r="F792" s="27">
        <v>22092</v>
      </c>
      <c r="G792" s="32">
        <v>9</v>
      </c>
      <c r="H792" s="27">
        <v>15045</v>
      </c>
      <c r="I792" s="27">
        <v>1578</v>
      </c>
      <c r="J792" s="27">
        <v>1671.6666666666667</v>
      </c>
      <c r="K792" s="29">
        <v>5.9357836924376899E-2</v>
      </c>
    </row>
    <row r="793" spans="1:11" x14ac:dyDescent="0.25">
      <c r="A793" s="5" t="s">
        <v>6</v>
      </c>
      <c r="B793" s="5" t="s">
        <v>4212</v>
      </c>
      <c r="C793" s="1" t="s">
        <v>4213</v>
      </c>
      <c r="D793" s="5" t="s">
        <v>17561</v>
      </c>
      <c r="E793" s="32">
        <v>520</v>
      </c>
      <c r="F793" s="27">
        <v>977899</v>
      </c>
      <c r="G793" s="32">
        <v>502</v>
      </c>
      <c r="H793" s="27">
        <v>1011323</v>
      </c>
      <c r="I793" s="27">
        <v>1880.575</v>
      </c>
      <c r="J793" s="27">
        <v>2014.5876494023905</v>
      </c>
      <c r="K793" s="29">
        <v>7.1261528735833704E-2</v>
      </c>
    </row>
    <row r="794" spans="1:11" x14ac:dyDescent="0.25">
      <c r="A794" s="5" t="s">
        <v>6</v>
      </c>
      <c r="B794" s="5" t="s">
        <v>4215</v>
      </c>
      <c r="C794" s="1" t="s">
        <v>4216</v>
      </c>
      <c r="D794" s="5" t="s">
        <v>17561</v>
      </c>
      <c r="E794" s="32">
        <v>179</v>
      </c>
      <c r="F794" s="27">
        <v>218436</v>
      </c>
      <c r="G794" s="32">
        <v>167</v>
      </c>
      <c r="H794" s="27">
        <v>217562</v>
      </c>
      <c r="I794" s="27">
        <v>1220.3128491620112</v>
      </c>
      <c r="J794" s="27">
        <v>1302.7664670658683</v>
      </c>
      <c r="K794" s="29">
        <v>6.75676060941897E-2</v>
      </c>
    </row>
    <row r="795" spans="1:11" x14ac:dyDescent="0.25">
      <c r="A795" s="5" t="s">
        <v>6</v>
      </c>
      <c r="B795" s="5" t="s">
        <v>4218</v>
      </c>
      <c r="C795" s="1" t="s">
        <v>4219</v>
      </c>
      <c r="D795" s="5" t="s">
        <v>17562</v>
      </c>
      <c r="E795" s="32">
        <v>9</v>
      </c>
      <c r="F795" s="27">
        <v>12882</v>
      </c>
      <c r="G795" s="32">
        <v>10</v>
      </c>
      <c r="H795" s="27">
        <v>15368</v>
      </c>
      <c r="I795" s="27">
        <v>1431.3333333333333</v>
      </c>
      <c r="J795" s="27">
        <v>1536.8</v>
      </c>
      <c r="K795" s="29">
        <v>7.368421052631581E-2</v>
      </c>
    </row>
    <row r="796" spans="1:11" x14ac:dyDescent="0.25">
      <c r="A796" s="5" t="s">
        <v>6</v>
      </c>
      <c r="B796" s="5" t="s">
        <v>4221</v>
      </c>
      <c r="C796" s="1" t="s">
        <v>4222</v>
      </c>
      <c r="D796" s="5" t="s">
        <v>17563</v>
      </c>
      <c r="E796" s="32">
        <v>22</v>
      </c>
      <c r="F796" s="27">
        <v>33384</v>
      </c>
      <c r="G796" s="32">
        <v>20</v>
      </c>
      <c r="H796" s="27">
        <v>32880</v>
      </c>
      <c r="I796" s="27">
        <v>1517.4545454545455</v>
      </c>
      <c r="J796" s="27">
        <v>1644</v>
      </c>
      <c r="K796" s="29">
        <v>8.3393242271746909E-2</v>
      </c>
    </row>
    <row r="797" spans="1:11" x14ac:dyDescent="0.25">
      <c r="A797" s="5" t="s">
        <v>6</v>
      </c>
      <c r="B797" s="5" t="s">
        <v>4224</v>
      </c>
      <c r="C797" s="1" t="s">
        <v>4225</v>
      </c>
      <c r="D797" s="5" t="s">
        <v>17564</v>
      </c>
      <c r="E797" s="32">
        <v>41</v>
      </c>
      <c r="F797" s="27">
        <v>66725</v>
      </c>
      <c r="G797" s="32">
        <v>51</v>
      </c>
      <c r="H797" s="27">
        <v>89319</v>
      </c>
      <c r="I797" s="27">
        <v>1627.439024390244</v>
      </c>
      <c r="J797" s="27">
        <v>1751.3529411764705</v>
      </c>
      <c r="K797" s="29">
        <v>7.6140435942080004E-2</v>
      </c>
    </row>
    <row r="798" spans="1:11" x14ac:dyDescent="0.25">
      <c r="A798" s="5" t="s">
        <v>6</v>
      </c>
      <c r="B798" s="5" t="s">
        <v>4227</v>
      </c>
      <c r="C798" s="1" t="s">
        <v>4228</v>
      </c>
      <c r="D798" s="5" t="s">
        <v>17565</v>
      </c>
      <c r="E798" s="32">
        <v>105</v>
      </c>
      <c r="F798" s="27">
        <v>288668</v>
      </c>
      <c r="I798" s="27">
        <v>2749.2190476190476</v>
      </c>
    </row>
    <row r="799" spans="1:11" x14ac:dyDescent="0.25">
      <c r="A799" s="5" t="s">
        <v>6</v>
      </c>
      <c r="B799" s="5" t="s">
        <v>4230</v>
      </c>
      <c r="C799" s="1" t="s">
        <v>4231</v>
      </c>
      <c r="D799" s="5" t="s">
        <v>17566</v>
      </c>
      <c r="E799" s="32">
        <v>209</v>
      </c>
      <c r="F799" s="27">
        <v>268092</v>
      </c>
      <c r="G799" s="32">
        <v>190</v>
      </c>
      <c r="H799" s="27">
        <v>261786</v>
      </c>
      <c r="I799" s="27">
        <v>1282.7368421052631</v>
      </c>
      <c r="J799" s="27">
        <v>1377.8210526315791</v>
      </c>
      <c r="K799" s="29">
        <v>7.4126046282619512E-2</v>
      </c>
    </row>
    <row r="800" spans="1:11" x14ac:dyDescent="0.25">
      <c r="A800" s="5" t="s">
        <v>6</v>
      </c>
      <c r="B800" s="5" t="s">
        <v>4233</v>
      </c>
      <c r="C800" s="1" t="s">
        <v>4234</v>
      </c>
      <c r="D800" s="5" t="s">
        <v>17567</v>
      </c>
      <c r="E800" s="32">
        <v>9</v>
      </c>
      <c r="F800" s="27">
        <v>6177</v>
      </c>
      <c r="I800" s="27">
        <v>686.33333333333337</v>
      </c>
    </row>
    <row r="801" spans="1:11" x14ac:dyDescent="0.25">
      <c r="A801" s="5" t="s">
        <v>6</v>
      </c>
      <c r="B801" s="5" t="s">
        <v>4235</v>
      </c>
      <c r="C801" s="1" t="s">
        <v>4236</v>
      </c>
      <c r="D801" s="5" t="s">
        <v>17568</v>
      </c>
      <c r="E801" s="32">
        <v>719</v>
      </c>
      <c r="F801" s="27">
        <v>567273</v>
      </c>
      <c r="G801" s="32">
        <v>667</v>
      </c>
      <c r="H801" s="27">
        <v>560490</v>
      </c>
      <c r="I801" s="27">
        <v>788.97496522948541</v>
      </c>
      <c r="J801" s="27">
        <v>840.31484257871068</v>
      </c>
      <c r="K801" s="29">
        <v>6.5071617746822033E-2</v>
      </c>
    </row>
    <row r="802" spans="1:11" x14ac:dyDescent="0.25">
      <c r="A802" s="5" t="s">
        <v>6</v>
      </c>
      <c r="B802" s="5" t="s">
        <v>4238</v>
      </c>
      <c r="C802" s="1" t="s">
        <v>4239</v>
      </c>
      <c r="D802" s="5" t="s">
        <v>17569</v>
      </c>
      <c r="E802" s="32">
        <v>0</v>
      </c>
      <c r="F802" s="27">
        <v>0</v>
      </c>
      <c r="G802" s="32">
        <v>1</v>
      </c>
      <c r="H802" s="27">
        <v>841</v>
      </c>
      <c r="J802" s="27">
        <v>841</v>
      </c>
    </row>
    <row r="803" spans="1:11" x14ac:dyDescent="0.25">
      <c r="A803" s="5" t="s">
        <v>6</v>
      </c>
      <c r="B803" s="5" t="s">
        <v>4241</v>
      </c>
      <c r="C803" s="1" t="s">
        <v>4242</v>
      </c>
      <c r="D803" s="5" t="s">
        <v>17570</v>
      </c>
      <c r="E803" s="32">
        <v>1161</v>
      </c>
      <c r="F803" s="27">
        <v>1560654</v>
      </c>
      <c r="G803" s="32">
        <v>1183</v>
      </c>
      <c r="H803" s="27">
        <v>1701543</v>
      </c>
      <c r="I803" s="27">
        <v>1344.2325581395348</v>
      </c>
      <c r="J803" s="27">
        <v>1438.3288250211326</v>
      </c>
      <c r="K803" s="29">
        <v>6.9999990932990294E-2</v>
      </c>
    </row>
    <row r="804" spans="1:11" x14ac:dyDescent="0.25">
      <c r="A804" s="5" t="s">
        <v>6</v>
      </c>
      <c r="B804" s="5" t="s">
        <v>4244</v>
      </c>
      <c r="C804" s="1" t="s">
        <v>4245</v>
      </c>
      <c r="D804" s="5" t="s">
        <v>17571</v>
      </c>
      <c r="E804" s="32">
        <v>2</v>
      </c>
      <c r="F804" s="27">
        <v>3381</v>
      </c>
      <c r="I804" s="27">
        <v>1690.5</v>
      </c>
    </row>
    <row r="805" spans="1:11" x14ac:dyDescent="0.25">
      <c r="A805" s="5" t="s">
        <v>6</v>
      </c>
      <c r="B805" s="5" t="s">
        <v>4247</v>
      </c>
      <c r="C805" s="1" t="s">
        <v>4248</v>
      </c>
      <c r="D805" s="5" t="s">
        <v>17572</v>
      </c>
      <c r="E805" s="32">
        <v>473</v>
      </c>
      <c r="F805" s="27">
        <v>460543</v>
      </c>
      <c r="G805" s="32">
        <v>476</v>
      </c>
      <c r="H805" s="27">
        <v>497861</v>
      </c>
      <c r="I805" s="27">
        <v>973.66384778012684</v>
      </c>
      <c r="J805" s="27">
        <v>1045.9264705882354</v>
      </c>
      <c r="K805" s="29">
        <v>7.4217218779213515E-2</v>
      </c>
    </row>
    <row r="806" spans="1:11" x14ac:dyDescent="0.25">
      <c r="A806" s="5" t="s">
        <v>6</v>
      </c>
      <c r="B806" s="5" t="s">
        <v>4250</v>
      </c>
      <c r="C806" s="1" t="s">
        <v>4251</v>
      </c>
      <c r="D806" s="5" t="s">
        <v>17573</v>
      </c>
      <c r="E806" s="32">
        <v>5</v>
      </c>
      <c r="F806" s="27">
        <v>3513</v>
      </c>
      <c r="G806" s="32">
        <v>3</v>
      </c>
      <c r="H806" s="27">
        <v>2313</v>
      </c>
      <c r="I806" s="27">
        <v>702.6</v>
      </c>
      <c r="J806" s="27">
        <v>771</v>
      </c>
      <c r="K806" s="29">
        <v>9.7352690008539675E-2</v>
      </c>
    </row>
    <row r="807" spans="1:11" x14ac:dyDescent="0.25">
      <c r="A807" s="5" t="s">
        <v>6</v>
      </c>
      <c r="B807" s="5" t="s">
        <v>4253</v>
      </c>
      <c r="C807" s="1" t="s">
        <v>4254</v>
      </c>
      <c r="D807" s="5" t="s">
        <v>17574</v>
      </c>
      <c r="E807" s="32">
        <v>82</v>
      </c>
      <c r="F807" s="27">
        <v>56690</v>
      </c>
      <c r="G807" s="32">
        <v>113</v>
      </c>
      <c r="H807" s="27">
        <v>83641</v>
      </c>
      <c r="I807" s="27">
        <v>691.34146341463418</v>
      </c>
      <c r="J807" s="27">
        <v>740.18584070796464</v>
      </c>
      <c r="K807" s="29">
        <v>7.0651595308751064E-2</v>
      </c>
    </row>
    <row r="808" spans="1:11" x14ac:dyDescent="0.25">
      <c r="A808" s="5" t="s">
        <v>6</v>
      </c>
      <c r="B808" s="5" t="s">
        <v>4256</v>
      </c>
      <c r="C808" s="1" t="s">
        <v>4257</v>
      </c>
      <c r="D808" s="5" t="s">
        <v>17575</v>
      </c>
      <c r="E808" s="32">
        <v>701</v>
      </c>
      <c r="F808" s="27">
        <v>771668</v>
      </c>
      <c r="G808" s="32">
        <v>752</v>
      </c>
      <c r="H808" s="27">
        <v>881774</v>
      </c>
      <c r="I808" s="27">
        <v>1100.8102710413696</v>
      </c>
      <c r="J808" s="27">
        <v>1172.5718085106382</v>
      </c>
      <c r="K808" s="29">
        <v>6.5189741917453262E-2</v>
      </c>
    </row>
    <row r="809" spans="1:11" x14ac:dyDescent="0.25">
      <c r="A809" s="5" t="s">
        <v>6</v>
      </c>
      <c r="B809" s="5" t="s">
        <v>4259</v>
      </c>
      <c r="C809" s="1" t="s">
        <v>4260</v>
      </c>
      <c r="D809" s="5" t="s">
        <v>17576</v>
      </c>
      <c r="E809" s="32">
        <v>130</v>
      </c>
      <c r="F809" s="27">
        <v>85775</v>
      </c>
      <c r="G809" s="32">
        <v>172</v>
      </c>
      <c r="H809" s="27">
        <v>121558</v>
      </c>
      <c r="I809" s="27">
        <v>659.80769230769226</v>
      </c>
      <c r="J809" s="27">
        <v>706.73255813953483</v>
      </c>
      <c r="K809" s="29">
        <v>7.1119003883876819E-2</v>
      </c>
    </row>
    <row r="810" spans="1:11" x14ac:dyDescent="0.25">
      <c r="A810" s="5" t="s">
        <v>6</v>
      </c>
      <c r="B810" s="5" t="s">
        <v>4262</v>
      </c>
      <c r="C810" s="1" t="s">
        <v>4263</v>
      </c>
      <c r="D810" s="5" t="s">
        <v>17577</v>
      </c>
      <c r="E810" s="32">
        <v>1318</v>
      </c>
      <c r="F810" s="27">
        <v>1353916</v>
      </c>
      <c r="G810" s="32">
        <v>1340</v>
      </c>
      <c r="H810" s="27">
        <v>1469142</v>
      </c>
      <c r="I810" s="27">
        <v>1027.2503793626706</v>
      </c>
      <c r="J810" s="27">
        <v>1096.3746268656716</v>
      </c>
      <c r="K810" s="29">
        <v>6.7290554368923436E-2</v>
      </c>
    </row>
    <row r="811" spans="1:11" x14ac:dyDescent="0.25">
      <c r="A811" s="5" t="s">
        <v>6</v>
      </c>
      <c r="B811" s="5" t="s">
        <v>4265</v>
      </c>
      <c r="C811" s="1" t="s">
        <v>4266</v>
      </c>
      <c r="D811" s="5" t="s">
        <v>17578</v>
      </c>
      <c r="E811" s="32">
        <v>17</v>
      </c>
      <c r="F811" s="27">
        <v>9028</v>
      </c>
      <c r="G811" s="32">
        <v>24</v>
      </c>
      <c r="H811" s="27">
        <v>13552</v>
      </c>
      <c r="I811" s="27">
        <v>531.05882352941171</v>
      </c>
      <c r="J811" s="27">
        <v>564.66666666666663</v>
      </c>
      <c r="K811" s="29">
        <v>6.3284596071481347E-2</v>
      </c>
    </row>
    <row r="812" spans="1:11" x14ac:dyDescent="0.25">
      <c r="A812" s="5" t="s">
        <v>6</v>
      </c>
      <c r="B812" s="5" t="s">
        <v>4268</v>
      </c>
      <c r="C812" s="1" t="s">
        <v>4269</v>
      </c>
      <c r="D812" s="5" t="s">
        <v>17579</v>
      </c>
      <c r="E812" s="32">
        <v>93</v>
      </c>
      <c r="F812" s="27">
        <v>76068</v>
      </c>
      <c r="G812" s="32">
        <v>84</v>
      </c>
      <c r="H812" s="27">
        <v>73746</v>
      </c>
      <c r="I812" s="27">
        <v>817.93548387096769</v>
      </c>
      <c r="J812" s="27">
        <v>877.92857142857144</v>
      </c>
      <c r="K812" s="29">
        <v>7.334696775065927E-2</v>
      </c>
    </row>
    <row r="813" spans="1:11" x14ac:dyDescent="0.25">
      <c r="A813" s="5" t="s">
        <v>6</v>
      </c>
      <c r="B813" s="5" t="s">
        <v>4274</v>
      </c>
      <c r="C813" s="1" t="s">
        <v>4275</v>
      </c>
      <c r="D813" s="5" t="s">
        <v>17580</v>
      </c>
      <c r="E813" s="32">
        <v>944</v>
      </c>
      <c r="F813" s="27">
        <v>876798</v>
      </c>
      <c r="G813" s="32">
        <v>1153</v>
      </c>
      <c r="H813" s="27">
        <v>1143651</v>
      </c>
      <c r="I813" s="27">
        <v>928.81144067796606</v>
      </c>
      <c r="J813" s="27">
        <v>991.89158716392024</v>
      </c>
      <c r="K813" s="29">
        <v>6.791491116852541E-2</v>
      </c>
    </row>
    <row r="814" spans="1:11" x14ac:dyDescent="0.25">
      <c r="A814" s="5" t="s">
        <v>6</v>
      </c>
      <c r="B814" s="5" t="s">
        <v>4276</v>
      </c>
      <c r="C814" s="1" t="s">
        <v>4277</v>
      </c>
      <c r="D814" s="5" t="s">
        <v>17581</v>
      </c>
      <c r="E814" s="32">
        <v>123</v>
      </c>
      <c r="F814" s="27">
        <v>193047</v>
      </c>
      <c r="G814" s="32">
        <v>66</v>
      </c>
      <c r="H814" s="27">
        <v>109578</v>
      </c>
      <c r="I814" s="27">
        <v>1569.4878048780488</v>
      </c>
      <c r="J814" s="27">
        <v>1660.2727272727273</v>
      </c>
      <c r="K814" s="29">
        <v>5.7843662188718038E-2</v>
      </c>
    </row>
    <row r="815" spans="1:11" x14ac:dyDescent="0.25">
      <c r="A815" s="5" t="s">
        <v>6</v>
      </c>
      <c r="B815" s="5" t="s">
        <v>4278</v>
      </c>
      <c r="C815" s="1" t="s">
        <v>4279</v>
      </c>
      <c r="D815" s="5" t="s">
        <v>17582</v>
      </c>
      <c r="E815" s="32">
        <v>0</v>
      </c>
      <c r="F815" s="27">
        <v>0</v>
      </c>
      <c r="G815" s="32">
        <v>2</v>
      </c>
      <c r="H815" s="27">
        <v>3436</v>
      </c>
      <c r="J815" s="27">
        <v>1718</v>
      </c>
    </row>
    <row r="816" spans="1:11" x14ac:dyDescent="0.25">
      <c r="A816" s="5" t="s">
        <v>6</v>
      </c>
      <c r="B816" s="5" t="s">
        <v>4283</v>
      </c>
      <c r="C816" s="1" t="s">
        <v>4284</v>
      </c>
      <c r="D816" s="5" t="s">
        <v>17583</v>
      </c>
      <c r="E816" s="32">
        <v>55</v>
      </c>
      <c r="F816" s="27">
        <v>251538</v>
      </c>
      <c r="G816" s="32">
        <v>63</v>
      </c>
      <c r="H816" s="27">
        <v>306230</v>
      </c>
      <c r="I816" s="27">
        <v>4573.4181818181814</v>
      </c>
      <c r="J816" s="27">
        <v>4860.7936507936511</v>
      </c>
      <c r="K816" s="29">
        <v>6.2836035881858127E-2</v>
      </c>
    </row>
    <row r="817" spans="1:11" x14ac:dyDescent="0.25">
      <c r="A817" s="5" t="s">
        <v>6</v>
      </c>
      <c r="B817" s="5" t="s">
        <v>4286</v>
      </c>
      <c r="C817" s="1" t="s">
        <v>4287</v>
      </c>
      <c r="D817" s="5" t="s">
        <v>17584</v>
      </c>
      <c r="E817" s="32">
        <v>38</v>
      </c>
      <c r="F817" s="27">
        <v>52686</v>
      </c>
      <c r="I817" s="27">
        <v>1386.4736842105262</v>
      </c>
    </row>
    <row r="818" spans="1:11" x14ac:dyDescent="0.25">
      <c r="A818" s="5" t="s">
        <v>6</v>
      </c>
      <c r="B818" s="5" t="s">
        <v>4289</v>
      </c>
      <c r="C818" s="1" t="s">
        <v>4290</v>
      </c>
      <c r="D818" s="5" t="s">
        <v>17585</v>
      </c>
      <c r="E818" s="32">
        <v>30</v>
      </c>
      <c r="F818" s="27">
        <v>41103</v>
      </c>
      <c r="I818" s="27">
        <v>1370.1</v>
      </c>
    </row>
    <row r="819" spans="1:11" x14ac:dyDescent="0.25">
      <c r="A819" s="5" t="s">
        <v>6</v>
      </c>
      <c r="B819" s="5" t="s">
        <v>4292</v>
      </c>
      <c r="C819" s="1" t="s">
        <v>4293</v>
      </c>
      <c r="D819" s="5" t="s">
        <v>17586</v>
      </c>
      <c r="E819" s="32">
        <v>159</v>
      </c>
      <c r="F819" s="27">
        <v>245226</v>
      </c>
      <c r="G819" s="32">
        <v>147</v>
      </c>
      <c r="H819" s="27">
        <v>241879</v>
      </c>
      <c r="I819" s="27">
        <v>1542.3018867924529</v>
      </c>
      <c r="J819" s="27">
        <v>1645.4353741496598</v>
      </c>
      <c r="K819" s="29">
        <v>6.6869844509945459E-2</v>
      </c>
    </row>
    <row r="820" spans="1:11" x14ac:dyDescent="0.25">
      <c r="A820" s="5" t="s">
        <v>6</v>
      </c>
      <c r="B820" s="5" t="s">
        <v>4295</v>
      </c>
      <c r="C820" s="1" t="s">
        <v>4296</v>
      </c>
      <c r="D820" s="5" t="s">
        <v>17587</v>
      </c>
      <c r="E820" s="32">
        <v>23</v>
      </c>
      <c r="F820" s="27">
        <v>30456</v>
      </c>
      <c r="G820" s="32">
        <v>11</v>
      </c>
      <c r="H820" s="27">
        <v>15253</v>
      </c>
      <c r="I820" s="27">
        <v>1324.1739130434783</v>
      </c>
      <c r="J820" s="27">
        <v>1386.6363636363637</v>
      </c>
      <c r="K820" s="29">
        <v>4.7170881390739633E-2</v>
      </c>
    </row>
    <row r="821" spans="1:11" x14ac:dyDescent="0.25">
      <c r="A821" s="5" t="s">
        <v>6</v>
      </c>
      <c r="B821" s="5" t="s">
        <v>4298</v>
      </c>
      <c r="C821" s="1" t="s">
        <v>4299</v>
      </c>
      <c r="D821" s="5" t="s">
        <v>17588</v>
      </c>
      <c r="E821" s="32">
        <v>6</v>
      </c>
      <c r="F821" s="27">
        <v>8028</v>
      </c>
      <c r="I821" s="27">
        <v>1338</v>
      </c>
    </row>
    <row r="822" spans="1:11" x14ac:dyDescent="0.25">
      <c r="A822" s="5" t="s">
        <v>6</v>
      </c>
      <c r="B822" s="5" t="s">
        <v>4301</v>
      </c>
      <c r="C822" s="1" t="s">
        <v>4302</v>
      </c>
      <c r="D822" s="5" t="s">
        <v>17589</v>
      </c>
      <c r="E822" s="32">
        <v>7</v>
      </c>
      <c r="F822" s="27">
        <v>26230</v>
      </c>
      <c r="G822" s="32">
        <v>8</v>
      </c>
      <c r="H822" s="27">
        <v>32138</v>
      </c>
      <c r="I822" s="27">
        <v>3747.1428571428573</v>
      </c>
      <c r="J822" s="27">
        <v>4017.25</v>
      </c>
      <c r="K822" s="29">
        <v>7.208349218452148E-2</v>
      </c>
    </row>
    <row r="823" spans="1:11" x14ac:dyDescent="0.25">
      <c r="A823" s="5" t="s">
        <v>6</v>
      </c>
      <c r="B823" s="5" t="s">
        <v>4304</v>
      </c>
      <c r="C823" s="1" t="s">
        <v>4305</v>
      </c>
      <c r="D823" s="5" t="s">
        <v>17590</v>
      </c>
      <c r="E823" s="32">
        <v>65</v>
      </c>
      <c r="F823" s="27">
        <v>92607</v>
      </c>
      <c r="G823" s="32">
        <v>74</v>
      </c>
      <c r="H823" s="27">
        <v>111398</v>
      </c>
      <c r="I823" s="27">
        <v>1424.7230769230769</v>
      </c>
      <c r="J823" s="27">
        <v>1505.3783783783783</v>
      </c>
      <c r="K823" s="29">
        <v>5.6611212916891765E-2</v>
      </c>
    </row>
    <row r="824" spans="1:11" x14ac:dyDescent="0.25">
      <c r="A824" s="5" t="s">
        <v>6</v>
      </c>
      <c r="B824" s="5" t="s">
        <v>4307</v>
      </c>
      <c r="C824" s="1" t="s">
        <v>4308</v>
      </c>
      <c r="D824" s="5" t="s">
        <v>17591</v>
      </c>
      <c r="E824" s="32">
        <v>8</v>
      </c>
      <c r="F824" s="27">
        <v>11966</v>
      </c>
      <c r="I824" s="27">
        <v>1495.75</v>
      </c>
    </row>
    <row r="825" spans="1:11" x14ac:dyDescent="0.25">
      <c r="A825" s="5" t="s">
        <v>6</v>
      </c>
      <c r="B825" s="5" t="s">
        <v>4310</v>
      </c>
      <c r="C825" s="1" t="s">
        <v>4311</v>
      </c>
      <c r="D825" s="5" t="s">
        <v>17592</v>
      </c>
      <c r="E825" s="32">
        <v>3</v>
      </c>
      <c r="F825" s="27">
        <v>6408</v>
      </c>
      <c r="I825" s="27">
        <v>2136</v>
      </c>
    </row>
    <row r="826" spans="1:11" x14ac:dyDescent="0.25">
      <c r="A826" s="5" t="s">
        <v>6</v>
      </c>
      <c r="B826" s="5" t="s">
        <v>4328</v>
      </c>
      <c r="C826" s="1" t="s">
        <v>4329</v>
      </c>
      <c r="D826" s="5" t="s">
        <v>17593</v>
      </c>
      <c r="E826" s="32">
        <v>102</v>
      </c>
      <c r="F826" s="27">
        <v>234553</v>
      </c>
      <c r="G826" s="32">
        <v>109</v>
      </c>
      <c r="H826" s="27">
        <v>268057</v>
      </c>
      <c r="I826" s="27">
        <v>2299.5392156862745</v>
      </c>
      <c r="J826" s="27">
        <v>2459.2385321100919</v>
      </c>
      <c r="K826" s="29">
        <v>6.944839876373092E-2</v>
      </c>
    </row>
    <row r="827" spans="1:11" x14ac:dyDescent="0.25">
      <c r="A827" s="5" t="s">
        <v>6</v>
      </c>
      <c r="B827" s="5" t="s">
        <v>4331</v>
      </c>
      <c r="C827" s="1" t="s">
        <v>4332</v>
      </c>
      <c r="D827" s="5" t="s">
        <v>17594</v>
      </c>
      <c r="E827" s="32">
        <v>0</v>
      </c>
      <c r="F827" s="27">
        <v>0</v>
      </c>
      <c r="G827" s="32">
        <v>7</v>
      </c>
      <c r="H827" s="27">
        <v>16793</v>
      </c>
      <c r="J827" s="27">
        <v>2399</v>
      </c>
    </row>
    <row r="828" spans="1:11" x14ac:dyDescent="0.25">
      <c r="A828" s="5" t="s">
        <v>6</v>
      </c>
      <c r="B828" s="5" t="s">
        <v>4334</v>
      </c>
      <c r="C828" s="1" t="s">
        <v>4335</v>
      </c>
      <c r="D828" s="5" t="s">
        <v>17595</v>
      </c>
      <c r="E828" s="32">
        <v>4</v>
      </c>
      <c r="F828" s="27">
        <v>9508</v>
      </c>
      <c r="I828" s="27">
        <v>2377</v>
      </c>
    </row>
    <row r="829" spans="1:11" x14ac:dyDescent="0.25">
      <c r="A829" s="5" t="s">
        <v>6</v>
      </c>
      <c r="B829" s="5" t="s">
        <v>4337</v>
      </c>
      <c r="C829" s="1" t="s">
        <v>4338</v>
      </c>
      <c r="D829" s="5" t="s">
        <v>17596</v>
      </c>
      <c r="E829" s="32">
        <v>10</v>
      </c>
      <c r="F829" s="27">
        <v>14796</v>
      </c>
      <c r="G829" s="32">
        <v>17</v>
      </c>
      <c r="H829" s="27">
        <v>26360</v>
      </c>
      <c r="I829" s="27">
        <v>1479.6</v>
      </c>
      <c r="J829" s="27">
        <v>1550.5882352941176</v>
      </c>
      <c r="K829" s="29">
        <v>4.7977990871936785E-2</v>
      </c>
    </row>
    <row r="830" spans="1:11" x14ac:dyDescent="0.25">
      <c r="A830" s="5" t="s">
        <v>6</v>
      </c>
      <c r="B830" s="5" t="s">
        <v>4340</v>
      </c>
      <c r="C830" s="1" t="s">
        <v>4341</v>
      </c>
      <c r="D830" s="5" t="s">
        <v>17597</v>
      </c>
      <c r="E830" s="32">
        <v>7</v>
      </c>
      <c r="F830" s="27">
        <v>10360</v>
      </c>
      <c r="I830" s="27">
        <v>1480</v>
      </c>
    </row>
    <row r="831" spans="1:11" x14ac:dyDescent="0.25">
      <c r="A831" s="5" t="s">
        <v>6</v>
      </c>
      <c r="B831" s="5" t="s">
        <v>4349</v>
      </c>
      <c r="C831" s="1" t="s">
        <v>3830</v>
      </c>
      <c r="D831" s="5" t="s">
        <v>17598</v>
      </c>
      <c r="E831" s="32">
        <v>2</v>
      </c>
      <c r="F831" s="27">
        <v>3913</v>
      </c>
      <c r="I831" s="27">
        <v>1956.5</v>
      </c>
    </row>
    <row r="832" spans="1:11" x14ac:dyDescent="0.25">
      <c r="A832" s="5" t="s">
        <v>6</v>
      </c>
      <c r="B832" s="5" t="s">
        <v>4350</v>
      </c>
      <c r="C832" s="1" t="s">
        <v>3833</v>
      </c>
      <c r="D832" s="5" t="s">
        <v>17599</v>
      </c>
      <c r="E832" s="32">
        <v>2</v>
      </c>
      <c r="F832" s="27">
        <v>4581</v>
      </c>
      <c r="I832" s="27">
        <v>2290.5</v>
      </c>
    </row>
    <row r="833" spans="1:11" x14ac:dyDescent="0.25">
      <c r="A833" s="5" t="s">
        <v>6</v>
      </c>
      <c r="B833" s="5" t="s">
        <v>4351</v>
      </c>
      <c r="C833" s="1" t="s">
        <v>4352</v>
      </c>
      <c r="D833" s="5" t="s">
        <v>17600</v>
      </c>
      <c r="E833" s="32">
        <v>23</v>
      </c>
      <c r="F833" s="27">
        <v>40494</v>
      </c>
      <c r="I833" s="27">
        <v>1760.608695652174</v>
      </c>
    </row>
    <row r="834" spans="1:11" x14ac:dyDescent="0.25">
      <c r="A834" s="5" t="s">
        <v>6</v>
      </c>
      <c r="B834" s="5" t="s">
        <v>4357</v>
      </c>
      <c r="C834" s="1" t="s">
        <v>4358</v>
      </c>
      <c r="D834" s="5" t="s">
        <v>17601</v>
      </c>
      <c r="E834" s="32">
        <v>1</v>
      </c>
      <c r="F834" s="27">
        <v>956</v>
      </c>
      <c r="I834" s="27">
        <v>956</v>
      </c>
    </row>
    <row r="835" spans="1:11" x14ac:dyDescent="0.25">
      <c r="A835" s="5" t="s">
        <v>6</v>
      </c>
      <c r="B835" s="5" t="s">
        <v>4363</v>
      </c>
      <c r="C835" s="1" t="s">
        <v>4364</v>
      </c>
      <c r="D835" s="5" t="s">
        <v>17602</v>
      </c>
      <c r="E835" s="32">
        <v>18</v>
      </c>
      <c r="F835" s="27">
        <v>10062</v>
      </c>
      <c r="G835" s="32">
        <v>9</v>
      </c>
      <c r="H835" s="27">
        <v>5396</v>
      </c>
      <c r="I835" s="27">
        <v>559</v>
      </c>
      <c r="J835" s="27">
        <v>599.55555555555554</v>
      </c>
      <c r="K835" s="29">
        <v>7.255018882925858E-2</v>
      </c>
    </row>
    <row r="836" spans="1:11" x14ac:dyDescent="0.25">
      <c r="A836" s="5" t="s">
        <v>6</v>
      </c>
      <c r="B836" s="5" t="s">
        <v>4366</v>
      </c>
      <c r="C836" s="1" t="s">
        <v>4367</v>
      </c>
      <c r="D836" s="5" t="s">
        <v>17603</v>
      </c>
      <c r="E836" s="32">
        <v>1</v>
      </c>
      <c r="F836" s="27">
        <v>2727</v>
      </c>
      <c r="I836" s="27">
        <v>2727</v>
      </c>
    </row>
    <row r="837" spans="1:11" x14ac:dyDescent="0.25">
      <c r="A837" s="5" t="s">
        <v>6</v>
      </c>
      <c r="B837" s="5" t="s">
        <v>4384</v>
      </c>
      <c r="C837" s="1" t="s">
        <v>4385</v>
      </c>
      <c r="E837" s="32">
        <v>1</v>
      </c>
      <c r="F837" s="27">
        <v>831</v>
      </c>
      <c r="I837" s="27">
        <v>831</v>
      </c>
    </row>
    <row r="838" spans="1:11" x14ac:dyDescent="0.25">
      <c r="A838" s="5" t="s">
        <v>6</v>
      </c>
      <c r="B838" s="5" t="s">
        <v>4387</v>
      </c>
      <c r="C838" s="1" t="s">
        <v>4388</v>
      </c>
      <c r="E838" s="32">
        <v>3</v>
      </c>
      <c r="F838" s="27">
        <v>1188</v>
      </c>
      <c r="I838" s="27">
        <v>396</v>
      </c>
    </row>
    <row r="839" spans="1:11" x14ac:dyDescent="0.25">
      <c r="A839" s="5" t="s">
        <v>6</v>
      </c>
      <c r="B839" s="5" t="s">
        <v>4393</v>
      </c>
      <c r="C839" s="1" t="s">
        <v>4394</v>
      </c>
      <c r="E839" s="32">
        <v>103</v>
      </c>
      <c r="F839" s="27">
        <v>48382</v>
      </c>
      <c r="I839" s="27">
        <v>469.72815533980582</v>
      </c>
    </row>
    <row r="840" spans="1:11" x14ac:dyDescent="0.25">
      <c r="A840" s="5" t="s">
        <v>6</v>
      </c>
      <c r="B840" s="5" t="s">
        <v>4396</v>
      </c>
      <c r="C840" s="1" t="s">
        <v>4397</v>
      </c>
      <c r="E840" s="32">
        <v>2</v>
      </c>
      <c r="F840" s="27">
        <v>1873</v>
      </c>
      <c r="I840" s="27">
        <v>936.5</v>
      </c>
    </row>
    <row r="841" spans="1:11" x14ac:dyDescent="0.25">
      <c r="A841" s="5" t="s">
        <v>6</v>
      </c>
      <c r="B841" s="5" t="s">
        <v>4399</v>
      </c>
      <c r="C841" s="1" t="s">
        <v>4400</v>
      </c>
      <c r="E841" s="32">
        <v>1</v>
      </c>
      <c r="F841" s="27">
        <v>641</v>
      </c>
      <c r="I841" s="27">
        <v>641</v>
      </c>
    </row>
    <row r="842" spans="1:11" x14ac:dyDescent="0.25">
      <c r="A842" s="5" t="s">
        <v>6</v>
      </c>
      <c r="B842" s="5" t="s">
        <v>4402</v>
      </c>
      <c r="C842" s="1" t="s">
        <v>4403</v>
      </c>
      <c r="E842" s="32">
        <v>2</v>
      </c>
      <c r="F842" s="27">
        <v>626</v>
      </c>
      <c r="I842" s="27">
        <v>313</v>
      </c>
    </row>
    <row r="843" spans="1:11" x14ac:dyDescent="0.25">
      <c r="A843" s="5" t="s">
        <v>6</v>
      </c>
      <c r="B843" s="5" t="s">
        <v>4428</v>
      </c>
      <c r="C843" s="1" t="s">
        <v>4429</v>
      </c>
      <c r="E843" s="32">
        <v>1</v>
      </c>
      <c r="F843" s="27">
        <v>879</v>
      </c>
      <c r="I843" s="27">
        <v>879</v>
      </c>
    </row>
    <row r="844" spans="1:11" x14ac:dyDescent="0.25">
      <c r="A844" s="5" t="s">
        <v>6</v>
      </c>
      <c r="B844" s="5" t="s">
        <v>4431</v>
      </c>
      <c r="C844" s="1" t="s">
        <v>4432</v>
      </c>
      <c r="E844" s="32">
        <v>2</v>
      </c>
      <c r="F844" s="27">
        <v>2446</v>
      </c>
      <c r="G844" s="32">
        <v>2</v>
      </c>
      <c r="H844" s="27">
        <v>2868</v>
      </c>
      <c r="I844" s="27">
        <v>1223</v>
      </c>
      <c r="J844" s="27">
        <v>1434</v>
      </c>
      <c r="K844" s="29">
        <v>0.17252657399836469</v>
      </c>
    </row>
    <row r="845" spans="1:11" x14ac:dyDescent="0.25">
      <c r="A845" s="5" t="s">
        <v>6</v>
      </c>
      <c r="B845" s="5" t="s">
        <v>4439</v>
      </c>
      <c r="C845" s="1" t="s">
        <v>4440</v>
      </c>
      <c r="E845" s="32">
        <v>4</v>
      </c>
      <c r="F845" s="27">
        <v>16184</v>
      </c>
      <c r="G845" s="32">
        <v>15</v>
      </c>
      <c r="H845" s="27">
        <v>63606</v>
      </c>
      <c r="I845" s="27">
        <v>4046</v>
      </c>
      <c r="J845" s="27">
        <v>4240.3999999999996</v>
      </c>
      <c r="K845" s="29">
        <v>4.8047454275827892E-2</v>
      </c>
    </row>
    <row r="846" spans="1:11" x14ac:dyDescent="0.25">
      <c r="A846" s="5" t="s">
        <v>6</v>
      </c>
      <c r="B846" s="5" t="s">
        <v>4445</v>
      </c>
      <c r="C846" s="1" t="s">
        <v>4446</v>
      </c>
      <c r="E846" s="32">
        <v>5</v>
      </c>
      <c r="F846" s="27">
        <v>53853</v>
      </c>
      <c r="I846" s="27">
        <v>10770.6</v>
      </c>
    </row>
    <row r="847" spans="1:11" x14ac:dyDescent="0.25">
      <c r="A847" s="5" t="s">
        <v>6</v>
      </c>
      <c r="B847" s="5" t="s">
        <v>4457</v>
      </c>
      <c r="C847" s="1" t="s">
        <v>4458</v>
      </c>
      <c r="E847" s="32">
        <v>38</v>
      </c>
      <c r="F847" s="27">
        <v>337637</v>
      </c>
      <c r="G847" s="32">
        <v>25</v>
      </c>
      <c r="H847" s="27">
        <v>237959</v>
      </c>
      <c r="I847" s="27">
        <v>8885.1842105263149</v>
      </c>
      <c r="J847" s="27">
        <v>9518.36</v>
      </c>
      <c r="K847" s="29">
        <v>7.1261976619861139E-2</v>
      </c>
    </row>
    <row r="848" spans="1:11" x14ac:dyDescent="0.25">
      <c r="A848" s="5" t="s">
        <v>6</v>
      </c>
      <c r="B848" s="5" t="s">
        <v>4460</v>
      </c>
      <c r="C848" s="1" t="s">
        <v>4461</v>
      </c>
      <c r="E848" s="32">
        <v>3</v>
      </c>
      <c r="F848" s="27">
        <v>15327</v>
      </c>
      <c r="I848" s="27">
        <v>5109</v>
      </c>
    </row>
    <row r="849" spans="1:11" x14ac:dyDescent="0.25">
      <c r="A849" s="5" t="s">
        <v>6</v>
      </c>
      <c r="B849" s="5" t="s">
        <v>4463</v>
      </c>
      <c r="C849" s="1" t="s">
        <v>4464</v>
      </c>
      <c r="E849" s="32">
        <v>2</v>
      </c>
      <c r="F849" s="27">
        <v>4336</v>
      </c>
      <c r="I849" s="27">
        <v>2168</v>
      </c>
    </row>
    <row r="850" spans="1:11" x14ac:dyDescent="0.25">
      <c r="A850" s="5" t="s">
        <v>6</v>
      </c>
      <c r="B850" s="5" t="s">
        <v>4466</v>
      </c>
      <c r="C850" s="1" t="s">
        <v>4467</v>
      </c>
      <c r="E850" s="32">
        <v>2</v>
      </c>
      <c r="F850" s="27">
        <v>50118</v>
      </c>
      <c r="I850" s="27">
        <v>25059</v>
      </c>
    </row>
    <row r="851" spans="1:11" x14ac:dyDescent="0.25">
      <c r="A851" s="5" t="s">
        <v>6</v>
      </c>
      <c r="B851" s="5" t="s">
        <v>4472</v>
      </c>
      <c r="C851" s="1" t="s">
        <v>4112</v>
      </c>
      <c r="E851" s="32">
        <v>2</v>
      </c>
      <c r="F851" s="27">
        <v>3780</v>
      </c>
      <c r="I851" s="27">
        <v>1890</v>
      </c>
    </row>
    <row r="852" spans="1:11" x14ac:dyDescent="0.25">
      <c r="A852" s="5" t="s">
        <v>6</v>
      </c>
      <c r="B852" s="5" t="s">
        <v>4479</v>
      </c>
      <c r="C852" s="1" t="s">
        <v>4228</v>
      </c>
      <c r="D852" s="5" t="s">
        <v>17565</v>
      </c>
      <c r="E852" s="32">
        <v>0</v>
      </c>
      <c r="F852" s="27">
        <v>0</v>
      </c>
      <c r="G852" s="32">
        <v>92</v>
      </c>
      <c r="H852" s="27">
        <v>200692</v>
      </c>
      <c r="J852" s="27">
        <v>2181.4347826086955</v>
      </c>
    </row>
    <row r="853" spans="1:11" x14ac:dyDescent="0.25">
      <c r="A853" s="5" t="s">
        <v>6</v>
      </c>
      <c r="B853" s="5" t="s">
        <v>4487</v>
      </c>
      <c r="C853" s="1" t="s">
        <v>3865</v>
      </c>
      <c r="E853" s="32">
        <v>8</v>
      </c>
      <c r="F853" s="27">
        <v>41380</v>
      </c>
      <c r="G853" s="32">
        <v>6</v>
      </c>
      <c r="H853" s="27">
        <v>34194</v>
      </c>
      <c r="I853" s="27">
        <v>5172.5</v>
      </c>
      <c r="J853" s="27">
        <v>5699</v>
      </c>
      <c r="K853" s="29">
        <v>0.10178830352827453</v>
      </c>
    </row>
    <row r="854" spans="1:11" x14ac:dyDescent="0.25">
      <c r="A854" s="5" t="s">
        <v>6</v>
      </c>
      <c r="B854" s="5" t="s">
        <v>4490</v>
      </c>
      <c r="C854" s="1" t="s">
        <v>4491</v>
      </c>
      <c r="E854" s="32">
        <v>1</v>
      </c>
      <c r="F854" s="27">
        <v>19922</v>
      </c>
      <c r="I854" s="27">
        <v>19922</v>
      </c>
    </row>
    <row r="855" spans="1:11" x14ac:dyDescent="0.25">
      <c r="A855" s="5" t="s">
        <v>6</v>
      </c>
      <c r="B855" s="5" t="s">
        <v>4499</v>
      </c>
      <c r="C855" s="1" t="s">
        <v>4500</v>
      </c>
      <c r="E855" s="32">
        <v>7</v>
      </c>
      <c r="F855" s="27">
        <v>4042</v>
      </c>
      <c r="G855" s="32">
        <v>11</v>
      </c>
      <c r="H855" s="27">
        <v>6706</v>
      </c>
      <c r="I855" s="27">
        <v>577.42857142857144</v>
      </c>
      <c r="J855" s="27">
        <v>609.63636363636363</v>
      </c>
      <c r="K855" s="29">
        <v>5.5777967702757364E-2</v>
      </c>
    </row>
    <row r="856" spans="1:11" x14ac:dyDescent="0.25">
      <c r="A856" s="5" t="s">
        <v>6</v>
      </c>
      <c r="B856" s="5" t="s">
        <v>4505</v>
      </c>
      <c r="C856" s="1" t="s">
        <v>4506</v>
      </c>
      <c r="E856" s="32">
        <v>1</v>
      </c>
      <c r="F856" s="27">
        <v>6471</v>
      </c>
      <c r="I856" s="27">
        <v>6471</v>
      </c>
    </row>
    <row r="857" spans="1:11" x14ac:dyDescent="0.25">
      <c r="A857" s="5" t="s">
        <v>6</v>
      </c>
      <c r="B857" s="5" t="s">
        <v>4509</v>
      </c>
      <c r="C857" s="1" t="s">
        <v>4332</v>
      </c>
      <c r="D857" s="5" t="s">
        <v>17594</v>
      </c>
      <c r="E857" s="32">
        <v>77</v>
      </c>
      <c r="F857" s="27">
        <v>179340</v>
      </c>
      <c r="G857" s="32">
        <v>106</v>
      </c>
      <c r="H857" s="27">
        <v>261648</v>
      </c>
      <c r="I857" s="27">
        <v>2329.090909090909</v>
      </c>
      <c r="J857" s="27">
        <v>2468.3773584905662</v>
      </c>
      <c r="K857" s="29">
        <v>5.9802925191109635E-2</v>
      </c>
    </row>
    <row r="858" spans="1:11" x14ac:dyDescent="0.25">
      <c r="A858" s="5" t="s">
        <v>6</v>
      </c>
      <c r="B858" s="5" t="s">
        <v>4519</v>
      </c>
      <c r="C858" s="1" t="s">
        <v>3797</v>
      </c>
      <c r="D858" s="5" t="s">
        <v>17498</v>
      </c>
      <c r="E858" s="32">
        <v>4</v>
      </c>
      <c r="F858" s="27">
        <v>31840</v>
      </c>
      <c r="G858" s="32">
        <v>10</v>
      </c>
      <c r="H858" s="27">
        <v>86195</v>
      </c>
      <c r="I858" s="27">
        <v>7960</v>
      </c>
      <c r="J858" s="27">
        <v>8619.5</v>
      </c>
      <c r="K858" s="29">
        <v>8.2851758793969846E-2</v>
      </c>
    </row>
    <row r="859" spans="1:11" x14ac:dyDescent="0.25">
      <c r="A859" s="5" t="s">
        <v>6</v>
      </c>
      <c r="B859" s="5" t="s">
        <v>4520</v>
      </c>
      <c r="C859" s="1" t="s">
        <v>3800</v>
      </c>
      <c r="D859" s="5" t="s">
        <v>17604</v>
      </c>
      <c r="E859" s="32">
        <v>6</v>
      </c>
      <c r="F859" s="27">
        <v>62640</v>
      </c>
      <c r="I859" s="27">
        <v>10440</v>
      </c>
    </row>
    <row r="860" spans="1:11" x14ac:dyDescent="0.25">
      <c r="A860" s="5" t="s">
        <v>6</v>
      </c>
      <c r="B860" s="5" t="s">
        <v>4521</v>
      </c>
      <c r="C860" s="1" t="s">
        <v>4522</v>
      </c>
      <c r="E860" s="32">
        <v>1</v>
      </c>
      <c r="F860" s="27">
        <v>8215</v>
      </c>
      <c r="I860" s="27">
        <v>8215</v>
      </c>
    </row>
    <row r="861" spans="1:11" x14ac:dyDescent="0.25">
      <c r="A861" s="5" t="s">
        <v>6</v>
      </c>
      <c r="B861" s="5" t="s">
        <v>4527</v>
      </c>
      <c r="C861" s="1" t="s">
        <v>3803</v>
      </c>
      <c r="D861" s="5" t="s">
        <v>17499</v>
      </c>
      <c r="E861" s="32">
        <v>67</v>
      </c>
      <c r="F861" s="27">
        <v>620250</v>
      </c>
      <c r="G861" s="32">
        <v>48</v>
      </c>
      <c r="H861" s="27">
        <v>473104</v>
      </c>
      <c r="I861" s="27">
        <v>9257.4626865671635</v>
      </c>
      <c r="J861" s="27">
        <v>9856.3333333333339</v>
      </c>
      <c r="K861" s="29">
        <v>6.4690581754668963E-2</v>
      </c>
    </row>
    <row r="862" spans="1:11" x14ac:dyDescent="0.25">
      <c r="A862" s="5" t="s">
        <v>6</v>
      </c>
      <c r="B862" s="5" t="s">
        <v>4528</v>
      </c>
      <c r="C862" s="1" t="s">
        <v>3806</v>
      </c>
      <c r="D862" s="5" t="s">
        <v>17500</v>
      </c>
      <c r="E862" s="32">
        <v>9</v>
      </c>
      <c r="F862" s="27">
        <v>103927</v>
      </c>
      <c r="G862" s="32">
        <v>3</v>
      </c>
      <c r="H862" s="27">
        <v>36814</v>
      </c>
      <c r="I862" s="27">
        <v>11547.444444444445</v>
      </c>
      <c r="J862" s="27">
        <v>12271.333333333334</v>
      </c>
      <c r="K862" s="29">
        <v>6.2688233086685821E-2</v>
      </c>
    </row>
    <row r="863" spans="1:11" x14ac:dyDescent="0.25">
      <c r="A863" s="5" t="s">
        <v>6</v>
      </c>
      <c r="B863" s="5" t="s">
        <v>4529</v>
      </c>
      <c r="C863" s="1" t="s">
        <v>4530</v>
      </c>
      <c r="D863" s="5" t="s">
        <v>17605</v>
      </c>
      <c r="E863" s="32">
        <v>16</v>
      </c>
      <c r="F863" s="27">
        <v>97028</v>
      </c>
      <c r="G863" s="32">
        <v>13</v>
      </c>
      <c r="H863" s="27">
        <v>85307</v>
      </c>
      <c r="I863" s="27">
        <v>6064.25</v>
      </c>
      <c r="J863" s="27">
        <v>6562.0769230769229</v>
      </c>
      <c r="K863" s="29">
        <v>8.2092084441921565E-2</v>
      </c>
    </row>
    <row r="864" spans="1:11" x14ac:dyDescent="0.25">
      <c r="A864" s="5" t="s">
        <v>6</v>
      </c>
      <c r="B864" s="5" t="s">
        <v>4532</v>
      </c>
      <c r="C864" s="1" t="s">
        <v>3809</v>
      </c>
      <c r="D864" s="5" t="s">
        <v>17501</v>
      </c>
      <c r="E864" s="32">
        <v>1</v>
      </c>
      <c r="F864" s="27">
        <v>8614</v>
      </c>
      <c r="G864" s="32">
        <v>1</v>
      </c>
      <c r="H864" s="27">
        <v>9303</v>
      </c>
      <c r="I864" s="27">
        <v>8614</v>
      </c>
      <c r="J864" s="27">
        <v>9303</v>
      </c>
      <c r="K864" s="29">
        <v>7.99860691896912E-2</v>
      </c>
    </row>
    <row r="865" spans="1:11" x14ac:dyDescent="0.25">
      <c r="A865" s="5" t="s">
        <v>6</v>
      </c>
      <c r="B865" s="5" t="s">
        <v>4536</v>
      </c>
      <c r="C865" s="1" t="s">
        <v>4537</v>
      </c>
      <c r="D865" s="5" t="s">
        <v>17606</v>
      </c>
      <c r="E865" s="32">
        <v>5</v>
      </c>
      <c r="F865" s="27">
        <v>120561</v>
      </c>
      <c r="G865" s="32">
        <v>6</v>
      </c>
      <c r="H865" s="27">
        <v>159366</v>
      </c>
      <c r="I865" s="27">
        <v>24112.2</v>
      </c>
      <c r="J865" s="27">
        <v>26561</v>
      </c>
      <c r="K865" s="29">
        <v>0.10155854712552148</v>
      </c>
    </row>
    <row r="866" spans="1:11" x14ac:dyDescent="0.25">
      <c r="A866" s="5" t="s">
        <v>6</v>
      </c>
      <c r="B866" s="5" t="s">
        <v>4543</v>
      </c>
      <c r="C866" s="1" t="s">
        <v>3812</v>
      </c>
      <c r="D866" s="5" t="s">
        <v>17502</v>
      </c>
      <c r="E866" s="32">
        <v>12</v>
      </c>
      <c r="F866" s="27">
        <v>49840</v>
      </c>
      <c r="G866" s="32">
        <v>14</v>
      </c>
      <c r="H866" s="27">
        <v>63226</v>
      </c>
      <c r="I866" s="27">
        <v>4153.333333333333</v>
      </c>
      <c r="J866" s="27">
        <v>4516.1428571428569</v>
      </c>
      <c r="K866" s="29">
        <v>8.7353817931667063E-2</v>
      </c>
    </row>
    <row r="867" spans="1:11" x14ac:dyDescent="0.25">
      <c r="A867" s="5" t="s">
        <v>6</v>
      </c>
      <c r="B867" s="5" t="s">
        <v>4544</v>
      </c>
      <c r="C867" s="1" t="s">
        <v>3815</v>
      </c>
      <c r="D867" s="5" t="s">
        <v>17607</v>
      </c>
      <c r="E867" s="32">
        <v>4</v>
      </c>
      <c r="F867" s="27">
        <v>14504</v>
      </c>
      <c r="G867" s="32">
        <v>2</v>
      </c>
      <c r="H867" s="27">
        <v>7542</v>
      </c>
      <c r="I867" s="27">
        <v>3626</v>
      </c>
      <c r="J867" s="27">
        <v>3771</v>
      </c>
      <c r="K867" s="29">
        <v>3.9988968560397131E-2</v>
      </c>
    </row>
    <row r="868" spans="1:11" x14ac:dyDescent="0.25">
      <c r="A868" s="5" t="s">
        <v>6</v>
      </c>
      <c r="B868" s="5" t="s">
        <v>4545</v>
      </c>
      <c r="C868" s="1" t="s">
        <v>3818</v>
      </c>
      <c r="D868" s="5" t="s">
        <v>17503</v>
      </c>
      <c r="E868" s="32">
        <v>4</v>
      </c>
      <c r="F868" s="27">
        <v>24984</v>
      </c>
      <c r="G868" s="32">
        <v>6</v>
      </c>
      <c r="H868" s="27">
        <v>39976</v>
      </c>
      <c r="I868" s="27">
        <v>6246</v>
      </c>
      <c r="J868" s="27">
        <v>6662.666666666667</v>
      </c>
      <c r="K868" s="29">
        <v>6.6709360657487504E-2</v>
      </c>
    </row>
    <row r="869" spans="1:11" x14ac:dyDescent="0.25">
      <c r="A869" s="5" t="s">
        <v>6</v>
      </c>
      <c r="B869" s="5" t="s">
        <v>4546</v>
      </c>
      <c r="C869" s="1" t="s">
        <v>3821</v>
      </c>
      <c r="D869" s="5" t="s">
        <v>17608</v>
      </c>
      <c r="E869" s="32">
        <v>2</v>
      </c>
      <c r="F869" s="27">
        <v>13567</v>
      </c>
      <c r="I869" s="27">
        <v>6783.5</v>
      </c>
    </row>
    <row r="870" spans="1:11" x14ac:dyDescent="0.25">
      <c r="A870" s="5" t="s">
        <v>6</v>
      </c>
      <c r="B870" s="5" t="s">
        <v>4556</v>
      </c>
      <c r="C870" s="1" t="s">
        <v>4557</v>
      </c>
      <c r="D870" s="5" t="s">
        <v>17609</v>
      </c>
      <c r="E870" s="32">
        <v>22</v>
      </c>
      <c r="F870" s="27">
        <v>69499</v>
      </c>
      <c r="G870" s="32">
        <v>17</v>
      </c>
      <c r="H870" s="27">
        <v>57002</v>
      </c>
      <c r="I870" s="27">
        <v>3159.0454545454545</v>
      </c>
      <c r="J870" s="27">
        <v>3353.0588235294117</v>
      </c>
      <c r="K870" s="29">
        <v>6.141518752279973E-2</v>
      </c>
    </row>
    <row r="871" spans="1:11" x14ac:dyDescent="0.25">
      <c r="A871" s="5" t="s">
        <v>6</v>
      </c>
      <c r="B871" s="5" t="s">
        <v>4559</v>
      </c>
      <c r="C871" s="1" t="s">
        <v>4560</v>
      </c>
      <c r="D871" s="5" t="s">
        <v>17610</v>
      </c>
      <c r="E871" s="32">
        <v>0</v>
      </c>
      <c r="F871" s="27">
        <v>0</v>
      </c>
      <c r="G871" s="32">
        <v>1</v>
      </c>
      <c r="H871" s="27">
        <v>8337</v>
      </c>
      <c r="J871" s="27">
        <v>8337</v>
      </c>
    </row>
    <row r="872" spans="1:11" x14ac:dyDescent="0.25">
      <c r="A872" s="5" t="s">
        <v>6</v>
      </c>
      <c r="B872" s="5" t="s">
        <v>4581</v>
      </c>
      <c r="C872" s="1" t="s">
        <v>4582</v>
      </c>
      <c r="D872" s="5" t="s">
        <v>17611</v>
      </c>
      <c r="E872" s="32">
        <v>3</v>
      </c>
      <c r="F872" s="27">
        <v>9306</v>
      </c>
      <c r="I872" s="27">
        <v>3102</v>
      </c>
    </row>
    <row r="873" spans="1:11" x14ac:dyDescent="0.25">
      <c r="A873" s="5" t="s">
        <v>6</v>
      </c>
      <c r="B873" s="5" t="s">
        <v>4584</v>
      </c>
      <c r="C873" s="1" t="s">
        <v>4347</v>
      </c>
      <c r="D873" s="5" t="s">
        <v>17612</v>
      </c>
      <c r="E873" s="32">
        <v>285</v>
      </c>
      <c r="F873" s="27">
        <v>564993</v>
      </c>
      <c r="G873" s="32">
        <v>313</v>
      </c>
      <c r="H873" s="27">
        <v>664532</v>
      </c>
      <c r="I873" s="27">
        <v>1982.4315789473685</v>
      </c>
      <c r="J873" s="27">
        <v>2123.1054313099044</v>
      </c>
      <c r="K873" s="29">
        <v>7.0960256009052702E-2</v>
      </c>
    </row>
    <row r="874" spans="1:11" x14ac:dyDescent="0.25">
      <c r="A874" s="5" t="s">
        <v>6</v>
      </c>
      <c r="B874" s="5" t="s">
        <v>4588</v>
      </c>
      <c r="C874" s="1" t="s">
        <v>3911</v>
      </c>
      <c r="E874" s="32">
        <v>5</v>
      </c>
      <c r="F874" s="27">
        <v>10009</v>
      </c>
      <c r="G874" s="32">
        <v>6</v>
      </c>
      <c r="H874" s="27">
        <v>13019</v>
      </c>
      <c r="I874" s="27">
        <v>2001.8</v>
      </c>
      <c r="J874" s="27">
        <v>2169.8333333333335</v>
      </c>
      <c r="K874" s="29">
        <v>8.394111965897369E-2</v>
      </c>
    </row>
    <row r="875" spans="1:11" x14ac:dyDescent="0.25">
      <c r="A875" s="5" t="s">
        <v>6</v>
      </c>
      <c r="B875" s="5" t="s">
        <v>4589</v>
      </c>
      <c r="C875" s="1" t="s">
        <v>3833</v>
      </c>
      <c r="D875" s="5" t="s">
        <v>17599</v>
      </c>
      <c r="E875" s="32">
        <v>1</v>
      </c>
      <c r="F875" s="27">
        <v>2213</v>
      </c>
      <c r="I875" s="27">
        <v>2213</v>
      </c>
    </row>
    <row r="876" spans="1:11" x14ac:dyDescent="0.25">
      <c r="A876" s="5" t="s">
        <v>6</v>
      </c>
      <c r="B876" s="5" t="s">
        <v>4590</v>
      </c>
      <c r="C876" s="1" t="s">
        <v>4352</v>
      </c>
      <c r="D876" s="5" t="s">
        <v>17600</v>
      </c>
      <c r="E876" s="32">
        <v>1</v>
      </c>
      <c r="F876" s="27">
        <v>1779</v>
      </c>
      <c r="G876" s="32">
        <v>6</v>
      </c>
      <c r="H876" s="27">
        <v>11384</v>
      </c>
      <c r="I876" s="27">
        <v>1779</v>
      </c>
      <c r="J876" s="27">
        <v>1897.3333333333333</v>
      </c>
      <c r="K876" s="29">
        <v>6.6516769720816896E-2</v>
      </c>
    </row>
    <row r="877" spans="1:11" x14ac:dyDescent="0.25">
      <c r="A877" s="5" t="s">
        <v>6</v>
      </c>
      <c r="B877" s="5" t="s">
        <v>4595</v>
      </c>
      <c r="C877" s="1" t="s">
        <v>4596</v>
      </c>
      <c r="E877" s="32">
        <v>5</v>
      </c>
      <c r="F877" s="27">
        <v>133345</v>
      </c>
      <c r="I877" s="27">
        <v>26669</v>
      </c>
    </row>
    <row r="878" spans="1:11" x14ac:dyDescent="0.25">
      <c r="A878" s="5" t="s">
        <v>6</v>
      </c>
      <c r="B878" s="5" t="s">
        <v>4598</v>
      </c>
      <c r="C878" s="1" t="s">
        <v>4599</v>
      </c>
      <c r="E878" s="32">
        <v>178</v>
      </c>
      <c r="F878" s="27">
        <v>5806318</v>
      </c>
      <c r="G878" s="32">
        <v>141</v>
      </c>
      <c r="H878" s="27">
        <v>4902296</v>
      </c>
      <c r="I878" s="27">
        <v>32619.764044943819</v>
      </c>
      <c r="J878" s="27">
        <v>34768.056737588653</v>
      </c>
      <c r="K878" s="29">
        <v>6.5858621469024006E-2</v>
      </c>
    </row>
    <row r="879" spans="1:11" x14ac:dyDescent="0.25">
      <c r="A879" s="5" t="s">
        <v>6</v>
      </c>
      <c r="B879" s="5" t="s">
        <v>4601</v>
      </c>
      <c r="C879" s="1" t="s">
        <v>4602</v>
      </c>
      <c r="E879" s="32">
        <v>22</v>
      </c>
      <c r="F879" s="27">
        <v>645778</v>
      </c>
      <c r="G879" s="32">
        <v>24</v>
      </c>
      <c r="H879" s="27">
        <v>743038</v>
      </c>
      <c r="I879" s="27">
        <v>29353.545454545456</v>
      </c>
      <c r="J879" s="27">
        <v>30959.916666666668</v>
      </c>
      <c r="K879" s="29">
        <v>5.4724946756728572E-2</v>
      </c>
    </row>
    <row r="880" spans="1:11" x14ac:dyDescent="0.25">
      <c r="A880" s="5" t="s">
        <v>6</v>
      </c>
      <c r="B880" s="5" t="s">
        <v>4604</v>
      </c>
      <c r="C880" s="1" t="s">
        <v>4605</v>
      </c>
      <c r="E880" s="32">
        <v>9</v>
      </c>
      <c r="F880" s="27">
        <v>157001</v>
      </c>
      <c r="G880" s="32">
        <v>7</v>
      </c>
      <c r="H880" s="27">
        <v>131404</v>
      </c>
      <c r="I880" s="27">
        <v>17444.555555555555</v>
      </c>
      <c r="J880" s="27">
        <v>18772</v>
      </c>
      <c r="K880" s="29">
        <v>7.6095056719384005E-2</v>
      </c>
    </row>
    <row r="881" spans="1:11" x14ac:dyDescent="0.25">
      <c r="A881" s="5" t="s">
        <v>6</v>
      </c>
      <c r="B881" s="5" t="s">
        <v>4607</v>
      </c>
      <c r="C881" s="1" t="s">
        <v>4608</v>
      </c>
      <c r="E881" s="32">
        <v>93</v>
      </c>
      <c r="F881" s="27">
        <v>2928474</v>
      </c>
      <c r="G881" s="32">
        <v>83</v>
      </c>
      <c r="H881" s="27">
        <v>2785627</v>
      </c>
      <c r="I881" s="27">
        <v>31488.967741935485</v>
      </c>
      <c r="J881" s="27">
        <v>33561.77108433735</v>
      </c>
      <c r="K881" s="29">
        <v>6.5826335095812163E-2</v>
      </c>
    </row>
    <row r="882" spans="1:11" x14ac:dyDescent="0.25">
      <c r="A882" s="5" t="s">
        <v>6</v>
      </c>
      <c r="B882" s="5" t="s">
        <v>4610</v>
      </c>
      <c r="C882" s="1" t="s">
        <v>4611</v>
      </c>
      <c r="E882" s="32">
        <v>52</v>
      </c>
      <c r="F882" s="27">
        <v>630293</v>
      </c>
      <c r="G882" s="32">
        <v>66</v>
      </c>
      <c r="H882" s="27">
        <v>854974</v>
      </c>
      <c r="I882" s="27">
        <v>12121.01923076923</v>
      </c>
      <c r="J882" s="27">
        <v>12954.151515151516</v>
      </c>
      <c r="K882" s="29">
        <v>6.873450726547628E-2</v>
      </c>
    </row>
    <row r="883" spans="1:11" x14ac:dyDescent="0.25">
      <c r="A883" s="5" t="s">
        <v>6</v>
      </c>
      <c r="B883" s="5" t="s">
        <v>4616</v>
      </c>
      <c r="C883" s="1" t="s">
        <v>3841</v>
      </c>
      <c r="E883" s="32">
        <v>1</v>
      </c>
      <c r="F883" s="27">
        <v>30918</v>
      </c>
      <c r="G883" s="32">
        <v>4</v>
      </c>
      <c r="H883" s="27">
        <v>131091</v>
      </c>
      <c r="I883" s="27">
        <v>30918</v>
      </c>
      <c r="J883" s="27">
        <v>32772.75</v>
      </c>
      <c r="K883" s="29">
        <v>5.9989326605860663E-2</v>
      </c>
    </row>
    <row r="884" spans="1:11" x14ac:dyDescent="0.25">
      <c r="A884" s="5" t="s">
        <v>6</v>
      </c>
      <c r="B884" s="5" t="s">
        <v>4623</v>
      </c>
      <c r="C884" s="1" t="s">
        <v>3859</v>
      </c>
      <c r="E884" s="32">
        <v>225</v>
      </c>
      <c r="F884" s="27">
        <v>1417917</v>
      </c>
      <c r="G884" s="32">
        <v>86</v>
      </c>
      <c r="H884" s="27">
        <v>580590</v>
      </c>
      <c r="I884" s="27">
        <v>6301.8533333333335</v>
      </c>
      <c r="J884" s="27">
        <v>6751.0465116279074</v>
      </c>
      <c r="K884" s="29">
        <v>7.1279535484996048E-2</v>
      </c>
    </row>
    <row r="885" spans="1:11" x14ac:dyDescent="0.25">
      <c r="A885" s="5" t="s">
        <v>6</v>
      </c>
      <c r="B885" s="5" t="s">
        <v>4624</v>
      </c>
      <c r="C885" s="1" t="s">
        <v>4625</v>
      </c>
      <c r="E885" s="32">
        <v>140</v>
      </c>
      <c r="F885" s="27">
        <v>698360</v>
      </c>
      <c r="G885" s="32">
        <v>166</v>
      </c>
      <c r="H885" s="27">
        <v>885020</v>
      </c>
      <c r="I885" s="27">
        <v>4988.2857142857147</v>
      </c>
      <c r="J885" s="27">
        <v>5331.4457831325299</v>
      </c>
      <c r="K885" s="29">
        <v>6.8793186377447343E-2</v>
      </c>
    </row>
    <row r="886" spans="1:11" x14ac:dyDescent="0.25">
      <c r="A886" s="5" t="s">
        <v>6</v>
      </c>
      <c r="B886" s="5" t="s">
        <v>4626</v>
      </c>
      <c r="C886" s="1" t="s">
        <v>4627</v>
      </c>
      <c r="E886" s="32">
        <v>71</v>
      </c>
      <c r="F886" s="27">
        <v>588028</v>
      </c>
      <c r="G886" s="32">
        <v>80</v>
      </c>
      <c r="H886" s="27">
        <v>713606</v>
      </c>
      <c r="I886" s="27">
        <v>8282.0845070422529</v>
      </c>
      <c r="J886" s="27">
        <v>8920.0750000000007</v>
      </c>
      <c r="K886" s="29">
        <v>7.7032598787813003E-2</v>
      </c>
    </row>
    <row r="887" spans="1:11" x14ac:dyDescent="0.25">
      <c r="A887" s="5" t="s">
        <v>6</v>
      </c>
      <c r="B887" s="5" t="s">
        <v>4629</v>
      </c>
      <c r="C887" s="1" t="s">
        <v>4630</v>
      </c>
      <c r="E887" s="32">
        <v>27</v>
      </c>
      <c r="F887" s="27">
        <v>113699</v>
      </c>
      <c r="I887" s="27">
        <v>4211.0740740740739</v>
      </c>
    </row>
    <row r="888" spans="1:11" x14ac:dyDescent="0.25">
      <c r="A888" s="5" t="s">
        <v>6</v>
      </c>
      <c r="B888" s="5" t="s">
        <v>4635</v>
      </c>
      <c r="C888" s="1" t="s">
        <v>4636</v>
      </c>
      <c r="E888" s="32">
        <v>11</v>
      </c>
      <c r="F888" s="27">
        <v>38310</v>
      </c>
      <c r="I888" s="27">
        <v>3482.7272727272725</v>
      </c>
    </row>
    <row r="889" spans="1:11" x14ac:dyDescent="0.25">
      <c r="A889" s="5" t="s">
        <v>6</v>
      </c>
      <c r="B889" s="5" t="s">
        <v>4638</v>
      </c>
      <c r="C889" s="1" t="s">
        <v>4639</v>
      </c>
      <c r="E889" s="32">
        <v>45</v>
      </c>
      <c r="F889" s="27">
        <v>324229</v>
      </c>
      <c r="G889" s="32">
        <v>38</v>
      </c>
      <c r="H889" s="27">
        <v>293562</v>
      </c>
      <c r="I889" s="27">
        <v>7205.0888888888885</v>
      </c>
      <c r="J889" s="27">
        <v>7725.3157894736842</v>
      </c>
      <c r="K889" s="29">
        <v>7.2202704034234469E-2</v>
      </c>
    </row>
    <row r="890" spans="1:11" x14ac:dyDescent="0.25">
      <c r="A890" s="5" t="s">
        <v>6</v>
      </c>
      <c r="B890" s="5" t="s">
        <v>4640</v>
      </c>
      <c r="C890" s="1" t="s">
        <v>4641</v>
      </c>
      <c r="E890" s="32">
        <v>2</v>
      </c>
      <c r="F890" s="27">
        <v>14750</v>
      </c>
      <c r="I890" s="27">
        <v>7375</v>
      </c>
    </row>
    <row r="891" spans="1:11" x14ac:dyDescent="0.25">
      <c r="A891" s="5" t="s">
        <v>6</v>
      </c>
      <c r="B891" s="5" t="s">
        <v>4646</v>
      </c>
      <c r="C891" s="1" t="s">
        <v>4647</v>
      </c>
      <c r="E891" s="32">
        <v>45</v>
      </c>
      <c r="F891" s="27">
        <v>225030</v>
      </c>
      <c r="G891" s="32">
        <v>66</v>
      </c>
      <c r="H891" s="27">
        <v>351744</v>
      </c>
      <c r="I891" s="27">
        <v>5000.666666666667</v>
      </c>
      <c r="J891" s="27">
        <v>5329.454545454545</v>
      </c>
      <c r="K891" s="29">
        <v>6.574880924967566E-2</v>
      </c>
    </row>
    <row r="892" spans="1:11" x14ac:dyDescent="0.25">
      <c r="A892" s="5" t="s">
        <v>6</v>
      </c>
      <c r="B892" s="5" t="s">
        <v>4649</v>
      </c>
      <c r="C892" s="1" t="s">
        <v>4650</v>
      </c>
      <c r="E892" s="32">
        <v>31</v>
      </c>
      <c r="F892" s="27">
        <v>162283</v>
      </c>
      <c r="G892" s="32">
        <v>35</v>
      </c>
      <c r="H892" s="27">
        <v>193998</v>
      </c>
      <c r="I892" s="27">
        <v>5234.9354838709678</v>
      </c>
      <c r="J892" s="27">
        <v>5542.8</v>
      </c>
      <c r="K892" s="29">
        <v>5.8809610372004481E-2</v>
      </c>
    </row>
    <row r="893" spans="1:11" x14ac:dyDescent="0.25">
      <c r="A893" s="5" t="s">
        <v>6</v>
      </c>
      <c r="B893" s="5" t="s">
        <v>4655</v>
      </c>
      <c r="C893" s="1" t="s">
        <v>4656</v>
      </c>
      <c r="E893" s="32">
        <v>34</v>
      </c>
      <c r="F893" s="27">
        <v>23578</v>
      </c>
      <c r="G893" s="32">
        <v>27</v>
      </c>
      <c r="H893" s="27">
        <v>20099</v>
      </c>
      <c r="I893" s="27">
        <v>693.47058823529414</v>
      </c>
      <c r="J893" s="27">
        <v>744.40740740740739</v>
      </c>
      <c r="K893" s="29">
        <v>7.3452025271517951E-2</v>
      </c>
    </row>
    <row r="894" spans="1:11" x14ac:dyDescent="0.25">
      <c r="A894" s="5" t="s">
        <v>6</v>
      </c>
      <c r="B894" s="5" t="s">
        <v>4658</v>
      </c>
      <c r="C894" s="1" t="s">
        <v>4659</v>
      </c>
      <c r="E894" s="32">
        <v>34</v>
      </c>
      <c r="F894" s="27">
        <v>190924</v>
      </c>
      <c r="G894" s="32">
        <v>36</v>
      </c>
      <c r="H894" s="27">
        <v>216984</v>
      </c>
      <c r="I894" s="27">
        <v>5615.411764705882</v>
      </c>
      <c r="J894" s="27">
        <v>6027.333333333333</v>
      </c>
      <c r="K894" s="29">
        <v>7.3355541122820264E-2</v>
      </c>
    </row>
    <row r="895" spans="1:11" x14ac:dyDescent="0.25">
      <c r="A895" s="5" t="s">
        <v>6</v>
      </c>
      <c r="B895" s="5" t="s">
        <v>4661</v>
      </c>
      <c r="C895" s="1" t="s">
        <v>4662</v>
      </c>
      <c r="E895" s="32">
        <v>66</v>
      </c>
      <c r="F895" s="27">
        <v>2671692</v>
      </c>
      <c r="G895" s="32">
        <v>47</v>
      </c>
      <c r="H895" s="27">
        <v>2046268</v>
      </c>
      <c r="I895" s="27">
        <v>40480.181818181816</v>
      </c>
      <c r="J895" s="27">
        <v>43537.617021276594</v>
      </c>
      <c r="K895" s="29">
        <v>7.5529186524590161E-2</v>
      </c>
    </row>
    <row r="896" spans="1:11" x14ac:dyDescent="0.25">
      <c r="A896" s="5" t="s">
        <v>6</v>
      </c>
      <c r="B896" s="5" t="s">
        <v>4664</v>
      </c>
      <c r="C896" s="1" t="s">
        <v>4665</v>
      </c>
      <c r="E896" s="32">
        <v>7</v>
      </c>
      <c r="F896" s="27">
        <v>584906</v>
      </c>
      <c r="G896" s="32">
        <v>11</v>
      </c>
      <c r="H896" s="27">
        <v>972618</v>
      </c>
      <c r="I896" s="27">
        <v>83558</v>
      </c>
      <c r="J896" s="27">
        <v>88419.818181818177</v>
      </c>
      <c r="K896" s="29">
        <v>5.8184951552432758E-2</v>
      </c>
    </row>
    <row r="897" spans="1:11" x14ac:dyDescent="0.25">
      <c r="A897" s="5" t="s">
        <v>6</v>
      </c>
      <c r="B897" s="5" t="s">
        <v>4667</v>
      </c>
      <c r="C897" s="1" t="s">
        <v>4668</v>
      </c>
      <c r="E897" s="32">
        <v>1</v>
      </c>
      <c r="F897" s="27">
        <v>41222</v>
      </c>
      <c r="G897" s="32">
        <v>1</v>
      </c>
      <c r="H897" s="27">
        <v>44520</v>
      </c>
      <c r="I897" s="27">
        <v>41222</v>
      </c>
      <c r="J897" s="27">
        <v>44520</v>
      </c>
      <c r="K897" s="29">
        <v>8.0005822133812049E-2</v>
      </c>
    </row>
    <row r="898" spans="1:11" x14ac:dyDescent="0.25">
      <c r="A898" s="5" t="s">
        <v>6</v>
      </c>
      <c r="B898" s="5" t="s">
        <v>4670</v>
      </c>
      <c r="C898" s="1" t="s">
        <v>4671</v>
      </c>
      <c r="E898" s="32">
        <v>29</v>
      </c>
      <c r="F898" s="27">
        <v>2390097</v>
      </c>
      <c r="G898" s="32">
        <v>26</v>
      </c>
      <c r="H898" s="27">
        <v>2286153</v>
      </c>
      <c r="I898" s="27">
        <v>82417.137931034478</v>
      </c>
      <c r="J898" s="27">
        <v>87928.961538461532</v>
      </c>
      <c r="K898" s="29">
        <v>6.6877153778856904E-2</v>
      </c>
    </row>
    <row r="899" spans="1:11" x14ac:dyDescent="0.25">
      <c r="A899" s="5" t="s">
        <v>6</v>
      </c>
      <c r="B899" s="5" t="s">
        <v>4673</v>
      </c>
      <c r="C899" s="1" t="s">
        <v>4674</v>
      </c>
      <c r="E899" s="32">
        <v>8</v>
      </c>
      <c r="F899" s="27">
        <v>946064</v>
      </c>
      <c r="G899" s="32">
        <v>7</v>
      </c>
      <c r="H899" s="27">
        <v>875111</v>
      </c>
      <c r="I899" s="27">
        <v>118258</v>
      </c>
      <c r="J899" s="27">
        <v>125015.85714285714</v>
      </c>
      <c r="K899" s="29">
        <v>5.714503156536678E-2</v>
      </c>
    </row>
    <row r="900" spans="1:11" x14ac:dyDescent="0.25">
      <c r="A900" s="5" t="s">
        <v>6</v>
      </c>
      <c r="B900" s="5" t="s">
        <v>4676</v>
      </c>
      <c r="C900" s="1" t="s">
        <v>4677</v>
      </c>
      <c r="E900" s="32">
        <v>40</v>
      </c>
      <c r="F900" s="27">
        <v>215456</v>
      </c>
      <c r="G900" s="32">
        <v>30</v>
      </c>
      <c r="H900" s="27">
        <v>174702</v>
      </c>
      <c r="I900" s="27">
        <v>5386.4</v>
      </c>
      <c r="J900" s="27">
        <v>5823.4</v>
      </c>
      <c r="K900" s="29">
        <v>8.1130253972968969E-2</v>
      </c>
    </row>
    <row r="901" spans="1:11" x14ac:dyDescent="0.25">
      <c r="A901" s="5" t="s">
        <v>6</v>
      </c>
      <c r="B901" s="5" t="s">
        <v>4685</v>
      </c>
      <c r="C901" s="1" t="s">
        <v>3862</v>
      </c>
      <c r="D901" s="5" t="s">
        <v>17504</v>
      </c>
      <c r="E901" s="32">
        <v>622</v>
      </c>
      <c r="F901" s="27">
        <v>2240954</v>
      </c>
      <c r="G901" s="32">
        <v>550</v>
      </c>
      <c r="H901" s="27">
        <v>2117190</v>
      </c>
      <c r="I901" s="27">
        <v>3602.8199356913183</v>
      </c>
      <c r="J901" s="27">
        <v>3849.4363636363637</v>
      </c>
      <c r="K901" s="29">
        <v>6.8450944634213043E-2</v>
      </c>
    </row>
    <row r="902" spans="1:11" x14ac:dyDescent="0.25">
      <c r="A902" s="5" t="s">
        <v>6</v>
      </c>
      <c r="B902" s="5" t="s">
        <v>4686</v>
      </c>
      <c r="C902" s="1" t="s">
        <v>4687</v>
      </c>
      <c r="D902" s="5" t="s">
        <v>17613</v>
      </c>
      <c r="E902" s="32">
        <v>42</v>
      </c>
      <c r="F902" s="27">
        <v>49206</v>
      </c>
      <c r="G902" s="32">
        <v>77</v>
      </c>
      <c r="H902" s="27">
        <v>97920</v>
      </c>
      <c r="I902" s="27">
        <v>1171.5714285714287</v>
      </c>
      <c r="J902" s="27">
        <v>1271.6883116883116</v>
      </c>
      <c r="K902" s="29">
        <v>8.5455210561904721E-2</v>
      </c>
    </row>
    <row r="903" spans="1:11" x14ac:dyDescent="0.25">
      <c r="A903" s="5" t="s">
        <v>6</v>
      </c>
      <c r="B903" s="5" t="s">
        <v>4689</v>
      </c>
      <c r="C903" s="1" t="s">
        <v>4690</v>
      </c>
      <c r="E903" s="32">
        <v>1</v>
      </c>
      <c r="F903" s="27">
        <v>28060</v>
      </c>
      <c r="G903" s="32">
        <v>1</v>
      </c>
      <c r="H903" s="27">
        <v>30305</v>
      </c>
      <c r="I903" s="27">
        <v>28060</v>
      </c>
      <c r="J903" s="27">
        <v>30305</v>
      </c>
      <c r="K903" s="29">
        <v>8.0007127583749116E-2</v>
      </c>
    </row>
    <row r="904" spans="1:11" x14ac:dyDescent="0.25">
      <c r="A904" s="5" t="s">
        <v>6</v>
      </c>
      <c r="B904" s="5" t="s">
        <v>4695</v>
      </c>
      <c r="C904" s="1" t="s">
        <v>3874</v>
      </c>
      <c r="E904" s="32">
        <v>32</v>
      </c>
      <c r="F904" s="27">
        <v>1409476</v>
      </c>
      <c r="I904" s="27">
        <v>44046.125</v>
      </c>
    </row>
    <row r="905" spans="1:11" x14ac:dyDescent="0.25">
      <c r="A905" s="5" t="s">
        <v>6</v>
      </c>
      <c r="B905" s="5" t="s">
        <v>4699</v>
      </c>
      <c r="C905" s="1" t="s">
        <v>4700</v>
      </c>
      <c r="E905" s="32">
        <v>2</v>
      </c>
      <c r="F905" s="27">
        <v>59572</v>
      </c>
      <c r="I905" s="27">
        <v>29786</v>
      </c>
    </row>
    <row r="906" spans="1:11" x14ac:dyDescent="0.25">
      <c r="A906" s="5" t="s">
        <v>6</v>
      </c>
      <c r="B906" s="5" t="s">
        <v>4704</v>
      </c>
      <c r="C906" s="1" t="s">
        <v>3880</v>
      </c>
      <c r="E906" s="32">
        <v>25</v>
      </c>
      <c r="F906" s="27">
        <v>264462</v>
      </c>
      <c r="G906" s="32">
        <v>30</v>
      </c>
      <c r="H906" s="27">
        <v>339188</v>
      </c>
      <c r="I906" s="27">
        <v>10578.48</v>
      </c>
      <c r="J906" s="27">
        <v>11306.266666666666</v>
      </c>
      <c r="K906" s="29">
        <v>6.8798794029640065E-2</v>
      </c>
    </row>
    <row r="907" spans="1:11" x14ac:dyDescent="0.25">
      <c r="A907" s="5" t="s">
        <v>6</v>
      </c>
      <c r="B907" s="5" t="s">
        <v>4705</v>
      </c>
      <c r="C907" s="1" t="s">
        <v>3883</v>
      </c>
      <c r="E907" s="32">
        <v>0</v>
      </c>
      <c r="F907" s="27">
        <v>0</v>
      </c>
      <c r="G907" s="32">
        <v>8</v>
      </c>
      <c r="H907" s="27">
        <v>57718</v>
      </c>
      <c r="J907" s="27">
        <v>7214.75</v>
      </c>
    </row>
    <row r="908" spans="1:11" x14ac:dyDescent="0.25">
      <c r="A908" s="5" t="s">
        <v>6</v>
      </c>
      <c r="B908" s="5" t="s">
        <v>4706</v>
      </c>
      <c r="C908" s="1" t="s">
        <v>3885</v>
      </c>
      <c r="E908" s="32">
        <v>9</v>
      </c>
      <c r="F908" s="27">
        <v>75702</v>
      </c>
      <c r="G908" s="32">
        <v>8</v>
      </c>
      <c r="H908" s="27">
        <v>75320</v>
      </c>
      <c r="I908" s="27">
        <v>8411.3333333333339</v>
      </c>
      <c r="J908" s="27">
        <v>9415</v>
      </c>
      <c r="K908" s="29">
        <v>0.11932313545216763</v>
      </c>
    </row>
    <row r="909" spans="1:11" x14ac:dyDescent="0.25">
      <c r="A909" s="5" t="s">
        <v>6</v>
      </c>
      <c r="B909" s="5" t="s">
        <v>4707</v>
      </c>
      <c r="C909" s="1" t="s">
        <v>3887</v>
      </c>
      <c r="E909" s="32">
        <v>4</v>
      </c>
      <c r="F909" s="27">
        <v>42905</v>
      </c>
      <c r="I909" s="27">
        <v>10726.25</v>
      </c>
    </row>
    <row r="910" spans="1:11" x14ac:dyDescent="0.25">
      <c r="A910" s="5" t="s">
        <v>6</v>
      </c>
      <c r="B910" s="5" t="s">
        <v>4708</v>
      </c>
      <c r="C910" s="1" t="s">
        <v>4709</v>
      </c>
      <c r="E910" s="32">
        <v>5</v>
      </c>
      <c r="F910" s="27">
        <v>85406</v>
      </c>
      <c r="G910" s="32">
        <v>3</v>
      </c>
      <c r="H910" s="27">
        <v>54844</v>
      </c>
      <c r="I910" s="27">
        <v>17081.2</v>
      </c>
      <c r="J910" s="27">
        <v>18281.333333333332</v>
      </c>
      <c r="K910" s="29">
        <v>7.0260481308885292E-2</v>
      </c>
    </row>
    <row r="911" spans="1:11" x14ac:dyDescent="0.25">
      <c r="A911" s="5" t="s">
        <v>6</v>
      </c>
      <c r="B911" s="5" t="s">
        <v>4715</v>
      </c>
      <c r="C911" s="1" t="s">
        <v>3893</v>
      </c>
      <c r="E911" s="32">
        <v>0</v>
      </c>
      <c r="F911" s="27">
        <v>0</v>
      </c>
      <c r="G911" s="32">
        <v>2</v>
      </c>
      <c r="H911" s="27">
        <v>38832</v>
      </c>
      <c r="J911" s="27">
        <v>19416</v>
      </c>
    </row>
    <row r="912" spans="1:11" x14ac:dyDescent="0.25">
      <c r="A912" s="5" t="s">
        <v>6</v>
      </c>
      <c r="B912" s="5" t="s">
        <v>4716</v>
      </c>
      <c r="C912" s="1" t="s">
        <v>3896</v>
      </c>
      <c r="E912" s="32">
        <v>1</v>
      </c>
      <c r="F912" s="27">
        <v>48253</v>
      </c>
      <c r="G912" s="32">
        <v>3</v>
      </c>
      <c r="H912" s="27">
        <v>152479</v>
      </c>
      <c r="I912" s="27">
        <v>48253</v>
      </c>
      <c r="J912" s="27">
        <v>50826.333333333336</v>
      </c>
      <c r="K912" s="29">
        <v>5.333001747732443E-2</v>
      </c>
    </row>
    <row r="913" spans="1:11" x14ac:dyDescent="0.25">
      <c r="A913" s="5" t="s">
        <v>6</v>
      </c>
      <c r="B913" s="5" t="s">
        <v>4719</v>
      </c>
      <c r="C913" s="1" t="s">
        <v>4720</v>
      </c>
      <c r="E913" s="32">
        <v>2</v>
      </c>
      <c r="F913" s="27">
        <v>72924</v>
      </c>
      <c r="I913" s="27">
        <v>36462</v>
      </c>
    </row>
    <row r="914" spans="1:11" x14ac:dyDescent="0.25">
      <c r="A914" s="5" t="s">
        <v>6</v>
      </c>
      <c r="B914" s="5" t="s">
        <v>4722</v>
      </c>
      <c r="C914" s="1" t="s">
        <v>3899</v>
      </c>
      <c r="E914" s="32">
        <v>3</v>
      </c>
      <c r="F914" s="27">
        <v>106521</v>
      </c>
      <c r="I914" s="27">
        <v>35507</v>
      </c>
    </row>
    <row r="915" spans="1:11" x14ac:dyDescent="0.25">
      <c r="A915" s="5" t="s">
        <v>6</v>
      </c>
      <c r="B915" s="5" t="s">
        <v>4723</v>
      </c>
      <c r="C915" s="1" t="s">
        <v>4724</v>
      </c>
      <c r="E915" s="32">
        <v>5</v>
      </c>
      <c r="F915" s="27">
        <v>190304</v>
      </c>
      <c r="G915" s="32">
        <v>4</v>
      </c>
      <c r="H915" s="27">
        <v>166656</v>
      </c>
      <c r="I915" s="27">
        <v>38060.800000000003</v>
      </c>
      <c r="J915" s="27">
        <v>41664</v>
      </c>
      <c r="K915" s="29">
        <v>9.4669581301496469E-2</v>
      </c>
    </row>
    <row r="916" spans="1:11" x14ac:dyDescent="0.25">
      <c r="A916" s="5" t="s">
        <v>6</v>
      </c>
      <c r="B916" s="5" t="s">
        <v>4726</v>
      </c>
      <c r="C916" s="1" t="s">
        <v>4727</v>
      </c>
      <c r="E916" s="32">
        <v>13</v>
      </c>
      <c r="F916" s="27">
        <v>461591</v>
      </c>
      <c r="G916" s="32">
        <v>16</v>
      </c>
      <c r="H916" s="27">
        <v>590840</v>
      </c>
      <c r="I916" s="27">
        <v>35507</v>
      </c>
      <c r="J916" s="27">
        <v>36927.5</v>
      </c>
      <c r="K916" s="29">
        <v>4.0006195961359729E-2</v>
      </c>
    </row>
    <row r="917" spans="1:11" x14ac:dyDescent="0.25">
      <c r="A917" s="5" t="s">
        <v>6</v>
      </c>
      <c r="B917" s="5" t="s">
        <v>4729</v>
      </c>
      <c r="C917" s="1" t="s">
        <v>3902</v>
      </c>
      <c r="E917" s="32">
        <v>9</v>
      </c>
      <c r="F917" s="27">
        <v>347475</v>
      </c>
      <c r="I917" s="27">
        <v>38608.333333333336</v>
      </c>
    </row>
    <row r="918" spans="1:11" x14ac:dyDescent="0.25">
      <c r="A918" s="5" t="s">
        <v>6</v>
      </c>
      <c r="B918" s="5" t="s">
        <v>4730</v>
      </c>
      <c r="C918" s="1" t="s">
        <v>3905</v>
      </c>
      <c r="E918" s="32">
        <v>11</v>
      </c>
      <c r="F918" s="27">
        <v>436205</v>
      </c>
      <c r="G918" s="32">
        <v>4</v>
      </c>
      <c r="H918" s="27">
        <v>171308</v>
      </c>
      <c r="I918" s="27">
        <v>39655</v>
      </c>
      <c r="J918" s="27">
        <v>42827</v>
      </c>
      <c r="K918" s="29">
        <v>7.9989912999621743E-2</v>
      </c>
    </row>
    <row r="919" spans="1:11" x14ac:dyDescent="0.25">
      <c r="A919" s="5" t="s">
        <v>6</v>
      </c>
      <c r="B919" s="5" t="s">
        <v>4737</v>
      </c>
      <c r="C919" s="1" t="s">
        <v>4738</v>
      </c>
      <c r="E919" s="32">
        <v>20</v>
      </c>
      <c r="F919" s="27">
        <v>197520</v>
      </c>
      <c r="G919" s="32">
        <v>25</v>
      </c>
      <c r="H919" s="27">
        <v>262920</v>
      </c>
      <c r="I919" s="27">
        <v>9876</v>
      </c>
      <c r="J919" s="27">
        <v>10516.8</v>
      </c>
      <c r="K919" s="29">
        <v>6.4884568651275745E-2</v>
      </c>
    </row>
    <row r="920" spans="1:11" x14ac:dyDescent="0.25">
      <c r="A920" s="5" t="s">
        <v>6</v>
      </c>
      <c r="B920" s="5" t="s">
        <v>4752</v>
      </c>
      <c r="C920" s="1" t="s">
        <v>4753</v>
      </c>
      <c r="E920" s="32">
        <v>36</v>
      </c>
      <c r="F920" s="27">
        <v>76148</v>
      </c>
      <c r="G920" s="32">
        <v>54</v>
      </c>
      <c r="H920" s="27">
        <v>122076</v>
      </c>
      <c r="I920" s="27">
        <v>2115.2222222222222</v>
      </c>
      <c r="J920" s="27">
        <v>2260.6666666666665</v>
      </c>
      <c r="K920" s="29">
        <v>6.8760834165046969E-2</v>
      </c>
    </row>
    <row r="921" spans="1:11" x14ac:dyDescent="0.25">
      <c r="A921" s="5" t="s">
        <v>6</v>
      </c>
      <c r="B921" s="5" t="s">
        <v>4758</v>
      </c>
      <c r="C921" s="1" t="s">
        <v>4385</v>
      </c>
      <c r="E921" s="32">
        <v>5</v>
      </c>
      <c r="F921" s="27">
        <v>3750</v>
      </c>
      <c r="I921" s="27">
        <v>750</v>
      </c>
    </row>
    <row r="922" spans="1:11" x14ac:dyDescent="0.25">
      <c r="A922" s="5" t="s">
        <v>6</v>
      </c>
      <c r="B922" s="5" t="s">
        <v>4759</v>
      </c>
      <c r="C922" s="1" t="s">
        <v>4760</v>
      </c>
      <c r="E922" s="32">
        <v>4</v>
      </c>
      <c r="F922" s="27">
        <v>24568</v>
      </c>
      <c r="I922" s="27">
        <v>6142</v>
      </c>
    </row>
    <row r="923" spans="1:11" x14ac:dyDescent="0.25">
      <c r="A923" s="5" t="s">
        <v>6</v>
      </c>
      <c r="B923" s="5" t="s">
        <v>4762</v>
      </c>
      <c r="C923" s="1" t="s">
        <v>4763</v>
      </c>
      <c r="E923" s="32">
        <v>1</v>
      </c>
      <c r="F923" s="27">
        <v>6216</v>
      </c>
      <c r="I923" s="27">
        <v>6216</v>
      </c>
    </row>
    <row r="924" spans="1:11" x14ac:dyDescent="0.25">
      <c r="A924" s="5" t="s">
        <v>6</v>
      </c>
      <c r="B924" s="5" t="s">
        <v>4765</v>
      </c>
      <c r="C924" s="1" t="s">
        <v>4766</v>
      </c>
      <c r="E924" s="32">
        <v>3</v>
      </c>
      <c r="F924" s="27">
        <v>14706</v>
      </c>
      <c r="I924" s="27">
        <v>4902</v>
      </c>
    </row>
    <row r="925" spans="1:11" x14ac:dyDescent="0.25">
      <c r="A925" s="5" t="s">
        <v>6</v>
      </c>
      <c r="B925" s="5" t="s">
        <v>4777</v>
      </c>
      <c r="C925" s="1" t="s">
        <v>4778</v>
      </c>
      <c r="E925" s="32">
        <v>11</v>
      </c>
      <c r="F925" s="27">
        <v>57352</v>
      </c>
      <c r="G925" s="32">
        <v>14</v>
      </c>
      <c r="H925" s="27">
        <v>79559</v>
      </c>
      <c r="I925" s="27">
        <v>5213.818181818182</v>
      </c>
      <c r="J925" s="27">
        <v>5682.7857142857147</v>
      </c>
      <c r="K925" s="29">
        <v>8.9947043819620237E-2</v>
      </c>
    </row>
    <row r="926" spans="1:11" x14ac:dyDescent="0.25">
      <c r="A926" s="5" t="s">
        <v>6</v>
      </c>
      <c r="B926" s="5" t="s">
        <v>4780</v>
      </c>
      <c r="C926" s="1" t="s">
        <v>4781</v>
      </c>
      <c r="D926" s="5" t="s">
        <v>17614</v>
      </c>
      <c r="E926" s="32">
        <v>38</v>
      </c>
      <c r="F926" s="27">
        <v>73886</v>
      </c>
      <c r="G926" s="32">
        <v>30</v>
      </c>
      <c r="H926" s="27">
        <v>61756</v>
      </c>
      <c r="I926" s="27">
        <v>1944.3684210526317</v>
      </c>
      <c r="J926" s="27">
        <v>2058.5333333333333</v>
      </c>
      <c r="K926" s="29">
        <v>5.8715679109258338E-2</v>
      </c>
    </row>
    <row r="927" spans="1:11" x14ac:dyDescent="0.25">
      <c r="A927" s="5" t="s">
        <v>6</v>
      </c>
      <c r="B927" s="5" t="s">
        <v>4783</v>
      </c>
      <c r="C927" s="1" t="s">
        <v>4394</v>
      </c>
      <c r="E927" s="32">
        <v>0</v>
      </c>
      <c r="F927" s="27">
        <v>0</v>
      </c>
      <c r="G927" s="32">
        <v>90</v>
      </c>
      <c r="H927" s="27">
        <v>34122</v>
      </c>
      <c r="J927" s="27">
        <v>379.13333333333333</v>
      </c>
    </row>
    <row r="928" spans="1:11" x14ac:dyDescent="0.25">
      <c r="A928" s="5" t="s">
        <v>6</v>
      </c>
      <c r="B928" s="5" t="s">
        <v>4785</v>
      </c>
      <c r="C928" s="1" t="s">
        <v>4786</v>
      </c>
      <c r="E928" s="32">
        <v>78</v>
      </c>
      <c r="F928" s="27">
        <v>156969</v>
      </c>
      <c r="G928" s="32">
        <v>102</v>
      </c>
      <c r="H928" s="27">
        <v>218502</v>
      </c>
      <c r="I928" s="27">
        <v>2012.4230769230769</v>
      </c>
      <c r="J928" s="27">
        <v>2142.1764705882351</v>
      </c>
      <c r="K928" s="29">
        <v>6.4476200433731132E-2</v>
      </c>
    </row>
    <row r="929" spans="1:11" x14ac:dyDescent="0.25">
      <c r="A929" s="5" t="s">
        <v>6</v>
      </c>
      <c r="B929" s="5" t="s">
        <v>4787</v>
      </c>
      <c r="C929" s="1" t="s">
        <v>4426</v>
      </c>
      <c r="E929" s="32">
        <v>1</v>
      </c>
      <c r="F929" s="27">
        <v>1676</v>
      </c>
      <c r="I929" s="27">
        <v>1676</v>
      </c>
    </row>
    <row r="930" spans="1:11" x14ac:dyDescent="0.25">
      <c r="A930" s="5" t="s">
        <v>6</v>
      </c>
      <c r="B930" s="5" t="s">
        <v>4788</v>
      </c>
      <c r="C930" s="1" t="s">
        <v>4789</v>
      </c>
      <c r="E930" s="32">
        <v>1</v>
      </c>
      <c r="F930" s="27">
        <v>4190</v>
      </c>
      <c r="I930" s="27">
        <v>4190</v>
      </c>
    </row>
    <row r="931" spans="1:11" x14ac:dyDescent="0.25">
      <c r="A931" s="5" t="s">
        <v>6</v>
      </c>
      <c r="B931" s="5" t="s">
        <v>4791</v>
      </c>
      <c r="C931" s="1" t="s">
        <v>4792</v>
      </c>
      <c r="E931" s="32">
        <v>54</v>
      </c>
      <c r="F931" s="27">
        <v>153964</v>
      </c>
      <c r="G931" s="32">
        <v>69</v>
      </c>
      <c r="H931" s="27">
        <v>207281</v>
      </c>
      <c r="I931" s="27">
        <v>2851.1851851851852</v>
      </c>
      <c r="J931" s="27">
        <v>3004.072463768116</v>
      </c>
      <c r="K931" s="29">
        <v>5.3622360054806723E-2</v>
      </c>
    </row>
    <row r="932" spans="1:11" x14ac:dyDescent="0.25">
      <c r="A932" s="5" t="s">
        <v>6</v>
      </c>
      <c r="B932" s="5" t="s">
        <v>4800</v>
      </c>
      <c r="C932" s="1" t="s">
        <v>4801</v>
      </c>
      <c r="E932" s="32">
        <v>17</v>
      </c>
      <c r="F932" s="27">
        <v>1458350</v>
      </c>
      <c r="G932" s="32">
        <v>22</v>
      </c>
      <c r="H932" s="27">
        <v>2055975</v>
      </c>
      <c r="I932" s="27">
        <v>85785.294117647063</v>
      </c>
      <c r="J932" s="27">
        <v>93453.409090909088</v>
      </c>
      <c r="K932" s="29">
        <v>8.9387290119281662E-2</v>
      </c>
    </row>
    <row r="933" spans="1:11" x14ac:dyDescent="0.25">
      <c r="A933" s="5" t="s">
        <v>6</v>
      </c>
      <c r="B933" s="5" t="s">
        <v>4802</v>
      </c>
      <c r="C933" s="1" t="s">
        <v>3914</v>
      </c>
      <c r="E933" s="32">
        <v>0</v>
      </c>
      <c r="F933" s="27">
        <v>0</v>
      </c>
      <c r="G933" s="32">
        <v>1</v>
      </c>
      <c r="H933" s="27">
        <v>4078</v>
      </c>
      <c r="J933" s="27">
        <v>4078</v>
      </c>
    </row>
    <row r="934" spans="1:11" x14ac:dyDescent="0.25">
      <c r="A934" s="5" t="s">
        <v>6</v>
      </c>
      <c r="B934" s="5" t="s">
        <v>4803</v>
      </c>
      <c r="C934" s="1" t="s">
        <v>3917</v>
      </c>
      <c r="E934" s="32">
        <v>4</v>
      </c>
      <c r="F934" s="27">
        <v>11029</v>
      </c>
      <c r="G934" s="32">
        <v>4</v>
      </c>
      <c r="H934" s="27">
        <v>12152</v>
      </c>
      <c r="I934" s="27">
        <v>2757.25</v>
      </c>
      <c r="J934" s="27">
        <v>3038</v>
      </c>
      <c r="K934" s="29">
        <v>0.10182246803880678</v>
      </c>
    </row>
    <row r="935" spans="1:11" x14ac:dyDescent="0.25">
      <c r="A935" s="5" t="s">
        <v>6</v>
      </c>
      <c r="B935" s="5" t="s">
        <v>4804</v>
      </c>
      <c r="C935" s="1" t="s">
        <v>3920</v>
      </c>
      <c r="E935" s="32">
        <v>11</v>
      </c>
      <c r="F935" s="27">
        <v>50013</v>
      </c>
      <c r="G935" s="32">
        <v>4</v>
      </c>
      <c r="H935" s="27">
        <v>19704</v>
      </c>
      <c r="I935" s="27">
        <v>4546.636363636364</v>
      </c>
      <c r="J935" s="27">
        <v>4926</v>
      </c>
      <c r="K935" s="29">
        <v>8.3438306040429414E-2</v>
      </c>
    </row>
    <row r="936" spans="1:11" x14ac:dyDescent="0.25">
      <c r="A936" s="5" t="s">
        <v>6</v>
      </c>
      <c r="B936" s="5" t="s">
        <v>4805</v>
      </c>
      <c r="C936" s="1" t="s">
        <v>3922</v>
      </c>
      <c r="E936" s="32">
        <v>17</v>
      </c>
      <c r="F936" s="27">
        <v>71307</v>
      </c>
      <c r="G936" s="32">
        <v>21</v>
      </c>
      <c r="H936" s="27">
        <v>94434</v>
      </c>
      <c r="I936" s="27">
        <v>4194.5294117647063</v>
      </c>
      <c r="J936" s="27">
        <v>4496.8571428571431</v>
      </c>
      <c r="K936" s="29">
        <v>7.2076674499998952E-2</v>
      </c>
    </row>
    <row r="937" spans="1:11" x14ac:dyDescent="0.25">
      <c r="A937" s="5" t="s">
        <v>6</v>
      </c>
      <c r="B937" s="5" t="s">
        <v>4806</v>
      </c>
      <c r="C937" s="1" t="s">
        <v>3924</v>
      </c>
      <c r="E937" s="32">
        <v>28</v>
      </c>
      <c r="F937" s="27">
        <v>159744</v>
      </c>
      <c r="G937" s="32">
        <v>28</v>
      </c>
      <c r="H937" s="27">
        <v>170312</v>
      </c>
      <c r="I937" s="27">
        <v>5705.1428571428569</v>
      </c>
      <c r="J937" s="27">
        <v>6082.5714285714284</v>
      </c>
      <c r="K937" s="29">
        <v>6.6155849358974381E-2</v>
      </c>
    </row>
    <row r="938" spans="1:11" x14ac:dyDescent="0.25">
      <c r="A938" s="5" t="s">
        <v>6</v>
      </c>
      <c r="B938" s="5" t="s">
        <v>4807</v>
      </c>
      <c r="C938" s="1" t="s">
        <v>4808</v>
      </c>
      <c r="E938" s="32">
        <v>1</v>
      </c>
      <c r="F938" s="27">
        <v>2207</v>
      </c>
      <c r="I938" s="27">
        <v>2207</v>
      </c>
    </row>
    <row r="939" spans="1:11" x14ac:dyDescent="0.25">
      <c r="A939" s="5" t="s">
        <v>6</v>
      </c>
      <c r="B939" s="5" t="s">
        <v>4810</v>
      </c>
      <c r="C939" s="1" t="s">
        <v>3928</v>
      </c>
      <c r="E939" s="32">
        <v>5</v>
      </c>
      <c r="F939" s="27">
        <v>18855</v>
      </c>
      <c r="I939" s="27">
        <v>3771</v>
      </c>
    </row>
    <row r="940" spans="1:11" x14ac:dyDescent="0.25">
      <c r="A940" s="5" t="s">
        <v>6</v>
      </c>
      <c r="B940" s="5" t="s">
        <v>4811</v>
      </c>
      <c r="C940" s="1" t="s">
        <v>3930</v>
      </c>
      <c r="E940" s="32">
        <v>7</v>
      </c>
      <c r="F940" s="27">
        <v>32569</v>
      </c>
      <c r="G940" s="32">
        <v>7</v>
      </c>
      <c r="H940" s="27">
        <v>34070</v>
      </c>
      <c r="I940" s="27">
        <v>4652.7142857142853</v>
      </c>
      <c r="J940" s="27">
        <v>4867.1428571428569</v>
      </c>
      <c r="K940" s="29">
        <v>4.6086769627559983E-2</v>
      </c>
    </row>
    <row r="941" spans="1:11" x14ac:dyDescent="0.25">
      <c r="A941" s="5" t="s">
        <v>6</v>
      </c>
      <c r="B941" s="5" t="s">
        <v>4812</v>
      </c>
      <c r="C941" s="1" t="s">
        <v>3934</v>
      </c>
      <c r="E941" s="32">
        <v>0</v>
      </c>
      <c r="F941" s="27">
        <v>0</v>
      </c>
      <c r="G941" s="32">
        <v>1</v>
      </c>
      <c r="H941" s="27">
        <v>3986</v>
      </c>
      <c r="J941" s="27">
        <v>3986</v>
      </c>
    </row>
    <row r="942" spans="1:11" x14ac:dyDescent="0.25">
      <c r="A942" s="5" t="s">
        <v>6</v>
      </c>
      <c r="B942" s="5" t="s">
        <v>4814</v>
      </c>
      <c r="C942" s="1" t="s">
        <v>3836</v>
      </c>
      <c r="E942" s="32">
        <v>1</v>
      </c>
      <c r="F942" s="27">
        <v>3657</v>
      </c>
      <c r="I942" s="27">
        <v>3657</v>
      </c>
    </row>
    <row r="943" spans="1:11" x14ac:dyDescent="0.25">
      <c r="A943" s="5" t="s">
        <v>6</v>
      </c>
      <c r="B943" s="5" t="s">
        <v>4815</v>
      </c>
      <c r="C943" s="1" t="s">
        <v>3839</v>
      </c>
      <c r="E943" s="32">
        <v>2</v>
      </c>
      <c r="F943" s="27">
        <v>8058</v>
      </c>
      <c r="G943" s="32">
        <v>6</v>
      </c>
      <c r="H943" s="27">
        <v>25784</v>
      </c>
      <c r="I943" s="27">
        <v>4029</v>
      </c>
      <c r="J943" s="27">
        <v>4297.333333333333</v>
      </c>
      <c r="K943" s="29">
        <v>6.6600479854388939E-2</v>
      </c>
    </row>
    <row r="944" spans="1:11" x14ac:dyDescent="0.25">
      <c r="A944" s="5" t="s">
        <v>6</v>
      </c>
      <c r="B944" s="5" t="s">
        <v>4823</v>
      </c>
      <c r="C944" s="1" t="s">
        <v>3472</v>
      </c>
      <c r="E944" s="32">
        <v>5</v>
      </c>
      <c r="F944" s="27">
        <v>118530</v>
      </c>
      <c r="I944" s="27">
        <v>23706</v>
      </c>
    </row>
    <row r="945" spans="1:11" x14ac:dyDescent="0.25">
      <c r="A945" s="5" t="s">
        <v>6</v>
      </c>
      <c r="B945" s="5" t="s">
        <v>4825</v>
      </c>
      <c r="C945" s="1" t="s">
        <v>3478</v>
      </c>
      <c r="E945" s="32">
        <v>15</v>
      </c>
      <c r="F945" s="27">
        <v>233187</v>
      </c>
      <c r="I945" s="27">
        <v>15545.8</v>
      </c>
    </row>
    <row r="946" spans="1:11" x14ac:dyDescent="0.25">
      <c r="A946" s="5" t="s">
        <v>6</v>
      </c>
      <c r="B946" s="5" t="s">
        <v>4827</v>
      </c>
      <c r="C946" s="1" t="s">
        <v>3484</v>
      </c>
      <c r="E946" s="32">
        <v>3</v>
      </c>
      <c r="F946" s="27">
        <v>101075</v>
      </c>
      <c r="I946" s="27">
        <v>33691.666666666664</v>
      </c>
    </row>
    <row r="947" spans="1:11" x14ac:dyDescent="0.25">
      <c r="A947" s="5" t="s">
        <v>6</v>
      </c>
      <c r="B947" s="5" t="s">
        <v>4829</v>
      </c>
      <c r="C947" s="1" t="s">
        <v>3490</v>
      </c>
      <c r="E947" s="32">
        <v>5</v>
      </c>
      <c r="F947" s="27">
        <v>75540</v>
      </c>
      <c r="G947" s="32">
        <v>14</v>
      </c>
      <c r="H947" s="27">
        <v>226020</v>
      </c>
      <c r="I947" s="27">
        <v>15108</v>
      </c>
      <c r="J947" s="27">
        <v>16144.285714285714</v>
      </c>
      <c r="K947" s="29">
        <v>6.8591852944513754E-2</v>
      </c>
    </row>
    <row r="948" spans="1:11" x14ac:dyDescent="0.25">
      <c r="A948" s="5" t="s">
        <v>6</v>
      </c>
      <c r="B948" s="5" t="s">
        <v>4830</v>
      </c>
      <c r="C948" s="1" t="s">
        <v>3493</v>
      </c>
      <c r="E948" s="32">
        <v>3</v>
      </c>
      <c r="F948" s="27">
        <v>30864</v>
      </c>
      <c r="G948" s="32">
        <v>3</v>
      </c>
      <c r="H948" s="27">
        <v>33333</v>
      </c>
      <c r="I948" s="27">
        <v>10288</v>
      </c>
      <c r="J948" s="27">
        <v>11111</v>
      </c>
      <c r="K948" s="29">
        <v>7.9996111975116635E-2</v>
      </c>
    </row>
    <row r="949" spans="1:11" x14ac:dyDescent="0.25">
      <c r="A949" s="5" t="s">
        <v>6</v>
      </c>
      <c r="B949" s="5" t="s">
        <v>4843</v>
      </c>
      <c r="C949" s="1" t="s">
        <v>4844</v>
      </c>
      <c r="E949" s="32">
        <v>0</v>
      </c>
      <c r="F949" s="27">
        <v>0</v>
      </c>
      <c r="G949" s="32">
        <v>1</v>
      </c>
      <c r="H949" s="27">
        <v>2310</v>
      </c>
      <c r="J949" s="27">
        <v>2310</v>
      </c>
    </row>
    <row r="950" spans="1:11" x14ac:dyDescent="0.25">
      <c r="A950" s="5" t="s">
        <v>6</v>
      </c>
      <c r="B950" s="5" t="s">
        <v>4849</v>
      </c>
      <c r="C950" s="1" t="s">
        <v>245</v>
      </c>
      <c r="D950" s="5" t="s">
        <v>17197</v>
      </c>
      <c r="E950" s="32">
        <v>321</v>
      </c>
      <c r="F950" s="27">
        <v>155271</v>
      </c>
      <c r="G950" s="32">
        <v>697</v>
      </c>
      <c r="H950" s="27">
        <v>362780</v>
      </c>
      <c r="I950" s="27">
        <v>483.71028037383178</v>
      </c>
      <c r="J950" s="27">
        <v>520.48780487804879</v>
      </c>
      <c r="K950" s="29">
        <v>7.6032133275715758E-2</v>
      </c>
    </row>
    <row r="951" spans="1:11" x14ac:dyDescent="0.25">
      <c r="A951" s="5" t="s">
        <v>6</v>
      </c>
      <c r="B951" s="5" t="s">
        <v>4850</v>
      </c>
      <c r="C951" s="1" t="s">
        <v>248</v>
      </c>
      <c r="D951" s="5" t="s">
        <v>17198</v>
      </c>
      <c r="E951" s="32">
        <v>425</v>
      </c>
      <c r="F951" s="27">
        <v>142205</v>
      </c>
      <c r="G951" s="32">
        <v>697</v>
      </c>
      <c r="H951" s="27">
        <v>250642</v>
      </c>
      <c r="I951" s="27">
        <v>334.6</v>
      </c>
      <c r="J951" s="27">
        <v>359.60114777618367</v>
      </c>
      <c r="K951" s="29">
        <v>7.4719509193615183E-2</v>
      </c>
    </row>
    <row r="952" spans="1:11" x14ac:dyDescent="0.25">
      <c r="A952" s="5" t="s">
        <v>6</v>
      </c>
      <c r="B952" s="5" t="s">
        <v>4851</v>
      </c>
      <c r="C952" s="1" t="s">
        <v>4852</v>
      </c>
      <c r="E952" s="32">
        <v>2</v>
      </c>
      <c r="F952" s="27">
        <v>14444</v>
      </c>
      <c r="G952" s="32">
        <v>4</v>
      </c>
      <c r="H952" s="27">
        <v>30044</v>
      </c>
      <c r="I952" s="27">
        <v>7222</v>
      </c>
      <c r="J952" s="27">
        <v>7511</v>
      </c>
      <c r="K952" s="29">
        <v>4.0016615895873721E-2</v>
      </c>
    </row>
    <row r="953" spans="1:11" x14ac:dyDescent="0.25">
      <c r="A953" s="5" t="s">
        <v>6</v>
      </c>
      <c r="B953" s="5" t="s">
        <v>4854</v>
      </c>
      <c r="C953" s="1" t="s">
        <v>4855</v>
      </c>
      <c r="E953" s="32">
        <v>0</v>
      </c>
      <c r="F953" s="27">
        <v>0</v>
      </c>
      <c r="G953" s="32">
        <v>4</v>
      </c>
      <c r="H953" s="27">
        <v>30999</v>
      </c>
      <c r="J953" s="27">
        <v>7749.75</v>
      </c>
    </row>
    <row r="954" spans="1:11" x14ac:dyDescent="0.25">
      <c r="A954" s="5" t="s">
        <v>6</v>
      </c>
      <c r="B954" s="5" t="s">
        <v>4857</v>
      </c>
      <c r="C954" s="1" t="s">
        <v>4858</v>
      </c>
      <c r="E954" s="32">
        <v>1</v>
      </c>
      <c r="F954" s="27">
        <v>11443</v>
      </c>
      <c r="I954" s="27">
        <v>11443</v>
      </c>
    </row>
    <row r="955" spans="1:11" x14ac:dyDescent="0.25">
      <c r="A955" s="5" t="s">
        <v>6</v>
      </c>
      <c r="B955" s="5" t="s">
        <v>4869</v>
      </c>
      <c r="C955" s="1" t="s">
        <v>4870</v>
      </c>
      <c r="E955" s="32">
        <v>7</v>
      </c>
      <c r="F955" s="27">
        <v>59320</v>
      </c>
      <c r="G955" s="32">
        <v>13</v>
      </c>
      <c r="H955" s="27">
        <v>123198</v>
      </c>
      <c r="I955" s="27">
        <v>8474.2857142857138</v>
      </c>
      <c r="J955" s="27">
        <v>9476.7692307692305</v>
      </c>
      <c r="K955" s="29">
        <v>0.11829711084599827</v>
      </c>
    </row>
    <row r="956" spans="1:11" x14ac:dyDescent="0.25">
      <c r="A956" s="5" t="s">
        <v>6</v>
      </c>
      <c r="B956" s="5" t="s">
        <v>4872</v>
      </c>
      <c r="C956" s="1" t="s">
        <v>4873</v>
      </c>
      <c r="E956" s="32">
        <v>0</v>
      </c>
      <c r="F956" s="27">
        <v>0</v>
      </c>
      <c r="G956" s="32">
        <v>1</v>
      </c>
      <c r="H956" s="27">
        <v>6038</v>
      </c>
      <c r="J956" s="27">
        <v>6038</v>
      </c>
    </row>
    <row r="957" spans="1:11" x14ac:dyDescent="0.25">
      <c r="A957" s="5" t="s">
        <v>6</v>
      </c>
      <c r="B957" s="5" t="s">
        <v>4875</v>
      </c>
      <c r="C957" s="1" t="s">
        <v>4876</v>
      </c>
      <c r="E957" s="32">
        <v>0</v>
      </c>
      <c r="F957" s="27">
        <v>0</v>
      </c>
      <c r="G957" s="32">
        <v>3</v>
      </c>
      <c r="H957" s="27">
        <v>33822</v>
      </c>
      <c r="J957" s="27">
        <v>11274</v>
      </c>
    </row>
    <row r="958" spans="1:11" x14ac:dyDescent="0.25">
      <c r="A958" s="5" t="s">
        <v>6</v>
      </c>
      <c r="B958" s="5" t="s">
        <v>4878</v>
      </c>
      <c r="C958" s="1" t="s">
        <v>4879</v>
      </c>
      <c r="E958" s="32">
        <v>6</v>
      </c>
      <c r="F958" s="27">
        <v>12290</v>
      </c>
      <c r="I958" s="27">
        <v>2048.3333333333335</v>
      </c>
    </row>
    <row r="959" spans="1:11" x14ac:dyDescent="0.25">
      <c r="A959" s="5" t="s">
        <v>6</v>
      </c>
      <c r="B959" s="5" t="s">
        <v>4881</v>
      </c>
      <c r="C959" s="1" t="s">
        <v>4882</v>
      </c>
      <c r="E959" s="32">
        <v>1</v>
      </c>
      <c r="F959" s="27">
        <v>1983</v>
      </c>
      <c r="G959" s="32">
        <v>7</v>
      </c>
      <c r="H959" s="27">
        <v>14835</v>
      </c>
      <c r="I959" s="27">
        <v>1983</v>
      </c>
      <c r="J959" s="27">
        <v>2119.2857142857142</v>
      </c>
      <c r="K959" s="29">
        <v>6.8727036956991533E-2</v>
      </c>
    </row>
    <row r="960" spans="1:11" x14ac:dyDescent="0.25">
      <c r="A960" s="5" t="s">
        <v>6</v>
      </c>
      <c r="B960" s="5" t="s">
        <v>4884</v>
      </c>
      <c r="C960" s="1" t="s">
        <v>4885</v>
      </c>
      <c r="E960" s="32">
        <v>1</v>
      </c>
      <c r="F960" s="27">
        <v>746</v>
      </c>
      <c r="I960" s="27">
        <v>746</v>
      </c>
    </row>
    <row r="961" spans="1:11" x14ac:dyDescent="0.25">
      <c r="A961" s="5" t="s">
        <v>6</v>
      </c>
      <c r="B961" s="5" t="s">
        <v>4890</v>
      </c>
      <c r="C961" s="1" t="s">
        <v>4891</v>
      </c>
      <c r="E961" s="32">
        <v>2</v>
      </c>
      <c r="F961" s="27">
        <v>140216</v>
      </c>
      <c r="I961" s="27">
        <v>70108</v>
      </c>
    </row>
    <row r="962" spans="1:11" x14ac:dyDescent="0.25">
      <c r="A962" s="5" t="s">
        <v>6</v>
      </c>
      <c r="B962" s="5" t="s">
        <v>4893</v>
      </c>
      <c r="C962" s="1" t="s">
        <v>4894</v>
      </c>
      <c r="E962" s="32">
        <v>1</v>
      </c>
      <c r="F962" s="27">
        <v>19916</v>
      </c>
      <c r="I962" s="27">
        <v>19916</v>
      </c>
    </row>
    <row r="963" spans="1:11" x14ac:dyDescent="0.25">
      <c r="A963" s="5" t="s">
        <v>6</v>
      </c>
      <c r="B963" s="5" t="s">
        <v>4896</v>
      </c>
      <c r="C963" s="1" t="s">
        <v>4897</v>
      </c>
      <c r="E963" s="32">
        <v>3</v>
      </c>
      <c r="F963" s="27">
        <v>173709</v>
      </c>
      <c r="G963" s="32">
        <v>1</v>
      </c>
      <c r="H963" s="27">
        <v>64231</v>
      </c>
      <c r="I963" s="27">
        <v>57903</v>
      </c>
      <c r="J963" s="27">
        <v>64231</v>
      </c>
      <c r="K963" s="29">
        <v>0.10928622005768268</v>
      </c>
    </row>
    <row r="964" spans="1:11" x14ac:dyDescent="0.25">
      <c r="A964" s="5" t="s">
        <v>6</v>
      </c>
      <c r="B964" s="5" t="s">
        <v>4899</v>
      </c>
      <c r="C964" s="1" t="s">
        <v>4900</v>
      </c>
      <c r="D964" s="5" t="s">
        <v>17615</v>
      </c>
      <c r="E964" s="32">
        <v>348</v>
      </c>
      <c r="F964" s="27">
        <v>1871162</v>
      </c>
      <c r="G964" s="32">
        <v>358</v>
      </c>
      <c r="H964" s="27">
        <v>2060118</v>
      </c>
      <c r="I964" s="27">
        <v>5376.9022988505749</v>
      </c>
      <c r="J964" s="27">
        <v>5754.519553072626</v>
      </c>
      <c r="K964" s="29">
        <v>7.0229517524016502E-2</v>
      </c>
    </row>
    <row r="965" spans="1:11" x14ac:dyDescent="0.25">
      <c r="A965" s="5" t="s">
        <v>6</v>
      </c>
      <c r="B965" s="5" t="s">
        <v>4902</v>
      </c>
      <c r="C965" s="1" t="s">
        <v>4903</v>
      </c>
      <c r="E965" s="32">
        <v>2</v>
      </c>
      <c r="F965" s="27">
        <v>4472</v>
      </c>
      <c r="I965" s="27">
        <v>2236</v>
      </c>
    </row>
    <row r="966" spans="1:11" x14ac:dyDescent="0.25">
      <c r="A966" s="5" t="s">
        <v>6</v>
      </c>
      <c r="B966" s="5" t="s">
        <v>4905</v>
      </c>
      <c r="C966" s="1" t="s">
        <v>4906</v>
      </c>
      <c r="D966" s="5" t="s">
        <v>17616</v>
      </c>
      <c r="E966" s="32">
        <v>3</v>
      </c>
      <c r="F966" s="27">
        <v>21331</v>
      </c>
      <c r="I966" s="27">
        <v>7110.333333333333</v>
      </c>
    </row>
    <row r="967" spans="1:11" x14ac:dyDescent="0.25">
      <c r="A967" s="5" t="s">
        <v>6</v>
      </c>
      <c r="B967" s="5" t="s">
        <v>4908</v>
      </c>
      <c r="C967" s="1" t="s">
        <v>4909</v>
      </c>
      <c r="D967" s="5" t="s">
        <v>17617</v>
      </c>
      <c r="E967" s="32">
        <v>21</v>
      </c>
      <c r="F967" s="27">
        <v>158282</v>
      </c>
      <c r="G967" s="32">
        <v>31</v>
      </c>
      <c r="H967" s="27">
        <v>249827</v>
      </c>
      <c r="I967" s="27">
        <v>7537.2380952380954</v>
      </c>
      <c r="J967" s="27">
        <v>8058.9354838709678</v>
      </c>
      <c r="K967" s="29">
        <v>6.9215988939300241E-2</v>
      </c>
    </row>
    <row r="968" spans="1:11" x14ac:dyDescent="0.25">
      <c r="A968" s="5" t="s">
        <v>6</v>
      </c>
      <c r="B968" s="5" t="s">
        <v>4919</v>
      </c>
      <c r="C968" s="1" t="s">
        <v>4920</v>
      </c>
      <c r="D968" s="5" t="s">
        <v>17618</v>
      </c>
      <c r="E968" s="32">
        <v>44</v>
      </c>
      <c r="F968" s="27">
        <v>302768</v>
      </c>
      <c r="G968" s="32">
        <v>32</v>
      </c>
      <c r="H968" s="27">
        <v>230102</v>
      </c>
      <c r="I968" s="27">
        <v>6881.090909090909</v>
      </c>
      <c r="J968" s="27">
        <v>7190.6875</v>
      </c>
      <c r="K968" s="29">
        <v>4.4992370395814628E-2</v>
      </c>
    </row>
    <row r="969" spans="1:11" x14ac:dyDescent="0.25">
      <c r="A969" s="5" t="s">
        <v>6</v>
      </c>
      <c r="B969" s="5" t="s">
        <v>4922</v>
      </c>
      <c r="C969" s="1" t="s">
        <v>4923</v>
      </c>
      <c r="D969" s="5" t="s">
        <v>17087</v>
      </c>
      <c r="E969" s="32">
        <v>7082</v>
      </c>
      <c r="F969" s="27">
        <v>58075828</v>
      </c>
      <c r="G969" s="32">
        <v>7142</v>
      </c>
      <c r="H969" s="27">
        <v>62486306</v>
      </c>
      <c r="I969" s="27">
        <v>8200.4840440553508</v>
      </c>
      <c r="J969" s="27">
        <v>8749.1327359283114</v>
      </c>
      <c r="K969" s="29">
        <v>6.6904427705177225E-2</v>
      </c>
    </row>
    <row r="970" spans="1:11" x14ac:dyDescent="0.25">
      <c r="A970" s="5" t="s">
        <v>6</v>
      </c>
      <c r="B970" s="5" t="s">
        <v>4925</v>
      </c>
      <c r="C970" s="1" t="s">
        <v>4926</v>
      </c>
      <c r="D970" s="5" t="s">
        <v>17619</v>
      </c>
      <c r="E970" s="32">
        <v>7</v>
      </c>
      <c r="F970" s="27">
        <v>43622</v>
      </c>
      <c r="I970" s="27">
        <v>6231.7142857142853</v>
      </c>
    </row>
    <row r="971" spans="1:11" x14ac:dyDescent="0.25">
      <c r="A971" s="5" t="s">
        <v>6</v>
      </c>
      <c r="B971" s="5" t="s">
        <v>4928</v>
      </c>
      <c r="C971" s="1" t="s">
        <v>4929</v>
      </c>
      <c r="D971" s="5" t="s">
        <v>17620</v>
      </c>
      <c r="E971" s="32">
        <v>12</v>
      </c>
      <c r="F971" s="27">
        <v>96747</v>
      </c>
      <c r="G971" s="32">
        <v>11</v>
      </c>
      <c r="H971" s="27">
        <v>95081</v>
      </c>
      <c r="I971" s="27">
        <v>8062.25</v>
      </c>
      <c r="J971" s="27">
        <v>8643.7272727272721</v>
      </c>
      <c r="K971" s="29">
        <v>7.2123448507212265E-2</v>
      </c>
    </row>
    <row r="972" spans="1:11" x14ac:dyDescent="0.25">
      <c r="A972" s="5" t="s">
        <v>6</v>
      </c>
      <c r="B972" s="5" t="s">
        <v>4931</v>
      </c>
      <c r="C972" s="1" t="s">
        <v>4932</v>
      </c>
      <c r="D972" s="5" t="s">
        <v>17621</v>
      </c>
      <c r="E972" s="32">
        <v>28</v>
      </c>
      <c r="F972" s="27">
        <v>208424</v>
      </c>
      <c r="G972" s="32">
        <v>25</v>
      </c>
      <c r="H972" s="27">
        <v>199535</v>
      </c>
      <c r="I972" s="27">
        <v>7443.7142857142853</v>
      </c>
      <c r="J972" s="27">
        <v>7981.4</v>
      </c>
      <c r="K972" s="29">
        <v>7.2233523970368099E-2</v>
      </c>
    </row>
    <row r="973" spans="1:11" x14ac:dyDescent="0.25">
      <c r="A973" s="5" t="s">
        <v>6</v>
      </c>
      <c r="B973" s="5" t="s">
        <v>4934</v>
      </c>
      <c r="C973" s="1" t="s">
        <v>4935</v>
      </c>
      <c r="D973" s="5" t="s">
        <v>17617</v>
      </c>
      <c r="E973" s="32">
        <v>340</v>
      </c>
      <c r="F973" s="27">
        <v>2575400</v>
      </c>
      <c r="G973" s="32">
        <v>371</v>
      </c>
      <c r="H973" s="27">
        <v>2988397</v>
      </c>
      <c r="I973" s="27">
        <v>7574.7058823529414</v>
      </c>
      <c r="J973" s="27">
        <v>8054.9784366576823</v>
      </c>
      <c r="K973" s="29">
        <v>6.3404779243461939E-2</v>
      </c>
    </row>
    <row r="974" spans="1:11" x14ac:dyDescent="0.25">
      <c r="A974" s="5" t="s">
        <v>6</v>
      </c>
      <c r="B974" s="5" t="s">
        <v>4937</v>
      </c>
      <c r="C974" s="1" t="s">
        <v>4938</v>
      </c>
      <c r="D974" s="5" t="s">
        <v>17616</v>
      </c>
      <c r="E974" s="32">
        <v>39</v>
      </c>
      <c r="F974" s="27">
        <v>283083</v>
      </c>
      <c r="G974" s="32">
        <v>77</v>
      </c>
      <c r="H974" s="27">
        <v>595035</v>
      </c>
      <c r="I974" s="27">
        <v>7258.5384615384619</v>
      </c>
      <c r="J974" s="27">
        <v>7727.727272727273</v>
      </c>
      <c r="K974" s="29">
        <v>6.4639570855062403E-2</v>
      </c>
    </row>
    <row r="975" spans="1:11" x14ac:dyDescent="0.25">
      <c r="A975" s="5" t="s">
        <v>6</v>
      </c>
      <c r="B975" s="5" t="s">
        <v>4943</v>
      </c>
      <c r="C975" s="1" t="s">
        <v>4944</v>
      </c>
      <c r="D975" s="5" t="s">
        <v>17622</v>
      </c>
      <c r="E975" s="32">
        <v>59</v>
      </c>
      <c r="F975" s="27">
        <v>294494</v>
      </c>
      <c r="G975" s="32">
        <v>75</v>
      </c>
      <c r="H975" s="27">
        <v>398052</v>
      </c>
      <c r="I975" s="27">
        <v>4991.4237288135591</v>
      </c>
      <c r="J975" s="27">
        <v>5307.36</v>
      </c>
      <c r="K975" s="29">
        <v>6.3295822665317428E-2</v>
      </c>
    </row>
    <row r="976" spans="1:11" x14ac:dyDescent="0.25">
      <c r="A976" s="5" t="s">
        <v>6</v>
      </c>
      <c r="B976" s="5" t="s">
        <v>4946</v>
      </c>
      <c r="C976" s="1" t="s">
        <v>4947</v>
      </c>
      <c r="D976" s="5" t="s">
        <v>17623</v>
      </c>
      <c r="E976" s="32">
        <v>175</v>
      </c>
      <c r="F976" s="27">
        <v>1193010</v>
      </c>
      <c r="G976" s="32">
        <v>181</v>
      </c>
      <c r="H976" s="27">
        <v>1320821</v>
      </c>
      <c r="I976" s="27">
        <v>6817.2</v>
      </c>
      <c r="J976" s="27">
        <v>7297.3535911602212</v>
      </c>
      <c r="K976" s="29">
        <v>7.0432669007836263E-2</v>
      </c>
    </row>
    <row r="977" spans="1:11" x14ac:dyDescent="0.25">
      <c r="A977" s="5" t="s">
        <v>6</v>
      </c>
      <c r="B977" s="5" t="s">
        <v>4949</v>
      </c>
      <c r="C977" s="1" t="s">
        <v>4950</v>
      </c>
      <c r="D977" s="5" t="s">
        <v>17624</v>
      </c>
      <c r="E977" s="32">
        <v>2</v>
      </c>
      <c r="F977" s="27">
        <v>15584</v>
      </c>
      <c r="I977" s="27">
        <v>7792</v>
      </c>
    </row>
    <row r="978" spans="1:11" x14ac:dyDescent="0.25">
      <c r="A978" s="5" t="s">
        <v>6</v>
      </c>
      <c r="B978" s="5" t="s">
        <v>4952</v>
      </c>
      <c r="C978" s="1" t="s">
        <v>4953</v>
      </c>
      <c r="D978" s="5" t="s">
        <v>17625</v>
      </c>
      <c r="E978" s="32">
        <v>11</v>
      </c>
      <c r="F978" s="27">
        <v>88666</v>
      </c>
      <c r="I978" s="27">
        <v>8060.545454545455</v>
      </c>
    </row>
    <row r="979" spans="1:11" x14ac:dyDescent="0.25">
      <c r="A979" s="5" t="s">
        <v>6</v>
      </c>
      <c r="B979" s="5" t="s">
        <v>4955</v>
      </c>
      <c r="C979" s="1" t="s">
        <v>4956</v>
      </c>
      <c r="D979" s="5" t="s">
        <v>17626</v>
      </c>
      <c r="E979" s="32">
        <v>482</v>
      </c>
      <c r="F979" s="27">
        <v>3567460</v>
      </c>
      <c r="G979" s="32">
        <v>536</v>
      </c>
      <c r="H979" s="27">
        <v>4242321</v>
      </c>
      <c r="I979" s="27">
        <v>7401.369294605809</v>
      </c>
      <c r="J979" s="27">
        <v>7914.7779850746265</v>
      </c>
      <c r="K979" s="29">
        <v>6.9366717161781777E-2</v>
      </c>
    </row>
    <row r="980" spans="1:11" x14ac:dyDescent="0.25">
      <c r="A980" s="5" t="s">
        <v>6</v>
      </c>
      <c r="B980" s="5" t="s">
        <v>4958</v>
      </c>
      <c r="C980" s="1" t="s">
        <v>4959</v>
      </c>
      <c r="D980" s="5" t="s">
        <v>17627</v>
      </c>
      <c r="E980" s="32">
        <v>3</v>
      </c>
      <c r="F980" s="27">
        <v>25158</v>
      </c>
      <c r="I980" s="27">
        <v>8386</v>
      </c>
    </row>
    <row r="981" spans="1:11" x14ac:dyDescent="0.25">
      <c r="A981" s="5" t="s">
        <v>6</v>
      </c>
      <c r="B981" s="5" t="s">
        <v>4961</v>
      </c>
      <c r="C981" s="1" t="s">
        <v>4962</v>
      </c>
      <c r="D981" s="5" t="s">
        <v>17628</v>
      </c>
      <c r="E981" s="32">
        <v>592</v>
      </c>
      <c r="F981" s="27">
        <v>5182812</v>
      </c>
      <c r="G981" s="32">
        <v>635</v>
      </c>
      <c r="H981" s="27">
        <v>5941458</v>
      </c>
      <c r="I981" s="27">
        <v>8754.75</v>
      </c>
      <c r="J981" s="27">
        <v>9356.626771653544</v>
      </c>
      <c r="K981" s="29">
        <v>6.874859609395402E-2</v>
      </c>
    </row>
    <row r="982" spans="1:11" x14ac:dyDescent="0.25">
      <c r="A982" s="5" t="s">
        <v>6</v>
      </c>
      <c r="B982" s="5" t="s">
        <v>4964</v>
      </c>
      <c r="C982" s="1" t="s">
        <v>4965</v>
      </c>
      <c r="D982" s="5" t="s">
        <v>17626</v>
      </c>
      <c r="E982" s="32">
        <v>138</v>
      </c>
      <c r="F982" s="27">
        <v>1157642</v>
      </c>
      <c r="G982" s="32">
        <v>138</v>
      </c>
      <c r="H982" s="27">
        <v>1232968</v>
      </c>
      <c r="I982" s="27">
        <v>8388.710144927536</v>
      </c>
      <c r="J982" s="27">
        <v>8934.5507246376819</v>
      </c>
      <c r="K982" s="29">
        <v>6.506847540085807E-2</v>
      </c>
    </row>
    <row r="983" spans="1:11" x14ac:dyDescent="0.25">
      <c r="A983" s="5" t="s">
        <v>6</v>
      </c>
      <c r="B983" s="5" t="s">
        <v>4967</v>
      </c>
      <c r="C983" s="1" t="s">
        <v>4968</v>
      </c>
      <c r="D983" s="5" t="s">
        <v>17628</v>
      </c>
      <c r="E983" s="32">
        <v>3</v>
      </c>
      <c r="F983" s="27">
        <v>22605</v>
      </c>
      <c r="I983" s="27">
        <v>7535</v>
      </c>
    </row>
    <row r="984" spans="1:11" x14ac:dyDescent="0.25">
      <c r="A984" s="5" t="s">
        <v>6</v>
      </c>
      <c r="B984" s="5" t="s">
        <v>4973</v>
      </c>
      <c r="C984" s="1" t="s">
        <v>4974</v>
      </c>
      <c r="D984" s="5" t="s">
        <v>17629</v>
      </c>
      <c r="E984" s="32">
        <v>1</v>
      </c>
      <c r="F984" s="27">
        <v>5997</v>
      </c>
      <c r="I984" s="27">
        <v>5997</v>
      </c>
    </row>
    <row r="985" spans="1:11" x14ac:dyDescent="0.25">
      <c r="A985" s="5" t="s">
        <v>6</v>
      </c>
      <c r="B985" s="5" t="s">
        <v>4976</v>
      </c>
      <c r="C985" s="1" t="s">
        <v>4977</v>
      </c>
      <c r="D985" s="5" t="s">
        <v>17630</v>
      </c>
      <c r="E985" s="32">
        <v>1</v>
      </c>
      <c r="F985" s="27">
        <v>6576</v>
      </c>
      <c r="I985" s="27">
        <v>6576</v>
      </c>
    </row>
    <row r="986" spans="1:11" x14ac:dyDescent="0.25">
      <c r="A986" s="5" t="s">
        <v>6</v>
      </c>
      <c r="B986" s="5" t="s">
        <v>4979</v>
      </c>
      <c r="C986" s="1" t="s">
        <v>4980</v>
      </c>
      <c r="D986" s="5" t="s">
        <v>17631</v>
      </c>
      <c r="E986" s="32">
        <v>66</v>
      </c>
      <c r="F986" s="27">
        <v>436356</v>
      </c>
      <c r="G986" s="32">
        <v>68</v>
      </c>
      <c r="H986" s="27">
        <v>478698</v>
      </c>
      <c r="I986" s="27">
        <v>6611.454545454545</v>
      </c>
      <c r="J986" s="27">
        <v>7039.6764705882351</v>
      </c>
      <c r="K986" s="29">
        <v>6.4769699646214443E-2</v>
      </c>
    </row>
    <row r="987" spans="1:11" x14ac:dyDescent="0.25">
      <c r="A987" s="5" t="s">
        <v>6</v>
      </c>
      <c r="B987" s="5" t="s">
        <v>4982</v>
      </c>
      <c r="C987" s="1" t="s">
        <v>4983</v>
      </c>
      <c r="D987" s="5" t="s">
        <v>17632</v>
      </c>
      <c r="E987" s="32">
        <v>26</v>
      </c>
      <c r="F987" s="27">
        <v>147000</v>
      </c>
      <c r="G987" s="32">
        <v>23</v>
      </c>
      <c r="H987" s="27">
        <v>137622</v>
      </c>
      <c r="I987" s="27">
        <v>5653.8461538461543</v>
      </c>
      <c r="J987" s="27">
        <v>5983.565217391304</v>
      </c>
      <c r="K987" s="29">
        <v>5.8317657497781589E-2</v>
      </c>
    </row>
    <row r="988" spans="1:11" x14ac:dyDescent="0.25">
      <c r="A988" s="5" t="s">
        <v>6</v>
      </c>
      <c r="B988" s="5" t="s">
        <v>4989</v>
      </c>
      <c r="C988" s="1" t="s">
        <v>4455</v>
      </c>
      <c r="E988" s="32">
        <v>10</v>
      </c>
      <c r="F988" s="27">
        <v>68424</v>
      </c>
      <c r="G988" s="32">
        <v>12</v>
      </c>
      <c r="H988" s="27">
        <v>85524</v>
      </c>
      <c r="I988" s="27">
        <v>6842.4</v>
      </c>
      <c r="J988" s="27">
        <v>7127</v>
      </c>
      <c r="K988" s="29">
        <v>4.1593592891383195E-2</v>
      </c>
    </row>
    <row r="989" spans="1:11" x14ac:dyDescent="0.25">
      <c r="A989" s="5" t="s">
        <v>6</v>
      </c>
      <c r="B989" s="5" t="s">
        <v>4990</v>
      </c>
      <c r="C989" s="1" t="s">
        <v>4991</v>
      </c>
      <c r="D989" s="5" t="s">
        <v>17633</v>
      </c>
      <c r="E989" s="32">
        <v>802</v>
      </c>
      <c r="F989" s="27">
        <v>4954347</v>
      </c>
      <c r="G989" s="32">
        <v>1051</v>
      </c>
      <c r="H989" s="27">
        <v>6937046</v>
      </c>
      <c r="I989" s="27">
        <v>6177.490024937656</v>
      </c>
      <c r="J989" s="27">
        <v>6600.4243577545194</v>
      </c>
      <c r="K989" s="29">
        <v>6.8463782395363992E-2</v>
      </c>
    </row>
    <row r="990" spans="1:11" x14ac:dyDescent="0.25">
      <c r="A990" s="5" t="s">
        <v>6</v>
      </c>
      <c r="B990" s="5" t="s">
        <v>4993</v>
      </c>
      <c r="C990" s="1" t="s">
        <v>4994</v>
      </c>
      <c r="D990" s="5" t="s">
        <v>17634</v>
      </c>
      <c r="E990" s="32">
        <v>394</v>
      </c>
      <c r="F990" s="27">
        <v>2702648</v>
      </c>
      <c r="G990" s="32">
        <v>414</v>
      </c>
      <c r="H990" s="27">
        <v>3037528</v>
      </c>
      <c r="I990" s="27">
        <v>6859.5126903553301</v>
      </c>
      <c r="J990" s="27">
        <v>7337.0241545893723</v>
      </c>
      <c r="K990" s="29">
        <v>6.9613030223770411E-2</v>
      </c>
    </row>
    <row r="991" spans="1:11" x14ac:dyDescent="0.25">
      <c r="A991" s="5" t="s">
        <v>6</v>
      </c>
      <c r="B991" s="5" t="s">
        <v>4996</v>
      </c>
      <c r="C991" s="1" t="s">
        <v>4997</v>
      </c>
      <c r="D991" s="5" t="s">
        <v>17635</v>
      </c>
      <c r="E991" s="32">
        <v>4</v>
      </c>
      <c r="F991" s="27">
        <v>28822</v>
      </c>
      <c r="G991" s="32">
        <v>3</v>
      </c>
      <c r="H991" s="27">
        <v>23229</v>
      </c>
      <c r="I991" s="27">
        <v>7205.5</v>
      </c>
      <c r="J991" s="27">
        <v>7743</v>
      </c>
      <c r="K991" s="29">
        <v>7.4595794878911936E-2</v>
      </c>
    </row>
    <row r="992" spans="1:11" x14ac:dyDescent="0.25">
      <c r="A992" s="5" t="s">
        <v>6</v>
      </c>
      <c r="B992" s="5" t="s">
        <v>4999</v>
      </c>
      <c r="C992" s="1" t="s">
        <v>5000</v>
      </c>
      <c r="D992" s="5" t="s">
        <v>17620</v>
      </c>
      <c r="E992" s="32">
        <v>1054</v>
      </c>
      <c r="F992" s="27">
        <v>9406858</v>
      </c>
      <c r="G992" s="32">
        <v>1115</v>
      </c>
      <c r="H992" s="27">
        <v>10640918</v>
      </c>
      <c r="I992" s="27">
        <v>8924.9127134724858</v>
      </c>
      <c r="J992" s="27">
        <v>9543.4242152466359</v>
      </c>
      <c r="K992" s="29">
        <v>6.9301686372852028E-2</v>
      </c>
    </row>
    <row r="993" spans="1:11" x14ac:dyDescent="0.25">
      <c r="A993" s="5" t="s">
        <v>6</v>
      </c>
      <c r="B993" s="5" t="s">
        <v>5002</v>
      </c>
      <c r="C993" s="1" t="s">
        <v>5003</v>
      </c>
      <c r="D993" s="5" t="s">
        <v>17636</v>
      </c>
      <c r="E993" s="32">
        <v>1033</v>
      </c>
      <c r="F993" s="27">
        <v>10599451</v>
      </c>
      <c r="G993" s="32">
        <v>1087</v>
      </c>
      <c r="H993" s="27">
        <v>11885067</v>
      </c>
      <c r="I993" s="27">
        <v>10260.843175217813</v>
      </c>
      <c r="J993" s="27">
        <v>10933.824287028519</v>
      </c>
      <c r="K993" s="29">
        <v>6.5587310937185297E-2</v>
      </c>
    </row>
    <row r="994" spans="1:11" x14ac:dyDescent="0.25">
      <c r="A994" s="5" t="s">
        <v>6</v>
      </c>
      <c r="B994" s="5" t="s">
        <v>5005</v>
      </c>
      <c r="C994" s="1" t="s">
        <v>5006</v>
      </c>
      <c r="D994" s="5" t="s">
        <v>17637</v>
      </c>
      <c r="E994" s="32">
        <v>4</v>
      </c>
      <c r="F994" s="27">
        <v>31699</v>
      </c>
      <c r="I994" s="27">
        <v>7924.75</v>
      </c>
    </row>
    <row r="995" spans="1:11" x14ac:dyDescent="0.25">
      <c r="A995" s="5" t="s">
        <v>6</v>
      </c>
      <c r="B995" s="5" t="s">
        <v>5008</v>
      </c>
      <c r="C995" s="1" t="s">
        <v>5009</v>
      </c>
      <c r="D995" s="5" t="s">
        <v>17638</v>
      </c>
      <c r="E995" s="32">
        <v>48</v>
      </c>
      <c r="F995" s="27">
        <v>243656</v>
      </c>
      <c r="G995" s="32">
        <v>44</v>
      </c>
      <c r="H995" s="27">
        <v>237872</v>
      </c>
      <c r="I995" s="27">
        <v>5076.166666666667</v>
      </c>
      <c r="J995" s="27">
        <v>5406.181818181818</v>
      </c>
      <c r="K995" s="29">
        <v>6.5012670620576751E-2</v>
      </c>
    </row>
    <row r="996" spans="1:11" x14ac:dyDescent="0.25">
      <c r="A996" s="5" t="s">
        <v>6</v>
      </c>
      <c r="B996" s="5" t="s">
        <v>5011</v>
      </c>
      <c r="C996" s="1" t="s">
        <v>5012</v>
      </c>
      <c r="D996" s="5" t="s">
        <v>17639</v>
      </c>
      <c r="E996" s="32">
        <v>1</v>
      </c>
      <c r="F996" s="27">
        <v>5144</v>
      </c>
      <c r="G996" s="32">
        <v>7</v>
      </c>
      <c r="H996" s="27">
        <v>38068</v>
      </c>
      <c r="I996" s="27">
        <v>5144</v>
      </c>
      <c r="J996" s="27">
        <v>5438.2857142857147</v>
      </c>
      <c r="K996" s="29">
        <v>5.7209508998000522E-2</v>
      </c>
    </row>
    <row r="997" spans="1:11" x14ac:dyDescent="0.25">
      <c r="A997" s="5" t="s">
        <v>6</v>
      </c>
      <c r="B997" s="5" t="s">
        <v>5014</v>
      </c>
      <c r="C997" s="1" t="s">
        <v>5015</v>
      </c>
      <c r="D997" s="5" t="s">
        <v>17640</v>
      </c>
      <c r="E997" s="32">
        <v>95</v>
      </c>
      <c r="F997" s="27">
        <v>671231</v>
      </c>
      <c r="G997" s="32">
        <v>118</v>
      </c>
      <c r="H997" s="27">
        <v>885910</v>
      </c>
      <c r="I997" s="27">
        <v>7065.5894736842101</v>
      </c>
      <c r="J997" s="27">
        <v>7507.7118644067796</v>
      </c>
      <c r="K997" s="29">
        <v>6.2574027598016335E-2</v>
      </c>
    </row>
    <row r="998" spans="1:11" x14ac:dyDescent="0.25">
      <c r="A998" s="5" t="s">
        <v>6</v>
      </c>
      <c r="B998" s="5" t="s">
        <v>5017</v>
      </c>
      <c r="C998" s="1" t="s">
        <v>5018</v>
      </c>
      <c r="D998" s="5" t="s">
        <v>17641</v>
      </c>
      <c r="E998" s="32">
        <v>10</v>
      </c>
      <c r="F998" s="27">
        <v>53126</v>
      </c>
      <c r="G998" s="32">
        <v>18</v>
      </c>
      <c r="H998" s="27">
        <v>101526</v>
      </c>
      <c r="I998" s="27">
        <v>5312.6</v>
      </c>
      <c r="J998" s="27">
        <v>5640.333333333333</v>
      </c>
      <c r="K998" s="29">
        <v>6.1689819172031139E-2</v>
      </c>
    </row>
    <row r="999" spans="1:11" x14ac:dyDescent="0.25">
      <c r="A999" s="5" t="s">
        <v>6</v>
      </c>
      <c r="B999" s="5" t="s">
        <v>5020</v>
      </c>
      <c r="C999" s="1" t="s">
        <v>5021</v>
      </c>
      <c r="D999" s="5" t="s">
        <v>17642</v>
      </c>
      <c r="E999" s="32">
        <v>76</v>
      </c>
      <c r="F999" s="27">
        <v>334512</v>
      </c>
      <c r="G999" s="32">
        <v>53</v>
      </c>
      <c r="H999" s="27">
        <v>250832</v>
      </c>
      <c r="I999" s="27">
        <v>4401.4736842105267</v>
      </c>
      <c r="J999" s="27">
        <v>4732.6792452830186</v>
      </c>
      <c r="K999" s="29">
        <v>7.5248788209419645E-2</v>
      </c>
    </row>
    <row r="1000" spans="1:11" x14ac:dyDescent="0.25">
      <c r="A1000" s="5" t="s">
        <v>6</v>
      </c>
      <c r="B1000" s="5" t="s">
        <v>5023</v>
      </c>
      <c r="C1000" s="1" t="s">
        <v>5024</v>
      </c>
      <c r="D1000" s="5" t="s">
        <v>17089</v>
      </c>
      <c r="E1000" s="32">
        <v>35</v>
      </c>
      <c r="F1000" s="27">
        <v>212476</v>
      </c>
      <c r="G1000" s="32">
        <v>49</v>
      </c>
      <c r="H1000" s="27">
        <v>318037</v>
      </c>
      <c r="I1000" s="27">
        <v>6070.7428571428572</v>
      </c>
      <c r="J1000" s="27">
        <v>6490.5510204081629</v>
      </c>
      <c r="K1000" s="29">
        <v>6.9152684135082076E-2</v>
      </c>
    </row>
    <row r="1001" spans="1:11" x14ac:dyDescent="0.25">
      <c r="A1001" s="5" t="s">
        <v>6</v>
      </c>
      <c r="B1001" s="5" t="s">
        <v>5026</v>
      </c>
      <c r="C1001" s="1" t="s">
        <v>5027</v>
      </c>
      <c r="D1001" s="5" t="s">
        <v>17643</v>
      </c>
      <c r="E1001" s="32">
        <v>1</v>
      </c>
      <c r="F1001" s="27">
        <v>6515</v>
      </c>
      <c r="I1001" s="27">
        <v>6515</v>
      </c>
    </row>
    <row r="1002" spans="1:11" x14ac:dyDescent="0.25">
      <c r="A1002" s="5" t="s">
        <v>6</v>
      </c>
      <c r="B1002" s="5" t="s">
        <v>5036</v>
      </c>
      <c r="C1002" s="1" t="s">
        <v>4477</v>
      </c>
      <c r="E1002" s="32">
        <v>6</v>
      </c>
      <c r="F1002" s="27">
        <v>120678</v>
      </c>
      <c r="G1002" s="32">
        <v>7</v>
      </c>
      <c r="H1002" s="27">
        <v>149198</v>
      </c>
      <c r="I1002" s="27">
        <v>20113</v>
      </c>
      <c r="J1002" s="27">
        <v>21314</v>
      </c>
      <c r="K1002" s="29">
        <v>5.9712623676229301E-2</v>
      </c>
    </row>
    <row r="1003" spans="1:11" x14ac:dyDescent="0.25">
      <c r="A1003" s="5" t="s">
        <v>6</v>
      </c>
      <c r="B1003" s="5" t="s">
        <v>5037</v>
      </c>
      <c r="C1003" s="1" t="s">
        <v>5038</v>
      </c>
      <c r="D1003" s="5" t="s">
        <v>17644</v>
      </c>
      <c r="E1003" s="32">
        <v>34</v>
      </c>
      <c r="F1003" s="27">
        <v>156353</v>
      </c>
      <c r="G1003" s="32">
        <v>41</v>
      </c>
      <c r="H1003" s="27">
        <v>200971</v>
      </c>
      <c r="I1003" s="27">
        <v>4598.6176470588234</v>
      </c>
      <c r="J1003" s="27">
        <v>4901.7317073170734</v>
      </c>
      <c r="K1003" s="29">
        <v>6.5914168892061559E-2</v>
      </c>
    </row>
    <row r="1004" spans="1:11" x14ac:dyDescent="0.25">
      <c r="A1004" s="5" t="s">
        <v>6</v>
      </c>
      <c r="B1004" s="5" t="s">
        <v>5040</v>
      </c>
      <c r="C1004" s="1" t="s">
        <v>5041</v>
      </c>
      <c r="D1004" s="5" t="s">
        <v>17645</v>
      </c>
      <c r="E1004" s="32">
        <v>15</v>
      </c>
      <c r="F1004" s="27">
        <v>63640</v>
      </c>
      <c r="G1004" s="32">
        <v>11</v>
      </c>
      <c r="H1004" s="27">
        <v>50255</v>
      </c>
      <c r="I1004" s="27">
        <v>4242.666666666667</v>
      </c>
      <c r="J1004" s="27">
        <v>4568.636363636364</v>
      </c>
      <c r="K1004" s="29">
        <v>7.6831323924347175E-2</v>
      </c>
    </row>
    <row r="1005" spans="1:11" x14ac:dyDescent="0.25">
      <c r="A1005" s="5" t="s">
        <v>6</v>
      </c>
      <c r="B1005" s="5" t="s">
        <v>5043</v>
      </c>
      <c r="C1005" s="1" t="s">
        <v>5044</v>
      </c>
      <c r="D1005" s="5" t="s">
        <v>17629</v>
      </c>
      <c r="E1005" s="32">
        <v>15</v>
      </c>
      <c r="F1005" s="27">
        <v>75251</v>
      </c>
      <c r="G1005" s="32">
        <v>14</v>
      </c>
      <c r="H1005" s="27">
        <v>75850</v>
      </c>
      <c r="I1005" s="27">
        <v>5016.7333333333336</v>
      </c>
      <c r="J1005" s="27">
        <v>5417.8571428571431</v>
      </c>
      <c r="K1005" s="29">
        <v>7.9957171902793889E-2</v>
      </c>
    </row>
    <row r="1006" spans="1:11" x14ac:dyDescent="0.25">
      <c r="A1006" s="5" t="s">
        <v>6</v>
      </c>
      <c r="B1006" s="5" t="s">
        <v>5046</v>
      </c>
      <c r="C1006" s="1" t="s">
        <v>5047</v>
      </c>
      <c r="D1006" s="5" t="s">
        <v>17646</v>
      </c>
      <c r="E1006" s="32">
        <v>149</v>
      </c>
      <c r="F1006" s="27">
        <v>776532</v>
      </c>
      <c r="G1006" s="32">
        <v>212</v>
      </c>
      <c r="H1006" s="27">
        <v>1179957</v>
      </c>
      <c r="I1006" s="27">
        <v>5211.6241610738252</v>
      </c>
      <c r="J1006" s="27">
        <v>5565.8349056603774</v>
      </c>
      <c r="K1006" s="29">
        <v>6.7965519699634117E-2</v>
      </c>
    </row>
    <row r="1007" spans="1:11" x14ac:dyDescent="0.25">
      <c r="A1007" s="5" t="s">
        <v>6</v>
      </c>
      <c r="B1007" s="5" t="s">
        <v>5049</v>
      </c>
      <c r="C1007" s="1" t="s">
        <v>5050</v>
      </c>
      <c r="D1007" s="5" t="s">
        <v>17647</v>
      </c>
      <c r="E1007" s="32">
        <v>41</v>
      </c>
      <c r="F1007" s="27">
        <v>190117</v>
      </c>
      <c r="G1007" s="32">
        <v>62</v>
      </c>
      <c r="H1007" s="27">
        <v>307072</v>
      </c>
      <c r="I1007" s="27">
        <v>4637</v>
      </c>
      <c r="J1007" s="27">
        <v>4952.7741935483873</v>
      </c>
      <c r="K1007" s="29">
        <v>6.8098812496956498E-2</v>
      </c>
    </row>
    <row r="1008" spans="1:11" x14ac:dyDescent="0.25">
      <c r="A1008" s="5" t="s">
        <v>6</v>
      </c>
      <c r="B1008" s="5" t="s">
        <v>5052</v>
      </c>
      <c r="C1008" s="1" t="s">
        <v>5053</v>
      </c>
      <c r="D1008" s="5" t="s">
        <v>17630</v>
      </c>
      <c r="E1008" s="32">
        <v>19</v>
      </c>
      <c r="F1008" s="27">
        <v>91142</v>
      </c>
      <c r="G1008" s="32">
        <v>12</v>
      </c>
      <c r="H1008" s="27">
        <v>60499</v>
      </c>
      <c r="I1008" s="27">
        <v>4796.9473684210525</v>
      </c>
      <c r="J1008" s="27">
        <v>5041.583333333333</v>
      </c>
      <c r="K1008" s="29">
        <v>5.0998259126783817E-2</v>
      </c>
    </row>
    <row r="1009" spans="1:11" x14ac:dyDescent="0.25">
      <c r="A1009" s="5" t="s">
        <v>6</v>
      </c>
      <c r="B1009" s="5" t="s">
        <v>5055</v>
      </c>
      <c r="C1009" s="1" t="s">
        <v>5056</v>
      </c>
      <c r="D1009" s="5" t="s">
        <v>17648</v>
      </c>
      <c r="E1009" s="32">
        <v>0</v>
      </c>
      <c r="F1009" s="27">
        <v>0</v>
      </c>
      <c r="G1009" s="32">
        <v>1</v>
      </c>
      <c r="H1009" s="27">
        <v>3350</v>
      </c>
      <c r="J1009" s="27">
        <v>3350</v>
      </c>
    </row>
    <row r="1010" spans="1:11" x14ac:dyDescent="0.25">
      <c r="A1010" s="5" t="s">
        <v>6</v>
      </c>
      <c r="B1010" s="5" t="s">
        <v>5058</v>
      </c>
      <c r="C1010" s="1" t="s">
        <v>5059</v>
      </c>
      <c r="D1010" s="5" t="s">
        <v>17649</v>
      </c>
      <c r="E1010" s="32">
        <v>35</v>
      </c>
      <c r="F1010" s="27">
        <v>184457</v>
      </c>
      <c r="G1010" s="32">
        <v>25</v>
      </c>
      <c r="H1010" s="27">
        <v>139867</v>
      </c>
      <c r="I1010" s="27">
        <v>5270.2</v>
      </c>
      <c r="J1010" s="27">
        <v>5594.68</v>
      </c>
      <c r="K1010" s="29">
        <v>6.156882091761233E-2</v>
      </c>
    </row>
    <row r="1011" spans="1:11" x14ac:dyDescent="0.25">
      <c r="A1011" s="5" t="s">
        <v>6</v>
      </c>
      <c r="B1011" s="5" t="s">
        <v>5061</v>
      </c>
      <c r="C1011" s="1" t="s">
        <v>5062</v>
      </c>
      <c r="D1011" s="5" t="s">
        <v>17085</v>
      </c>
      <c r="E1011" s="32">
        <v>18</v>
      </c>
      <c r="F1011" s="27">
        <v>124748</v>
      </c>
      <c r="G1011" s="32">
        <v>18</v>
      </c>
      <c r="H1011" s="27">
        <v>134800</v>
      </c>
      <c r="I1011" s="27">
        <v>6930.4444444444443</v>
      </c>
      <c r="J1011" s="27">
        <v>7488.8888888888887</v>
      </c>
      <c r="K1011" s="29">
        <v>8.0578446147433216E-2</v>
      </c>
    </row>
    <row r="1012" spans="1:11" x14ac:dyDescent="0.25">
      <c r="A1012" s="5" t="s">
        <v>6</v>
      </c>
      <c r="B1012" s="5" t="s">
        <v>5064</v>
      </c>
      <c r="C1012" s="1" t="s">
        <v>5065</v>
      </c>
      <c r="D1012" s="5" t="s">
        <v>17650</v>
      </c>
      <c r="E1012" s="32">
        <v>15</v>
      </c>
      <c r="F1012" s="27">
        <v>96470</v>
      </c>
      <c r="G1012" s="32">
        <v>10</v>
      </c>
      <c r="H1012" s="27">
        <v>69382</v>
      </c>
      <c r="I1012" s="27">
        <v>6431.333333333333</v>
      </c>
      <c r="J1012" s="27">
        <v>6938.2</v>
      </c>
      <c r="K1012" s="29">
        <v>7.8812065927231292E-2</v>
      </c>
    </row>
    <row r="1013" spans="1:11" x14ac:dyDescent="0.25">
      <c r="A1013" s="5" t="s">
        <v>6</v>
      </c>
      <c r="B1013" s="5" t="s">
        <v>5067</v>
      </c>
      <c r="C1013" s="1" t="s">
        <v>5068</v>
      </c>
      <c r="D1013" s="5" t="s">
        <v>17651</v>
      </c>
      <c r="E1013" s="32">
        <v>20</v>
      </c>
      <c r="F1013" s="27">
        <v>166234</v>
      </c>
      <c r="G1013" s="32">
        <v>19</v>
      </c>
      <c r="H1013" s="27">
        <v>169902</v>
      </c>
      <c r="I1013" s="27">
        <v>8311.7000000000007</v>
      </c>
      <c r="J1013" s="27">
        <v>8942.21052631579</v>
      </c>
      <c r="K1013" s="29">
        <v>7.5858191021787272E-2</v>
      </c>
    </row>
    <row r="1014" spans="1:11" x14ac:dyDescent="0.25">
      <c r="A1014" s="5" t="s">
        <v>6</v>
      </c>
      <c r="B1014" s="5" t="s">
        <v>5070</v>
      </c>
      <c r="C1014" s="1" t="s">
        <v>5071</v>
      </c>
      <c r="D1014" s="5" t="s">
        <v>17627</v>
      </c>
      <c r="E1014" s="32">
        <v>6</v>
      </c>
      <c r="F1014" s="27">
        <v>39366</v>
      </c>
      <c r="G1014" s="32">
        <v>4</v>
      </c>
      <c r="H1014" s="27">
        <v>27294</v>
      </c>
      <c r="I1014" s="27">
        <v>6561</v>
      </c>
      <c r="J1014" s="27">
        <v>6823.5</v>
      </c>
      <c r="K1014" s="29">
        <v>4.0009144947416551E-2</v>
      </c>
    </row>
    <row r="1015" spans="1:11" x14ac:dyDescent="0.25">
      <c r="A1015" s="5" t="s">
        <v>6</v>
      </c>
      <c r="B1015" s="5" t="s">
        <v>5073</v>
      </c>
      <c r="C1015" s="1" t="s">
        <v>5074</v>
      </c>
      <c r="D1015" s="5" t="s">
        <v>17652</v>
      </c>
      <c r="E1015" s="32">
        <v>2822</v>
      </c>
      <c r="F1015" s="27">
        <v>36546198</v>
      </c>
      <c r="G1015" s="32">
        <v>2274</v>
      </c>
      <c r="H1015" s="27">
        <v>31589658</v>
      </c>
      <c r="I1015" s="27">
        <v>12950.459957476967</v>
      </c>
      <c r="J1015" s="27">
        <v>13891.67018469657</v>
      </c>
      <c r="K1015" s="29">
        <v>7.2677745061571611E-2</v>
      </c>
    </row>
    <row r="1016" spans="1:11" x14ac:dyDescent="0.25">
      <c r="A1016" s="5" t="s">
        <v>6</v>
      </c>
      <c r="B1016" s="5" t="s">
        <v>5076</v>
      </c>
      <c r="C1016" s="1" t="s">
        <v>5077</v>
      </c>
      <c r="D1016" s="5" t="s">
        <v>17653</v>
      </c>
      <c r="E1016" s="32">
        <v>122</v>
      </c>
      <c r="F1016" s="27">
        <v>1947644</v>
      </c>
      <c r="G1016" s="32">
        <v>177</v>
      </c>
      <c r="H1016" s="27">
        <v>3008953</v>
      </c>
      <c r="I1016" s="27">
        <v>15964.295081967213</v>
      </c>
      <c r="J1016" s="27">
        <v>16999.734463276836</v>
      </c>
      <c r="K1016" s="29">
        <v>6.48596994726829E-2</v>
      </c>
    </row>
    <row r="1017" spans="1:11" x14ac:dyDescent="0.25">
      <c r="A1017" s="5" t="s">
        <v>6</v>
      </c>
      <c r="B1017" s="5" t="s">
        <v>5079</v>
      </c>
      <c r="C1017" s="1" t="s">
        <v>5080</v>
      </c>
      <c r="D1017" s="5" t="s">
        <v>17654</v>
      </c>
      <c r="E1017" s="32">
        <v>2777</v>
      </c>
      <c r="F1017" s="27">
        <v>31802646</v>
      </c>
      <c r="G1017" s="32">
        <v>3760</v>
      </c>
      <c r="H1017" s="27">
        <v>45756020</v>
      </c>
      <c r="I1017" s="27">
        <v>11452.159164566079</v>
      </c>
      <c r="J1017" s="27">
        <v>12169.154255319148</v>
      </c>
      <c r="K1017" s="29">
        <v>6.2607852410182255E-2</v>
      </c>
    </row>
    <row r="1018" spans="1:11" x14ac:dyDescent="0.25">
      <c r="A1018" s="5" t="s">
        <v>6</v>
      </c>
      <c r="B1018" s="5" t="s">
        <v>5082</v>
      </c>
      <c r="C1018" s="1" t="s">
        <v>5083</v>
      </c>
      <c r="D1018" s="5" t="s">
        <v>17651</v>
      </c>
      <c r="E1018" s="32">
        <v>161</v>
      </c>
      <c r="F1018" s="27">
        <v>1336261</v>
      </c>
      <c r="G1018" s="32">
        <v>140</v>
      </c>
      <c r="H1018" s="27">
        <v>1235900</v>
      </c>
      <c r="I1018" s="27">
        <v>8299.7577639751544</v>
      </c>
      <c r="J1018" s="27">
        <v>8827.8571428571431</v>
      </c>
      <c r="K1018" s="29">
        <v>6.362828818621527E-2</v>
      </c>
    </row>
    <row r="1019" spans="1:11" x14ac:dyDescent="0.25">
      <c r="A1019" s="5" t="s">
        <v>6</v>
      </c>
      <c r="B1019" s="5" t="s">
        <v>5085</v>
      </c>
      <c r="C1019" s="1" t="s">
        <v>5086</v>
      </c>
      <c r="D1019" s="5" t="s">
        <v>17625</v>
      </c>
      <c r="E1019" s="32">
        <v>173</v>
      </c>
      <c r="F1019" s="27">
        <v>1596354</v>
      </c>
      <c r="G1019" s="32">
        <v>139</v>
      </c>
      <c r="H1019" s="27">
        <v>1368486</v>
      </c>
      <c r="I1019" s="27">
        <v>9227.4797687861264</v>
      </c>
      <c r="J1019" s="27">
        <v>9845.2230215827331</v>
      </c>
      <c r="K1019" s="29">
        <v>6.6946042502986775E-2</v>
      </c>
    </row>
    <row r="1020" spans="1:11" x14ac:dyDescent="0.25">
      <c r="A1020" s="5" t="s">
        <v>6</v>
      </c>
      <c r="B1020" s="5" t="s">
        <v>5094</v>
      </c>
      <c r="C1020" s="1" t="s">
        <v>5095</v>
      </c>
      <c r="D1020" s="5" t="s">
        <v>17655</v>
      </c>
      <c r="E1020" s="32">
        <v>163</v>
      </c>
      <c r="F1020" s="27">
        <v>1142698</v>
      </c>
      <c r="G1020" s="32">
        <v>190</v>
      </c>
      <c r="H1020" s="27">
        <v>1404746</v>
      </c>
      <c r="I1020" s="27">
        <v>7010.4171779141107</v>
      </c>
      <c r="J1020" s="27">
        <v>7393.4</v>
      </c>
      <c r="K1020" s="29">
        <v>5.4630532301622917E-2</v>
      </c>
    </row>
    <row r="1021" spans="1:11" x14ac:dyDescent="0.25">
      <c r="A1021" s="5" t="s">
        <v>6</v>
      </c>
      <c r="B1021" s="5" t="s">
        <v>5100</v>
      </c>
      <c r="C1021" s="1" t="s">
        <v>5101</v>
      </c>
      <c r="D1021" s="5" t="s">
        <v>17648</v>
      </c>
      <c r="E1021" s="32">
        <v>1</v>
      </c>
      <c r="F1021" s="27">
        <v>3789</v>
      </c>
      <c r="I1021" s="27">
        <v>3789</v>
      </c>
    </row>
    <row r="1022" spans="1:11" x14ac:dyDescent="0.25">
      <c r="A1022" s="5" t="s">
        <v>6</v>
      </c>
      <c r="B1022" s="5" t="s">
        <v>5108</v>
      </c>
      <c r="C1022" s="1" t="s">
        <v>5109</v>
      </c>
      <c r="E1022" s="32">
        <v>13</v>
      </c>
      <c r="F1022" s="27">
        <v>24821</v>
      </c>
      <c r="G1022" s="32">
        <v>22</v>
      </c>
      <c r="H1022" s="27">
        <v>44572</v>
      </c>
      <c r="I1022" s="27">
        <v>1909.3076923076924</v>
      </c>
      <c r="J1022" s="27">
        <v>2026</v>
      </c>
      <c r="K1022" s="29">
        <v>6.111760203053862E-2</v>
      </c>
    </row>
    <row r="1023" spans="1:11" x14ac:dyDescent="0.25">
      <c r="A1023" s="5" t="s">
        <v>6</v>
      </c>
      <c r="B1023" s="5" t="s">
        <v>5111</v>
      </c>
      <c r="C1023" s="1" t="s">
        <v>4741</v>
      </c>
      <c r="E1023" s="32">
        <v>24</v>
      </c>
      <c r="F1023" s="27">
        <v>298843</v>
      </c>
      <c r="G1023" s="32">
        <v>31</v>
      </c>
      <c r="H1023" s="27">
        <v>404266</v>
      </c>
      <c r="I1023" s="27">
        <v>12451.791666666666</v>
      </c>
      <c r="J1023" s="27">
        <v>13040.838709677419</v>
      </c>
      <c r="K1023" s="29">
        <v>4.7306207715282142E-2</v>
      </c>
    </row>
    <row r="1024" spans="1:11" x14ac:dyDescent="0.25">
      <c r="A1024" s="5" t="s">
        <v>6</v>
      </c>
      <c r="B1024" s="5" t="s">
        <v>5112</v>
      </c>
      <c r="C1024" s="1" t="s">
        <v>5113</v>
      </c>
      <c r="E1024" s="32">
        <v>46</v>
      </c>
      <c r="F1024" s="27">
        <v>87164</v>
      </c>
      <c r="G1024" s="32">
        <v>58</v>
      </c>
      <c r="H1024" s="27">
        <v>118129</v>
      </c>
      <c r="I1024" s="27">
        <v>1894.8695652173913</v>
      </c>
      <c r="J1024" s="27">
        <v>2036.7068965517242</v>
      </c>
      <c r="K1024" s="29">
        <v>7.4853348187087734E-2</v>
      </c>
    </row>
    <row r="1025" spans="1:11" x14ac:dyDescent="0.25">
      <c r="A1025" s="5" t="s">
        <v>6</v>
      </c>
      <c r="B1025" s="5" t="s">
        <v>5115</v>
      </c>
      <c r="C1025" s="1" t="s">
        <v>4744</v>
      </c>
      <c r="E1025" s="32">
        <v>36</v>
      </c>
      <c r="F1025" s="27">
        <v>70380</v>
      </c>
      <c r="G1025" s="32">
        <v>48</v>
      </c>
      <c r="H1025" s="27">
        <v>99331</v>
      </c>
      <c r="I1025" s="27">
        <v>1955</v>
      </c>
      <c r="J1025" s="27">
        <v>2069.3958333333335</v>
      </c>
      <c r="K1025" s="29">
        <v>5.8514492753623269E-2</v>
      </c>
    </row>
    <row r="1026" spans="1:11" x14ac:dyDescent="0.25">
      <c r="A1026" s="5" t="s">
        <v>6</v>
      </c>
      <c r="B1026" s="5" t="s">
        <v>5116</v>
      </c>
      <c r="C1026" s="1" t="s">
        <v>5117</v>
      </c>
      <c r="E1026" s="32">
        <v>1</v>
      </c>
      <c r="F1026" s="27">
        <v>1896</v>
      </c>
      <c r="G1026" s="32">
        <v>5</v>
      </c>
      <c r="H1026" s="27">
        <v>10088</v>
      </c>
      <c r="I1026" s="27">
        <v>1896</v>
      </c>
      <c r="J1026" s="27">
        <v>2017.6</v>
      </c>
      <c r="K1026" s="29">
        <v>6.4135021097046371E-2</v>
      </c>
    </row>
    <row r="1027" spans="1:11" x14ac:dyDescent="0.25">
      <c r="A1027" s="5" t="s">
        <v>6</v>
      </c>
      <c r="B1027" s="5" t="s">
        <v>5122</v>
      </c>
      <c r="C1027" s="1" t="s">
        <v>4747</v>
      </c>
      <c r="E1027" s="32">
        <v>23</v>
      </c>
      <c r="F1027" s="27">
        <v>43879</v>
      </c>
      <c r="G1027" s="32">
        <v>29</v>
      </c>
      <c r="H1027" s="27">
        <v>58635</v>
      </c>
      <c r="I1027" s="27">
        <v>1907.7826086956522</v>
      </c>
      <c r="J1027" s="27">
        <v>2021.8965517241379</v>
      </c>
      <c r="K1027" s="29">
        <v>5.9814961363184441E-2</v>
      </c>
    </row>
    <row r="1028" spans="1:11" x14ac:dyDescent="0.25">
      <c r="A1028" s="5" t="s">
        <v>6</v>
      </c>
      <c r="B1028" s="5" t="s">
        <v>5127</v>
      </c>
      <c r="C1028" s="1" t="s">
        <v>5128</v>
      </c>
      <c r="E1028" s="32">
        <v>1</v>
      </c>
      <c r="F1028" s="27">
        <v>2542</v>
      </c>
      <c r="I1028" s="27">
        <v>2542</v>
      </c>
    </row>
    <row r="1029" spans="1:11" x14ac:dyDescent="0.25">
      <c r="A1029" s="5" t="s">
        <v>6</v>
      </c>
      <c r="B1029" s="5" t="s">
        <v>5137</v>
      </c>
      <c r="C1029" s="1" t="s">
        <v>4844</v>
      </c>
      <c r="E1029" s="32">
        <v>13</v>
      </c>
      <c r="F1029" s="27">
        <v>24188</v>
      </c>
      <c r="G1029" s="32">
        <v>13</v>
      </c>
      <c r="H1029" s="27">
        <v>25236</v>
      </c>
      <c r="I1029" s="27">
        <v>1860.6153846153845</v>
      </c>
      <c r="J1029" s="27">
        <v>1941.2307692307693</v>
      </c>
      <c r="K1029" s="29">
        <v>4.332726972052265E-2</v>
      </c>
    </row>
    <row r="1030" spans="1:11" x14ac:dyDescent="0.25">
      <c r="A1030" s="5" t="s">
        <v>6</v>
      </c>
      <c r="B1030" s="5" t="s">
        <v>5139</v>
      </c>
      <c r="C1030" s="1" t="s">
        <v>4855</v>
      </c>
      <c r="E1030" s="32">
        <v>10</v>
      </c>
      <c r="F1030" s="27">
        <v>91331</v>
      </c>
      <c r="G1030" s="32">
        <v>14</v>
      </c>
      <c r="H1030" s="27">
        <v>134772</v>
      </c>
      <c r="I1030" s="27">
        <v>9133.1</v>
      </c>
      <c r="J1030" s="27">
        <v>9626.5714285714294</v>
      </c>
      <c r="K1030" s="29">
        <v>5.4031098813264823E-2</v>
      </c>
    </row>
    <row r="1031" spans="1:11" x14ac:dyDescent="0.25">
      <c r="A1031" s="5" t="s">
        <v>6</v>
      </c>
      <c r="B1031" s="5" t="s">
        <v>5140</v>
      </c>
      <c r="C1031" s="1" t="s">
        <v>4852</v>
      </c>
      <c r="E1031" s="32">
        <v>36</v>
      </c>
      <c r="F1031" s="27">
        <v>369780</v>
      </c>
      <c r="G1031" s="32">
        <v>25</v>
      </c>
      <c r="H1031" s="27">
        <v>271054</v>
      </c>
      <c r="I1031" s="27">
        <v>10271.666666666666</v>
      </c>
      <c r="J1031" s="27">
        <v>10842.16</v>
      </c>
      <c r="K1031" s="29">
        <v>5.5540483530748058E-2</v>
      </c>
    </row>
    <row r="1032" spans="1:11" x14ac:dyDescent="0.25">
      <c r="A1032" s="5" t="s">
        <v>6</v>
      </c>
      <c r="B1032" s="5" t="s">
        <v>5142</v>
      </c>
      <c r="C1032" s="1" t="s">
        <v>5143</v>
      </c>
      <c r="E1032" s="32">
        <v>19</v>
      </c>
      <c r="F1032" s="27">
        <v>35217</v>
      </c>
      <c r="G1032" s="32">
        <v>20</v>
      </c>
      <c r="H1032" s="27">
        <v>39370</v>
      </c>
      <c r="I1032" s="27">
        <v>1853.5263157894738</v>
      </c>
      <c r="J1032" s="27">
        <v>1968.5</v>
      </c>
      <c r="K1032" s="29">
        <v>6.2029701564585246E-2</v>
      </c>
    </row>
    <row r="1033" spans="1:11" x14ac:dyDescent="0.25">
      <c r="A1033" s="5" t="s">
        <v>6</v>
      </c>
      <c r="B1033" s="5" t="s">
        <v>5146</v>
      </c>
      <c r="C1033" s="1" t="s">
        <v>4455</v>
      </c>
      <c r="E1033" s="32">
        <v>10</v>
      </c>
      <c r="F1033" s="27">
        <v>75770</v>
      </c>
      <c r="G1033" s="32">
        <v>10</v>
      </c>
      <c r="H1033" s="27">
        <v>82534</v>
      </c>
      <c r="I1033" s="27">
        <v>7577</v>
      </c>
      <c r="J1033" s="27">
        <v>8253.4</v>
      </c>
      <c r="K1033" s="29">
        <v>8.9270159693810164E-2</v>
      </c>
    </row>
    <row r="1034" spans="1:11" x14ac:dyDescent="0.25">
      <c r="A1034" s="5" t="s">
        <v>6</v>
      </c>
      <c r="B1034" s="5" t="s">
        <v>5150</v>
      </c>
      <c r="C1034" s="1" t="s">
        <v>5151</v>
      </c>
      <c r="E1034" s="32">
        <v>8</v>
      </c>
      <c r="F1034" s="27">
        <v>12848</v>
      </c>
      <c r="G1034" s="32">
        <v>8</v>
      </c>
      <c r="H1034" s="27">
        <v>13360</v>
      </c>
      <c r="I1034" s="27">
        <v>1606</v>
      </c>
      <c r="J1034" s="27">
        <v>1670</v>
      </c>
      <c r="K1034" s="29">
        <v>3.9850560398505604E-2</v>
      </c>
    </row>
    <row r="1035" spans="1:11" x14ac:dyDescent="0.25">
      <c r="A1035" s="5" t="s">
        <v>6</v>
      </c>
      <c r="B1035" s="5" t="s">
        <v>5153</v>
      </c>
      <c r="C1035" s="1" t="s">
        <v>5154</v>
      </c>
      <c r="D1035" s="5" t="s">
        <v>17656</v>
      </c>
      <c r="E1035" s="32">
        <v>3104</v>
      </c>
      <c r="F1035" s="27">
        <v>14874773</v>
      </c>
      <c r="G1035" s="32">
        <v>2925</v>
      </c>
      <c r="H1035" s="27">
        <v>14938434</v>
      </c>
      <c r="I1035" s="27">
        <v>4792.1304768041236</v>
      </c>
      <c r="J1035" s="27">
        <v>5107.1569230769228</v>
      </c>
      <c r="K1035" s="29">
        <v>6.5738286509028979E-2</v>
      </c>
    </row>
    <row r="1036" spans="1:11" x14ac:dyDescent="0.25">
      <c r="A1036" s="5" t="s">
        <v>6</v>
      </c>
      <c r="B1036" s="5" t="s">
        <v>5156</v>
      </c>
      <c r="C1036" s="1" t="s">
        <v>5157</v>
      </c>
      <c r="D1036" s="5" t="s">
        <v>17657</v>
      </c>
      <c r="E1036" s="32">
        <v>31</v>
      </c>
      <c r="F1036" s="27">
        <v>99292</v>
      </c>
      <c r="G1036" s="32">
        <v>31</v>
      </c>
      <c r="H1036" s="27">
        <v>106273</v>
      </c>
      <c r="I1036" s="27">
        <v>3202.9677419354839</v>
      </c>
      <c r="J1036" s="27">
        <v>3428.1612903225805</v>
      </c>
      <c r="K1036" s="29">
        <v>7.0307779075857016E-2</v>
      </c>
    </row>
    <row r="1037" spans="1:11" x14ac:dyDescent="0.25">
      <c r="A1037" s="5" t="s">
        <v>6</v>
      </c>
      <c r="B1037" s="5" t="s">
        <v>5159</v>
      </c>
      <c r="C1037" s="1" t="s">
        <v>5160</v>
      </c>
      <c r="D1037" s="5" t="s">
        <v>17658</v>
      </c>
      <c r="E1037" s="32">
        <v>44</v>
      </c>
      <c r="F1037" s="27">
        <v>61815</v>
      </c>
      <c r="G1037" s="32">
        <v>47</v>
      </c>
      <c r="H1037" s="27">
        <v>70992</v>
      </c>
      <c r="I1037" s="27">
        <v>1404.8863636363637</v>
      </c>
      <c r="J1037" s="27">
        <v>1510.4680851063829</v>
      </c>
      <c r="K1037" s="29">
        <v>7.5153211108644216E-2</v>
      </c>
    </row>
    <row r="1038" spans="1:11" x14ac:dyDescent="0.25">
      <c r="A1038" s="5" t="s">
        <v>6</v>
      </c>
      <c r="B1038" s="5" t="s">
        <v>5162</v>
      </c>
      <c r="C1038" s="1" t="s">
        <v>5163</v>
      </c>
      <c r="D1038" s="5" t="s">
        <v>17659</v>
      </c>
      <c r="E1038" s="32">
        <v>3</v>
      </c>
      <c r="F1038" s="27">
        <v>6405</v>
      </c>
      <c r="G1038" s="32">
        <v>7</v>
      </c>
      <c r="H1038" s="27">
        <v>16226</v>
      </c>
      <c r="I1038" s="27">
        <v>2135</v>
      </c>
      <c r="J1038" s="27">
        <v>2318</v>
      </c>
      <c r="K1038" s="29">
        <v>8.5714285714285715E-2</v>
      </c>
    </row>
    <row r="1039" spans="1:11" x14ac:dyDescent="0.25">
      <c r="A1039" s="5" t="s">
        <v>6</v>
      </c>
      <c r="B1039" s="5" t="s">
        <v>5165</v>
      </c>
      <c r="C1039" s="1" t="s">
        <v>4474</v>
      </c>
      <c r="E1039" s="32">
        <v>15</v>
      </c>
      <c r="F1039" s="27">
        <v>42350</v>
      </c>
      <c r="G1039" s="32">
        <v>50</v>
      </c>
      <c r="H1039" s="27">
        <v>154512</v>
      </c>
      <c r="I1039" s="27">
        <v>2823.3333333333335</v>
      </c>
      <c r="J1039" s="27">
        <v>3090.24</v>
      </c>
      <c r="K1039" s="29">
        <v>9.4536009445100225E-2</v>
      </c>
    </row>
    <row r="1040" spans="1:11" x14ac:dyDescent="0.25">
      <c r="A1040" s="5" t="s">
        <v>6</v>
      </c>
      <c r="B1040" s="5" t="s">
        <v>5166</v>
      </c>
      <c r="C1040" s="1" t="s">
        <v>5167</v>
      </c>
      <c r="D1040" s="5" t="s">
        <v>17660</v>
      </c>
      <c r="E1040" s="32">
        <v>83</v>
      </c>
      <c r="F1040" s="27">
        <v>188764</v>
      </c>
      <c r="G1040" s="32">
        <v>60</v>
      </c>
      <c r="H1040" s="27">
        <v>144448</v>
      </c>
      <c r="I1040" s="27">
        <v>2274.265060240964</v>
      </c>
      <c r="J1040" s="27">
        <v>2407.4666666666667</v>
      </c>
      <c r="K1040" s="29">
        <v>5.8569077437081889E-2</v>
      </c>
    </row>
    <row r="1041" spans="1:11" x14ac:dyDescent="0.25">
      <c r="A1041" s="5" t="s">
        <v>6</v>
      </c>
      <c r="B1041" s="5" t="s">
        <v>5172</v>
      </c>
      <c r="C1041" s="1" t="s">
        <v>4586</v>
      </c>
      <c r="E1041" s="32">
        <v>1</v>
      </c>
      <c r="F1041" s="27">
        <v>1491</v>
      </c>
      <c r="G1041" s="32">
        <v>8</v>
      </c>
      <c r="H1041" s="27">
        <v>12642</v>
      </c>
      <c r="I1041" s="27">
        <v>1491</v>
      </c>
      <c r="J1041" s="27">
        <v>1580.25</v>
      </c>
      <c r="K1041" s="29">
        <v>5.9859154929577461E-2</v>
      </c>
    </row>
    <row r="1042" spans="1:11" x14ac:dyDescent="0.25">
      <c r="A1042" s="5" t="s">
        <v>6</v>
      </c>
      <c r="B1042" s="5" t="s">
        <v>5173</v>
      </c>
      <c r="C1042" s="1" t="s">
        <v>5174</v>
      </c>
      <c r="D1042" s="5" t="s">
        <v>17661</v>
      </c>
      <c r="E1042" s="32">
        <v>200</v>
      </c>
      <c r="F1042" s="27">
        <v>352088</v>
      </c>
      <c r="G1042" s="32">
        <v>121</v>
      </c>
      <c r="H1042" s="27">
        <v>225467</v>
      </c>
      <c r="I1042" s="27">
        <v>1760.44</v>
      </c>
      <c r="J1042" s="27">
        <v>1863.3636363636363</v>
      </c>
      <c r="K1042" s="29">
        <v>5.8464722662309537E-2</v>
      </c>
    </row>
    <row r="1043" spans="1:11" x14ac:dyDescent="0.25">
      <c r="A1043" s="5" t="s">
        <v>6</v>
      </c>
      <c r="B1043" s="5" t="s">
        <v>5176</v>
      </c>
      <c r="C1043" s="1" t="s">
        <v>5177</v>
      </c>
      <c r="D1043" s="5" t="s">
        <v>17662</v>
      </c>
      <c r="E1043" s="32">
        <v>2</v>
      </c>
      <c r="F1043" s="27">
        <v>4120</v>
      </c>
      <c r="I1043" s="27">
        <v>2060</v>
      </c>
    </row>
    <row r="1044" spans="1:11" x14ac:dyDescent="0.25">
      <c r="A1044" s="5" t="s">
        <v>6</v>
      </c>
      <c r="B1044" s="5" t="s">
        <v>5179</v>
      </c>
      <c r="C1044" s="1" t="s">
        <v>5180</v>
      </c>
      <c r="D1044" s="5" t="s">
        <v>17663</v>
      </c>
      <c r="E1044" s="32">
        <v>552</v>
      </c>
      <c r="F1044" s="27">
        <v>2057580</v>
      </c>
      <c r="G1044" s="32">
        <v>586</v>
      </c>
      <c r="H1044" s="27">
        <v>2325436</v>
      </c>
      <c r="I1044" s="27">
        <v>3727.5</v>
      </c>
      <c r="J1044" s="27">
        <v>3968.3208191126278</v>
      </c>
      <c r="K1044" s="29">
        <v>6.4606524242153657E-2</v>
      </c>
    </row>
    <row r="1045" spans="1:11" x14ac:dyDescent="0.25">
      <c r="A1045" s="5" t="s">
        <v>6</v>
      </c>
      <c r="B1045" s="5" t="s">
        <v>5182</v>
      </c>
      <c r="C1045" s="1" t="s">
        <v>5183</v>
      </c>
      <c r="D1045" s="5" t="s">
        <v>17664</v>
      </c>
      <c r="E1045" s="32">
        <v>331</v>
      </c>
      <c r="F1045" s="27">
        <v>715059</v>
      </c>
      <c r="G1045" s="32">
        <v>527</v>
      </c>
      <c r="H1045" s="27">
        <v>1220801</v>
      </c>
      <c r="I1045" s="27">
        <v>2160.2990936555893</v>
      </c>
      <c r="J1045" s="27">
        <v>2316.5104364326376</v>
      </c>
      <c r="K1045" s="29">
        <v>7.2310053379095934E-2</v>
      </c>
    </row>
    <row r="1046" spans="1:11" x14ac:dyDescent="0.25">
      <c r="A1046" s="5" t="s">
        <v>6</v>
      </c>
      <c r="B1046" s="5" t="s">
        <v>5185</v>
      </c>
      <c r="C1046" s="1" t="s">
        <v>5186</v>
      </c>
      <c r="D1046" s="5" t="s">
        <v>17665</v>
      </c>
      <c r="E1046" s="32">
        <v>28</v>
      </c>
      <c r="F1046" s="27">
        <v>33578</v>
      </c>
      <c r="G1046" s="32">
        <v>11</v>
      </c>
      <c r="H1046" s="27">
        <v>13714</v>
      </c>
      <c r="I1046" s="27">
        <v>1199.2142857142858</v>
      </c>
      <c r="J1046" s="27">
        <v>1246.7272727272727</v>
      </c>
      <c r="K1046" s="29">
        <v>3.9620097574710675E-2</v>
      </c>
    </row>
    <row r="1047" spans="1:11" x14ac:dyDescent="0.25">
      <c r="A1047" s="5" t="s">
        <v>6</v>
      </c>
      <c r="B1047" s="5" t="s">
        <v>5188</v>
      </c>
      <c r="C1047" s="1" t="s">
        <v>5189</v>
      </c>
      <c r="D1047" s="5" t="s">
        <v>17666</v>
      </c>
      <c r="E1047" s="32">
        <v>13</v>
      </c>
      <c r="F1047" s="27">
        <v>12456</v>
      </c>
      <c r="I1047" s="27">
        <v>958.15384615384619</v>
      </c>
    </row>
    <row r="1048" spans="1:11" x14ac:dyDescent="0.25">
      <c r="A1048" s="5" t="s">
        <v>6</v>
      </c>
      <c r="B1048" s="5" t="s">
        <v>5191</v>
      </c>
      <c r="C1048" s="1" t="s">
        <v>5192</v>
      </c>
      <c r="E1048" s="32">
        <v>1</v>
      </c>
      <c r="F1048" s="27">
        <v>1359</v>
      </c>
      <c r="I1048" s="27">
        <v>1359</v>
      </c>
    </row>
    <row r="1049" spans="1:11" x14ac:dyDescent="0.25">
      <c r="A1049" s="5" t="s">
        <v>6</v>
      </c>
      <c r="B1049" s="5" t="s">
        <v>5197</v>
      </c>
      <c r="C1049" s="1" t="s">
        <v>5198</v>
      </c>
      <c r="D1049" s="5" t="s">
        <v>17095</v>
      </c>
      <c r="E1049" s="32">
        <v>2276</v>
      </c>
      <c r="F1049" s="27">
        <v>7348762</v>
      </c>
      <c r="G1049" s="32">
        <v>2443</v>
      </c>
      <c r="H1049" s="27">
        <v>8416456</v>
      </c>
      <c r="I1049" s="27">
        <v>3228.8057996485063</v>
      </c>
      <c r="J1049" s="27">
        <v>3445.1313958248056</v>
      </c>
      <c r="K1049" s="29">
        <v>6.6998639620830996E-2</v>
      </c>
    </row>
    <row r="1050" spans="1:11" x14ac:dyDescent="0.25">
      <c r="A1050" s="5" t="s">
        <v>6</v>
      </c>
      <c r="B1050" s="5" t="s">
        <v>5200</v>
      </c>
      <c r="C1050" s="1" t="s">
        <v>5201</v>
      </c>
      <c r="D1050" s="5" t="s">
        <v>17667</v>
      </c>
      <c r="E1050" s="32">
        <v>542</v>
      </c>
      <c r="F1050" s="27">
        <v>1116847</v>
      </c>
      <c r="G1050" s="32">
        <v>535</v>
      </c>
      <c r="H1050" s="27">
        <v>1175917</v>
      </c>
      <c r="I1050" s="27">
        <v>2060.6033210332102</v>
      </c>
      <c r="J1050" s="27">
        <v>2197.9757009345794</v>
      </c>
      <c r="K1050" s="29">
        <v>6.6666096525792792E-2</v>
      </c>
    </row>
    <row r="1051" spans="1:11" x14ac:dyDescent="0.25">
      <c r="A1051" s="5" t="s">
        <v>6</v>
      </c>
      <c r="B1051" s="5" t="s">
        <v>5203</v>
      </c>
      <c r="C1051" s="1" t="s">
        <v>5204</v>
      </c>
      <c r="D1051" s="5" t="s">
        <v>17668</v>
      </c>
      <c r="E1051" s="32">
        <v>1336</v>
      </c>
      <c r="F1051" s="27">
        <v>3864184</v>
      </c>
      <c r="G1051" s="32">
        <v>1354</v>
      </c>
      <c r="H1051" s="27">
        <v>4187963</v>
      </c>
      <c r="I1051" s="27">
        <v>2892.3532934131736</v>
      </c>
      <c r="J1051" s="27">
        <v>3093.0302806499262</v>
      </c>
      <c r="K1051" s="29">
        <v>6.9381907007611848E-2</v>
      </c>
    </row>
    <row r="1052" spans="1:11" x14ac:dyDescent="0.25">
      <c r="A1052" s="5" t="s">
        <v>6</v>
      </c>
      <c r="B1052" s="5" t="s">
        <v>5206</v>
      </c>
      <c r="C1052" s="1" t="s">
        <v>5207</v>
      </c>
      <c r="D1052" s="5" t="s">
        <v>17669</v>
      </c>
      <c r="E1052" s="32">
        <v>7</v>
      </c>
      <c r="F1052" s="27">
        <v>12734</v>
      </c>
      <c r="I1052" s="27">
        <v>1819.1428571428571</v>
      </c>
    </row>
    <row r="1053" spans="1:11" x14ac:dyDescent="0.25">
      <c r="A1053" s="5" t="s">
        <v>6</v>
      </c>
      <c r="B1053" s="5" t="s">
        <v>5209</v>
      </c>
      <c r="C1053" s="1" t="s">
        <v>5210</v>
      </c>
      <c r="D1053" s="5" t="s">
        <v>17670</v>
      </c>
      <c r="E1053" s="32">
        <v>15</v>
      </c>
      <c r="F1053" s="27">
        <v>21979</v>
      </c>
      <c r="G1053" s="32">
        <v>6</v>
      </c>
      <c r="H1053" s="27">
        <v>9462</v>
      </c>
      <c r="I1053" s="27">
        <v>1465.2666666666667</v>
      </c>
      <c r="J1053" s="27">
        <v>1577</v>
      </c>
      <c r="K1053" s="29">
        <v>7.6254606670003194E-2</v>
      </c>
    </row>
    <row r="1054" spans="1:11" x14ac:dyDescent="0.25">
      <c r="A1054" s="5" t="s">
        <v>6</v>
      </c>
      <c r="B1054" s="5" t="s">
        <v>5212</v>
      </c>
      <c r="C1054" s="1" t="s">
        <v>5213</v>
      </c>
      <c r="D1054" s="5" t="s">
        <v>17671</v>
      </c>
      <c r="E1054" s="32">
        <v>259</v>
      </c>
      <c r="F1054" s="27">
        <v>471596</v>
      </c>
      <c r="G1054" s="32">
        <v>276</v>
      </c>
      <c r="H1054" s="27">
        <v>533712</v>
      </c>
      <c r="I1054" s="27">
        <v>1820.8339768339767</v>
      </c>
      <c r="J1054" s="27">
        <v>1933.7391304347825</v>
      </c>
      <c r="K1054" s="29">
        <v>6.2007385097856416E-2</v>
      </c>
    </row>
    <row r="1055" spans="1:11" x14ac:dyDescent="0.25">
      <c r="A1055" s="5" t="s">
        <v>6</v>
      </c>
      <c r="B1055" s="5" t="s">
        <v>5215</v>
      </c>
      <c r="C1055" s="1" t="s">
        <v>5216</v>
      </c>
      <c r="D1055" s="5" t="s">
        <v>17672</v>
      </c>
      <c r="E1055" s="32">
        <v>401</v>
      </c>
      <c r="F1055" s="27">
        <v>988432</v>
      </c>
      <c r="G1055" s="32">
        <v>378</v>
      </c>
      <c r="H1055" s="27">
        <v>994244</v>
      </c>
      <c r="I1055" s="27">
        <v>2464.917705735661</v>
      </c>
      <c r="J1055" s="27">
        <v>2630.2751322751324</v>
      </c>
      <c r="K1055" s="29">
        <v>6.7084359917857786E-2</v>
      </c>
    </row>
    <row r="1056" spans="1:11" x14ac:dyDescent="0.25">
      <c r="A1056" s="5" t="s">
        <v>6</v>
      </c>
      <c r="B1056" s="5" t="s">
        <v>5221</v>
      </c>
      <c r="C1056" s="1" t="s">
        <v>5222</v>
      </c>
      <c r="D1056" s="5" t="s">
        <v>17673</v>
      </c>
      <c r="E1056" s="32">
        <v>78</v>
      </c>
      <c r="F1056" s="27">
        <v>80333</v>
      </c>
      <c r="G1056" s="32">
        <v>95</v>
      </c>
      <c r="H1056" s="27">
        <v>104684</v>
      </c>
      <c r="I1056" s="27">
        <v>1029.9102564102564</v>
      </c>
      <c r="J1056" s="27">
        <v>1101.9368421052632</v>
      </c>
      <c r="K1056" s="29">
        <v>6.9934817375306935E-2</v>
      </c>
    </row>
    <row r="1057" spans="1:11" x14ac:dyDescent="0.25">
      <c r="A1057" s="5" t="s">
        <v>6</v>
      </c>
      <c r="B1057" s="5" t="s">
        <v>5230</v>
      </c>
      <c r="C1057" s="1" t="s">
        <v>5231</v>
      </c>
      <c r="D1057" s="5" t="s">
        <v>17674</v>
      </c>
      <c r="E1057" s="32">
        <v>347</v>
      </c>
      <c r="F1057" s="27">
        <v>595504</v>
      </c>
      <c r="G1057" s="32">
        <v>317</v>
      </c>
      <c r="H1057" s="27">
        <v>582933</v>
      </c>
      <c r="I1057" s="27">
        <v>1716.1498559077809</v>
      </c>
      <c r="J1057" s="27">
        <v>1838.9053627760252</v>
      </c>
      <c r="K1057" s="29">
        <v>7.1529596582526361E-2</v>
      </c>
    </row>
    <row r="1058" spans="1:11" x14ac:dyDescent="0.25">
      <c r="A1058" s="5" t="s">
        <v>6</v>
      </c>
      <c r="B1058" s="5" t="s">
        <v>5236</v>
      </c>
      <c r="C1058" s="1" t="s">
        <v>5237</v>
      </c>
      <c r="D1058" s="5" t="s">
        <v>17097</v>
      </c>
      <c r="E1058" s="32">
        <v>57</v>
      </c>
      <c r="F1058" s="27">
        <v>175623</v>
      </c>
      <c r="G1058" s="32">
        <v>40</v>
      </c>
      <c r="H1058" s="27">
        <v>132995</v>
      </c>
      <c r="I1058" s="27">
        <v>3081.1052631578946</v>
      </c>
      <c r="J1058" s="27">
        <v>3324.875</v>
      </c>
      <c r="K1058" s="29">
        <v>7.9117626962299986E-2</v>
      </c>
    </row>
    <row r="1059" spans="1:11" x14ac:dyDescent="0.25">
      <c r="A1059" s="5" t="s">
        <v>6</v>
      </c>
      <c r="B1059" s="5" t="s">
        <v>5239</v>
      </c>
      <c r="C1059" s="1" t="s">
        <v>5240</v>
      </c>
      <c r="D1059" s="5" t="s">
        <v>17675</v>
      </c>
      <c r="E1059" s="32">
        <v>1</v>
      </c>
      <c r="F1059" s="27">
        <v>1324</v>
      </c>
      <c r="I1059" s="27">
        <v>1324</v>
      </c>
    </row>
    <row r="1060" spans="1:11" x14ac:dyDescent="0.25">
      <c r="A1060" s="5" t="s">
        <v>6</v>
      </c>
      <c r="B1060" s="5" t="s">
        <v>5242</v>
      </c>
      <c r="C1060" s="1" t="s">
        <v>5243</v>
      </c>
      <c r="D1060" s="5" t="s">
        <v>17676</v>
      </c>
      <c r="E1060" s="32">
        <v>621</v>
      </c>
      <c r="F1060" s="27">
        <v>1316051</v>
      </c>
      <c r="G1060" s="32">
        <v>494</v>
      </c>
      <c r="H1060" s="27">
        <v>1118494</v>
      </c>
      <c r="I1060" s="27">
        <v>2119.2447665056361</v>
      </c>
      <c r="J1060" s="27">
        <v>2264.1578947368421</v>
      </c>
      <c r="K1060" s="29">
        <v>6.8379608868941177E-2</v>
      </c>
    </row>
    <row r="1061" spans="1:11" x14ac:dyDescent="0.25">
      <c r="A1061" s="5" t="s">
        <v>6</v>
      </c>
      <c r="B1061" s="5" t="s">
        <v>5251</v>
      </c>
      <c r="C1061" s="1" t="s">
        <v>5252</v>
      </c>
      <c r="D1061" s="5" t="s">
        <v>17677</v>
      </c>
      <c r="E1061" s="32">
        <v>807</v>
      </c>
      <c r="F1061" s="27">
        <v>2165061</v>
      </c>
      <c r="G1061" s="32">
        <v>677</v>
      </c>
      <c r="H1061" s="27">
        <v>1942007</v>
      </c>
      <c r="I1061" s="27">
        <v>2682.8513011152418</v>
      </c>
      <c r="J1061" s="27">
        <v>2868.5480059084193</v>
      </c>
      <c r="K1061" s="29">
        <v>6.9216174864400723E-2</v>
      </c>
    </row>
    <row r="1062" spans="1:11" x14ac:dyDescent="0.25">
      <c r="A1062" s="5" t="s">
        <v>6</v>
      </c>
      <c r="B1062" s="5" t="s">
        <v>5254</v>
      </c>
      <c r="C1062" s="1" t="s">
        <v>5255</v>
      </c>
      <c r="D1062" s="5" t="s">
        <v>17678</v>
      </c>
      <c r="E1062" s="32">
        <v>1</v>
      </c>
      <c r="F1062" s="27">
        <v>949</v>
      </c>
      <c r="I1062" s="27">
        <v>949</v>
      </c>
    </row>
    <row r="1063" spans="1:11" x14ac:dyDescent="0.25">
      <c r="A1063" s="5" t="s">
        <v>6</v>
      </c>
      <c r="B1063" s="5" t="s">
        <v>5260</v>
      </c>
      <c r="C1063" s="1" t="s">
        <v>5261</v>
      </c>
      <c r="D1063" s="5" t="s">
        <v>17679</v>
      </c>
      <c r="E1063" s="32">
        <v>125</v>
      </c>
      <c r="F1063" s="27">
        <v>106526</v>
      </c>
      <c r="G1063" s="32">
        <v>111</v>
      </c>
      <c r="H1063" s="27">
        <v>100788</v>
      </c>
      <c r="I1063" s="27">
        <v>852.20799999999997</v>
      </c>
      <c r="J1063" s="27">
        <v>908</v>
      </c>
      <c r="K1063" s="29">
        <v>6.5467585378217563E-2</v>
      </c>
    </row>
    <row r="1064" spans="1:11" x14ac:dyDescent="0.25">
      <c r="A1064" s="5" t="s">
        <v>6</v>
      </c>
      <c r="B1064" s="5" t="s">
        <v>5266</v>
      </c>
      <c r="C1064" s="1" t="s">
        <v>3862</v>
      </c>
      <c r="D1064" s="5" t="s">
        <v>17504</v>
      </c>
      <c r="E1064" s="32">
        <v>3</v>
      </c>
      <c r="F1064" s="27">
        <v>10959</v>
      </c>
      <c r="I1064" s="27">
        <v>3653</v>
      </c>
    </row>
    <row r="1065" spans="1:11" x14ac:dyDescent="0.25">
      <c r="A1065" s="5" t="s">
        <v>6</v>
      </c>
      <c r="B1065" s="5" t="s">
        <v>5268</v>
      </c>
      <c r="C1065" s="1" t="s">
        <v>5269</v>
      </c>
      <c r="D1065" s="5" t="s">
        <v>17680</v>
      </c>
      <c r="E1065" s="32">
        <v>8</v>
      </c>
      <c r="F1065" s="27">
        <v>20673</v>
      </c>
      <c r="I1065" s="27">
        <v>2584.125</v>
      </c>
    </row>
    <row r="1066" spans="1:11" x14ac:dyDescent="0.25">
      <c r="A1066" s="5" t="s">
        <v>6</v>
      </c>
      <c r="B1066" s="5" t="s">
        <v>5271</v>
      </c>
      <c r="C1066" s="1" t="s">
        <v>5272</v>
      </c>
      <c r="D1066" s="5" t="s">
        <v>17681</v>
      </c>
      <c r="E1066" s="32">
        <v>502</v>
      </c>
      <c r="F1066" s="27">
        <v>1261620</v>
      </c>
      <c r="G1066" s="32">
        <v>511</v>
      </c>
      <c r="H1066" s="27">
        <v>1366595</v>
      </c>
      <c r="I1066" s="27">
        <v>2513.1872509960158</v>
      </c>
      <c r="J1066" s="27">
        <v>2674.3542074363991</v>
      </c>
      <c r="K1066" s="29">
        <v>6.4128511067573765E-2</v>
      </c>
    </row>
    <row r="1067" spans="1:11" x14ac:dyDescent="0.25">
      <c r="A1067" s="5" t="s">
        <v>6</v>
      </c>
      <c r="B1067" s="5" t="s">
        <v>5274</v>
      </c>
      <c r="C1067" s="1" t="s">
        <v>5275</v>
      </c>
      <c r="D1067" s="5" t="s">
        <v>17682</v>
      </c>
      <c r="E1067" s="32">
        <v>9</v>
      </c>
      <c r="F1067" s="27">
        <v>18877</v>
      </c>
      <c r="G1067" s="32">
        <v>2</v>
      </c>
      <c r="H1067" s="27">
        <v>4441</v>
      </c>
      <c r="I1067" s="27">
        <v>2097.4444444444443</v>
      </c>
      <c r="J1067" s="27">
        <v>2220.5</v>
      </c>
      <c r="K1067" s="29">
        <v>5.8669280076283359E-2</v>
      </c>
    </row>
    <row r="1068" spans="1:11" x14ac:dyDescent="0.25">
      <c r="A1068" s="5" t="s">
        <v>6</v>
      </c>
      <c r="B1068" s="5" t="s">
        <v>5276</v>
      </c>
      <c r="C1068" s="1" t="s">
        <v>5277</v>
      </c>
      <c r="D1068" s="5" t="s">
        <v>17683</v>
      </c>
      <c r="E1068" s="32">
        <v>37</v>
      </c>
      <c r="F1068" s="27">
        <v>48574</v>
      </c>
      <c r="G1068" s="32">
        <v>39</v>
      </c>
      <c r="H1068" s="27">
        <v>55357</v>
      </c>
      <c r="I1068" s="27">
        <v>1312.8108108108108</v>
      </c>
      <c r="J1068" s="27">
        <v>1419.4102564102564</v>
      </c>
      <c r="K1068" s="29">
        <v>8.1199396532702348E-2</v>
      </c>
    </row>
    <row r="1069" spans="1:11" x14ac:dyDescent="0.25">
      <c r="A1069" s="5" t="s">
        <v>6</v>
      </c>
      <c r="B1069" s="5" t="s">
        <v>5279</v>
      </c>
      <c r="C1069" s="1" t="s">
        <v>5280</v>
      </c>
      <c r="D1069" s="5" t="s">
        <v>17684</v>
      </c>
      <c r="E1069" s="32">
        <v>1</v>
      </c>
      <c r="F1069" s="27">
        <v>1857</v>
      </c>
      <c r="I1069" s="27">
        <v>1857</v>
      </c>
    </row>
    <row r="1070" spans="1:11" x14ac:dyDescent="0.25">
      <c r="A1070" s="5" t="s">
        <v>6</v>
      </c>
      <c r="B1070" s="5" t="s">
        <v>5282</v>
      </c>
      <c r="C1070" s="1" t="s">
        <v>5283</v>
      </c>
      <c r="D1070" s="5" t="s">
        <v>17685</v>
      </c>
      <c r="E1070" s="32">
        <v>316</v>
      </c>
      <c r="F1070" s="27">
        <v>416034</v>
      </c>
      <c r="G1070" s="32">
        <v>435</v>
      </c>
      <c r="H1070" s="27">
        <v>613988</v>
      </c>
      <c r="I1070" s="27">
        <v>1316.5632911392406</v>
      </c>
      <c r="J1070" s="27">
        <v>1411.4666666666667</v>
      </c>
      <c r="K1070" s="29">
        <v>7.2084172607687444E-2</v>
      </c>
    </row>
    <row r="1071" spans="1:11" x14ac:dyDescent="0.25">
      <c r="A1071" s="5" t="s">
        <v>6</v>
      </c>
      <c r="B1071" s="5" t="s">
        <v>5285</v>
      </c>
      <c r="C1071" s="1" t="s">
        <v>5286</v>
      </c>
      <c r="D1071" s="5" t="s">
        <v>17686</v>
      </c>
      <c r="E1071" s="32">
        <v>33</v>
      </c>
      <c r="F1071" s="27">
        <v>43353</v>
      </c>
      <c r="G1071" s="32">
        <v>35</v>
      </c>
      <c r="H1071" s="27">
        <v>49437</v>
      </c>
      <c r="I1071" s="27">
        <v>1313.7272727272727</v>
      </c>
      <c r="J1071" s="27">
        <v>1412.4857142857143</v>
      </c>
      <c r="K1071" s="29">
        <v>7.5174234111331853E-2</v>
      </c>
    </row>
    <row r="1072" spans="1:11" x14ac:dyDescent="0.25">
      <c r="A1072" s="5" t="s">
        <v>6</v>
      </c>
      <c r="B1072" s="5" t="s">
        <v>5292</v>
      </c>
      <c r="C1072" s="1" t="s">
        <v>5117</v>
      </c>
      <c r="E1072" s="32">
        <v>1</v>
      </c>
      <c r="F1072" s="27">
        <v>1757</v>
      </c>
      <c r="I1072" s="27">
        <v>1757</v>
      </c>
    </row>
    <row r="1073" spans="1:11" x14ac:dyDescent="0.25">
      <c r="A1073" s="5" t="s">
        <v>6</v>
      </c>
      <c r="B1073" s="5" t="s">
        <v>5293</v>
      </c>
      <c r="C1073" s="1" t="s">
        <v>4844</v>
      </c>
      <c r="E1073" s="32">
        <v>25</v>
      </c>
      <c r="F1073" s="27">
        <v>47569</v>
      </c>
      <c r="G1073" s="32">
        <v>34</v>
      </c>
      <c r="H1073" s="27">
        <v>68086</v>
      </c>
      <c r="I1073" s="27">
        <v>1902.76</v>
      </c>
      <c r="J1073" s="27">
        <v>2002.5294117647059</v>
      </c>
      <c r="K1073" s="29">
        <v>5.243404936235041E-2</v>
      </c>
    </row>
    <row r="1074" spans="1:11" x14ac:dyDescent="0.25">
      <c r="A1074" s="5" t="s">
        <v>6</v>
      </c>
      <c r="B1074" s="5" t="s">
        <v>5294</v>
      </c>
      <c r="C1074" s="1" t="s">
        <v>5109</v>
      </c>
      <c r="E1074" s="32">
        <v>4</v>
      </c>
      <c r="F1074" s="27">
        <v>7316</v>
      </c>
      <c r="G1074" s="32">
        <v>6</v>
      </c>
      <c r="H1074" s="27">
        <v>11941</v>
      </c>
      <c r="I1074" s="27">
        <v>1829</v>
      </c>
      <c r="J1074" s="27">
        <v>1990.1666666666667</v>
      </c>
      <c r="K1074" s="29">
        <v>8.8117368325132173E-2</v>
      </c>
    </row>
    <row r="1075" spans="1:11" x14ac:dyDescent="0.25">
      <c r="A1075" s="5" t="s">
        <v>6</v>
      </c>
      <c r="B1075" s="5" t="s">
        <v>5295</v>
      </c>
      <c r="C1075" s="1" t="s">
        <v>4747</v>
      </c>
      <c r="E1075" s="32">
        <v>19</v>
      </c>
      <c r="F1075" s="27">
        <v>35891</v>
      </c>
      <c r="G1075" s="32">
        <v>15</v>
      </c>
      <c r="H1075" s="27">
        <v>29739</v>
      </c>
      <c r="I1075" s="27">
        <v>1889</v>
      </c>
      <c r="J1075" s="27">
        <v>1982.6</v>
      </c>
      <c r="K1075" s="29">
        <v>4.9550026469031186E-2</v>
      </c>
    </row>
    <row r="1076" spans="1:11" x14ac:dyDescent="0.25">
      <c r="A1076" s="5" t="s">
        <v>6</v>
      </c>
      <c r="B1076" s="5" t="s">
        <v>5296</v>
      </c>
      <c r="C1076" s="1" t="s">
        <v>5297</v>
      </c>
      <c r="E1076" s="32">
        <v>1</v>
      </c>
      <c r="F1076" s="27">
        <v>1030</v>
      </c>
      <c r="I1076" s="27">
        <v>1030</v>
      </c>
    </row>
    <row r="1077" spans="1:11" x14ac:dyDescent="0.25">
      <c r="A1077" s="5" t="s">
        <v>6</v>
      </c>
      <c r="B1077" s="5" t="s">
        <v>5302</v>
      </c>
      <c r="C1077" s="1" t="s">
        <v>5303</v>
      </c>
      <c r="E1077" s="32">
        <v>18</v>
      </c>
      <c r="F1077" s="27">
        <v>33794</v>
      </c>
      <c r="G1077" s="32">
        <v>15</v>
      </c>
      <c r="H1077" s="27">
        <v>30501</v>
      </c>
      <c r="I1077" s="27">
        <v>1877.4444444444443</v>
      </c>
      <c r="J1077" s="27">
        <v>2033.4</v>
      </c>
      <c r="K1077" s="29">
        <v>8.3068000236728515E-2</v>
      </c>
    </row>
    <row r="1078" spans="1:11" x14ac:dyDescent="0.25">
      <c r="A1078" s="5" t="s">
        <v>6</v>
      </c>
      <c r="B1078" s="5" t="s">
        <v>5305</v>
      </c>
      <c r="C1078" s="1" t="s">
        <v>4847</v>
      </c>
      <c r="E1078" s="32">
        <v>613</v>
      </c>
      <c r="F1078" s="27">
        <v>2892207</v>
      </c>
      <c r="G1078" s="32">
        <v>670</v>
      </c>
      <c r="H1078" s="27">
        <v>3364462</v>
      </c>
      <c r="I1078" s="27">
        <v>4718.119086460033</v>
      </c>
      <c r="J1078" s="27">
        <v>5021.5850746268661</v>
      </c>
      <c r="K1078" s="29">
        <v>6.4319272702911184E-2</v>
      </c>
    </row>
    <row r="1079" spans="1:11" x14ac:dyDescent="0.25">
      <c r="A1079" s="5" t="s">
        <v>6</v>
      </c>
      <c r="B1079" s="5" t="s">
        <v>5318</v>
      </c>
      <c r="C1079" s="1" t="s">
        <v>4855</v>
      </c>
      <c r="E1079" s="32">
        <v>1</v>
      </c>
      <c r="F1079" s="27">
        <v>7667</v>
      </c>
      <c r="G1079" s="32">
        <v>3</v>
      </c>
      <c r="H1079" s="27">
        <v>26310</v>
      </c>
      <c r="I1079" s="27">
        <v>7667</v>
      </c>
      <c r="J1079" s="27">
        <v>8770</v>
      </c>
      <c r="K1079" s="29">
        <v>0.14386331029085692</v>
      </c>
    </row>
    <row r="1080" spans="1:11" x14ac:dyDescent="0.25">
      <c r="A1080" s="5" t="s">
        <v>6</v>
      </c>
      <c r="B1080" s="5" t="s">
        <v>5319</v>
      </c>
      <c r="C1080" s="1" t="s">
        <v>4852</v>
      </c>
      <c r="E1080" s="32">
        <v>5</v>
      </c>
      <c r="F1080" s="27">
        <v>37275</v>
      </c>
      <c r="G1080" s="32">
        <v>7</v>
      </c>
      <c r="H1080" s="27">
        <v>57589</v>
      </c>
      <c r="I1080" s="27">
        <v>7455</v>
      </c>
      <c r="J1080" s="27">
        <v>8227</v>
      </c>
      <c r="K1080" s="29">
        <v>0.10355466130114017</v>
      </c>
    </row>
    <row r="1081" spans="1:11" x14ac:dyDescent="0.25">
      <c r="A1081" s="5" t="s">
        <v>6</v>
      </c>
      <c r="B1081" s="5" t="s">
        <v>5335</v>
      </c>
      <c r="C1081" s="1" t="s">
        <v>5336</v>
      </c>
      <c r="E1081" s="32">
        <v>1739</v>
      </c>
      <c r="F1081" s="27">
        <v>9640125</v>
      </c>
      <c r="G1081" s="32">
        <v>2017</v>
      </c>
      <c r="H1081" s="27">
        <v>11961940</v>
      </c>
      <c r="I1081" s="27">
        <v>5543.4876365727432</v>
      </c>
      <c r="J1081" s="27">
        <v>5930.5602379771935</v>
      </c>
      <c r="K1081" s="29">
        <v>6.9824743335002298E-2</v>
      </c>
    </row>
    <row r="1082" spans="1:11" x14ac:dyDescent="0.25">
      <c r="A1082" s="5" t="s">
        <v>6</v>
      </c>
      <c r="B1082" s="5" t="s">
        <v>5338</v>
      </c>
      <c r="C1082" s="1" t="s">
        <v>5339</v>
      </c>
      <c r="E1082" s="32">
        <v>1662</v>
      </c>
      <c r="F1082" s="27">
        <v>4609665</v>
      </c>
      <c r="G1082" s="32">
        <v>1935</v>
      </c>
      <c r="H1082" s="27">
        <v>5743260</v>
      </c>
      <c r="I1082" s="27">
        <v>2773.5649819494583</v>
      </c>
      <c r="J1082" s="27">
        <v>2968.0930232558139</v>
      </c>
      <c r="K1082" s="29">
        <v>7.013646428778729E-2</v>
      </c>
    </row>
    <row r="1083" spans="1:11" x14ac:dyDescent="0.25">
      <c r="A1083" s="5" t="s">
        <v>6</v>
      </c>
      <c r="B1083" s="5" t="s">
        <v>5341</v>
      </c>
      <c r="C1083" s="1" t="s">
        <v>5342</v>
      </c>
      <c r="E1083" s="32">
        <v>1459</v>
      </c>
      <c r="F1083" s="27">
        <v>1279002</v>
      </c>
      <c r="G1083" s="32">
        <v>1579</v>
      </c>
      <c r="H1083" s="27">
        <v>1477696</v>
      </c>
      <c r="I1083" s="27">
        <v>876.62919808087736</v>
      </c>
      <c r="J1083" s="27">
        <v>935.84293856871443</v>
      </c>
      <c r="K1083" s="29">
        <v>6.7547077621265869E-2</v>
      </c>
    </row>
    <row r="1084" spans="1:11" x14ac:dyDescent="0.25">
      <c r="A1084" s="5" t="s">
        <v>6</v>
      </c>
      <c r="B1084" s="5" t="s">
        <v>5343</v>
      </c>
      <c r="C1084" s="1" t="s">
        <v>5344</v>
      </c>
      <c r="E1084" s="32">
        <v>58</v>
      </c>
      <c r="F1084" s="27">
        <v>7538</v>
      </c>
      <c r="G1084" s="32">
        <v>82</v>
      </c>
      <c r="H1084" s="27">
        <v>11302</v>
      </c>
      <c r="I1084" s="27">
        <v>129.9655172413793</v>
      </c>
      <c r="J1084" s="27">
        <v>137.82926829268294</v>
      </c>
      <c r="K1084" s="29">
        <v>6.0506442156488593E-2</v>
      </c>
    </row>
    <row r="1085" spans="1:11" x14ac:dyDescent="0.25">
      <c r="A1085" s="5" t="s">
        <v>6</v>
      </c>
      <c r="B1085" s="5" t="s">
        <v>5347</v>
      </c>
      <c r="C1085" s="1" t="s">
        <v>248</v>
      </c>
      <c r="D1085" s="5" t="s">
        <v>17198</v>
      </c>
      <c r="E1085" s="32">
        <v>565</v>
      </c>
      <c r="F1085" s="27">
        <v>230944</v>
      </c>
      <c r="G1085" s="32">
        <v>540</v>
      </c>
      <c r="H1085" s="27">
        <v>235452</v>
      </c>
      <c r="I1085" s="27">
        <v>408.75044247787611</v>
      </c>
      <c r="J1085" s="27">
        <v>436.02222222222224</v>
      </c>
      <c r="K1085" s="29">
        <v>6.6719878219635778E-2</v>
      </c>
    </row>
    <row r="1086" spans="1:11" x14ac:dyDescent="0.25">
      <c r="A1086" s="5" t="s">
        <v>6</v>
      </c>
      <c r="B1086" s="5" t="s">
        <v>5348</v>
      </c>
      <c r="C1086" s="1" t="s">
        <v>5349</v>
      </c>
      <c r="D1086" s="5" t="s">
        <v>17687</v>
      </c>
      <c r="E1086" s="32">
        <v>780</v>
      </c>
      <c r="F1086" s="27">
        <v>396330</v>
      </c>
      <c r="G1086" s="32">
        <v>686</v>
      </c>
      <c r="H1086" s="27">
        <v>370663</v>
      </c>
      <c r="I1086" s="27">
        <v>508.11538461538464</v>
      </c>
      <c r="J1086" s="27">
        <v>540.32507288629733</v>
      </c>
      <c r="K1086" s="29">
        <v>6.3390499965462865E-2</v>
      </c>
    </row>
    <row r="1087" spans="1:11" x14ac:dyDescent="0.25">
      <c r="A1087" s="5" t="s">
        <v>6</v>
      </c>
      <c r="B1087" s="5" t="s">
        <v>5351</v>
      </c>
      <c r="C1087" s="1" t="s">
        <v>5352</v>
      </c>
      <c r="D1087" s="5" t="s">
        <v>17688</v>
      </c>
      <c r="E1087" s="32">
        <v>5</v>
      </c>
      <c r="F1087" s="27">
        <v>5865</v>
      </c>
      <c r="I1087" s="27">
        <v>1173</v>
      </c>
    </row>
    <row r="1088" spans="1:11" x14ac:dyDescent="0.25">
      <c r="A1088" s="5" t="s">
        <v>6</v>
      </c>
      <c r="B1088" s="5" t="s">
        <v>5354</v>
      </c>
      <c r="C1088" s="1" t="s">
        <v>5355</v>
      </c>
      <c r="D1088" s="5" t="s">
        <v>17689</v>
      </c>
      <c r="E1088" s="32">
        <v>2</v>
      </c>
      <c r="F1088" s="27">
        <v>13470</v>
      </c>
      <c r="I1088" s="27">
        <v>6735</v>
      </c>
    </row>
    <row r="1089" spans="1:11" x14ac:dyDescent="0.25">
      <c r="A1089" s="5" t="s">
        <v>6</v>
      </c>
      <c r="B1089" s="5" t="s">
        <v>5357</v>
      </c>
      <c r="C1089" s="1" t="s">
        <v>5358</v>
      </c>
      <c r="D1089" s="5" t="s">
        <v>17690</v>
      </c>
      <c r="E1089" s="32">
        <v>12</v>
      </c>
      <c r="F1089" s="27">
        <v>71496</v>
      </c>
      <c r="G1089" s="32">
        <v>11</v>
      </c>
      <c r="H1089" s="27">
        <v>70308</v>
      </c>
      <c r="I1089" s="27">
        <v>5958</v>
      </c>
      <c r="J1089" s="27">
        <v>6391.636363636364</v>
      </c>
      <c r="K1089" s="29">
        <v>7.2782202691568307E-2</v>
      </c>
    </row>
    <row r="1090" spans="1:11" x14ac:dyDescent="0.25">
      <c r="A1090" s="5" t="s">
        <v>6</v>
      </c>
      <c r="B1090" s="5" t="s">
        <v>5360</v>
      </c>
      <c r="C1090" s="1" t="s">
        <v>5361</v>
      </c>
      <c r="D1090" s="5" t="s">
        <v>17691</v>
      </c>
      <c r="E1090" s="32">
        <v>69</v>
      </c>
      <c r="F1090" s="27">
        <v>53880</v>
      </c>
      <c r="G1090" s="32">
        <v>83</v>
      </c>
      <c r="H1090" s="27">
        <v>68783</v>
      </c>
      <c r="I1090" s="27">
        <v>780.86956521739125</v>
      </c>
      <c r="J1090" s="27">
        <v>828.71084337349396</v>
      </c>
      <c r="K1090" s="29">
        <v>6.1266670244452238E-2</v>
      </c>
    </row>
    <row r="1091" spans="1:11" x14ac:dyDescent="0.25">
      <c r="A1091" s="5" t="s">
        <v>6</v>
      </c>
      <c r="B1091" s="5" t="s">
        <v>5363</v>
      </c>
      <c r="C1091" s="1" t="s">
        <v>5364</v>
      </c>
      <c r="D1091" s="5" t="s">
        <v>17692</v>
      </c>
      <c r="E1091" s="32">
        <v>193</v>
      </c>
      <c r="F1091" s="27">
        <v>330496</v>
      </c>
      <c r="G1091" s="32">
        <v>237</v>
      </c>
      <c r="H1091" s="27">
        <v>435602</v>
      </c>
      <c r="I1091" s="27">
        <v>1712.4145077720207</v>
      </c>
      <c r="J1091" s="27">
        <v>1837.9831223628692</v>
      </c>
      <c r="K1091" s="29">
        <v>7.3328399181937925E-2</v>
      </c>
    </row>
    <row r="1092" spans="1:11" x14ac:dyDescent="0.25">
      <c r="A1092" s="5" t="s">
        <v>6</v>
      </c>
      <c r="B1092" s="5" t="s">
        <v>5369</v>
      </c>
      <c r="C1092" s="1" t="s">
        <v>5370</v>
      </c>
      <c r="D1092" s="5" t="s">
        <v>17693</v>
      </c>
      <c r="E1092" s="32">
        <v>1258</v>
      </c>
      <c r="F1092" s="27">
        <v>2899209</v>
      </c>
      <c r="G1092" s="32">
        <v>1369</v>
      </c>
      <c r="H1092" s="27">
        <v>3372388</v>
      </c>
      <c r="I1092" s="27">
        <v>2304.6176470588234</v>
      </c>
      <c r="J1092" s="27">
        <v>2463.3951789627467</v>
      </c>
      <c r="K1092" s="29">
        <v>6.8895390134045373E-2</v>
      </c>
    </row>
    <row r="1093" spans="1:11" x14ac:dyDescent="0.25">
      <c r="A1093" s="5" t="s">
        <v>6</v>
      </c>
      <c r="B1093" s="5" t="s">
        <v>5375</v>
      </c>
      <c r="C1093" s="1" t="s">
        <v>5376</v>
      </c>
      <c r="D1093" s="5" t="s">
        <v>17694</v>
      </c>
      <c r="E1093" s="32">
        <v>69</v>
      </c>
      <c r="F1093" s="27">
        <v>41898</v>
      </c>
      <c r="G1093" s="32">
        <v>93</v>
      </c>
      <c r="H1093" s="27">
        <v>61160</v>
      </c>
      <c r="I1093" s="27">
        <v>607.21739130434787</v>
      </c>
      <c r="J1093" s="27">
        <v>657.63440860215053</v>
      </c>
      <c r="K1093" s="29">
        <v>8.3029600304271881E-2</v>
      </c>
    </row>
    <row r="1094" spans="1:11" x14ac:dyDescent="0.25">
      <c r="A1094" s="5" t="s">
        <v>6</v>
      </c>
      <c r="B1094" s="5" t="s">
        <v>5381</v>
      </c>
      <c r="C1094" s="1" t="s">
        <v>5382</v>
      </c>
      <c r="D1094" s="5" t="s">
        <v>17695</v>
      </c>
      <c r="E1094" s="32">
        <v>8</v>
      </c>
      <c r="F1094" s="27">
        <v>9700</v>
      </c>
      <c r="I1094" s="27">
        <v>1212.5</v>
      </c>
    </row>
    <row r="1095" spans="1:11" x14ac:dyDescent="0.25">
      <c r="A1095" s="5" t="s">
        <v>6</v>
      </c>
      <c r="B1095" s="5" t="s">
        <v>5384</v>
      </c>
      <c r="C1095" s="1" t="s">
        <v>5385</v>
      </c>
      <c r="D1095" s="5" t="s">
        <v>17696</v>
      </c>
      <c r="E1095" s="32">
        <v>2</v>
      </c>
      <c r="F1095" s="27">
        <v>532</v>
      </c>
      <c r="I1095" s="27">
        <v>266</v>
      </c>
    </row>
    <row r="1096" spans="1:11" x14ac:dyDescent="0.25">
      <c r="A1096" s="5" t="s">
        <v>6</v>
      </c>
      <c r="B1096" s="5" t="s">
        <v>5387</v>
      </c>
      <c r="C1096" s="1" t="s">
        <v>5388</v>
      </c>
      <c r="D1096" s="5" t="s">
        <v>17697</v>
      </c>
      <c r="E1096" s="32">
        <v>4</v>
      </c>
      <c r="F1096" s="27">
        <v>412</v>
      </c>
      <c r="G1096" s="32">
        <v>8</v>
      </c>
      <c r="H1096" s="27">
        <v>896</v>
      </c>
      <c r="I1096" s="27">
        <v>103</v>
      </c>
      <c r="J1096" s="27">
        <v>112</v>
      </c>
      <c r="K1096" s="29">
        <v>8.7378640776699032E-2</v>
      </c>
    </row>
    <row r="1097" spans="1:11" x14ac:dyDescent="0.25">
      <c r="A1097" s="5" t="s">
        <v>6</v>
      </c>
      <c r="B1097" s="5" t="s">
        <v>5390</v>
      </c>
      <c r="C1097" s="1" t="s">
        <v>5391</v>
      </c>
      <c r="D1097" s="5" t="s">
        <v>17698</v>
      </c>
      <c r="E1097" s="32">
        <v>82</v>
      </c>
      <c r="F1097" s="27">
        <v>112054</v>
      </c>
      <c r="G1097" s="32">
        <v>101</v>
      </c>
      <c r="H1097" s="27">
        <v>148584</v>
      </c>
      <c r="I1097" s="27">
        <v>1366.5121951219512</v>
      </c>
      <c r="J1097" s="27">
        <v>1471.1287128712872</v>
      </c>
      <c r="K1097" s="29">
        <v>7.6557324642097149E-2</v>
      </c>
    </row>
    <row r="1098" spans="1:11" x14ac:dyDescent="0.25">
      <c r="A1098" s="5" t="s">
        <v>6</v>
      </c>
      <c r="B1098" s="5" t="s">
        <v>5393</v>
      </c>
      <c r="C1098" s="1" t="s">
        <v>5394</v>
      </c>
      <c r="D1098" s="5" t="s">
        <v>17699</v>
      </c>
      <c r="E1098" s="32">
        <v>34</v>
      </c>
      <c r="F1098" s="27">
        <v>7006</v>
      </c>
      <c r="G1098" s="32">
        <v>18</v>
      </c>
      <c r="H1098" s="27">
        <v>3845</v>
      </c>
      <c r="I1098" s="27">
        <v>206.05882352941177</v>
      </c>
      <c r="J1098" s="27">
        <v>213.61111111111111</v>
      </c>
      <c r="K1098" s="29">
        <v>3.6651124433025657E-2</v>
      </c>
    </row>
    <row r="1099" spans="1:11" x14ac:dyDescent="0.25">
      <c r="A1099" s="5" t="s">
        <v>6</v>
      </c>
      <c r="B1099" s="5" t="s">
        <v>5396</v>
      </c>
      <c r="C1099" s="1" t="s">
        <v>5397</v>
      </c>
      <c r="D1099" s="5" t="s">
        <v>17699</v>
      </c>
      <c r="E1099" s="32">
        <v>1</v>
      </c>
      <c r="F1099" s="27">
        <v>381</v>
      </c>
      <c r="I1099" s="27">
        <v>381</v>
      </c>
    </row>
    <row r="1100" spans="1:11" x14ac:dyDescent="0.25">
      <c r="A1100" s="5" t="s">
        <v>6</v>
      </c>
      <c r="B1100" s="5" t="s">
        <v>5399</v>
      </c>
      <c r="C1100" s="1" t="s">
        <v>5400</v>
      </c>
      <c r="D1100" s="5" t="s">
        <v>17700</v>
      </c>
      <c r="E1100" s="32">
        <v>34</v>
      </c>
      <c r="F1100" s="27">
        <v>15634</v>
      </c>
      <c r="G1100" s="32">
        <v>45</v>
      </c>
      <c r="H1100" s="27">
        <v>21826</v>
      </c>
      <c r="I1100" s="27">
        <v>459.8235294117647</v>
      </c>
      <c r="J1100" s="27">
        <v>485.02222222222224</v>
      </c>
      <c r="K1100" s="29">
        <v>5.4800790300342621E-2</v>
      </c>
    </row>
    <row r="1101" spans="1:11" x14ac:dyDescent="0.25">
      <c r="A1101" s="5" t="s">
        <v>6</v>
      </c>
      <c r="B1101" s="5" t="s">
        <v>5401</v>
      </c>
      <c r="C1101" s="1" t="s">
        <v>5402</v>
      </c>
      <c r="D1101" s="5" t="s">
        <v>17701</v>
      </c>
      <c r="E1101" s="32">
        <v>7</v>
      </c>
      <c r="F1101" s="27">
        <v>4531</v>
      </c>
      <c r="I1101" s="27">
        <v>647.28571428571433</v>
      </c>
    </row>
    <row r="1102" spans="1:11" x14ac:dyDescent="0.25">
      <c r="A1102" s="5" t="s">
        <v>6</v>
      </c>
      <c r="B1102" s="5" t="s">
        <v>5415</v>
      </c>
      <c r="C1102" s="1" t="s">
        <v>5416</v>
      </c>
      <c r="D1102" s="5" t="s">
        <v>17702</v>
      </c>
      <c r="E1102" s="32">
        <v>142</v>
      </c>
      <c r="F1102" s="27">
        <v>799670</v>
      </c>
      <c r="G1102" s="32">
        <v>79</v>
      </c>
      <c r="H1102" s="27">
        <v>471337</v>
      </c>
      <c r="I1102" s="27">
        <v>5631.4788732394363</v>
      </c>
      <c r="J1102" s="27">
        <v>5966.2911392405067</v>
      </c>
      <c r="K1102" s="29">
        <v>5.9453701867210218E-2</v>
      </c>
    </row>
    <row r="1103" spans="1:11" x14ac:dyDescent="0.25">
      <c r="A1103" s="5" t="s">
        <v>6</v>
      </c>
      <c r="B1103" s="5" t="s">
        <v>5418</v>
      </c>
      <c r="C1103" s="1" t="s">
        <v>5419</v>
      </c>
      <c r="D1103" s="5" t="s">
        <v>17703</v>
      </c>
      <c r="E1103" s="32">
        <v>560</v>
      </c>
      <c r="F1103" s="27">
        <v>6805289</v>
      </c>
      <c r="G1103" s="32">
        <v>648</v>
      </c>
      <c r="H1103" s="27">
        <v>8422455</v>
      </c>
      <c r="I1103" s="27">
        <v>12152.301785714286</v>
      </c>
      <c r="J1103" s="27">
        <v>12997.615740740741</v>
      </c>
      <c r="K1103" s="29">
        <v>6.9559987065180448E-2</v>
      </c>
    </row>
    <row r="1104" spans="1:11" x14ac:dyDescent="0.25">
      <c r="A1104" s="5" t="s">
        <v>6</v>
      </c>
      <c r="B1104" s="5" t="s">
        <v>5421</v>
      </c>
      <c r="C1104" s="1" t="s">
        <v>5422</v>
      </c>
      <c r="D1104" s="5" t="s">
        <v>17704</v>
      </c>
      <c r="E1104" s="32">
        <v>4</v>
      </c>
      <c r="F1104" s="27">
        <v>10155</v>
      </c>
      <c r="I1104" s="27">
        <v>2538.75</v>
      </c>
    </row>
    <row r="1105" spans="1:11" x14ac:dyDescent="0.25">
      <c r="A1105" s="5" t="s">
        <v>6</v>
      </c>
      <c r="B1105" s="5" t="s">
        <v>5427</v>
      </c>
      <c r="C1105" s="1" t="s">
        <v>5428</v>
      </c>
      <c r="D1105" s="5" t="s">
        <v>17705</v>
      </c>
      <c r="E1105" s="32">
        <v>5</v>
      </c>
      <c r="F1105" s="27">
        <v>11510</v>
      </c>
      <c r="I1105" s="27">
        <v>2302</v>
      </c>
    </row>
    <row r="1106" spans="1:11" x14ac:dyDescent="0.25">
      <c r="A1106" s="5" t="s">
        <v>6</v>
      </c>
      <c r="B1106" s="5" t="s">
        <v>5430</v>
      </c>
      <c r="C1106" s="1" t="s">
        <v>5431</v>
      </c>
      <c r="D1106" s="5" t="s">
        <v>17706</v>
      </c>
      <c r="E1106" s="32">
        <v>4</v>
      </c>
      <c r="F1106" s="27">
        <v>10442</v>
      </c>
      <c r="G1106" s="32">
        <v>3</v>
      </c>
      <c r="H1106" s="27">
        <v>8371</v>
      </c>
      <c r="I1106" s="27">
        <v>2610.5</v>
      </c>
      <c r="J1106" s="27">
        <v>2790.3333333333335</v>
      </c>
      <c r="K1106" s="29">
        <v>6.888846325735816E-2</v>
      </c>
    </row>
    <row r="1107" spans="1:11" x14ac:dyDescent="0.25">
      <c r="A1107" s="5" t="s">
        <v>6</v>
      </c>
      <c r="B1107" s="5" t="s">
        <v>5433</v>
      </c>
      <c r="C1107" s="1" t="s">
        <v>5434</v>
      </c>
      <c r="D1107" s="5" t="s">
        <v>17707</v>
      </c>
      <c r="E1107" s="32">
        <v>7</v>
      </c>
      <c r="F1107" s="27">
        <v>28546</v>
      </c>
      <c r="G1107" s="32">
        <v>4</v>
      </c>
      <c r="H1107" s="27">
        <v>17290</v>
      </c>
      <c r="I1107" s="27">
        <v>4078</v>
      </c>
      <c r="J1107" s="27">
        <v>4322.5</v>
      </c>
      <c r="K1107" s="29">
        <v>5.9955860716037271E-2</v>
      </c>
    </row>
    <row r="1108" spans="1:11" x14ac:dyDescent="0.25">
      <c r="A1108" s="5" t="s">
        <v>6</v>
      </c>
      <c r="B1108" s="5" t="s">
        <v>5436</v>
      </c>
      <c r="C1108" s="1" t="s">
        <v>5437</v>
      </c>
      <c r="D1108" s="5" t="s">
        <v>17708</v>
      </c>
      <c r="E1108" s="32">
        <v>1</v>
      </c>
      <c r="F1108" s="27">
        <v>3077</v>
      </c>
      <c r="G1108" s="32">
        <v>3</v>
      </c>
      <c r="H1108" s="27">
        <v>9723</v>
      </c>
      <c r="I1108" s="27">
        <v>3077</v>
      </c>
      <c r="J1108" s="27">
        <v>3241</v>
      </c>
      <c r="K1108" s="29">
        <v>5.3298667533311667E-2</v>
      </c>
    </row>
    <row r="1109" spans="1:11" x14ac:dyDescent="0.25">
      <c r="A1109" s="5" t="s">
        <v>6</v>
      </c>
      <c r="B1109" s="5" t="s">
        <v>5439</v>
      </c>
      <c r="C1109" s="1" t="s">
        <v>5440</v>
      </c>
      <c r="D1109" s="5" t="s">
        <v>17709</v>
      </c>
      <c r="E1109" s="32">
        <v>126</v>
      </c>
      <c r="F1109" s="27">
        <v>484220</v>
      </c>
      <c r="G1109" s="32">
        <v>150</v>
      </c>
      <c r="H1109" s="27">
        <v>617754</v>
      </c>
      <c r="I1109" s="27">
        <v>3843.0158730158732</v>
      </c>
      <c r="J1109" s="27">
        <v>4118.3599999999997</v>
      </c>
      <c r="K1109" s="29">
        <v>7.1647928627483232E-2</v>
      </c>
    </row>
    <row r="1110" spans="1:11" x14ac:dyDescent="0.25">
      <c r="A1110" s="5" t="s">
        <v>6</v>
      </c>
      <c r="B1110" s="5" t="s">
        <v>5442</v>
      </c>
      <c r="C1110" s="1" t="s">
        <v>5443</v>
      </c>
      <c r="D1110" s="5" t="s">
        <v>17710</v>
      </c>
      <c r="E1110" s="32">
        <v>65</v>
      </c>
      <c r="F1110" s="27">
        <v>236378</v>
      </c>
      <c r="G1110" s="32">
        <v>91</v>
      </c>
      <c r="H1110" s="27">
        <v>355486</v>
      </c>
      <c r="I1110" s="27">
        <v>3636.5846153846155</v>
      </c>
      <c r="J1110" s="27">
        <v>3906.4395604395604</v>
      </c>
      <c r="K1110" s="29">
        <v>7.4205600472850339E-2</v>
      </c>
    </row>
    <row r="1111" spans="1:11" x14ac:dyDescent="0.25">
      <c r="A1111" s="5" t="s">
        <v>6</v>
      </c>
      <c r="B1111" s="5" t="s">
        <v>5445</v>
      </c>
      <c r="C1111" s="1" t="s">
        <v>5446</v>
      </c>
      <c r="D1111" s="5" t="s">
        <v>17711</v>
      </c>
      <c r="E1111" s="32">
        <v>32</v>
      </c>
      <c r="F1111" s="27">
        <v>104186</v>
      </c>
      <c r="I1111" s="27">
        <v>3255.8125</v>
      </c>
    </row>
    <row r="1112" spans="1:11" x14ac:dyDescent="0.25">
      <c r="A1112" s="5" t="s">
        <v>6</v>
      </c>
      <c r="B1112" s="5" t="s">
        <v>5448</v>
      </c>
      <c r="C1112" s="1" t="s">
        <v>5449</v>
      </c>
      <c r="D1112" s="5" t="s">
        <v>17712</v>
      </c>
      <c r="E1112" s="32">
        <v>12</v>
      </c>
      <c r="F1112" s="27">
        <v>39005</v>
      </c>
      <c r="G1112" s="32">
        <v>12</v>
      </c>
      <c r="H1112" s="27">
        <v>40574</v>
      </c>
      <c r="I1112" s="27">
        <v>3250.4166666666665</v>
      </c>
      <c r="J1112" s="27">
        <v>3381.1666666666665</v>
      </c>
      <c r="K1112" s="29">
        <v>4.0225612101012692E-2</v>
      </c>
    </row>
    <row r="1113" spans="1:11" x14ac:dyDescent="0.25">
      <c r="A1113" s="5" t="s">
        <v>6</v>
      </c>
      <c r="B1113" s="5" t="s">
        <v>5457</v>
      </c>
      <c r="C1113" s="1" t="s">
        <v>5458</v>
      </c>
      <c r="D1113" s="5" t="s">
        <v>17713</v>
      </c>
      <c r="E1113" s="32">
        <v>59</v>
      </c>
      <c r="F1113" s="27">
        <v>203771</v>
      </c>
      <c r="G1113" s="32">
        <v>56</v>
      </c>
      <c r="H1113" s="27">
        <v>204176</v>
      </c>
      <c r="I1113" s="27">
        <v>3453.7457627118642</v>
      </c>
      <c r="J1113" s="27">
        <v>3646</v>
      </c>
      <c r="K1113" s="29">
        <v>5.5665428348489282E-2</v>
      </c>
    </row>
    <row r="1114" spans="1:11" x14ac:dyDescent="0.25">
      <c r="A1114" s="5" t="s">
        <v>6</v>
      </c>
      <c r="B1114" s="5" t="s">
        <v>5460</v>
      </c>
      <c r="C1114" s="1" t="s">
        <v>5461</v>
      </c>
      <c r="D1114" s="5" t="s">
        <v>17714</v>
      </c>
      <c r="E1114" s="32">
        <v>10</v>
      </c>
      <c r="F1114" s="27">
        <v>48116</v>
      </c>
      <c r="G1114" s="32">
        <v>27</v>
      </c>
      <c r="H1114" s="27">
        <v>139098</v>
      </c>
      <c r="I1114" s="27">
        <v>4811.6000000000004</v>
      </c>
      <c r="J1114" s="27">
        <v>5151.7777777777774</v>
      </c>
      <c r="K1114" s="29">
        <v>7.0699513213437731E-2</v>
      </c>
    </row>
    <row r="1115" spans="1:11" x14ac:dyDescent="0.25">
      <c r="A1115" s="5" t="s">
        <v>6</v>
      </c>
      <c r="B1115" s="5" t="s">
        <v>5463</v>
      </c>
      <c r="C1115" s="1" t="s">
        <v>5464</v>
      </c>
      <c r="D1115" s="5" t="s">
        <v>17715</v>
      </c>
      <c r="E1115" s="32">
        <v>21</v>
      </c>
      <c r="F1115" s="27">
        <v>59419</v>
      </c>
      <c r="G1115" s="32">
        <v>32</v>
      </c>
      <c r="H1115" s="27">
        <v>96248</v>
      </c>
      <c r="I1115" s="27">
        <v>2829.4761904761904</v>
      </c>
      <c r="J1115" s="27">
        <v>3007.75</v>
      </c>
      <c r="K1115" s="29">
        <v>6.3005940860667506E-2</v>
      </c>
    </row>
    <row r="1116" spans="1:11" x14ac:dyDescent="0.25">
      <c r="A1116" s="5" t="s">
        <v>6</v>
      </c>
      <c r="B1116" s="5" t="s">
        <v>5466</v>
      </c>
      <c r="C1116" s="1" t="s">
        <v>5467</v>
      </c>
      <c r="D1116" s="5" t="s">
        <v>17716</v>
      </c>
      <c r="E1116" s="32">
        <v>2</v>
      </c>
      <c r="F1116" s="27">
        <v>5074</v>
      </c>
      <c r="I1116" s="27">
        <v>2537</v>
      </c>
    </row>
    <row r="1117" spans="1:11" x14ac:dyDescent="0.25">
      <c r="A1117" s="5" t="s">
        <v>6</v>
      </c>
      <c r="B1117" s="5" t="s">
        <v>5469</v>
      </c>
      <c r="C1117" s="1" t="s">
        <v>5470</v>
      </c>
      <c r="D1117" s="5" t="s">
        <v>17717</v>
      </c>
      <c r="E1117" s="32">
        <v>1</v>
      </c>
      <c r="F1117" s="27">
        <v>1614</v>
      </c>
      <c r="I1117" s="27">
        <v>1614</v>
      </c>
    </row>
    <row r="1118" spans="1:11" x14ac:dyDescent="0.25">
      <c r="A1118" s="5" t="s">
        <v>6</v>
      </c>
      <c r="B1118" s="5" t="s">
        <v>5475</v>
      </c>
      <c r="C1118" s="1" t="s">
        <v>5476</v>
      </c>
      <c r="D1118" s="5" t="s">
        <v>17718</v>
      </c>
      <c r="E1118" s="32">
        <v>14</v>
      </c>
      <c r="F1118" s="27">
        <v>43296</v>
      </c>
      <c r="I1118" s="27">
        <v>3092.5714285714284</v>
      </c>
    </row>
    <row r="1119" spans="1:11" x14ac:dyDescent="0.25">
      <c r="A1119" s="5" t="s">
        <v>6</v>
      </c>
      <c r="B1119" s="5" t="s">
        <v>5478</v>
      </c>
      <c r="C1119" s="1" t="s">
        <v>5479</v>
      </c>
      <c r="D1119" s="5" t="s">
        <v>17719</v>
      </c>
      <c r="E1119" s="32">
        <v>67</v>
      </c>
      <c r="F1119" s="27">
        <v>450121</v>
      </c>
      <c r="G1119" s="32">
        <v>94</v>
      </c>
      <c r="H1119" s="27">
        <v>683372</v>
      </c>
      <c r="I1119" s="27">
        <v>6718.2238805970146</v>
      </c>
      <c r="J1119" s="27">
        <v>7269.9148936170213</v>
      </c>
      <c r="K1119" s="29">
        <v>8.2118581164487892E-2</v>
      </c>
    </row>
    <row r="1120" spans="1:11" x14ac:dyDescent="0.25">
      <c r="A1120" s="5" t="s">
        <v>6</v>
      </c>
      <c r="B1120" s="5" t="s">
        <v>5484</v>
      </c>
      <c r="C1120" s="1" t="s">
        <v>5485</v>
      </c>
      <c r="D1120" s="5" t="s">
        <v>17720</v>
      </c>
      <c r="E1120" s="32">
        <v>2</v>
      </c>
      <c r="F1120" s="27">
        <v>14243</v>
      </c>
      <c r="I1120" s="27">
        <v>7121.5</v>
      </c>
    </row>
    <row r="1121" spans="1:11" x14ac:dyDescent="0.25">
      <c r="A1121" s="5" t="s">
        <v>6</v>
      </c>
      <c r="B1121" s="5" t="s">
        <v>5487</v>
      </c>
      <c r="C1121" s="1" t="s">
        <v>5488</v>
      </c>
      <c r="D1121" s="5" t="s">
        <v>17721</v>
      </c>
      <c r="E1121" s="32">
        <v>4</v>
      </c>
      <c r="F1121" s="27">
        <v>16040</v>
      </c>
      <c r="G1121" s="32">
        <v>9</v>
      </c>
      <c r="H1121" s="27">
        <v>39435</v>
      </c>
      <c r="I1121" s="27">
        <v>4010</v>
      </c>
      <c r="J1121" s="27">
        <v>4381.666666666667</v>
      </c>
      <c r="K1121" s="29">
        <v>9.2684954280964335E-2</v>
      </c>
    </row>
    <row r="1122" spans="1:11" x14ac:dyDescent="0.25">
      <c r="A1122" s="5" t="s">
        <v>6</v>
      </c>
      <c r="B1122" s="5" t="s">
        <v>5492</v>
      </c>
      <c r="C1122" s="1" t="s">
        <v>5493</v>
      </c>
      <c r="D1122" s="5" t="s">
        <v>17722</v>
      </c>
      <c r="E1122" s="32">
        <v>3</v>
      </c>
      <c r="F1122" s="27">
        <v>9493</v>
      </c>
      <c r="I1122" s="27">
        <v>3164.3333333333335</v>
      </c>
    </row>
    <row r="1123" spans="1:11" x14ac:dyDescent="0.25">
      <c r="A1123" s="5" t="s">
        <v>6</v>
      </c>
      <c r="B1123" s="5" t="s">
        <v>5495</v>
      </c>
      <c r="C1123" s="1" t="s">
        <v>5496</v>
      </c>
      <c r="D1123" s="5" t="s">
        <v>17723</v>
      </c>
      <c r="E1123" s="32">
        <v>4</v>
      </c>
      <c r="F1123" s="27">
        <v>11351</v>
      </c>
      <c r="I1123" s="27">
        <v>2837.75</v>
      </c>
    </row>
    <row r="1124" spans="1:11" x14ac:dyDescent="0.25">
      <c r="A1124" s="5" t="s">
        <v>6</v>
      </c>
      <c r="B1124" s="5" t="s">
        <v>5498</v>
      </c>
      <c r="C1124" s="1" t="s">
        <v>5499</v>
      </c>
      <c r="D1124" s="5" t="s">
        <v>17724</v>
      </c>
      <c r="E1124" s="32">
        <v>16</v>
      </c>
      <c r="F1124" s="27">
        <v>144434</v>
      </c>
      <c r="G1124" s="32">
        <v>11</v>
      </c>
      <c r="H1124" s="27">
        <v>107052</v>
      </c>
      <c r="I1124" s="27">
        <v>9027.125</v>
      </c>
      <c r="J1124" s="27">
        <v>9732</v>
      </c>
      <c r="K1124" s="29">
        <v>7.8084107620089452E-2</v>
      </c>
    </row>
    <row r="1125" spans="1:11" x14ac:dyDescent="0.25">
      <c r="A1125" s="5" t="s">
        <v>6</v>
      </c>
      <c r="B1125" s="5" t="s">
        <v>5501</v>
      </c>
      <c r="C1125" s="1" t="s">
        <v>5502</v>
      </c>
      <c r="D1125" s="5" t="s">
        <v>17725</v>
      </c>
      <c r="E1125" s="32">
        <v>35</v>
      </c>
      <c r="F1125" s="27">
        <v>255311</v>
      </c>
      <c r="G1125" s="32">
        <v>61</v>
      </c>
      <c r="H1125" s="27">
        <v>477523</v>
      </c>
      <c r="I1125" s="27">
        <v>7294.6</v>
      </c>
      <c r="J1125" s="27">
        <v>7828.2459016393441</v>
      </c>
      <c r="K1125" s="29">
        <v>7.3156293921441018E-2</v>
      </c>
    </row>
    <row r="1126" spans="1:11" x14ac:dyDescent="0.25">
      <c r="A1126" s="5" t="s">
        <v>6</v>
      </c>
      <c r="B1126" s="5" t="s">
        <v>5504</v>
      </c>
      <c r="C1126" s="1" t="s">
        <v>5505</v>
      </c>
      <c r="D1126" s="5" t="s">
        <v>17726</v>
      </c>
      <c r="E1126" s="32">
        <v>40</v>
      </c>
      <c r="F1126" s="27">
        <v>342624</v>
      </c>
      <c r="G1126" s="32">
        <v>56</v>
      </c>
      <c r="H1126" s="27">
        <v>509762</v>
      </c>
      <c r="I1126" s="27">
        <v>8565.6</v>
      </c>
      <c r="J1126" s="27">
        <v>9102.8928571428569</v>
      </c>
      <c r="K1126" s="29">
        <v>6.2726820904881908E-2</v>
      </c>
    </row>
    <row r="1127" spans="1:11" x14ac:dyDescent="0.25">
      <c r="A1127" s="5" t="s">
        <v>6</v>
      </c>
      <c r="B1127" s="5" t="s">
        <v>5507</v>
      </c>
      <c r="C1127" s="1" t="s">
        <v>5508</v>
      </c>
      <c r="D1127" s="5" t="s">
        <v>17727</v>
      </c>
      <c r="E1127" s="32">
        <v>56</v>
      </c>
      <c r="F1127" s="27">
        <v>412496</v>
      </c>
      <c r="G1127" s="32">
        <v>94</v>
      </c>
      <c r="H1127" s="27">
        <v>734560</v>
      </c>
      <c r="I1127" s="27">
        <v>7366</v>
      </c>
      <c r="J1127" s="27">
        <v>7814.4680851063831</v>
      </c>
      <c r="K1127" s="29">
        <v>6.0883530424434305E-2</v>
      </c>
    </row>
    <row r="1128" spans="1:11" x14ac:dyDescent="0.25">
      <c r="A1128" s="5" t="s">
        <v>6</v>
      </c>
      <c r="B1128" s="5" t="s">
        <v>5510</v>
      </c>
      <c r="C1128" s="1" t="s">
        <v>5511</v>
      </c>
      <c r="D1128" s="5" t="s">
        <v>17728</v>
      </c>
      <c r="E1128" s="32">
        <v>151</v>
      </c>
      <c r="F1128" s="27">
        <v>1125236</v>
      </c>
      <c r="G1128" s="32">
        <v>165</v>
      </c>
      <c r="H1128" s="27">
        <v>1300475</v>
      </c>
      <c r="I1128" s="27">
        <v>7451.8940397350989</v>
      </c>
      <c r="J1128" s="27">
        <v>7881.666666666667</v>
      </c>
      <c r="K1128" s="29">
        <v>5.7672938536153115E-2</v>
      </c>
    </row>
    <row r="1129" spans="1:11" x14ac:dyDescent="0.25">
      <c r="A1129" s="5" t="s">
        <v>6</v>
      </c>
      <c r="B1129" s="5" t="s">
        <v>5513</v>
      </c>
      <c r="C1129" s="1" t="s">
        <v>5514</v>
      </c>
      <c r="D1129" s="5" t="s">
        <v>17729</v>
      </c>
      <c r="E1129" s="32">
        <v>3</v>
      </c>
      <c r="F1129" s="27">
        <v>21393</v>
      </c>
      <c r="G1129" s="32">
        <v>6</v>
      </c>
      <c r="H1129" s="27">
        <v>43926</v>
      </c>
      <c r="I1129" s="27">
        <v>7131</v>
      </c>
      <c r="J1129" s="27">
        <v>7321</v>
      </c>
      <c r="K1129" s="29">
        <v>2.6644229420838592E-2</v>
      </c>
    </row>
    <row r="1130" spans="1:11" x14ac:dyDescent="0.25">
      <c r="A1130" s="5" t="s">
        <v>6</v>
      </c>
      <c r="B1130" s="5" t="s">
        <v>5516</v>
      </c>
      <c r="C1130" s="1" t="s">
        <v>5517</v>
      </c>
      <c r="D1130" s="5" t="s">
        <v>17730</v>
      </c>
      <c r="E1130" s="32">
        <v>9</v>
      </c>
      <c r="F1130" s="27">
        <v>75555</v>
      </c>
      <c r="G1130" s="32">
        <v>11</v>
      </c>
      <c r="H1130" s="27">
        <v>97721</v>
      </c>
      <c r="I1130" s="27">
        <v>8395</v>
      </c>
      <c r="J1130" s="27">
        <v>8883.7272727272721</v>
      </c>
      <c r="K1130" s="29">
        <v>5.8216470843034197E-2</v>
      </c>
    </row>
    <row r="1131" spans="1:11" x14ac:dyDescent="0.25">
      <c r="A1131" s="5" t="s">
        <v>6</v>
      </c>
      <c r="B1131" s="5" t="s">
        <v>5519</v>
      </c>
      <c r="C1131" s="1" t="s">
        <v>5520</v>
      </c>
      <c r="D1131" s="5" t="s">
        <v>17731</v>
      </c>
      <c r="E1131" s="32">
        <v>15</v>
      </c>
      <c r="F1131" s="27">
        <v>97028</v>
      </c>
      <c r="G1131" s="32">
        <v>18</v>
      </c>
      <c r="H1131" s="27">
        <v>125821</v>
      </c>
      <c r="I1131" s="27">
        <v>6468.5333333333338</v>
      </c>
      <c r="J1131" s="27">
        <v>6990.0555555555557</v>
      </c>
      <c r="K1131" s="29">
        <v>8.0624493273419306E-2</v>
      </c>
    </row>
    <row r="1132" spans="1:11" x14ac:dyDescent="0.25">
      <c r="A1132" s="5" t="s">
        <v>6</v>
      </c>
      <c r="B1132" s="5" t="s">
        <v>5522</v>
      </c>
      <c r="C1132" s="1" t="s">
        <v>5523</v>
      </c>
      <c r="D1132" s="5" t="s">
        <v>17732</v>
      </c>
      <c r="E1132" s="32">
        <v>12</v>
      </c>
      <c r="F1132" s="27">
        <v>98025</v>
      </c>
      <c r="G1132" s="32">
        <v>14</v>
      </c>
      <c r="H1132" s="27">
        <v>119728</v>
      </c>
      <c r="I1132" s="27">
        <v>8168.75</v>
      </c>
      <c r="J1132" s="27">
        <v>8552</v>
      </c>
      <c r="K1132" s="29">
        <v>4.6916602907421577E-2</v>
      </c>
    </row>
    <row r="1133" spans="1:11" x14ac:dyDescent="0.25">
      <c r="A1133" s="5" t="s">
        <v>6</v>
      </c>
      <c r="B1133" s="5" t="s">
        <v>5525</v>
      </c>
      <c r="C1133" s="1" t="s">
        <v>5526</v>
      </c>
      <c r="D1133" s="5" t="s">
        <v>17733</v>
      </c>
      <c r="E1133" s="32">
        <v>6</v>
      </c>
      <c r="F1133" s="27">
        <v>43398</v>
      </c>
      <c r="I1133" s="27">
        <v>7233</v>
      </c>
    </row>
    <row r="1134" spans="1:11" x14ac:dyDescent="0.25">
      <c r="A1134" s="5" t="s">
        <v>6</v>
      </c>
      <c r="B1134" s="5" t="s">
        <v>5528</v>
      </c>
      <c r="C1134" s="1" t="s">
        <v>5529</v>
      </c>
      <c r="D1134" s="5" t="s">
        <v>17734</v>
      </c>
      <c r="E1134" s="32">
        <v>143</v>
      </c>
      <c r="F1134" s="27">
        <v>934484</v>
      </c>
      <c r="G1134" s="32">
        <v>173</v>
      </c>
      <c r="H1134" s="27">
        <v>1208251</v>
      </c>
      <c r="I1134" s="27">
        <v>6534.8531468531464</v>
      </c>
      <c r="J1134" s="27">
        <v>6984.1098265895953</v>
      </c>
      <c r="K1134" s="29">
        <v>6.8747785090287464E-2</v>
      </c>
    </row>
    <row r="1135" spans="1:11" x14ac:dyDescent="0.25">
      <c r="A1135" s="5" t="s">
        <v>6</v>
      </c>
      <c r="B1135" s="5" t="s">
        <v>5531</v>
      </c>
      <c r="C1135" s="1" t="s">
        <v>5532</v>
      </c>
      <c r="D1135" s="5" t="s">
        <v>17735</v>
      </c>
      <c r="E1135" s="32">
        <v>58</v>
      </c>
      <c r="F1135" s="27">
        <v>379080</v>
      </c>
      <c r="G1135" s="32">
        <v>83</v>
      </c>
      <c r="H1135" s="27">
        <v>580204</v>
      </c>
      <c r="I1135" s="27">
        <v>6535.8620689655172</v>
      </c>
      <c r="J1135" s="27">
        <v>6990.4096385542171</v>
      </c>
      <c r="K1135" s="29">
        <v>6.9546689448519022E-2</v>
      </c>
    </row>
    <row r="1136" spans="1:11" x14ac:dyDescent="0.25">
      <c r="A1136" s="5" t="s">
        <v>6</v>
      </c>
      <c r="B1136" s="5" t="s">
        <v>5534</v>
      </c>
      <c r="C1136" s="1" t="s">
        <v>5535</v>
      </c>
      <c r="D1136" s="5" t="s">
        <v>17736</v>
      </c>
      <c r="E1136" s="32">
        <v>216</v>
      </c>
      <c r="F1136" s="27">
        <v>2018528</v>
      </c>
      <c r="G1136" s="32">
        <v>232</v>
      </c>
      <c r="H1136" s="27">
        <v>2316264</v>
      </c>
      <c r="I1136" s="27">
        <v>9345.0370370370365</v>
      </c>
      <c r="J1136" s="27">
        <v>9983.8965517241377</v>
      </c>
      <c r="K1136" s="29">
        <v>6.8363508047653468E-2</v>
      </c>
    </row>
    <row r="1137" spans="1:11" x14ac:dyDescent="0.25">
      <c r="A1137" s="5" t="s">
        <v>6</v>
      </c>
      <c r="B1137" s="5" t="s">
        <v>5537</v>
      </c>
      <c r="C1137" s="1" t="s">
        <v>5538</v>
      </c>
      <c r="D1137" s="5" t="s">
        <v>17737</v>
      </c>
      <c r="E1137" s="32">
        <v>975</v>
      </c>
      <c r="F1137" s="27">
        <v>9087027</v>
      </c>
      <c r="G1137" s="32">
        <v>1111</v>
      </c>
      <c r="H1137" s="27">
        <v>11036328</v>
      </c>
      <c r="I1137" s="27">
        <v>9320.0276923076926</v>
      </c>
      <c r="J1137" s="27">
        <v>9933.6885688568855</v>
      </c>
      <c r="K1137" s="29">
        <v>6.5843246051262197E-2</v>
      </c>
    </row>
    <row r="1138" spans="1:11" x14ac:dyDescent="0.25">
      <c r="A1138" s="5" t="s">
        <v>6</v>
      </c>
      <c r="B1138" s="5" t="s">
        <v>5540</v>
      </c>
      <c r="C1138" s="1" t="s">
        <v>5541</v>
      </c>
      <c r="D1138" s="5" t="s">
        <v>17738</v>
      </c>
      <c r="E1138" s="32">
        <v>8</v>
      </c>
      <c r="F1138" s="27">
        <v>65133</v>
      </c>
      <c r="G1138" s="32">
        <v>40</v>
      </c>
      <c r="H1138" s="27">
        <v>346686</v>
      </c>
      <c r="I1138" s="27">
        <v>8141.625</v>
      </c>
      <c r="J1138" s="27">
        <v>8667.15</v>
      </c>
      <c r="K1138" s="29">
        <v>6.4547925014969323E-2</v>
      </c>
    </row>
    <row r="1139" spans="1:11" x14ac:dyDescent="0.25">
      <c r="A1139" s="5" t="s">
        <v>6</v>
      </c>
      <c r="B1139" s="5" t="s">
        <v>5543</v>
      </c>
      <c r="C1139" s="1" t="s">
        <v>5544</v>
      </c>
      <c r="D1139" s="5" t="s">
        <v>17093</v>
      </c>
      <c r="E1139" s="32">
        <v>318</v>
      </c>
      <c r="F1139" s="27">
        <v>2953224</v>
      </c>
      <c r="G1139" s="32">
        <v>409</v>
      </c>
      <c r="H1139" s="27">
        <v>4044990</v>
      </c>
      <c r="I1139" s="27">
        <v>9286.867924528302</v>
      </c>
      <c r="J1139" s="27">
        <v>9889.9511002444997</v>
      </c>
      <c r="K1139" s="29">
        <v>6.4939350986498445E-2</v>
      </c>
    </row>
    <row r="1140" spans="1:11" x14ac:dyDescent="0.25">
      <c r="A1140" s="5" t="s">
        <v>6</v>
      </c>
      <c r="B1140" s="5" t="s">
        <v>5546</v>
      </c>
      <c r="C1140" s="1" t="s">
        <v>5547</v>
      </c>
      <c r="D1140" s="5" t="s">
        <v>17739</v>
      </c>
      <c r="E1140" s="32">
        <v>31</v>
      </c>
      <c r="F1140" s="27">
        <v>264918</v>
      </c>
      <c r="G1140" s="32">
        <v>26</v>
      </c>
      <c r="H1140" s="27">
        <v>235540</v>
      </c>
      <c r="I1140" s="27">
        <v>8545.7419354838712</v>
      </c>
      <c r="J1140" s="27">
        <v>9059.2307692307695</v>
      </c>
      <c r="K1140" s="29">
        <v>6.0087098068662179E-2</v>
      </c>
    </row>
    <row r="1141" spans="1:11" x14ac:dyDescent="0.25">
      <c r="A1141" s="5" t="s">
        <v>6</v>
      </c>
      <c r="B1141" s="5" t="s">
        <v>5549</v>
      </c>
      <c r="C1141" s="1" t="s">
        <v>5550</v>
      </c>
      <c r="D1141" s="5" t="s">
        <v>17740</v>
      </c>
      <c r="E1141" s="32">
        <v>14</v>
      </c>
      <c r="F1141" s="27">
        <v>85960</v>
      </c>
      <c r="G1141" s="32">
        <v>25</v>
      </c>
      <c r="H1141" s="27">
        <v>164302</v>
      </c>
      <c r="I1141" s="27">
        <v>6140</v>
      </c>
      <c r="J1141" s="27">
        <v>6572.08</v>
      </c>
      <c r="K1141" s="29">
        <v>7.0371335504885987E-2</v>
      </c>
    </row>
    <row r="1142" spans="1:11" x14ac:dyDescent="0.25">
      <c r="A1142" s="5" t="s">
        <v>6</v>
      </c>
      <c r="B1142" s="5" t="s">
        <v>5552</v>
      </c>
      <c r="C1142" s="1" t="s">
        <v>5553</v>
      </c>
      <c r="D1142" s="5" t="s">
        <v>17741</v>
      </c>
      <c r="E1142" s="32">
        <v>1</v>
      </c>
      <c r="F1142" s="27">
        <v>7645</v>
      </c>
      <c r="I1142" s="27">
        <v>7645</v>
      </c>
    </row>
    <row r="1143" spans="1:11" x14ac:dyDescent="0.25">
      <c r="A1143" s="5" t="s">
        <v>6</v>
      </c>
      <c r="B1143" s="5" t="s">
        <v>5555</v>
      </c>
      <c r="C1143" s="1" t="s">
        <v>5556</v>
      </c>
      <c r="D1143" s="5" t="s">
        <v>17742</v>
      </c>
      <c r="E1143" s="32">
        <v>20</v>
      </c>
      <c r="F1143" s="27">
        <v>122744</v>
      </c>
      <c r="G1143" s="32">
        <v>15</v>
      </c>
      <c r="H1143" s="27">
        <v>99029</v>
      </c>
      <c r="I1143" s="27">
        <v>6137.2</v>
      </c>
      <c r="J1143" s="27">
        <v>6601.9333333333334</v>
      </c>
      <c r="K1143" s="29">
        <v>7.5724000086901777E-2</v>
      </c>
    </row>
    <row r="1144" spans="1:11" x14ac:dyDescent="0.25">
      <c r="A1144" s="5" t="s">
        <v>6</v>
      </c>
      <c r="B1144" s="5" t="s">
        <v>5561</v>
      </c>
      <c r="C1144" s="1" t="s">
        <v>5562</v>
      </c>
      <c r="D1144" s="5" t="s">
        <v>17743</v>
      </c>
      <c r="E1144" s="32">
        <v>61</v>
      </c>
      <c r="F1144" s="27">
        <v>542236</v>
      </c>
      <c r="G1144" s="32">
        <v>94</v>
      </c>
      <c r="H1144" s="27">
        <v>904164</v>
      </c>
      <c r="I1144" s="27">
        <v>8889.1147540983602</v>
      </c>
      <c r="J1144" s="27">
        <v>9618.7659574468089</v>
      </c>
      <c r="K1144" s="29">
        <v>8.2083674643984111E-2</v>
      </c>
    </row>
    <row r="1145" spans="1:11" x14ac:dyDescent="0.25">
      <c r="A1145" s="5" t="s">
        <v>6</v>
      </c>
      <c r="B1145" s="5" t="s">
        <v>5564</v>
      </c>
      <c r="C1145" s="1" t="s">
        <v>5565</v>
      </c>
      <c r="D1145" s="5" t="s">
        <v>17744</v>
      </c>
      <c r="E1145" s="32">
        <v>203</v>
      </c>
      <c r="F1145" s="27">
        <v>1354016</v>
      </c>
      <c r="G1145" s="32">
        <v>274</v>
      </c>
      <c r="H1145" s="27">
        <v>1954208</v>
      </c>
      <c r="I1145" s="27">
        <v>6670.0295566502464</v>
      </c>
      <c r="J1145" s="27">
        <v>7132.1459854014602</v>
      </c>
      <c r="K1145" s="29">
        <v>6.9282515890873073E-2</v>
      </c>
    </row>
    <row r="1146" spans="1:11" x14ac:dyDescent="0.25">
      <c r="A1146" s="5" t="s">
        <v>6</v>
      </c>
      <c r="B1146" s="5" t="s">
        <v>5567</v>
      </c>
      <c r="C1146" s="1" t="s">
        <v>5568</v>
      </c>
      <c r="D1146" s="5" t="s">
        <v>17745</v>
      </c>
      <c r="E1146" s="32">
        <v>14</v>
      </c>
      <c r="F1146" s="27">
        <v>91322</v>
      </c>
      <c r="G1146" s="32">
        <v>8</v>
      </c>
      <c r="H1146" s="27">
        <v>55316</v>
      </c>
      <c r="I1146" s="27">
        <v>6523</v>
      </c>
      <c r="J1146" s="27">
        <v>6914.5</v>
      </c>
      <c r="K1146" s="29">
        <v>6.0018396443354285E-2</v>
      </c>
    </row>
    <row r="1147" spans="1:11" x14ac:dyDescent="0.25">
      <c r="A1147" s="5" t="s">
        <v>6</v>
      </c>
      <c r="B1147" s="5" t="s">
        <v>5570</v>
      </c>
      <c r="C1147" s="1" t="s">
        <v>5571</v>
      </c>
      <c r="D1147" s="5" t="s">
        <v>17746</v>
      </c>
      <c r="E1147" s="32">
        <v>1</v>
      </c>
      <c r="F1147" s="27">
        <v>6490</v>
      </c>
      <c r="G1147" s="32">
        <v>9</v>
      </c>
      <c r="H1147" s="27">
        <v>62043</v>
      </c>
      <c r="I1147" s="27">
        <v>6490</v>
      </c>
      <c r="J1147" s="27">
        <v>6893.666666666667</v>
      </c>
      <c r="K1147" s="29">
        <v>6.2198253723677502E-2</v>
      </c>
    </row>
    <row r="1148" spans="1:11" x14ac:dyDescent="0.25">
      <c r="A1148" s="5" t="s">
        <v>6</v>
      </c>
      <c r="B1148" s="5" t="s">
        <v>5573</v>
      </c>
      <c r="C1148" s="1" t="s">
        <v>5574</v>
      </c>
      <c r="D1148" s="5" t="s">
        <v>17747</v>
      </c>
      <c r="E1148" s="32">
        <v>0</v>
      </c>
      <c r="F1148" s="27">
        <v>0</v>
      </c>
      <c r="G1148" s="32">
        <v>1</v>
      </c>
      <c r="H1148" s="27">
        <v>4845</v>
      </c>
      <c r="J1148" s="27">
        <v>4845</v>
      </c>
    </row>
    <row r="1149" spans="1:11" x14ac:dyDescent="0.25">
      <c r="A1149" s="5" t="s">
        <v>6</v>
      </c>
      <c r="B1149" s="5" t="s">
        <v>5578</v>
      </c>
      <c r="C1149" s="1" t="s">
        <v>5579</v>
      </c>
      <c r="D1149" s="5" t="s">
        <v>17748</v>
      </c>
      <c r="E1149" s="32">
        <v>23</v>
      </c>
      <c r="F1149" s="27">
        <v>152704</v>
      </c>
      <c r="G1149" s="32">
        <v>23</v>
      </c>
      <c r="H1149" s="27">
        <v>165616</v>
      </c>
      <c r="I1149" s="27">
        <v>6639.304347826087</v>
      </c>
      <c r="J1149" s="27">
        <v>7200.695652173913</v>
      </c>
      <c r="K1149" s="29">
        <v>8.4555741827326059E-2</v>
      </c>
    </row>
    <row r="1150" spans="1:11" x14ac:dyDescent="0.25">
      <c r="A1150" s="5" t="s">
        <v>6</v>
      </c>
      <c r="B1150" s="5" t="s">
        <v>5581</v>
      </c>
      <c r="C1150" s="1" t="s">
        <v>5582</v>
      </c>
      <c r="D1150" s="5" t="s">
        <v>17749</v>
      </c>
      <c r="E1150" s="32">
        <v>10</v>
      </c>
      <c r="F1150" s="27">
        <v>62646</v>
      </c>
      <c r="G1150" s="32">
        <v>14</v>
      </c>
      <c r="H1150" s="27">
        <v>94968</v>
      </c>
      <c r="I1150" s="27">
        <v>6264.6</v>
      </c>
      <c r="J1150" s="27">
        <v>6783.4285714285716</v>
      </c>
      <c r="K1150" s="29">
        <v>8.2819105996962489E-2</v>
      </c>
    </row>
    <row r="1151" spans="1:11" x14ac:dyDescent="0.25">
      <c r="A1151" s="5" t="s">
        <v>6</v>
      </c>
      <c r="B1151" s="5" t="s">
        <v>5584</v>
      </c>
      <c r="C1151" s="1" t="s">
        <v>5585</v>
      </c>
      <c r="D1151" s="5" t="s">
        <v>17750</v>
      </c>
      <c r="E1151" s="32">
        <v>43</v>
      </c>
      <c r="F1151" s="27">
        <v>343502</v>
      </c>
      <c r="G1151" s="32">
        <v>42</v>
      </c>
      <c r="H1151" s="27">
        <v>359366</v>
      </c>
      <c r="I1151" s="27">
        <v>7988.4186046511632</v>
      </c>
      <c r="J1151" s="27">
        <v>8556.3333333333339</v>
      </c>
      <c r="K1151" s="29">
        <v>7.109225953075482E-2</v>
      </c>
    </row>
    <row r="1152" spans="1:11" x14ac:dyDescent="0.25">
      <c r="A1152" s="5" t="s">
        <v>6</v>
      </c>
      <c r="B1152" s="5" t="s">
        <v>5587</v>
      </c>
      <c r="C1152" s="1" t="s">
        <v>5588</v>
      </c>
      <c r="D1152" s="5" t="s">
        <v>17751</v>
      </c>
      <c r="E1152" s="32">
        <v>17</v>
      </c>
      <c r="F1152" s="27">
        <v>109857</v>
      </c>
      <c r="G1152" s="32">
        <v>29</v>
      </c>
      <c r="H1152" s="27">
        <v>197519</v>
      </c>
      <c r="I1152" s="27">
        <v>6462.1764705882351</v>
      </c>
      <c r="J1152" s="27">
        <v>6811</v>
      </c>
      <c r="K1152" s="29">
        <v>5.397926395222883E-2</v>
      </c>
    </row>
    <row r="1153" spans="1:11" x14ac:dyDescent="0.25">
      <c r="A1153" s="5" t="s">
        <v>6</v>
      </c>
      <c r="B1153" s="5" t="s">
        <v>5590</v>
      </c>
      <c r="C1153" s="1" t="s">
        <v>5591</v>
      </c>
      <c r="D1153" s="5" t="s">
        <v>17752</v>
      </c>
      <c r="E1153" s="32">
        <v>111</v>
      </c>
      <c r="F1153" s="27">
        <v>815211</v>
      </c>
      <c r="G1153" s="32">
        <v>105</v>
      </c>
      <c r="H1153" s="27">
        <v>821031</v>
      </c>
      <c r="I1153" s="27">
        <v>7344.2432432432433</v>
      </c>
      <c r="J1153" s="27">
        <v>7819.3428571428567</v>
      </c>
      <c r="K1153" s="29">
        <v>6.469007059872485E-2</v>
      </c>
    </row>
    <row r="1154" spans="1:11" x14ac:dyDescent="0.25">
      <c r="A1154" s="5" t="s">
        <v>6</v>
      </c>
      <c r="B1154" s="5" t="s">
        <v>5593</v>
      </c>
      <c r="C1154" s="1" t="s">
        <v>5594</v>
      </c>
      <c r="D1154" s="5" t="s">
        <v>17753</v>
      </c>
      <c r="E1154" s="32">
        <v>197</v>
      </c>
      <c r="F1154" s="27">
        <v>1475998</v>
      </c>
      <c r="G1154" s="32">
        <v>257</v>
      </c>
      <c r="H1154" s="27">
        <v>2064139</v>
      </c>
      <c r="I1154" s="27">
        <v>7492.3756345177662</v>
      </c>
      <c r="J1154" s="27">
        <v>8031.6692607003888</v>
      </c>
      <c r="K1154" s="29">
        <v>7.1978989373953528E-2</v>
      </c>
    </row>
    <row r="1155" spans="1:11" x14ac:dyDescent="0.25">
      <c r="A1155" s="5" t="s">
        <v>6</v>
      </c>
      <c r="B1155" s="5" t="s">
        <v>5596</v>
      </c>
      <c r="C1155" s="1" t="s">
        <v>5597</v>
      </c>
      <c r="D1155" s="5" t="s">
        <v>17754</v>
      </c>
      <c r="E1155" s="32">
        <v>1</v>
      </c>
      <c r="F1155" s="27">
        <v>7306</v>
      </c>
      <c r="I1155" s="27">
        <v>7306</v>
      </c>
    </row>
    <row r="1156" spans="1:11" x14ac:dyDescent="0.25">
      <c r="A1156" s="5" t="s">
        <v>6</v>
      </c>
      <c r="B1156" s="5" t="s">
        <v>5599</v>
      </c>
      <c r="C1156" s="1" t="s">
        <v>5600</v>
      </c>
      <c r="D1156" s="5" t="s">
        <v>17754</v>
      </c>
      <c r="E1156" s="32">
        <v>1</v>
      </c>
      <c r="F1156" s="27">
        <v>7131</v>
      </c>
      <c r="I1156" s="27">
        <v>7131</v>
      </c>
    </row>
    <row r="1157" spans="1:11" x14ac:dyDescent="0.25">
      <c r="A1157" s="5" t="s">
        <v>6</v>
      </c>
      <c r="B1157" s="5" t="s">
        <v>5605</v>
      </c>
      <c r="C1157" s="1" t="s">
        <v>5606</v>
      </c>
      <c r="D1157" s="5" t="s">
        <v>17755</v>
      </c>
      <c r="E1157" s="32">
        <v>20</v>
      </c>
      <c r="F1157" s="27">
        <v>1100</v>
      </c>
      <c r="I1157" s="27">
        <v>55</v>
      </c>
    </row>
    <row r="1158" spans="1:11" x14ac:dyDescent="0.25">
      <c r="A1158" s="5" t="s">
        <v>6</v>
      </c>
      <c r="B1158" s="5" t="s">
        <v>5608</v>
      </c>
      <c r="C1158" s="1" t="s">
        <v>5609</v>
      </c>
      <c r="D1158" s="5" t="s">
        <v>17755</v>
      </c>
      <c r="E1158" s="32">
        <v>25</v>
      </c>
      <c r="F1158" s="27">
        <v>272</v>
      </c>
      <c r="I1158" s="27">
        <v>10.88</v>
      </c>
    </row>
    <row r="1159" spans="1:11" x14ac:dyDescent="0.25">
      <c r="A1159" s="5" t="s">
        <v>6</v>
      </c>
      <c r="B1159" s="5" t="s">
        <v>5610</v>
      </c>
      <c r="C1159" s="1" t="s">
        <v>5611</v>
      </c>
      <c r="D1159" s="5" t="s">
        <v>17755</v>
      </c>
      <c r="E1159" s="32">
        <v>2</v>
      </c>
      <c r="F1159" s="27">
        <v>48</v>
      </c>
      <c r="G1159" s="32">
        <v>10</v>
      </c>
      <c r="H1159" s="27">
        <v>260</v>
      </c>
      <c r="I1159" s="27">
        <v>24</v>
      </c>
      <c r="J1159" s="27">
        <v>26</v>
      </c>
      <c r="K1159" s="29">
        <v>8.3333333333333329E-2</v>
      </c>
    </row>
    <row r="1160" spans="1:11" x14ac:dyDescent="0.25">
      <c r="A1160" s="5" t="s">
        <v>6</v>
      </c>
      <c r="B1160" s="5" t="s">
        <v>5616</v>
      </c>
      <c r="C1160" s="1" t="s">
        <v>5617</v>
      </c>
      <c r="D1160" s="5" t="s">
        <v>17756</v>
      </c>
      <c r="E1160" s="32">
        <v>4607</v>
      </c>
      <c r="F1160" s="27">
        <v>40759</v>
      </c>
      <c r="G1160" s="32">
        <v>5707</v>
      </c>
      <c r="H1160" s="27">
        <v>55305</v>
      </c>
      <c r="I1160" s="27">
        <v>8.8471890601258956</v>
      </c>
      <c r="J1160" s="27">
        <v>9.6907306816190637</v>
      </c>
      <c r="K1160" s="29">
        <v>9.5345721195785604E-2</v>
      </c>
    </row>
    <row r="1161" spans="1:11" x14ac:dyDescent="0.25">
      <c r="A1161" s="5" t="s">
        <v>6</v>
      </c>
      <c r="B1161" s="5" t="s">
        <v>5621</v>
      </c>
      <c r="C1161" s="1" t="s">
        <v>5622</v>
      </c>
      <c r="D1161" s="5" t="s">
        <v>17756</v>
      </c>
      <c r="E1161" s="32">
        <v>21730</v>
      </c>
      <c r="F1161" s="27">
        <v>557946</v>
      </c>
      <c r="G1161" s="32">
        <v>21967</v>
      </c>
      <c r="H1161" s="27">
        <v>600522</v>
      </c>
      <c r="I1161" s="27">
        <v>25.676300046019328</v>
      </c>
      <c r="J1161" s="27">
        <v>27.337460736559386</v>
      </c>
      <c r="K1161" s="29">
        <v>6.4696264164337505E-2</v>
      </c>
    </row>
    <row r="1162" spans="1:11" x14ac:dyDescent="0.25">
      <c r="A1162" s="5" t="s">
        <v>6</v>
      </c>
      <c r="B1162" s="5" t="s">
        <v>5629</v>
      </c>
      <c r="C1162" s="1" t="s">
        <v>5630</v>
      </c>
      <c r="D1162" s="5" t="s">
        <v>17755</v>
      </c>
      <c r="E1162" s="32">
        <v>271</v>
      </c>
      <c r="F1162" s="27">
        <v>7221</v>
      </c>
      <c r="G1162" s="32">
        <v>735</v>
      </c>
      <c r="H1162" s="27">
        <v>20695</v>
      </c>
      <c r="I1162" s="27">
        <v>26.645756457564577</v>
      </c>
      <c r="J1162" s="27">
        <v>28.156462585034014</v>
      </c>
      <c r="K1162" s="29">
        <v>5.6695936926217605E-2</v>
      </c>
    </row>
    <row r="1163" spans="1:11" x14ac:dyDescent="0.25">
      <c r="A1163" s="5" t="s">
        <v>6</v>
      </c>
      <c r="B1163" s="5" t="s">
        <v>5635</v>
      </c>
      <c r="C1163" s="1" t="s">
        <v>5636</v>
      </c>
      <c r="D1163" s="5" t="s">
        <v>17755</v>
      </c>
      <c r="E1163" s="32">
        <v>839</v>
      </c>
      <c r="F1163" s="27">
        <v>22467</v>
      </c>
      <c r="G1163" s="32">
        <v>734</v>
      </c>
      <c r="H1163" s="27">
        <v>20802</v>
      </c>
      <c r="I1163" s="27">
        <v>26.778307508939214</v>
      </c>
      <c r="J1163" s="27">
        <v>28.340599455040874</v>
      </c>
      <c r="K1163" s="29">
        <v>5.834169861482584E-2</v>
      </c>
    </row>
    <row r="1164" spans="1:11" x14ac:dyDescent="0.25">
      <c r="A1164" s="5" t="s">
        <v>6</v>
      </c>
      <c r="B1164" s="5" t="s">
        <v>5638</v>
      </c>
      <c r="C1164" s="1" t="s">
        <v>5639</v>
      </c>
      <c r="D1164" s="5" t="s">
        <v>17755</v>
      </c>
      <c r="E1164" s="32">
        <v>3</v>
      </c>
      <c r="F1164" s="27">
        <v>213</v>
      </c>
      <c r="G1164" s="32">
        <v>20</v>
      </c>
      <c r="H1164" s="27">
        <v>1534</v>
      </c>
      <c r="I1164" s="27">
        <v>71</v>
      </c>
      <c r="J1164" s="27">
        <v>76.7</v>
      </c>
      <c r="K1164" s="29">
        <v>8.0281690140845116E-2</v>
      </c>
    </row>
    <row r="1165" spans="1:11" x14ac:dyDescent="0.25">
      <c r="A1165" s="5" t="s">
        <v>6</v>
      </c>
      <c r="B1165" s="5" t="s">
        <v>5647</v>
      </c>
      <c r="C1165" s="1" t="s">
        <v>5648</v>
      </c>
      <c r="D1165" s="5" t="s">
        <v>17755</v>
      </c>
      <c r="E1165" s="32">
        <v>2</v>
      </c>
      <c r="F1165" s="27">
        <v>38</v>
      </c>
      <c r="I1165" s="27">
        <v>19</v>
      </c>
    </row>
    <row r="1166" spans="1:11" x14ac:dyDescent="0.25">
      <c r="A1166" s="5" t="s">
        <v>6</v>
      </c>
      <c r="B1166" s="5" t="s">
        <v>5668</v>
      </c>
      <c r="C1166" s="1" t="s">
        <v>5669</v>
      </c>
      <c r="D1166" s="5" t="s">
        <v>17755</v>
      </c>
      <c r="E1166" s="32">
        <v>12</v>
      </c>
      <c r="F1166" s="27">
        <v>276</v>
      </c>
      <c r="I1166" s="27">
        <v>23</v>
      </c>
    </row>
    <row r="1167" spans="1:11" x14ac:dyDescent="0.25">
      <c r="A1167" s="5" t="s">
        <v>6</v>
      </c>
      <c r="B1167" s="5" t="s">
        <v>5671</v>
      </c>
      <c r="C1167" s="1" t="s">
        <v>5672</v>
      </c>
      <c r="D1167" s="5" t="s">
        <v>17755</v>
      </c>
      <c r="E1167" s="32">
        <v>3610</v>
      </c>
      <c r="F1167" s="27">
        <v>95822</v>
      </c>
      <c r="G1167" s="32">
        <v>3476</v>
      </c>
      <c r="H1167" s="27">
        <v>98716</v>
      </c>
      <c r="I1167" s="27">
        <v>26.543490304709142</v>
      </c>
      <c r="J1167" s="27">
        <v>28.399309551208287</v>
      </c>
      <c r="K1167" s="29">
        <v>6.9916172485044281E-2</v>
      </c>
    </row>
    <row r="1168" spans="1:11" x14ac:dyDescent="0.25">
      <c r="A1168" s="5" t="s">
        <v>6</v>
      </c>
      <c r="B1168" s="5" t="s">
        <v>5677</v>
      </c>
      <c r="C1168" s="1" t="s">
        <v>5678</v>
      </c>
      <c r="D1168" s="5" t="s">
        <v>17755</v>
      </c>
      <c r="E1168" s="32">
        <v>16</v>
      </c>
      <c r="F1168" s="27">
        <v>140</v>
      </c>
      <c r="G1168" s="32">
        <v>6</v>
      </c>
      <c r="H1168" s="27">
        <v>58</v>
      </c>
      <c r="I1168" s="27">
        <v>8.75</v>
      </c>
      <c r="J1168" s="27">
        <v>9.6666666666666661</v>
      </c>
      <c r="K1168" s="29">
        <v>0.1047619047619047</v>
      </c>
    </row>
    <row r="1169" spans="1:11" x14ac:dyDescent="0.25">
      <c r="A1169" s="5" t="s">
        <v>6</v>
      </c>
      <c r="B1169" s="5" t="s">
        <v>5680</v>
      </c>
      <c r="C1169" s="1" t="s">
        <v>5681</v>
      </c>
      <c r="D1169" s="5" t="s">
        <v>17755</v>
      </c>
      <c r="E1169" s="32">
        <v>1751</v>
      </c>
      <c r="F1169" s="27">
        <v>46587</v>
      </c>
      <c r="G1169" s="32">
        <v>1490</v>
      </c>
      <c r="H1169" s="27">
        <v>42052</v>
      </c>
      <c r="I1169" s="27">
        <v>26.605939463163907</v>
      </c>
      <c r="J1169" s="27">
        <v>28.22281879194631</v>
      </c>
      <c r="K1169" s="29">
        <v>6.0771367649730346E-2</v>
      </c>
    </row>
    <row r="1170" spans="1:11" x14ac:dyDescent="0.25">
      <c r="A1170" s="5" t="s">
        <v>6</v>
      </c>
      <c r="B1170" s="5" t="s">
        <v>5683</v>
      </c>
      <c r="C1170" s="1" t="s">
        <v>5684</v>
      </c>
      <c r="D1170" s="5" t="s">
        <v>17755</v>
      </c>
      <c r="E1170" s="32">
        <v>568</v>
      </c>
      <c r="F1170" s="27">
        <v>15204</v>
      </c>
      <c r="G1170" s="32">
        <v>325</v>
      </c>
      <c r="H1170" s="27">
        <v>9273</v>
      </c>
      <c r="I1170" s="27">
        <v>26.767605633802816</v>
      </c>
      <c r="J1170" s="27">
        <v>28.532307692307693</v>
      </c>
      <c r="K1170" s="29">
        <v>6.5926780401918586E-2</v>
      </c>
    </row>
    <row r="1171" spans="1:11" x14ac:dyDescent="0.25">
      <c r="A1171" s="5" t="s">
        <v>6</v>
      </c>
      <c r="B1171" s="5" t="s">
        <v>5689</v>
      </c>
      <c r="C1171" s="1" t="s">
        <v>5690</v>
      </c>
      <c r="D1171" s="5" t="s">
        <v>17755</v>
      </c>
      <c r="E1171" s="32">
        <v>88</v>
      </c>
      <c r="F1171" s="27">
        <v>2290</v>
      </c>
      <c r="G1171" s="32">
        <v>214</v>
      </c>
      <c r="H1171" s="27">
        <v>5862</v>
      </c>
      <c r="I1171" s="27">
        <v>26.022727272727273</v>
      </c>
      <c r="J1171" s="27">
        <v>27.392523364485982</v>
      </c>
      <c r="K1171" s="29">
        <v>5.2638452434395772E-2</v>
      </c>
    </row>
    <row r="1172" spans="1:11" x14ac:dyDescent="0.25">
      <c r="A1172" s="5" t="s">
        <v>6</v>
      </c>
      <c r="B1172" s="5" t="s">
        <v>5692</v>
      </c>
      <c r="C1172" s="1" t="s">
        <v>5693</v>
      </c>
      <c r="D1172" s="5" t="s">
        <v>17755</v>
      </c>
      <c r="E1172" s="32">
        <v>55</v>
      </c>
      <c r="F1172" s="27">
        <v>1595</v>
      </c>
      <c r="I1172" s="27">
        <v>29</v>
      </c>
    </row>
    <row r="1173" spans="1:11" x14ac:dyDescent="0.25">
      <c r="A1173" s="5" t="s">
        <v>6</v>
      </c>
      <c r="B1173" s="5" t="s">
        <v>5701</v>
      </c>
      <c r="C1173" s="1" t="s">
        <v>5702</v>
      </c>
      <c r="D1173" s="5" t="s">
        <v>17755</v>
      </c>
      <c r="E1173" s="32">
        <v>573</v>
      </c>
      <c r="F1173" s="27">
        <v>15952</v>
      </c>
      <c r="G1173" s="32">
        <v>554</v>
      </c>
      <c r="H1173" s="27">
        <v>16192</v>
      </c>
      <c r="I1173" s="27">
        <v>27.839441535776615</v>
      </c>
      <c r="J1173" s="27">
        <v>29.227436823104693</v>
      </c>
      <c r="K1173" s="29">
        <v>4.9857152685493268E-2</v>
      </c>
    </row>
    <row r="1174" spans="1:11" x14ac:dyDescent="0.25">
      <c r="A1174" s="5" t="s">
        <v>6</v>
      </c>
      <c r="B1174" s="5" t="s">
        <v>5704</v>
      </c>
      <c r="C1174" s="1" t="s">
        <v>5705</v>
      </c>
      <c r="D1174" s="5" t="s">
        <v>17755</v>
      </c>
      <c r="E1174" s="32">
        <v>6954</v>
      </c>
      <c r="F1174" s="27">
        <v>467427</v>
      </c>
      <c r="G1174" s="32">
        <v>7952</v>
      </c>
      <c r="H1174" s="27">
        <v>566491</v>
      </c>
      <c r="I1174" s="27">
        <v>67.216997411561692</v>
      </c>
      <c r="J1174" s="27">
        <v>71.238807847082498</v>
      </c>
      <c r="K1174" s="29">
        <v>5.9833235496904717E-2</v>
      </c>
    </row>
    <row r="1175" spans="1:11" x14ac:dyDescent="0.25">
      <c r="A1175" s="5" t="s">
        <v>6</v>
      </c>
      <c r="B1175" s="5" t="s">
        <v>5707</v>
      </c>
      <c r="C1175" s="1" t="s">
        <v>5708</v>
      </c>
      <c r="D1175" s="5" t="s">
        <v>17755</v>
      </c>
      <c r="E1175" s="32">
        <v>34</v>
      </c>
      <c r="F1175" s="27">
        <v>1184</v>
      </c>
      <c r="G1175" s="32">
        <v>63</v>
      </c>
      <c r="H1175" s="27">
        <v>2367</v>
      </c>
      <c r="I1175" s="27">
        <v>34.823529411764703</v>
      </c>
      <c r="J1175" s="27">
        <v>37.571428571428569</v>
      </c>
      <c r="K1175" s="29">
        <v>7.8909266409266446E-2</v>
      </c>
    </row>
    <row r="1176" spans="1:11" x14ac:dyDescent="0.25">
      <c r="A1176" s="5" t="s">
        <v>6</v>
      </c>
      <c r="B1176" s="5" t="s">
        <v>5710</v>
      </c>
      <c r="C1176" s="1" t="s">
        <v>5711</v>
      </c>
      <c r="D1176" s="5" t="s">
        <v>17755</v>
      </c>
      <c r="E1176" s="32">
        <v>682</v>
      </c>
      <c r="F1176" s="27">
        <v>12225</v>
      </c>
      <c r="G1176" s="32">
        <v>548</v>
      </c>
      <c r="H1176" s="27">
        <v>10291</v>
      </c>
      <c r="I1176" s="27">
        <v>17.925219941348974</v>
      </c>
      <c r="J1176" s="27">
        <v>18.779197080291972</v>
      </c>
      <c r="K1176" s="29">
        <v>4.7641096831012239E-2</v>
      </c>
    </row>
    <row r="1177" spans="1:11" x14ac:dyDescent="0.25">
      <c r="A1177" s="5" t="s">
        <v>6</v>
      </c>
      <c r="B1177" s="5" t="s">
        <v>5719</v>
      </c>
      <c r="C1177" s="1" t="s">
        <v>5720</v>
      </c>
      <c r="D1177" s="5" t="s">
        <v>17755</v>
      </c>
      <c r="E1177" s="32">
        <v>54</v>
      </c>
      <c r="F1177" s="27">
        <v>270</v>
      </c>
      <c r="G1177" s="32">
        <v>163</v>
      </c>
      <c r="H1177" s="27">
        <v>815</v>
      </c>
      <c r="I1177" s="27">
        <v>5</v>
      </c>
      <c r="J1177" s="27">
        <v>5</v>
      </c>
      <c r="K1177" s="29">
        <v>0</v>
      </c>
    </row>
    <row r="1178" spans="1:11" x14ac:dyDescent="0.25">
      <c r="A1178" s="5" t="s">
        <v>6</v>
      </c>
      <c r="B1178" s="5" t="s">
        <v>5722</v>
      </c>
      <c r="C1178" s="1" t="s">
        <v>5723</v>
      </c>
      <c r="D1178" s="5" t="s">
        <v>17755</v>
      </c>
      <c r="E1178" s="32">
        <v>192</v>
      </c>
      <c r="F1178" s="27">
        <v>7014</v>
      </c>
      <c r="G1178" s="32">
        <v>212</v>
      </c>
      <c r="H1178" s="27">
        <v>8240</v>
      </c>
      <c r="I1178" s="27">
        <v>36.53125</v>
      </c>
      <c r="J1178" s="27">
        <v>38.867924528301884</v>
      </c>
      <c r="K1178" s="29">
        <v>6.3963716771309062E-2</v>
      </c>
    </row>
    <row r="1179" spans="1:11" x14ac:dyDescent="0.25">
      <c r="A1179" s="5" t="s">
        <v>6</v>
      </c>
      <c r="B1179" s="5" t="s">
        <v>5731</v>
      </c>
      <c r="C1179" s="1" t="s">
        <v>5732</v>
      </c>
      <c r="D1179" s="5" t="s">
        <v>17755</v>
      </c>
      <c r="E1179" s="32">
        <v>768</v>
      </c>
      <c r="F1179" s="27">
        <v>3840</v>
      </c>
      <c r="G1179" s="32">
        <v>590</v>
      </c>
      <c r="H1179" s="27">
        <v>2950</v>
      </c>
      <c r="I1179" s="27">
        <v>5</v>
      </c>
      <c r="J1179" s="27">
        <v>5</v>
      </c>
      <c r="K1179" s="29">
        <v>0</v>
      </c>
    </row>
    <row r="1180" spans="1:11" x14ac:dyDescent="0.25">
      <c r="A1180" s="5" t="s">
        <v>6</v>
      </c>
      <c r="B1180" s="5" t="s">
        <v>5734</v>
      </c>
      <c r="C1180" s="1" t="s">
        <v>5735</v>
      </c>
      <c r="D1180" s="5" t="s">
        <v>17755</v>
      </c>
      <c r="E1180" s="32">
        <v>4718</v>
      </c>
      <c r="F1180" s="27">
        <v>172088</v>
      </c>
      <c r="G1180" s="32">
        <v>4219</v>
      </c>
      <c r="H1180" s="27">
        <v>164902</v>
      </c>
      <c r="I1180" s="27">
        <v>36.474777448071215</v>
      </c>
      <c r="J1180" s="27">
        <v>39.085565299834087</v>
      </c>
      <c r="K1180" s="29">
        <v>7.15778966843547E-2</v>
      </c>
    </row>
    <row r="1181" spans="1:11" x14ac:dyDescent="0.25">
      <c r="A1181" s="5" t="s">
        <v>6</v>
      </c>
      <c r="B1181" s="5" t="s">
        <v>5737</v>
      </c>
      <c r="C1181" s="1" t="s">
        <v>5738</v>
      </c>
      <c r="D1181" s="5" t="s">
        <v>17755</v>
      </c>
      <c r="E1181" s="32">
        <v>4560</v>
      </c>
      <c r="F1181" s="27">
        <v>202276</v>
      </c>
      <c r="G1181" s="32">
        <v>4965</v>
      </c>
      <c r="H1181" s="27">
        <v>235193</v>
      </c>
      <c r="I1181" s="27">
        <v>44.358771929824563</v>
      </c>
      <c r="J1181" s="27">
        <v>47.37019133937563</v>
      </c>
      <c r="K1181" s="29">
        <v>6.7887799380810701E-2</v>
      </c>
    </row>
    <row r="1182" spans="1:11" x14ac:dyDescent="0.25">
      <c r="A1182" s="5" t="s">
        <v>6</v>
      </c>
      <c r="B1182" s="5" t="s">
        <v>5752</v>
      </c>
      <c r="C1182" s="1" t="s">
        <v>5753</v>
      </c>
      <c r="D1182" s="5" t="s">
        <v>17755</v>
      </c>
      <c r="E1182" s="32">
        <v>549</v>
      </c>
      <c r="F1182" s="27">
        <v>22806</v>
      </c>
      <c r="G1182" s="32">
        <v>480</v>
      </c>
      <c r="H1182" s="27">
        <v>21063</v>
      </c>
      <c r="I1182" s="27">
        <v>41.540983606557376</v>
      </c>
      <c r="J1182" s="27">
        <v>43.881250000000001</v>
      </c>
      <c r="K1182" s="29">
        <v>5.6336325966850898E-2</v>
      </c>
    </row>
    <row r="1183" spans="1:11" x14ac:dyDescent="0.25">
      <c r="A1183" s="5" t="s">
        <v>6</v>
      </c>
      <c r="B1183" s="5" t="s">
        <v>5755</v>
      </c>
      <c r="C1183" s="1" t="s">
        <v>5756</v>
      </c>
      <c r="D1183" s="5" t="s">
        <v>17755</v>
      </c>
      <c r="E1183" s="32">
        <v>166</v>
      </c>
      <c r="F1183" s="27">
        <v>6776</v>
      </c>
      <c r="G1183" s="32">
        <v>117</v>
      </c>
      <c r="H1183" s="27">
        <v>5076</v>
      </c>
      <c r="I1183" s="27">
        <v>40.819277108433738</v>
      </c>
      <c r="J1183" s="27">
        <v>43.384615384615387</v>
      </c>
      <c r="K1183" s="29">
        <v>6.2846244664426454E-2</v>
      </c>
    </row>
    <row r="1184" spans="1:11" x14ac:dyDescent="0.25">
      <c r="A1184" s="5" t="s">
        <v>6</v>
      </c>
      <c r="B1184" s="5" t="s">
        <v>5761</v>
      </c>
      <c r="C1184" s="1" t="s">
        <v>5762</v>
      </c>
      <c r="D1184" s="5" t="s">
        <v>17755</v>
      </c>
      <c r="E1184" s="32">
        <v>293</v>
      </c>
      <c r="F1184" s="27">
        <v>7859</v>
      </c>
      <c r="G1184" s="32">
        <v>199</v>
      </c>
      <c r="H1184" s="27">
        <v>5625</v>
      </c>
      <c r="I1184" s="27">
        <v>26.822525597269625</v>
      </c>
      <c r="J1184" s="27">
        <v>28.266331658291456</v>
      </c>
      <c r="K1184" s="29">
        <v>5.3828117556864313E-2</v>
      </c>
    </row>
    <row r="1185" spans="1:11" x14ac:dyDescent="0.25">
      <c r="A1185" s="5" t="s">
        <v>6</v>
      </c>
      <c r="B1185" s="5" t="s">
        <v>5770</v>
      </c>
      <c r="C1185" s="1" t="s">
        <v>5771</v>
      </c>
      <c r="D1185" s="5" t="s">
        <v>17755</v>
      </c>
      <c r="E1185" s="32">
        <v>23</v>
      </c>
      <c r="F1185" s="27">
        <v>769</v>
      </c>
      <c r="I1185" s="27">
        <v>33.434782608695649</v>
      </c>
    </row>
    <row r="1186" spans="1:11" x14ac:dyDescent="0.25">
      <c r="A1186" s="5" t="s">
        <v>6</v>
      </c>
      <c r="B1186" s="5" t="s">
        <v>5776</v>
      </c>
      <c r="C1186" s="1" t="s">
        <v>5777</v>
      </c>
      <c r="D1186" s="5" t="s">
        <v>17755</v>
      </c>
      <c r="E1186" s="32">
        <v>94</v>
      </c>
      <c r="F1186" s="27">
        <v>5907</v>
      </c>
      <c r="G1186" s="32">
        <v>159</v>
      </c>
      <c r="H1186" s="27">
        <v>10477</v>
      </c>
      <c r="I1186" s="27">
        <v>62.840425531914896</v>
      </c>
      <c r="J1186" s="27">
        <v>65.893081761006286</v>
      </c>
      <c r="K1186" s="29">
        <v>4.857790511843417E-2</v>
      </c>
    </row>
    <row r="1187" spans="1:11" x14ac:dyDescent="0.25">
      <c r="A1187" s="5" t="s">
        <v>6</v>
      </c>
      <c r="B1187" s="5" t="s">
        <v>5779</v>
      </c>
      <c r="C1187" s="1" t="s">
        <v>5780</v>
      </c>
      <c r="D1187" s="5" t="s">
        <v>17755</v>
      </c>
      <c r="E1187" s="32">
        <v>4876</v>
      </c>
      <c r="F1187" s="27">
        <v>101124</v>
      </c>
      <c r="G1187" s="32">
        <v>5649</v>
      </c>
      <c r="H1187" s="27">
        <v>126375</v>
      </c>
      <c r="I1187" s="27">
        <v>20.739130434782609</v>
      </c>
      <c r="J1187" s="27">
        <v>22.371216144450344</v>
      </c>
      <c r="K1187" s="29">
        <v>7.8695956650645466E-2</v>
      </c>
    </row>
    <row r="1188" spans="1:11" x14ac:dyDescent="0.25">
      <c r="A1188" s="5" t="s">
        <v>6</v>
      </c>
      <c r="B1188" s="5" t="s">
        <v>5781</v>
      </c>
      <c r="C1188" s="1" t="s">
        <v>5782</v>
      </c>
      <c r="D1188" s="5" t="s">
        <v>17755</v>
      </c>
      <c r="E1188" s="32">
        <v>3963</v>
      </c>
      <c r="F1188" s="27">
        <v>81821</v>
      </c>
      <c r="G1188" s="32">
        <v>3626</v>
      </c>
      <c r="H1188" s="27">
        <v>80778</v>
      </c>
      <c r="I1188" s="27">
        <v>20.646227605349484</v>
      </c>
      <c r="J1188" s="27">
        <v>22.277440706012136</v>
      </c>
      <c r="K1188" s="29">
        <v>7.9007803839186638E-2</v>
      </c>
    </row>
    <row r="1189" spans="1:11" x14ac:dyDescent="0.25">
      <c r="A1189" s="5" t="s">
        <v>6</v>
      </c>
      <c r="B1189" s="5" t="s">
        <v>5787</v>
      </c>
      <c r="C1189" s="1" t="s">
        <v>5788</v>
      </c>
      <c r="D1189" s="5" t="s">
        <v>17755</v>
      </c>
      <c r="E1189" s="32">
        <v>93</v>
      </c>
      <c r="F1189" s="27">
        <v>1282</v>
      </c>
      <c r="G1189" s="32">
        <v>29</v>
      </c>
      <c r="H1189" s="27">
        <v>435</v>
      </c>
      <c r="I1189" s="27">
        <v>13.78494623655914</v>
      </c>
      <c r="J1189" s="27">
        <v>15</v>
      </c>
      <c r="K1189" s="29">
        <v>8.8143525741029627E-2</v>
      </c>
    </row>
    <row r="1190" spans="1:11" x14ac:dyDescent="0.25">
      <c r="A1190" s="5" t="s">
        <v>6</v>
      </c>
      <c r="B1190" s="5" t="s">
        <v>5790</v>
      </c>
      <c r="C1190" s="1" t="s">
        <v>5791</v>
      </c>
      <c r="D1190" s="5" t="s">
        <v>17755</v>
      </c>
      <c r="E1190" s="32">
        <v>1752</v>
      </c>
      <c r="F1190" s="27">
        <v>130206</v>
      </c>
      <c r="G1190" s="32">
        <v>1715</v>
      </c>
      <c r="H1190" s="27">
        <v>135171</v>
      </c>
      <c r="I1190" s="27">
        <v>74.31849315068493</v>
      </c>
      <c r="J1190" s="27">
        <v>78.816909620991254</v>
      </c>
      <c r="K1190" s="29">
        <v>6.0528897715747973E-2</v>
      </c>
    </row>
    <row r="1191" spans="1:11" x14ac:dyDescent="0.25">
      <c r="A1191" s="5" t="s">
        <v>6</v>
      </c>
      <c r="B1191" s="5" t="s">
        <v>5799</v>
      </c>
      <c r="C1191" s="1" t="s">
        <v>5800</v>
      </c>
      <c r="D1191" s="5" t="s">
        <v>17755</v>
      </c>
      <c r="E1191" s="32">
        <v>1</v>
      </c>
      <c r="F1191" s="27">
        <v>5</v>
      </c>
      <c r="I1191" s="27">
        <v>5</v>
      </c>
    </row>
    <row r="1192" spans="1:11" x14ac:dyDescent="0.25">
      <c r="A1192" s="5" t="s">
        <v>6</v>
      </c>
      <c r="B1192" s="5" t="s">
        <v>5802</v>
      </c>
      <c r="C1192" s="1" t="s">
        <v>5803</v>
      </c>
      <c r="D1192" s="5" t="s">
        <v>17755</v>
      </c>
      <c r="E1192" s="32">
        <v>88</v>
      </c>
      <c r="F1192" s="27">
        <v>264</v>
      </c>
      <c r="I1192" s="27">
        <v>3</v>
      </c>
    </row>
    <row r="1193" spans="1:11" x14ac:dyDescent="0.25">
      <c r="A1193" s="5" t="s">
        <v>6</v>
      </c>
      <c r="B1193" s="5" t="s">
        <v>5807</v>
      </c>
      <c r="C1193" s="1" t="s">
        <v>5808</v>
      </c>
      <c r="D1193" s="5" t="s">
        <v>17756</v>
      </c>
      <c r="E1193" s="32">
        <v>5769</v>
      </c>
      <c r="F1193" s="27">
        <v>102821</v>
      </c>
      <c r="G1193" s="32">
        <v>6747</v>
      </c>
      <c r="H1193" s="27">
        <v>125938</v>
      </c>
      <c r="I1193" s="27">
        <v>17.823019587450165</v>
      </c>
      <c r="J1193" s="27">
        <v>18.665777382540387</v>
      </c>
      <c r="K1193" s="29">
        <v>4.7284793183060753E-2</v>
      </c>
    </row>
    <row r="1194" spans="1:11" x14ac:dyDescent="0.25">
      <c r="A1194" s="5" t="s">
        <v>6</v>
      </c>
      <c r="B1194" s="5" t="s">
        <v>5810</v>
      </c>
      <c r="C1194" s="1" t="s">
        <v>5811</v>
      </c>
      <c r="D1194" s="5" t="s">
        <v>17756</v>
      </c>
      <c r="E1194" s="32">
        <v>8567</v>
      </c>
      <c r="F1194" s="27">
        <v>152601</v>
      </c>
      <c r="G1194" s="32">
        <v>7116</v>
      </c>
      <c r="H1194" s="27">
        <v>133091</v>
      </c>
      <c r="I1194" s="27">
        <v>17.812653204155481</v>
      </c>
      <c r="J1194" s="27">
        <v>18.703063518830803</v>
      </c>
      <c r="K1194" s="29">
        <v>4.9987517551152869E-2</v>
      </c>
    </row>
    <row r="1195" spans="1:11" x14ac:dyDescent="0.25">
      <c r="A1195" s="5" t="s">
        <v>6</v>
      </c>
      <c r="B1195" s="5" t="s">
        <v>5813</v>
      </c>
      <c r="C1195" s="1" t="s">
        <v>5814</v>
      </c>
      <c r="D1195" s="5" t="s">
        <v>17756</v>
      </c>
      <c r="E1195" s="32">
        <v>757</v>
      </c>
      <c r="F1195" s="27">
        <v>6721</v>
      </c>
      <c r="G1195" s="32">
        <v>591</v>
      </c>
      <c r="H1195" s="27">
        <v>5661</v>
      </c>
      <c r="I1195" s="27">
        <v>8.878467635402906</v>
      </c>
      <c r="J1195" s="27">
        <v>9.5786802030456855</v>
      </c>
      <c r="K1195" s="29">
        <v>7.8866376090698423E-2</v>
      </c>
    </row>
    <row r="1196" spans="1:11" x14ac:dyDescent="0.25">
      <c r="A1196" s="5" t="s">
        <v>6</v>
      </c>
      <c r="B1196" s="5" t="s">
        <v>5815</v>
      </c>
      <c r="C1196" s="1" t="s">
        <v>5816</v>
      </c>
      <c r="D1196" s="5" t="s">
        <v>17756</v>
      </c>
      <c r="E1196" s="32">
        <v>8445</v>
      </c>
      <c r="F1196" s="27">
        <v>74567</v>
      </c>
      <c r="G1196" s="32">
        <v>9885</v>
      </c>
      <c r="H1196" s="27">
        <v>95932</v>
      </c>
      <c r="I1196" s="27">
        <v>8.8297217288336292</v>
      </c>
      <c r="J1196" s="27">
        <v>9.7048052604957</v>
      </c>
      <c r="K1196" s="29">
        <v>9.9106580992747315E-2</v>
      </c>
    </row>
    <row r="1197" spans="1:11" x14ac:dyDescent="0.25">
      <c r="A1197" s="5" t="s">
        <v>6</v>
      </c>
      <c r="B1197" s="5" t="s">
        <v>5817</v>
      </c>
      <c r="C1197" s="1" t="s">
        <v>5818</v>
      </c>
      <c r="D1197" s="5" t="s">
        <v>17756</v>
      </c>
      <c r="E1197" s="32">
        <v>6863</v>
      </c>
      <c r="F1197" s="27">
        <v>74373</v>
      </c>
      <c r="G1197" s="32">
        <v>7780</v>
      </c>
      <c r="H1197" s="27">
        <v>90920</v>
      </c>
      <c r="I1197" s="27">
        <v>10.836806061489145</v>
      </c>
      <c r="J1197" s="27">
        <v>11.686375321336762</v>
      </c>
      <c r="K1197" s="29">
        <v>7.8396647040380102E-2</v>
      </c>
    </row>
    <row r="1198" spans="1:11" x14ac:dyDescent="0.25">
      <c r="A1198" s="5" t="s">
        <v>6</v>
      </c>
      <c r="B1198" s="5" t="s">
        <v>5819</v>
      </c>
      <c r="C1198" s="1" t="s">
        <v>5820</v>
      </c>
      <c r="D1198" s="5" t="s">
        <v>17756</v>
      </c>
      <c r="E1198" s="32">
        <v>7</v>
      </c>
      <c r="F1198" s="27">
        <v>175</v>
      </c>
      <c r="I1198" s="27">
        <v>25</v>
      </c>
    </row>
    <row r="1199" spans="1:11" x14ac:dyDescent="0.25">
      <c r="A1199" s="5" t="s">
        <v>6</v>
      </c>
      <c r="B1199" s="5" t="s">
        <v>5822</v>
      </c>
      <c r="C1199" s="1" t="s">
        <v>5823</v>
      </c>
      <c r="D1199" s="5" t="s">
        <v>17756</v>
      </c>
      <c r="E1199" s="32">
        <v>1343</v>
      </c>
      <c r="F1199" s="27">
        <v>11908</v>
      </c>
      <c r="G1199" s="32">
        <v>1552</v>
      </c>
      <c r="H1199" s="27">
        <v>15001</v>
      </c>
      <c r="I1199" s="27">
        <v>8.8667163067758743</v>
      </c>
      <c r="J1199" s="27">
        <v>9.6655927835051543</v>
      </c>
      <c r="K1199" s="29">
        <v>9.009834634257835E-2</v>
      </c>
    </row>
    <row r="1200" spans="1:11" x14ac:dyDescent="0.25">
      <c r="A1200" s="5" t="s">
        <v>6</v>
      </c>
      <c r="B1200" s="5" t="s">
        <v>5830</v>
      </c>
      <c r="C1200" s="1" t="s">
        <v>5831</v>
      </c>
      <c r="D1200" s="5" t="s">
        <v>17755</v>
      </c>
      <c r="E1200" s="32">
        <v>0</v>
      </c>
      <c r="F1200" s="27">
        <v>0</v>
      </c>
      <c r="G1200" s="32">
        <v>23</v>
      </c>
      <c r="H1200" s="27">
        <v>46</v>
      </c>
      <c r="J1200" s="27">
        <v>2</v>
      </c>
    </row>
    <row r="1201" spans="1:11" x14ac:dyDescent="0.25">
      <c r="A1201" s="5" t="s">
        <v>6</v>
      </c>
      <c r="B1201" s="5" t="s">
        <v>5836</v>
      </c>
      <c r="C1201" s="1" t="s">
        <v>5837</v>
      </c>
      <c r="D1201" s="5" t="s">
        <v>17755</v>
      </c>
      <c r="E1201" s="32">
        <v>1240</v>
      </c>
      <c r="F1201" s="27">
        <v>22140</v>
      </c>
      <c r="G1201" s="32">
        <v>673</v>
      </c>
      <c r="H1201" s="27">
        <v>12546</v>
      </c>
      <c r="I1201" s="27">
        <v>17.85483870967742</v>
      </c>
      <c r="J1201" s="27">
        <v>18.641901931649333</v>
      </c>
      <c r="K1201" s="29">
        <v>4.4081228330856898E-2</v>
      </c>
    </row>
    <row r="1202" spans="1:11" x14ac:dyDescent="0.25">
      <c r="A1202" s="5" t="s">
        <v>6</v>
      </c>
      <c r="B1202" s="5" t="s">
        <v>5845</v>
      </c>
      <c r="C1202" s="1" t="s">
        <v>5846</v>
      </c>
      <c r="D1202" s="5" t="s">
        <v>17755</v>
      </c>
      <c r="E1202" s="32">
        <v>6</v>
      </c>
      <c r="F1202" s="27">
        <v>12</v>
      </c>
      <c r="I1202" s="27">
        <v>2</v>
      </c>
    </row>
    <row r="1203" spans="1:11" x14ac:dyDescent="0.25">
      <c r="A1203" s="5" t="s">
        <v>6</v>
      </c>
      <c r="B1203" s="5" t="s">
        <v>5848</v>
      </c>
      <c r="C1203" s="1" t="s">
        <v>5849</v>
      </c>
      <c r="D1203" s="5" t="s">
        <v>17755</v>
      </c>
      <c r="E1203" s="32">
        <v>1927</v>
      </c>
      <c r="F1203" s="27">
        <v>80037</v>
      </c>
      <c r="G1203" s="32">
        <v>2170</v>
      </c>
      <c r="H1203" s="27">
        <v>95271</v>
      </c>
      <c r="I1203" s="27">
        <v>41.534509600415156</v>
      </c>
      <c r="J1203" s="27">
        <v>43.903686635944702</v>
      </c>
      <c r="K1203" s="29">
        <v>5.7041170302053239E-2</v>
      </c>
    </row>
    <row r="1204" spans="1:11" x14ac:dyDescent="0.25">
      <c r="A1204" s="5" t="s">
        <v>6</v>
      </c>
      <c r="B1204" s="5" t="s">
        <v>5851</v>
      </c>
      <c r="C1204" s="1" t="s">
        <v>5852</v>
      </c>
      <c r="D1204" s="5" t="s">
        <v>17755</v>
      </c>
      <c r="E1204" s="32">
        <v>3754</v>
      </c>
      <c r="F1204" s="27">
        <v>203858</v>
      </c>
      <c r="G1204" s="32">
        <v>4026</v>
      </c>
      <c r="H1204" s="27">
        <v>233070</v>
      </c>
      <c r="I1204" s="27">
        <v>54.304208843899843</v>
      </c>
      <c r="J1204" s="27">
        <v>57.891207153502236</v>
      </c>
      <c r="K1204" s="29">
        <v>6.6053780838855394E-2</v>
      </c>
    </row>
    <row r="1205" spans="1:11" x14ac:dyDescent="0.25">
      <c r="A1205" s="5" t="s">
        <v>6</v>
      </c>
      <c r="B1205" s="5" t="s">
        <v>5854</v>
      </c>
      <c r="C1205" s="1" t="s">
        <v>5855</v>
      </c>
      <c r="D1205" s="5" t="s">
        <v>17755</v>
      </c>
      <c r="E1205" s="32">
        <v>9771</v>
      </c>
      <c r="F1205" s="27">
        <v>231380</v>
      </c>
      <c r="G1205" s="32">
        <v>9375</v>
      </c>
      <c r="H1205" s="27">
        <v>237306</v>
      </c>
      <c r="I1205" s="27">
        <v>23.680278374782521</v>
      </c>
      <c r="J1205" s="27">
        <v>25.312639999999998</v>
      </c>
      <c r="K1205" s="29">
        <v>6.8933379894545635E-2</v>
      </c>
    </row>
    <row r="1206" spans="1:11" x14ac:dyDescent="0.25">
      <c r="A1206" s="5" t="s">
        <v>6</v>
      </c>
      <c r="B1206" s="5" t="s">
        <v>5857</v>
      </c>
      <c r="C1206" s="1" t="s">
        <v>5858</v>
      </c>
      <c r="D1206" s="5" t="s">
        <v>17755</v>
      </c>
      <c r="E1206" s="32">
        <v>3454</v>
      </c>
      <c r="F1206" s="27">
        <v>37256</v>
      </c>
      <c r="G1206" s="32">
        <v>3311</v>
      </c>
      <c r="H1206" s="27">
        <v>38625</v>
      </c>
      <c r="I1206" s="27">
        <v>10.786334684423856</v>
      </c>
      <c r="J1206" s="27">
        <v>11.665659921473875</v>
      </c>
      <c r="K1206" s="29">
        <v>8.1522153982466275E-2</v>
      </c>
    </row>
    <row r="1207" spans="1:11" x14ac:dyDescent="0.25">
      <c r="A1207" s="5" t="s">
        <v>6</v>
      </c>
      <c r="B1207" s="5" t="s">
        <v>5860</v>
      </c>
      <c r="C1207" s="1" t="s">
        <v>5861</v>
      </c>
      <c r="D1207" s="5" t="s">
        <v>17755</v>
      </c>
      <c r="E1207" s="32">
        <v>12</v>
      </c>
      <c r="F1207" s="27">
        <v>468</v>
      </c>
      <c r="I1207" s="27">
        <v>39</v>
      </c>
    </row>
    <row r="1208" spans="1:11" x14ac:dyDescent="0.25">
      <c r="A1208" s="5" t="s">
        <v>6</v>
      </c>
      <c r="B1208" s="5" t="s">
        <v>5866</v>
      </c>
      <c r="C1208" s="1" t="s">
        <v>5867</v>
      </c>
      <c r="D1208" s="5" t="s">
        <v>17755</v>
      </c>
      <c r="E1208" s="32">
        <v>14</v>
      </c>
      <c r="F1208" s="27">
        <v>70</v>
      </c>
      <c r="I1208" s="27">
        <v>5</v>
      </c>
    </row>
    <row r="1209" spans="1:11" x14ac:dyDescent="0.25">
      <c r="A1209" s="5" t="s">
        <v>6</v>
      </c>
      <c r="B1209" s="5" t="s">
        <v>5869</v>
      </c>
      <c r="C1209" s="1" t="s">
        <v>5870</v>
      </c>
      <c r="D1209" s="5" t="s">
        <v>17757</v>
      </c>
      <c r="E1209" s="32">
        <v>15</v>
      </c>
      <c r="F1209" s="27">
        <v>405</v>
      </c>
      <c r="I1209" s="27">
        <v>27</v>
      </c>
    </row>
    <row r="1210" spans="1:11" x14ac:dyDescent="0.25">
      <c r="A1210" s="5" t="s">
        <v>6</v>
      </c>
      <c r="B1210" s="5" t="s">
        <v>5872</v>
      </c>
      <c r="C1210" s="1" t="s">
        <v>5873</v>
      </c>
      <c r="D1210" s="5" t="s">
        <v>17755</v>
      </c>
      <c r="E1210" s="32">
        <v>343</v>
      </c>
      <c r="F1210" s="27">
        <v>22193</v>
      </c>
      <c r="G1210" s="32">
        <v>316</v>
      </c>
      <c r="H1210" s="27">
        <v>21911</v>
      </c>
      <c r="I1210" s="27">
        <v>64.70262390670554</v>
      </c>
      <c r="J1210" s="27">
        <v>69.338607594936704</v>
      </c>
      <c r="K1210" s="29">
        <v>7.1650628804726224E-2</v>
      </c>
    </row>
    <row r="1211" spans="1:11" x14ac:dyDescent="0.25">
      <c r="A1211" s="5" t="s">
        <v>6</v>
      </c>
      <c r="B1211" s="5" t="s">
        <v>5875</v>
      </c>
      <c r="C1211" s="1" t="s">
        <v>5876</v>
      </c>
      <c r="D1211" s="5" t="s">
        <v>17755</v>
      </c>
      <c r="E1211" s="32">
        <v>761</v>
      </c>
      <c r="F1211" s="27">
        <v>9785</v>
      </c>
      <c r="G1211" s="32">
        <v>554</v>
      </c>
      <c r="H1211" s="27">
        <v>7581</v>
      </c>
      <c r="I1211" s="27">
        <v>12.858081471747701</v>
      </c>
      <c r="J1211" s="27">
        <v>13.684115523465705</v>
      </c>
      <c r="K1211" s="29">
        <v>6.4242403000245377E-2</v>
      </c>
    </row>
    <row r="1212" spans="1:11" x14ac:dyDescent="0.25">
      <c r="A1212" s="5" t="s">
        <v>6</v>
      </c>
      <c r="B1212" s="5" t="s">
        <v>5878</v>
      </c>
      <c r="C1212" s="1" t="s">
        <v>5879</v>
      </c>
      <c r="D1212" s="5" t="s">
        <v>17755</v>
      </c>
      <c r="E1212" s="32">
        <v>412</v>
      </c>
      <c r="F1212" s="27">
        <v>824</v>
      </c>
      <c r="G1212" s="32">
        <v>779</v>
      </c>
      <c r="H1212" s="27">
        <v>1558</v>
      </c>
      <c r="I1212" s="27">
        <v>2</v>
      </c>
      <c r="J1212" s="27">
        <v>2</v>
      </c>
      <c r="K1212" s="29">
        <v>0</v>
      </c>
    </row>
    <row r="1213" spans="1:11" x14ac:dyDescent="0.25">
      <c r="A1213" s="5" t="s">
        <v>6</v>
      </c>
      <c r="B1213" s="5" t="s">
        <v>5880</v>
      </c>
      <c r="C1213" s="1" t="s">
        <v>5881</v>
      </c>
      <c r="D1213" s="5" t="s">
        <v>17755</v>
      </c>
      <c r="E1213" s="32">
        <v>3362</v>
      </c>
      <c r="F1213" s="27">
        <v>16810</v>
      </c>
      <c r="G1213" s="32">
        <v>1963</v>
      </c>
      <c r="H1213" s="27">
        <v>9815</v>
      </c>
      <c r="I1213" s="27">
        <v>5</v>
      </c>
      <c r="J1213" s="27">
        <v>5</v>
      </c>
      <c r="K1213" s="29">
        <v>0</v>
      </c>
    </row>
    <row r="1214" spans="1:11" x14ac:dyDescent="0.25">
      <c r="A1214" s="5" t="s">
        <v>6</v>
      </c>
      <c r="B1214" s="5" t="s">
        <v>5895</v>
      </c>
      <c r="C1214" s="1" t="s">
        <v>5896</v>
      </c>
      <c r="D1214" s="5" t="s">
        <v>17756</v>
      </c>
      <c r="E1214" s="32">
        <v>271</v>
      </c>
      <c r="F1214" s="27">
        <v>1355</v>
      </c>
      <c r="G1214" s="32">
        <v>254</v>
      </c>
      <c r="H1214" s="27">
        <v>1270</v>
      </c>
      <c r="I1214" s="27">
        <v>5</v>
      </c>
      <c r="J1214" s="27">
        <v>5</v>
      </c>
      <c r="K1214" s="29">
        <v>0</v>
      </c>
    </row>
    <row r="1215" spans="1:11" x14ac:dyDescent="0.25">
      <c r="A1215" s="5" t="s">
        <v>6</v>
      </c>
      <c r="B1215" s="5" t="s">
        <v>5898</v>
      </c>
      <c r="C1215" s="1" t="s">
        <v>5899</v>
      </c>
      <c r="D1215" s="5" t="s">
        <v>17755</v>
      </c>
      <c r="E1215" s="32">
        <v>857</v>
      </c>
      <c r="F1215" s="27">
        <v>23119</v>
      </c>
      <c r="G1215" s="32">
        <v>1213</v>
      </c>
      <c r="H1215" s="27">
        <v>34625</v>
      </c>
      <c r="I1215" s="27">
        <v>26.976662777129523</v>
      </c>
      <c r="J1215" s="27">
        <v>28.544929925803793</v>
      </c>
      <c r="K1215" s="29">
        <v>5.8134216290230946E-2</v>
      </c>
    </row>
    <row r="1216" spans="1:11" x14ac:dyDescent="0.25">
      <c r="A1216" s="5" t="s">
        <v>6</v>
      </c>
      <c r="B1216" s="5" t="s">
        <v>5901</v>
      </c>
      <c r="C1216" s="1" t="s">
        <v>5902</v>
      </c>
      <c r="D1216" s="5" t="s">
        <v>17755</v>
      </c>
      <c r="E1216" s="32">
        <v>77</v>
      </c>
      <c r="F1216" s="27">
        <v>1386</v>
      </c>
      <c r="G1216" s="32">
        <v>60</v>
      </c>
      <c r="H1216" s="27">
        <v>1132</v>
      </c>
      <c r="I1216" s="27">
        <v>18</v>
      </c>
      <c r="J1216" s="27">
        <v>18.866666666666667</v>
      </c>
      <c r="K1216" s="29">
        <v>4.8148148148148176E-2</v>
      </c>
    </row>
    <row r="1217" spans="1:11" x14ac:dyDescent="0.25">
      <c r="A1217" s="5" t="s">
        <v>6</v>
      </c>
      <c r="B1217" s="5" t="s">
        <v>5904</v>
      </c>
      <c r="C1217" s="1" t="s">
        <v>5905</v>
      </c>
      <c r="D1217" s="5" t="s">
        <v>17755</v>
      </c>
      <c r="E1217" s="32">
        <v>632</v>
      </c>
      <c r="F1217" s="27">
        <v>11301</v>
      </c>
      <c r="G1217" s="32">
        <v>1154</v>
      </c>
      <c r="H1217" s="27">
        <v>21605</v>
      </c>
      <c r="I1217" s="27">
        <v>17.88132911392405</v>
      </c>
      <c r="J1217" s="27">
        <v>18.721837088388217</v>
      </c>
      <c r="K1217" s="29">
        <v>4.7004781865441415E-2</v>
      </c>
    </row>
    <row r="1218" spans="1:11" x14ac:dyDescent="0.25">
      <c r="A1218" s="5" t="s">
        <v>6</v>
      </c>
      <c r="B1218" s="5" t="s">
        <v>5913</v>
      </c>
      <c r="C1218" s="1" t="s">
        <v>5914</v>
      </c>
      <c r="D1218" s="5" t="s">
        <v>17755</v>
      </c>
      <c r="E1218" s="32">
        <v>78</v>
      </c>
      <c r="F1218" s="27">
        <v>2106</v>
      </c>
      <c r="G1218" s="32">
        <v>463</v>
      </c>
      <c r="H1218" s="27">
        <v>12671</v>
      </c>
      <c r="I1218" s="27">
        <v>27</v>
      </c>
      <c r="J1218" s="27">
        <v>27.367170626349893</v>
      </c>
      <c r="K1218" s="29">
        <v>1.3598912087033059E-2</v>
      </c>
    </row>
    <row r="1219" spans="1:11" x14ac:dyDescent="0.25">
      <c r="A1219" s="5" t="s">
        <v>6</v>
      </c>
      <c r="B1219" s="5" t="s">
        <v>5916</v>
      </c>
      <c r="C1219" s="1" t="s">
        <v>5917</v>
      </c>
      <c r="D1219" s="5" t="s">
        <v>17755</v>
      </c>
      <c r="E1219" s="32">
        <v>44</v>
      </c>
      <c r="F1219" s="27">
        <v>1156</v>
      </c>
      <c r="G1219" s="32">
        <v>121</v>
      </c>
      <c r="H1219" s="27">
        <v>3509</v>
      </c>
      <c r="I1219" s="27">
        <v>26.272727272727273</v>
      </c>
      <c r="J1219" s="27">
        <v>29</v>
      </c>
      <c r="K1219" s="29">
        <v>0.10380622837370239</v>
      </c>
    </row>
    <row r="1220" spans="1:11" x14ac:dyDescent="0.25">
      <c r="A1220" s="5" t="s">
        <v>6</v>
      </c>
      <c r="B1220" s="5" t="s">
        <v>5919</v>
      </c>
      <c r="C1220" s="1" t="s">
        <v>5920</v>
      </c>
      <c r="D1220" s="5" t="s">
        <v>17755</v>
      </c>
      <c r="E1220" s="32">
        <v>13</v>
      </c>
      <c r="F1220" s="27">
        <v>5619.9</v>
      </c>
      <c r="G1220" s="32">
        <v>65</v>
      </c>
      <c r="H1220" s="27">
        <v>29314</v>
      </c>
      <c r="I1220" s="27">
        <v>432.29999999999995</v>
      </c>
      <c r="J1220" s="27">
        <v>450.98461538461538</v>
      </c>
      <c r="K1220" s="29">
        <v>4.3221409633623475E-2</v>
      </c>
    </row>
    <row r="1221" spans="1:11" x14ac:dyDescent="0.25">
      <c r="A1221" s="5" t="s">
        <v>6</v>
      </c>
      <c r="B1221" s="5" t="s">
        <v>5925</v>
      </c>
      <c r="C1221" s="1" t="s">
        <v>5926</v>
      </c>
      <c r="D1221" s="5" t="s">
        <v>17755</v>
      </c>
      <c r="E1221" s="32">
        <v>75</v>
      </c>
      <c r="F1221" s="27">
        <v>8694</v>
      </c>
      <c r="G1221" s="32">
        <v>97</v>
      </c>
      <c r="H1221" s="27">
        <v>11934</v>
      </c>
      <c r="I1221" s="27">
        <v>115.92</v>
      </c>
      <c r="J1221" s="27">
        <v>123.03092783505154</v>
      </c>
      <c r="K1221" s="29">
        <v>6.1343407824806254E-2</v>
      </c>
    </row>
    <row r="1222" spans="1:11" x14ac:dyDescent="0.25">
      <c r="A1222" s="5" t="s">
        <v>6</v>
      </c>
      <c r="B1222" s="5" t="s">
        <v>5928</v>
      </c>
      <c r="C1222" s="1" t="s">
        <v>5929</v>
      </c>
      <c r="D1222" s="5" t="s">
        <v>17756</v>
      </c>
      <c r="E1222" s="32">
        <v>671</v>
      </c>
      <c r="F1222" s="27">
        <v>5925</v>
      </c>
      <c r="G1222" s="32">
        <v>572</v>
      </c>
      <c r="H1222" s="27">
        <v>5442</v>
      </c>
      <c r="I1222" s="27">
        <v>8.8301043219076014</v>
      </c>
      <c r="J1222" s="27">
        <v>9.5139860139860133</v>
      </c>
      <c r="K1222" s="29">
        <v>7.7448880233690176E-2</v>
      </c>
    </row>
    <row r="1223" spans="1:11" x14ac:dyDescent="0.25">
      <c r="A1223" s="5" t="s">
        <v>6</v>
      </c>
      <c r="B1223" s="5" t="s">
        <v>5931</v>
      </c>
      <c r="C1223" s="1" t="s">
        <v>5932</v>
      </c>
      <c r="D1223" s="5" t="s">
        <v>17755</v>
      </c>
      <c r="E1223" s="32">
        <v>25</v>
      </c>
      <c r="F1223" s="27">
        <v>100</v>
      </c>
      <c r="G1223" s="32">
        <v>32</v>
      </c>
      <c r="H1223" s="27">
        <v>128</v>
      </c>
      <c r="I1223" s="27">
        <v>4</v>
      </c>
      <c r="J1223" s="27">
        <v>4</v>
      </c>
      <c r="K1223" s="29">
        <v>0</v>
      </c>
    </row>
    <row r="1224" spans="1:11" x14ac:dyDescent="0.25">
      <c r="A1224" s="5" t="s">
        <v>6</v>
      </c>
      <c r="B1224" s="5" t="s">
        <v>5934</v>
      </c>
      <c r="C1224" s="1" t="s">
        <v>5935</v>
      </c>
      <c r="D1224" s="5" t="s">
        <v>17755</v>
      </c>
      <c r="E1224" s="32">
        <v>17</v>
      </c>
      <c r="F1224" s="27">
        <v>170</v>
      </c>
      <c r="G1224" s="32">
        <v>62</v>
      </c>
      <c r="H1224" s="27">
        <v>675</v>
      </c>
      <c r="I1224" s="27">
        <v>10</v>
      </c>
      <c r="J1224" s="27">
        <v>10.887096774193548</v>
      </c>
      <c r="K1224" s="29">
        <v>8.8709677419354802E-2</v>
      </c>
    </row>
    <row r="1225" spans="1:11" x14ac:dyDescent="0.25">
      <c r="A1225" s="5" t="s">
        <v>6</v>
      </c>
      <c r="B1225" s="5" t="s">
        <v>5937</v>
      </c>
      <c r="C1225" s="1" t="s">
        <v>5938</v>
      </c>
      <c r="D1225" s="5" t="s">
        <v>17755</v>
      </c>
      <c r="E1225" s="32">
        <v>9</v>
      </c>
      <c r="F1225" s="27">
        <v>143</v>
      </c>
      <c r="I1225" s="27">
        <v>15.888888888888889</v>
      </c>
    </row>
    <row r="1226" spans="1:11" x14ac:dyDescent="0.25">
      <c r="A1226" s="5" t="s">
        <v>6</v>
      </c>
      <c r="B1226" s="5" t="s">
        <v>5952</v>
      </c>
      <c r="C1226" s="1" t="s">
        <v>5953</v>
      </c>
      <c r="D1226" s="5" t="s">
        <v>17755</v>
      </c>
      <c r="E1226" s="32">
        <v>3</v>
      </c>
      <c r="F1226" s="27">
        <v>91</v>
      </c>
      <c r="G1226" s="32">
        <v>5</v>
      </c>
      <c r="H1226" s="27">
        <v>163</v>
      </c>
      <c r="I1226" s="27">
        <v>30.333333333333332</v>
      </c>
      <c r="J1226" s="27">
        <v>32.6</v>
      </c>
      <c r="K1226" s="29">
        <v>7.4725274725274821E-2</v>
      </c>
    </row>
    <row r="1227" spans="1:11" x14ac:dyDescent="0.25">
      <c r="A1227" s="5" t="s">
        <v>6</v>
      </c>
      <c r="B1227" s="5" t="s">
        <v>5958</v>
      </c>
      <c r="C1227" s="1" t="s">
        <v>5959</v>
      </c>
      <c r="D1227" s="5" t="s">
        <v>17755</v>
      </c>
      <c r="E1227" s="32">
        <v>18</v>
      </c>
      <c r="F1227" s="27">
        <v>1530</v>
      </c>
      <c r="G1227" s="32">
        <v>2</v>
      </c>
      <c r="H1227" s="27">
        <v>184</v>
      </c>
      <c r="I1227" s="27">
        <v>85</v>
      </c>
      <c r="J1227" s="27">
        <v>92</v>
      </c>
      <c r="K1227" s="29">
        <v>8.2352941176470587E-2</v>
      </c>
    </row>
    <row r="1228" spans="1:11" x14ac:dyDescent="0.25">
      <c r="A1228" s="5" t="s">
        <v>6</v>
      </c>
      <c r="B1228" s="5" t="s">
        <v>5961</v>
      </c>
      <c r="C1228" s="1" t="s">
        <v>5962</v>
      </c>
      <c r="D1228" s="5" t="s">
        <v>17755</v>
      </c>
      <c r="E1228" s="32">
        <v>9</v>
      </c>
      <c r="F1228" s="27">
        <v>187</v>
      </c>
      <c r="G1228" s="32">
        <v>130</v>
      </c>
      <c r="H1228" s="27">
        <v>2974</v>
      </c>
      <c r="I1228" s="27">
        <v>20.777777777777779</v>
      </c>
      <c r="J1228" s="27">
        <v>22.876923076923077</v>
      </c>
      <c r="K1228" s="29">
        <v>0.10102838338132454</v>
      </c>
    </row>
    <row r="1229" spans="1:11" x14ac:dyDescent="0.25">
      <c r="A1229" s="5" t="s">
        <v>6</v>
      </c>
      <c r="B1229" s="5" t="s">
        <v>5964</v>
      </c>
      <c r="C1229" s="1" t="s">
        <v>5965</v>
      </c>
      <c r="D1229" s="5" t="s">
        <v>17755</v>
      </c>
      <c r="E1229" s="32">
        <v>623</v>
      </c>
      <c r="F1229" s="27">
        <v>11179</v>
      </c>
      <c r="G1229" s="32">
        <v>1068</v>
      </c>
      <c r="H1229" s="27">
        <v>19759</v>
      </c>
      <c r="I1229" s="27">
        <v>17.943820224719101</v>
      </c>
      <c r="J1229" s="27">
        <v>18.500936329588015</v>
      </c>
      <c r="K1229" s="29">
        <v>3.1047797954498035E-2</v>
      </c>
    </row>
    <row r="1230" spans="1:11" x14ac:dyDescent="0.25">
      <c r="A1230" s="5" t="s">
        <v>6</v>
      </c>
      <c r="B1230" s="5" t="s">
        <v>5967</v>
      </c>
      <c r="C1230" s="1" t="s">
        <v>5968</v>
      </c>
      <c r="D1230" s="5" t="s">
        <v>17755</v>
      </c>
      <c r="E1230" s="32">
        <v>37</v>
      </c>
      <c r="F1230" s="27">
        <v>331</v>
      </c>
      <c r="G1230" s="32">
        <v>73</v>
      </c>
      <c r="H1230" s="27">
        <v>725</v>
      </c>
      <c r="I1230" s="27">
        <v>8.9459459459459456</v>
      </c>
      <c r="J1230" s="27">
        <v>9.9315068493150687</v>
      </c>
      <c r="K1230" s="29">
        <v>0.1101684393494186</v>
      </c>
    </row>
    <row r="1231" spans="1:11" x14ac:dyDescent="0.25">
      <c r="A1231" s="5" t="s">
        <v>6</v>
      </c>
      <c r="B1231" s="5" t="s">
        <v>5970</v>
      </c>
      <c r="C1231" s="1" t="s">
        <v>5971</v>
      </c>
      <c r="D1231" s="5" t="s">
        <v>17755</v>
      </c>
      <c r="E1231" s="32">
        <v>141</v>
      </c>
      <c r="F1231" s="27">
        <v>3566</v>
      </c>
      <c r="G1231" s="32">
        <v>312</v>
      </c>
      <c r="H1231" s="27">
        <v>8574</v>
      </c>
      <c r="I1231" s="27">
        <v>25.290780141843971</v>
      </c>
      <c r="J1231" s="27">
        <v>27.48076923076923</v>
      </c>
      <c r="K1231" s="29">
        <v>8.6592389663057073E-2</v>
      </c>
    </row>
    <row r="1232" spans="1:11" x14ac:dyDescent="0.25">
      <c r="A1232" s="5" t="s">
        <v>6</v>
      </c>
      <c r="B1232" s="5" t="s">
        <v>5973</v>
      </c>
      <c r="C1232" s="1" t="s">
        <v>5974</v>
      </c>
      <c r="D1232" s="5" t="s">
        <v>17755</v>
      </c>
      <c r="E1232" s="32">
        <v>62</v>
      </c>
      <c r="F1232" s="27">
        <v>1574</v>
      </c>
      <c r="G1232" s="32">
        <v>178</v>
      </c>
      <c r="H1232" s="27">
        <v>4980</v>
      </c>
      <c r="I1232" s="27">
        <v>25.387096774193548</v>
      </c>
      <c r="J1232" s="27">
        <v>27.977528089887642</v>
      </c>
      <c r="K1232" s="29">
        <v>0.10203731993204181</v>
      </c>
    </row>
    <row r="1233" spans="1:11" x14ac:dyDescent="0.25">
      <c r="A1233" s="5" t="s">
        <v>6</v>
      </c>
      <c r="B1233" s="5" t="s">
        <v>5976</v>
      </c>
      <c r="C1233" s="1" t="s">
        <v>5977</v>
      </c>
      <c r="D1233" s="5" t="s">
        <v>17755</v>
      </c>
      <c r="E1233" s="32">
        <v>39</v>
      </c>
      <c r="F1233" s="27">
        <v>1193</v>
      </c>
      <c r="I1233" s="27">
        <v>30.589743589743591</v>
      </c>
    </row>
    <row r="1234" spans="1:11" x14ac:dyDescent="0.25">
      <c r="A1234" s="5" t="s">
        <v>6</v>
      </c>
      <c r="B1234" s="5" t="s">
        <v>5979</v>
      </c>
      <c r="C1234" s="1" t="s">
        <v>5980</v>
      </c>
      <c r="D1234" s="5" t="s">
        <v>17755</v>
      </c>
      <c r="E1234" s="32">
        <v>191</v>
      </c>
      <c r="F1234" s="27">
        <v>7753</v>
      </c>
      <c r="G1234" s="32">
        <v>104</v>
      </c>
      <c r="H1234" s="27">
        <v>4522</v>
      </c>
      <c r="I1234" s="27">
        <v>40.591623036649217</v>
      </c>
      <c r="J1234" s="27">
        <v>43.480769230769234</v>
      </c>
      <c r="K1234" s="29">
        <v>7.1175921975612413E-2</v>
      </c>
    </row>
    <row r="1235" spans="1:11" x14ac:dyDescent="0.25">
      <c r="A1235" s="5" t="s">
        <v>6</v>
      </c>
      <c r="B1235" s="5" t="s">
        <v>5982</v>
      </c>
      <c r="C1235" s="1" t="s">
        <v>5983</v>
      </c>
      <c r="D1235" s="5" t="s">
        <v>17755</v>
      </c>
      <c r="E1235" s="32">
        <v>201</v>
      </c>
      <c r="F1235" s="27">
        <v>2599</v>
      </c>
      <c r="G1235" s="32">
        <v>252</v>
      </c>
      <c r="H1235" s="27">
        <v>3442</v>
      </c>
      <c r="I1235" s="27">
        <v>12.930348258706468</v>
      </c>
      <c r="J1235" s="27">
        <v>13.658730158730158</v>
      </c>
      <c r="K1235" s="29">
        <v>5.633118965169745E-2</v>
      </c>
    </row>
    <row r="1236" spans="1:11" x14ac:dyDescent="0.25">
      <c r="A1236" s="5" t="s">
        <v>6</v>
      </c>
      <c r="B1236" s="5" t="s">
        <v>5985</v>
      </c>
      <c r="C1236" s="1" t="s">
        <v>5986</v>
      </c>
      <c r="D1236" s="5" t="s">
        <v>17755</v>
      </c>
      <c r="E1236" s="32">
        <v>279</v>
      </c>
      <c r="F1236" s="27">
        <v>7240</v>
      </c>
      <c r="G1236" s="32">
        <v>368</v>
      </c>
      <c r="H1236" s="27">
        <v>9970</v>
      </c>
      <c r="I1236" s="27">
        <v>25.949820788530467</v>
      </c>
      <c r="J1236" s="27">
        <v>27.092391304347824</v>
      </c>
      <c r="K1236" s="29">
        <v>4.402999639682912E-2</v>
      </c>
    </row>
    <row r="1237" spans="1:11" x14ac:dyDescent="0.25">
      <c r="A1237" s="5" t="s">
        <v>6</v>
      </c>
      <c r="B1237" s="5" t="s">
        <v>5988</v>
      </c>
      <c r="C1237" s="1" t="s">
        <v>5989</v>
      </c>
      <c r="D1237" s="5" t="s">
        <v>17755</v>
      </c>
      <c r="E1237" s="32">
        <v>4</v>
      </c>
      <c r="F1237" s="27">
        <v>112</v>
      </c>
      <c r="I1237" s="27">
        <v>28</v>
      </c>
    </row>
    <row r="1238" spans="1:11" x14ac:dyDescent="0.25">
      <c r="A1238" s="5" t="s">
        <v>6</v>
      </c>
      <c r="B1238" s="5" t="s">
        <v>5991</v>
      </c>
      <c r="C1238" s="1" t="s">
        <v>5992</v>
      </c>
      <c r="D1238" s="5" t="s">
        <v>17755</v>
      </c>
      <c r="E1238" s="32">
        <v>33</v>
      </c>
      <c r="F1238" s="27">
        <v>66</v>
      </c>
      <c r="I1238" s="27">
        <v>2</v>
      </c>
    </row>
    <row r="1239" spans="1:11" x14ac:dyDescent="0.25">
      <c r="A1239" s="5" t="s">
        <v>6</v>
      </c>
      <c r="B1239" s="5" t="s">
        <v>5994</v>
      </c>
      <c r="C1239" s="1" t="s">
        <v>5995</v>
      </c>
      <c r="D1239" s="5" t="s">
        <v>17755</v>
      </c>
      <c r="E1239" s="32">
        <v>1123</v>
      </c>
      <c r="F1239" s="27">
        <v>26648</v>
      </c>
      <c r="G1239" s="32">
        <v>1725</v>
      </c>
      <c r="H1239" s="27">
        <v>43486</v>
      </c>
      <c r="I1239" s="27">
        <v>23.729296527159395</v>
      </c>
      <c r="J1239" s="27">
        <v>25.209275362318841</v>
      </c>
      <c r="K1239" s="29">
        <v>6.2369267182680065E-2</v>
      </c>
    </row>
    <row r="1240" spans="1:11" x14ac:dyDescent="0.25">
      <c r="A1240" s="5" t="s">
        <v>6</v>
      </c>
      <c r="B1240" s="5" t="s">
        <v>5997</v>
      </c>
      <c r="C1240" s="1" t="s">
        <v>5998</v>
      </c>
      <c r="D1240" s="5" t="s">
        <v>17755</v>
      </c>
      <c r="E1240" s="32">
        <v>1323</v>
      </c>
      <c r="F1240" s="27">
        <v>34138</v>
      </c>
      <c r="G1240" s="32">
        <v>1103</v>
      </c>
      <c r="H1240" s="27">
        <v>30184</v>
      </c>
      <c r="I1240" s="27">
        <v>25.80347694633409</v>
      </c>
      <c r="J1240" s="27">
        <v>27.365367180417046</v>
      </c>
      <c r="K1240" s="29">
        <v>6.0530223788498164E-2</v>
      </c>
    </row>
    <row r="1241" spans="1:11" x14ac:dyDescent="0.25">
      <c r="A1241" s="5" t="s">
        <v>6</v>
      </c>
      <c r="B1241" s="5" t="s">
        <v>6000</v>
      </c>
      <c r="C1241" s="1" t="s">
        <v>6001</v>
      </c>
      <c r="D1241" s="5" t="s">
        <v>17755</v>
      </c>
      <c r="E1241" s="32">
        <v>2</v>
      </c>
      <c r="F1241" s="27">
        <v>152</v>
      </c>
      <c r="G1241" s="32">
        <v>3</v>
      </c>
      <c r="H1241" s="27">
        <v>246</v>
      </c>
      <c r="I1241" s="27">
        <v>76</v>
      </c>
      <c r="J1241" s="27">
        <v>82</v>
      </c>
      <c r="K1241" s="29">
        <v>7.8947368421052627E-2</v>
      </c>
    </row>
    <row r="1242" spans="1:11" x14ac:dyDescent="0.25">
      <c r="A1242" s="5" t="s">
        <v>6</v>
      </c>
      <c r="B1242" s="5" t="s">
        <v>6003</v>
      </c>
      <c r="C1242" s="1" t="s">
        <v>6004</v>
      </c>
      <c r="D1242" s="5" t="s">
        <v>17755</v>
      </c>
      <c r="E1242" s="32">
        <v>573</v>
      </c>
      <c r="F1242" s="27">
        <v>15371</v>
      </c>
      <c r="G1242" s="32">
        <v>1137</v>
      </c>
      <c r="H1242" s="27">
        <v>32329</v>
      </c>
      <c r="I1242" s="27">
        <v>26.825479930191971</v>
      </c>
      <c r="J1242" s="27">
        <v>28.433597185576076</v>
      </c>
      <c r="K1242" s="29">
        <v>5.9947380608619621E-2</v>
      </c>
    </row>
    <row r="1243" spans="1:11" x14ac:dyDescent="0.25">
      <c r="A1243" s="5" t="s">
        <v>6</v>
      </c>
      <c r="B1243" s="5" t="s">
        <v>6009</v>
      </c>
      <c r="C1243" s="1" t="s">
        <v>6010</v>
      </c>
      <c r="D1243" s="5" t="s">
        <v>17756</v>
      </c>
      <c r="E1243" s="32">
        <v>4601</v>
      </c>
      <c r="F1243" s="27">
        <v>141347</v>
      </c>
      <c r="G1243" s="32">
        <v>3994</v>
      </c>
      <c r="H1243" s="27">
        <v>129468</v>
      </c>
      <c r="I1243" s="27">
        <v>30.720930232558139</v>
      </c>
      <c r="J1243" s="27">
        <v>32.415623435152732</v>
      </c>
      <c r="K1243" s="29">
        <v>5.5164123930028376E-2</v>
      </c>
    </row>
    <row r="1244" spans="1:11" x14ac:dyDescent="0.25">
      <c r="A1244" s="5" t="s">
        <v>6</v>
      </c>
      <c r="B1244" s="5" t="s">
        <v>6012</v>
      </c>
      <c r="C1244" s="1" t="s">
        <v>6013</v>
      </c>
      <c r="D1244" s="5" t="s">
        <v>17756</v>
      </c>
      <c r="E1244" s="32">
        <v>204</v>
      </c>
      <c r="F1244" s="27">
        <v>32.11</v>
      </c>
      <c r="G1244" s="32">
        <v>592</v>
      </c>
      <c r="H1244" s="27">
        <v>98.37</v>
      </c>
      <c r="I1244" s="27">
        <v>0.15740196078431373</v>
      </c>
      <c r="J1244" s="27">
        <v>0.16616554054054056</v>
      </c>
      <c r="K1244" s="29">
        <v>5.5676433206797639E-2</v>
      </c>
    </row>
    <row r="1245" spans="1:11" x14ac:dyDescent="0.25">
      <c r="A1245" s="5" t="s">
        <v>6</v>
      </c>
      <c r="B1245" s="5" t="s">
        <v>6018</v>
      </c>
      <c r="C1245" s="1" t="s">
        <v>6019</v>
      </c>
      <c r="D1245" s="5" t="s">
        <v>17756</v>
      </c>
      <c r="E1245" s="32">
        <v>355</v>
      </c>
      <c r="F1245" s="27">
        <v>1775</v>
      </c>
      <c r="G1245" s="32">
        <v>228</v>
      </c>
      <c r="H1245" s="27">
        <v>1140</v>
      </c>
      <c r="I1245" s="27">
        <v>5</v>
      </c>
      <c r="J1245" s="27">
        <v>5</v>
      </c>
      <c r="K1245" s="29">
        <v>0</v>
      </c>
    </row>
    <row r="1246" spans="1:11" x14ac:dyDescent="0.25">
      <c r="A1246" s="5" t="s">
        <v>6</v>
      </c>
      <c r="B1246" s="5" t="s">
        <v>6021</v>
      </c>
      <c r="C1246" s="1" t="s">
        <v>6022</v>
      </c>
      <c r="D1246" s="5" t="s">
        <v>17756</v>
      </c>
      <c r="E1246" s="32">
        <v>928</v>
      </c>
      <c r="F1246" s="27">
        <v>16514</v>
      </c>
      <c r="G1246" s="32">
        <v>869</v>
      </c>
      <c r="H1246" s="27">
        <v>16112</v>
      </c>
      <c r="I1246" s="27">
        <v>17.795258620689655</v>
      </c>
      <c r="J1246" s="27">
        <v>18.540851553509782</v>
      </c>
      <c r="K1246" s="29">
        <v>4.1898403878955916E-2</v>
      </c>
    </row>
    <row r="1247" spans="1:11" x14ac:dyDescent="0.25">
      <c r="A1247" s="5" t="s">
        <v>6</v>
      </c>
      <c r="B1247" s="5" t="s">
        <v>6027</v>
      </c>
      <c r="C1247" s="1" t="s">
        <v>6028</v>
      </c>
      <c r="D1247" s="5" t="s">
        <v>17756</v>
      </c>
      <c r="E1247" s="32">
        <v>157</v>
      </c>
      <c r="F1247" s="27">
        <v>785</v>
      </c>
      <c r="G1247" s="32">
        <v>142</v>
      </c>
      <c r="H1247" s="27">
        <v>710</v>
      </c>
      <c r="I1247" s="27">
        <v>5</v>
      </c>
      <c r="J1247" s="27">
        <v>5</v>
      </c>
      <c r="K1247" s="29">
        <v>0</v>
      </c>
    </row>
    <row r="1248" spans="1:11" x14ac:dyDescent="0.25">
      <c r="A1248" s="5" t="s">
        <v>6</v>
      </c>
      <c r="B1248" s="5" t="s">
        <v>6036</v>
      </c>
      <c r="C1248" s="1" t="s">
        <v>6037</v>
      </c>
      <c r="D1248" s="5" t="s">
        <v>17756</v>
      </c>
      <c r="E1248" s="32">
        <v>143</v>
      </c>
      <c r="F1248" s="27">
        <v>1557</v>
      </c>
      <c r="G1248" s="32">
        <v>186</v>
      </c>
      <c r="H1248" s="27">
        <v>2162</v>
      </c>
      <c r="I1248" s="27">
        <v>10.888111888111888</v>
      </c>
      <c r="J1248" s="27">
        <v>11.623655913978494</v>
      </c>
      <c r="K1248" s="29">
        <v>6.7554782080234174E-2</v>
      </c>
    </row>
    <row r="1249" spans="1:11" x14ac:dyDescent="0.25">
      <c r="A1249" s="5" t="s">
        <v>6</v>
      </c>
      <c r="B1249" s="5" t="s">
        <v>6039</v>
      </c>
      <c r="C1249" s="1" t="s">
        <v>6040</v>
      </c>
      <c r="D1249" s="5" t="s">
        <v>17756</v>
      </c>
      <c r="E1249" s="32">
        <v>718</v>
      </c>
      <c r="F1249" s="27">
        <v>1436</v>
      </c>
      <c r="G1249" s="32">
        <v>475</v>
      </c>
      <c r="H1249" s="27">
        <v>950</v>
      </c>
      <c r="I1249" s="27">
        <v>2</v>
      </c>
      <c r="J1249" s="27">
        <v>2</v>
      </c>
      <c r="K1249" s="29">
        <v>0</v>
      </c>
    </row>
    <row r="1250" spans="1:11" x14ac:dyDescent="0.25">
      <c r="A1250" s="5" t="s">
        <v>6</v>
      </c>
      <c r="B1250" s="5" t="s">
        <v>6042</v>
      </c>
      <c r="C1250" s="1" t="s">
        <v>6043</v>
      </c>
      <c r="D1250" s="5" t="s">
        <v>17756</v>
      </c>
      <c r="E1250" s="32">
        <v>34</v>
      </c>
      <c r="F1250" s="27">
        <v>170</v>
      </c>
      <c r="I1250" s="27">
        <v>5</v>
      </c>
    </row>
    <row r="1251" spans="1:11" x14ac:dyDescent="0.25">
      <c r="A1251" s="5" t="s">
        <v>6</v>
      </c>
      <c r="B1251" s="5" t="s">
        <v>6072</v>
      </c>
      <c r="C1251" s="1" t="s">
        <v>6073</v>
      </c>
      <c r="D1251" s="5" t="s">
        <v>17755</v>
      </c>
      <c r="E1251" s="32">
        <v>0</v>
      </c>
      <c r="F1251" s="27">
        <v>0</v>
      </c>
      <c r="G1251" s="32">
        <v>13</v>
      </c>
      <c r="H1251" s="27">
        <v>39</v>
      </c>
      <c r="J1251" s="27">
        <v>3</v>
      </c>
    </row>
    <row r="1252" spans="1:11" x14ac:dyDescent="0.25">
      <c r="A1252" s="5" t="s">
        <v>6</v>
      </c>
      <c r="B1252" s="5" t="s">
        <v>6075</v>
      </c>
      <c r="C1252" s="1" t="s">
        <v>6076</v>
      </c>
      <c r="D1252" s="5" t="s">
        <v>17755</v>
      </c>
      <c r="E1252" s="32">
        <v>24</v>
      </c>
      <c r="F1252" s="27">
        <v>648</v>
      </c>
      <c r="G1252" s="32">
        <v>51</v>
      </c>
      <c r="H1252" s="27">
        <v>1479</v>
      </c>
      <c r="I1252" s="27">
        <v>27</v>
      </c>
      <c r="J1252" s="27">
        <v>29</v>
      </c>
      <c r="K1252" s="29">
        <v>7.407407407407407E-2</v>
      </c>
    </row>
    <row r="1253" spans="1:11" x14ac:dyDescent="0.25">
      <c r="A1253" s="5" t="s">
        <v>6</v>
      </c>
      <c r="B1253" s="5" t="s">
        <v>6084</v>
      </c>
      <c r="C1253" s="1" t="s">
        <v>6085</v>
      </c>
      <c r="D1253" s="5" t="s">
        <v>17755</v>
      </c>
      <c r="E1253" s="32">
        <v>291</v>
      </c>
      <c r="F1253" s="27">
        <v>5201</v>
      </c>
      <c r="G1253" s="32">
        <v>194</v>
      </c>
      <c r="H1253" s="27">
        <v>3640</v>
      </c>
      <c r="I1253" s="27">
        <v>17.872852233676976</v>
      </c>
      <c r="J1253" s="27">
        <v>18.762886597938145</v>
      </c>
      <c r="K1253" s="29">
        <v>4.9798115746971759E-2</v>
      </c>
    </row>
    <row r="1254" spans="1:11" x14ac:dyDescent="0.25">
      <c r="A1254" s="5" t="s">
        <v>6</v>
      </c>
      <c r="B1254" s="5" t="s">
        <v>6087</v>
      </c>
      <c r="C1254" s="1" t="s">
        <v>6088</v>
      </c>
      <c r="D1254" s="5" t="s">
        <v>17755</v>
      </c>
      <c r="E1254" s="32">
        <v>399</v>
      </c>
      <c r="F1254" s="27">
        <v>5586</v>
      </c>
      <c r="G1254" s="32">
        <v>89</v>
      </c>
      <c r="H1254" s="27">
        <v>1327</v>
      </c>
      <c r="I1254" s="27">
        <v>14</v>
      </c>
      <c r="J1254" s="27">
        <v>14.910112359550562</v>
      </c>
      <c r="K1254" s="29">
        <v>6.5008025682182974E-2</v>
      </c>
    </row>
    <row r="1255" spans="1:11" x14ac:dyDescent="0.25">
      <c r="A1255" s="5" t="s">
        <v>6</v>
      </c>
      <c r="B1255" s="5" t="s">
        <v>6090</v>
      </c>
      <c r="C1255" s="1" t="s">
        <v>6091</v>
      </c>
      <c r="D1255" s="5" t="s">
        <v>17755</v>
      </c>
      <c r="E1255" s="32">
        <v>2</v>
      </c>
      <c r="F1255" s="27">
        <v>36</v>
      </c>
      <c r="I1255" s="27">
        <v>18</v>
      </c>
    </row>
    <row r="1256" spans="1:11" x14ac:dyDescent="0.25">
      <c r="A1256" s="5" t="s">
        <v>6</v>
      </c>
      <c r="B1256" s="5" t="s">
        <v>6093</v>
      </c>
      <c r="C1256" s="1" t="s">
        <v>6094</v>
      </c>
      <c r="D1256" s="5" t="s">
        <v>17755</v>
      </c>
      <c r="E1256" s="32">
        <v>253</v>
      </c>
      <c r="F1256" s="27">
        <v>6661</v>
      </c>
      <c r="G1256" s="32">
        <v>567</v>
      </c>
      <c r="H1256" s="27">
        <v>15781</v>
      </c>
      <c r="I1256" s="27">
        <v>26.328063241106719</v>
      </c>
      <c r="J1256" s="27">
        <v>27.832451499118164</v>
      </c>
      <c r="K1256" s="29">
        <v>5.714010347949193E-2</v>
      </c>
    </row>
    <row r="1257" spans="1:11" x14ac:dyDescent="0.25">
      <c r="A1257" s="5" t="s">
        <v>6</v>
      </c>
      <c r="B1257" s="5" t="s">
        <v>6096</v>
      </c>
      <c r="C1257" s="1" t="s">
        <v>6097</v>
      </c>
      <c r="D1257" s="5" t="s">
        <v>17755</v>
      </c>
      <c r="E1257" s="32">
        <v>180</v>
      </c>
      <c r="F1257" s="27">
        <v>4860</v>
      </c>
      <c r="G1257" s="32">
        <v>103</v>
      </c>
      <c r="H1257" s="27">
        <v>2917</v>
      </c>
      <c r="I1257" s="27">
        <v>27</v>
      </c>
      <c r="J1257" s="27">
        <v>28.320388349514563</v>
      </c>
      <c r="K1257" s="29">
        <v>4.8903272204243058E-2</v>
      </c>
    </row>
    <row r="1258" spans="1:11" x14ac:dyDescent="0.25">
      <c r="A1258" s="5" t="s">
        <v>6</v>
      </c>
      <c r="B1258" s="5" t="s">
        <v>6099</v>
      </c>
      <c r="C1258" s="1" t="s">
        <v>6100</v>
      </c>
      <c r="D1258" s="5" t="s">
        <v>17755</v>
      </c>
      <c r="E1258" s="32">
        <v>143</v>
      </c>
      <c r="F1258" s="27">
        <v>429</v>
      </c>
      <c r="G1258" s="32">
        <v>25</v>
      </c>
      <c r="H1258" s="27">
        <v>75</v>
      </c>
      <c r="I1258" s="27">
        <v>3</v>
      </c>
      <c r="J1258" s="27">
        <v>3</v>
      </c>
      <c r="K1258" s="29">
        <v>0</v>
      </c>
    </row>
    <row r="1259" spans="1:11" x14ac:dyDescent="0.25">
      <c r="A1259" s="5" t="s">
        <v>6</v>
      </c>
      <c r="B1259" s="5" t="s">
        <v>6102</v>
      </c>
      <c r="C1259" s="1" t="s">
        <v>6103</v>
      </c>
      <c r="D1259" s="5" t="s">
        <v>17755</v>
      </c>
      <c r="E1259" s="32">
        <v>2094</v>
      </c>
      <c r="F1259" s="27">
        <v>56014</v>
      </c>
      <c r="G1259" s="32">
        <v>1317</v>
      </c>
      <c r="H1259" s="27">
        <v>37237</v>
      </c>
      <c r="I1259" s="27">
        <v>26.749761222540592</v>
      </c>
      <c r="J1259" s="27">
        <v>28.274107820804861</v>
      </c>
      <c r="K1259" s="29">
        <v>5.6985428228039071E-2</v>
      </c>
    </row>
    <row r="1260" spans="1:11" x14ac:dyDescent="0.25">
      <c r="A1260" s="5" t="s">
        <v>6</v>
      </c>
      <c r="B1260" s="5" t="s">
        <v>6105</v>
      </c>
      <c r="C1260" s="1" t="s">
        <v>6106</v>
      </c>
      <c r="D1260" s="5" t="s">
        <v>17755</v>
      </c>
      <c r="E1260" s="32">
        <v>27</v>
      </c>
      <c r="F1260" s="27">
        <v>702</v>
      </c>
      <c r="I1260" s="27">
        <v>26</v>
      </c>
    </row>
    <row r="1261" spans="1:11" x14ac:dyDescent="0.25">
      <c r="A1261" s="5" t="s">
        <v>6</v>
      </c>
      <c r="B1261" s="5" t="s">
        <v>6108</v>
      </c>
      <c r="C1261" s="1" t="s">
        <v>6109</v>
      </c>
      <c r="D1261" s="5" t="s">
        <v>17755</v>
      </c>
      <c r="E1261" s="32">
        <v>404</v>
      </c>
      <c r="F1261" s="27">
        <v>10730</v>
      </c>
      <c r="G1261" s="32">
        <v>457</v>
      </c>
      <c r="H1261" s="27">
        <v>13175</v>
      </c>
      <c r="I1261" s="27">
        <v>26.559405940594058</v>
      </c>
      <c r="J1261" s="27">
        <v>28.829321663019694</v>
      </c>
      <c r="K1261" s="29">
        <v>8.5465605951533768E-2</v>
      </c>
    </row>
    <row r="1262" spans="1:11" x14ac:dyDescent="0.25">
      <c r="A1262" s="5" t="s">
        <v>6</v>
      </c>
      <c r="B1262" s="5" t="s">
        <v>6111</v>
      </c>
      <c r="C1262" s="1" t="s">
        <v>6112</v>
      </c>
      <c r="D1262" s="5" t="s">
        <v>17755</v>
      </c>
      <c r="E1262" s="32">
        <v>125</v>
      </c>
      <c r="F1262" s="27">
        <v>4279</v>
      </c>
      <c r="G1262" s="32">
        <v>96</v>
      </c>
      <c r="H1262" s="27">
        <v>3648</v>
      </c>
      <c r="I1262" s="27">
        <v>34.231999999999999</v>
      </c>
      <c r="J1262" s="27">
        <v>38</v>
      </c>
      <c r="K1262" s="29">
        <v>0.11007244683337231</v>
      </c>
    </row>
    <row r="1263" spans="1:11" x14ac:dyDescent="0.25">
      <c r="A1263" s="5" t="s">
        <v>6</v>
      </c>
      <c r="B1263" s="5" t="s">
        <v>6114</v>
      </c>
      <c r="C1263" s="1" t="s">
        <v>6115</v>
      </c>
      <c r="D1263" s="5" t="s">
        <v>17755</v>
      </c>
      <c r="E1263" s="32">
        <v>243</v>
      </c>
      <c r="F1263" s="27">
        <v>6547</v>
      </c>
      <c r="G1263" s="32">
        <v>245</v>
      </c>
      <c r="H1263" s="27">
        <v>6877</v>
      </c>
      <c r="I1263" s="27">
        <v>26.942386831275719</v>
      </c>
      <c r="J1263" s="27">
        <v>28.069387755102042</v>
      </c>
      <c r="K1263" s="29">
        <v>4.1830032761539092E-2</v>
      </c>
    </row>
    <row r="1264" spans="1:11" x14ac:dyDescent="0.25">
      <c r="A1264" s="5" t="s">
        <v>6</v>
      </c>
      <c r="B1264" s="5" t="s">
        <v>6120</v>
      </c>
      <c r="C1264" s="1" t="s">
        <v>6121</v>
      </c>
      <c r="D1264" s="5" t="s">
        <v>17755</v>
      </c>
      <c r="E1264" s="32">
        <v>323</v>
      </c>
      <c r="F1264" s="27">
        <v>9953</v>
      </c>
      <c r="I1264" s="27">
        <v>30.814241486068113</v>
      </c>
    </row>
    <row r="1265" spans="1:11" x14ac:dyDescent="0.25">
      <c r="A1265" s="5" t="s">
        <v>6</v>
      </c>
      <c r="B1265" s="5" t="s">
        <v>6126</v>
      </c>
      <c r="C1265" s="1" t="s">
        <v>6127</v>
      </c>
      <c r="D1265" s="5" t="s">
        <v>17755</v>
      </c>
      <c r="E1265" s="32">
        <v>2770</v>
      </c>
      <c r="F1265" s="27">
        <v>106467</v>
      </c>
      <c r="G1265" s="32">
        <v>3113</v>
      </c>
      <c r="H1265" s="27">
        <v>127152</v>
      </c>
      <c r="I1265" s="27">
        <v>38.435740072202165</v>
      </c>
      <c r="J1265" s="27">
        <v>40.845486668808221</v>
      </c>
      <c r="K1265" s="29">
        <v>6.2695465004168185E-2</v>
      </c>
    </row>
    <row r="1266" spans="1:11" x14ac:dyDescent="0.25">
      <c r="A1266" s="5" t="s">
        <v>6</v>
      </c>
      <c r="B1266" s="5" t="s">
        <v>6129</v>
      </c>
      <c r="C1266" s="1" t="s">
        <v>6130</v>
      </c>
      <c r="D1266" s="5" t="s">
        <v>17755</v>
      </c>
      <c r="E1266" s="32">
        <v>3853</v>
      </c>
      <c r="F1266" s="27">
        <v>148719</v>
      </c>
      <c r="G1266" s="32">
        <v>3652</v>
      </c>
      <c r="H1266" s="27">
        <v>149043</v>
      </c>
      <c r="I1266" s="27">
        <v>38.598235141448221</v>
      </c>
      <c r="J1266" s="27">
        <v>40.811336254107339</v>
      </c>
      <c r="K1266" s="29">
        <v>5.733684725607071E-2</v>
      </c>
    </row>
    <row r="1267" spans="1:11" x14ac:dyDescent="0.25">
      <c r="A1267" s="5" t="s">
        <v>6</v>
      </c>
      <c r="B1267" s="5" t="s">
        <v>6132</v>
      </c>
      <c r="C1267" s="1" t="s">
        <v>6133</v>
      </c>
      <c r="D1267" s="5" t="s">
        <v>17755</v>
      </c>
      <c r="E1267" s="32">
        <v>2566</v>
      </c>
      <c r="F1267" s="27">
        <v>60540</v>
      </c>
      <c r="G1267" s="32">
        <v>2198</v>
      </c>
      <c r="H1267" s="27">
        <v>55508</v>
      </c>
      <c r="I1267" s="27">
        <v>23.593141075604052</v>
      </c>
      <c r="J1267" s="27">
        <v>25.253867151956324</v>
      </c>
      <c r="K1267" s="29">
        <v>7.0390206671951297E-2</v>
      </c>
    </row>
    <row r="1268" spans="1:11" x14ac:dyDescent="0.25">
      <c r="A1268" s="5" t="s">
        <v>6</v>
      </c>
      <c r="B1268" s="5" t="s">
        <v>6135</v>
      </c>
      <c r="C1268" s="1" t="s">
        <v>6136</v>
      </c>
      <c r="D1268" s="5" t="s">
        <v>17755</v>
      </c>
      <c r="E1268" s="32">
        <v>1628</v>
      </c>
      <c r="F1268" s="27">
        <v>49568</v>
      </c>
      <c r="G1268" s="32">
        <v>1798</v>
      </c>
      <c r="H1268" s="27">
        <v>58076</v>
      </c>
      <c r="I1268" s="27">
        <v>30.447174447174447</v>
      </c>
      <c r="J1268" s="27">
        <v>32.300333704115687</v>
      </c>
      <c r="K1268" s="29">
        <v>6.0864736731365762E-2</v>
      </c>
    </row>
    <row r="1269" spans="1:11" x14ac:dyDescent="0.25">
      <c r="A1269" s="5" t="s">
        <v>6</v>
      </c>
      <c r="B1269" s="5" t="s">
        <v>6141</v>
      </c>
      <c r="C1269" s="1" t="s">
        <v>6142</v>
      </c>
      <c r="D1269" s="5" t="s">
        <v>17755</v>
      </c>
      <c r="E1269" s="32">
        <v>1</v>
      </c>
      <c r="F1269" s="27">
        <v>29</v>
      </c>
      <c r="I1269" s="27">
        <v>29</v>
      </c>
    </row>
    <row r="1270" spans="1:11" x14ac:dyDescent="0.25">
      <c r="A1270" s="5" t="s">
        <v>6</v>
      </c>
      <c r="B1270" s="5" t="s">
        <v>6147</v>
      </c>
      <c r="C1270" s="1" t="s">
        <v>6148</v>
      </c>
      <c r="D1270" s="5" t="s">
        <v>17755</v>
      </c>
      <c r="E1270" s="32">
        <v>145</v>
      </c>
      <c r="F1270" s="27">
        <v>1715</v>
      </c>
      <c r="G1270" s="32">
        <v>168</v>
      </c>
      <c r="H1270" s="27">
        <v>2135</v>
      </c>
      <c r="I1270" s="27">
        <v>11.827586206896552</v>
      </c>
      <c r="J1270" s="27">
        <v>12.708333333333334</v>
      </c>
      <c r="K1270" s="29">
        <v>7.4465500485908706E-2</v>
      </c>
    </row>
    <row r="1271" spans="1:11" x14ac:dyDescent="0.25">
      <c r="A1271" s="5" t="s">
        <v>6</v>
      </c>
      <c r="B1271" s="5" t="s">
        <v>6153</v>
      </c>
      <c r="C1271" s="1" t="s">
        <v>6154</v>
      </c>
      <c r="D1271" s="5" t="s">
        <v>17755</v>
      </c>
      <c r="E1271" s="32">
        <v>33</v>
      </c>
      <c r="F1271" s="27">
        <v>1469</v>
      </c>
      <c r="G1271" s="32">
        <v>22</v>
      </c>
      <c r="H1271" s="27">
        <v>1014</v>
      </c>
      <c r="I1271" s="27">
        <v>44.515151515151516</v>
      </c>
      <c r="J1271" s="27">
        <v>46.090909090909093</v>
      </c>
      <c r="K1271" s="29">
        <v>3.5398230088495623E-2</v>
      </c>
    </row>
    <row r="1272" spans="1:11" x14ac:dyDescent="0.25">
      <c r="A1272" s="5" t="s">
        <v>6</v>
      </c>
      <c r="B1272" s="5" t="s">
        <v>6156</v>
      </c>
      <c r="C1272" s="1" t="s">
        <v>6157</v>
      </c>
      <c r="D1272" s="5" t="s">
        <v>17755</v>
      </c>
      <c r="E1272" s="32">
        <v>83</v>
      </c>
      <c r="F1272" s="27">
        <v>3047</v>
      </c>
      <c r="G1272" s="32">
        <v>133</v>
      </c>
      <c r="H1272" s="27">
        <v>5173</v>
      </c>
      <c r="I1272" s="27">
        <v>36.710843373493979</v>
      </c>
      <c r="J1272" s="27">
        <v>38.89473684210526</v>
      </c>
      <c r="K1272" s="29">
        <v>5.9489057398994516E-2</v>
      </c>
    </row>
    <row r="1273" spans="1:11" x14ac:dyDescent="0.25">
      <c r="A1273" s="5" t="s">
        <v>6</v>
      </c>
      <c r="B1273" s="5" t="s">
        <v>6159</v>
      </c>
      <c r="C1273" s="1" t="s">
        <v>6160</v>
      </c>
      <c r="D1273" s="5" t="s">
        <v>17755</v>
      </c>
      <c r="E1273" s="32">
        <v>1940</v>
      </c>
      <c r="F1273" s="27">
        <v>78796</v>
      </c>
      <c r="G1273" s="32">
        <v>1719</v>
      </c>
      <c r="H1273" s="27">
        <v>73842</v>
      </c>
      <c r="I1273" s="27">
        <v>40.616494845360826</v>
      </c>
      <c r="J1273" s="27">
        <v>42.95636998254799</v>
      </c>
      <c r="K1273" s="29">
        <v>5.7608987336198514E-2</v>
      </c>
    </row>
    <row r="1274" spans="1:11" x14ac:dyDescent="0.25">
      <c r="A1274" s="5" t="s">
        <v>6</v>
      </c>
      <c r="B1274" s="5" t="s">
        <v>6168</v>
      </c>
      <c r="C1274" s="1" t="s">
        <v>6169</v>
      </c>
      <c r="D1274" s="5" t="s">
        <v>17755</v>
      </c>
      <c r="E1274" s="32">
        <v>47</v>
      </c>
      <c r="F1274" s="27">
        <v>827</v>
      </c>
      <c r="G1274" s="32">
        <v>91</v>
      </c>
      <c r="H1274" s="27">
        <v>1713</v>
      </c>
      <c r="I1274" s="27">
        <v>17.595744680851062</v>
      </c>
      <c r="J1274" s="27">
        <v>18.824175824175825</v>
      </c>
      <c r="K1274" s="29">
        <v>6.9814103671419395E-2</v>
      </c>
    </row>
    <row r="1275" spans="1:11" x14ac:dyDescent="0.25">
      <c r="A1275" s="5" t="s">
        <v>6</v>
      </c>
      <c r="B1275" s="5" t="s">
        <v>6171</v>
      </c>
      <c r="C1275" s="1" t="s">
        <v>6172</v>
      </c>
      <c r="D1275" s="5" t="s">
        <v>17755</v>
      </c>
      <c r="E1275" s="32">
        <v>858</v>
      </c>
      <c r="F1275" s="27">
        <v>88264</v>
      </c>
      <c r="G1275" s="32">
        <v>786</v>
      </c>
      <c r="H1275" s="27">
        <v>85504</v>
      </c>
      <c r="I1275" s="27">
        <v>102.87179487179488</v>
      </c>
      <c r="J1275" s="27">
        <v>108.78371501272265</v>
      </c>
      <c r="K1275" s="29">
        <v>5.7468814929258046E-2</v>
      </c>
    </row>
    <row r="1276" spans="1:11" x14ac:dyDescent="0.25">
      <c r="A1276" s="5" t="s">
        <v>6</v>
      </c>
      <c r="B1276" s="5" t="s">
        <v>6186</v>
      </c>
      <c r="C1276" s="1" t="s">
        <v>6187</v>
      </c>
      <c r="D1276" s="5" t="s">
        <v>17755</v>
      </c>
      <c r="E1276" s="32">
        <v>9</v>
      </c>
      <c r="F1276" s="27">
        <v>261</v>
      </c>
      <c r="I1276" s="27">
        <v>29</v>
      </c>
    </row>
    <row r="1277" spans="1:11" x14ac:dyDescent="0.25">
      <c r="A1277" s="5" t="s">
        <v>6</v>
      </c>
      <c r="B1277" s="5" t="s">
        <v>6189</v>
      </c>
      <c r="C1277" s="1" t="s">
        <v>6190</v>
      </c>
      <c r="D1277" s="5" t="s">
        <v>17755</v>
      </c>
      <c r="E1277" s="32">
        <v>263</v>
      </c>
      <c r="F1277" s="27">
        <v>6959</v>
      </c>
      <c r="G1277" s="32">
        <v>427</v>
      </c>
      <c r="H1277" s="27">
        <v>12279</v>
      </c>
      <c r="I1277" s="27">
        <v>26.460076045627375</v>
      </c>
      <c r="J1277" s="27">
        <v>28.756440281030446</v>
      </c>
      <c r="K1277" s="29">
        <v>8.6786002861188094E-2</v>
      </c>
    </row>
    <row r="1278" spans="1:11" x14ac:dyDescent="0.25">
      <c r="A1278" s="5" t="s">
        <v>6</v>
      </c>
      <c r="B1278" s="5" t="s">
        <v>6192</v>
      </c>
      <c r="C1278" s="1" t="s">
        <v>6193</v>
      </c>
      <c r="D1278" s="5" t="s">
        <v>17755</v>
      </c>
      <c r="E1278" s="32">
        <v>1357</v>
      </c>
      <c r="F1278" s="27">
        <v>35969</v>
      </c>
      <c r="G1278" s="32">
        <v>1397</v>
      </c>
      <c r="H1278" s="27">
        <v>39665</v>
      </c>
      <c r="I1278" s="27">
        <v>26.506263817243919</v>
      </c>
      <c r="J1278" s="27">
        <v>28.392984967788117</v>
      </c>
      <c r="K1278" s="29">
        <v>7.1180199652158133E-2</v>
      </c>
    </row>
    <row r="1279" spans="1:11" x14ac:dyDescent="0.25">
      <c r="A1279" s="5" t="s">
        <v>6</v>
      </c>
      <c r="B1279" s="5" t="s">
        <v>6201</v>
      </c>
      <c r="C1279" s="1" t="s">
        <v>6202</v>
      </c>
      <c r="D1279" s="5" t="s">
        <v>17755</v>
      </c>
      <c r="E1279" s="32">
        <v>79</v>
      </c>
      <c r="F1279" s="27">
        <v>2188</v>
      </c>
      <c r="G1279" s="32">
        <v>1</v>
      </c>
      <c r="H1279" s="27">
        <v>30</v>
      </c>
      <c r="I1279" s="27">
        <v>27.696202531645568</v>
      </c>
      <c r="J1279" s="27">
        <v>30</v>
      </c>
      <c r="K1279" s="29">
        <v>8.3180987202925105E-2</v>
      </c>
    </row>
    <row r="1280" spans="1:11" x14ac:dyDescent="0.25">
      <c r="A1280" s="5" t="s">
        <v>6</v>
      </c>
      <c r="B1280" s="5" t="s">
        <v>6204</v>
      </c>
      <c r="C1280" s="1" t="s">
        <v>6205</v>
      </c>
      <c r="D1280" s="5" t="s">
        <v>17755</v>
      </c>
      <c r="E1280" s="32">
        <v>54</v>
      </c>
      <c r="F1280" s="27">
        <v>1458</v>
      </c>
      <c r="G1280" s="32">
        <v>267</v>
      </c>
      <c r="H1280" s="27">
        <v>7705</v>
      </c>
      <c r="I1280" s="27">
        <v>27</v>
      </c>
      <c r="J1280" s="27">
        <v>28.857677902621724</v>
      </c>
      <c r="K1280" s="29">
        <v>6.8802885282286064E-2</v>
      </c>
    </row>
    <row r="1281" spans="1:11" x14ac:dyDescent="0.25">
      <c r="A1281" s="5" t="s">
        <v>6</v>
      </c>
      <c r="B1281" s="5" t="s">
        <v>6207</v>
      </c>
      <c r="C1281" s="1" t="s">
        <v>6208</v>
      </c>
      <c r="D1281" s="5" t="s">
        <v>17755</v>
      </c>
      <c r="E1281" s="32">
        <v>0</v>
      </c>
      <c r="F1281" s="27">
        <v>0</v>
      </c>
      <c r="G1281" s="32">
        <v>3</v>
      </c>
      <c r="H1281" s="27">
        <v>88</v>
      </c>
      <c r="J1281" s="27">
        <v>29.333333333333332</v>
      </c>
    </row>
    <row r="1282" spans="1:11" x14ac:dyDescent="0.25">
      <c r="A1282" s="5" t="s">
        <v>6</v>
      </c>
      <c r="B1282" s="5" t="s">
        <v>6210</v>
      </c>
      <c r="C1282" s="1" t="s">
        <v>6211</v>
      </c>
      <c r="D1282" s="5" t="s">
        <v>17755</v>
      </c>
      <c r="E1282" s="32">
        <v>6</v>
      </c>
      <c r="F1282" s="27">
        <v>162</v>
      </c>
      <c r="G1282" s="32">
        <v>330</v>
      </c>
      <c r="H1282" s="27">
        <v>9526</v>
      </c>
      <c r="I1282" s="27">
        <v>27</v>
      </c>
      <c r="J1282" s="27">
        <v>28.866666666666667</v>
      </c>
      <c r="K1282" s="29">
        <v>6.9135802469135824E-2</v>
      </c>
    </row>
    <row r="1283" spans="1:11" x14ac:dyDescent="0.25">
      <c r="A1283" s="5" t="s">
        <v>6</v>
      </c>
      <c r="B1283" s="5" t="s">
        <v>6213</v>
      </c>
      <c r="C1283" s="1" t="s">
        <v>6214</v>
      </c>
      <c r="D1283" s="5" t="s">
        <v>17755</v>
      </c>
      <c r="E1283" s="32">
        <v>1</v>
      </c>
      <c r="F1283" s="27">
        <v>29</v>
      </c>
      <c r="I1283" s="27">
        <v>29</v>
      </c>
    </row>
    <row r="1284" spans="1:11" x14ac:dyDescent="0.25">
      <c r="A1284" s="5" t="s">
        <v>6</v>
      </c>
      <c r="B1284" s="5" t="s">
        <v>6219</v>
      </c>
      <c r="C1284" s="1" t="s">
        <v>6220</v>
      </c>
      <c r="D1284" s="5" t="s">
        <v>17755</v>
      </c>
      <c r="E1284" s="32">
        <v>29</v>
      </c>
      <c r="F1284" s="27">
        <v>116</v>
      </c>
      <c r="G1284" s="32">
        <v>33</v>
      </c>
      <c r="H1284" s="27">
        <v>132</v>
      </c>
      <c r="I1284" s="27">
        <v>4</v>
      </c>
      <c r="J1284" s="27">
        <v>4</v>
      </c>
      <c r="K1284" s="29">
        <v>0</v>
      </c>
    </row>
    <row r="1285" spans="1:11" x14ac:dyDescent="0.25">
      <c r="A1285" s="5" t="s">
        <v>6</v>
      </c>
      <c r="B1285" s="5" t="s">
        <v>6222</v>
      </c>
      <c r="C1285" s="1" t="s">
        <v>6223</v>
      </c>
      <c r="D1285" s="5" t="s">
        <v>17755</v>
      </c>
      <c r="E1285" s="32">
        <v>218</v>
      </c>
      <c r="F1285" s="27">
        <v>5676</v>
      </c>
      <c r="G1285" s="32">
        <v>232</v>
      </c>
      <c r="H1285" s="27">
        <v>6594</v>
      </c>
      <c r="I1285" s="27">
        <v>26.036697247706421</v>
      </c>
      <c r="J1285" s="27">
        <v>28.422413793103448</v>
      </c>
      <c r="K1285" s="29">
        <v>9.1629000510315722E-2</v>
      </c>
    </row>
    <row r="1286" spans="1:11" x14ac:dyDescent="0.25">
      <c r="A1286" s="5" t="s">
        <v>6</v>
      </c>
      <c r="B1286" s="5" t="s">
        <v>6231</v>
      </c>
      <c r="C1286" s="1" t="s">
        <v>6232</v>
      </c>
      <c r="D1286" s="5" t="s">
        <v>17755</v>
      </c>
      <c r="E1286" s="32">
        <v>278</v>
      </c>
      <c r="F1286" s="27">
        <v>1390</v>
      </c>
      <c r="G1286" s="32">
        <v>54</v>
      </c>
      <c r="H1286" s="27">
        <v>270</v>
      </c>
      <c r="I1286" s="27">
        <v>5</v>
      </c>
      <c r="J1286" s="27">
        <v>5</v>
      </c>
      <c r="K1286" s="29">
        <v>0</v>
      </c>
    </row>
    <row r="1287" spans="1:11" x14ac:dyDescent="0.25">
      <c r="A1287" s="5" t="s">
        <v>6</v>
      </c>
      <c r="B1287" s="5" t="s">
        <v>6234</v>
      </c>
      <c r="C1287" s="1" t="s">
        <v>6235</v>
      </c>
      <c r="D1287" s="5" t="s">
        <v>17755</v>
      </c>
      <c r="E1287" s="32">
        <v>98</v>
      </c>
      <c r="F1287" s="27">
        <v>3010</v>
      </c>
      <c r="G1287" s="32">
        <v>252</v>
      </c>
      <c r="H1287" s="27">
        <v>8220</v>
      </c>
      <c r="I1287" s="27">
        <v>30.714285714285715</v>
      </c>
      <c r="J1287" s="27">
        <v>32.61904761904762</v>
      </c>
      <c r="K1287" s="29">
        <v>6.2015503875968998E-2</v>
      </c>
    </row>
    <row r="1288" spans="1:11" x14ac:dyDescent="0.25">
      <c r="A1288" s="5" t="s">
        <v>6</v>
      </c>
      <c r="B1288" s="5" t="s">
        <v>6240</v>
      </c>
      <c r="C1288" s="1" t="s">
        <v>6241</v>
      </c>
      <c r="D1288" s="5" t="s">
        <v>17755</v>
      </c>
      <c r="E1288" s="32">
        <v>530</v>
      </c>
      <c r="F1288" s="27">
        <v>53188</v>
      </c>
      <c r="G1288" s="32">
        <v>375</v>
      </c>
      <c r="H1288" s="27">
        <v>39754</v>
      </c>
      <c r="I1288" s="27">
        <v>100.35471698113207</v>
      </c>
      <c r="J1288" s="27">
        <v>106.01066666666667</v>
      </c>
      <c r="K1288" s="29">
        <v>5.6359579855105195E-2</v>
      </c>
    </row>
    <row r="1289" spans="1:11" x14ac:dyDescent="0.25">
      <c r="A1289" s="5" t="s">
        <v>6</v>
      </c>
      <c r="B1289" s="5" t="s">
        <v>6243</v>
      </c>
      <c r="C1289" s="1" t="s">
        <v>6244</v>
      </c>
      <c r="D1289" s="5" t="s">
        <v>17755</v>
      </c>
      <c r="E1289" s="32">
        <v>14</v>
      </c>
      <c r="F1289" s="27">
        <v>42</v>
      </c>
      <c r="I1289" s="27">
        <v>3</v>
      </c>
    </row>
    <row r="1290" spans="1:11" x14ac:dyDescent="0.25">
      <c r="A1290" s="5" t="s">
        <v>6</v>
      </c>
      <c r="B1290" s="5" t="s">
        <v>6246</v>
      </c>
      <c r="C1290" s="1" t="s">
        <v>6247</v>
      </c>
      <c r="D1290" s="5" t="s">
        <v>17755</v>
      </c>
      <c r="E1290" s="32">
        <v>298</v>
      </c>
      <c r="F1290" s="27">
        <v>1490</v>
      </c>
      <c r="G1290" s="32">
        <v>309</v>
      </c>
      <c r="H1290" s="27">
        <v>1545</v>
      </c>
      <c r="I1290" s="27">
        <v>5</v>
      </c>
      <c r="J1290" s="27">
        <v>5</v>
      </c>
      <c r="K1290" s="29">
        <v>0</v>
      </c>
    </row>
    <row r="1291" spans="1:11" x14ac:dyDescent="0.25">
      <c r="A1291" s="5" t="s">
        <v>6</v>
      </c>
      <c r="B1291" s="5" t="s">
        <v>6249</v>
      </c>
      <c r="C1291" s="1" t="s">
        <v>6250</v>
      </c>
      <c r="D1291" s="5" t="s">
        <v>17755</v>
      </c>
      <c r="E1291" s="32">
        <v>424</v>
      </c>
      <c r="F1291" s="27">
        <v>14669</v>
      </c>
      <c r="G1291" s="32">
        <v>469</v>
      </c>
      <c r="H1291" s="27">
        <v>17561</v>
      </c>
      <c r="I1291" s="27">
        <v>34.596698113207545</v>
      </c>
      <c r="J1291" s="27">
        <v>37.443496801705756</v>
      </c>
      <c r="K1291" s="29">
        <v>8.2285271247068068E-2</v>
      </c>
    </row>
    <row r="1292" spans="1:11" x14ac:dyDescent="0.25">
      <c r="A1292" s="5" t="s">
        <v>6</v>
      </c>
      <c r="B1292" s="5" t="s">
        <v>6252</v>
      </c>
      <c r="C1292" s="1" t="s">
        <v>6253</v>
      </c>
      <c r="D1292" s="5" t="s">
        <v>17755</v>
      </c>
      <c r="E1292" s="32">
        <v>457</v>
      </c>
      <c r="F1292" s="27">
        <v>21019</v>
      </c>
      <c r="G1292" s="32">
        <v>167</v>
      </c>
      <c r="H1292" s="27">
        <v>8321</v>
      </c>
      <c r="I1292" s="27">
        <v>45.993435448577678</v>
      </c>
      <c r="J1292" s="27">
        <v>49.82634730538922</v>
      </c>
      <c r="K1292" s="29">
        <v>8.3336063493166884E-2</v>
      </c>
    </row>
    <row r="1293" spans="1:11" x14ac:dyDescent="0.25">
      <c r="A1293" s="5" t="s">
        <v>6</v>
      </c>
      <c r="B1293" s="5" t="s">
        <v>6255</v>
      </c>
      <c r="C1293" s="1" t="s">
        <v>6256</v>
      </c>
      <c r="D1293" s="5" t="s">
        <v>17755</v>
      </c>
      <c r="E1293" s="32">
        <v>502</v>
      </c>
      <c r="F1293" s="27">
        <v>25386</v>
      </c>
      <c r="G1293" s="32">
        <v>576</v>
      </c>
      <c r="H1293" s="27">
        <v>30708</v>
      </c>
      <c r="I1293" s="27">
        <v>50.569721115537845</v>
      </c>
      <c r="J1293" s="27">
        <v>53.3125</v>
      </c>
      <c r="K1293" s="29">
        <v>5.4237571890018189E-2</v>
      </c>
    </row>
    <row r="1294" spans="1:11" x14ac:dyDescent="0.25">
      <c r="A1294" s="5" t="s">
        <v>6</v>
      </c>
      <c r="B1294" s="5" t="s">
        <v>6261</v>
      </c>
      <c r="C1294" s="1" t="s">
        <v>6262</v>
      </c>
      <c r="D1294" s="5" t="s">
        <v>17755</v>
      </c>
      <c r="E1294" s="32">
        <v>1</v>
      </c>
      <c r="F1294" s="27">
        <v>72</v>
      </c>
      <c r="I1294" s="27">
        <v>72</v>
      </c>
    </row>
    <row r="1295" spans="1:11" x14ac:dyDescent="0.25">
      <c r="A1295" s="5" t="s">
        <v>6</v>
      </c>
      <c r="B1295" s="5" t="s">
        <v>6264</v>
      </c>
      <c r="C1295" s="1" t="s">
        <v>6265</v>
      </c>
      <c r="D1295" s="5" t="s">
        <v>17755</v>
      </c>
      <c r="E1295" s="32">
        <v>35</v>
      </c>
      <c r="F1295" s="27">
        <v>2325</v>
      </c>
      <c r="G1295" s="32">
        <v>36</v>
      </c>
      <c r="H1295" s="27">
        <v>2592</v>
      </c>
      <c r="I1295" s="27">
        <v>66.428571428571431</v>
      </c>
      <c r="J1295" s="27">
        <v>72</v>
      </c>
      <c r="K1295" s="29">
        <v>8.3870967741935448E-2</v>
      </c>
    </row>
    <row r="1296" spans="1:11" x14ac:dyDescent="0.25">
      <c r="A1296" s="5" t="s">
        <v>6</v>
      </c>
      <c r="B1296" s="5" t="s">
        <v>6267</v>
      </c>
      <c r="C1296" s="1" t="s">
        <v>6268</v>
      </c>
      <c r="D1296" s="5" t="s">
        <v>17755</v>
      </c>
      <c r="E1296" s="32">
        <v>748</v>
      </c>
      <c r="F1296" s="27">
        <v>30404</v>
      </c>
      <c r="G1296" s="32">
        <v>797</v>
      </c>
      <c r="H1296" s="27">
        <v>34327</v>
      </c>
      <c r="I1296" s="27">
        <v>40.647058823529413</v>
      </c>
      <c r="J1296" s="27">
        <v>43.0702634880803</v>
      </c>
      <c r="K1296" s="29">
        <v>5.9615744279833696E-2</v>
      </c>
    </row>
    <row r="1297" spans="1:11" x14ac:dyDescent="0.25">
      <c r="A1297" s="5" t="s">
        <v>6</v>
      </c>
      <c r="B1297" s="5" t="s">
        <v>6270</v>
      </c>
      <c r="C1297" s="1" t="s">
        <v>6271</v>
      </c>
      <c r="D1297" s="5" t="s">
        <v>17755</v>
      </c>
      <c r="G1297" s="32">
        <v>121</v>
      </c>
      <c r="H1297" s="27">
        <v>1282.5999999999999</v>
      </c>
      <c r="J1297" s="27">
        <v>10.6</v>
      </c>
    </row>
    <row r="1298" spans="1:11" x14ac:dyDescent="0.25">
      <c r="A1298" s="5" t="s">
        <v>6</v>
      </c>
      <c r="B1298" s="5" t="s">
        <v>6273</v>
      </c>
      <c r="C1298" s="1" t="s">
        <v>6274</v>
      </c>
      <c r="D1298" s="5" t="s">
        <v>17755</v>
      </c>
      <c r="E1298" s="32">
        <v>0</v>
      </c>
      <c r="F1298" s="27">
        <v>0</v>
      </c>
      <c r="G1298" s="32">
        <v>1</v>
      </c>
      <c r="H1298" s="27">
        <v>28</v>
      </c>
      <c r="J1298" s="27">
        <v>28</v>
      </c>
    </row>
    <row r="1299" spans="1:11" x14ac:dyDescent="0.25">
      <c r="A1299" s="5" t="s">
        <v>6</v>
      </c>
      <c r="B1299" s="5" t="s">
        <v>6276</v>
      </c>
      <c r="C1299" s="1" t="s">
        <v>6277</v>
      </c>
      <c r="D1299" s="5" t="s">
        <v>17755</v>
      </c>
      <c r="E1299" s="32">
        <v>496</v>
      </c>
      <c r="F1299" s="27">
        <v>13174</v>
      </c>
      <c r="G1299" s="32">
        <v>177</v>
      </c>
      <c r="H1299" s="27">
        <v>5097</v>
      </c>
      <c r="I1299" s="27">
        <v>26.56048387096774</v>
      </c>
      <c r="J1299" s="27">
        <v>28.796610169491526</v>
      </c>
      <c r="K1299" s="29">
        <v>8.418996842779701E-2</v>
      </c>
    </row>
    <row r="1300" spans="1:11" x14ac:dyDescent="0.25">
      <c r="A1300" s="5" t="s">
        <v>6</v>
      </c>
      <c r="B1300" s="5" t="s">
        <v>6279</v>
      </c>
      <c r="C1300" s="1" t="s">
        <v>6280</v>
      </c>
      <c r="D1300" s="5" t="s">
        <v>17755</v>
      </c>
      <c r="E1300" s="32">
        <v>14</v>
      </c>
      <c r="F1300" s="27">
        <v>28</v>
      </c>
      <c r="G1300" s="32">
        <v>27</v>
      </c>
      <c r="H1300" s="27">
        <v>54</v>
      </c>
      <c r="I1300" s="27">
        <v>2</v>
      </c>
      <c r="J1300" s="27">
        <v>2</v>
      </c>
      <c r="K1300" s="29">
        <v>0</v>
      </c>
    </row>
    <row r="1301" spans="1:11" x14ac:dyDescent="0.25">
      <c r="A1301" s="5" t="s">
        <v>6</v>
      </c>
      <c r="B1301" s="5" t="s">
        <v>6282</v>
      </c>
      <c r="C1301" s="1" t="s">
        <v>6283</v>
      </c>
      <c r="D1301" s="5" t="s">
        <v>17755</v>
      </c>
      <c r="E1301" s="32">
        <v>254</v>
      </c>
      <c r="F1301" s="27">
        <v>4533</v>
      </c>
      <c r="G1301" s="32">
        <v>417</v>
      </c>
      <c r="H1301" s="27">
        <v>7837</v>
      </c>
      <c r="I1301" s="27">
        <v>17.846456692913385</v>
      </c>
      <c r="J1301" s="27">
        <v>18.793764988009592</v>
      </c>
      <c r="K1301" s="29">
        <v>5.3081029550945617E-2</v>
      </c>
    </row>
    <row r="1302" spans="1:11" x14ac:dyDescent="0.25">
      <c r="A1302" s="5" t="s">
        <v>6</v>
      </c>
      <c r="B1302" s="5" t="s">
        <v>6285</v>
      </c>
      <c r="C1302" s="1" t="s">
        <v>6286</v>
      </c>
      <c r="D1302" s="5" t="s">
        <v>17755</v>
      </c>
      <c r="E1302" s="32">
        <v>386</v>
      </c>
      <c r="F1302" s="27">
        <v>6926</v>
      </c>
      <c r="G1302" s="32">
        <v>228</v>
      </c>
      <c r="H1302" s="27">
        <v>4280</v>
      </c>
      <c r="I1302" s="27">
        <v>17.94300518134715</v>
      </c>
      <c r="J1302" s="27">
        <v>18.771929824561404</v>
      </c>
      <c r="K1302" s="29">
        <v>4.6197648322365302E-2</v>
      </c>
    </row>
    <row r="1303" spans="1:11" x14ac:dyDescent="0.25">
      <c r="A1303" s="5" t="s">
        <v>6</v>
      </c>
      <c r="B1303" s="5" t="s">
        <v>6288</v>
      </c>
      <c r="C1303" s="1" t="s">
        <v>6289</v>
      </c>
      <c r="D1303" s="5" t="s">
        <v>17755</v>
      </c>
      <c r="E1303" s="32">
        <v>3013</v>
      </c>
      <c r="F1303" s="27">
        <v>68351</v>
      </c>
      <c r="G1303" s="32">
        <v>1752</v>
      </c>
      <c r="H1303" s="27">
        <v>42400</v>
      </c>
      <c r="I1303" s="27">
        <v>22.68536342515765</v>
      </c>
      <c r="J1303" s="27">
        <v>24.200913242009133</v>
      </c>
      <c r="K1303" s="29">
        <v>6.6807385380952974E-2</v>
      </c>
    </row>
    <row r="1304" spans="1:11" x14ac:dyDescent="0.25">
      <c r="A1304" s="5" t="s">
        <v>6</v>
      </c>
      <c r="B1304" s="5" t="s">
        <v>6291</v>
      </c>
      <c r="C1304" s="1" t="s">
        <v>6292</v>
      </c>
      <c r="D1304" s="5" t="s">
        <v>17755</v>
      </c>
      <c r="E1304" s="32">
        <v>841</v>
      </c>
      <c r="F1304" s="27">
        <v>22361</v>
      </c>
      <c r="G1304" s="32">
        <v>892</v>
      </c>
      <c r="H1304" s="27">
        <v>24850</v>
      </c>
      <c r="I1304" s="27">
        <v>26.588585017835911</v>
      </c>
      <c r="J1304" s="27">
        <v>27.858744394618835</v>
      </c>
      <c r="K1304" s="29">
        <v>4.7770852639615377E-2</v>
      </c>
    </row>
    <row r="1305" spans="1:11" x14ac:dyDescent="0.25">
      <c r="A1305" s="5" t="s">
        <v>6</v>
      </c>
      <c r="B1305" s="5" t="s">
        <v>6297</v>
      </c>
      <c r="C1305" s="1" t="s">
        <v>6298</v>
      </c>
      <c r="D1305" s="5" t="s">
        <v>17755</v>
      </c>
      <c r="E1305" s="32">
        <v>4706</v>
      </c>
      <c r="F1305" s="27">
        <v>256174</v>
      </c>
      <c r="G1305" s="32">
        <v>5721</v>
      </c>
      <c r="H1305" s="27">
        <v>330379</v>
      </c>
      <c r="I1305" s="27">
        <v>54.435614109647261</v>
      </c>
      <c r="J1305" s="27">
        <v>57.748470547107146</v>
      </c>
      <c r="K1305" s="29">
        <v>6.0858254134635907E-2</v>
      </c>
    </row>
    <row r="1306" spans="1:11" x14ac:dyDescent="0.25">
      <c r="A1306" s="5" t="s">
        <v>6</v>
      </c>
      <c r="B1306" s="5" t="s">
        <v>6300</v>
      </c>
      <c r="C1306" s="1" t="s">
        <v>6301</v>
      </c>
      <c r="D1306" s="5" t="s">
        <v>17755</v>
      </c>
      <c r="E1306" s="32">
        <v>15</v>
      </c>
      <c r="F1306" s="27">
        <v>1770</v>
      </c>
      <c r="G1306" s="32">
        <v>4</v>
      </c>
      <c r="H1306" s="27">
        <v>499</v>
      </c>
      <c r="I1306" s="27">
        <v>118</v>
      </c>
      <c r="J1306" s="27">
        <v>124.75</v>
      </c>
      <c r="K1306" s="29">
        <v>5.7203389830508475E-2</v>
      </c>
    </row>
    <row r="1307" spans="1:11" x14ac:dyDescent="0.25">
      <c r="A1307" s="5" t="s">
        <v>6</v>
      </c>
      <c r="B1307" s="5" t="s">
        <v>6306</v>
      </c>
      <c r="C1307" s="1" t="s">
        <v>6307</v>
      </c>
      <c r="D1307" s="5" t="s">
        <v>17755</v>
      </c>
      <c r="E1307" s="32">
        <v>0</v>
      </c>
      <c r="F1307" s="27">
        <v>0</v>
      </c>
      <c r="G1307" s="32">
        <v>52</v>
      </c>
      <c r="H1307" s="27">
        <v>1976</v>
      </c>
      <c r="J1307" s="27">
        <v>38</v>
      </c>
    </row>
    <row r="1308" spans="1:11" x14ac:dyDescent="0.25">
      <c r="A1308" s="5" t="s">
        <v>6</v>
      </c>
      <c r="B1308" s="5" t="s">
        <v>6309</v>
      </c>
      <c r="C1308" s="1" t="s">
        <v>6310</v>
      </c>
      <c r="D1308" s="5" t="s">
        <v>17755</v>
      </c>
      <c r="E1308" s="32">
        <v>43</v>
      </c>
      <c r="F1308" s="27">
        <v>1932</v>
      </c>
      <c r="G1308" s="32">
        <v>99</v>
      </c>
      <c r="H1308" s="27">
        <v>5040</v>
      </c>
      <c r="I1308" s="27">
        <v>44.930232558139537</v>
      </c>
      <c r="J1308" s="27">
        <v>50.909090909090907</v>
      </c>
      <c r="K1308" s="29">
        <v>0.13306982872200254</v>
      </c>
    </row>
    <row r="1309" spans="1:11" x14ac:dyDescent="0.25">
      <c r="A1309" s="5" t="s">
        <v>6</v>
      </c>
      <c r="B1309" s="5" t="s">
        <v>6315</v>
      </c>
      <c r="C1309" s="1" t="s">
        <v>6316</v>
      </c>
      <c r="D1309" s="5" t="s">
        <v>17755</v>
      </c>
      <c r="E1309" s="32">
        <v>55</v>
      </c>
      <c r="F1309" s="27">
        <v>825</v>
      </c>
      <c r="G1309" s="32">
        <v>69</v>
      </c>
      <c r="H1309" s="27">
        <v>1091</v>
      </c>
      <c r="I1309" s="27">
        <v>15</v>
      </c>
      <c r="J1309" s="27">
        <v>15.811594202898551</v>
      </c>
      <c r="K1309" s="29">
        <v>5.4106280193236718E-2</v>
      </c>
    </row>
    <row r="1310" spans="1:11" x14ac:dyDescent="0.25">
      <c r="A1310" s="5" t="s">
        <v>6</v>
      </c>
      <c r="B1310" s="5" t="s">
        <v>6318</v>
      </c>
      <c r="C1310" s="1" t="s">
        <v>6319</v>
      </c>
      <c r="D1310" s="5" t="s">
        <v>17755</v>
      </c>
      <c r="E1310" s="32">
        <v>440</v>
      </c>
      <c r="F1310" s="27">
        <v>7783</v>
      </c>
      <c r="G1310" s="32">
        <v>640</v>
      </c>
      <c r="H1310" s="27">
        <v>11884</v>
      </c>
      <c r="I1310" s="27">
        <v>17.688636363636363</v>
      </c>
      <c r="J1310" s="27">
        <v>18.568750000000001</v>
      </c>
      <c r="K1310" s="29">
        <v>4.9755878196068498E-2</v>
      </c>
    </row>
    <row r="1311" spans="1:11" x14ac:dyDescent="0.25">
      <c r="A1311" s="5" t="s">
        <v>6</v>
      </c>
      <c r="B1311" s="5" t="s">
        <v>6351</v>
      </c>
      <c r="C1311" s="1" t="s">
        <v>6352</v>
      </c>
      <c r="D1311" s="5" t="s">
        <v>17755</v>
      </c>
      <c r="E1311" s="32">
        <v>666</v>
      </c>
      <c r="F1311" s="27">
        <v>20250</v>
      </c>
      <c r="G1311" s="32">
        <v>966</v>
      </c>
      <c r="H1311" s="27">
        <v>31448</v>
      </c>
      <c r="I1311" s="27">
        <v>30.405405405405407</v>
      </c>
      <c r="J1311" s="27">
        <v>32.554865424430645</v>
      </c>
      <c r="K1311" s="29">
        <v>7.0693351736830043E-2</v>
      </c>
    </row>
    <row r="1312" spans="1:11" x14ac:dyDescent="0.25">
      <c r="A1312" s="5" t="s">
        <v>6</v>
      </c>
      <c r="B1312" s="5" t="s">
        <v>6354</v>
      </c>
      <c r="C1312" s="1" t="s">
        <v>6355</v>
      </c>
      <c r="D1312" s="5" t="s">
        <v>17758</v>
      </c>
      <c r="E1312" s="32">
        <v>24</v>
      </c>
      <c r="F1312" s="27">
        <v>672</v>
      </c>
      <c r="I1312" s="27">
        <v>28</v>
      </c>
    </row>
    <row r="1313" spans="1:11" x14ac:dyDescent="0.25">
      <c r="A1313" s="5" t="s">
        <v>6</v>
      </c>
      <c r="B1313" s="5" t="s">
        <v>6357</v>
      </c>
      <c r="C1313" s="1" t="s">
        <v>6358</v>
      </c>
      <c r="D1313" s="5" t="s">
        <v>17758</v>
      </c>
      <c r="E1313" s="32">
        <v>132</v>
      </c>
      <c r="F1313" s="27">
        <v>12804</v>
      </c>
      <c r="I1313" s="27">
        <v>97</v>
      </c>
    </row>
    <row r="1314" spans="1:11" x14ac:dyDescent="0.25">
      <c r="A1314" s="5" t="s">
        <v>6</v>
      </c>
      <c r="B1314" s="5" t="s">
        <v>6360</v>
      </c>
      <c r="C1314" s="1" t="s">
        <v>6361</v>
      </c>
      <c r="D1314" s="5" t="s">
        <v>17759</v>
      </c>
      <c r="E1314" s="32">
        <v>0</v>
      </c>
      <c r="F1314" s="27">
        <v>0</v>
      </c>
      <c r="G1314" s="32">
        <v>3</v>
      </c>
      <c r="H1314" s="27">
        <v>87</v>
      </c>
      <c r="J1314" s="27">
        <v>29</v>
      </c>
    </row>
    <row r="1315" spans="1:11" x14ac:dyDescent="0.25">
      <c r="A1315" s="5" t="s">
        <v>6</v>
      </c>
      <c r="B1315" s="5" t="s">
        <v>6363</v>
      </c>
      <c r="C1315" s="1" t="s">
        <v>6364</v>
      </c>
      <c r="D1315" s="5" t="s">
        <v>17759</v>
      </c>
      <c r="E1315" s="32">
        <v>68</v>
      </c>
      <c r="F1315" s="27">
        <v>2856</v>
      </c>
      <c r="I1315" s="27">
        <v>42</v>
      </c>
    </row>
    <row r="1316" spans="1:11" x14ac:dyDescent="0.25">
      <c r="A1316" s="5" t="s">
        <v>6</v>
      </c>
      <c r="B1316" s="5" t="s">
        <v>6366</v>
      </c>
      <c r="C1316" s="1" t="s">
        <v>6367</v>
      </c>
      <c r="D1316" s="5" t="s">
        <v>17755</v>
      </c>
      <c r="E1316" s="32">
        <v>2</v>
      </c>
      <c r="F1316" s="27">
        <v>36</v>
      </c>
      <c r="I1316" s="27">
        <v>18</v>
      </c>
    </row>
    <row r="1317" spans="1:11" x14ac:dyDescent="0.25">
      <c r="A1317" s="5" t="s">
        <v>6</v>
      </c>
      <c r="B1317" s="5" t="s">
        <v>6369</v>
      </c>
      <c r="C1317" s="1" t="s">
        <v>6370</v>
      </c>
      <c r="D1317" s="5" t="s">
        <v>17755</v>
      </c>
      <c r="E1317" s="32">
        <v>46</v>
      </c>
      <c r="F1317" s="27">
        <v>954</v>
      </c>
      <c r="G1317" s="32">
        <v>3</v>
      </c>
      <c r="H1317" s="27">
        <v>69</v>
      </c>
      <c r="I1317" s="27">
        <v>20.739130434782609</v>
      </c>
      <c r="J1317" s="27">
        <v>23</v>
      </c>
      <c r="K1317" s="29">
        <v>0.10901467505241087</v>
      </c>
    </row>
    <row r="1318" spans="1:11" x14ac:dyDescent="0.25">
      <c r="A1318" s="5" t="s">
        <v>6</v>
      </c>
      <c r="B1318" s="5" t="s">
        <v>6372</v>
      </c>
      <c r="C1318" s="1" t="s">
        <v>6373</v>
      </c>
      <c r="D1318" s="5" t="s">
        <v>17755</v>
      </c>
      <c r="E1318" s="32">
        <v>40</v>
      </c>
      <c r="F1318" s="27">
        <v>836</v>
      </c>
      <c r="G1318" s="32">
        <v>71</v>
      </c>
      <c r="H1318" s="27">
        <v>1567</v>
      </c>
      <c r="I1318" s="27">
        <v>20.9</v>
      </c>
      <c r="J1318" s="27">
        <v>22.070422535211268</v>
      </c>
      <c r="K1318" s="29">
        <v>5.6001078239773655E-2</v>
      </c>
    </row>
    <row r="1319" spans="1:11" x14ac:dyDescent="0.25">
      <c r="A1319" s="5" t="s">
        <v>6</v>
      </c>
      <c r="B1319" s="5" t="s">
        <v>6381</v>
      </c>
      <c r="C1319" s="1" t="s">
        <v>6382</v>
      </c>
      <c r="D1319" s="5" t="s">
        <v>17755</v>
      </c>
      <c r="E1319" s="32">
        <v>113</v>
      </c>
      <c r="F1319" s="27">
        <v>2938</v>
      </c>
      <c r="I1319" s="27">
        <v>26</v>
      </c>
    </row>
    <row r="1320" spans="1:11" x14ac:dyDescent="0.25">
      <c r="A1320" s="5" t="s">
        <v>6</v>
      </c>
      <c r="B1320" s="5" t="s">
        <v>6384</v>
      </c>
      <c r="C1320" s="1" t="s">
        <v>6385</v>
      </c>
      <c r="D1320" s="5" t="s">
        <v>17755</v>
      </c>
      <c r="G1320" s="32">
        <v>182</v>
      </c>
      <c r="H1320" s="27">
        <v>10282.4</v>
      </c>
      <c r="J1320" s="27">
        <v>56.496703296703295</v>
      </c>
    </row>
    <row r="1321" spans="1:11" x14ac:dyDescent="0.25">
      <c r="A1321" s="5" t="s">
        <v>6</v>
      </c>
      <c r="B1321" s="5" t="s">
        <v>6387</v>
      </c>
      <c r="C1321" s="1" t="s">
        <v>6388</v>
      </c>
      <c r="D1321" s="5" t="s">
        <v>17755</v>
      </c>
      <c r="E1321" s="32">
        <v>3</v>
      </c>
      <c r="F1321" s="27">
        <v>216</v>
      </c>
      <c r="G1321" s="32">
        <v>499</v>
      </c>
      <c r="H1321" s="27">
        <v>38220</v>
      </c>
      <c r="I1321" s="27">
        <v>72</v>
      </c>
      <c r="J1321" s="27">
        <v>76.593186372745492</v>
      </c>
      <c r="K1321" s="29">
        <v>6.3794255177020726E-2</v>
      </c>
    </row>
    <row r="1322" spans="1:11" x14ac:dyDescent="0.25">
      <c r="A1322" s="5" t="s">
        <v>6</v>
      </c>
      <c r="B1322" s="5" t="s">
        <v>6390</v>
      </c>
      <c r="C1322" s="1" t="s">
        <v>6391</v>
      </c>
      <c r="D1322" s="5" t="s">
        <v>17755</v>
      </c>
      <c r="E1322" s="32">
        <v>5</v>
      </c>
      <c r="F1322" s="27">
        <v>134</v>
      </c>
      <c r="I1322" s="27">
        <v>26.8</v>
      </c>
    </row>
    <row r="1323" spans="1:11" x14ac:dyDescent="0.25">
      <c r="A1323" s="5" t="s">
        <v>6</v>
      </c>
      <c r="B1323" s="5" t="s">
        <v>6396</v>
      </c>
      <c r="C1323" s="1" t="s">
        <v>6397</v>
      </c>
      <c r="D1323" s="5" t="s">
        <v>17755</v>
      </c>
      <c r="E1323" s="32">
        <v>3</v>
      </c>
      <c r="F1323" s="27">
        <v>792</v>
      </c>
      <c r="I1323" s="27">
        <v>264</v>
      </c>
    </row>
    <row r="1324" spans="1:11" x14ac:dyDescent="0.25">
      <c r="A1324" s="5" t="s">
        <v>6</v>
      </c>
      <c r="B1324" s="5" t="s">
        <v>6399</v>
      </c>
      <c r="C1324" s="1" t="s">
        <v>6400</v>
      </c>
      <c r="D1324" s="5" t="s">
        <v>17755</v>
      </c>
      <c r="E1324" s="32">
        <v>41</v>
      </c>
      <c r="F1324" s="27">
        <v>1681</v>
      </c>
      <c r="I1324" s="27">
        <v>41</v>
      </c>
    </row>
    <row r="1325" spans="1:11" x14ac:dyDescent="0.25">
      <c r="A1325" s="5" t="s">
        <v>6</v>
      </c>
      <c r="B1325" s="5" t="s">
        <v>6405</v>
      </c>
      <c r="C1325" s="1" t="s">
        <v>6406</v>
      </c>
      <c r="D1325" s="5" t="s">
        <v>17755</v>
      </c>
      <c r="E1325" s="32">
        <v>6</v>
      </c>
      <c r="F1325" s="27">
        <v>102</v>
      </c>
      <c r="I1325" s="27">
        <v>17</v>
      </c>
    </row>
    <row r="1326" spans="1:11" x14ac:dyDescent="0.25">
      <c r="A1326" s="5" t="s">
        <v>6</v>
      </c>
      <c r="B1326" s="5" t="s">
        <v>6408</v>
      </c>
      <c r="C1326" s="1" t="s">
        <v>6409</v>
      </c>
      <c r="D1326" s="5" t="s">
        <v>17755</v>
      </c>
      <c r="E1326" s="32">
        <v>4</v>
      </c>
      <c r="F1326" s="27">
        <v>84</v>
      </c>
      <c r="I1326" s="27">
        <v>21</v>
      </c>
    </row>
    <row r="1327" spans="1:11" x14ac:dyDescent="0.25">
      <c r="A1327" s="5" t="s">
        <v>6</v>
      </c>
      <c r="B1327" s="5" t="s">
        <v>6417</v>
      </c>
      <c r="C1327" s="1" t="s">
        <v>6418</v>
      </c>
      <c r="D1327" s="5" t="s">
        <v>17755</v>
      </c>
      <c r="E1327" s="32">
        <v>20</v>
      </c>
      <c r="F1327" s="27">
        <v>280</v>
      </c>
      <c r="G1327" s="32">
        <v>54</v>
      </c>
      <c r="H1327" s="27">
        <v>804</v>
      </c>
      <c r="I1327" s="27">
        <v>14</v>
      </c>
      <c r="J1327" s="27">
        <v>14.888888888888889</v>
      </c>
      <c r="K1327" s="29">
        <v>6.3492063492063516E-2</v>
      </c>
    </row>
    <row r="1328" spans="1:11" x14ac:dyDescent="0.25">
      <c r="A1328" s="5" t="s">
        <v>6</v>
      </c>
      <c r="B1328" s="5" t="s">
        <v>6420</v>
      </c>
      <c r="C1328" s="1" t="s">
        <v>6421</v>
      </c>
      <c r="D1328" s="5" t="s">
        <v>17755</v>
      </c>
      <c r="E1328" s="32">
        <v>1476</v>
      </c>
      <c r="F1328" s="27">
        <v>56394</v>
      </c>
      <c r="G1328" s="32">
        <v>236</v>
      </c>
      <c r="H1328" s="27">
        <v>9648</v>
      </c>
      <c r="I1328" s="27">
        <v>38.207317073170735</v>
      </c>
      <c r="J1328" s="27">
        <v>40.881355932203391</v>
      </c>
      <c r="K1328" s="29">
        <v>6.9987611375894598E-2</v>
      </c>
    </row>
    <row r="1329" spans="1:11" x14ac:dyDescent="0.25">
      <c r="A1329" s="5" t="s">
        <v>6</v>
      </c>
      <c r="B1329" s="5" t="s">
        <v>6429</v>
      </c>
      <c r="C1329" s="1" t="s">
        <v>6430</v>
      </c>
      <c r="D1329" s="5" t="s">
        <v>17755</v>
      </c>
      <c r="E1329" s="32">
        <v>231</v>
      </c>
      <c r="F1329" s="27">
        <v>2287</v>
      </c>
      <c r="G1329" s="32">
        <v>387</v>
      </c>
      <c r="H1329" s="27">
        <v>4164</v>
      </c>
      <c r="I1329" s="27">
        <v>9.9004329004329001</v>
      </c>
      <c r="J1329" s="27">
        <v>10.75968992248062</v>
      </c>
      <c r="K1329" s="29">
        <v>8.6789843503726816E-2</v>
      </c>
    </row>
    <row r="1330" spans="1:11" x14ac:dyDescent="0.25">
      <c r="A1330" s="5" t="s">
        <v>6</v>
      </c>
      <c r="B1330" s="5" t="s">
        <v>6432</v>
      </c>
      <c r="C1330" s="1" t="s">
        <v>6433</v>
      </c>
      <c r="D1330" s="5" t="s">
        <v>17755</v>
      </c>
      <c r="E1330" s="32">
        <v>830</v>
      </c>
      <c r="F1330" s="27">
        <v>31998</v>
      </c>
      <c r="G1330" s="32">
        <v>469</v>
      </c>
      <c r="H1330" s="27">
        <v>19386</v>
      </c>
      <c r="I1330" s="27">
        <v>38.551807228915663</v>
      </c>
      <c r="J1330" s="27">
        <v>41.334754797441363</v>
      </c>
      <c r="K1330" s="29">
        <v>7.2187214259526553E-2</v>
      </c>
    </row>
    <row r="1331" spans="1:11" x14ac:dyDescent="0.25">
      <c r="A1331" s="5" t="s">
        <v>6</v>
      </c>
      <c r="B1331" s="5" t="s">
        <v>6435</v>
      </c>
      <c r="C1331" s="1" t="s">
        <v>6436</v>
      </c>
      <c r="D1331" s="5" t="s">
        <v>17755</v>
      </c>
      <c r="E1331" s="32">
        <v>531</v>
      </c>
      <c r="F1331" s="27">
        <v>6791</v>
      </c>
      <c r="G1331" s="32">
        <v>417</v>
      </c>
      <c r="H1331" s="27">
        <v>5629</v>
      </c>
      <c r="I1331" s="27">
        <v>12.789077212806026</v>
      </c>
      <c r="J1331" s="27">
        <v>13.498800959232614</v>
      </c>
      <c r="K1331" s="29">
        <v>5.5494523538877703E-2</v>
      </c>
    </row>
    <row r="1332" spans="1:11" x14ac:dyDescent="0.25">
      <c r="A1332" s="5" t="s">
        <v>6</v>
      </c>
      <c r="B1332" s="5" t="s">
        <v>6441</v>
      </c>
      <c r="C1332" s="1" t="s">
        <v>6442</v>
      </c>
      <c r="D1332" s="5" t="s">
        <v>17755</v>
      </c>
      <c r="E1332" s="32">
        <v>275</v>
      </c>
      <c r="F1332" s="27">
        <v>7347</v>
      </c>
      <c r="G1332" s="32">
        <v>262</v>
      </c>
      <c r="H1332" s="27">
        <v>7484</v>
      </c>
      <c r="I1332" s="27">
        <v>26.716363636363635</v>
      </c>
      <c r="J1332" s="27">
        <v>28.564885496183205</v>
      </c>
      <c r="K1332" s="29">
        <v>6.9190623581105462E-2</v>
      </c>
    </row>
    <row r="1333" spans="1:11" x14ac:dyDescent="0.25">
      <c r="A1333" s="5" t="s">
        <v>6</v>
      </c>
      <c r="B1333" s="5" t="s">
        <v>6447</v>
      </c>
      <c r="C1333" s="1" t="s">
        <v>6448</v>
      </c>
      <c r="D1333" s="5" t="s">
        <v>17755</v>
      </c>
      <c r="E1333" s="32">
        <v>19</v>
      </c>
      <c r="F1333" s="27">
        <v>456</v>
      </c>
      <c r="I1333" s="27">
        <v>24</v>
      </c>
    </row>
    <row r="1334" spans="1:11" x14ac:dyDescent="0.25">
      <c r="A1334" s="5" t="s">
        <v>6</v>
      </c>
      <c r="B1334" s="5" t="s">
        <v>6450</v>
      </c>
      <c r="C1334" s="1" t="s">
        <v>6451</v>
      </c>
      <c r="D1334" s="5" t="s">
        <v>17755</v>
      </c>
      <c r="E1334" s="32">
        <v>1</v>
      </c>
      <c r="F1334" s="27">
        <v>28</v>
      </c>
      <c r="I1334" s="27">
        <v>28</v>
      </c>
    </row>
    <row r="1335" spans="1:11" x14ac:dyDescent="0.25">
      <c r="A1335" s="5" t="s">
        <v>6</v>
      </c>
      <c r="B1335" s="5" t="s">
        <v>6453</v>
      </c>
      <c r="C1335" s="1" t="s">
        <v>6454</v>
      </c>
      <c r="D1335" s="5" t="s">
        <v>17755</v>
      </c>
      <c r="E1335" s="32">
        <v>8</v>
      </c>
      <c r="F1335" s="27">
        <v>248</v>
      </c>
      <c r="G1335" s="32">
        <v>133</v>
      </c>
      <c r="H1335" s="27">
        <v>4151</v>
      </c>
      <c r="I1335" s="27">
        <v>31</v>
      </c>
      <c r="J1335" s="27">
        <v>31.210526315789473</v>
      </c>
      <c r="K1335" s="29">
        <v>6.7911714770797597E-3</v>
      </c>
    </row>
    <row r="1336" spans="1:11" x14ac:dyDescent="0.25">
      <c r="A1336" s="5" t="s">
        <v>6</v>
      </c>
      <c r="B1336" s="5" t="s">
        <v>6459</v>
      </c>
      <c r="C1336" s="1" t="s">
        <v>6460</v>
      </c>
      <c r="D1336" s="5" t="s">
        <v>17755</v>
      </c>
      <c r="E1336" s="32">
        <v>0</v>
      </c>
      <c r="F1336" s="27">
        <v>0</v>
      </c>
      <c r="G1336" s="32">
        <v>20</v>
      </c>
      <c r="H1336" s="27">
        <v>600</v>
      </c>
      <c r="J1336" s="27">
        <v>30</v>
      </c>
    </row>
    <row r="1337" spans="1:11" x14ac:dyDescent="0.25">
      <c r="A1337" s="5" t="s">
        <v>6</v>
      </c>
      <c r="B1337" s="5" t="s">
        <v>6465</v>
      </c>
      <c r="C1337" s="1" t="s">
        <v>6466</v>
      </c>
      <c r="D1337" s="5" t="s">
        <v>17755</v>
      </c>
      <c r="E1337" s="32">
        <v>693</v>
      </c>
      <c r="F1337" s="27">
        <v>12353</v>
      </c>
      <c r="G1337" s="32">
        <v>769</v>
      </c>
      <c r="H1337" s="27">
        <v>14427</v>
      </c>
      <c r="I1337" s="27">
        <v>17.825396825396826</v>
      </c>
      <c r="J1337" s="27">
        <v>18.760728218465541</v>
      </c>
      <c r="K1337" s="29">
        <v>5.2471841285244028E-2</v>
      </c>
    </row>
    <row r="1338" spans="1:11" x14ac:dyDescent="0.25">
      <c r="A1338" s="5" t="s">
        <v>6</v>
      </c>
      <c r="B1338" s="5" t="s">
        <v>6468</v>
      </c>
      <c r="C1338" s="1" t="s">
        <v>6469</v>
      </c>
      <c r="D1338" s="5" t="s">
        <v>17755</v>
      </c>
      <c r="E1338" s="32">
        <v>120</v>
      </c>
      <c r="F1338" s="27">
        <v>2156</v>
      </c>
      <c r="G1338" s="32">
        <v>260</v>
      </c>
      <c r="H1338" s="27">
        <v>4830</v>
      </c>
      <c r="I1338" s="27">
        <v>17.966666666666665</v>
      </c>
      <c r="J1338" s="27">
        <v>18.576923076923077</v>
      </c>
      <c r="K1338" s="29">
        <v>3.3966033966034044E-2</v>
      </c>
    </row>
    <row r="1339" spans="1:11" x14ac:dyDescent="0.25">
      <c r="A1339" s="5" t="s">
        <v>6</v>
      </c>
      <c r="B1339" s="5" t="s">
        <v>6474</v>
      </c>
      <c r="C1339" s="1" t="s">
        <v>6475</v>
      </c>
      <c r="D1339" s="5" t="s">
        <v>17755</v>
      </c>
      <c r="E1339" s="32">
        <v>671</v>
      </c>
      <c r="F1339" s="27">
        <v>23197</v>
      </c>
      <c r="G1339" s="32">
        <v>530</v>
      </c>
      <c r="H1339" s="27">
        <v>19402</v>
      </c>
      <c r="I1339" s="27">
        <v>34.570789865871831</v>
      </c>
      <c r="J1339" s="27">
        <v>36.607547169811319</v>
      </c>
      <c r="K1339" s="29">
        <v>5.8915555931516872E-2</v>
      </c>
    </row>
    <row r="1340" spans="1:11" x14ac:dyDescent="0.25">
      <c r="A1340" s="5" t="s">
        <v>6</v>
      </c>
      <c r="B1340" s="5" t="s">
        <v>6477</v>
      </c>
      <c r="C1340" s="1" t="s">
        <v>6478</v>
      </c>
      <c r="D1340" s="5" t="s">
        <v>17755</v>
      </c>
      <c r="E1340" s="32">
        <v>189</v>
      </c>
      <c r="F1340" s="27">
        <v>4335</v>
      </c>
      <c r="G1340" s="32">
        <v>159</v>
      </c>
      <c r="H1340" s="27">
        <v>3897</v>
      </c>
      <c r="I1340" s="27">
        <v>22.936507936507937</v>
      </c>
      <c r="J1340" s="27">
        <v>24.509433962264151</v>
      </c>
      <c r="K1340" s="29">
        <v>6.8577397662727663E-2</v>
      </c>
    </row>
    <row r="1341" spans="1:11" x14ac:dyDescent="0.25">
      <c r="A1341" s="5" t="s">
        <v>6</v>
      </c>
      <c r="B1341" s="5" t="s">
        <v>6480</v>
      </c>
      <c r="C1341" s="1" t="s">
        <v>6481</v>
      </c>
      <c r="D1341" s="5" t="s">
        <v>17755</v>
      </c>
      <c r="E1341" s="32">
        <v>715</v>
      </c>
      <c r="F1341" s="27">
        <v>20553</v>
      </c>
      <c r="G1341" s="32">
        <v>707</v>
      </c>
      <c r="H1341" s="27">
        <v>21393</v>
      </c>
      <c r="I1341" s="27">
        <v>28.745454545454546</v>
      </c>
      <c r="J1341" s="27">
        <v>30.258840169731258</v>
      </c>
      <c r="K1341" s="29">
        <v>5.2647823741441578E-2</v>
      </c>
    </row>
    <row r="1342" spans="1:11" x14ac:dyDescent="0.25">
      <c r="A1342" s="5" t="s">
        <v>6</v>
      </c>
      <c r="B1342" s="5" t="s">
        <v>6483</v>
      </c>
      <c r="C1342" s="1" t="s">
        <v>6484</v>
      </c>
      <c r="D1342" s="5" t="s">
        <v>17755</v>
      </c>
      <c r="E1342" s="32">
        <v>574</v>
      </c>
      <c r="F1342" s="27">
        <v>17636</v>
      </c>
      <c r="G1342" s="32">
        <v>404</v>
      </c>
      <c r="H1342" s="27">
        <v>13070</v>
      </c>
      <c r="I1342" s="27">
        <v>30.724738675958189</v>
      </c>
      <c r="J1342" s="27">
        <v>32.351485148514854</v>
      </c>
      <c r="K1342" s="29">
        <v>5.2945819644336894E-2</v>
      </c>
    </row>
    <row r="1343" spans="1:11" x14ac:dyDescent="0.25">
      <c r="A1343" s="5" t="s">
        <v>6</v>
      </c>
      <c r="B1343" s="5" t="s">
        <v>6486</v>
      </c>
      <c r="C1343" s="1" t="s">
        <v>6487</v>
      </c>
      <c r="D1343" s="5" t="s">
        <v>17755</v>
      </c>
      <c r="E1343" s="32">
        <v>95</v>
      </c>
      <c r="F1343" s="27">
        <v>2945</v>
      </c>
      <c r="I1343" s="27">
        <v>31</v>
      </c>
    </row>
    <row r="1344" spans="1:11" x14ac:dyDescent="0.25">
      <c r="A1344" s="5" t="s">
        <v>6</v>
      </c>
      <c r="B1344" s="5" t="s">
        <v>6492</v>
      </c>
      <c r="C1344" s="1" t="s">
        <v>6493</v>
      </c>
      <c r="D1344" s="5" t="s">
        <v>17755</v>
      </c>
      <c r="E1344" s="32">
        <v>117</v>
      </c>
      <c r="F1344" s="27">
        <v>5217</v>
      </c>
      <c r="G1344" s="32">
        <v>163</v>
      </c>
      <c r="H1344" s="27">
        <v>7763</v>
      </c>
      <c r="I1344" s="27">
        <v>44.589743589743591</v>
      </c>
      <c r="J1344" s="27">
        <v>47.625766871165645</v>
      </c>
      <c r="K1344" s="29">
        <v>6.8087928680540588E-2</v>
      </c>
    </row>
    <row r="1345" spans="1:11" x14ac:dyDescent="0.25">
      <c r="A1345" s="5" t="s">
        <v>6</v>
      </c>
      <c r="B1345" s="5" t="s">
        <v>6495</v>
      </c>
      <c r="C1345" s="1" t="s">
        <v>6496</v>
      </c>
      <c r="D1345" s="5" t="s">
        <v>17755</v>
      </c>
      <c r="E1345" s="32">
        <v>169</v>
      </c>
      <c r="F1345" s="27">
        <v>4511</v>
      </c>
      <c r="G1345" s="32">
        <v>134</v>
      </c>
      <c r="H1345" s="27">
        <v>3778</v>
      </c>
      <c r="I1345" s="27">
        <v>26.692307692307693</v>
      </c>
      <c r="J1345" s="27">
        <v>28.194029850746269</v>
      </c>
      <c r="K1345" s="29">
        <v>5.6260484321906272E-2</v>
      </c>
    </row>
    <row r="1346" spans="1:11" x14ac:dyDescent="0.25">
      <c r="A1346" s="5" t="s">
        <v>6</v>
      </c>
      <c r="B1346" s="5" t="s">
        <v>6498</v>
      </c>
      <c r="C1346" s="1" t="s">
        <v>6499</v>
      </c>
      <c r="D1346" s="5" t="s">
        <v>17755</v>
      </c>
      <c r="E1346" s="32">
        <v>61</v>
      </c>
      <c r="F1346" s="27">
        <v>1757</v>
      </c>
      <c r="G1346" s="32">
        <v>62</v>
      </c>
      <c r="H1346" s="27">
        <v>1898</v>
      </c>
      <c r="I1346" s="27">
        <v>28.803278688524589</v>
      </c>
      <c r="J1346" s="27">
        <v>30.612903225806452</v>
      </c>
      <c r="K1346" s="29">
        <v>6.2827032882295755E-2</v>
      </c>
    </row>
    <row r="1347" spans="1:11" x14ac:dyDescent="0.25">
      <c r="A1347" s="5" t="s">
        <v>6</v>
      </c>
      <c r="B1347" s="5" t="s">
        <v>6501</v>
      </c>
      <c r="C1347" s="1" t="s">
        <v>6502</v>
      </c>
      <c r="D1347" s="5" t="s">
        <v>17755</v>
      </c>
      <c r="E1347" s="32">
        <v>4</v>
      </c>
      <c r="F1347" s="27">
        <v>165</v>
      </c>
      <c r="G1347" s="32">
        <v>16</v>
      </c>
      <c r="H1347" s="27">
        <v>708</v>
      </c>
      <c r="I1347" s="27">
        <v>41.25</v>
      </c>
      <c r="J1347" s="27">
        <v>44.25</v>
      </c>
      <c r="K1347" s="29">
        <v>7.2727272727272724E-2</v>
      </c>
    </row>
    <row r="1348" spans="1:11" x14ac:dyDescent="0.25">
      <c r="A1348" s="5" t="s">
        <v>6</v>
      </c>
      <c r="B1348" s="5" t="s">
        <v>6507</v>
      </c>
      <c r="C1348" s="1" t="s">
        <v>6508</v>
      </c>
      <c r="D1348" s="5" t="s">
        <v>17756</v>
      </c>
      <c r="E1348" s="32">
        <v>1568</v>
      </c>
      <c r="F1348" s="27">
        <v>27984</v>
      </c>
      <c r="G1348" s="32">
        <v>1515</v>
      </c>
      <c r="H1348" s="27">
        <v>28362</v>
      </c>
      <c r="I1348" s="27">
        <v>17.846938775510203</v>
      </c>
      <c r="J1348" s="27">
        <v>18.720792079207921</v>
      </c>
      <c r="K1348" s="29">
        <v>4.8963764300958473E-2</v>
      </c>
    </row>
    <row r="1349" spans="1:11" x14ac:dyDescent="0.25">
      <c r="A1349" s="5" t="s">
        <v>6</v>
      </c>
      <c r="B1349" s="5" t="s">
        <v>6510</v>
      </c>
      <c r="C1349" s="1" t="s">
        <v>6511</v>
      </c>
      <c r="D1349" s="5" t="s">
        <v>17755</v>
      </c>
      <c r="E1349" s="32">
        <v>361</v>
      </c>
      <c r="F1349" s="27">
        <v>6446</v>
      </c>
      <c r="G1349" s="32">
        <v>326</v>
      </c>
      <c r="H1349" s="27">
        <v>6053</v>
      </c>
      <c r="I1349" s="27">
        <v>17.855955678670359</v>
      </c>
      <c r="J1349" s="27">
        <v>18.567484662576685</v>
      </c>
      <c r="K1349" s="29">
        <v>3.9848272291372E-2</v>
      </c>
    </row>
    <row r="1350" spans="1:11" x14ac:dyDescent="0.25">
      <c r="A1350" s="5" t="s">
        <v>6</v>
      </c>
      <c r="B1350" s="5" t="s">
        <v>6513</v>
      </c>
      <c r="C1350" s="1" t="s">
        <v>6514</v>
      </c>
      <c r="D1350" s="5" t="s">
        <v>17755</v>
      </c>
      <c r="E1350" s="32">
        <v>110</v>
      </c>
      <c r="F1350" s="27">
        <v>2482</v>
      </c>
      <c r="G1350" s="32">
        <v>317</v>
      </c>
      <c r="H1350" s="27">
        <v>7867</v>
      </c>
      <c r="I1350" s="27">
        <v>22.563636363636363</v>
      </c>
      <c r="J1350" s="27">
        <v>24.817034700315457</v>
      </c>
      <c r="K1350" s="29">
        <v>9.9868580594158082E-2</v>
      </c>
    </row>
    <row r="1351" spans="1:11" x14ac:dyDescent="0.25">
      <c r="A1351" s="5" t="s">
        <v>6</v>
      </c>
      <c r="B1351" s="5" t="s">
        <v>6546</v>
      </c>
      <c r="C1351" s="1" t="s">
        <v>6547</v>
      </c>
      <c r="D1351" s="5" t="s">
        <v>17755</v>
      </c>
      <c r="E1351" s="32">
        <v>73</v>
      </c>
      <c r="F1351" s="27">
        <v>1300</v>
      </c>
      <c r="G1351" s="32">
        <v>158</v>
      </c>
      <c r="H1351" s="27">
        <v>3002</v>
      </c>
      <c r="I1351" s="27">
        <v>17.80821917808219</v>
      </c>
      <c r="J1351" s="27">
        <v>19</v>
      </c>
      <c r="K1351" s="29">
        <v>6.6923076923077016E-2</v>
      </c>
    </row>
    <row r="1352" spans="1:11" x14ac:dyDescent="0.25">
      <c r="A1352" s="5" t="s">
        <v>6</v>
      </c>
      <c r="B1352" s="5" t="s">
        <v>6549</v>
      </c>
      <c r="C1352" s="1" t="s">
        <v>6550</v>
      </c>
      <c r="D1352" s="5" t="s">
        <v>17755</v>
      </c>
      <c r="E1352" s="32">
        <v>373</v>
      </c>
      <c r="F1352" s="27">
        <v>7649</v>
      </c>
      <c r="G1352" s="32">
        <v>735</v>
      </c>
      <c r="H1352" s="27">
        <v>16737</v>
      </c>
      <c r="I1352" s="27">
        <v>20.506702412868634</v>
      </c>
      <c r="J1352" s="27">
        <v>22.771428571428572</v>
      </c>
      <c r="K1352" s="29">
        <v>0.11043833927871052</v>
      </c>
    </row>
    <row r="1353" spans="1:11" x14ac:dyDescent="0.25">
      <c r="A1353" s="5" t="s">
        <v>6</v>
      </c>
      <c r="B1353" s="5" t="s">
        <v>6552</v>
      </c>
      <c r="C1353" s="1" t="s">
        <v>6553</v>
      </c>
      <c r="D1353" s="5" t="s">
        <v>17755</v>
      </c>
      <c r="E1353" s="32">
        <v>679</v>
      </c>
      <c r="F1353" s="27">
        <v>17268</v>
      </c>
      <c r="G1353" s="32">
        <v>1092</v>
      </c>
      <c r="H1353" s="27">
        <v>30324</v>
      </c>
      <c r="I1353" s="27">
        <v>25.431516936671574</v>
      </c>
      <c r="J1353" s="27">
        <v>27.76923076923077</v>
      </c>
      <c r="K1353" s="29">
        <v>9.1921918711355924E-2</v>
      </c>
    </row>
    <row r="1354" spans="1:11" x14ac:dyDescent="0.25">
      <c r="A1354" s="5" t="s">
        <v>6</v>
      </c>
      <c r="B1354" s="5" t="s">
        <v>6555</v>
      </c>
      <c r="C1354" s="1" t="s">
        <v>6556</v>
      </c>
      <c r="D1354" s="5" t="s">
        <v>17755</v>
      </c>
      <c r="E1354" s="32">
        <v>261</v>
      </c>
      <c r="F1354" s="27">
        <v>6885</v>
      </c>
      <c r="G1354" s="32">
        <v>408</v>
      </c>
      <c r="H1354" s="27">
        <v>11536</v>
      </c>
      <c r="I1354" s="27">
        <v>26.379310344827587</v>
      </c>
      <c r="J1354" s="27">
        <v>28.274509803921568</v>
      </c>
      <c r="K1354" s="29">
        <v>7.1844162501601874E-2</v>
      </c>
    </row>
    <row r="1355" spans="1:11" x14ac:dyDescent="0.25">
      <c r="A1355" s="5" t="s">
        <v>6</v>
      </c>
      <c r="B1355" s="5" t="s">
        <v>6558</v>
      </c>
      <c r="C1355" s="1" t="s">
        <v>6559</v>
      </c>
      <c r="D1355" s="5" t="s">
        <v>17755</v>
      </c>
      <c r="E1355" s="32">
        <v>45</v>
      </c>
      <c r="F1355" s="27">
        <v>1035</v>
      </c>
      <c r="G1355" s="32">
        <v>182</v>
      </c>
      <c r="H1355" s="27">
        <v>4468</v>
      </c>
      <c r="I1355" s="27">
        <v>23</v>
      </c>
      <c r="J1355" s="27">
        <v>24.549450549450551</v>
      </c>
      <c r="K1355" s="29">
        <v>6.7367415193502214E-2</v>
      </c>
    </row>
    <row r="1356" spans="1:11" x14ac:dyDescent="0.25">
      <c r="A1356" s="5" t="s">
        <v>6</v>
      </c>
      <c r="B1356" s="5" t="s">
        <v>6561</v>
      </c>
      <c r="C1356" s="1" t="s">
        <v>6562</v>
      </c>
      <c r="D1356" s="5" t="s">
        <v>17756</v>
      </c>
      <c r="E1356" s="32">
        <v>1</v>
      </c>
      <c r="F1356" s="27">
        <v>18</v>
      </c>
      <c r="I1356" s="27">
        <v>18</v>
      </c>
    </row>
    <row r="1357" spans="1:11" x14ac:dyDescent="0.25">
      <c r="A1357" s="5" t="s">
        <v>6</v>
      </c>
      <c r="B1357" s="5" t="s">
        <v>6564</v>
      </c>
      <c r="C1357" s="1" t="s">
        <v>6565</v>
      </c>
      <c r="D1357" s="5" t="s">
        <v>17756</v>
      </c>
      <c r="E1357" s="32">
        <v>11367</v>
      </c>
      <c r="F1357" s="27">
        <v>414828</v>
      </c>
      <c r="G1357" s="32">
        <v>9790</v>
      </c>
      <c r="H1357" s="27">
        <v>382009</v>
      </c>
      <c r="I1357" s="27">
        <v>36.494061757719713</v>
      </c>
      <c r="J1357" s="27">
        <v>39.020326864147087</v>
      </c>
      <c r="K1357" s="29">
        <v>6.9224004803822209E-2</v>
      </c>
    </row>
    <row r="1358" spans="1:11" x14ac:dyDescent="0.25">
      <c r="A1358" s="5" t="s">
        <v>6</v>
      </c>
      <c r="B1358" s="5" t="s">
        <v>6567</v>
      </c>
      <c r="C1358" s="1" t="s">
        <v>6568</v>
      </c>
      <c r="D1358" s="5" t="s">
        <v>17756</v>
      </c>
      <c r="E1358" s="32">
        <v>2684</v>
      </c>
      <c r="F1358" s="27">
        <v>47894</v>
      </c>
      <c r="G1358" s="32">
        <v>2350</v>
      </c>
      <c r="H1358" s="27">
        <v>43962</v>
      </c>
      <c r="I1358" s="27">
        <v>17.844262295081968</v>
      </c>
      <c r="J1358" s="27">
        <v>18.707234042553193</v>
      </c>
      <c r="K1358" s="29">
        <v>4.8361301420068614E-2</v>
      </c>
    </row>
    <row r="1359" spans="1:11" x14ac:dyDescent="0.25">
      <c r="A1359" s="5" t="s">
        <v>6</v>
      </c>
      <c r="B1359" s="5" t="s">
        <v>6576</v>
      </c>
      <c r="C1359" s="1" t="s">
        <v>6577</v>
      </c>
      <c r="D1359" s="5" t="s">
        <v>17755</v>
      </c>
      <c r="E1359" s="32">
        <v>483</v>
      </c>
      <c r="F1359" s="27">
        <v>26229</v>
      </c>
      <c r="G1359" s="32">
        <v>497</v>
      </c>
      <c r="H1359" s="27">
        <v>28583</v>
      </c>
      <c r="I1359" s="27">
        <v>54.304347826086953</v>
      </c>
      <c r="J1359" s="27">
        <v>57.511066398390341</v>
      </c>
      <c r="K1359" s="29">
        <v>5.9050862420318588E-2</v>
      </c>
    </row>
    <row r="1360" spans="1:11" x14ac:dyDescent="0.25">
      <c r="A1360" s="5" t="s">
        <v>6</v>
      </c>
      <c r="B1360" s="5" t="s">
        <v>6579</v>
      </c>
      <c r="C1360" s="1" t="s">
        <v>6580</v>
      </c>
      <c r="D1360" s="5" t="s">
        <v>17755</v>
      </c>
      <c r="E1360" s="32">
        <v>619</v>
      </c>
      <c r="F1360" s="27">
        <v>3095</v>
      </c>
      <c r="G1360" s="32">
        <v>397</v>
      </c>
      <c r="H1360" s="27">
        <v>1985</v>
      </c>
      <c r="I1360" s="27">
        <v>5</v>
      </c>
      <c r="J1360" s="27">
        <v>5</v>
      </c>
      <c r="K1360" s="29">
        <v>0</v>
      </c>
    </row>
    <row r="1361" spans="1:11" x14ac:dyDescent="0.25">
      <c r="A1361" s="5" t="s">
        <v>6</v>
      </c>
      <c r="B1361" s="5" t="s">
        <v>6582</v>
      </c>
      <c r="C1361" s="1" t="s">
        <v>6583</v>
      </c>
      <c r="D1361" s="5" t="s">
        <v>17755</v>
      </c>
      <c r="E1361" s="32">
        <v>3</v>
      </c>
      <c r="F1361" s="27">
        <v>738</v>
      </c>
      <c r="G1361" s="32">
        <v>3</v>
      </c>
      <c r="H1361" s="27">
        <v>843</v>
      </c>
      <c r="I1361" s="27">
        <v>246</v>
      </c>
      <c r="J1361" s="27">
        <v>281</v>
      </c>
      <c r="K1361" s="29">
        <v>0.14227642276422764</v>
      </c>
    </row>
    <row r="1362" spans="1:11" x14ac:dyDescent="0.25">
      <c r="A1362" s="5" t="s">
        <v>6</v>
      </c>
      <c r="B1362" s="5" t="s">
        <v>6585</v>
      </c>
      <c r="C1362" s="1" t="s">
        <v>6586</v>
      </c>
      <c r="D1362" s="5" t="s">
        <v>17755</v>
      </c>
      <c r="G1362" s="32">
        <v>30</v>
      </c>
      <c r="H1362" s="27">
        <v>1542.3</v>
      </c>
      <c r="J1362" s="27">
        <v>51.41</v>
      </c>
    </row>
    <row r="1363" spans="1:11" x14ac:dyDescent="0.25">
      <c r="A1363" s="5" t="s">
        <v>6</v>
      </c>
      <c r="B1363" s="5" t="s">
        <v>6588</v>
      </c>
      <c r="C1363" s="1" t="s">
        <v>6589</v>
      </c>
      <c r="D1363" s="5" t="s">
        <v>17755</v>
      </c>
      <c r="E1363" s="32">
        <v>44</v>
      </c>
      <c r="F1363" s="27">
        <v>5360</v>
      </c>
      <c r="G1363" s="32">
        <v>76</v>
      </c>
      <c r="H1363" s="27">
        <v>10640</v>
      </c>
      <c r="I1363" s="27">
        <v>121.81818181818181</v>
      </c>
      <c r="J1363" s="27">
        <v>140</v>
      </c>
      <c r="K1363" s="29">
        <v>0.14925373134328362</v>
      </c>
    </row>
    <row r="1364" spans="1:11" x14ac:dyDescent="0.25">
      <c r="A1364" s="5" t="s">
        <v>6</v>
      </c>
      <c r="B1364" s="5" t="s">
        <v>6597</v>
      </c>
      <c r="C1364" s="1" t="s">
        <v>6598</v>
      </c>
      <c r="D1364" s="5" t="s">
        <v>17755</v>
      </c>
      <c r="E1364" s="32">
        <v>214</v>
      </c>
      <c r="F1364" s="27">
        <v>6564</v>
      </c>
      <c r="G1364" s="32">
        <v>77</v>
      </c>
      <c r="H1364" s="27">
        <v>2475</v>
      </c>
      <c r="I1364" s="27">
        <v>30.672897196261683</v>
      </c>
      <c r="J1364" s="27">
        <v>32.142857142857146</v>
      </c>
      <c r="K1364" s="29">
        <v>4.7923739879864258E-2</v>
      </c>
    </row>
    <row r="1365" spans="1:11" x14ac:dyDescent="0.25">
      <c r="A1365" s="5" t="s">
        <v>6</v>
      </c>
      <c r="B1365" s="5" t="s">
        <v>6600</v>
      </c>
      <c r="C1365" s="1" t="s">
        <v>6601</v>
      </c>
      <c r="D1365" s="5" t="s">
        <v>17755</v>
      </c>
      <c r="E1365" s="32">
        <v>97</v>
      </c>
      <c r="F1365" s="27">
        <v>2961</v>
      </c>
      <c r="G1365" s="32">
        <v>213</v>
      </c>
      <c r="H1365" s="27">
        <v>6973</v>
      </c>
      <c r="I1365" s="27">
        <v>30.52577319587629</v>
      </c>
      <c r="J1365" s="27">
        <v>32.737089201877936</v>
      </c>
      <c r="K1365" s="29">
        <v>7.2440949875771557E-2</v>
      </c>
    </row>
    <row r="1366" spans="1:11" x14ac:dyDescent="0.25">
      <c r="A1366" s="5" t="s">
        <v>6</v>
      </c>
      <c r="B1366" s="5" t="s">
        <v>6603</v>
      </c>
      <c r="C1366" s="1" t="s">
        <v>6604</v>
      </c>
      <c r="D1366" s="5" t="s">
        <v>17755</v>
      </c>
      <c r="E1366" s="32">
        <v>88</v>
      </c>
      <c r="F1366" s="27">
        <v>2688</v>
      </c>
      <c r="G1366" s="32">
        <v>160</v>
      </c>
      <c r="H1366" s="27">
        <v>5248</v>
      </c>
      <c r="I1366" s="27">
        <v>30.545454545454547</v>
      </c>
      <c r="J1366" s="27">
        <v>32.799999999999997</v>
      </c>
      <c r="K1366" s="29">
        <v>7.3809523809523672E-2</v>
      </c>
    </row>
    <row r="1367" spans="1:11" x14ac:dyDescent="0.25">
      <c r="A1367" s="5" t="s">
        <v>6</v>
      </c>
      <c r="B1367" s="5" t="s">
        <v>6609</v>
      </c>
      <c r="C1367" s="1" t="s">
        <v>6610</v>
      </c>
      <c r="D1367" s="5" t="s">
        <v>17755</v>
      </c>
      <c r="E1367" s="32">
        <v>16</v>
      </c>
      <c r="F1367" s="27">
        <v>368</v>
      </c>
      <c r="G1367" s="32">
        <v>18</v>
      </c>
      <c r="H1367" s="27">
        <v>438</v>
      </c>
      <c r="I1367" s="27">
        <v>23</v>
      </c>
      <c r="J1367" s="27">
        <v>24.333333333333332</v>
      </c>
      <c r="K1367" s="29">
        <v>5.7971014492753568E-2</v>
      </c>
    </row>
    <row r="1368" spans="1:11" x14ac:dyDescent="0.25">
      <c r="A1368" s="5" t="s">
        <v>6</v>
      </c>
      <c r="B1368" s="5" t="s">
        <v>6611</v>
      </c>
      <c r="C1368" s="1" t="s">
        <v>6612</v>
      </c>
      <c r="D1368" s="5" t="s">
        <v>17755</v>
      </c>
      <c r="E1368" s="32">
        <v>97</v>
      </c>
      <c r="F1368" s="27">
        <v>2539</v>
      </c>
      <c r="I1368" s="27">
        <v>26.175257731958762</v>
      </c>
    </row>
    <row r="1369" spans="1:11" x14ac:dyDescent="0.25">
      <c r="A1369" s="5" t="s">
        <v>6</v>
      </c>
      <c r="B1369" s="5" t="s">
        <v>6613</v>
      </c>
      <c r="C1369" s="1" t="s">
        <v>6614</v>
      </c>
      <c r="D1369" s="5" t="s">
        <v>17755</v>
      </c>
      <c r="E1369" s="32">
        <v>1</v>
      </c>
      <c r="F1369" s="27">
        <v>35</v>
      </c>
      <c r="I1369" s="27">
        <v>35</v>
      </c>
    </row>
    <row r="1370" spans="1:11" x14ac:dyDescent="0.25">
      <c r="A1370" s="5" t="s">
        <v>6</v>
      </c>
      <c r="B1370" s="5" t="s">
        <v>6626</v>
      </c>
      <c r="C1370" s="1" t="s">
        <v>6627</v>
      </c>
      <c r="D1370" s="5" t="s">
        <v>17755</v>
      </c>
      <c r="E1370" s="32">
        <v>2</v>
      </c>
      <c r="F1370" s="27">
        <v>86</v>
      </c>
      <c r="I1370" s="27">
        <v>43</v>
      </c>
    </row>
    <row r="1371" spans="1:11" x14ac:dyDescent="0.25">
      <c r="A1371" s="5" t="s">
        <v>6</v>
      </c>
      <c r="B1371" s="5" t="s">
        <v>6629</v>
      </c>
      <c r="C1371" s="1" t="s">
        <v>6630</v>
      </c>
      <c r="D1371" s="5" t="s">
        <v>17755</v>
      </c>
      <c r="E1371" s="32">
        <v>2025</v>
      </c>
      <c r="F1371" s="27">
        <v>82038</v>
      </c>
      <c r="G1371" s="32">
        <v>2179</v>
      </c>
      <c r="H1371" s="27">
        <v>93593</v>
      </c>
      <c r="I1371" s="27">
        <v>40.51259259259259</v>
      </c>
      <c r="J1371" s="27">
        <v>42.952271684258832</v>
      </c>
      <c r="K1371" s="29">
        <v>6.0220265738123085E-2</v>
      </c>
    </row>
    <row r="1372" spans="1:11" x14ac:dyDescent="0.25">
      <c r="A1372" s="5" t="s">
        <v>6</v>
      </c>
      <c r="B1372" s="5" t="s">
        <v>6638</v>
      </c>
      <c r="C1372" s="1" t="s">
        <v>6639</v>
      </c>
      <c r="D1372" s="5" t="s">
        <v>17755</v>
      </c>
      <c r="E1372" s="32">
        <v>64</v>
      </c>
      <c r="F1372" s="27">
        <v>1404</v>
      </c>
      <c r="I1372" s="27">
        <v>21.9375</v>
      </c>
    </row>
    <row r="1373" spans="1:11" x14ac:dyDescent="0.25">
      <c r="A1373" s="5" t="s">
        <v>6</v>
      </c>
      <c r="B1373" s="5" t="s">
        <v>6641</v>
      </c>
      <c r="C1373" s="1" t="s">
        <v>6642</v>
      </c>
      <c r="D1373" s="5" t="s">
        <v>17755</v>
      </c>
      <c r="E1373" s="32">
        <v>259</v>
      </c>
      <c r="F1373" s="27">
        <v>6827</v>
      </c>
      <c r="G1373" s="32">
        <v>496</v>
      </c>
      <c r="H1373" s="27">
        <v>14054</v>
      </c>
      <c r="I1373" s="27">
        <v>26.35907335907336</v>
      </c>
      <c r="J1373" s="27">
        <v>28.33467741935484</v>
      </c>
      <c r="K1373" s="29">
        <v>7.4949677986363455E-2</v>
      </c>
    </row>
    <row r="1374" spans="1:11" x14ac:dyDescent="0.25">
      <c r="A1374" s="5" t="s">
        <v>6</v>
      </c>
      <c r="B1374" s="5" t="s">
        <v>6644</v>
      </c>
      <c r="C1374" s="1" t="s">
        <v>6645</v>
      </c>
      <c r="D1374" s="5" t="s">
        <v>17755</v>
      </c>
      <c r="E1374" s="32">
        <v>1467</v>
      </c>
      <c r="F1374" s="27">
        <v>38903</v>
      </c>
      <c r="G1374" s="32">
        <v>2526</v>
      </c>
      <c r="H1374" s="27">
        <v>72446</v>
      </c>
      <c r="I1374" s="27">
        <v>26.518745739604636</v>
      </c>
      <c r="J1374" s="27">
        <v>28.680126682501978</v>
      </c>
      <c r="K1374" s="29">
        <v>8.150389027145466E-2</v>
      </c>
    </row>
    <row r="1375" spans="1:11" x14ac:dyDescent="0.25">
      <c r="A1375" s="5" t="s">
        <v>6</v>
      </c>
      <c r="B1375" s="5" t="s">
        <v>6650</v>
      </c>
      <c r="C1375" s="1" t="s">
        <v>6651</v>
      </c>
      <c r="D1375" s="5" t="s">
        <v>17755</v>
      </c>
      <c r="E1375" s="32">
        <v>4</v>
      </c>
      <c r="F1375" s="27">
        <v>3120</v>
      </c>
      <c r="I1375" s="27">
        <v>780</v>
      </c>
    </row>
    <row r="1376" spans="1:11" x14ac:dyDescent="0.25">
      <c r="A1376" s="5" t="s">
        <v>6</v>
      </c>
      <c r="B1376" s="5" t="s">
        <v>6656</v>
      </c>
      <c r="C1376" s="1" t="s">
        <v>6657</v>
      </c>
      <c r="D1376" s="5" t="s">
        <v>17755</v>
      </c>
      <c r="E1376" s="32">
        <v>819</v>
      </c>
      <c r="F1376" s="27">
        <v>19574</v>
      </c>
      <c r="G1376" s="32">
        <v>956</v>
      </c>
      <c r="H1376" s="27">
        <v>24270</v>
      </c>
      <c r="I1376" s="27">
        <v>23.8998778998779</v>
      </c>
      <c r="J1376" s="27">
        <v>25.38702928870293</v>
      </c>
      <c r="K1376" s="29">
        <v>6.2224225372826167E-2</v>
      </c>
    </row>
    <row r="1377" spans="1:11" x14ac:dyDescent="0.25">
      <c r="A1377" s="5" t="s">
        <v>6</v>
      </c>
      <c r="B1377" s="5" t="s">
        <v>6662</v>
      </c>
      <c r="C1377" s="1" t="s">
        <v>6663</v>
      </c>
      <c r="D1377" s="5" t="s">
        <v>17755</v>
      </c>
      <c r="E1377" s="32">
        <v>9</v>
      </c>
      <c r="F1377" s="27">
        <v>279</v>
      </c>
      <c r="G1377" s="32">
        <v>3</v>
      </c>
      <c r="H1377" s="27">
        <v>99</v>
      </c>
      <c r="I1377" s="27">
        <v>31</v>
      </c>
      <c r="J1377" s="27">
        <v>33</v>
      </c>
      <c r="K1377" s="29">
        <v>6.4516129032258063E-2</v>
      </c>
    </row>
    <row r="1378" spans="1:11" x14ac:dyDescent="0.25">
      <c r="A1378" s="5" t="s">
        <v>6</v>
      </c>
      <c r="B1378" s="5" t="s">
        <v>6665</v>
      </c>
      <c r="C1378" s="1" t="s">
        <v>6666</v>
      </c>
      <c r="D1378" s="5" t="s">
        <v>17755</v>
      </c>
      <c r="E1378" s="32">
        <v>26</v>
      </c>
      <c r="F1378" s="27">
        <v>950</v>
      </c>
      <c r="I1378" s="27">
        <v>36.53846153846154</v>
      </c>
    </row>
    <row r="1379" spans="1:11" x14ac:dyDescent="0.25">
      <c r="A1379" s="5" t="s">
        <v>6</v>
      </c>
      <c r="B1379" s="5" t="s">
        <v>6668</v>
      </c>
      <c r="C1379" s="1" t="s">
        <v>6669</v>
      </c>
      <c r="D1379" s="5" t="s">
        <v>17755</v>
      </c>
      <c r="E1379" s="32">
        <v>33</v>
      </c>
      <c r="F1379" s="27">
        <v>1209</v>
      </c>
      <c r="G1379" s="32">
        <v>98</v>
      </c>
      <c r="H1379" s="27">
        <v>3863</v>
      </c>
      <c r="I1379" s="27">
        <v>36.636363636363633</v>
      </c>
      <c r="J1379" s="27">
        <v>39.418367346938773</v>
      </c>
      <c r="K1379" s="29">
        <v>7.5935585152175036E-2</v>
      </c>
    </row>
    <row r="1380" spans="1:11" x14ac:dyDescent="0.25">
      <c r="A1380" s="5" t="s">
        <v>6</v>
      </c>
      <c r="B1380" s="5" t="s">
        <v>6671</v>
      </c>
      <c r="C1380" s="1" t="s">
        <v>6672</v>
      </c>
      <c r="D1380" s="5" t="s">
        <v>17755</v>
      </c>
      <c r="E1380" s="32">
        <v>6</v>
      </c>
      <c r="F1380" s="27">
        <v>186</v>
      </c>
      <c r="I1380" s="27">
        <v>31</v>
      </c>
    </row>
    <row r="1381" spans="1:11" x14ac:dyDescent="0.25">
      <c r="A1381" s="5" t="s">
        <v>6</v>
      </c>
      <c r="B1381" s="5" t="s">
        <v>6674</v>
      </c>
      <c r="C1381" s="1" t="s">
        <v>6675</v>
      </c>
      <c r="D1381" s="5" t="s">
        <v>17755</v>
      </c>
      <c r="E1381" s="32">
        <v>43</v>
      </c>
      <c r="F1381" s="27">
        <v>7782</v>
      </c>
      <c r="G1381" s="32">
        <v>146</v>
      </c>
      <c r="H1381" s="27">
        <v>29679</v>
      </c>
      <c r="I1381" s="27">
        <v>180.97674418604652</v>
      </c>
      <c r="J1381" s="27">
        <v>203.28082191780823</v>
      </c>
      <c r="K1381" s="29">
        <v>0.12324278366303694</v>
      </c>
    </row>
    <row r="1382" spans="1:11" x14ac:dyDescent="0.25">
      <c r="A1382" s="5" t="s">
        <v>6</v>
      </c>
      <c r="B1382" s="5" t="s">
        <v>6677</v>
      </c>
      <c r="C1382" s="1" t="s">
        <v>6678</v>
      </c>
      <c r="D1382" s="5" t="s">
        <v>17755</v>
      </c>
      <c r="E1382" s="32">
        <v>180</v>
      </c>
      <c r="F1382" s="27">
        <v>4654</v>
      </c>
      <c r="G1382" s="32">
        <v>74</v>
      </c>
      <c r="H1382" s="27">
        <v>2060</v>
      </c>
      <c r="I1382" s="27">
        <v>25.855555555555554</v>
      </c>
      <c r="J1382" s="27">
        <v>27.837837837837839</v>
      </c>
      <c r="K1382" s="29">
        <v>7.6667557114484572E-2</v>
      </c>
    </row>
    <row r="1383" spans="1:11" x14ac:dyDescent="0.25">
      <c r="A1383" s="5" t="s">
        <v>6</v>
      </c>
      <c r="B1383" s="5" t="s">
        <v>6680</v>
      </c>
      <c r="C1383" s="1" t="s">
        <v>6681</v>
      </c>
      <c r="D1383" s="5" t="s">
        <v>17755</v>
      </c>
      <c r="E1383" s="32">
        <v>6</v>
      </c>
      <c r="F1383" s="27">
        <v>166</v>
      </c>
      <c r="G1383" s="32">
        <v>30</v>
      </c>
      <c r="H1383" s="27">
        <v>890</v>
      </c>
      <c r="I1383" s="27">
        <v>27.666666666666668</v>
      </c>
      <c r="J1383" s="27">
        <v>29.666666666666668</v>
      </c>
      <c r="K1383" s="29">
        <v>7.2289156626506021E-2</v>
      </c>
    </row>
    <row r="1384" spans="1:11" x14ac:dyDescent="0.25">
      <c r="A1384" s="5" t="s">
        <v>6</v>
      </c>
      <c r="B1384" s="5" t="s">
        <v>6683</v>
      </c>
      <c r="C1384" s="1" t="s">
        <v>6684</v>
      </c>
      <c r="D1384" s="5" t="s">
        <v>17755</v>
      </c>
      <c r="E1384" s="32">
        <v>131</v>
      </c>
      <c r="F1384" s="27">
        <v>2335</v>
      </c>
      <c r="G1384" s="32">
        <v>133</v>
      </c>
      <c r="H1384" s="27">
        <v>2482</v>
      </c>
      <c r="I1384" s="27">
        <v>17.824427480916029</v>
      </c>
      <c r="J1384" s="27">
        <v>18.661654135338345</v>
      </c>
      <c r="K1384" s="29">
        <v>4.697074592262248E-2</v>
      </c>
    </row>
    <row r="1385" spans="1:11" x14ac:dyDescent="0.25">
      <c r="A1385" s="5" t="s">
        <v>6</v>
      </c>
      <c r="B1385" s="5" t="s">
        <v>6686</v>
      </c>
      <c r="C1385" s="1" t="s">
        <v>6687</v>
      </c>
      <c r="D1385" s="5" t="s">
        <v>17755</v>
      </c>
      <c r="G1385" s="32">
        <v>214</v>
      </c>
      <c r="H1385" s="27">
        <v>11656.58</v>
      </c>
      <c r="J1385" s="27">
        <v>54.47</v>
      </c>
    </row>
    <row r="1386" spans="1:11" x14ac:dyDescent="0.25">
      <c r="A1386" s="5" t="s">
        <v>6</v>
      </c>
      <c r="B1386" s="5" t="s">
        <v>6689</v>
      </c>
      <c r="C1386" s="1" t="s">
        <v>6690</v>
      </c>
      <c r="D1386" s="5" t="s">
        <v>17755</v>
      </c>
      <c r="E1386" s="32">
        <v>634</v>
      </c>
      <c r="F1386" s="27">
        <v>36325.19</v>
      </c>
      <c r="G1386" s="32">
        <v>753</v>
      </c>
      <c r="H1386" s="27">
        <v>46099</v>
      </c>
      <c r="I1386" s="27">
        <v>57.295252365930601</v>
      </c>
      <c r="J1386" s="27">
        <v>61.220451527224434</v>
      </c>
      <c r="K1386" s="29">
        <v>6.850827946833285E-2</v>
      </c>
    </row>
    <row r="1387" spans="1:11" x14ac:dyDescent="0.25">
      <c r="A1387" s="5" t="s">
        <v>6</v>
      </c>
      <c r="B1387" s="5" t="s">
        <v>6704</v>
      </c>
      <c r="C1387" s="1" t="s">
        <v>6705</v>
      </c>
      <c r="D1387" s="5" t="s">
        <v>17755</v>
      </c>
      <c r="E1387" s="32">
        <v>133</v>
      </c>
      <c r="F1387" s="27">
        <v>3724</v>
      </c>
      <c r="G1387" s="32">
        <v>114</v>
      </c>
      <c r="H1387" s="27">
        <v>3382</v>
      </c>
      <c r="I1387" s="27">
        <v>28</v>
      </c>
      <c r="J1387" s="27">
        <v>29.666666666666668</v>
      </c>
      <c r="K1387" s="29">
        <v>5.9523809523809569E-2</v>
      </c>
    </row>
    <row r="1388" spans="1:11" x14ac:dyDescent="0.25">
      <c r="A1388" s="5" t="s">
        <v>6</v>
      </c>
      <c r="B1388" s="5" t="s">
        <v>6710</v>
      </c>
      <c r="C1388" s="1" t="s">
        <v>6711</v>
      </c>
      <c r="D1388" s="5" t="s">
        <v>17755</v>
      </c>
      <c r="E1388" s="32">
        <v>37</v>
      </c>
      <c r="F1388" s="27">
        <v>999</v>
      </c>
      <c r="G1388" s="32">
        <v>53</v>
      </c>
      <c r="H1388" s="27">
        <v>1529</v>
      </c>
      <c r="I1388" s="27">
        <v>27</v>
      </c>
      <c r="J1388" s="27">
        <v>28.849056603773583</v>
      </c>
      <c r="K1388" s="29">
        <v>6.8483577917540117E-2</v>
      </c>
    </row>
    <row r="1389" spans="1:11" x14ac:dyDescent="0.25">
      <c r="A1389" s="5" t="s">
        <v>6</v>
      </c>
      <c r="B1389" s="5" t="s">
        <v>6719</v>
      </c>
      <c r="C1389" s="1" t="s">
        <v>6720</v>
      </c>
      <c r="D1389" s="5" t="s">
        <v>17755</v>
      </c>
      <c r="E1389" s="32">
        <v>4102</v>
      </c>
      <c r="F1389" s="27">
        <v>105650.33</v>
      </c>
      <c r="G1389" s="32">
        <v>3005</v>
      </c>
      <c r="H1389" s="27">
        <v>81406</v>
      </c>
      <c r="I1389" s="27">
        <v>25.755809361287177</v>
      </c>
      <c r="J1389" s="27">
        <v>27.090183028286191</v>
      </c>
      <c r="K1389" s="29">
        <v>5.180864822693837E-2</v>
      </c>
    </row>
    <row r="1390" spans="1:11" x14ac:dyDescent="0.25">
      <c r="A1390" s="5" t="s">
        <v>6</v>
      </c>
      <c r="B1390" s="5" t="s">
        <v>6722</v>
      </c>
      <c r="C1390" s="1" t="s">
        <v>6723</v>
      </c>
      <c r="D1390" s="5" t="s">
        <v>17755</v>
      </c>
      <c r="E1390" s="32">
        <v>257</v>
      </c>
      <c r="F1390" s="27">
        <v>1285</v>
      </c>
      <c r="G1390" s="32">
        <v>208</v>
      </c>
      <c r="H1390" s="27">
        <v>1040</v>
      </c>
      <c r="I1390" s="27">
        <v>5</v>
      </c>
      <c r="J1390" s="27">
        <v>5</v>
      </c>
      <c r="K1390" s="29">
        <v>0</v>
      </c>
    </row>
    <row r="1391" spans="1:11" x14ac:dyDescent="0.25">
      <c r="A1391" s="5" t="s">
        <v>6</v>
      </c>
      <c r="B1391" s="5" t="s">
        <v>6725</v>
      </c>
      <c r="C1391" s="1" t="s">
        <v>6726</v>
      </c>
      <c r="D1391" s="5" t="s">
        <v>17755</v>
      </c>
      <c r="E1391" s="32">
        <v>1174</v>
      </c>
      <c r="F1391" s="27">
        <v>29882</v>
      </c>
      <c r="G1391" s="32">
        <v>1022</v>
      </c>
      <c r="H1391" s="27">
        <v>27828</v>
      </c>
      <c r="I1391" s="27">
        <v>25.453151618398635</v>
      </c>
      <c r="J1391" s="27">
        <v>27.228962818003914</v>
      </c>
      <c r="K1391" s="29">
        <v>6.9767831749434364E-2</v>
      </c>
    </row>
    <row r="1392" spans="1:11" x14ac:dyDescent="0.25">
      <c r="A1392" s="5" t="s">
        <v>6</v>
      </c>
      <c r="B1392" s="5" t="s">
        <v>6731</v>
      </c>
      <c r="C1392" s="1" t="s">
        <v>6732</v>
      </c>
      <c r="D1392" s="5" t="s">
        <v>17755</v>
      </c>
      <c r="E1392" s="32">
        <v>6</v>
      </c>
      <c r="F1392" s="27">
        <v>108</v>
      </c>
      <c r="I1392" s="27">
        <v>18</v>
      </c>
    </row>
    <row r="1393" spans="1:11" x14ac:dyDescent="0.25">
      <c r="A1393" s="5" t="s">
        <v>6</v>
      </c>
      <c r="B1393" s="5" t="s">
        <v>6737</v>
      </c>
      <c r="C1393" s="1" t="s">
        <v>6738</v>
      </c>
      <c r="D1393" s="5" t="s">
        <v>17755</v>
      </c>
      <c r="E1393" s="32">
        <v>4</v>
      </c>
      <c r="F1393" s="27">
        <v>60</v>
      </c>
      <c r="I1393" s="27">
        <v>15</v>
      </c>
    </row>
    <row r="1394" spans="1:11" x14ac:dyDescent="0.25">
      <c r="A1394" s="5" t="s">
        <v>6</v>
      </c>
      <c r="B1394" s="5" t="s">
        <v>6743</v>
      </c>
      <c r="C1394" s="1" t="s">
        <v>6744</v>
      </c>
      <c r="D1394" s="5" t="s">
        <v>17755</v>
      </c>
      <c r="E1394" s="32">
        <v>49</v>
      </c>
      <c r="F1394" s="27">
        <v>846</v>
      </c>
      <c r="I1394" s="27">
        <v>17.26530612244898</v>
      </c>
    </row>
    <row r="1395" spans="1:11" x14ac:dyDescent="0.25">
      <c r="A1395" s="5" t="s">
        <v>6</v>
      </c>
      <c r="B1395" s="5" t="s">
        <v>6749</v>
      </c>
      <c r="C1395" s="1" t="s">
        <v>6750</v>
      </c>
      <c r="D1395" s="5" t="s">
        <v>17755</v>
      </c>
      <c r="E1395" s="32">
        <v>16</v>
      </c>
      <c r="F1395" s="27">
        <v>288</v>
      </c>
      <c r="G1395" s="32">
        <v>25</v>
      </c>
      <c r="H1395" s="27">
        <v>468</v>
      </c>
      <c r="I1395" s="27">
        <v>18</v>
      </c>
      <c r="J1395" s="27">
        <v>18.72</v>
      </c>
      <c r="K1395" s="29">
        <v>3.9999999999999938E-2</v>
      </c>
    </row>
    <row r="1396" spans="1:11" x14ac:dyDescent="0.25">
      <c r="A1396" s="5" t="s">
        <v>6</v>
      </c>
      <c r="B1396" s="5" t="s">
        <v>6752</v>
      </c>
      <c r="C1396" s="1" t="s">
        <v>6753</v>
      </c>
      <c r="D1396" s="5" t="s">
        <v>17755</v>
      </c>
      <c r="E1396" s="32">
        <v>183</v>
      </c>
      <c r="F1396" s="27">
        <v>4893</v>
      </c>
      <c r="G1396" s="32">
        <v>101</v>
      </c>
      <c r="H1396" s="27">
        <v>2911</v>
      </c>
      <c r="I1396" s="27">
        <v>26.737704918032787</v>
      </c>
      <c r="J1396" s="27">
        <v>28.821782178217823</v>
      </c>
      <c r="K1396" s="29">
        <v>7.7945256205571578E-2</v>
      </c>
    </row>
    <row r="1397" spans="1:11" x14ac:dyDescent="0.25">
      <c r="A1397" s="5" t="s">
        <v>6</v>
      </c>
      <c r="B1397" s="5" t="s">
        <v>6755</v>
      </c>
      <c r="C1397" s="1" t="s">
        <v>6756</v>
      </c>
      <c r="D1397" s="5" t="s">
        <v>17755</v>
      </c>
      <c r="E1397" s="32">
        <v>5</v>
      </c>
      <c r="F1397" s="27">
        <v>290</v>
      </c>
      <c r="I1397" s="27">
        <v>58</v>
      </c>
    </row>
    <row r="1398" spans="1:11" x14ac:dyDescent="0.25">
      <c r="A1398" s="5" t="s">
        <v>6</v>
      </c>
      <c r="B1398" s="5" t="s">
        <v>6758</v>
      </c>
      <c r="C1398" s="1" t="s">
        <v>6759</v>
      </c>
      <c r="D1398" s="5" t="s">
        <v>17755</v>
      </c>
      <c r="E1398" s="32">
        <v>34</v>
      </c>
      <c r="F1398" s="27">
        <v>756</v>
      </c>
      <c r="I1398" s="27">
        <v>22.235294117647058</v>
      </c>
    </row>
    <row r="1399" spans="1:11" x14ac:dyDescent="0.25">
      <c r="A1399" s="5" t="s">
        <v>6</v>
      </c>
      <c r="B1399" s="5" t="s">
        <v>6761</v>
      </c>
      <c r="C1399" s="1" t="s">
        <v>6762</v>
      </c>
      <c r="D1399" s="5" t="s">
        <v>17755</v>
      </c>
      <c r="E1399" s="32">
        <v>531</v>
      </c>
      <c r="F1399" s="27">
        <v>13640</v>
      </c>
      <c r="G1399" s="32">
        <v>715</v>
      </c>
      <c r="H1399" s="27">
        <v>19534</v>
      </c>
      <c r="I1399" s="27">
        <v>25.687382297551789</v>
      </c>
      <c r="J1399" s="27">
        <v>27.320279720279721</v>
      </c>
      <c r="K1399" s="29">
        <v>6.3568074154584472E-2</v>
      </c>
    </row>
    <row r="1400" spans="1:11" x14ac:dyDescent="0.25">
      <c r="A1400" s="5" t="s">
        <v>6</v>
      </c>
      <c r="B1400" s="5" t="s">
        <v>6782</v>
      </c>
      <c r="C1400" s="1" t="s">
        <v>6783</v>
      </c>
      <c r="D1400" s="5" t="s">
        <v>17756</v>
      </c>
      <c r="E1400" s="32">
        <v>12</v>
      </c>
      <c r="F1400" s="27">
        <v>284</v>
      </c>
      <c r="G1400" s="32">
        <v>79</v>
      </c>
      <c r="H1400" s="27">
        <v>2040</v>
      </c>
      <c r="I1400" s="27">
        <v>23.666666666666668</v>
      </c>
      <c r="J1400" s="27">
        <v>25.822784810126581</v>
      </c>
      <c r="K1400" s="29">
        <v>9.1103583526475213E-2</v>
      </c>
    </row>
    <row r="1401" spans="1:11" x14ac:dyDescent="0.25">
      <c r="A1401" s="5" t="s">
        <v>6</v>
      </c>
      <c r="B1401" s="5" t="s">
        <v>6785</v>
      </c>
      <c r="C1401" s="1" t="s">
        <v>6786</v>
      </c>
      <c r="D1401" s="5" t="s">
        <v>17755</v>
      </c>
      <c r="E1401" s="32">
        <v>7798</v>
      </c>
      <c r="F1401" s="27">
        <v>38990</v>
      </c>
      <c r="G1401" s="32">
        <v>7843</v>
      </c>
      <c r="H1401" s="27">
        <v>39215</v>
      </c>
      <c r="I1401" s="27">
        <v>5</v>
      </c>
      <c r="J1401" s="27">
        <v>5</v>
      </c>
      <c r="K1401" s="29">
        <v>0</v>
      </c>
    </row>
    <row r="1402" spans="1:11" x14ac:dyDescent="0.25">
      <c r="A1402" s="5" t="s">
        <v>6</v>
      </c>
      <c r="B1402" s="5" t="s">
        <v>6791</v>
      </c>
      <c r="C1402" s="1" t="s">
        <v>6792</v>
      </c>
      <c r="D1402" s="5" t="s">
        <v>17755</v>
      </c>
      <c r="E1402" s="32">
        <v>66</v>
      </c>
      <c r="F1402" s="27">
        <v>1722</v>
      </c>
      <c r="I1402" s="27">
        <v>26.09090909090909</v>
      </c>
    </row>
    <row r="1403" spans="1:11" x14ac:dyDescent="0.25">
      <c r="A1403" s="5" t="s">
        <v>6</v>
      </c>
      <c r="B1403" s="5" t="s">
        <v>6794</v>
      </c>
      <c r="C1403" s="1" t="s">
        <v>6795</v>
      </c>
      <c r="D1403" s="5" t="s">
        <v>17755</v>
      </c>
      <c r="E1403" s="32">
        <v>212</v>
      </c>
      <c r="F1403" s="27">
        <v>4836</v>
      </c>
      <c r="G1403" s="32">
        <v>87</v>
      </c>
      <c r="H1403" s="27">
        <v>2129</v>
      </c>
      <c r="I1403" s="27">
        <v>22.811320754716981</v>
      </c>
      <c r="J1403" s="27">
        <v>24.471264367816094</v>
      </c>
      <c r="K1403" s="29">
        <v>7.2768413146611241E-2</v>
      </c>
    </row>
    <row r="1404" spans="1:11" x14ac:dyDescent="0.25">
      <c r="A1404" s="5" t="s">
        <v>6</v>
      </c>
      <c r="B1404" s="5" t="s">
        <v>6806</v>
      </c>
      <c r="C1404" s="1" t="s">
        <v>6807</v>
      </c>
      <c r="D1404" s="5" t="s">
        <v>17755</v>
      </c>
      <c r="E1404" s="32">
        <v>40</v>
      </c>
      <c r="F1404" s="27">
        <v>908</v>
      </c>
      <c r="G1404" s="32">
        <v>71</v>
      </c>
      <c r="H1404" s="27">
        <v>1679</v>
      </c>
      <c r="I1404" s="27">
        <v>22.7</v>
      </c>
      <c r="J1404" s="27">
        <v>23.64788732394366</v>
      </c>
      <c r="K1404" s="29">
        <v>4.1757150834522506E-2</v>
      </c>
    </row>
    <row r="1405" spans="1:11" x14ac:dyDescent="0.25">
      <c r="A1405" s="5" t="s">
        <v>6</v>
      </c>
      <c r="B1405" s="5" t="s">
        <v>6809</v>
      </c>
      <c r="C1405" s="1" t="s">
        <v>6810</v>
      </c>
      <c r="D1405" s="5" t="s">
        <v>17755</v>
      </c>
      <c r="E1405" s="32">
        <v>38</v>
      </c>
      <c r="F1405" s="27">
        <v>677</v>
      </c>
      <c r="G1405" s="32">
        <v>17</v>
      </c>
      <c r="H1405" s="27">
        <v>321</v>
      </c>
      <c r="I1405" s="27">
        <v>17.815789473684209</v>
      </c>
      <c r="J1405" s="27">
        <v>18.882352941176471</v>
      </c>
      <c r="K1405" s="29">
        <v>5.9866191676079712E-2</v>
      </c>
    </row>
    <row r="1406" spans="1:11" x14ac:dyDescent="0.25">
      <c r="A1406" s="5" t="s">
        <v>6</v>
      </c>
      <c r="B1406" s="5" t="s">
        <v>6812</v>
      </c>
      <c r="C1406" s="1" t="s">
        <v>6813</v>
      </c>
      <c r="D1406" s="5" t="s">
        <v>17755</v>
      </c>
      <c r="E1406" s="32">
        <v>91</v>
      </c>
      <c r="F1406" s="27">
        <v>2332</v>
      </c>
      <c r="G1406" s="32">
        <v>90</v>
      </c>
      <c r="H1406" s="27">
        <v>2454</v>
      </c>
      <c r="I1406" s="27">
        <v>25.626373626373628</v>
      </c>
      <c r="J1406" s="27">
        <v>27.266666666666666</v>
      </c>
      <c r="K1406" s="29">
        <v>6.4008004574042224E-2</v>
      </c>
    </row>
    <row r="1407" spans="1:11" x14ac:dyDescent="0.25">
      <c r="A1407" s="5" t="s">
        <v>6</v>
      </c>
      <c r="B1407" s="5" t="s">
        <v>6815</v>
      </c>
      <c r="C1407" s="1" t="s">
        <v>6816</v>
      </c>
      <c r="D1407" s="5" t="s">
        <v>17755</v>
      </c>
      <c r="E1407" s="32">
        <v>238</v>
      </c>
      <c r="F1407" s="27">
        <v>6352</v>
      </c>
      <c r="G1407" s="32">
        <v>224</v>
      </c>
      <c r="H1407" s="27">
        <v>6362</v>
      </c>
      <c r="I1407" s="27">
        <v>26.689075630252102</v>
      </c>
      <c r="J1407" s="27">
        <v>28.401785714285715</v>
      </c>
      <c r="K1407" s="29">
        <v>6.4172701511335001E-2</v>
      </c>
    </row>
    <row r="1408" spans="1:11" x14ac:dyDescent="0.25">
      <c r="A1408" s="5" t="s">
        <v>6</v>
      </c>
      <c r="B1408" s="5" t="s">
        <v>6830</v>
      </c>
      <c r="C1408" s="1" t="s">
        <v>6831</v>
      </c>
      <c r="D1408" s="5" t="s">
        <v>17756</v>
      </c>
      <c r="E1408" s="32">
        <v>5659</v>
      </c>
      <c r="F1408" s="27">
        <v>101043</v>
      </c>
      <c r="G1408" s="32">
        <v>5532</v>
      </c>
      <c r="H1408" s="27">
        <v>103066</v>
      </c>
      <c r="I1408" s="27">
        <v>17.85527478353066</v>
      </c>
      <c r="J1408" s="27">
        <v>18.630874909616775</v>
      </c>
      <c r="K1408" s="29">
        <v>4.343815121800939E-2</v>
      </c>
    </row>
    <row r="1409" spans="1:11" x14ac:dyDescent="0.25">
      <c r="A1409" s="5" t="s">
        <v>6</v>
      </c>
      <c r="B1409" s="5" t="s">
        <v>6839</v>
      </c>
      <c r="C1409" s="1" t="s">
        <v>6840</v>
      </c>
      <c r="D1409" s="5" t="s">
        <v>17755</v>
      </c>
      <c r="E1409" s="32">
        <v>1785</v>
      </c>
      <c r="F1409" s="27">
        <v>82903</v>
      </c>
      <c r="G1409" s="32">
        <v>2327</v>
      </c>
      <c r="H1409" s="27">
        <v>115841</v>
      </c>
      <c r="I1409" s="27">
        <v>46.444257703081234</v>
      </c>
      <c r="J1409" s="27">
        <v>49.781263429308119</v>
      </c>
      <c r="K1409" s="29">
        <v>7.184969447806458E-2</v>
      </c>
    </row>
    <row r="1410" spans="1:11" x14ac:dyDescent="0.25">
      <c r="A1410" s="5" t="s">
        <v>6</v>
      </c>
      <c r="B1410" s="5" t="s">
        <v>6842</v>
      </c>
      <c r="C1410" s="1" t="s">
        <v>6843</v>
      </c>
      <c r="D1410" s="5" t="s">
        <v>17755</v>
      </c>
      <c r="E1410" s="32">
        <v>142</v>
      </c>
      <c r="F1410" s="27">
        <v>28390.58</v>
      </c>
      <c r="G1410" s="32">
        <v>150</v>
      </c>
      <c r="H1410" s="27">
        <v>60090.42</v>
      </c>
      <c r="I1410" s="27">
        <v>199.93366197183099</v>
      </c>
      <c r="J1410" s="27">
        <v>400.6028</v>
      </c>
      <c r="K1410" s="29">
        <v>1.0036786004371874</v>
      </c>
    </row>
    <row r="1411" spans="1:11" x14ac:dyDescent="0.25">
      <c r="A1411" s="5" t="s">
        <v>6</v>
      </c>
      <c r="B1411" s="5" t="s">
        <v>6848</v>
      </c>
      <c r="C1411" s="1" t="s">
        <v>6849</v>
      </c>
      <c r="D1411" s="5" t="s">
        <v>17755</v>
      </c>
      <c r="E1411" s="32">
        <v>178</v>
      </c>
      <c r="F1411" s="27">
        <v>1539</v>
      </c>
      <c r="G1411" s="32">
        <v>129</v>
      </c>
      <c r="H1411" s="27">
        <v>1225</v>
      </c>
      <c r="I1411" s="27">
        <v>8.6460674157303377</v>
      </c>
      <c r="J1411" s="27">
        <v>9.4961240310077528</v>
      </c>
      <c r="K1411" s="29">
        <v>9.8317139388810842E-2</v>
      </c>
    </row>
    <row r="1412" spans="1:11" x14ac:dyDescent="0.25">
      <c r="A1412" s="5" t="s">
        <v>6</v>
      </c>
      <c r="B1412" s="5" t="s">
        <v>6851</v>
      </c>
      <c r="C1412" s="1" t="s">
        <v>6852</v>
      </c>
      <c r="D1412" s="5" t="s">
        <v>17755</v>
      </c>
      <c r="E1412" s="32">
        <v>61</v>
      </c>
      <c r="F1412" s="27">
        <v>1889</v>
      </c>
      <c r="G1412" s="32">
        <v>30</v>
      </c>
      <c r="H1412" s="27">
        <v>984</v>
      </c>
      <c r="I1412" s="27">
        <v>30.967213114754099</v>
      </c>
      <c r="J1412" s="27">
        <v>32.799999999999997</v>
      </c>
      <c r="K1412" s="29">
        <v>5.9184753838009425E-2</v>
      </c>
    </row>
    <row r="1413" spans="1:11" x14ac:dyDescent="0.25">
      <c r="A1413" s="5" t="s">
        <v>6</v>
      </c>
      <c r="B1413" s="5" t="s">
        <v>6854</v>
      </c>
      <c r="C1413" s="1" t="s">
        <v>6855</v>
      </c>
      <c r="D1413" s="5" t="s">
        <v>17755</v>
      </c>
      <c r="E1413" s="32">
        <v>271</v>
      </c>
      <c r="F1413" s="27">
        <v>25798</v>
      </c>
      <c r="G1413" s="32">
        <v>205</v>
      </c>
      <c r="H1413" s="27">
        <v>21226</v>
      </c>
      <c r="I1413" s="27">
        <v>95.195571955719558</v>
      </c>
      <c r="J1413" s="27">
        <v>103.54146341463415</v>
      </c>
      <c r="K1413" s="29">
        <v>8.7671004937043759E-2</v>
      </c>
    </row>
    <row r="1414" spans="1:11" x14ac:dyDescent="0.25">
      <c r="A1414" s="5" t="s">
        <v>6</v>
      </c>
      <c r="B1414" s="5" t="s">
        <v>6857</v>
      </c>
      <c r="C1414" s="1" t="s">
        <v>6858</v>
      </c>
      <c r="D1414" s="5" t="s">
        <v>17755</v>
      </c>
      <c r="E1414" s="32">
        <v>1048</v>
      </c>
      <c r="F1414" s="27">
        <v>107888</v>
      </c>
      <c r="G1414" s="32">
        <v>890</v>
      </c>
      <c r="H1414" s="27">
        <v>96992</v>
      </c>
      <c r="I1414" s="27">
        <v>102.94656488549619</v>
      </c>
      <c r="J1414" s="27">
        <v>108.97977528089888</v>
      </c>
      <c r="K1414" s="29">
        <v>5.860526188623405E-2</v>
      </c>
    </row>
    <row r="1415" spans="1:11" x14ac:dyDescent="0.25">
      <c r="A1415" s="5" t="s">
        <v>6</v>
      </c>
      <c r="B1415" s="5" t="s">
        <v>6860</v>
      </c>
      <c r="C1415" s="1" t="s">
        <v>6861</v>
      </c>
      <c r="D1415" s="5" t="s">
        <v>17755</v>
      </c>
      <c r="E1415" s="32">
        <v>21</v>
      </c>
      <c r="F1415" s="27">
        <v>336</v>
      </c>
      <c r="G1415" s="32">
        <v>60</v>
      </c>
      <c r="H1415" s="27">
        <v>1001</v>
      </c>
      <c r="I1415" s="27">
        <v>16</v>
      </c>
      <c r="J1415" s="27">
        <v>16.683333333333334</v>
      </c>
      <c r="K1415" s="29">
        <v>4.2708333333333348E-2</v>
      </c>
    </row>
    <row r="1416" spans="1:11" x14ac:dyDescent="0.25">
      <c r="A1416" s="5" t="s">
        <v>6</v>
      </c>
      <c r="B1416" s="5" t="s">
        <v>6863</v>
      </c>
      <c r="C1416" s="1" t="s">
        <v>6864</v>
      </c>
      <c r="D1416" s="5" t="s">
        <v>17755</v>
      </c>
      <c r="E1416" s="32">
        <v>42</v>
      </c>
      <c r="F1416" s="27">
        <v>5754</v>
      </c>
      <c r="I1416" s="27">
        <v>137</v>
      </c>
    </row>
    <row r="1417" spans="1:11" x14ac:dyDescent="0.25">
      <c r="A1417" s="5" t="s">
        <v>6</v>
      </c>
      <c r="B1417" s="5" t="s">
        <v>6866</v>
      </c>
      <c r="C1417" s="1" t="s">
        <v>6867</v>
      </c>
      <c r="D1417" s="5" t="s">
        <v>17755</v>
      </c>
      <c r="E1417" s="32">
        <v>782</v>
      </c>
      <c r="F1417" s="27">
        <v>198628</v>
      </c>
      <c r="I1417" s="27">
        <v>254</v>
      </c>
    </row>
    <row r="1418" spans="1:11" x14ac:dyDescent="0.25">
      <c r="A1418" s="5" t="s">
        <v>6</v>
      </c>
      <c r="B1418" s="5" t="s">
        <v>6869</v>
      </c>
      <c r="C1418" s="1" t="s">
        <v>6870</v>
      </c>
      <c r="D1418" s="5" t="s">
        <v>17755</v>
      </c>
      <c r="E1418" s="32">
        <v>13</v>
      </c>
      <c r="F1418" s="27">
        <v>39</v>
      </c>
      <c r="G1418" s="32">
        <v>35</v>
      </c>
      <c r="H1418" s="27">
        <v>105</v>
      </c>
      <c r="I1418" s="27">
        <v>3</v>
      </c>
      <c r="J1418" s="27">
        <v>3</v>
      </c>
      <c r="K1418" s="29">
        <v>0</v>
      </c>
    </row>
    <row r="1419" spans="1:11" x14ac:dyDescent="0.25">
      <c r="A1419" s="5" t="s">
        <v>6</v>
      </c>
      <c r="B1419" s="5" t="s">
        <v>6872</v>
      </c>
      <c r="C1419" s="1" t="s">
        <v>6873</v>
      </c>
      <c r="D1419" s="5" t="s">
        <v>17755</v>
      </c>
      <c r="E1419" s="32">
        <v>237</v>
      </c>
      <c r="F1419" s="27">
        <v>6261</v>
      </c>
      <c r="G1419" s="32">
        <v>740</v>
      </c>
      <c r="H1419" s="27">
        <v>21198</v>
      </c>
      <c r="I1419" s="27">
        <v>26.417721518987342</v>
      </c>
      <c r="J1419" s="27">
        <v>28.645945945945947</v>
      </c>
      <c r="K1419" s="29">
        <v>8.434582162421167E-2</v>
      </c>
    </row>
    <row r="1420" spans="1:11" x14ac:dyDescent="0.25">
      <c r="A1420" s="5" t="s">
        <v>6</v>
      </c>
      <c r="B1420" s="5" t="s">
        <v>6875</v>
      </c>
      <c r="C1420" s="1" t="s">
        <v>6876</v>
      </c>
      <c r="D1420" s="5" t="s">
        <v>17755</v>
      </c>
      <c r="E1420" s="32">
        <v>173</v>
      </c>
      <c r="F1420" s="27">
        <v>6323</v>
      </c>
      <c r="G1420" s="32">
        <v>101</v>
      </c>
      <c r="H1420" s="27">
        <v>3965</v>
      </c>
      <c r="I1420" s="27">
        <v>36.549132947976879</v>
      </c>
      <c r="J1420" s="27">
        <v>39.257425742574256</v>
      </c>
      <c r="K1420" s="29">
        <v>7.4100055901525561E-2</v>
      </c>
    </row>
    <row r="1421" spans="1:11" x14ac:dyDescent="0.25">
      <c r="A1421" s="5" t="s">
        <v>6</v>
      </c>
      <c r="B1421" s="5" t="s">
        <v>6878</v>
      </c>
      <c r="C1421" s="1" t="s">
        <v>6879</v>
      </c>
      <c r="D1421" s="5" t="s">
        <v>17755</v>
      </c>
      <c r="E1421" s="32">
        <v>578</v>
      </c>
      <c r="F1421" s="27">
        <v>25426</v>
      </c>
      <c r="G1421" s="32">
        <v>470</v>
      </c>
      <c r="H1421" s="27">
        <v>22458</v>
      </c>
      <c r="I1421" s="27">
        <v>43.989619377162633</v>
      </c>
      <c r="J1421" s="27">
        <v>47.782978723404256</v>
      </c>
      <c r="K1421" s="29">
        <v>8.6233056797280647E-2</v>
      </c>
    </row>
    <row r="1422" spans="1:11" x14ac:dyDescent="0.25">
      <c r="A1422" s="5" t="s">
        <v>6</v>
      </c>
      <c r="B1422" s="5" t="s">
        <v>6906</v>
      </c>
      <c r="C1422" s="1" t="s">
        <v>6907</v>
      </c>
      <c r="D1422" s="5" t="s">
        <v>17755</v>
      </c>
      <c r="E1422" s="32">
        <v>5407</v>
      </c>
      <c r="F1422" s="27">
        <v>122111</v>
      </c>
      <c r="G1422" s="32">
        <v>5751</v>
      </c>
      <c r="H1422" s="27">
        <v>139977</v>
      </c>
      <c r="I1422" s="27">
        <v>22.583872757536525</v>
      </c>
      <c r="J1422" s="27">
        <v>24.339593114241001</v>
      </c>
      <c r="K1422" s="29">
        <v>7.774221788947025E-2</v>
      </c>
    </row>
    <row r="1423" spans="1:11" x14ac:dyDescent="0.25">
      <c r="A1423" s="5" t="s">
        <v>6</v>
      </c>
      <c r="B1423" s="5" t="s">
        <v>6912</v>
      </c>
      <c r="C1423" s="1" t="s">
        <v>6913</v>
      </c>
      <c r="D1423" s="5" t="s">
        <v>17755</v>
      </c>
      <c r="E1423" s="32">
        <v>11</v>
      </c>
      <c r="F1423" s="27">
        <v>523</v>
      </c>
      <c r="G1423" s="32">
        <v>53</v>
      </c>
      <c r="H1423" s="27">
        <v>2753</v>
      </c>
      <c r="I1423" s="27">
        <v>47.545454545454547</v>
      </c>
      <c r="J1423" s="27">
        <v>51.943396226415096</v>
      </c>
      <c r="K1423" s="29">
        <v>9.2499729427468536E-2</v>
      </c>
    </row>
    <row r="1424" spans="1:11" x14ac:dyDescent="0.25">
      <c r="A1424" s="5" t="s">
        <v>6</v>
      </c>
      <c r="B1424" s="5" t="s">
        <v>6918</v>
      </c>
      <c r="C1424" s="1" t="s">
        <v>6919</v>
      </c>
      <c r="D1424" s="5" t="s">
        <v>17755</v>
      </c>
      <c r="E1424" s="32">
        <v>13</v>
      </c>
      <c r="F1424" s="27">
        <v>4290</v>
      </c>
      <c r="G1424" s="32">
        <v>13</v>
      </c>
      <c r="H1424" s="27">
        <v>4559</v>
      </c>
      <c r="I1424" s="27">
        <v>330</v>
      </c>
      <c r="J1424" s="27">
        <v>350.69230769230768</v>
      </c>
      <c r="K1424" s="29">
        <v>6.2703962703962668E-2</v>
      </c>
    </row>
    <row r="1425" spans="1:11" x14ac:dyDescent="0.25">
      <c r="A1425" s="5" t="s">
        <v>6</v>
      </c>
      <c r="B1425" s="5" t="s">
        <v>6924</v>
      </c>
      <c r="C1425" s="1" t="s">
        <v>6925</v>
      </c>
      <c r="D1425" s="5" t="s">
        <v>17755</v>
      </c>
      <c r="E1425" s="32">
        <v>6</v>
      </c>
      <c r="F1425" s="27">
        <v>12</v>
      </c>
      <c r="G1425" s="32">
        <v>7</v>
      </c>
      <c r="H1425" s="27">
        <v>14</v>
      </c>
      <c r="I1425" s="27">
        <v>2</v>
      </c>
      <c r="J1425" s="27">
        <v>2</v>
      </c>
      <c r="K1425" s="29">
        <v>0</v>
      </c>
    </row>
    <row r="1426" spans="1:11" x14ac:dyDescent="0.25">
      <c r="A1426" s="5" t="s">
        <v>6</v>
      </c>
      <c r="B1426" s="5" t="s">
        <v>6927</v>
      </c>
      <c r="C1426" s="1" t="s">
        <v>6928</v>
      </c>
      <c r="D1426" s="5" t="s">
        <v>17755</v>
      </c>
      <c r="E1426" s="32">
        <v>1748</v>
      </c>
      <c r="F1426" s="27">
        <v>8740</v>
      </c>
      <c r="G1426" s="32">
        <v>1874</v>
      </c>
      <c r="H1426" s="27">
        <v>9370</v>
      </c>
      <c r="I1426" s="27">
        <v>5</v>
      </c>
      <c r="J1426" s="27">
        <v>5</v>
      </c>
      <c r="K1426" s="29">
        <v>0</v>
      </c>
    </row>
    <row r="1427" spans="1:11" x14ac:dyDescent="0.25">
      <c r="A1427" s="5" t="s">
        <v>6</v>
      </c>
      <c r="B1427" s="5" t="s">
        <v>6930</v>
      </c>
      <c r="C1427" s="1" t="s">
        <v>6931</v>
      </c>
      <c r="D1427" s="5" t="s">
        <v>17755</v>
      </c>
      <c r="E1427" s="32">
        <v>3677</v>
      </c>
      <c r="F1427" s="27">
        <v>83009</v>
      </c>
      <c r="G1427" s="32">
        <v>2935</v>
      </c>
      <c r="H1427" s="27">
        <v>71637</v>
      </c>
      <c r="I1427" s="27">
        <v>22.575197171607289</v>
      </c>
      <c r="J1427" s="27">
        <v>24.407836456558773</v>
      </c>
      <c r="K1427" s="29">
        <v>8.1179325744998782E-2</v>
      </c>
    </row>
    <row r="1428" spans="1:11" x14ac:dyDescent="0.25">
      <c r="A1428" s="5" t="s">
        <v>6</v>
      </c>
      <c r="B1428" s="5" t="s">
        <v>6936</v>
      </c>
      <c r="C1428" s="1" t="s">
        <v>6937</v>
      </c>
      <c r="D1428" s="5" t="s">
        <v>17755</v>
      </c>
      <c r="E1428" s="32">
        <v>5036</v>
      </c>
      <c r="F1428" s="27">
        <v>129130</v>
      </c>
      <c r="G1428" s="32">
        <v>6191</v>
      </c>
      <c r="H1428" s="27">
        <v>170044</v>
      </c>
      <c r="I1428" s="27">
        <v>25.641382049245433</v>
      </c>
      <c r="J1428" s="27">
        <v>27.466322080439348</v>
      </c>
      <c r="K1428" s="29">
        <v>7.1171671935975803E-2</v>
      </c>
    </row>
    <row r="1429" spans="1:11" x14ac:dyDescent="0.25">
      <c r="A1429" s="5" t="s">
        <v>6</v>
      </c>
      <c r="B1429" s="5" t="s">
        <v>6939</v>
      </c>
      <c r="C1429" s="1" t="s">
        <v>6940</v>
      </c>
      <c r="D1429" s="5" t="s">
        <v>17755</v>
      </c>
      <c r="E1429" s="32">
        <v>10897</v>
      </c>
      <c r="F1429" s="27">
        <v>420093</v>
      </c>
      <c r="G1429" s="32">
        <v>8752</v>
      </c>
      <c r="H1429" s="27">
        <v>360093</v>
      </c>
      <c r="I1429" s="27">
        <v>38.551252638340827</v>
      </c>
      <c r="J1429" s="27">
        <v>41.144081352833638</v>
      </c>
      <c r="K1429" s="29">
        <v>6.72566657902611E-2</v>
      </c>
    </row>
    <row r="1430" spans="1:11" x14ac:dyDescent="0.25">
      <c r="A1430" s="5" t="s">
        <v>6</v>
      </c>
      <c r="B1430" s="5" t="s">
        <v>6942</v>
      </c>
      <c r="C1430" s="1" t="s">
        <v>6943</v>
      </c>
      <c r="D1430" s="5" t="s">
        <v>17755</v>
      </c>
      <c r="E1430" s="32">
        <v>2447</v>
      </c>
      <c r="F1430" s="27">
        <v>98590</v>
      </c>
      <c r="G1430" s="32">
        <v>2280</v>
      </c>
      <c r="H1430" s="27">
        <v>98130</v>
      </c>
      <c r="I1430" s="27">
        <v>40.290151205557827</v>
      </c>
      <c r="J1430" s="27">
        <v>43.039473684210527</v>
      </c>
      <c r="K1430" s="29">
        <v>6.8238077951751283E-2</v>
      </c>
    </row>
    <row r="1431" spans="1:11" x14ac:dyDescent="0.25">
      <c r="A1431" s="5" t="s">
        <v>6</v>
      </c>
      <c r="B1431" s="5" t="s">
        <v>6945</v>
      </c>
      <c r="C1431" s="1" t="s">
        <v>6946</v>
      </c>
      <c r="D1431" s="5" t="s">
        <v>17755</v>
      </c>
      <c r="E1431" s="32">
        <v>4</v>
      </c>
      <c r="F1431" s="27">
        <v>116</v>
      </c>
      <c r="I1431" s="27">
        <v>29</v>
      </c>
    </row>
    <row r="1432" spans="1:11" x14ac:dyDescent="0.25">
      <c r="A1432" s="5" t="s">
        <v>6</v>
      </c>
      <c r="B1432" s="5" t="s">
        <v>6948</v>
      </c>
      <c r="C1432" s="1" t="s">
        <v>6949</v>
      </c>
      <c r="D1432" s="5" t="s">
        <v>17755</v>
      </c>
      <c r="E1432" s="32">
        <v>221</v>
      </c>
      <c r="F1432" s="27">
        <v>8430</v>
      </c>
      <c r="G1432" s="32">
        <v>241</v>
      </c>
      <c r="H1432" s="27">
        <v>9939</v>
      </c>
      <c r="I1432" s="27">
        <v>38.144796380090497</v>
      </c>
      <c r="J1432" s="27">
        <v>41.240663900414937</v>
      </c>
      <c r="K1432" s="29">
        <v>8.116093973804285E-2</v>
      </c>
    </row>
    <row r="1433" spans="1:11" x14ac:dyDescent="0.25">
      <c r="A1433" s="5" t="s">
        <v>6</v>
      </c>
      <c r="B1433" s="5" t="s">
        <v>6954</v>
      </c>
      <c r="C1433" s="1" t="s">
        <v>6955</v>
      </c>
      <c r="D1433" s="5" t="s">
        <v>17755</v>
      </c>
      <c r="E1433" s="32">
        <v>514</v>
      </c>
      <c r="F1433" s="27">
        <v>11586</v>
      </c>
      <c r="G1433" s="32">
        <v>592</v>
      </c>
      <c r="H1433" s="27">
        <v>14596</v>
      </c>
      <c r="I1433" s="27">
        <v>22.540856031128406</v>
      </c>
      <c r="J1433" s="27">
        <v>24.655405405405407</v>
      </c>
      <c r="K1433" s="29">
        <v>9.3809630448677572E-2</v>
      </c>
    </row>
    <row r="1434" spans="1:11" x14ac:dyDescent="0.25">
      <c r="A1434" s="5" t="s">
        <v>6</v>
      </c>
      <c r="B1434" s="5" t="s">
        <v>6960</v>
      </c>
      <c r="C1434" s="1" t="s">
        <v>6961</v>
      </c>
      <c r="D1434" s="5" t="s">
        <v>17755</v>
      </c>
      <c r="E1434" s="32">
        <v>52</v>
      </c>
      <c r="F1434" s="27">
        <v>156</v>
      </c>
      <c r="G1434" s="32">
        <v>64</v>
      </c>
      <c r="H1434" s="27">
        <v>192</v>
      </c>
      <c r="I1434" s="27">
        <v>3</v>
      </c>
      <c r="J1434" s="27">
        <v>3</v>
      </c>
      <c r="K1434" s="29">
        <v>0</v>
      </c>
    </row>
    <row r="1435" spans="1:11" x14ac:dyDescent="0.25">
      <c r="A1435" s="5" t="s">
        <v>6</v>
      </c>
      <c r="B1435" s="5" t="s">
        <v>6963</v>
      </c>
      <c r="C1435" s="1" t="s">
        <v>6964</v>
      </c>
      <c r="D1435" s="5" t="s">
        <v>17755</v>
      </c>
      <c r="E1435" s="32">
        <v>70</v>
      </c>
      <c r="F1435" s="27">
        <v>979</v>
      </c>
      <c r="G1435" s="32">
        <v>127</v>
      </c>
      <c r="H1435" s="27">
        <v>1892</v>
      </c>
      <c r="I1435" s="27">
        <v>13.985714285714286</v>
      </c>
      <c r="J1435" s="27">
        <v>14.897637795275591</v>
      </c>
      <c r="K1435" s="29">
        <v>6.5203928160665323E-2</v>
      </c>
    </row>
    <row r="1436" spans="1:11" x14ac:dyDescent="0.25">
      <c r="A1436" s="5" t="s">
        <v>6</v>
      </c>
      <c r="B1436" s="5" t="s">
        <v>6966</v>
      </c>
      <c r="C1436" s="1" t="s">
        <v>6967</v>
      </c>
      <c r="D1436" s="5" t="s">
        <v>17755</v>
      </c>
      <c r="E1436" s="32">
        <v>1283</v>
      </c>
      <c r="F1436" s="27">
        <v>34281</v>
      </c>
      <c r="G1436" s="32">
        <v>1133</v>
      </c>
      <c r="H1436" s="27">
        <v>31999</v>
      </c>
      <c r="I1436" s="27">
        <v>26.719407638347622</v>
      </c>
      <c r="J1436" s="27">
        <v>28.242718446601941</v>
      </c>
      <c r="K1436" s="29">
        <v>5.7011398937904127E-2</v>
      </c>
    </row>
    <row r="1437" spans="1:11" x14ac:dyDescent="0.25">
      <c r="A1437" s="5" t="s">
        <v>6</v>
      </c>
      <c r="B1437" s="5" t="s">
        <v>6969</v>
      </c>
      <c r="C1437" s="1" t="s">
        <v>6967</v>
      </c>
      <c r="D1437" s="5" t="s">
        <v>17755</v>
      </c>
      <c r="E1437" s="32">
        <v>157</v>
      </c>
      <c r="F1437" s="27">
        <v>3764</v>
      </c>
      <c r="G1437" s="32">
        <v>111</v>
      </c>
      <c r="H1437" s="27">
        <v>2840</v>
      </c>
      <c r="I1437" s="27">
        <v>23.97452229299363</v>
      </c>
      <c r="J1437" s="27">
        <v>25.585585585585587</v>
      </c>
      <c r="K1437" s="29">
        <v>6.7198973681439247E-2</v>
      </c>
    </row>
    <row r="1438" spans="1:11" x14ac:dyDescent="0.25">
      <c r="A1438" s="5" t="s">
        <v>6</v>
      </c>
      <c r="B1438" s="5" t="s">
        <v>6986</v>
      </c>
      <c r="C1438" s="1" t="s">
        <v>6987</v>
      </c>
      <c r="D1438" s="5" t="s">
        <v>17755</v>
      </c>
      <c r="E1438" s="32">
        <v>41</v>
      </c>
      <c r="F1438" s="27">
        <v>1107</v>
      </c>
      <c r="I1438" s="27">
        <v>27</v>
      </c>
    </row>
    <row r="1439" spans="1:11" x14ac:dyDescent="0.25">
      <c r="A1439" s="5" t="s">
        <v>6</v>
      </c>
      <c r="B1439" s="5" t="s">
        <v>6989</v>
      </c>
      <c r="C1439" s="1" t="s">
        <v>6990</v>
      </c>
      <c r="D1439" s="5" t="s">
        <v>17755</v>
      </c>
      <c r="E1439" s="32">
        <v>4</v>
      </c>
      <c r="F1439" s="27">
        <v>120</v>
      </c>
      <c r="G1439" s="32">
        <v>31</v>
      </c>
      <c r="H1439" s="27">
        <v>1007</v>
      </c>
      <c r="I1439" s="27">
        <v>30</v>
      </c>
      <c r="J1439" s="27">
        <v>32.483870967741936</v>
      </c>
      <c r="K1439" s="29">
        <v>8.2795698924731195E-2</v>
      </c>
    </row>
    <row r="1440" spans="1:11" x14ac:dyDescent="0.25">
      <c r="A1440" s="5" t="s">
        <v>6</v>
      </c>
      <c r="B1440" s="5" t="s">
        <v>6998</v>
      </c>
      <c r="C1440" s="1" t="s">
        <v>6999</v>
      </c>
      <c r="D1440" s="5" t="s">
        <v>17755</v>
      </c>
      <c r="E1440" s="32">
        <v>1119</v>
      </c>
      <c r="F1440" s="27">
        <v>19909</v>
      </c>
      <c r="G1440" s="32">
        <v>923</v>
      </c>
      <c r="H1440" s="27">
        <v>17257</v>
      </c>
      <c r="I1440" s="27">
        <v>17.79177837354781</v>
      </c>
      <c r="J1440" s="27">
        <v>18.696641386782233</v>
      </c>
      <c r="K1440" s="29">
        <v>5.085849172782754E-2</v>
      </c>
    </row>
    <row r="1441" spans="1:11" x14ac:dyDescent="0.25">
      <c r="A1441" s="5" t="s">
        <v>6</v>
      </c>
      <c r="B1441" s="5" t="s">
        <v>7001</v>
      </c>
      <c r="C1441" s="1" t="s">
        <v>7002</v>
      </c>
      <c r="D1441" s="5" t="s">
        <v>17755</v>
      </c>
      <c r="E1441" s="32">
        <v>3</v>
      </c>
      <c r="F1441" s="27">
        <v>53</v>
      </c>
      <c r="I1441" s="27">
        <v>17.666666666666668</v>
      </c>
    </row>
    <row r="1442" spans="1:11" x14ac:dyDescent="0.25">
      <c r="A1442" s="5" t="s">
        <v>6</v>
      </c>
      <c r="B1442" s="5" t="s">
        <v>7013</v>
      </c>
      <c r="C1442" s="1" t="s">
        <v>7014</v>
      </c>
      <c r="D1442" s="5" t="s">
        <v>17755</v>
      </c>
      <c r="E1442" s="32">
        <v>919</v>
      </c>
      <c r="F1442" s="27">
        <v>21053</v>
      </c>
      <c r="G1442" s="32">
        <v>1152</v>
      </c>
      <c r="H1442" s="27">
        <v>28144</v>
      </c>
      <c r="I1442" s="27">
        <v>22.90859630032644</v>
      </c>
      <c r="J1442" s="27">
        <v>24.430555555555557</v>
      </c>
      <c r="K1442" s="29">
        <v>6.6436163756023292E-2</v>
      </c>
    </row>
    <row r="1443" spans="1:11" x14ac:dyDescent="0.25">
      <c r="A1443" s="5" t="s">
        <v>6</v>
      </c>
      <c r="B1443" s="5" t="s">
        <v>7016</v>
      </c>
      <c r="C1443" s="1" t="s">
        <v>7017</v>
      </c>
      <c r="D1443" s="5" t="s">
        <v>17755</v>
      </c>
      <c r="E1443" s="32">
        <v>14</v>
      </c>
      <c r="F1443" s="27">
        <v>298</v>
      </c>
      <c r="I1443" s="27">
        <v>21.285714285714285</v>
      </c>
    </row>
    <row r="1444" spans="1:11" x14ac:dyDescent="0.25">
      <c r="A1444" s="5" t="s">
        <v>6</v>
      </c>
      <c r="B1444" s="5" t="s">
        <v>7019</v>
      </c>
      <c r="C1444" s="1" t="s">
        <v>7020</v>
      </c>
      <c r="D1444" s="5" t="s">
        <v>17755</v>
      </c>
      <c r="E1444" s="32">
        <v>1</v>
      </c>
      <c r="F1444" s="27">
        <v>3</v>
      </c>
      <c r="I1444" s="27">
        <v>3</v>
      </c>
    </row>
    <row r="1445" spans="1:11" x14ac:dyDescent="0.25">
      <c r="A1445" s="5" t="s">
        <v>6</v>
      </c>
      <c r="B1445" s="5" t="s">
        <v>7022</v>
      </c>
      <c r="C1445" s="1" t="s">
        <v>7023</v>
      </c>
      <c r="D1445" s="5" t="s">
        <v>17755</v>
      </c>
      <c r="E1445" s="32">
        <v>52</v>
      </c>
      <c r="F1445" s="27">
        <v>936</v>
      </c>
      <c r="I1445" s="27">
        <v>18</v>
      </c>
    </row>
    <row r="1446" spans="1:11" x14ac:dyDescent="0.25">
      <c r="A1446" s="5" t="s">
        <v>6</v>
      </c>
      <c r="B1446" s="5" t="s">
        <v>7025</v>
      </c>
      <c r="C1446" s="1" t="s">
        <v>7026</v>
      </c>
      <c r="D1446" s="5" t="s">
        <v>17755</v>
      </c>
      <c r="E1446" s="32">
        <v>59</v>
      </c>
      <c r="F1446" s="27">
        <v>1593</v>
      </c>
      <c r="G1446" s="32">
        <v>38</v>
      </c>
      <c r="H1446" s="27">
        <v>1086</v>
      </c>
      <c r="I1446" s="27">
        <v>27</v>
      </c>
      <c r="J1446" s="27">
        <v>28.578947368421051</v>
      </c>
      <c r="K1446" s="29">
        <v>5.8479532163742638E-2</v>
      </c>
    </row>
    <row r="1447" spans="1:11" x14ac:dyDescent="0.25">
      <c r="A1447" s="5" t="s">
        <v>6</v>
      </c>
      <c r="B1447" s="5" t="s">
        <v>7031</v>
      </c>
      <c r="C1447" s="1" t="s">
        <v>7032</v>
      </c>
      <c r="D1447" s="5" t="s">
        <v>17755</v>
      </c>
      <c r="E1447" s="32">
        <v>564</v>
      </c>
      <c r="F1447" s="27">
        <v>14920</v>
      </c>
      <c r="G1447" s="32">
        <v>404</v>
      </c>
      <c r="H1447" s="27">
        <v>11072</v>
      </c>
      <c r="I1447" s="27">
        <v>26.453900709219859</v>
      </c>
      <c r="J1447" s="27">
        <v>27.405940594059405</v>
      </c>
      <c r="K1447" s="29">
        <v>3.5988639078385003E-2</v>
      </c>
    </row>
    <row r="1448" spans="1:11" x14ac:dyDescent="0.25">
      <c r="A1448" s="5" t="s">
        <v>6</v>
      </c>
      <c r="B1448" s="5" t="s">
        <v>7037</v>
      </c>
      <c r="C1448" s="1" t="s">
        <v>7038</v>
      </c>
      <c r="D1448" s="5" t="s">
        <v>17755</v>
      </c>
      <c r="E1448" s="32">
        <v>7</v>
      </c>
      <c r="F1448" s="27">
        <v>35</v>
      </c>
      <c r="G1448" s="32">
        <v>40</v>
      </c>
      <c r="H1448" s="27">
        <v>200</v>
      </c>
      <c r="I1448" s="27">
        <v>5</v>
      </c>
      <c r="J1448" s="27">
        <v>5</v>
      </c>
      <c r="K1448" s="29">
        <v>0</v>
      </c>
    </row>
    <row r="1449" spans="1:11" x14ac:dyDescent="0.25">
      <c r="A1449" s="5" t="s">
        <v>6</v>
      </c>
      <c r="B1449" s="5" t="s">
        <v>7040</v>
      </c>
      <c r="C1449" s="1" t="s">
        <v>7041</v>
      </c>
      <c r="D1449" s="5" t="s">
        <v>17755</v>
      </c>
      <c r="E1449" s="32">
        <v>426</v>
      </c>
      <c r="F1449" s="27">
        <v>7583</v>
      </c>
      <c r="G1449" s="32">
        <v>514</v>
      </c>
      <c r="H1449" s="27">
        <v>9603</v>
      </c>
      <c r="I1449" s="27">
        <v>17.800469483568076</v>
      </c>
      <c r="J1449" s="27">
        <v>18.682879377431906</v>
      </c>
      <c r="K1449" s="29">
        <v>4.9572282050110987E-2</v>
      </c>
    </row>
    <row r="1450" spans="1:11" x14ac:dyDescent="0.25">
      <c r="A1450" s="5" t="s">
        <v>6</v>
      </c>
      <c r="B1450" s="5" t="s">
        <v>7043</v>
      </c>
      <c r="C1450" s="1" t="s">
        <v>7044</v>
      </c>
      <c r="D1450" s="5" t="s">
        <v>17755</v>
      </c>
      <c r="E1450" s="32">
        <v>44</v>
      </c>
      <c r="F1450" s="27">
        <v>132</v>
      </c>
      <c r="G1450" s="32">
        <v>28</v>
      </c>
      <c r="H1450" s="27">
        <v>84</v>
      </c>
      <c r="I1450" s="27">
        <v>3</v>
      </c>
      <c r="J1450" s="27">
        <v>3</v>
      </c>
      <c r="K1450" s="29">
        <v>0</v>
      </c>
    </row>
    <row r="1451" spans="1:11" x14ac:dyDescent="0.25">
      <c r="A1451" s="5" t="s">
        <v>6</v>
      </c>
      <c r="B1451" s="5" t="s">
        <v>7046</v>
      </c>
      <c r="C1451" s="1" t="s">
        <v>7047</v>
      </c>
      <c r="D1451" s="5" t="s">
        <v>17755</v>
      </c>
      <c r="E1451" s="32">
        <v>10840</v>
      </c>
      <c r="F1451" s="27">
        <v>193038</v>
      </c>
      <c r="G1451" s="32">
        <v>11533</v>
      </c>
      <c r="H1451" s="27">
        <v>214502</v>
      </c>
      <c r="I1451" s="27">
        <v>17.807933579335792</v>
      </c>
      <c r="J1451" s="27">
        <v>18.598976849041879</v>
      </c>
      <c r="K1451" s="29">
        <v>4.4420834465825294E-2</v>
      </c>
    </row>
    <row r="1452" spans="1:11" x14ac:dyDescent="0.25">
      <c r="A1452" s="5" t="s">
        <v>6</v>
      </c>
      <c r="B1452" s="5" t="s">
        <v>7052</v>
      </c>
      <c r="C1452" s="1" t="s">
        <v>7053</v>
      </c>
      <c r="D1452" s="5" t="s">
        <v>17755</v>
      </c>
      <c r="E1452" s="32">
        <v>2298</v>
      </c>
      <c r="F1452" s="27">
        <v>60794</v>
      </c>
      <c r="G1452" s="32">
        <v>2579</v>
      </c>
      <c r="H1452" s="27">
        <v>72101</v>
      </c>
      <c r="I1452" s="27">
        <v>26.455178416013926</v>
      </c>
      <c r="J1452" s="27">
        <v>27.956960062039549</v>
      </c>
      <c r="K1452" s="29">
        <v>5.6767020142890458E-2</v>
      </c>
    </row>
    <row r="1453" spans="1:11" x14ac:dyDescent="0.25">
      <c r="A1453" s="5" t="s">
        <v>6</v>
      </c>
      <c r="B1453" s="5" t="s">
        <v>7055</v>
      </c>
      <c r="C1453" s="1" t="s">
        <v>7056</v>
      </c>
      <c r="D1453" s="5" t="s">
        <v>17755</v>
      </c>
      <c r="E1453" s="32">
        <v>314</v>
      </c>
      <c r="F1453" s="27">
        <v>1570</v>
      </c>
      <c r="G1453" s="32">
        <v>157</v>
      </c>
      <c r="H1453" s="27">
        <v>785</v>
      </c>
      <c r="I1453" s="27">
        <v>5</v>
      </c>
      <c r="J1453" s="27">
        <v>5</v>
      </c>
      <c r="K1453" s="29">
        <v>0</v>
      </c>
    </row>
    <row r="1454" spans="1:11" x14ac:dyDescent="0.25">
      <c r="A1454" s="5" t="s">
        <v>6</v>
      </c>
      <c r="B1454" s="5" t="s">
        <v>7057</v>
      </c>
      <c r="C1454" s="1" t="s">
        <v>7058</v>
      </c>
      <c r="D1454" s="5" t="s">
        <v>17755</v>
      </c>
      <c r="E1454" s="32">
        <v>510</v>
      </c>
      <c r="F1454" s="27">
        <v>9087</v>
      </c>
      <c r="G1454" s="32">
        <v>483</v>
      </c>
      <c r="H1454" s="27">
        <v>9024</v>
      </c>
      <c r="I1454" s="27">
        <v>17.817647058823528</v>
      </c>
      <c r="J1454" s="27">
        <v>18.683229813664596</v>
      </c>
      <c r="K1454" s="29">
        <v>4.8580081981836089E-2</v>
      </c>
    </row>
    <row r="1455" spans="1:11" x14ac:dyDescent="0.25">
      <c r="A1455" s="5" t="s">
        <v>6</v>
      </c>
      <c r="B1455" s="5" t="s">
        <v>7061</v>
      </c>
      <c r="C1455" s="1" t="s">
        <v>7062</v>
      </c>
      <c r="D1455" s="5" t="s">
        <v>17755</v>
      </c>
      <c r="E1455" s="32">
        <v>216</v>
      </c>
      <c r="F1455" s="27">
        <v>1080</v>
      </c>
      <c r="G1455" s="32">
        <v>77</v>
      </c>
      <c r="H1455" s="27">
        <v>385</v>
      </c>
      <c r="I1455" s="27">
        <v>5</v>
      </c>
      <c r="J1455" s="27">
        <v>5</v>
      </c>
      <c r="K1455" s="29">
        <v>0</v>
      </c>
    </row>
    <row r="1456" spans="1:11" x14ac:dyDescent="0.25">
      <c r="A1456" s="5" t="s">
        <v>6</v>
      </c>
      <c r="B1456" s="5" t="s">
        <v>7064</v>
      </c>
      <c r="C1456" s="1" t="s">
        <v>7065</v>
      </c>
      <c r="D1456" s="5" t="s">
        <v>17755</v>
      </c>
      <c r="E1456" s="32">
        <v>66</v>
      </c>
      <c r="F1456" s="27">
        <v>1183</v>
      </c>
      <c r="G1456" s="32">
        <v>379</v>
      </c>
      <c r="H1456" s="27">
        <v>7195</v>
      </c>
      <c r="I1456" s="27">
        <v>17.924242424242426</v>
      </c>
      <c r="J1456" s="27">
        <v>18.984168865435358</v>
      </c>
      <c r="K1456" s="29">
        <v>5.9133681419047762E-2</v>
      </c>
    </row>
    <row r="1457" spans="1:11" x14ac:dyDescent="0.25">
      <c r="A1457" s="5" t="s">
        <v>6</v>
      </c>
      <c r="B1457" s="5" t="s">
        <v>7067</v>
      </c>
      <c r="C1457" s="1" t="s">
        <v>7068</v>
      </c>
      <c r="D1457" s="5" t="s">
        <v>17755</v>
      </c>
      <c r="E1457" s="32">
        <v>48</v>
      </c>
      <c r="F1457" s="27">
        <v>860</v>
      </c>
      <c r="G1457" s="32">
        <v>12</v>
      </c>
      <c r="H1457" s="27">
        <v>226</v>
      </c>
      <c r="I1457" s="27">
        <v>17.916666666666668</v>
      </c>
      <c r="J1457" s="27">
        <v>18.833333333333332</v>
      </c>
      <c r="K1457" s="29">
        <v>5.1162790697674286E-2</v>
      </c>
    </row>
    <row r="1458" spans="1:11" x14ac:dyDescent="0.25">
      <c r="A1458" s="5" t="s">
        <v>6</v>
      </c>
      <c r="B1458" s="5" t="s">
        <v>7070</v>
      </c>
      <c r="C1458" s="1" t="s">
        <v>7071</v>
      </c>
      <c r="D1458" s="5" t="s">
        <v>17755</v>
      </c>
      <c r="E1458" s="32">
        <v>402</v>
      </c>
      <c r="F1458" s="27">
        <v>10584</v>
      </c>
      <c r="G1458" s="32">
        <v>312</v>
      </c>
      <c r="H1458" s="27">
        <v>8798</v>
      </c>
      <c r="I1458" s="27">
        <v>26.328358208955223</v>
      </c>
      <c r="J1458" s="27">
        <v>28.198717948717949</v>
      </c>
      <c r="K1458" s="29">
        <v>7.1039740682597885E-2</v>
      </c>
    </row>
    <row r="1459" spans="1:11" x14ac:dyDescent="0.25">
      <c r="A1459" s="5" t="s">
        <v>6</v>
      </c>
      <c r="B1459" s="5" t="s">
        <v>7073</v>
      </c>
      <c r="C1459" s="1" t="s">
        <v>7074</v>
      </c>
      <c r="D1459" s="5" t="s">
        <v>17755</v>
      </c>
      <c r="E1459" s="32">
        <v>19</v>
      </c>
      <c r="F1459" s="27">
        <v>190</v>
      </c>
      <c r="G1459" s="32">
        <v>39</v>
      </c>
      <c r="H1459" s="27">
        <v>414</v>
      </c>
      <c r="I1459" s="27">
        <v>10</v>
      </c>
      <c r="J1459" s="27">
        <v>10.615384615384615</v>
      </c>
      <c r="K1459" s="29">
        <v>6.15384615384615E-2</v>
      </c>
    </row>
    <row r="1460" spans="1:11" x14ac:dyDescent="0.25">
      <c r="A1460" s="5" t="s">
        <v>6</v>
      </c>
      <c r="B1460" s="5" t="s">
        <v>7076</v>
      </c>
      <c r="C1460" s="1" t="s">
        <v>7077</v>
      </c>
      <c r="D1460" s="5" t="s">
        <v>17755</v>
      </c>
      <c r="E1460" s="32">
        <v>320</v>
      </c>
      <c r="F1460" s="27">
        <v>12991</v>
      </c>
      <c r="G1460" s="32">
        <v>551</v>
      </c>
      <c r="H1460" s="27">
        <v>23725</v>
      </c>
      <c r="I1460" s="27">
        <v>40.596874999999997</v>
      </c>
      <c r="J1460" s="27">
        <v>43.058076225045369</v>
      </c>
      <c r="K1460" s="29">
        <v>6.0625386191557155E-2</v>
      </c>
    </row>
    <row r="1461" spans="1:11" x14ac:dyDescent="0.25">
      <c r="A1461" s="5" t="s">
        <v>6</v>
      </c>
      <c r="B1461" s="5" t="s">
        <v>7079</v>
      </c>
      <c r="C1461" s="1" t="s">
        <v>7080</v>
      </c>
      <c r="D1461" s="5" t="s">
        <v>17755</v>
      </c>
      <c r="E1461" s="32">
        <v>65</v>
      </c>
      <c r="F1461" s="27">
        <v>1170</v>
      </c>
      <c r="G1461" s="32">
        <v>47</v>
      </c>
      <c r="H1461" s="27">
        <v>869</v>
      </c>
      <c r="I1461" s="27">
        <v>18</v>
      </c>
      <c r="J1461" s="27">
        <v>18.48936170212766</v>
      </c>
      <c r="K1461" s="29">
        <v>2.7186761229314429E-2</v>
      </c>
    </row>
    <row r="1462" spans="1:11" x14ac:dyDescent="0.25">
      <c r="A1462" s="5" t="s">
        <v>6</v>
      </c>
      <c r="B1462" s="5" t="s">
        <v>7082</v>
      </c>
      <c r="C1462" s="1" t="s">
        <v>7083</v>
      </c>
      <c r="D1462" s="5" t="s">
        <v>17755</v>
      </c>
      <c r="E1462" s="32">
        <v>126</v>
      </c>
      <c r="F1462" s="27">
        <v>3376</v>
      </c>
      <c r="G1462" s="32">
        <v>179</v>
      </c>
      <c r="H1462" s="27">
        <v>4889</v>
      </c>
      <c r="I1462" s="27">
        <v>26.793650793650794</v>
      </c>
      <c r="J1462" s="27">
        <v>27.312849162011172</v>
      </c>
      <c r="K1462" s="29">
        <v>1.9377664221980933E-2</v>
      </c>
    </row>
    <row r="1463" spans="1:11" x14ac:dyDescent="0.25">
      <c r="A1463" s="5" t="s">
        <v>6</v>
      </c>
      <c r="B1463" s="5" t="s">
        <v>7085</v>
      </c>
      <c r="C1463" s="1" t="s">
        <v>7086</v>
      </c>
      <c r="D1463" s="5" t="s">
        <v>17755</v>
      </c>
      <c r="E1463" s="32">
        <v>1087</v>
      </c>
      <c r="F1463" s="27">
        <v>28803</v>
      </c>
      <c r="G1463" s="32">
        <v>358</v>
      </c>
      <c r="H1463" s="27">
        <v>10228</v>
      </c>
      <c r="I1463" s="27">
        <v>26.497700091996322</v>
      </c>
      <c r="J1463" s="27">
        <v>28.569832402234638</v>
      </c>
      <c r="K1463" s="29">
        <v>7.8200459022638266E-2</v>
      </c>
    </row>
    <row r="1464" spans="1:11" x14ac:dyDescent="0.25">
      <c r="A1464" s="5" t="s">
        <v>6</v>
      </c>
      <c r="B1464" s="5" t="s">
        <v>7088</v>
      </c>
      <c r="C1464" s="1" t="s">
        <v>7089</v>
      </c>
      <c r="D1464" s="5" t="s">
        <v>17755</v>
      </c>
      <c r="E1464" s="32">
        <v>5</v>
      </c>
      <c r="F1464" s="27">
        <v>25</v>
      </c>
      <c r="G1464" s="32">
        <v>3</v>
      </c>
      <c r="H1464" s="27">
        <v>15</v>
      </c>
      <c r="I1464" s="27">
        <v>5</v>
      </c>
      <c r="J1464" s="27">
        <v>5</v>
      </c>
      <c r="K1464" s="29">
        <v>0</v>
      </c>
    </row>
    <row r="1465" spans="1:11" x14ac:dyDescent="0.25">
      <c r="A1465" s="5" t="s">
        <v>6</v>
      </c>
      <c r="B1465" s="5" t="s">
        <v>7097</v>
      </c>
      <c r="C1465" s="1" t="s">
        <v>7098</v>
      </c>
      <c r="D1465" s="5" t="s">
        <v>17755</v>
      </c>
      <c r="E1465" s="32">
        <v>20</v>
      </c>
      <c r="F1465" s="27">
        <v>299</v>
      </c>
      <c r="G1465" s="32">
        <v>159</v>
      </c>
      <c r="H1465" s="27">
        <v>2467</v>
      </c>
      <c r="I1465" s="27">
        <v>14.95</v>
      </c>
      <c r="J1465" s="27">
        <v>15.515723270440251</v>
      </c>
      <c r="K1465" s="29">
        <v>3.7841021434130553E-2</v>
      </c>
    </row>
    <row r="1466" spans="1:11" x14ac:dyDescent="0.25">
      <c r="A1466" s="5" t="s">
        <v>6</v>
      </c>
      <c r="B1466" s="5" t="s">
        <v>7103</v>
      </c>
      <c r="C1466" s="1" t="s">
        <v>7104</v>
      </c>
      <c r="D1466" s="5" t="s">
        <v>17756</v>
      </c>
      <c r="E1466" s="32">
        <v>54</v>
      </c>
      <c r="F1466" s="27">
        <v>968</v>
      </c>
      <c r="G1466" s="32">
        <v>54</v>
      </c>
      <c r="H1466" s="27">
        <v>1004</v>
      </c>
      <c r="I1466" s="27">
        <v>17.925925925925927</v>
      </c>
      <c r="J1466" s="27">
        <v>18.592592592592592</v>
      </c>
      <c r="K1466" s="29">
        <v>3.7190082644627961E-2</v>
      </c>
    </row>
    <row r="1467" spans="1:11" x14ac:dyDescent="0.25">
      <c r="A1467" s="5" t="s">
        <v>6</v>
      </c>
      <c r="B1467" s="5" t="s">
        <v>7106</v>
      </c>
      <c r="C1467" s="1" t="s">
        <v>7107</v>
      </c>
      <c r="D1467" s="5" t="s">
        <v>17755</v>
      </c>
      <c r="E1467" s="32">
        <v>889</v>
      </c>
      <c r="F1467" s="27">
        <v>15874</v>
      </c>
      <c r="G1467" s="32">
        <v>1293</v>
      </c>
      <c r="H1467" s="27">
        <v>24198</v>
      </c>
      <c r="I1467" s="27">
        <v>17.856017997750282</v>
      </c>
      <c r="J1467" s="27">
        <v>18.71461716937355</v>
      </c>
      <c r="K1467" s="29">
        <v>4.8084582560985606E-2</v>
      </c>
    </row>
    <row r="1468" spans="1:11" x14ac:dyDescent="0.25">
      <c r="A1468" s="5" t="s">
        <v>6</v>
      </c>
      <c r="B1468" s="5" t="s">
        <v>7109</v>
      </c>
      <c r="C1468" s="1" t="s">
        <v>7110</v>
      </c>
      <c r="D1468" s="5" t="s">
        <v>17755</v>
      </c>
      <c r="E1468" s="32">
        <v>1025</v>
      </c>
      <c r="F1468" s="27">
        <v>24280</v>
      </c>
      <c r="G1468" s="32">
        <v>1223</v>
      </c>
      <c r="H1468" s="27">
        <v>31000</v>
      </c>
      <c r="I1468" s="27">
        <v>23.68780487804878</v>
      </c>
      <c r="J1468" s="27">
        <v>25.347506132461159</v>
      </c>
      <c r="K1468" s="29">
        <v>7.0065641918150276E-2</v>
      </c>
    </row>
    <row r="1469" spans="1:11" x14ac:dyDescent="0.25">
      <c r="A1469" s="5" t="s">
        <v>6</v>
      </c>
      <c r="B1469" s="5" t="s">
        <v>7118</v>
      </c>
      <c r="C1469" s="1" t="s">
        <v>7119</v>
      </c>
      <c r="D1469" s="5" t="s">
        <v>17755</v>
      </c>
      <c r="E1469" s="32">
        <v>43</v>
      </c>
      <c r="F1469" s="27">
        <v>1161</v>
      </c>
      <c r="I1469" s="27">
        <v>27</v>
      </c>
    </row>
    <row r="1470" spans="1:11" x14ac:dyDescent="0.25">
      <c r="A1470" s="5" t="s">
        <v>6</v>
      </c>
      <c r="B1470" s="5" t="s">
        <v>7127</v>
      </c>
      <c r="C1470" s="1" t="s">
        <v>7128</v>
      </c>
      <c r="D1470" s="5" t="s">
        <v>17755</v>
      </c>
      <c r="E1470" s="32">
        <v>165</v>
      </c>
      <c r="F1470" s="27">
        <v>4455</v>
      </c>
      <c r="G1470" s="32">
        <v>73</v>
      </c>
      <c r="H1470" s="27">
        <v>2093</v>
      </c>
      <c r="I1470" s="27">
        <v>27</v>
      </c>
      <c r="J1470" s="27">
        <v>28.671232876712327</v>
      </c>
      <c r="K1470" s="29">
        <v>6.1897513952308421E-2</v>
      </c>
    </row>
    <row r="1471" spans="1:11" x14ac:dyDescent="0.25">
      <c r="A1471" s="5" t="s">
        <v>6</v>
      </c>
      <c r="B1471" s="5" t="s">
        <v>7130</v>
      </c>
      <c r="C1471" s="1" t="s">
        <v>7131</v>
      </c>
      <c r="D1471" s="5" t="s">
        <v>17755</v>
      </c>
      <c r="E1471" s="32">
        <v>7</v>
      </c>
      <c r="F1471" s="27">
        <v>189</v>
      </c>
      <c r="G1471" s="32">
        <v>8</v>
      </c>
      <c r="H1471" s="27">
        <v>232</v>
      </c>
      <c r="I1471" s="27">
        <v>27</v>
      </c>
      <c r="J1471" s="27">
        <v>29</v>
      </c>
      <c r="K1471" s="29">
        <v>7.407407407407407E-2</v>
      </c>
    </row>
    <row r="1472" spans="1:11" x14ac:dyDescent="0.25">
      <c r="A1472" s="5" t="s">
        <v>6</v>
      </c>
      <c r="B1472" s="5" t="s">
        <v>7148</v>
      </c>
      <c r="C1472" s="1" t="s">
        <v>7149</v>
      </c>
      <c r="D1472" s="5" t="s">
        <v>17755</v>
      </c>
      <c r="E1472" s="32">
        <v>93</v>
      </c>
      <c r="F1472" s="27">
        <v>1649</v>
      </c>
      <c r="G1472" s="32">
        <v>48</v>
      </c>
      <c r="H1472" s="27">
        <v>900</v>
      </c>
      <c r="I1472" s="27">
        <v>17.731182795698924</v>
      </c>
      <c r="J1472" s="27">
        <v>18.75</v>
      </c>
      <c r="K1472" s="29">
        <v>5.745906610066711E-2</v>
      </c>
    </row>
    <row r="1473" spans="1:11" x14ac:dyDescent="0.25">
      <c r="A1473" s="5" t="s">
        <v>6</v>
      </c>
      <c r="B1473" s="5" t="s">
        <v>7151</v>
      </c>
      <c r="C1473" s="1" t="s">
        <v>7152</v>
      </c>
      <c r="D1473" s="5" t="s">
        <v>17755</v>
      </c>
      <c r="E1473" s="32">
        <v>99</v>
      </c>
      <c r="F1473" s="27">
        <v>1775</v>
      </c>
      <c r="G1473" s="32">
        <v>209</v>
      </c>
      <c r="H1473" s="27">
        <v>3916</v>
      </c>
      <c r="I1473" s="27">
        <v>17.929292929292931</v>
      </c>
      <c r="J1473" s="27">
        <v>18.736842105263158</v>
      </c>
      <c r="K1473" s="29">
        <v>4.5040770941437991E-2</v>
      </c>
    </row>
    <row r="1474" spans="1:11" x14ac:dyDescent="0.25">
      <c r="A1474" s="5" t="s">
        <v>6</v>
      </c>
      <c r="B1474" s="5" t="s">
        <v>7154</v>
      </c>
      <c r="C1474" s="1" t="s">
        <v>7155</v>
      </c>
      <c r="D1474" s="5" t="s">
        <v>17755</v>
      </c>
      <c r="E1474" s="32">
        <v>34</v>
      </c>
      <c r="F1474" s="27">
        <v>136</v>
      </c>
      <c r="G1474" s="32">
        <v>67</v>
      </c>
      <c r="H1474" s="27">
        <v>268</v>
      </c>
      <c r="I1474" s="27">
        <v>4</v>
      </c>
      <c r="J1474" s="27">
        <v>4</v>
      </c>
      <c r="K1474" s="29">
        <v>0</v>
      </c>
    </row>
    <row r="1475" spans="1:11" x14ac:dyDescent="0.25">
      <c r="A1475" s="5" t="s">
        <v>6</v>
      </c>
      <c r="B1475" s="5" t="s">
        <v>7157</v>
      </c>
      <c r="C1475" s="1" t="s">
        <v>7158</v>
      </c>
      <c r="D1475" s="5" t="s">
        <v>17755</v>
      </c>
      <c r="E1475" s="32">
        <v>390</v>
      </c>
      <c r="F1475" s="27">
        <v>6940</v>
      </c>
      <c r="G1475" s="32">
        <v>932</v>
      </c>
      <c r="H1475" s="27">
        <v>17428</v>
      </c>
      <c r="I1475" s="27">
        <v>17.794871794871796</v>
      </c>
      <c r="J1475" s="27">
        <v>18.699570815450645</v>
      </c>
      <c r="K1475" s="29">
        <v>5.0840434874027569E-2</v>
      </c>
    </row>
    <row r="1476" spans="1:11" x14ac:dyDescent="0.25">
      <c r="A1476" s="5" t="s">
        <v>6</v>
      </c>
      <c r="B1476" s="5" t="s">
        <v>7160</v>
      </c>
      <c r="C1476" s="1" t="s">
        <v>7161</v>
      </c>
      <c r="D1476" s="5" t="s">
        <v>17755</v>
      </c>
      <c r="E1476" s="32">
        <v>6</v>
      </c>
      <c r="F1476" s="27">
        <v>162</v>
      </c>
      <c r="G1476" s="32">
        <v>12</v>
      </c>
      <c r="H1476" s="27">
        <v>340</v>
      </c>
      <c r="I1476" s="27">
        <v>27</v>
      </c>
      <c r="J1476" s="27">
        <v>28.333333333333332</v>
      </c>
      <c r="K1476" s="29">
        <v>4.9382716049382672E-2</v>
      </c>
    </row>
    <row r="1477" spans="1:11" x14ac:dyDescent="0.25">
      <c r="A1477" s="5" t="s">
        <v>6</v>
      </c>
      <c r="B1477" s="5" t="s">
        <v>7166</v>
      </c>
      <c r="C1477" s="1" t="s">
        <v>7167</v>
      </c>
      <c r="D1477" s="5" t="s">
        <v>17755</v>
      </c>
      <c r="E1477" s="32">
        <v>801</v>
      </c>
      <c r="F1477" s="27">
        <v>21193</v>
      </c>
      <c r="G1477" s="32">
        <v>1286</v>
      </c>
      <c r="H1477" s="27">
        <v>36004</v>
      </c>
      <c r="I1477" s="27">
        <v>26.458177278401998</v>
      </c>
      <c r="J1477" s="27">
        <v>27.996889580093313</v>
      </c>
      <c r="K1477" s="29">
        <v>5.8156398511524744E-2</v>
      </c>
    </row>
    <row r="1478" spans="1:11" x14ac:dyDescent="0.25">
      <c r="A1478" s="5" t="s">
        <v>6</v>
      </c>
      <c r="B1478" s="5" t="s">
        <v>7169</v>
      </c>
      <c r="C1478" s="1" t="s">
        <v>7170</v>
      </c>
      <c r="D1478" s="5" t="s">
        <v>17755</v>
      </c>
      <c r="E1478" s="32">
        <v>26</v>
      </c>
      <c r="F1478" s="27">
        <v>624</v>
      </c>
      <c r="G1478" s="32">
        <v>37</v>
      </c>
      <c r="H1478" s="27">
        <v>950</v>
      </c>
      <c r="I1478" s="27">
        <v>24</v>
      </c>
      <c r="J1478" s="27">
        <v>25.675675675675677</v>
      </c>
      <c r="K1478" s="29">
        <v>6.9819819819819884E-2</v>
      </c>
    </row>
    <row r="1479" spans="1:11" x14ac:dyDescent="0.25">
      <c r="A1479" s="5" t="s">
        <v>6</v>
      </c>
      <c r="B1479" s="5" t="s">
        <v>7172</v>
      </c>
      <c r="C1479" s="1" t="s">
        <v>7173</v>
      </c>
      <c r="D1479" s="5" t="s">
        <v>17755</v>
      </c>
      <c r="E1479" s="32">
        <v>89</v>
      </c>
      <c r="F1479" s="27">
        <v>2397</v>
      </c>
      <c r="G1479" s="32">
        <v>239</v>
      </c>
      <c r="H1479" s="27">
        <v>6725</v>
      </c>
      <c r="I1479" s="27">
        <v>26.932584269662922</v>
      </c>
      <c r="J1479" s="27">
        <v>28.13807531380753</v>
      </c>
      <c r="K1479" s="29">
        <v>4.4759575689975024E-2</v>
      </c>
    </row>
    <row r="1480" spans="1:11" x14ac:dyDescent="0.25">
      <c r="A1480" s="5" t="s">
        <v>6</v>
      </c>
      <c r="B1480" s="5" t="s">
        <v>7175</v>
      </c>
      <c r="C1480" s="1" t="s">
        <v>7176</v>
      </c>
      <c r="D1480" s="5" t="s">
        <v>17755</v>
      </c>
      <c r="E1480" s="32">
        <v>1137</v>
      </c>
      <c r="F1480" s="27">
        <v>34779</v>
      </c>
      <c r="G1480" s="32">
        <v>1082</v>
      </c>
      <c r="H1480" s="27">
        <v>34904</v>
      </c>
      <c r="I1480" s="27">
        <v>30.58839050131926</v>
      </c>
      <c r="J1480" s="27">
        <v>32.258780036968574</v>
      </c>
      <c r="K1480" s="29">
        <v>5.4608611576907599E-2</v>
      </c>
    </row>
    <row r="1481" spans="1:11" x14ac:dyDescent="0.25">
      <c r="A1481" s="5" t="s">
        <v>6</v>
      </c>
      <c r="B1481" s="5" t="s">
        <v>7178</v>
      </c>
      <c r="C1481" s="1" t="s">
        <v>7179</v>
      </c>
      <c r="D1481" s="5" t="s">
        <v>17755</v>
      </c>
      <c r="E1481" s="32">
        <v>2</v>
      </c>
      <c r="F1481" s="27">
        <v>52</v>
      </c>
      <c r="I1481" s="27">
        <v>26</v>
      </c>
    </row>
    <row r="1482" spans="1:11" x14ac:dyDescent="0.25">
      <c r="A1482" s="5" t="s">
        <v>6</v>
      </c>
      <c r="B1482" s="5" t="s">
        <v>7181</v>
      </c>
      <c r="C1482" s="1" t="s">
        <v>7182</v>
      </c>
      <c r="D1482" s="5" t="s">
        <v>17755</v>
      </c>
      <c r="E1482" s="32">
        <v>436</v>
      </c>
      <c r="F1482" s="27">
        <v>10334</v>
      </c>
      <c r="G1482" s="32">
        <v>539</v>
      </c>
      <c r="H1482" s="27">
        <v>13610</v>
      </c>
      <c r="I1482" s="27">
        <v>23.701834862385322</v>
      </c>
      <c r="J1482" s="27">
        <v>25.250463821892392</v>
      </c>
      <c r="K1482" s="29">
        <v>6.5337935585937923E-2</v>
      </c>
    </row>
    <row r="1483" spans="1:11" x14ac:dyDescent="0.25">
      <c r="A1483" s="5" t="s">
        <v>6</v>
      </c>
      <c r="B1483" s="5" t="s">
        <v>7184</v>
      </c>
      <c r="C1483" s="1" t="s">
        <v>7185</v>
      </c>
      <c r="D1483" s="5" t="s">
        <v>17755</v>
      </c>
      <c r="E1483" s="32">
        <v>45</v>
      </c>
      <c r="F1483" s="27">
        <v>1295</v>
      </c>
      <c r="I1483" s="27">
        <v>28.777777777777779</v>
      </c>
    </row>
    <row r="1484" spans="1:11" x14ac:dyDescent="0.25">
      <c r="A1484" s="5" t="s">
        <v>6</v>
      </c>
      <c r="B1484" s="5" t="s">
        <v>7196</v>
      </c>
      <c r="C1484" s="1" t="s">
        <v>7197</v>
      </c>
      <c r="D1484" s="5" t="s">
        <v>17755</v>
      </c>
      <c r="E1484" s="32">
        <v>6</v>
      </c>
      <c r="F1484" s="27">
        <v>378</v>
      </c>
      <c r="I1484" s="27">
        <v>63</v>
      </c>
    </row>
    <row r="1485" spans="1:11" x14ac:dyDescent="0.25">
      <c r="A1485" s="5" t="s">
        <v>6</v>
      </c>
      <c r="B1485" s="5" t="s">
        <v>7199</v>
      </c>
      <c r="C1485" s="1" t="s">
        <v>7200</v>
      </c>
      <c r="D1485" s="5" t="s">
        <v>17755</v>
      </c>
      <c r="E1485" s="32">
        <v>69</v>
      </c>
      <c r="F1485" s="27">
        <v>1567</v>
      </c>
      <c r="G1485" s="32">
        <v>176</v>
      </c>
      <c r="H1485" s="27">
        <v>4326</v>
      </c>
      <c r="I1485" s="27">
        <v>22.710144927536231</v>
      </c>
      <c r="J1485" s="27">
        <v>24.579545454545453</v>
      </c>
      <c r="K1485" s="29">
        <v>8.2315658177177009E-2</v>
      </c>
    </row>
    <row r="1486" spans="1:11" x14ac:dyDescent="0.25">
      <c r="A1486" s="5" t="s">
        <v>6</v>
      </c>
      <c r="B1486" s="5" t="s">
        <v>7211</v>
      </c>
      <c r="C1486" s="1" t="s">
        <v>7212</v>
      </c>
      <c r="D1486" s="5" t="s">
        <v>17755</v>
      </c>
      <c r="E1486" s="32">
        <v>785</v>
      </c>
      <c r="F1486" s="27">
        <v>22449</v>
      </c>
      <c r="G1486" s="32">
        <v>1155</v>
      </c>
      <c r="H1486" s="27">
        <v>34635</v>
      </c>
      <c r="I1486" s="27">
        <v>28.597452229299364</v>
      </c>
      <c r="J1486" s="27">
        <v>29.987012987012989</v>
      </c>
      <c r="K1486" s="29">
        <v>4.8590369050077742E-2</v>
      </c>
    </row>
    <row r="1487" spans="1:11" x14ac:dyDescent="0.25">
      <c r="A1487" s="5" t="s">
        <v>6</v>
      </c>
      <c r="B1487" s="5" t="s">
        <v>7214</v>
      </c>
      <c r="C1487" s="1" t="s">
        <v>7215</v>
      </c>
      <c r="D1487" s="5" t="s">
        <v>17755</v>
      </c>
      <c r="E1487" s="32">
        <v>724</v>
      </c>
      <c r="F1487" s="27">
        <v>22152</v>
      </c>
      <c r="G1487" s="32">
        <v>593</v>
      </c>
      <c r="H1487" s="27">
        <v>18957</v>
      </c>
      <c r="I1487" s="27">
        <v>30.596685082872927</v>
      </c>
      <c r="J1487" s="27">
        <v>31.967959527824622</v>
      </c>
      <c r="K1487" s="29">
        <v>4.4817745492281826E-2</v>
      </c>
    </row>
    <row r="1488" spans="1:11" x14ac:dyDescent="0.25">
      <c r="A1488" s="5" t="s">
        <v>6</v>
      </c>
      <c r="B1488" s="5" t="s">
        <v>7226</v>
      </c>
      <c r="C1488" s="1" t="s">
        <v>7227</v>
      </c>
      <c r="D1488" s="5" t="s">
        <v>17755</v>
      </c>
      <c r="E1488" s="32">
        <v>3</v>
      </c>
      <c r="F1488" s="27">
        <v>225</v>
      </c>
      <c r="I1488" s="27">
        <v>75</v>
      </c>
    </row>
    <row r="1489" spans="1:11" x14ac:dyDescent="0.25">
      <c r="A1489" s="5" t="s">
        <v>6</v>
      </c>
      <c r="B1489" s="5" t="s">
        <v>7229</v>
      </c>
      <c r="C1489" s="1" t="s">
        <v>7230</v>
      </c>
      <c r="D1489" s="5" t="s">
        <v>17755</v>
      </c>
      <c r="E1489" s="32">
        <v>525</v>
      </c>
      <c r="F1489" s="27">
        <v>9419</v>
      </c>
      <c r="G1489" s="32">
        <v>769</v>
      </c>
      <c r="H1489" s="27">
        <v>14244</v>
      </c>
      <c r="I1489" s="27">
        <v>17.940952380952382</v>
      </c>
      <c r="J1489" s="27">
        <v>18.522756827048113</v>
      </c>
      <c r="K1489" s="29">
        <v>3.2428849580662361E-2</v>
      </c>
    </row>
    <row r="1490" spans="1:11" x14ac:dyDescent="0.25">
      <c r="A1490" s="5" t="s">
        <v>6</v>
      </c>
      <c r="B1490" s="5" t="s">
        <v>7235</v>
      </c>
      <c r="C1490" s="1" t="s">
        <v>7236</v>
      </c>
      <c r="D1490" s="5" t="s">
        <v>17755</v>
      </c>
      <c r="E1490" s="32">
        <v>20</v>
      </c>
      <c r="F1490" s="27">
        <v>820</v>
      </c>
      <c r="I1490" s="27">
        <v>41</v>
      </c>
    </row>
    <row r="1491" spans="1:11" x14ac:dyDescent="0.25">
      <c r="A1491" s="5" t="s">
        <v>6</v>
      </c>
      <c r="B1491" s="5" t="s">
        <v>7238</v>
      </c>
      <c r="C1491" s="1" t="s">
        <v>7239</v>
      </c>
      <c r="D1491" s="5" t="s">
        <v>17755</v>
      </c>
      <c r="E1491" s="32">
        <v>97</v>
      </c>
      <c r="F1491" s="27">
        <v>4325</v>
      </c>
      <c r="G1491" s="32">
        <v>333</v>
      </c>
      <c r="H1491" s="27">
        <v>16029</v>
      </c>
      <c r="I1491" s="27">
        <v>44.587628865979383</v>
      </c>
      <c r="J1491" s="27">
        <v>48.135135135135137</v>
      </c>
      <c r="K1491" s="29">
        <v>7.9562568348695517E-2</v>
      </c>
    </row>
    <row r="1492" spans="1:11" x14ac:dyDescent="0.25">
      <c r="A1492" s="5" t="s">
        <v>6</v>
      </c>
      <c r="B1492" s="5" t="s">
        <v>7241</v>
      </c>
      <c r="C1492" s="1" t="s">
        <v>7242</v>
      </c>
      <c r="D1492" s="5" t="s">
        <v>17755</v>
      </c>
      <c r="E1492" s="32">
        <v>747</v>
      </c>
      <c r="F1492" s="27">
        <v>34093</v>
      </c>
      <c r="G1492" s="32">
        <v>1211</v>
      </c>
      <c r="H1492" s="27">
        <v>58441</v>
      </c>
      <c r="I1492" s="27">
        <v>45.639892904953143</v>
      </c>
      <c r="J1492" s="27">
        <v>48.258464079273331</v>
      </c>
      <c r="K1492" s="29">
        <v>5.7374612595464773E-2</v>
      </c>
    </row>
    <row r="1493" spans="1:11" x14ac:dyDescent="0.25">
      <c r="A1493" s="5" t="s">
        <v>6</v>
      </c>
      <c r="B1493" s="5" t="s">
        <v>7244</v>
      </c>
      <c r="C1493" s="1" t="s">
        <v>7245</v>
      </c>
      <c r="D1493" s="5" t="s">
        <v>17755</v>
      </c>
      <c r="E1493" s="32">
        <v>91</v>
      </c>
      <c r="F1493" s="27">
        <v>4229</v>
      </c>
      <c r="G1493" s="32">
        <v>124</v>
      </c>
      <c r="H1493" s="27">
        <v>6312</v>
      </c>
      <c r="I1493" s="27">
        <v>46.472527472527474</v>
      </c>
      <c r="J1493" s="27">
        <v>50.903225806451616</v>
      </c>
      <c r="K1493" s="29">
        <v>9.5340162777748136E-2</v>
      </c>
    </row>
    <row r="1494" spans="1:11" x14ac:dyDescent="0.25">
      <c r="A1494" s="5" t="s">
        <v>6</v>
      </c>
      <c r="B1494" s="5" t="s">
        <v>7247</v>
      </c>
      <c r="C1494" s="1" t="s">
        <v>7248</v>
      </c>
      <c r="D1494" s="5" t="s">
        <v>17755</v>
      </c>
      <c r="E1494" s="32">
        <v>2</v>
      </c>
      <c r="F1494" s="27">
        <v>94</v>
      </c>
      <c r="I1494" s="27">
        <v>47</v>
      </c>
    </row>
    <row r="1495" spans="1:11" x14ac:dyDescent="0.25">
      <c r="A1495" s="5" t="s">
        <v>6</v>
      </c>
      <c r="B1495" s="5" t="s">
        <v>7262</v>
      </c>
      <c r="C1495" s="1" t="s">
        <v>7263</v>
      </c>
      <c r="D1495" s="5" t="s">
        <v>17755</v>
      </c>
      <c r="E1495" s="32">
        <v>10</v>
      </c>
      <c r="F1495" s="27">
        <v>468</v>
      </c>
      <c r="G1495" s="32">
        <v>3</v>
      </c>
      <c r="H1495" s="27">
        <v>152</v>
      </c>
      <c r="I1495" s="27">
        <v>46.8</v>
      </c>
      <c r="J1495" s="27">
        <v>50.666666666666664</v>
      </c>
      <c r="K1495" s="29">
        <v>8.2621082621082642E-2</v>
      </c>
    </row>
    <row r="1496" spans="1:11" x14ac:dyDescent="0.25">
      <c r="A1496" s="5" t="s">
        <v>6</v>
      </c>
      <c r="B1496" s="5" t="s">
        <v>7265</v>
      </c>
      <c r="C1496" s="1" t="s">
        <v>7266</v>
      </c>
      <c r="D1496" s="5" t="s">
        <v>17755</v>
      </c>
      <c r="E1496" s="32">
        <v>371</v>
      </c>
      <c r="F1496" s="27">
        <v>9502</v>
      </c>
      <c r="G1496" s="32">
        <v>50</v>
      </c>
      <c r="H1496" s="27">
        <v>1360</v>
      </c>
      <c r="I1496" s="27">
        <v>25.611859838274931</v>
      </c>
      <c r="J1496" s="27">
        <v>27.2</v>
      </c>
      <c r="K1496" s="29">
        <v>6.2007998316144002E-2</v>
      </c>
    </row>
    <row r="1497" spans="1:11" x14ac:dyDescent="0.25">
      <c r="A1497" s="5" t="s">
        <v>6</v>
      </c>
      <c r="B1497" s="5" t="s">
        <v>7268</v>
      </c>
      <c r="C1497" s="1" t="s">
        <v>7269</v>
      </c>
      <c r="D1497" s="5" t="s">
        <v>17755</v>
      </c>
      <c r="E1497" s="32">
        <v>68</v>
      </c>
      <c r="F1497" s="27">
        <v>6357</v>
      </c>
      <c r="G1497" s="32">
        <v>59</v>
      </c>
      <c r="H1497" s="27">
        <v>5826</v>
      </c>
      <c r="I1497" s="27">
        <v>93.485294117647058</v>
      </c>
      <c r="J1497" s="27">
        <v>98.745762711864401</v>
      </c>
      <c r="K1497" s="29">
        <v>5.6270546548179853E-2</v>
      </c>
    </row>
    <row r="1498" spans="1:11" x14ac:dyDescent="0.25">
      <c r="A1498" s="5" t="s">
        <v>6</v>
      </c>
      <c r="B1498" s="5" t="s">
        <v>7271</v>
      </c>
      <c r="C1498" s="1" t="s">
        <v>7272</v>
      </c>
      <c r="D1498" s="5" t="s">
        <v>17755</v>
      </c>
      <c r="E1498" s="32">
        <v>35</v>
      </c>
      <c r="F1498" s="27">
        <v>2607</v>
      </c>
      <c r="G1498" s="32">
        <v>88</v>
      </c>
      <c r="H1498" s="27">
        <v>6900</v>
      </c>
      <c r="I1498" s="27">
        <v>74.48571428571428</v>
      </c>
      <c r="J1498" s="27">
        <v>78.409090909090907</v>
      </c>
      <c r="K1498" s="29">
        <v>5.2672873731561917E-2</v>
      </c>
    </row>
    <row r="1499" spans="1:11" x14ac:dyDescent="0.25">
      <c r="A1499" s="5" t="s">
        <v>6</v>
      </c>
      <c r="B1499" s="5" t="s">
        <v>7280</v>
      </c>
      <c r="C1499" s="1" t="s">
        <v>7281</v>
      </c>
      <c r="D1499" s="5" t="s">
        <v>17755</v>
      </c>
      <c r="E1499" s="32">
        <v>762</v>
      </c>
      <c r="F1499" s="27">
        <v>3810</v>
      </c>
      <c r="G1499" s="32">
        <v>768</v>
      </c>
      <c r="H1499" s="27">
        <v>3840</v>
      </c>
      <c r="I1499" s="27">
        <v>5</v>
      </c>
      <c r="J1499" s="27">
        <v>5</v>
      </c>
      <c r="K1499" s="29">
        <v>0</v>
      </c>
    </row>
    <row r="1500" spans="1:11" x14ac:dyDescent="0.25">
      <c r="A1500" s="5" t="s">
        <v>6</v>
      </c>
      <c r="B1500" s="5" t="s">
        <v>7283</v>
      </c>
      <c r="C1500" s="1" t="s">
        <v>7284</v>
      </c>
      <c r="D1500" s="5" t="s">
        <v>17755</v>
      </c>
      <c r="E1500" s="32">
        <v>4319</v>
      </c>
      <c r="F1500" s="27">
        <v>110148</v>
      </c>
      <c r="G1500" s="32">
        <v>4238</v>
      </c>
      <c r="H1500" s="27">
        <v>116064</v>
      </c>
      <c r="I1500" s="27">
        <v>25.503125723547118</v>
      </c>
      <c r="J1500" s="27">
        <v>27.386503067484664</v>
      </c>
      <c r="K1500" s="29">
        <v>7.3848882852764114E-2</v>
      </c>
    </row>
    <row r="1501" spans="1:11" x14ac:dyDescent="0.25">
      <c r="A1501" s="5" t="s">
        <v>6</v>
      </c>
      <c r="B1501" s="5" t="s">
        <v>7289</v>
      </c>
      <c r="C1501" s="1" t="s">
        <v>7290</v>
      </c>
      <c r="D1501" s="5" t="s">
        <v>17755</v>
      </c>
      <c r="E1501" s="32">
        <v>118</v>
      </c>
      <c r="F1501" s="27">
        <v>14024</v>
      </c>
      <c r="G1501" s="32">
        <v>127</v>
      </c>
      <c r="H1501" s="27">
        <v>16113</v>
      </c>
      <c r="I1501" s="27">
        <v>118.84745762711864</v>
      </c>
      <c r="J1501" s="27">
        <v>126.8740157480315</v>
      </c>
      <c r="K1501" s="29">
        <v>6.7536641348239917E-2</v>
      </c>
    </row>
    <row r="1502" spans="1:11" x14ac:dyDescent="0.25">
      <c r="A1502" s="5" t="s">
        <v>6</v>
      </c>
      <c r="B1502" s="5" t="s">
        <v>7292</v>
      </c>
      <c r="C1502" s="1" t="s">
        <v>7293</v>
      </c>
      <c r="D1502" s="5" t="s">
        <v>17755</v>
      </c>
      <c r="E1502" s="32">
        <v>197</v>
      </c>
      <c r="F1502" s="27">
        <v>11226</v>
      </c>
      <c r="G1502" s="32">
        <v>201</v>
      </c>
      <c r="H1502" s="27">
        <v>12328</v>
      </c>
      <c r="I1502" s="27">
        <v>56.984771573604064</v>
      </c>
      <c r="J1502" s="27">
        <v>61.333333333333336</v>
      </c>
      <c r="K1502" s="29">
        <v>7.6310944830453101E-2</v>
      </c>
    </row>
    <row r="1503" spans="1:11" x14ac:dyDescent="0.25">
      <c r="A1503" s="5" t="s">
        <v>6</v>
      </c>
      <c r="B1503" s="5" t="s">
        <v>7295</v>
      </c>
      <c r="C1503" s="1" t="s">
        <v>7296</v>
      </c>
      <c r="D1503" s="5" t="s">
        <v>17755</v>
      </c>
      <c r="E1503" s="32">
        <v>498</v>
      </c>
      <c r="F1503" s="27">
        <v>43046</v>
      </c>
      <c r="G1503" s="32">
        <v>459</v>
      </c>
      <c r="H1503" s="27">
        <v>41837</v>
      </c>
      <c r="I1503" s="27">
        <v>86.437751004016064</v>
      </c>
      <c r="J1503" s="27">
        <v>91.148148148148152</v>
      </c>
      <c r="K1503" s="29">
        <v>5.449467494721414E-2</v>
      </c>
    </row>
    <row r="1504" spans="1:11" x14ac:dyDescent="0.25">
      <c r="A1504" s="5" t="s">
        <v>6</v>
      </c>
      <c r="B1504" s="5" t="s">
        <v>7298</v>
      </c>
      <c r="C1504" s="1" t="s">
        <v>7299</v>
      </c>
      <c r="D1504" s="5" t="s">
        <v>17755</v>
      </c>
      <c r="E1504" s="32">
        <v>493</v>
      </c>
      <c r="F1504" s="27">
        <v>8772</v>
      </c>
      <c r="G1504" s="32">
        <v>288</v>
      </c>
      <c r="H1504" s="27">
        <v>5372</v>
      </c>
      <c r="I1504" s="27">
        <v>17.793103448275861</v>
      </c>
      <c r="J1504" s="27">
        <v>18.652777777777779</v>
      </c>
      <c r="K1504" s="29">
        <v>4.8315030146425589E-2</v>
      </c>
    </row>
    <row r="1505" spans="1:11" x14ac:dyDescent="0.25">
      <c r="A1505" s="5" t="s">
        <v>6</v>
      </c>
      <c r="B1505" s="5" t="s">
        <v>7301</v>
      </c>
      <c r="C1505" s="1" t="s">
        <v>7302</v>
      </c>
      <c r="D1505" s="5" t="s">
        <v>17755</v>
      </c>
      <c r="E1505" s="32">
        <v>1102</v>
      </c>
      <c r="F1505" s="27">
        <v>19638</v>
      </c>
      <c r="G1505" s="32">
        <v>1016</v>
      </c>
      <c r="H1505" s="27">
        <v>19003</v>
      </c>
      <c r="I1505" s="27">
        <v>17.820326678765881</v>
      </c>
      <c r="J1505" s="27">
        <v>18.703740157480315</v>
      </c>
      <c r="K1505" s="29">
        <v>4.9573360502256164E-2</v>
      </c>
    </row>
    <row r="1506" spans="1:11" x14ac:dyDescent="0.25">
      <c r="A1506" s="5" t="s">
        <v>6</v>
      </c>
      <c r="B1506" s="5" t="s">
        <v>7304</v>
      </c>
      <c r="C1506" s="1" t="s">
        <v>7305</v>
      </c>
      <c r="D1506" s="5" t="s">
        <v>17755</v>
      </c>
      <c r="E1506" s="32">
        <v>1523</v>
      </c>
      <c r="F1506" s="27">
        <v>27178</v>
      </c>
      <c r="G1506" s="32">
        <v>1196</v>
      </c>
      <c r="H1506" s="27">
        <v>22352</v>
      </c>
      <c r="I1506" s="27">
        <v>17.845042678923178</v>
      </c>
      <c r="J1506" s="27">
        <v>18.68896321070234</v>
      </c>
      <c r="K1506" s="29">
        <v>4.7291595036414134E-2</v>
      </c>
    </row>
    <row r="1507" spans="1:11" x14ac:dyDescent="0.25">
      <c r="A1507" s="5" t="s">
        <v>6</v>
      </c>
      <c r="B1507" s="5" t="s">
        <v>7307</v>
      </c>
      <c r="C1507" s="1" t="s">
        <v>7308</v>
      </c>
      <c r="D1507" s="5" t="s">
        <v>17755</v>
      </c>
      <c r="E1507" s="32">
        <v>1073</v>
      </c>
      <c r="F1507" s="27">
        <v>19200</v>
      </c>
      <c r="G1507" s="32">
        <v>965</v>
      </c>
      <c r="H1507" s="27">
        <v>18051</v>
      </c>
      <c r="I1507" s="27">
        <v>17.893755824790308</v>
      </c>
      <c r="J1507" s="27">
        <v>18.705699481865285</v>
      </c>
      <c r="K1507" s="29">
        <v>4.5375809585492199E-2</v>
      </c>
    </row>
    <row r="1508" spans="1:11" x14ac:dyDescent="0.25">
      <c r="A1508" s="5" t="s">
        <v>6</v>
      </c>
      <c r="B1508" s="5" t="s">
        <v>7310</v>
      </c>
      <c r="C1508" s="1" t="s">
        <v>7311</v>
      </c>
      <c r="D1508" s="5" t="s">
        <v>17755</v>
      </c>
      <c r="E1508" s="32">
        <v>296</v>
      </c>
      <c r="F1508" s="27">
        <v>5256</v>
      </c>
      <c r="G1508" s="32">
        <v>266</v>
      </c>
      <c r="H1508" s="27">
        <v>4944</v>
      </c>
      <c r="I1508" s="27">
        <v>17.756756756756758</v>
      </c>
      <c r="J1508" s="27">
        <v>18.586466165413533</v>
      </c>
      <c r="K1508" s="29">
        <v>4.6726405053730116E-2</v>
      </c>
    </row>
    <row r="1509" spans="1:11" x14ac:dyDescent="0.25">
      <c r="A1509" s="5" t="s">
        <v>6</v>
      </c>
      <c r="B1509" s="5" t="s">
        <v>7313</v>
      </c>
      <c r="C1509" s="1" t="s">
        <v>7314</v>
      </c>
      <c r="D1509" s="5" t="s">
        <v>17755</v>
      </c>
      <c r="E1509" s="32">
        <v>563</v>
      </c>
      <c r="F1509" s="27">
        <v>7797</v>
      </c>
      <c r="G1509" s="32">
        <v>491</v>
      </c>
      <c r="H1509" s="27">
        <v>7215</v>
      </c>
      <c r="I1509" s="27">
        <v>13.849023090586146</v>
      </c>
      <c r="J1509" s="27">
        <v>14.694501018329939</v>
      </c>
      <c r="K1509" s="29">
        <v>6.1049643878383457E-2</v>
      </c>
    </row>
    <row r="1510" spans="1:11" x14ac:dyDescent="0.25">
      <c r="A1510" s="5" t="s">
        <v>6</v>
      </c>
      <c r="B1510" s="5" t="s">
        <v>7316</v>
      </c>
      <c r="C1510" s="1" t="s">
        <v>7317</v>
      </c>
      <c r="D1510" s="5" t="s">
        <v>17755</v>
      </c>
      <c r="E1510" s="32">
        <v>567</v>
      </c>
      <c r="F1510" s="27">
        <v>10063</v>
      </c>
      <c r="G1510" s="32">
        <v>503</v>
      </c>
      <c r="H1510" s="27">
        <v>9400</v>
      </c>
      <c r="I1510" s="27">
        <v>17.747795414462082</v>
      </c>
      <c r="J1510" s="27">
        <v>18.687872763419485</v>
      </c>
      <c r="K1510" s="29">
        <v>5.2968682983091223E-2</v>
      </c>
    </row>
    <row r="1511" spans="1:11" x14ac:dyDescent="0.25">
      <c r="A1511" s="5" t="s">
        <v>6</v>
      </c>
      <c r="B1511" s="5" t="s">
        <v>7319</v>
      </c>
      <c r="C1511" s="1" t="s">
        <v>7320</v>
      </c>
      <c r="D1511" s="5" t="s">
        <v>17755</v>
      </c>
      <c r="E1511" s="32">
        <v>1206</v>
      </c>
      <c r="F1511" s="27">
        <v>21593</v>
      </c>
      <c r="G1511" s="32">
        <v>899</v>
      </c>
      <c r="H1511" s="27">
        <v>16759</v>
      </c>
      <c r="I1511" s="27">
        <v>17.90464344941957</v>
      </c>
      <c r="J1511" s="27">
        <v>18.64182424916574</v>
      </c>
      <c r="K1511" s="29">
        <v>4.1172604292774563E-2</v>
      </c>
    </row>
    <row r="1512" spans="1:11" x14ac:dyDescent="0.25">
      <c r="A1512" s="5" t="s">
        <v>6</v>
      </c>
      <c r="B1512" s="5" t="s">
        <v>7322</v>
      </c>
      <c r="C1512" s="1" t="s">
        <v>7323</v>
      </c>
      <c r="D1512" s="5" t="s">
        <v>17755</v>
      </c>
      <c r="E1512" s="32">
        <v>275</v>
      </c>
      <c r="F1512" s="27">
        <v>3782</v>
      </c>
      <c r="G1512" s="32">
        <v>71</v>
      </c>
      <c r="H1512" s="27">
        <v>1048</v>
      </c>
      <c r="I1512" s="27">
        <v>13.752727272727272</v>
      </c>
      <c r="J1512" s="27">
        <v>14.76056338028169</v>
      </c>
      <c r="K1512" s="29">
        <v>7.3282636059615269E-2</v>
      </c>
    </row>
    <row r="1513" spans="1:11" x14ac:dyDescent="0.25">
      <c r="A1513" s="5" t="s">
        <v>6</v>
      </c>
      <c r="B1513" s="5" t="s">
        <v>7325</v>
      </c>
      <c r="C1513" s="1" t="s">
        <v>7326</v>
      </c>
      <c r="D1513" s="5" t="s">
        <v>17755</v>
      </c>
      <c r="E1513" s="32">
        <v>63</v>
      </c>
      <c r="F1513" s="27">
        <v>1129</v>
      </c>
      <c r="G1513" s="32">
        <v>180</v>
      </c>
      <c r="H1513" s="27">
        <v>3403</v>
      </c>
      <c r="I1513" s="27">
        <v>17.920634920634921</v>
      </c>
      <c r="J1513" s="27">
        <v>18.905555555555555</v>
      </c>
      <c r="K1513" s="29">
        <v>5.4960141718334764E-2</v>
      </c>
    </row>
    <row r="1514" spans="1:11" x14ac:dyDescent="0.25">
      <c r="A1514" s="5" t="s">
        <v>6</v>
      </c>
      <c r="B1514" s="5" t="s">
        <v>7328</v>
      </c>
      <c r="C1514" s="1" t="s">
        <v>7329</v>
      </c>
      <c r="D1514" s="5" t="s">
        <v>17755</v>
      </c>
      <c r="E1514" s="32">
        <v>2</v>
      </c>
      <c r="F1514" s="27">
        <v>35</v>
      </c>
      <c r="I1514" s="27">
        <v>17.5</v>
      </c>
    </row>
    <row r="1515" spans="1:11" x14ac:dyDescent="0.25">
      <c r="A1515" s="5" t="s">
        <v>6</v>
      </c>
      <c r="B1515" s="5" t="s">
        <v>7331</v>
      </c>
      <c r="C1515" s="1" t="s">
        <v>7332</v>
      </c>
      <c r="D1515" s="5" t="s">
        <v>17755</v>
      </c>
      <c r="E1515" s="32">
        <v>346</v>
      </c>
      <c r="F1515" s="27">
        <v>19603.439999999999</v>
      </c>
      <c r="G1515" s="32">
        <v>462</v>
      </c>
      <c r="H1515" s="27">
        <v>28194</v>
      </c>
      <c r="I1515" s="27">
        <v>56.657341040462427</v>
      </c>
      <c r="J1515" s="27">
        <v>61.025974025974023</v>
      </c>
      <c r="K1515" s="29">
        <v>7.710621263344658E-2</v>
      </c>
    </row>
    <row r="1516" spans="1:11" x14ac:dyDescent="0.25">
      <c r="A1516" s="5" t="s">
        <v>6</v>
      </c>
      <c r="B1516" s="5" t="s">
        <v>7334</v>
      </c>
      <c r="C1516" s="1" t="s">
        <v>7335</v>
      </c>
      <c r="D1516" s="5" t="s">
        <v>17755</v>
      </c>
      <c r="E1516" s="32">
        <v>703</v>
      </c>
      <c r="F1516" s="27">
        <v>301056</v>
      </c>
      <c r="G1516" s="32">
        <v>834</v>
      </c>
      <c r="H1516" s="27">
        <v>383446</v>
      </c>
      <c r="I1516" s="27">
        <v>428.24466571834995</v>
      </c>
      <c r="J1516" s="27">
        <v>459.76738609112709</v>
      </c>
      <c r="K1516" s="29">
        <v>7.3609137243776337E-2</v>
      </c>
    </row>
    <row r="1517" spans="1:11" x14ac:dyDescent="0.25">
      <c r="A1517" s="5" t="s">
        <v>6</v>
      </c>
      <c r="B1517" s="5" t="s">
        <v>7337</v>
      </c>
      <c r="C1517" s="1" t="s">
        <v>7338</v>
      </c>
      <c r="D1517" s="5" t="s">
        <v>17755</v>
      </c>
      <c r="E1517" s="32">
        <v>52</v>
      </c>
      <c r="F1517" s="27">
        <v>572</v>
      </c>
      <c r="G1517" s="32">
        <v>38</v>
      </c>
      <c r="H1517" s="27">
        <v>447</v>
      </c>
      <c r="I1517" s="27">
        <v>11</v>
      </c>
      <c r="J1517" s="27">
        <v>11.763157894736842</v>
      </c>
      <c r="K1517" s="29">
        <v>6.9377990430622039E-2</v>
      </c>
    </row>
    <row r="1518" spans="1:11" x14ac:dyDescent="0.25">
      <c r="A1518" s="5" t="s">
        <v>6</v>
      </c>
      <c r="B1518" s="5" t="s">
        <v>7340</v>
      </c>
      <c r="C1518" s="1" t="s">
        <v>7341</v>
      </c>
      <c r="D1518" s="5" t="s">
        <v>17755</v>
      </c>
      <c r="E1518" s="32">
        <v>22</v>
      </c>
      <c r="F1518" s="27">
        <v>330</v>
      </c>
      <c r="I1518" s="27">
        <v>15</v>
      </c>
    </row>
    <row r="1519" spans="1:11" x14ac:dyDescent="0.25">
      <c r="A1519" s="5" t="s">
        <v>6</v>
      </c>
      <c r="B1519" s="5" t="s">
        <v>7346</v>
      </c>
      <c r="C1519" s="1" t="s">
        <v>7347</v>
      </c>
      <c r="D1519" s="5" t="s">
        <v>17755</v>
      </c>
      <c r="E1519" s="32">
        <v>302</v>
      </c>
      <c r="F1519" s="27">
        <v>1510</v>
      </c>
      <c r="G1519" s="32">
        <v>301</v>
      </c>
      <c r="H1519" s="27">
        <v>1505</v>
      </c>
      <c r="I1519" s="27">
        <v>5</v>
      </c>
      <c r="J1519" s="27">
        <v>5</v>
      </c>
      <c r="K1519" s="29">
        <v>0</v>
      </c>
    </row>
    <row r="1520" spans="1:11" x14ac:dyDescent="0.25">
      <c r="A1520" s="5" t="s">
        <v>6</v>
      </c>
      <c r="B1520" s="5" t="s">
        <v>7349</v>
      </c>
      <c r="C1520" s="1" t="s">
        <v>7350</v>
      </c>
      <c r="D1520" s="5" t="s">
        <v>17755</v>
      </c>
      <c r="E1520" s="32">
        <v>553</v>
      </c>
      <c r="F1520" s="27">
        <v>13110</v>
      </c>
      <c r="G1520" s="32">
        <v>575</v>
      </c>
      <c r="H1520" s="27">
        <v>14616</v>
      </c>
      <c r="I1520" s="27">
        <v>23.707052441229656</v>
      </c>
      <c r="J1520" s="27">
        <v>25.419130434782609</v>
      </c>
      <c r="K1520" s="29">
        <v>7.2218087752462454E-2</v>
      </c>
    </row>
    <row r="1521" spans="1:11" x14ac:dyDescent="0.25">
      <c r="A1521" s="5" t="s">
        <v>6</v>
      </c>
      <c r="B1521" s="5" t="s">
        <v>7352</v>
      </c>
      <c r="C1521" s="1" t="s">
        <v>7353</v>
      </c>
      <c r="D1521" s="5" t="s">
        <v>17755</v>
      </c>
      <c r="E1521" s="32">
        <v>1491</v>
      </c>
      <c r="F1521" s="27">
        <v>35294</v>
      </c>
      <c r="G1521" s="32">
        <v>1207</v>
      </c>
      <c r="H1521" s="27">
        <v>30474</v>
      </c>
      <c r="I1521" s="27">
        <v>23.671361502347416</v>
      </c>
      <c r="J1521" s="27">
        <v>25.247721623860812</v>
      </c>
      <c r="K1521" s="29">
        <v>6.6593555311851127E-2</v>
      </c>
    </row>
    <row r="1522" spans="1:11" x14ac:dyDescent="0.25">
      <c r="A1522" s="5" t="s">
        <v>6</v>
      </c>
      <c r="B1522" s="5" t="s">
        <v>7355</v>
      </c>
      <c r="C1522" s="1" t="s">
        <v>7356</v>
      </c>
      <c r="D1522" s="5" t="s">
        <v>17755</v>
      </c>
      <c r="E1522" s="32">
        <v>2664</v>
      </c>
      <c r="F1522" s="27">
        <v>76234</v>
      </c>
      <c r="G1522" s="32">
        <v>2847</v>
      </c>
      <c r="H1522" s="27">
        <v>86027</v>
      </c>
      <c r="I1522" s="27">
        <v>28.616366366366368</v>
      </c>
      <c r="J1522" s="27">
        <v>30.216719353705656</v>
      </c>
      <c r="K1522" s="29">
        <v>5.5924395391450853E-2</v>
      </c>
    </row>
    <row r="1523" spans="1:11" x14ac:dyDescent="0.25">
      <c r="A1523" s="5" t="s">
        <v>6</v>
      </c>
      <c r="B1523" s="5" t="s">
        <v>7361</v>
      </c>
      <c r="C1523" s="1" t="s">
        <v>7362</v>
      </c>
      <c r="D1523" s="5" t="s">
        <v>17755</v>
      </c>
      <c r="E1523" s="32">
        <v>1</v>
      </c>
      <c r="F1523" s="27">
        <v>3</v>
      </c>
      <c r="I1523" s="27">
        <v>3</v>
      </c>
    </row>
    <row r="1524" spans="1:11" x14ac:dyDescent="0.25">
      <c r="A1524" s="5" t="s">
        <v>6</v>
      </c>
      <c r="B1524" s="5" t="s">
        <v>7364</v>
      </c>
      <c r="C1524" s="1" t="s">
        <v>7365</v>
      </c>
      <c r="D1524" s="5" t="s">
        <v>17755</v>
      </c>
      <c r="E1524" s="32">
        <v>74</v>
      </c>
      <c r="F1524" s="27">
        <v>1322</v>
      </c>
      <c r="G1524" s="32">
        <v>108</v>
      </c>
      <c r="H1524" s="27">
        <v>2008</v>
      </c>
      <c r="I1524" s="27">
        <v>17.864864864864863</v>
      </c>
      <c r="J1524" s="27">
        <v>18.592592592592592</v>
      </c>
      <c r="K1524" s="29">
        <v>4.0735137558133072E-2</v>
      </c>
    </row>
    <row r="1525" spans="1:11" x14ac:dyDescent="0.25">
      <c r="A1525" s="5" t="s">
        <v>6</v>
      </c>
      <c r="B1525" s="5" t="s">
        <v>7370</v>
      </c>
      <c r="C1525" s="1" t="s">
        <v>7371</v>
      </c>
      <c r="D1525" s="5" t="s">
        <v>17756</v>
      </c>
      <c r="E1525" s="32">
        <v>564</v>
      </c>
      <c r="F1525" s="27">
        <v>15124</v>
      </c>
      <c r="G1525" s="32">
        <v>694</v>
      </c>
      <c r="H1525" s="27">
        <v>19634</v>
      </c>
      <c r="I1525" s="27">
        <v>26.815602836879432</v>
      </c>
      <c r="J1525" s="27">
        <v>28.291066282420751</v>
      </c>
      <c r="K1525" s="29">
        <v>5.5022572288105254E-2</v>
      </c>
    </row>
    <row r="1526" spans="1:11" x14ac:dyDescent="0.25">
      <c r="A1526" s="5" t="s">
        <v>6</v>
      </c>
      <c r="B1526" s="5" t="s">
        <v>7379</v>
      </c>
      <c r="C1526" s="1" t="s">
        <v>7380</v>
      </c>
      <c r="D1526" s="5" t="s">
        <v>17755</v>
      </c>
      <c r="E1526" s="32">
        <v>904</v>
      </c>
      <c r="F1526" s="27">
        <v>41520</v>
      </c>
      <c r="G1526" s="32">
        <v>891</v>
      </c>
      <c r="H1526" s="27">
        <v>44501</v>
      </c>
      <c r="I1526" s="27">
        <v>45.929203539823007</v>
      </c>
      <c r="J1526" s="27">
        <v>49.945005611672279</v>
      </c>
      <c r="K1526" s="29">
        <v>8.7434611583616137E-2</v>
      </c>
    </row>
    <row r="1527" spans="1:11" x14ac:dyDescent="0.25">
      <c r="A1527" s="5" t="s">
        <v>6</v>
      </c>
      <c r="B1527" s="5" t="s">
        <v>7382</v>
      </c>
      <c r="C1527" s="1" t="s">
        <v>7383</v>
      </c>
      <c r="D1527" s="5" t="s">
        <v>17755</v>
      </c>
      <c r="E1527" s="32">
        <v>128</v>
      </c>
      <c r="F1527" s="27">
        <v>4462</v>
      </c>
      <c r="I1527" s="27">
        <v>34.859375</v>
      </c>
    </row>
    <row r="1528" spans="1:11" x14ac:dyDescent="0.25">
      <c r="A1528" s="5" t="s">
        <v>6</v>
      </c>
      <c r="B1528" s="5" t="s">
        <v>7385</v>
      </c>
      <c r="C1528" s="1" t="s">
        <v>7386</v>
      </c>
      <c r="D1528" s="5" t="s">
        <v>17755</v>
      </c>
      <c r="E1528" s="32">
        <v>2</v>
      </c>
      <c r="F1528" s="27">
        <v>4</v>
      </c>
      <c r="I1528" s="27">
        <v>2</v>
      </c>
    </row>
    <row r="1529" spans="1:11" x14ac:dyDescent="0.25">
      <c r="A1529" s="5" t="s">
        <v>6</v>
      </c>
      <c r="B1529" s="5" t="s">
        <v>7388</v>
      </c>
      <c r="C1529" s="1" t="s">
        <v>7389</v>
      </c>
      <c r="D1529" s="5" t="s">
        <v>17755</v>
      </c>
      <c r="E1529" s="32">
        <v>408</v>
      </c>
      <c r="F1529" s="27">
        <v>10860</v>
      </c>
      <c r="G1529" s="32">
        <v>679</v>
      </c>
      <c r="H1529" s="27">
        <v>19425</v>
      </c>
      <c r="I1529" s="27">
        <v>26.617647058823529</v>
      </c>
      <c r="J1529" s="27">
        <v>28.608247422680414</v>
      </c>
      <c r="K1529" s="29">
        <v>7.4784986045452029E-2</v>
      </c>
    </row>
    <row r="1530" spans="1:11" x14ac:dyDescent="0.25">
      <c r="A1530" s="5" t="s">
        <v>6</v>
      </c>
      <c r="B1530" s="5" t="s">
        <v>7391</v>
      </c>
      <c r="C1530" s="1" t="s">
        <v>7392</v>
      </c>
      <c r="D1530" s="5" t="s">
        <v>17755</v>
      </c>
      <c r="E1530" s="32">
        <v>1130</v>
      </c>
      <c r="F1530" s="27">
        <v>30096</v>
      </c>
      <c r="G1530" s="32">
        <v>1856</v>
      </c>
      <c r="H1530" s="27">
        <v>52810</v>
      </c>
      <c r="I1530" s="27">
        <v>26.633628318584069</v>
      </c>
      <c r="J1530" s="27">
        <v>28.453663793103448</v>
      </c>
      <c r="K1530" s="29">
        <v>6.8335994358283442E-2</v>
      </c>
    </row>
    <row r="1531" spans="1:11" x14ac:dyDescent="0.25">
      <c r="A1531" s="5" t="s">
        <v>6</v>
      </c>
      <c r="B1531" s="5" t="s">
        <v>7397</v>
      </c>
      <c r="C1531" s="1" t="s">
        <v>7398</v>
      </c>
      <c r="D1531" s="5" t="s">
        <v>17755</v>
      </c>
      <c r="E1531" s="32">
        <v>4533</v>
      </c>
      <c r="F1531" s="27">
        <v>156738</v>
      </c>
      <c r="G1531" s="32">
        <v>4885</v>
      </c>
      <c r="H1531" s="27">
        <v>181148</v>
      </c>
      <c r="I1531" s="27">
        <v>34.577101257445399</v>
      </c>
      <c r="J1531" s="27">
        <v>37.082497441146366</v>
      </c>
      <c r="K1531" s="29">
        <v>7.2458248163919936E-2</v>
      </c>
    </row>
    <row r="1532" spans="1:11" x14ac:dyDescent="0.25">
      <c r="A1532" s="5" t="s">
        <v>6</v>
      </c>
      <c r="B1532" s="5" t="s">
        <v>7403</v>
      </c>
      <c r="C1532" s="1" t="s">
        <v>7404</v>
      </c>
      <c r="D1532" s="5" t="s">
        <v>17755</v>
      </c>
      <c r="E1532" s="32">
        <v>1358</v>
      </c>
      <c r="F1532" s="27">
        <v>46777</v>
      </c>
      <c r="G1532" s="32">
        <v>1675</v>
      </c>
      <c r="H1532" s="27">
        <v>61844</v>
      </c>
      <c r="I1532" s="27">
        <v>34.445508100147272</v>
      </c>
      <c r="J1532" s="27">
        <v>36.921791044776121</v>
      </c>
      <c r="K1532" s="29">
        <v>7.1889865506680153E-2</v>
      </c>
    </row>
    <row r="1533" spans="1:11" x14ac:dyDescent="0.25">
      <c r="A1533" s="5" t="s">
        <v>6</v>
      </c>
      <c r="B1533" s="5" t="s">
        <v>7412</v>
      </c>
      <c r="C1533" s="1" t="s">
        <v>7413</v>
      </c>
      <c r="D1533" s="5" t="s">
        <v>17755</v>
      </c>
      <c r="E1533" s="32">
        <v>50</v>
      </c>
      <c r="F1533" s="27">
        <v>1450</v>
      </c>
      <c r="G1533" s="32">
        <v>70</v>
      </c>
      <c r="H1533" s="27">
        <v>2044</v>
      </c>
      <c r="I1533" s="27">
        <v>29</v>
      </c>
      <c r="J1533" s="27">
        <v>29.2</v>
      </c>
      <c r="K1533" s="29">
        <v>6.8965517241379067E-3</v>
      </c>
    </row>
    <row r="1534" spans="1:11" x14ac:dyDescent="0.25">
      <c r="A1534" s="5" t="s">
        <v>6</v>
      </c>
      <c r="B1534" s="5" t="s">
        <v>7415</v>
      </c>
      <c r="C1534" s="1" t="s">
        <v>7416</v>
      </c>
      <c r="D1534" s="5" t="s">
        <v>17755</v>
      </c>
      <c r="E1534" s="32">
        <v>7</v>
      </c>
      <c r="F1534" s="27">
        <v>137</v>
      </c>
      <c r="I1534" s="27">
        <v>19.571428571428573</v>
      </c>
    </row>
    <row r="1535" spans="1:11" x14ac:dyDescent="0.25">
      <c r="A1535" s="5" t="s">
        <v>6</v>
      </c>
      <c r="B1535" s="5" t="s">
        <v>7418</v>
      </c>
      <c r="C1535" s="1" t="s">
        <v>7419</v>
      </c>
      <c r="D1535" s="5" t="s">
        <v>17755</v>
      </c>
      <c r="E1535" s="32">
        <v>533</v>
      </c>
      <c r="F1535" s="27">
        <v>10959</v>
      </c>
      <c r="G1535" s="32">
        <v>830</v>
      </c>
      <c r="H1535" s="27">
        <v>18440</v>
      </c>
      <c r="I1535" s="27">
        <v>20.560975609756099</v>
      </c>
      <c r="J1535" s="27">
        <v>22.216867469879517</v>
      </c>
      <c r="K1535" s="29">
        <v>8.0535665794851885E-2</v>
      </c>
    </row>
    <row r="1536" spans="1:11" x14ac:dyDescent="0.25">
      <c r="A1536" s="5" t="s">
        <v>6</v>
      </c>
      <c r="B1536" s="5" t="s">
        <v>7421</v>
      </c>
      <c r="C1536" s="1" t="s">
        <v>7422</v>
      </c>
      <c r="D1536" s="5" t="s">
        <v>17755</v>
      </c>
      <c r="G1536" s="32">
        <v>80</v>
      </c>
      <c r="H1536" s="27">
        <v>456.8</v>
      </c>
      <c r="J1536" s="27">
        <v>5.71</v>
      </c>
    </row>
    <row r="1537" spans="1:11" x14ac:dyDescent="0.25">
      <c r="A1537" s="5" t="s">
        <v>6</v>
      </c>
      <c r="B1537" s="5" t="s">
        <v>7424</v>
      </c>
      <c r="C1537" s="1" t="s">
        <v>7425</v>
      </c>
      <c r="D1537" s="5" t="s">
        <v>17756</v>
      </c>
      <c r="E1537" s="32">
        <v>17</v>
      </c>
      <c r="F1537" s="27">
        <v>306</v>
      </c>
      <c r="I1537" s="27">
        <v>18</v>
      </c>
    </row>
    <row r="1538" spans="1:11" x14ac:dyDescent="0.25">
      <c r="A1538" s="5" t="s">
        <v>6</v>
      </c>
      <c r="B1538" s="5" t="s">
        <v>7427</v>
      </c>
      <c r="C1538" s="1" t="s">
        <v>7428</v>
      </c>
      <c r="D1538" s="5" t="s">
        <v>17756</v>
      </c>
      <c r="E1538" s="32">
        <v>40</v>
      </c>
      <c r="F1538" s="27">
        <v>80</v>
      </c>
      <c r="I1538" s="27">
        <v>2</v>
      </c>
    </row>
    <row r="1539" spans="1:11" x14ac:dyDescent="0.25">
      <c r="A1539" s="5" t="s">
        <v>6</v>
      </c>
      <c r="B1539" s="5" t="s">
        <v>7430</v>
      </c>
      <c r="C1539" s="1" t="s">
        <v>7431</v>
      </c>
      <c r="D1539" s="5" t="s">
        <v>17756</v>
      </c>
      <c r="E1539" s="32">
        <v>1529</v>
      </c>
      <c r="F1539" s="27">
        <v>40813</v>
      </c>
      <c r="G1539" s="32">
        <v>1189</v>
      </c>
      <c r="H1539" s="27">
        <v>33613</v>
      </c>
      <c r="I1539" s="27">
        <v>26.692609548724658</v>
      </c>
      <c r="J1539" s="27">
        <v>28.269974768713205</v>
      </c>
      <c r="K1539" s="29">
        <v>5.9093705960416729E-2</v>
      </c>
    </row>
    <row r="1540" spans="1:11" x14ac:dyDescent="0.25">
      <c r="A1540" s="5" t="s">
        <v>6</v>
      </c>
      <c r="B1540" s="5" t="s">
        <v>7436</v>
      </c>
      <c r="C1540" s="1" t="s">
        <v>7437</v>
      </c>
      <c r="D1540" s="5" t="s">
        <v>17755</v>
      </c>
      <c r="E1540" s="32">
        <v>204</v>
      </c>
      <c r="F1540" s="27">
        <v>3605</v>
      </c>
      <c r="G1540" s="32">
        <v>58</v>
      </c>
      <c r="H1540" s="27">
        <v>1093</v>
      </c>
      <c r="I1540" s="27">
        <v>17.671568627450981</v>
      </c>
      <c r="J1540" s="27">
        <v>18.844827586206897</v>
      </c>
      <c r="K1540" s="29">
        <v>6.6392462575924238E-2</v>
      </c>
    </row>
    <row r="1541" spans="1:11" x14ac:dyDescent="0.25">
      <c r="A1541" s="5" t="s">
        <v>6</v>
      </c>
      <c r="B1541" s="5" t="s">
        <v>7439</v>
      </c>
      <c r="C1541" s="1" t="s">
        <v>7440</v>
      </c>
      <c r="D1541" s="5" t="s">
        <v>17755</v>
      </c>
      <c r="E1541" s="32">
        <v>854</v>
      </c>
      <c r="F1541" s="27">
        <v>15246</v>
      </c>
      <c r="G1541" s="32">
        <v>814</v>
      </c>
      <c r="H1541" s="27">
        <v>15137</v>
      </c>
      <c r="I1541" s="27">
        <v>17.852459016393443</v>
      </c>
      <c r="J1541" s="27">
        <v>18.595823095823096</v>
      </c>
      <c r="K1541" s="29">
        <v>4.1639310234351586E-2</v>
      </c>
    </row>
    <row r="1542" spans="1:11" x14ac:dyDescent="0.25">
      <c r="A1542" s="5" t="s">
        <v>6</v>
      </c>
      <c r="B1542" s="5" t="s">
        <v>7448</v>
      </c>
      <c r="C1542" s="1" t="s">
        <v>7449</v>
      </c>
      <c r="D1542" s="5" t="s">
        <v>17755</v>
      </c>
      <c r="E1542" s="32">
        <v>23</v>
      </c>
      <c r="F1542" s="27">
        <v>617</v>
      </c>
      <c r="G1542" s="32">
        <v>26</v>
      </c>
      <c r="H1542" s="27">
        <v>750</v>
      </c>
      <c r="I1542" s="27">
        <v>26.826086956521738</v>
      </c>
      <c r="J1542" s="27">
        <v>28.846153846153847</v>
      </c>
      <c r="K1542" s="29">
        <v>7.5302331380127221E-2</v>
      </c>
    </row>
    <row r="1543" spans="1:11" x14ac:dyDescent="0.25">
      <c r="A1543" s="5" t="s">
        <v>6</v>
      </c>
      <c r="B1543" s="5" t="s">
        <v>7454</v>
      </c>
      <c r="C1543" s="1" t="s">
        <v>7455</v>
      </c>
      <c r="D1543" s="5" t="s">
        <v>17755</v>
      </c>
      <c r="E1543" s="32">
        <v>477</v>
      </c>
      <c r="F1543" s="27">
        <v>12751</v>
      </c>
      <c r="G1543" s="32">
        <v>578</v>
      </c>
      <c r="H1543" s="27">
        <v>16530</v>
      </c>
      <c r="I1543" s="27">
        <v>26.731656184486372</v>
      </c>
      <c r="J1543" s="27">
        <v>28.598615916955016</v>
      </c>
      <c r="K1543" s="29">
        <v>6.9840780518198031E-2</v>
      </c>
    </row>
    <row r="1544" spans="1:11" x14ac:dyDescent="0.25">
      <c r="A1544" s="5" t="s">
        <v>6</v>
      </c>
      <c r="B1544" s="5" t="s">
        <v>7460</v>
      </c>
      <c r="C1544" s="1" t="s">
        <v>7461</v>
      </c>
      <c r="D1544" s="5" t="s">
        <v>17755</v>
      </c>
      <c r="E1544" s="32">
        <v>1735</v>
      </c>
      <c r="F1544" s="27">
        <v>11873</v>
      </c>
      <c r="G1544" s="32">
        <v>1749</v>
      </c>
      <c r="H1544" s="27">
        <v>13394</v>
      </c>
      <c r="I1544" s="27">
        <v>6.8432276657060518</v>
      </c>
      <c r="J1544" s="27">
        <v>7.6580903373356204</v>
      </c>
      <c r="K1544" s="29">
        <v>0.11907577994418442</v>
      </c>
    </row>
    <row r="1545" spans="1:11" x14ac:dyDescent="0.25">
      <c r="A1545" s="5" t="s">
        <v>6</v>
      </c>
      <c r="B1545" s="5" t="s">
        <v>7463</v>
      </c>
      <c r="C1545" s="1" t="s">
        <v>7464</v>
      </c>
      <c r="D1545" s="5" t="s">
        <v>17755</v>
      </c>
      <c r="E1545" s="32">
        <v>30</v>
      </c>
      <c r="F1545" s="27">
        <v>1350</v>
      </c>
      <c r="G1545" s="32">
        <v>51</v>
      </c>
      <c r="H1545" s="27">
        <v>2359</v>
      </c>
      <c r="I1545" s="27">
        <v>45</v>
      </c>
      <c r="J1545" s="27">
        <v>46.254901960784316</v>
      </c>
      <c r="K1545" s="29">
        <v>2.7886710239651474E-2</v>
      </c>
    </row>
    <row r="1546" spans="1:11" x14ac:dyDescent="0.25">
      <c r="A1546" s="5" t="s">
        <v>6</v>
      </c>
      <c r="B1546" s="5" t="s">
        <v>7466</v>
      </c>
      <c r="C1546" s="1" t="s">
        <v>7467</v>
      </c>
      <c r="D1546" s="5" t="s">
        <v>17755</v>
      </c>
      <c r="E1546" s="32">
        <v>35</v>
      </c>
      <c r="F1546" s="27">
        <v>175</v>
      </c>
      <c r="G1546" s="32">
        <v>35</v>
      </c>
      <c r="H1546" s="27">
        <v>175</v>
      </c>
      <c r="I1546" s="27">
        <v>5</v>
      </c>
      <c r="J1546" s="27">
        <v>5</v>
      </c>
      <c r="K1546" s="29">
        <v>0</v>
      </c>
    </row>
    <row r="1547" spans="1:11" x14ac:dyDescent="0.25">
      <c r="A1547" s="5" t="s">
        <v>6</v>
      </c>
      <c r="B1547" s="5" t="s">
        <v>7472</v>
      </c>
      <c r="C1547" s="1" t="s">
        <v>7473</v>
      </c>
      <c r="D1547" s="5" t="s">
        <v>17755</v>
      </c>
      <c r="E1547" s="32">
        <v>2270</v>
      </c>
      <c r="F1547" s="27">
        <v>22482</v>
      </c>
      <c r="G1547" s="32">
        <v>2099</v>
      </c>
      <c r="H1547" s="27">
        <v>22367</v>
      </c>
      <c r="I1547" s="27">
        <v>9.9039647577092502</v>
      </c>
      <c r="J1547" s="27">
        <v>10.656026679371129</v>
      </c>
      <c r="K1547" s="29">
        <v>7.5935440004112842E-2</v>
      </c>
    </row>
    <row r="1548" spans="1:11" x14ac:dyDescent="0.25">
      <c r="A1548" s="5" t="s">
        <v>6</v>
      </c>
      <c r="B1548" s="5" t="s">
        <v>7489</v>
      </c>
      <c r="C1548" s="1" t="s">
        <v>7490</v>
      </c>
      <c r="D1548" s="5" t="s">
        <v>17755</v>
      </c>
      <c r="E1548" s="32">
        <v>510</v>
      </c>
      <c r="F1548" s="27">
        <v>1530</v>
      </c>
      <c r="G1548" s="32">
        <v>326</v>
      </c>
      <c r="H1548" s="27">
        <v>978</v>
      </c>
      <c r="I1548" s="27">
        <v>3</v>
      </c>
      <c r="J1548" s="27">
        <v>3</v>
      </c>
      <c r="K1548" s="29">
        <v>0</v>
      </c>
    </row>
    <row r="1549" spans="1:11" x14ac:dyDescent="0.25">
      <c r="A1549" s="5" t="s">
        <v>6</v>
      </c>
      <c r="B1549" s="5" t="s">
        <v>7501</v>
      </c>
      <c r="C1549" s="1" t="s">
        <v>7502</v>
      </c>
      <c r="D1549" s="5" t="s">
        <v>17755</v>
      </c>
      <c r="E1549" s="32">
        <v>3542</v>
      </c>
      <c r="F1549" s="27">
        <v>83854</v>
      </c>
      <c r="G1549" s="32">
        <v>2762</v>
      </c>
      <c r="H1549" s="27">
        <v>69728</v>
      </c>
      <c r="I1549" s="27">
        <v>23.674195369847542</v>
      </c>
      <c r="J1549" s="27">
        <v>25.245474293989862</v>
      </c>
      <c r="K1549" s="29">
        <v>6.6370953673195024E-2</v>
      </c>
    </row>
    <row r="1550" spans="1:11" x14ac:dyDescent="0.25">
      <c r="A1550" s="5" t="s">
        <v>6</v>
      </c>
      <c r="B1550" s="5" t="s">
        <v>7504</v>
      </c>
      <c r="C1550" s="1" t="s">
        <v>7505</v>
      </c>
      <c r="D1550" s="5" t="s">
        <v>17755</v>
      </c>
      <c r="E1550" s="32">
        <v>149</v>
      </c>
      <c r="F1550" s="27">
        <v>3935</v>
      </c>
      <c r="G1550" s="32">
        <v>211</v>
      </c>
      <c r="H1550" s="27">
        <v>6005</v>
      </c>
      <c r="I1550" s="27">
        <v>26.409395973154364</v>
      </c>
      <c r="J1550" s="27">
        <v>28.459715639810426</v>
      </c>
      <c r="K1550" s="29">
        <v>7.7635992460420133E-2</v>
      </c>
    </row>
    <row r="1551" spans="1:11" x14ac:dyDescent="0.25">
      <c r="A1551" s="5" t="s">
        <v>6</v>
      </c>
      <c r="B1551" s="5" t="s">
        <v>7507</v>
      </c>
      <c r="C1551" s="1" t="s">
        <v>7508</v>
      </c>
      <c r="D1551" s="5" t="s">
        <v>17755</v>
      </c>
      <c r="E1551" s="32">
        <v>94</v>
      </c>
      <c r="F1551" s="27">
        <v>1676</v>
      </c>
      <c r="G1551" s="32">
        <v>194</v>
      </c>
      <c r="H1551" s="27">
        <v>3635</v>
      </c>
      <c r="I1551" s="27">
        <v>17.829787234042552</v>
      </c>
      <c r="J1551" s="27">
        <v>18.737113402061855</v>
      </c>
      <c r="K1551" s="29">
        <v>5.0888221834018178E-2</v>
      </c>
    </row>
    <row r="1552" spans="1:11" x14ac:dyDescent="0.25">
      <c r="A1552" s="5" t="s">
        <v>6</v>
      </c>
      <c r="B1552" s="5" t="s">
        <v>7510</v>
      </c>
      <c r="C1552" s="1" t="s">
        <v>7511</v>
      </c>
      <c r="D1552" s="5" t="s">
        <v>17755</v>
      </c>
      <c r="E1552" s="32">
        <v>30</v>
      </c>
      <c r="F1552" s="27">
        <v>810</v>
      </c>
      <c r="I1552" s="27">
        <v>27</v>
      </c>
    </row>
    <row r="1553" spans="1:11" x14ac:dyDescent="0.25">
      <c r="A1553" s="5" t="s">
        <v>6</v>
      </c>
      <c r="B1553" s="5" t="s">
        <v>7513</v>
      </c>
      <c r="C1553" s="1" t="s">
        <v>7514</v>
      </c>
      <c r="D1553" s="5" t="s">
        <v>17755</v>
      </c>
      <c r="E1553" s="32">
        <v>133</v>
      </c>
      <c r="F1553" s="27">
        <v>1316</v>
      </c>
      <c r="G1553" s="32">
        <v>214</v>
      </c>
      <c r="H1553" s="27">
        <v>2295</v>
      </c>
      <c r="I1553" s="27">
        <v>9.8947368421052637</v>
      </c>
      <c r="J1553" s="27">
        <v>10.72429906542056</v>
      </c>
      <c r="K1553" s="29">
        <v>8.3838735335056522E-2</v>
      </c>
    </row>
    <row r="1554" spans="1:11" x14ac:dyDescent="0.25">
      <c r="A1554" s="5" t="s">
        <v>6</v>
      </c>
      <c r="B1554" s="5" t="s">
        <v>7516</v>
      </c>
      <c r="C1554" s="1" t="s">
        <v>7517</v>
      </c>
      <c r="D1554" s="5" t="s">
        <v>17755</v>
      </c>
      <c r="E1554" s="32">
        <v>53</v>
      </c>
      <c r="F1554" s="27">
        <v>1211</v>
      </c>
      <c r="G1554" s="32">
        <v>197</v>
      </c>
      <c r="H1554" s="27">
        <v>4827</v>
      </c>
      <c r="I1554" s="27">
        <v>22.849056603773583</v>
      </c>
      <c r="J1554" s="27">
        <v>24.502538071065988</v>
      </c>
      <c r="K1554" s="29">
        <v>7.2365415166389321E-2</v>
      </c>
    </row>
    <row r="1555" spans="1:11" x14ac:dyDescent="0.25">
      <c r="A1555" s="5" t="s">
        <v>6</v>
      </c>
      <c r="B1555" s="5" t="s">
        <v>7519</v>
      </c>
      <c r="C1555" s="1" t="s">
        <v>7520</v>
      </c>
      <c r="D1555" s="5" t="s">
        <v>17755</v>
      </c>
      <c r="E1555" s="32">
        <v>1057</v>
      </c>
      <c r="F1555" s="27">
        <v>18820</v>
      </c>
      <c r="G1555" s="32">
        <v>752</v>
      </c>
      <c r="H1555" s="27">
        <v>14048</v>
      </c>
      <c r="I1555" s="27">
        <v>17.80510879848628</v>
      </c>
      <c r="J1555" s="27">
        <v>18.680851063829788</v>
      </c>
      <c r="K1555" s="29">
        <v>4.918488705994091E-2</v>
      </c>
    </row>
    <row r="1556" spans="1:11" x14ac:dyDescent="0.25">
      <c r="A1556" s="5" t="s">
        <v>6</v>
      </c>
      <c r="B1556" s="5" t="s">
        <v>7522</v>
      </c>
      <c r="C1556" s="1" t="s">
        <v>7523</v>
      </c>
      <c r="D1556" s="5" t="s">
        <v>17755</v>
      </c>
      <c r="E1556" s="32">
        <v>329</v>
      </c>
      <c r="F1556" s="27">
        <v>8879</v>
      </c>
      <c r="G1556" s="32">
        <v>602</v>
      </c>
      <c r="H1556" s="27">
        <v>16906</v>
      </c>
      <c r="I1556" s="27">
        <v>26.987841945288753</v>
      </c>
      <c r="J1556" s="27">
        <v>28.083056478405314</v>
      </c>
      <c r="K1556" s="29">
        <v>4.0581775131810854E-2</v>
      </c>
    </row>
    <row r="1557" spans="1:11" x14ac:dyDescent="0.25">
      <c r="A1557" s="5" t="s">
        <v>6</v>
      </c>
      <c r="B1557" s="5" t="s">
        <v>7525</v>
      </c>
      <c r="C1557" s="1" t="s">
        <v>7526</v>
      </c>
      <c r="D1557" s="5" t="s">
        <v>17760</v>
      </c>
      <c r="E1557" s="32">
        <v>139</v>
      </c>
      <c r="F1557" s="27">
        <v>6600</v>
      </c>
      <c r="G1557" s="32">
        <v>92</v>
      </c>
      <c r="H1557" s="27">
        <v>4696</v>
      </c>
      <c r="I1557" s="27">
        <v>47.482014388489212</v>
      </c>
      <c r="J1557" s="27">
        <v>51.043478260869563</v>
      </c>
      <c r="K1557" s="29">
        <v>7.5006587615283143E-2</v>
      </c>
    </row>
    <row r="1558" spans="1:11" x14ac:dyDescent="0.25">
      <c r="A1558" s="5" t="s">
        <v>6</v>
      </c>
      <c r="B1558" s="5" t="s">
        <v>7540</v>
      </c>
      <c r="C1558" s="1" t="s">
        <v>7541</v>
      </c>
      <c r="D1558" s="5" t="s">
        <v>17755</v>
      </c>
      <c r="E1558" s="32">
        <v>225</v>
      </c>
      <c r="F1558" s="27">
        <v>5993</v>
      </c>
      <c r="G1558" s="32">
        <v>250</v>
      </c>
      <c r="H1558" s="27">
        <v>7080</v>
      </c>
      <c r="I1558" s="27">
        <v>26.635555555555555</v>
      </c>
      <c r="J1558" s="27">
        <v>28.32</v>
      </c>
      <c r="K1558" s="29">
        <v>6.3240447188386464E-2</v>
      </c>
    </row>
    <row r="1559" spans="1:11" x14ac:dyDescent="0.25">
      <c r="A1559" s="5" t="s">
        <v>6</v>
      </c>
      <c r="B1559" s="5" t="s">
        <v>7546</v>
      </c>
      <c r="C1559" s="1" t="s">
        <v>7547</v>
      </c>
      <c r="D1559" s="5" t="s">
        <v>17755</v>
      </c>
      <c r="E1559" s="32">
        <v>1531</v>
      </c>
      <c r="F1559" s="27">
        <v>39434</v>
      </c>
      <c r="G1559" s="32">
        <v>1302</v>
      </c>
      <c r="H1559" s="27">
        <v>35418</v>
      </c>
      <c r="I1559" s="27">
        <v>25.757021554539516</v>
      </c>
      <c r="J1559" s="27">
        <v>27.202764976958527</v>
      </c>
      <c r="K1559" s="29">
        <v>5.613006998335205E-2</v>
      </c>
    </row>
    <row r="1560" spans="1:11" x14ac:dyDescent="0.25">
      <c r="A1560" s="5" t="s">
        <v>6</v>
      </c>
      <c r="B1560" s="5" t="s">
        <v>7549</v>
      </c>
      <c r="C1560" s="1" t="s">
        <v>7550</v>
      </c>
      <c r="D1560" s="5" t="s">
        <v>17755</v>
      </c>
      <c r="E1560" s="32">
        <v>894</v>
      </c>
      <c r="F1560" s="27">
        <v>41738</v>
      </c>
      <c r="G1560" s="32">
        <v>287</v>
      </c>
      <c r="H1560" s="27">
        <v>14029</v>
      </c>
      <c r="I1560" s="27">
        <v>46.686800894854585</v>
      </c>
      <c r="J1560" s="27">
        <v>48.881533101045299</v>
      </c>
      <c r="K1560" s="29">
        <v>4.7009693620549589E-2</v>
      </c>
    </row>
    <row r="1561" spans="1:11" x14ac:dyDescent="0.25">
      <c r="A1561" s="5" t="s">
        <v>6</v>
      </c>
      <c r="B1561" s="5" t="s">
        <v>7552</v>
      </c>
      <c r="C1561" s="1" t="s">
        <v>7553</v>
      </c>
      <c r="D1561" s="5" t="s">
        <v>17755</v>
      </c>
      <c r="E1561" s="32">
        <v>99</v>
      </c>
      <c r="F1561" s="27">
        <v>2647</v>
      </c>
      <c r="G1561" s="32">
        <v>81</v>
      </c>
      <c r="H1561" s="27">
        <v>2257</v>
      </c>
      <c r="I1561" s="27">
        <v>26.737373737373737</v>
      </c>
      <c r="J1561" s="27">
        <v>27.864197530864196</v>
      </c>
      <c r="K1561" s="29">
        <v>4.2144146413130128E-2</v>
      </c>
    </row>
    <row r="1562" spans="1:11" x14ac:dyDescent="0.25">
      <c r="A1562" s="5" t="s">
        <v>6</v>
      </c>
      <c r="B1562" s="5" t="s">
        <v>7555</v>
      </c>
      <c r="C1562" s="1" t="s">
        <v>7556</v>
      </c>
      <c r="D1562" s="5" t="s">
        <v>17755</v>
      </c>
      <c r="E1562" s="32">
        <v>190</v>
      </c>
      <c r="F1562" s="27">
        <v>3404</v>
      </c>
      <c r="G1562" s="32">
        <v>226</v>
      </c>
      <c r="H1562" s="27">
        <v>4220</v>
      </c>
      <c r="I1562" s="27">
        <v>17.91578947368421</v>
      </c>
      <c r="J1562" s="27">
        <v>18.672566371681416</v>
      </c>
      <c r="K1562" s="29">
        <v>4.2240778677869892E-2</v>
      </c>
    </row>
    <row r="1563" spans="1:11" x14ac:dyDescent="0.25">
      <c r="A1563" s="5" t="s">
        <v>6</v>
      </c>
      <c r="B1563" s="5" t="s">
        <v>7558</v>
      </c>
      <c r="C1563" s="1" t="s">
        <v>7559</v>
      </c>
      <c r="D1563" s="5" t="s">
        <v>17755</v>
      </c>
      <c r="E1563" s="32">
        <v>313</v>
      </c>
      <c r="F1563" s="27">
        <v>8379</v>
      </c>
      <c r="G1563" s="32">
        <v>251</v>
      </c>
      <c r="H1563" s="27">
        <v>7111</v>
      </c>
      <c r="I1563" s="27">
        <v>26.769968051118212</v>
      </c>
      <c r="J1563" s="27">
        <v>28.330677290836654</v>
      </c>
      <c r="K1563" s="29">
        <v>5.8300750928735198E-2</v>
      </c>
    </row>
    <row r="1564" spans="1:11" x14ac:dyDescent="0.25">
      <c r="A1564" s="5" t="s">
        <v>6</v>
      </c>
      <c r="B1564" s="5" t="s">
        <v>7561</v>
      </c>
      <c r="C1564" s="1" t="s">
        <v>7562</v>
      </c>
      <c r="D1564" s="5" t="s">
        <v>17755</v>
      </c>
      <c r="E1564" s="32">
        <v>4597</v>
      </c>
      <c r="F1564" s="27">
        <v>140961</v>
      </c>
      <c r="G1564" s="32">
        <v>4042</v>
      </c>
      <c r="H1564" s="27">
        <v>130344</v>
      </c>
      <c r="I1564" s="27">
        <v>30.663693713291277</v>
      </c>
      <c r="J1564" s="27">
        <v>32.247402276100942</v>
      </c>
      <c r="K1564" s="29">
        <v>5.1647677465653838E-2</v>
      </c>
    </row>
    <row r="1565" spans="1:11" x14ac:dyDescent="0.25">
      <c r="A1565" s="5" t="s">
        <v>6</v>
      </c>
      <c r="B1565" s="5" t="s">
        <v>7564</v>
      </c>
      <c r="C1565" s="1" t="s">
        <v>7565</v>
      </c>
      <c r="D1565" s="5" t="s">
        <v>17755</v>
      </c>
      <c r="E1565" s="32">
        <v>1368</v>
      </c>
      <c r="F1565" s="27">
        <v>24366</v>
      </c>
      <c r="G1565" s="32">
        <v>1726</v>
      </c>
      <c r="H1565" s="27">
        <v>32251</v>
      </c>
      <c r="I1565" s="27">
        <v>17.811403508771932</v>
      </c>
      <c r="J1565" s="27">
        <v>18.685399768250289</v>
      </c>
      <c r="K1565" s="29">
        <v>4.9069477262020531E-2</v>
      </c>
    </row>
    <row r="1566" spans="1:11" x14ac:dyDescent="0.25">
      <c r="A1566" s="5" t="s">
        <v>6</v>
      </c>
      <c r="B1566" s="5" t="s">
        <v>7567</v>
      </c>
      <c r="C1566" s="1" t="s">
        <v>7568</v>
      </c>
      <c r="D1566" s="5" t="s">
        <v>17755</v>
      </c>
      <c r="E1566" s="32">
        <v>606</v>
      </c>
      <c r="F1566" s="27">
        <v>14322</v>
      </c>
      <c r="G1566" s="32">
        <v>374</v>
      </c>
      <c r="H1566" s="27">
        <v>9466</v>
      </c>
      <c r="I1566" s="27">
        <v>23.633663366336634</v>
      </c>
      <c r="J1566" s="27">
        <v>25.310160427807485</v>
      </c>
      <c r="K1566" s="29">
        <v>7.0936825810036006E-2</v>
      </c>
    </row>
    <row r="1567" spans="1:11" x14ac:dyDescent="0.25">
      <c r="A1567" s="5" t="s">
        <v>6</v>
      </c>
      <c r="B1567" s="5" t="s">
        <v>7570</v>
      </c>
      <c r="C1567" s="1" t="s">
        <v>7571</v>
      </c>
      <c r="D1567" s="5" t="s">
        <v>17755</v>
      </c>
      <c r="E1567" s="32">
        <v>2843</v>
      </c>
      <c r="F1567" s="27">
        <v>14215</v>
      </c>
      <c r="G1567" s="32">
        <v>3455</v>
      </c>
      <c r="H1567" s="27">
        <v>17275</v>
      </c>
      <c r="I1567" s="27">
        <v>5</v>
      </c>
      <c r="J1567" s="27">
        <v>5</v>
      </c>
      <c r="K1567" s="29">
        <v>0</v>
      </c>
    </row>
    <row r="1568" spans="1:11" x14ac:dyDescent="0.25">
      <c r="A1568" s="5" t="s">
        <v>6</v>
      </c>
      <c r="B1568" s="5" t="s">
        <v>7576</v>
      </c>
      <c r="C1568" s="1" t="s">
        <v>7577</v>
      </c>
      <c r="D1568" s="5" t="s">
        <v>17755</v>
      </c>
      <c r="E1568" s="32">
        <v>6550</v>
      </c>
      <c r="F1568" s="27">
        <v>19650</v>
      </c>
      <c r="G1568" s="32">
        <v>6599</v>
      </c>
      <c r="H1568" s="27">
        <v>19797</v>
      </c>
      <c r="I1568" s="27">
        <v>3</v>
      </c>
      <c r="J1568" s="27">
        <v>3</v>
      </c>
      <c r="K1568" s="29">
        <v>0</v>
      </c>
    </row>
    <row r="1569" spans="1:11" x14ac:dyDescent="0.25">
      <c r="A1569" s="5" t="s">
        <v>6</v>
      </c>
      <c r="B1569" s="5" t="s">
        <v>7579</v>
      </c>
      <c r="C1569" s="1" t="s">
        <v>7580</v>
      </c>
      <c r="D1569" s="5" t="s">
        <v>17755</v>
      </c>
      <c r="E1569" s="32">
        <v>1917</v>
      </c>
      <c r="F1569" s="27">
        <v>24695</v>
      </c>
      <c r="G1569" s="32">
        <v>2610</v>
      </c>
      <c r="H1569" s="27">
        <v>35755</v>
      </c>
      <c r="I1569" s="27">
        <v>12.882107459572248</v>
      </c>
      <c r="J1569" s="27">
        <v>13.699233716475096</v>
      </c>
      <c r="K1569" s="29">
        <v>6.3431100809182364E-2</v>
      </c>
    </row>
    <row r="1570" spans="1:11" x14ac:dyDescent="0.25">
      <c r="A1570" s="5" t="s">
        <v>6</v>
      </c>
      <c r="B1570" s="5" t="s">
        <v>7582</v>
      </c>
      <c r="C1570" s="1" t="s">
        <v>7583</v>
      </c>
      <c r="D1570" s="5" t="s">
        <v>17755</v>
      </c>
      <c r="E1570" s="32">
        <v>510</v>
      </c>
      <c r="F1570" s="27">
        <v>20634</v>
      </c>
      <c r="G1570" s="32">
        <v>423</v>
      </c>
      <c r="H1570" s="27">
        <v>18204</v>
      </c>
      <c r="I1570" s="27">
        <v>40.458823529411767</v>
      </c>
      <c r="J1570" s="27">
        <v>43.035460992907801</v>
      </c>
      <c r="K1570" s="29">
        <v>6.3685427274545764E-2</v>
      </c>
    </row>
    <row r="1571" spans="1:11" x14ac:dyDescent="0.25">
      <c r="A1571" s="5" t="s">
        <v>6</v>
      </c>
      <c r="B1571" s="5" t="s">
        <v>7585</v>
      </c>
      <c r="C1571" s="1" t="s">
        <v>7586</v>
      </c>
      <c r="D1571" s="5" t="s">
        <v>17755</v>
      </c>
      <c r="E1571" s="32">
        <v>1930</v>
      </c>
      <c r="F1571" s="27">
        <v>109560</v>
      </c>
      <c r="G1571" s="32">
        <v>2515</v>
      </c>
      <c r="H1571" s="27">
        <v>154685</v>
      </c>
      <c r="I1571" s="27">
        <v>56.766839378238345</v>
      </c>
      <c r="J1571" s="27">
        <v>61.504970178926442</v>
      </c>
      <c r="K1571" s="29">
        <v>8.3466524692661803E-2</v>
      </c>
    </row>
    <row r="1572" spans="1:11" x14ac:dyDescent="0.25">
      <c r="A1572" s="5" t="s">
        <v>6</v>
      </c>
      <c r="B1572" s="5" t="s">
        <v>7588</v>
      </c>
      <c r="C1572" s="1" t="s">
        <v>7589</v>
      </c>
      <c r="D1572" s="5" t="s">
        <v>17755</v>
      </c>
      <c r="E1572" s="32">
        <v>1</v>
      </c>
      <c r="F1572" s="27">
        <v>31</v>
      </c>
      <c r="I1572" s="27">
        <v>31</v>
      </c>
    </row>
    <row r="1573" spans="1:11" x14ac:dyDescent="0.25">
      <c r="A1573" s="5" t="s">
        <v>6</v>
      </c>
      <c r="B1573" s="5" t="s">
        <v>7597</v>
      </c>
      <c r="C1573" s="1" t="s">
        <v>7598</v>
      </c>
      <c r="D1573" s="5" t="s">
        <v>17755</v>
      </c>
      <c r="E1573" s="32">
        <v>617</v>
      </c>
      <c r="F1573" s="27">
        <v>18402</v>
      </c>
      <c r="G1573" s="32">
        <v>496</v>
      </c>
      <c r="H1573" s="27">
        <v>15634</v>
      </c>
      <c r="I1573" s="27">
        <v>29.824959481361425</v>
      </c>
      <c r="J1573" s="27">
        <v>31.52016129032258</v>
      </c>
      <c r="K1573" s="29">
        <v>5.6838360837356411E-2</v>
      </c>
    </row>
    <row r="1574" spans="1:11" x14ac:dyDescent="0.25">
      <c r="A1574" s="5" t="s">
        <v>6</v>
      </c>
      <c r="B1574" s="5" t="s">
        <v>7600</v>
      </c>
      <c r="C1574" s="1" t="s">
        <v>7601</v>
      </c>
      <c r="D1574" s="5" t="s">
        <v>17755</v>
      </c>
      <c r="E1574" s="32">
        <v>4902</v>
      </c>
      <c r="F1574" s="27">
        <v>198063</v>
      </c>
      <c r="G1574" s="32">
        <v>4673</v>
      </c>
      <c r="H1574" s="27">
        <v>201412</v>
      </c>
      <c r="I1574" s="27">
        <v>40.404528763769889</v>
      </c>
      <c r="J1574" s="27">
        <v>43.101219773164992</v>
      </c>
      <c r="K1574" s="29">
        <v>6.6742295774853425E-2</v>
      </c>
    </row>
    <row r="1575" spans="1:11" x14ac:dyDescent="0.25">
      <c r="A1575" s="5" t="s">
        <v>6</v>
      </c>
      <c r="B1575" s="5" t="s">
        <v>7603</v>
      </c>
      <c r="C1575" s="1" t="s">
        <v>7604</v>
      </c>
      <c r="D1575" s="5" t="s">
        <v>17755</v>
      </c>
      <c r="E1575" s="32">
        <v>8512</v>
      </c>
      <c r="F1575" s="27">
        <v>92477</v>
      </c>
      <c r="G1575" s="32">
        <v>8239</v>
      </c>
      <c r="H1575" s="27">
        <v>96251</v>
      </c>
      <c r="I1575" s="27">
        <v>10.864309210526315</v>
      </c>
      <c r="J1575" s="27">
        <v>11.682364364607356</v>
      </c>
      <c r="K1575" s="29">
        <v>7.529748447222355E-2</v>
      </c>
    </row>
    <row r="1576" spans="1:11" x14ac:dyDescent="0.25">
      <c r="A1576" s="5" t="s">
        <v>6</v>
      </c>
      <c r="B1576" s="5" t="s">
        <v>7606</v>
      </c>
      <c r="C1576" s="1" t="s">
        <v>7607</v>
      </c>
      <c r="D1576" s="5" t="s">
        <v>17755</v>
      </c>
      <c r="E1576" s="32">
        <v>10</v>
      </c>
      <c r="F1576" s="27">
        <v>410</v>
      </c>
      <c r="G1576" s="32">
        <v>110</v>
      </c>
      <c r="H1576" s="27">
        <v>4672</v>
      </c>
      <c r="I1576" s="27">
        <v>41</v>
      </c>
      <c r="J1576" s="27">
        <v>42.472727272727276</v>
      </c>
      <c r="K1576" s="29">
        <v>3.59201773835921E-2</v>
      </c>
    </row>
    <row r="1577" spans="1:11" x14ac:dyDescent="0.25">
      <c r="A1577" s="5" t="s">
        <v>6</v>
      </c>
      <c r="B1577" s="5" t="s">
        <v>7609</v>
      </c>
      <c r="C1577" s="1" t="s">
        <v>7610</v>
      </c>
      <c r="D1577" s="5" t="s">
        <v>17755</v>
      </c>
      <c r="E1577" s="32">
        <v>411</v>
      </c>
      <c r="F1577" s="27">
        <v>4861</v>
      </c>
      <c r="G1577" s="32">
        <v>265</v>
      </c>
      <c r="H1577" s="27">
        <v>3358</v>
      </c>
      <c r="I1577" s="27">
        <v>11.827250608272506</v>
      </c>
      <c r="J1577" s="27">
        <v>12.671698113207547</v>
      </c>
      <c r="K1577" s="29">
        <v>7.1398462153528547E-2</v>
      </c>
    </row>
    <row r="1578" spans="1:11" x14ac:dyDescent="0.25">
      <c r="A1578" s="5" t="s">
        <v>6</v>
      </c>
      <c r="B1578" s="5" t="s">
        <v>7612</v>
      </c>
      <c r="C1578" s="1" t="s">
        <v>7613</v>
      </c>
      <c r="D1578" s="5" t="s">
        <v>17755</v>
      </c>
      <c r="E1578" s="32">
        <v>999</v>
      </c>
      <c r="F1578" s="27">
        <v>34350</v>
      </c>
      <c r="G1578" s="32">
        <v>1014</v>
      </c>
      <c r="H1578" s="27">
        <v>37836</v>
      </c>
      <c r="I1578" s="27">
        <v>34.384384384384383</v>
      </c>
      <c r="J1578" s="27">
        <v>37.31360946745562</v>
      </c>
      <c r="K1578" s="29">
        <v>8.5190563551329451E-2</v>
      </c>
    </row>
    <row r="1579" spans="1:11" x14ac:dyDescent="0.25">
      <c r="A1579" s="5" t="s">
        <v>6</v>
      </c>
      <c r="B1579" s="5" t="s">
        <v>7615</v>
      </c>
      <c r="C1579" s="1" t="s">
        <v>7616</v>
      </c>
      <c r="D1579" s="5" t="s">
        <v>17755</v>
      </c>
      <c r="E1579" s="32">
        <v>488</v>
      </c>
      <c r="F1579" s="27">
        <v>12908</v>
      </c>
      <c r="G1579" s="32">
        <v>562</v>
      </c>
      <c r="H1579" s="27">
        <v>15696</v>
      </c>
      <c r="I1579" s="27">
        <v>26.450819672131146</v>
      </c>
      <c r="J1579" s="27">
        <v>27.9288256227758</v>
      </c>
      <c r="K1579" s="29">
        <v>5.5877510374542243E-2</v>
      </c>
    </row>
    <row r="1580" spans="1:11" x14ac:dyDescent="0.25">
      <c r="A1580" s="5" t="s">
        <v>6</v>
      </c>
      <c r="B1580" s="5" t="s">
        <v>7618</v>
      </c>
      <c r="C1580" s="1" t="s">
        <v>7619</v>
      </c>
      <c r="D1580" s="5" t="s">
        <v>17755</v>
      </c>
      <c r="E1580" s="32">
        <v>783</v>
      </c>
      <c r="F1580" s="27">
        <v>28737</v>
      </c>
      <c r="G1580" s="32">
        <v>826</v>
      </c>
      <c r="H1580" s="27">
        <v>32359</v>
      </c>
      <c r="I1580" s="27">
        <v>36.701149425287355</v>
      </c>
      <c r="J1580" s="27">
        <v>39.175544794188859</v>
      </c>
      <c r="K1580" s="29">
        <v>6.7420105572950487E-2</v>
      </c>
    </row>
    <row r="1581" spans="1:11" x14ac:dyDescent="0.25">
      <c r="A1581" s="5" t="s">
        <v>6</v>
      </c>
      <c r="B1581" s="5" t="s">
        <v>7621</v>
      </c>
      <c r="C1581" s="1" t="s">
        <v>7622</v>
      </c>
      <c r="D1581" s="5" t="s">
        <v>17755</v>
      </c>
      <c r="E1581" s="32">
        <v>117</v>
      </c>
      <c r="F1581" s="27">
        <v>3109</v>
      </c>
      <c r="G1581" s="32">
        <v>115</v>
      </c>
      <c r="H1581" s="27">
        <v>3251</v>
      </c>
      <c r="I1581" s="27">
        <v>26.572649572649574</v>
      </c>
      <c r="J1581" s="27">
        <v>28.269565217391303</v>
      </c>
      <c r="K1581" s="29">
        <v>6.3859482288447178E-2</v>
      </c>
    </row>
    <row r="1582" spans="1:11" x14ac:dyDescent="0.25">
      <c r="A1582" s="5" t="s">
        <v>6</v>
      </c>
      <c r="B1582" s="5" t="s">
        <v>7633</v>
      </c>
      <c r="C1582" s="1" t="s">
        <v>7634</v>
      </c>
      <c r="D1582" s="5" t="s">
        <v>17755</v>
      </c>
      <c r="E1582" s="32">
        <v>965</v>
      </c>
      <c r="F1582" s="27">
        <v>42909</v>
      </c>
      <c r="G1582" s="32">
        <v>1217</v>
      </c>
      <c r="H1582" s="27">
        <v>58337</v>
      </c>
      <c r="I1582" s="27">
        <v>44.465284974093265</v>
      </c>
      <c r="J1582" s="27">
        <v>47.935086277732125</v>
      </c>
      <c r="K1582" s="29">
        <v>7.8033938288272861E-2</v>
      </c>
    </row>
    <row r="1583" spans="1:11" x14ac:dyDescent="0.25">
      <c r="A1583" s="5" t="s">
        <v>6</v>
      </c>
      <c r="B1583" s="5" t="s">
        <v>7639</v>
      </c>
      <c r="C1583" s="1" t="s">
        <v>7640</v>
      </c>
      <c r="D1583" s="5" t="s">
        <v>17756</v>
      </c>
      <c r="E1583" s="32">
        <v>2439</v>
      </c>
      <c r="F1583" s="27">
        <v>43462</v>
      </c>
      <c r="G1583" s="32">
        <v>2722</v>
      </c>
      <c r="H1583" s="27">
        <v>50960</v>
      </c>
      <c r="I1583" s="27">
        <v>17.81959819598196</v>
      </c>
      <c r="J1583" s="27">
        <v>18.721528288023514</v>
      </c>
      <c r="K1583" s="29">
        <v>5.0614502197076715E-2</v>
      </c>
    </row>
    <row r="1584" spans="1:11" x14ac:dyDescent="0.25">
      <c r="A1584" s="5" t="s">
        <v>6</v>
      </c>
      <c r="B1584" s="5" t="s">
        <v>7649</v>
      </c>
      <c r="C1584" s="1" t="s">
        <v>7650</v>
      </c>
      <c r="D1584" s="5" t="s">
        <v>17756</v>
      </c>
      <c r="E1584" s="32">
        <v>3145</v>
      </c>
      <c r="F1584" s="27">
        <v>52714</v>
      </c>
      <c r="G1584" s="32">
        <v>2452</v>
      </c>
      <c r="H1584" s="27">
        <v>43057</v>
      </c>
      <c r="I1584" s="27">
        <v>16.76120826709062</v>
      </c>
      <c r="J1584" s="27">
        <v>17.559951060358891</v>
      </c>
      <c r="K1584" s="29">
        <v>4.7654249057721164E-2</v>
      </c>
    </row>
    <row r="1585" spans="1:11" x14ac:dyDescent="0.25">
      <c r="A1585" s="5" t="s">
        <v>6</v>
      </c>
      <c r="B1585" s="5" t="s">
        <v>7651</v>
      </c>
      <c r="C1585" s="1" t="s">
        <v>7652</v>
      </c>
      <c r="D1585" s="5" t="s">
        <v>17761</v>
      </c>
      <c r="E1585" s="32">
        <v>891</v>
      </c>
      <c r="F1585" s="27">
        <v>41421</v>
      </c>
      <c r="G1585" s="32">
        <v>770</v>
      </c>
      <c r="H1585" s="27">
        <v>37962</v>
      </c>
      <c r="I1585" s="27">
        <v>46.488215488215488</v>
      </c>
      <c r="J1585" s="27">
        <v>49.301298701298698</v>
      </c>
      <c r="K1585" s="29">
        <v>6.0511748698900088E-2</v>
      </c>
    </row>
    <row r="1586" spans="1:11" x14ac:dyDescent="0.25">
      <c r="A1586" s="5" t="s">
        <v>6</v>
      </c>
      <c r="B1586" s="5" t="s">
        <v>7654</v>
      </c>
      <c r="C1586" s="1" t="s">
        <v>7655</v>
      </c>
      <c r="D1586" s="5" t="s">
        <v>17762</v>
      </c>
      <c r="E1586" s="32">
        <v>287</v>
      </c>
      <c r="F1586" s="27">
        <v>6003</v>
      </c>
      <c r="G1586" s="32">
        <v>523</v>
      </c>
      <c r="H1586" s="27">
        <v>11903</v>
      </c>
      <c r="I1586" s="27">
        <v>20.916376306620208</v>
      </c>
      <c r="J1586" s="27">
        <v>22.75908221797323</v>
      </c>
      <c r="K1586" s="29">
        <v>8.8098716734685542E-2</v>
      </c>
    </row>
    <row r="1587" spans="1:11" x14ac:dyDescent="0.25">
      <c r="A1587" s="5" t="s">
        <v>6</v>
      </c>
      <c r="B1587" s="5" t="s">
        <v>7660</v>
      </c>
      <c r="C1587" s="1" t="s">
        <v>7661</v>
      </c>
      <c r="D1587" s="5" t="s">
        <v>17755</v>
      </c>
      <c r="E1587" s="32">
        <v>1584</v>
      </c>
      <c r="F1587" s="27">
        <v>1584</v>
      </c>
      <c r="G1587" s="32">
        <v>1567</v>
      </c>
      <c r="H1587" s="27">
        <v>1567</v>
      </c>
      <c r="I1587" s="27">
        <v>1</v>
      </c>
      <c r="J1587" s="27">
        <v>1</v>
      </c>
      <c r="K1587" s="29">
        <v>0</v>
      </c>
    </row>
    <row r="1588" spans="1:11" x14ac:dyDescent="0.25">
      <c r="A1588" s="5" t="s">
        <v>6</v>
      </c>
      <c r="B1588" s="5" t="s">
        <v>7663</v>
      </c>
      <c r="C1588" s="1" t="s">
        <v>7664</v>
      </c>
      <c r="D1588" s="5" t="s">
        <v>17755</v>
      </c>
      <c r="E1588" s="32">
        <v>3</v>
      </c>
      <c r="F1588" s="27">
        <v>78</v>
      </c>
      <c r="I1588" s="27">
        <v>26</v>
      </c>
    </row>
    <row r="1589" spans="1:11" x14ac:dyDescent="0.25">
      <c r="A1589" s="5" t="s">
        <v>6</v>
      </c>
      <c r="B1589" s="5" t="s">
        <v>7665</v>
      </c>
      <c r="C1589" s="1" t="s">
        <v>7666</v>
      </c>
      <c r="D1589" s="5" t="s">
        <v>17755</v>
      </c>
      <c r="E1589" s="32">
        <v>1</v>
      </c>
      <c r="F1589" s="27">
        <v>27</v>
      </c>
      <c r="I1589" s="27">
        <v>27</v>
      </c>
    </row>
    <row r="1590" spans="1:11" x14ac:dyDescent="0.25">
      <c r="A1590" s="5" t="s">
        <v>6</v>
      </c>
      <c r="B1590" s="5" t="s">
        <v>7669</v>
      </c>
      <c r="C1590" s="1" t="s">
        <v>7670</v>
      </c>
      <c r="D1590" s="5" t="s">
        <v>17755</v>
      </c>
      <c r="E1590" s="32">
        <v>5</v>
      </c>
      <c r="F1590" s="27">
        <v>86</v>
      </c>
      <c r="G1590" s="32">
        <v>47</v>
      </c>
      <c r="H1590" s="27">
        <v>891</v>
      </c>
      <c r="I1590" s="27">
        <v>17.2</v>
      </c>
      <c r="J1590" s="27">
        <v>18.957446808510639</v>
      </c>
      <c r="K1590" s="29">
        <v>0.10217714002968835</v>
      </c>
    </row>
    <row r="1591" spans="1:11" x14ac:dyDescent="0.25">
      <c r="A1591" s="5" t="s">
        <v>6</v>
      </c>
      <c r="B1591" s="5" t="s">
        <v>7672</v>
      </c>
      <c r="C1591" s="1" t="s">
        <v>7673</v>
      </c>
      <c r="D1591" s="5" t="s">
        <v>17755</v>
      </c>
      <c r="E1591" s="32">
        <v>62</v>
      </c>
      <c r="F1591" s="27">
        <v>1626</v>
      </c>
      <c r="G1591" s="32">
        <v>65</v>
      </c>
      <c r="H1591" s="27">
        <v>1827</v>
      </c>
      <c r="I1591" s="27">
        <v>26.225806451612904</v>
      </c>
      <c r="J1591" s="27">
        <v>28.107692307692307</v>
      </c>
      <c r="K1591" s="29">
        <v>7.1757025262560281E-2</v>
      </c>
    </row>
    <row r="1592" spans="1:11" x14ac:dyDescent="0.25">
      <c r="A1592" s="5" t="s">
        <v>6</v>
      </c>
      <c r="B1592" s="5" t="s">
        <v>7681</v>
      </c>
      <c r="C1592" s="1" t="s">
        <v>7682</v>
      </c>
      <c r="D1592" s="5" t="s">
        <v>17755</v>
      </c>
      <c r="E1592" s="32">
        <v>4</v>
      </c>
      <c r="F1592" s="27">
        <v>108</v>
      </c>
      <c r="G1592" s="32">
        <v>2</v>
      </c>
      <c r="H1592" s="27">
        <v>58</v>
      </c>
      <c r="I1592" s="27">
        <v>27</v>
      </c>
      <c r="J1592" s="27">
        <v>29</v>
      </c>
      <c r="K1592" s="29">
        <v>7.407407407407407E-2</v>
      </c>
    </row>
    <row r="1593" spans="1:11" x14ac:dyDescent="0.25">
      <c r="A1593" s="5" t="s">
        <v>6</v>
      </c>
      <c r="B1593" s="5" t="s">
        <v>7684</v>
      </c>
      <c r="C1593" s="1" t="s">
        <v>7685</v>
      </c>
      <c r="D1593" s="5" t="s">
        <v>17755</v>
      </c>
      <c r="E1593" s="32">
        <v>69</v>
      </c>
      <c r="F1593" s="27">
        <v>1843</v>
      </c>
      <c r="G1593" s="32">
        <v>137</v>
      </c>
      <c r="H1593" s="27">
        <v>3901</v>
      </c>
      <c r="I1593" s="27">
        <v>26.710144927536231</v>
      </c>
      <c r="J1593" s="27">
        <v>28.474452554744527</v>
      </c>
      <c r="K1593" s="29">
        <v>6.60538395427957E-2</v>
      </c>
    </row>
    <row r="1594" spans="1:11" x14ac:dyDescent="0.25">
      <c r="A1594" s="5" t="s">
        <v>6</v>
      </c>
      <c r="B1594" s="5" t="s">
        <v>7687</v>
      </c>
      <c r="C1594" s="1" t="s">
        <v>7688</v>
      </c>
      <c r="D1594" s="5" t="s">
        <v>17755</v>
      </c>
      <c r="E1594" s="32">
        <v>3</v>
      </c>
      <c r="F1594" s="27">
        <v>48</v>
      </c>
      <c r="G1594" s="32">
        <v>2</v>
      </c>
      <c r="H1594" s="27">
        <v>34</v>
      </c>
      <c r="I1594" s="27">
        <v>16</v>
      </c>
      <c r="J1594" s="27">
        <v>17</v>
      </c>
      <c r="K1594" s="29">
        <v>6.25E-2</v>
      </c>
    </row>
    <row r="1595" spans="1:11" x14ac:dyDescent="0.25">
      <c r="A1595" s="5" t="s">
        <v>6</v>
      </c>
      <c r="B1595" s="5" t="s">
        <v>7690</v>
      </c>
      <c r="C1595" s="1" t="s">
        <v>7691</v>
      </c>
      <c r="D1595" s="5" t="s">
        <v>17755</v>
      </c>
      <c r="E1595" s="32">
        <v>0</v>
      </c>
      <c r="F1595" s="27">
        <v>0</v>
      </c>
      <c r="G1595" s="32">
        <v>1</v>
      </c>
      <c r="H1595" s="27">
        <v>12</v>
      </c>
      <c r="J1595" s="27">
        <v>12</v>
      </c>
    </row>
    <row r="1596" spans="1:11" x14ac:dyDescent="0.25">
      <c r="A1596" s="5" t="s">
        <v>6</v>
      </c>
      <c r="B1596" s="5" t="s">
        <v>7702</v>
      </c>
      <c r="C1596" s="1" t="s">
        <v>7703</v>
      </c>
      <c r="D1596" s="5" t="s">
        <v>17755</v>
      </c>
      <c r="E1596" s="32">
        <v>92</v>
      </c>
      <c r="F1596" s="27">
        <v>1646</v>
      </c>
      <c r="G1596" s="32">
        <v>98</v>
      </c>
      <c r="H1596" s="27">
        <v>1815</v>
      </c>
      <c r="I1596" s="27">
        <v>17.891304347826086</v>
      </c>
      <c r="J1596" s="27">
        <v>18.520408163265305</v>
      </c>
      <c r="K1596" s="29">
        <v>3.5162546184938123E-2</v>
      </c>
    </row>
    <row r="1597" spans="1:11" x14ac:dyDescent="0.25">
      <c r="A1597" s="5" t="s">
        <v>6</v>
      </c>
      <c r="B1597" s="5" t="s">
        <v>7705</v>
      </c>
      <c r="C1597" s="1" t="s">
        <v>7706</v>
      </c>
      <c r="D1597" s="5" t="s">
        <v>17755</v>
      </c>
      <c r="E1597" s="32">
        <v>6</v>
      </c>
      <c r="F1597" s="27">
        <v>162</v>
      </c>
      <c r="G1597" s="32">
        <v>24</v>
      </c>
      <c r="H1597" s="27">
        <v>696</v>
      </c>
      <c r="I1597" s="27">
        <v>27</v>
      </c>
      <c r="J1597" s="27">
        <v>29</v>
      </c>
      <c r="K1597" s="29">
        <v>7.407407407407407E-2</v>
      </c>
    </row>
    <row r="1598" spans="1:11" x14ac:dyDescent="0.25">
      <c r="A1598" s="5" t="s">
        <v>6</v>
      </c>
      <c r="B1598" s="5" t="s">
        <v>7713</v>
      </c>
      <c r="C1598" s="1" t="s">
        <v>7714</v>
      </c>
      <c r="D1598" s="5" t="s">
        <v>17756</v>
      </c>
      <c r="E1598" s="32">
        <v>157</v>
      </c>
      <c r="F1598" s="27">
        <v>2761</v>
      </c>
      <c r="G1598" s="32">
        <v>9</v>
      </c>
      <c r="H1598" s="27">
        <v>171</v>
      </c>
      <c r="I1598" s="27">
        <v>17.585987261146496</v>
      </c>
      <c r="J1598" s="27">
        <v>19</v>
      </c>
      <c r="K1598" s="29">
        <v>8.0405650126765732E-2</v>
      </c>
    </row>
    <row r="1599" spans="1:11" x14ac:dyDescent="0.25">
      <c r="A1599" s="5" t="s">
        <v>6</v>
      </c>
      <c r="B1599" s="5" t="s">
        <v>7720</v>
      </c>
      <c r="C1599" s="1" t="s">
        <v>7721</v>
      </c>
      <c r="D1599" s="5" t="s">
        <v>17756</v>
      </c>
      <c r="E1599" s="32">
        <v>35</v>
      </c>
      <c r="F1599" s="27">
        <v>731</v>
      </c>
      <c r="G1599" s="32">
        <v>114</v>
      </c>
      <c r="H1599" s="27">
        <v>2604</v>
      </c>
      <c r="I1599" s="27">
        <v>20.885714285714286</v>
      </c>
      <c r="J1599" s="27">
        <v>22.842105263157894</v>
      </c>
      <c r="K1599" s="29">
        <v>9.3671250629994887E-2</v>
      </c>
    </row>
    <row r="1600" spans="1:11" x14ac:dyDescent="0.25">
      <c r="A1600" s="5" t="s">
        <v>6</v>
      </c>
      <c r="B1600" s="5" t="s">
        <v>7732</v>
      </c>
      <c r="C1600" s="1" t="s">
        <v>7733</v>
      </c>
      <c r="D1600" s="5" t="s">
        <v>17756</v>
      </c>
      <c r="E1600" s="32">
        <v>7</v>
      </c>
      <c r="F1600" s="27">
        <v>122</v>
      </c>
      <c r="G1600" s="32">
        <v>0</v>
      </c>
      <c r="H1600" s="27">
        <v>0</v>
      </c>
      <c r="I1600" s="27">
        <v>17.428571428571427</v>
      </c>
    </row>
    <row r="1601" spans="1:11" x14ac:dyDescent="0.25">
      <c r="A1601" s="5" t="s">
        <v>6</v>
      </c>
      <c r="B1601" s="5" t="s">
        <v>7735</v>
      </c>
      <c r="C1601" s="1" t="s">
        <v>7736</v>
      </c>
      <c r="D1601" s="5" t="s">
        <v>17755</v>
      </c>
      <c r="E1601" s="32">
        <v>228</v>
      </c>
      <c r="F1601" s="27">
        <v>10200</v>
      </c>
      <c r="G1601" s="32">
        <v>196</v>
      </c>
      <c r="H1601" s="27">
        <v>9228</v>
      </c>
      <c r="I1601" s="27">
        <v>44.736842105263158</v>
      </c>
      <c r="J1601" s="27">
        <v>47.081632653061227</v>
      </c>
      <c r="K1601" s="29">
        <v>5.2412965186074502E-2</v>
      </c>
    </row>
    <row r="1602" spans="1:11" x14ac:dyDescent="0.25">
      <c r="A1602" s="5" t="s">
        <v>6</v>
      </c>
      <c r="B1602" s="5" t="s">
        <v>7738</v>
      </c>
      <c r="C1602" s="1" t="s">
        <v>7739</v>
      </c>
      <c r="D1602" s="5" t="s">
        <v>17755</v>
      </c>
      <c r="E1602" s="32">
        <v>640</v>
      </c>
      <c r="F1602" s="27">
        <v>25955</v>
      </c>
      <c r="G1602" s="32">
        <v>732</v>
      </c>
      <c r="H1602" s="27">
        <v>31428</v>
      </c>
      <c r="I1602" s="27">
        <v>40.5546875</v>
      </c>
      <c r="J1602" s="27">
        <v>42.934426229508198</v>
      </c>
      <c r="K1602" s="29">
        <v>5.8679745208447175E-2</v>
      </c>
    </row>
    <row r="1603" spans="1:11" x14ac:dyDescent="0.25">
      <c r="A1603" s="5" t="s">
        <v>6</v>
      </c>
      <c r="B1603" s="5" t="s">
        <v>7741</v>
      </c>
      <c r="C1603" s="1" t="s">
        <v>7742</v>
      </c>
      <c r="D1603" s="5" t="s">
        <v>17755</v>
      </c>
      <c r="E1603" s="32">
        <v>494</v>
      </c>
      <c r="F1603" s="27">
        <v>16951</v>
      </c>
      <c r="G1603" s="32">
        <v>638</v>
      </c>
      <c r="H1603" s="27">
        <v>23794</v>
      </c>
      <c r="I1603" s="27">
        <v>34.313765182186238</v>
      </c>
      <c r="J1603" s="27">
        <v>37.294670846394986</v>
      </c>
      <c r="K1603" s="29">
        <v>8.6872007440217183E-2</v>
      </c>
    </row>
    <row r="1604" spans="1:11" x14ac:dyDescent="0.25">
      <c r="A1604" s="5" t="s">
        <v>6</v>
      </c>
      <c r="B1604" s="5" t="s">
        <v>7744</v>
      </c>
      <c r="C1604" s="1" t="s">
        <v>7745</v>
      </c>
      <c r="D1604" s="5" t="s">
        <v>17755</v>
      </c>
      <c r="E1604" s="32">
        <v>240</v>
      </c>
      <c r="F1604" s="27">
        <v>6282</v>
      </c>
      <c r="G1604" s="32">
        <v>76</v>
      </c>
      <c r="H1604" s="27">
        <v>2160</v>
      </c>
      <c r="I1604" s="27">
        <v>26.175000000000001</v>
      </c>
      <c r="J1604" s="27">
        <v>28.421052631578949</v>
      </c>
      <c r="K1604" s="29">
        <v>8.5809078570351402E-2</v>
      </c>
    </row>
    <row r="1605" spans="1:11" x14ac:dyDescent="0.25">
      <c r="A1605" s="5" t="s">
        <v>6</v>
      </c>
      <c r="B1605" s="5" t="s">
        <v>7750</v>
      </c>
      <c r="C1605" s="1" t="s">
        <v>7751</v>
      </c>
      <c r="D1605" s="5" t="s">
        <v>17755</v>
      </c>
      <c r="E1605" s="32">
        <v>1801</v>
      </c>
      <c r="F1605" s="27">
        <v>120032</v>
      </c>
      <c r="G1605" s="32">
        <v>1534</v>
      </c>
      <c r="H1605" s="27">
        <v>107268</v>
      </c>
      <c r="I1605" s="27">
        <v>66.647418101054967</v>
      </c>
      <c r="J1605" s="27">
        <v>69.926988265971318</v>
      </c>
      <c r="K1605" s="29">
        <v>4.9207760155744698E-2</v>
      </c>
    </row>
    <row r="1606" spans="1:11" x14ac:dyDescent="0.25">
      <c r="A1606" s="5" t="s">
        <v>6</v>
      </c>
      <c r="B1606" s="5" t="s">
        <v>7759</v>
      </c>
      <c r="C1606" s="1" t="s">
        <v>7760</v>
      </c>
      <c r="D1606" s="5" t="s">
        <v>17755</v>
      </c>
      <c r="E1606" s="32">
        <v>6</v>
      </c>
      <c r="F1606" s="27">
        <v>168</v>
      </c>
      <c r="I1606" s="27">
        <v>28</v>
      </c>
    </row>
    <row r="1607" spans="1:11" x14ac:dyDescent="0.25">
      <c r="A1607" s="5" t="s">
        <v>6</v>
      </c>
      <c r="B1607" s="5" t="s">
        <v>7762</v>
      </c>
      <c r="C1607" s="1" t="s">
        <v>7763</v>
      </c>
      <c r="D1607" s="5" t="s">
        <v>17755</v>
      </c>
      <c r="E1607" s="32">
        <v>292</v>
      </c>
      <c r="F1607" s="27">
        <v>7854</v>
      </c>
      <c r="G1607" s="32">
        <v>235</v>
      </c>
      <c r="H1607" s="27">
        <v>6693</v>
      </c>
      <c r="I1607" s="27">
        <v>26.897260273972602</v>
      </c>
      <c r="J1607" s="27">
        <v>28.480851063829789</v>
      </c>
      <c r="K1607" s="29">
        <v>5.8875542480048199E-2</v>
      </c>
    </row>
    <row r="1608" spans="1:11" x14ac:dyDescent="0.25">
      <c r="A1608" s="5" t="s">
        <v>6</v>
      </c>
      <c r="B1608" s="5" t="s">
        <v>7780</v>
      </c>
      <c r="C1608" s="1" t="s">
        <v>7781</v>
      </c>
      <c r="D1608" s="5" t="s">
        <v>17755</v>
      </c>
      <c r="E1608" s="32">
        <v>322</v>
      </c>
      <c r="F1608" s="27">
        <v>21761</v>
      </c>
      <c r="G1608" s="32">
        <v>495</v>
      </c>
      <c r="H1608" s="27">
        <v>35310</v>
      </c>
      <c r="I1608" s="27">
        <v>67.5807453416149</v>
      </c>
      <c r="J1608" s="27">
        <v>71.333333333333329</v>
      </c>
      <c r="K1608" s="29">
        <v>5.552747269580139E-2</v>
      </c>
    </row>
    <row r="1609" spans="1:11" x14ac:dyDescent="0.25">
      <c r="A1609" s="5" t="s">
        <v>6</v>
      </c>
      <c r="B1609" s="5" t="s">
        <v>7783</v>
      </c>
      <c r="C1609" s="1" t="s">
        <v>7784</v>
      </c>
      <c r="D1609" s="5" t="s">
        <v>17755</v>
      </c>
      <c r="E1609" s="32">
        <v>78</v>
      </c>
      <c r="F1609" s="27">
        <v>5664</v>
      </c>
      <c r="I1609" s="27">
        <v>72.615384615384613</v>
      </c>
    </row>
    <row r="1610" spans="1:11" x14ac:dyDescent="0.25">
      <c r="A1610" s="5" t="s">
        <v>6</v>
      </c>
      <c r="B1610" s="5" t="s">
        <v>7789</v>
      </c>
      <c r="C1610" s="1" t="s">
        <v>7790</v>
      </c>
      <c r="D1610" s="5" t="s">
        <v>17755</v>
      </c>
      <c r="E1610" s="32">
        <v>41</v>
      </c>
      <c r="F1610" s="27">
        <v>738</v>
      </c>
      <c r="I1610" s="27">
        <v>18</v>
      </c>
    </row>
    <row r="1611" spans="1:11" x14ac:dyDescent="0.25">
      <c r="A1611" s="5" t="s">
        <v>6</v>
      </c>
      <c r="B1611" s="5" t="s">
        <v>7792</v>
      </c>
      <c r="C1611" s="1" t="s">
        <v>7793</v>
      </c>
      <c r="D1611" s="5" t="s">
        <v>17755</v>
      </c>
      <c r="E1611" s="32">
        <v>145</v>
      </c>
      <c r="F1611" s="27">
        <v>3249</v>
      </c>
      <c r="I1611" s="27">
        <v>22.406896551724138</v>
      </c>
    </row>
    <row r="1612" spans="1:11" x14ac:dyDescent="0.25">
      <c r="A1612" s="5" t="s">
        <v>6</v>
      </c>
      <c r="B1612" s="5" t="s">
        <v>7798</v>
      </c>
      <c r="C1612" s="1" t="s">
        <v>7799</v>
      </c>
      <c r="D1612" s="5" t="s">
        <v>17755</v>
      </c>
      <c r="E1612" s="32">
        <v>161</v>
      </c>
      <c r="F1612" s="27">
        <v>9711</v>
      </c>
      <c r="G1612" s="32">
        <v>319</v>
      </c>
      <c r="H1612" s="27">
        <v>20974</v>
      </c>
      <c r="I1612" s="27">
        <v>60.316770186335404</v>
      </c>
      <c r="J1612" s="27">
        <v>65.749216300940432</v>
      </c>
      <c r="K1612" s="29">
        <v>9.0065268710885549E-2</v>
      </c>
    </row>
    <row r="1613" spans="1:11" x14ac:dyDescent="0.25">
      <c r="A1613" s="5" t="s">
        <v>6</v>
      </c>
      <c r="B1613" s="5" t="s">
        <v>7813</v>
      </c>
      <c r="C1613" s="1" t="s">
        <v>7814</v>
      </c>
      <c r="D1613" s="5" t="s">
        <v>17755</v>
      </c>
      <c r="E1613" s="32">
        <v>2000</v>
      </c>
      <c r="F1613" s="27">
        <v>295312</v>
      </c>
      <c r="G1613" s="32">
        <v>2844</v>
      </c>
      <c r="H1613" s="27">
        <v>446412</v>
      </c>
      <c r="I1613" s="27">
        <v>147.65600000000001</v>
      </c>
      <c r="J1613" s="27">
        <v>156.96624472573839</v>
      </c>
      <c r="K1613" s="29">
        <v>6.3053616011123054E-2</v>
      </c>
    </row>
    <row r="1614" spans="1:11" x14ac:dyDescent="0.25">
      <c r="A1614" s="5" t="s">
        <v>6</v>
      </c>
      <c r="B1614" s="5" t="s">
        <v>7819</v>
      </c>
      <c r="C1614" s="1" t="s">
        <v>7820</v>
      </c>
      <c r="D1614" s="5" t="s">
        <v>17755</v>
      </c>
      <c r="E1614" s="32">
        <v>156</v>
      </c>
      <c r="F1614" s="27">
        <v>20212</v>
      </c>
      <c r="G1614" s="32">
        <v>230</v>
      </c>
      <c r="H1614" s="27">
        <v>32065</v>
      </c>
      <c r="I1614" s="27">
        <v>129.56410256410257</v>
      </c>
      <c r="J1614" s="27">
        <v>139.41304347826087</v>
      </c>
      <c r="K1614" s="29">
        <v>7.6015969850024512E-2</v>
      </c>
    </row>
    <row r="1615" spans="1:11" x14ac:dyDescent="0.25">
      <c r="A1615" s="5" t="s">
        <v>6</v>
      </c>
      <c r="B1615" s="5" t="s">
        <v>7822</v>
      </c>
      <c r="C1615" s="1" t="s">
        <v>7823</v>
      </c>
      <c r="D1615" s="5" t="s">
        <v>17755</v>
      </c>
      <c r="E1615" s="32">
        <v>756</v>
      </c>
      <c r="F1615" s="27">
        <v>43608</v>
      </c>
      <c r="G1615" s="32">
        <v>617</v>
      </c>
      <c r="H1615" s="27">
        <v>37516</v>
      </c>
      <c r="I1615" s="27">
        <v>57.682539682539684</v>
      </c>
      <c r="J1615" s="27">
        <v>60.803889789303078</v>
      </c>
      <c r="K1615" s="29">
        <v>5.4112563766123785E-2</v>
      </c>
    </row>
    <row r="1616" spans="1:11" x14ac:dyDescent="0.25">
      <c r="A1616" s="5" t="s">
        <v>6</v>
      </c>
      <c r="B1616" s="5" t="s">
        <v>7825</v>
      </c>
      <c r="C1616" s="1" t="s">
        <v>7826</v>
      </c>
      <c r="D1616" s="5" t="s">
        <v>17755</v>
      </c>
      <c r="E1616" s="32">
        <v>486</v>
      </c>
      <c r="F1616" s="27">
        <v>46000</v>
      </c>
      <c r="G1616" s="32">
        <v>747</v>
      </c>
      <c r="H1616" s="27">
        <v>77224</v>
      </c>
      <c r="I1616" s="27">
        <v>94.650205761316869</v>
      </c>
      <c r="J1616" s="27">
        <v>103.37884872824633</v>
      </c>
      <c r="K1616" s="29">
        <v>9.2220010476689471E-2</v>
      </c>
    </row>
    <row r="1617" spans="1:11" x14ac:dyDescent="0.25">
      <c r="A1617" s="5" t="s">
        <v>6</v>
      </c>
      <c r="B1617" s="5" t="s">
        <v>7828</v>
      </c>
      <c r="C1617" s="1" t="s">
        <v>7829</v>
      </c>
      <c r="D1617" s="5" t="s">
        <v>17755</v>
      </c>
      <c r="E1617" s="32">
        <v>186</v>
      </c>
      <c r="F1617" s="27">
        <v>6660</v>
      </c>
      <c r="G1617" s="32">
        <v>126</v>
      </c>
      <c r="H1617" s="27">
        <v>4977</v>
      </c>
      <c r="I1617" s="27">
        <v>35.806451612903224</v>
      </c>
      <c r="J1617" s="27">
        <v>39.5</v>
      </c>
      <c r="K1617" s="29">
        <v>0.1031531531531532</v>
      </c>
    </row>
    <row r="1618" spans="1:11" x14ac:dyDescent="0.25">
      <c r="A1618" s="5" t="s">
        <v>6</v>
      </c>
      <c r="B1618" s="5" t="s">
        <v>7831</v>
      </c>
      <c r="C1618" s="1" t="s">
        <v>7832</v>
      </c>
      <c r="D1618" s="5" t="s">
        <v>17755</v>
      </c>
      <c r="E1618" s="32">
        <v>169</v>
      </c>
      <c r="F1618" s="27">
        <v>7059</v>
      </c>
      <c r="G1618" s="32">
        <v>352</v>
      </c>
      <c r="H1618" s="27">
        <v>15804</v>
      </c>
      <c r="I1618" s="27">
        <v>41.769230769230766</v>
      </c>
      <c r="J1618" s="27">
        <v>44.897727272727273</v>
      </c>
      <c r="K1618" s="29">
        <v>7.48995479658464E-2</v>
      </c>
    </row>
    <row r="1619" spans="1:11" x14ac:dyDescent="0.25">
      <c r="A1619" s="5" t="s">
        <v>6</v>
      </c>
      <c r="B1619" s="5" t="s">
        <v>7834</v>
      </c>
      <c r="C1619" s="1" t="s">
        <v>7835</v>
      </c>
      <c r="D1619" s="5" t="s">
        <v>17755</v>
      </c>
      <c r="E1619" s="32">
        <v>121</v>
      </c>
      <c r="F1619" s="27">
        <v>5705</v>
      </c>
      <c r="G1619" s="32">
        <v>414</v>
      </c>
      <c r="H1619" s="27">
        <v>21742</v>
      </c>
      <c r="I1619" s="27">
        <v>47.148760330578511</v>
      </c>
      <c r="J1619" s="27">
        <v>52.516908212560388</v>
      </c>
      <c r="K1619" s="29">
        <v>0.11385554666429572</v>
      </c>
    </row>
    <row r="1620" spans="1:11" x14ac:dyDescent="0.25">
      <c r="A1620" s="5" t="s">
        <v>6</v>
      </c>
      <c r="B1620" s="5" t="s">
        <v>7840</v>
      </c>
      <c r="C1620" s="1" t="s">
        <v>7841</v>
      </c>
      <c r="D1620" s="5" t="s">
        <v>17755</v>
      </c>
      <c r="E1620" s="32">
        <v>184</v>
      </c>
      <c r="F1620" s="27">
        <v>2401</v>
      </c>
      <c r="I1620" s="27">
        <v>13.048913043478262</v>
      </c>
    </row>
    <row r="1621" spans="1:11" x14ac:dyDescent="0.25">
      <c r="A1621" s="5" t="s">
        <v>6</v>
      </c>
      <c r="B1621" s="5" t="s">
        <v>7843</v>
      </c>
      <c r="C1621" s="1" t="s">
        <v>7844</v>
      </c>
      <c r="D1621" s="5" t="s">
        <v>17756</v>
      </c>
      <c r="E1621" s="32">
        <v>118</v>
      </c>
      <c r="F1621" s="27">
        <v>1249</v>
      </c>
      <c r="I1621" s="27">
        <v>10.584745762711865</v>
      </c>
    </row>
    <row r="1622" spans="1:11" x14ac:dyDescent="0.25">
      <c r="A1622" s="5" t="s">
        <v>6</v>
      </c>
      <c r="B1622" s="5" t="s">
        <v>7846</v>
      </c>
      <c r="C1622" s="1" t="s">
        <v>7847</v>
      </c>
      <c r="D1622" s="5" t="s">
        <v>17756</v>
      </c>
      <c r="G1622" s="32">
        <v>687</v>
      </c>
      <c r="H1622" s="27">
        <v>3405.3</v>
      </c>
      <c r="J1622" s="27">
        <v>4.956768558951965</v>
      </c>
    </row>
    <row r="1623" spans="1:11" x14ac:dyDescent="0.25">
      <c r="A1623" s="5" t="s">
        <v>6</v>
      </c>
      <c r="B1623" s="5" t="s">
        <v>7855</v>
      </c>
      <c r="C1623" s="1" t="s">
        <v>7856</v>
      </c>
      <c r="D1623" s="5" t="s">
        <v>17755</v>
      </c>
      <c r="E1623" s="32">
        <v>355</v>
      </c>
      <c r="F1623" s="27">
        <v>8192</v>
      </c>
      <c r="G1623" s="32">
        <v>1240</v>
      </c>
      <c r="H1623" s="27">
        <v>32030</v>
      </c>
      <c r="I1623" s="27">
        <v>23.07605633802817</v>
      </c>
      <c r="J1623" s="27">
        <v>25.830645161290324</v>
      </c>
      <c r="K1623" s="29">
        <v>0.11936999905493952</v>
      </c>
    </row>
    <row r="1624" spans="1:11" x14ac:dyDescent="0.25">
      <c r="A1624" s="5" t="s">
        <v>6</v>
      </c>
      <c r="B1624" s="5" t="s">
        <v>7858</v>
      </c>
      <c r="C1624" s="1" t="s">
        <v>7859</v>
      </c>
      <c r="D1624" s="5" t="s">
        <v>17755</v>
      </c>
      <c r="E1624" s="32">
        <v>0</v>
      </c>
      <c r="F1624" s="27">
        <v>0</v>
      </c>
      <c r="G1624" s="32">
        <v>9</v>
      </c>
      <c r="H1624" s="27">
        <v>45</v>
      </c>
      <c r="J1624" s="27">
        <v>5</v>
      </c>
    </row>
    <row r="1625" spans="1:11" x14ac:dyDescent="0.25">
      <c r="A1625" s="5" t="s">
        <v>6</v>
      </c>
      <c r="B1625" s="5" t="s">
        <v>7861</v>
      </c>
      <c r="C1625" s="1" t="s">
        <v>7862</v>
      </c>
      <c r="D1625" s="5" t="s">
        <v>17755</v>
      </c>
      <c r="E1625" s="32">
        <v>980</v>
      </c>
      <c r="F1625" s="27">
        <v>26342</v>
      </c>
      <c r="G1625" s="32">
        <v>344</v>
      </c>
      <c r="H1625" s="27">
        <v>9748</v>
      </c>
      <c r="I1625" s="27">
        <v>26.879591836734694</v>
      </c>
      <c r="J1625" s="27">
        <v>28.337209302325583</v>
      </c>
      <c r="K1625" s="29">
        <v>5.4227663665593791E-2</v>
      </c>
    </row>
    <row r="1626" spans="1:11" x14ac:dyDescent="0.25">
      <c r="A1626" s="5" t="s">
        <v>6</v>
      </c>
      <c r="B1626" s="5" t="s">
        <v>7864</v>
      </c>
      <c r="C1626" s="1" t="s">
        <v>7865</v>
      </c>
      <c r="D1626" s="5" t="s">
        <v>17755</v>
      </c>
      <c r="E1626" s="32">
        <v>267</v>
      </c>
      <c r="F1626" s="27">
        <v>10893</v>
      </c>
      <c r="G1626" s="32">
        <v>339</v>
      </c>
      <c r="H1626" s="27">
        <v>15144</v>
      </c>
      <c r="I1626" s="27">
        <v>40.797752808988761</v>
      </c>
      <c r="J1626" s="27">
        <v>44.672566371681413</v>
      </c>
      <c r="K1626" s="29">
        <v>9.4976151770764516E-2</v>
      </c>
    </row>
    <row r="1627" spans="1:11" x14ac:dyDescent="0.25">
      <c r="A1627" s="5" t="s">
        <v>6</v>
      </c>
      <c r="B1627" s="5" t="s">
        <v>7870</v>
      </c>
      <c r="C1627" s="1" t="s">
        <v>7871</v>
      </c>
      <c r="D1627" s="5" t="s">
        <v>17755</v>
      </c>
      <c r="E1627" s="32">
        <v>19179</v>
      </c>
      <c r="F1627" s="27">
        <v>661707</v>
      </c>
      <c r="G1627" s="32">
        <v>18960</v>
      </c>
      <c r="H1627" s="27">
        <v>702324</v>
      </c>
      <c r="I1627" s="27">
        <v>34.501642421398401</v>
      </c>
      <c r="J1627" s="27">
        <v>37.042405063291142</v>
      </c>
      <c r="K1627" s="29">
        <v>7.3641788146205006E-2</v>
      </c>
    </row>
    <row r="1628" spans="1:11" x14ac:dyDescent="0.25">
      <c r="A1628" s="5" t="s">
        <v>6</v>
      </c>
      <c r="B1628" s="5" t="s">
        <v>7873</v>
      </c>
      <c r="C1628" s="1" t="s">
        <v>7874</v>
      </c>
      <c r="D1628" s="5" t="s">
        <v>17755</v>
      </c>
      <c r="E1628" s="32">
        <v>445</v>
      </c>
      <c r="F1628" s="27">
        <v>3951</v>
      </c>
      <c r="G1628" s="32">
        <v>445</v>
      </c>
      <c r="H1628" s="27">
        <v>4357</v>
      </c>
      <c r="I1628" s="27">
        <v>8.8786516853932582</v>
      </c>
      <c r="J1628" s="27">
        <v>9.7910112359550556</v>
      </c>
      <c r="K1628" s="29">
        <v>0.10275879524171093</v>
      </c>
    </row>
    <row r="1629" spans="1:11" x14ac:dyDescent="0.25">
      <c r="A1629" s="5" t="s">
        <v>6</v>
      </c>
      <c r="B1629" s="5" t="s">
        <v>7885</v>
      </c>
      <c r="C1629" s="1" t="s">
        <v>7886</v>
      </c>
      <c r="D1629" s="5" t="s">
        <v>17755</v>
      </c>
      <c r="E1629" s="32">
        <v>197</v>
      </c>
      <c r="F1629" s="27">
        <v>7974</v>
      </c>
      <c r="G1629" s="32">
        <v>173</v>
      </c>
      <c r="H1629" s="27">
        <v>7404</v>
      </c>
      <c r="I1629" s="27">
        <v>40.477157360406089</v>
      </c>
      <c r="J1629" s="27">
        <v>42.797687861271676</v>
      </c>
      <c r="K1629" s="29">
        <v>5.7329384082081852E-2</v>
      </c>
    </row>
    <row r="1630" spans="1:11" x14ac:dyDescent="0.25">
      <c r="A1630" s="5" t="s">
        <v>6</v>
      </c>
      <c r="B1630" s="5" t="s">
        <v>7888</v>
      </c>
      <c r="C1630" s="1" t="s">
        <v>7889</v>
      </c>
      <c r="D1630" s="5" t="s">
        <v>17755</v>
      </c>
      <c r="E1630" s="32">
        <v>393</v>
      </c>
      <c r="F1630" s="27">
        <v>14508</v>
      </c>
      <c r="G1630" s="32">
        <v>313</v>
      </c>
      <c r="H1630" s="27">
        <v>12061</v>
      </c>
      <c r="I1630" s="27">
        <v>36.916030534351144</v>
      </c>
      <c r="J1630" s="27">
        <v>38.533546325878596</v>
      </c>
      <c r="K1630" s="29">
        <v>4.3816081201426028E-2</v>
      </c>
    </row>
    <row r="1631" spans="1:11" x14ac:dyDescent="0.25">
      <c r="A1631" s="5" t="s">
        <v>6</v>
      </c>
      <c r="B1631" s="5" t="s">
        <v>7891</v>
      </c>
      <c r="C1631" s="1" t="s">
        <v>7892</v>
      </c>
      <c r="D1631" s="5" t="s">
        <v>17755</v>
      </c>
      <c r="E1631" s="32">
        <v>2</v>
      </c>
      <c r="F1631" s="27">
        <v>52</v>
      </c>
      <c r="I1631" s="27">
        <v>26</v>
      </c>
    </row>
    <row r="1632" spans="1:11" x14ac:dyDescent="0.25">
      <c r="A1632" s="5" t="s">
        <v>6</v>
      </c>
      <c r="B1632" s="5" t="s">
        <v>7897</v>
      </c>
      <c r="C1632" s="1" t="s">
        <v>7898</v>
      </c>
      <c r="D1632" s="5" t="s">
        <v>17755</v>
      </c>
      <c r="E1632" s="32">
        <v>25</v>
      </c>
      <c r="F1632" s="27">
        <v>439</v>
      </c>
      <c r="G1632" s="32">
        <v>6</v>
      </c>
      <c r="H1632" s="27">
        <v>113</v>
      </c>
      <c r="I1632" s="27">
        <v>17.559999999999999</v>
      </c>
      <c r="J1632" s="27">
        <v>18.833333333333332</v>
      </c>
      <c r="K1632" s="29">
        <v>7.2513287775246779E-2</v>
      </c>
    </row>
    <row r="1633" spans="1:11" x14ac:dyDescent="0.25">
      <c r="A1633" s="5" t="s">
        <v>6</v>
      </c>
      <c r="B1633" s="5" t="s">
        <v>7900</v>
      </c>
      <c r="C1633" s="1" t="s">
        <v>7901</v>
      </c>
      <c r="D1633" s="5" t="s">
        <v>17755</v>
      </c>
      <c r="E1633" s="32">
        <v>107</v>
      </c>
      <c r="F1633" s="27">
        <v>3745</v>
      </c>
      <c r="G1633" s="32">
        <v>142</v>
      </c>
      <c r="H1633" s="27">
        <v>5237</v>
      </c>
      <c r="I1633" s="27">
        <v>35</v>
      </c>
      <c r="J1633" s="27">
        <v>36.880281690140848</v>
      </c>
      <c r="K1633" s="29">
        <v>5.3722334004024222E-2</v>
      </c>
    </row>
    <row r="1634" spans="1:11" x14ac:dyDescent="0.25">
      <c r="A1634" s="5" t="s">
        <v>6</v>
      </c>
      <c r="B1634" s="5" t="s">
        <v>7921</v>
      </c>
      <c r="C1634" s="1" t="s">
        <v>7922</v>
      </c>
      <c r="D1634" s="5" t="s">
        <v>17755</v>
      </c>
      <c r="E1634" s="32">
        <v>121</v>
      </c>
      <c r="F1634" s="27">
        <v>2781</v>
      </c>
      <c r="G1634" s="32">
        <v>142</v>
      </c>
      <c r="H1634" s="27">
        <v>3414</v>
      </c>
      <c r="I1634" s="27">
        <v>22.983471074380166</v>
      </c>
      <c r="J1634" s="27">
        <v>24.04225352112676</v>
      </c>
      <c r="K1634" s="29">
        <v>4.6067125514684615E-2</v>
      </c>
    </row>
    <row r="1635" spans="1:11" x14ac:dyDescent="0.25">
      <c r="A1635" s="5" t="s">
        <v>6</v>
      </c>
      <c r="B1635" s="5" t="s">
        <v>7924</v>
      </c>
      <c r="C1635" s="1" t="s">
        <v>7925</v>
      </c>
      <c r="D1635" s="5" t="s">
        <v>17755</v>
      </c>
      <c r="E1635" s="32">
        <v>88</v>
      </c>
      <c r="F1635" s="27">
        <v>2320</v>
      </c>
      <c r="G1635" s="32">
        <v>75</v>
      </c>
      <c r="H1635" s="27">
        <v>2141</v>
      </c>
      <c r="I1635" s="27">
        <v>26.363636363636363</v>
      </c>
      <c r="J1635" s="27">
        <v>28.546666666666667</v>
      </c>
      <c r="K1635" s="29">
        <v>8.2804597701149452E-2</v>
      </c>
    </row>
    <row r="1636" spans="1:11" x14ac:dyDescent="0.25">
      <c r="A1636" s="5" t="s">
        <v>6</v>
      </c>
      <c r="B1636" s="5" t="s">
        <v>7936</v>
      </c>
      <c r="C1636" s="1" t="s">
        <v>7937</v>
      </c>
      <c r="D1636" s="5" t="s">
        <v>17755</v>
      </c>
      <c r="E1636" s="32">
        <v>861</v>
      </c>
      <c r="F1636" s="27">
        <v>21926</v>
      </c>
      <c r="G1636" s="32">
        <v>650</v>
      </c>
      <c r="H1636" s="27">
        <v>17866</v>
      </c>
      <c r="I1636" s="27">
        <v>25.465737514518004</v>
      </c>
      <c r="J1636" s="27">
        <v>27.486153846153847</v>
      </c>
      <c r="K1636" s="29">
        <v>7.9338614500522708E-2</v>
      </c>
    </row>
    <row r="1637" spans="1:11" x14ac:dyDescent="0.25">
      <c r="A1637" s="5" t="s">
        <v>6</v>
      </c>
      <c r="B1637" s="5" t="s">
        <v>7942</v>
      </c>
      <c r="C1637" s="1" t="s">
        <v>7943</v>
      </c>
      <c r="D1637" s="5" t="s">
        <v>17755</v>
      </c>
      <c r="E1637" s="32">
        <v>172</v>
      </c>
      <c r="F1637" s="27">
        <v>6364</v>
      </c>
      <c r="G1637" s="32">
        <v>168</v>
      </c>
      <c r="H1637" s="27">
        <v>6324</v>
      </c>
      <c r="I1637" s="27">
        <v>37</v>
      </c>
      <c r="J1637" s="27">
        <v>37.642857142857146</v>
      </c>
      <c r="K1637" s="29">
        <v>1.7374517374517458E-2</v>
      </c>
    </row>
    <row r="1638" spans="1:11" x14ac:dyDescent="0.25">
      <c r="A1638" s="5" t="s">
        <v>6</v>
      </c>
      <c r="B1638" s="5" t="s">
        <v>7950</v>
      </c>
      <c r="C1638" s="1" t="s">
        <v>7951</v>
      </c>
      <c r="D1638" s="5" t="s">
        <v>17755</v>
      </c>
      <c r="E1638" s="32">
        <v>355</v>
      </c>
      <c r="F1638" s="27">
        <v>10201</v>
      </c>
      <c r="G1638" s="32">
        <v>478</v>
      </c>
      <c r="H1638" s="27">
        <v>14464</v>
      </c>
      <c r="I1638" s="27">
        <v>28.735211267605635</v>
      </c>
      <c r="J1638" s="27">
        <v>30.259414225941423</v>
      </c>
      <c r="K1638" s="29">
        <v>5.304303991855748E-2</v>
      </c>
    </row>
    <row r="1639" spans="1:11" x14ac:dyDescent="0.25">
      <c r="A1639" s="5" t="s">
        <v>6</v>
      </c>
      <c r="B1639" s="5" t="s">
        <v>7965</v>
      </c>
      <c r="C1639" s="1" t="s">
        <v>7966</v>
      </c>
      <c r="D1639" s="5" t="s">
        <v>17755</v>
      </c>
      <c r="E1639" s="32">
        <v>1076</v>
      </c>
      <c r="F1639" s="27">
        <v>10598</v>
      </c>
      <c r="G1639" s="32">
        <v>1659</v>
      </c>
      <c r="H1639" s="27">
        <v>17816</v>
      </c>
      <c r="I1639" s="27">
        <v>9.8494423791821557</v>
      </c>
      <c r="J1639" s="27">
        <v>10.738999397227245</v>
      </c>
      <c r="K1639" s="29">
        <v>9.0315470033639905E-2</v>
      </c>
    </row>
    <row r="1640" spans="1:11" x14ac:dyDescent="0.25">
      <c r="A1640" s="5" t="s">
        <v>6</v>
      </c>
      <c r="B1640" s="5" t="s">
        <v>7968</v>
      </c>
      <c r="C1640" s="1" t="s">
        <v>7969</v>
      </c>
      <c r="D1640" s="5" t="s">
        <v>17755</v>
      </c>
      <c r="E1640" s="32">
        <v>105</v>
      </c>
      <c r="F1640" s="27">
        <v>1155</v>
      </c>
      <c r="G1640" s="32">
        <v>32</v>
      </c>
      <c r="H1640" s="27">
        <v>360</v>
      </c>
      <c r="I1640" s="27">
        <v>11</v>
      </c>
      <c r="J1640" s="27">
        <v>11.25</v>
      </c>
      <c r="K1640" s="29">
        <v>2.2727272727272728E-2</v>
      </c>
    </row>
    <row r="1641" spans="1:11" x14ac:dyDescent="0.25">
      <c r="A1641" s="5" t="s">
        <v>6</v>
      </c>
      <c r="B1641" s="5" t="s">
        <v>7974</v>
      </c>
      <c r="C1641" s="1" t="s">
        <v>7975</v>
      </c>
      <c r="D1641" s="5" t="s">
        <v>17755</v>
      </c>
      <c r="E1641" s="32">
        <v>1316</v>
      </c>
      <c r="F1641" s="27">
        <v>53398</v>
      </c>
      <c r="G1641" s="32">
        <v>1285</v>
      </c>
      <c r="H1641" s="27">
        <v>55526</v>
      </c>
      <c r="I1641" s="27">
        <v>40.575987841945292</v>
      </c>
      <c r="J1641" s="27">
        <v>43.210894941634244</v>
      </c>
      <c r="K1641" s="29">
        <v>6.4937595849856936E-2</v>
      </c>
    </row>
    <row r="1642" spans="1:11" x14ac:dyDescent="0.25">
      <c r="A1642" s="5" t="s">
        <v>6</v>
      </c>
      <c r="B1642" s="5" t="s">
        <v>7977</v>
      </c>
      <c r="C1642" s="1" t="s">
        <v>7978</v>
      </c>
      <c r="D1642" s="5" t="s">
        <v>17755</v>
      </c>
      <c r="E1642" s="32">
        <v>16174</v>
      </c>
      <c r="F1642" s="27">
        <v>288495</v>
      </c>
      <c r="G1642" s="32">
        <v>18136</v>
      </c>
      <c r="H1642" s="27">
        <v>338219</v>
      </c>
      <c r="I1642" s="27">
        <v>17.836960553975516</v>
      </c>
      <c r="J1642" s="27">
        <v>18.649040582267315</v>
      </c>
      <c r="K1642" s="29">
        <v>4.5527937668214558E-2</v>
      </c>
    </row>
    <row r="1643" spans="1:11" x14ac:dyDescent="0.25">
      <c r="A1643" s="5" t="s">
        <v>6</v>
      </c>
      <c r="B1643" s="5" t="s">
        <v>7980</v>
      </c>
      <c r="C1643" s="1" t="s">
        <v>7981</v>
      </c>
      <c r="D1643" s="5" t="s">
        <v>17755</v>
      </c>
      <c r="E1643" s="32">
        <v>48</v>
      </c>
      <c r="F1643" s="27">
        <v>1086</v>
      </c>
      <c r="G1643" s="32">
        <v>90</v>
      </c>
      <c r="H1643" s="27">
        <v>2248</v>
      </c>
      <c r="I1643" s="27">
        <v>22.625</v>
      </c>
      <c r="J1643" s="27">
        <v>24.977777777777778</v>
      </c>
      <c r="K1643" s="29">
        <v>0.1039901780233272</v>
      </c>
    </row>
    <row r="1644" spans="1:11" x14ac:dyDescent="0.25">
      <c r="A1644" s="5" t="s">
        <v>6</v>
      </c>
      <c r="B1644" s="5" t="s">
        <v>7992</v>
      </c>
      <c r="C1644" s="1" t="s">
        <v>7993</v>
      </c>
      <c r="D1644" s="5" t="s">
        <v>17755</v>
      </c>
      <c r="E1644" s="32">
        <v>160</v>
      </c>
      <c r="F1644" s="27">
        <v>800</v>
      </c>
      <c r="G1644" s="32">
        <v>76</v>
      </c>
      <c r="H1644" s="27">
        <v>380</v>
      </c>
      <c r="I1644" s="27">
        <v>5</v>
      </c>
      <c r="J1644" s="27">
        <v>5</v>
      </c>
      <c r="K1644" s="29">
        <v>0</v>
      </c>
    </row>
    <row r="1645" spans="1:11" x14ac:dyDescent="0.25">
      <c r="A1645" s="5" t="s">
        <v>6</v>
      </c>
      <c r="B1645" s="5" t="s">
        <v>7995</v>
      </c>
      <c r="C1645" s="1" t="s">
        <v>7996</v>
      </c>
      <c r="D1645" s="5" t="s">
        <v>17755</v>
      </c>
      <c r="E1645" s="32">
        <v>1180</v>
      </c>
      <c r="F1645" s="27">
        <v>55828</v>
      </c>
      <c r="G1645" s="32">
        <v>1304</v>
      </c>
      <c r="H1645" s="27">
        <v>66316</v>
      </c>
      <c r="I1645" s="27">
        <v>47.311864406779662</v>
      </c>
      <c r="J1645" s="27">
        <v>50.855828220858896</v>
      </c>
      <c r="K1645" s="29">
        <v>7.4906450179363329E-2</v>
      </c>
    </row>
    <row r="1646" spans="1:11" x14ac:dyDescent="0.25">
      <c r="A1646" s="5" t="s">
        <v>6</v>
      </c>
      <c r="B1646" s="5" t="s">
        <v>7998</v>
      </c>
      <c r="C1646" s="1" t="s">
        <v>7999</v>
      </c>
      <c r="D1646" s="5" t="s">
        <v>17755</v>
      </c>
      <c r="E1646" s="32">
        <v>57</v>
      </c>
      <c r="F1646" s="27">
        <v>511</v>
      </c>
      <c r="G1646" s="32">
        <v>155</v>
      </c>
      <c r="H1646" s="27">
        <v>1550</v>
      </c>
      <c r="I1646" s="27">
        <v>8.9649122807017552</v>
      </c>
      <c r="J1646" s="27">
        <v>10</v>
      </c>
      <c r="K1646" s="29">
        <v>0.11545988258317015</v>
      </c>
    </row>
    <row r="1647" spans="1:11" x14ac:dyDescent="0.25">
      <c r="A1647" s="5" t="s">
        <v>6</v>
      </c>
      <c r="B1647" s="5" t="s">
        <v>8001</v>
      </c>
      <c r="C1647" s="1" t="s">
        <v>8002</v>
      </c>
      <c r="D1647" s="5" t="s">
        <v>17755</v>
      </c>
      <c r="E1647" s="32">
        <v>24</v>
      </c>
      <c r="F1647" s="27">
        <v>624</v>
      </c>
      <c r="G1647" s="32">
        <v>140</v>
      </c>
      <c r="H1647" s="27">
        <v>3824</v>
      </c>
      <c r="I1647" s="27">
        <v>26</v>
      </c>
      <c r="J1647" s="27">
        <v>27.314285714285713</v>
      </c>
      <c r="K1647" s="29">
        <v>5.0549450549450509E-2</v>
      </c>
    </row>
    <row r="1648" spans="1:11" x14ac:dyDescent="0.25">
      <c r="A1648" s="5" t="s">
        <v>6</v>
      </c>
      <c r="B1648" s="5" t="s">
        <v>8004</v>
      </c>
      <c r="C1648" s="1" t="s">
        <v>8005</v>
      </c>
      <c r="D1648" s="5" t="s">
        <v>17755</v>
      </c>
      <c r="E1648" s="32">
        <v>34</v>
      </c>
      <c r="F1648" s="27">
        <v>816</v>
      </c>
      <c r="G1648" s="32">
        <v>24</v>
      </c>
      <c r="H1648" s="27">
        <v>672</v>
      </c>
      <c r="I1648" s="27">
        <v>24</v>
      </c>
      <c r="J1648" s="27">
        <v>28</v>
      </c>
      <c r="K1648" s="29">
        <v>0.16666666666666666</v>
      </c>
    </row>
    <row r="1649" spans="1:11" x14ac:dyDescent="0.25">
      <c r="A1649" s="5" t="s">
        <v>6</v>
      </c>
      <c r="B1649" s="5" t="s">
        <v>8010</v>
      </c>
      <c r="C1649" s="1" t="s">
        <v>8011</v>
      </c>
      <c r="D1649" s="5" t="s">
        <v>17755</v>
      </c>
      <c r="E1649" s="32">
        <v>36</v>
      </c>
      <c r="F1649" s="27">
        <v>1314</v>
      </c>
      <c r="G1649" s="32">
        <v>101</v>
      </c>
      <c r="H1649" s="27">
        <v>3974</v>
      </c>
      <c r="I1649" s="27">
        <v>36.5</v>
      </c>
      <c r="J1649" s="27">
        <v>39.346534653465348</v>
      </c>
      <c r="K1649" s="29">
        <v>7.7987250779872536E-2</v>
      </c>
    </row>
    <row r="1650" spans="1:11" x14ac:dyDescent="0.25">
      <c r="A1650" s="5" t="s">
        <v>6</v>
      </c>
      <c r="B1650" s="5" t="s">
        <v>8016</v>
      </c>
      <c r="C1650" s="1" t="s">
        <v>8017</v>
      </c>
      <c r="D1650" s="5" t="s">
        <v>17755</v>
      </c>
      <c r="E1650" s="32">
        <v>136</v>
      </c>
      <c r="F1650" s="27">
        <v>3672</v>
      </c>
      <c r="G1650" s="32">
        <v>310</v>
      </c>
      <c r="H1650" s="27">
        <v>8590</v>
      </c>
      <c r="I1650" s="27">
        <v>27</v>
      </c>
      <c r="J1650" s="27">
        <v>27.70967741935484</v>
      </c>
      <c r="K1650" s="29">
        <v>2.6284348864994068E-2</v>
      </c>
    </row>
    <row r="1651" spans="1:11" x14ac:dyDescent="0.25">
      <c r="A1651" s="5" t="s">
        <v>6</v>
      </c>
      <c r="B1651" s="5" t="s">
        <v>8020</v>
      </c>
      <c r="C1651" s="1" t="s">
        <v>8021</v>
      </c>
      <c r="D1651" s="5" t="s">
        <v>17755</v>
      </c>
      <c r="E1651" s="32">
        <v>4</v>
      </c>
      <c r="F1651" s="27">
        <v>108</v>
      </c>
      <c r="I1651" s="27">
        <v>27</v>
      </c>
    </row>
    <row r="1652" spans="1:11" x14ac:dyDescent="0.25">
      <c r="A1652" s="5" t="s">
        <v>6</v>
      </c>
      <c r="B1652" s="5" t="s">
        <v>8022</v>
      </c>
      <c r="C1652" s="1" t="s">
        <v>8023</v>
      </c>
      <c r="D1652" s="5" t="s">
        <v>17763</v>
      </c>
      <c r="E1652" s="32">
        <v>75037</v>
      </c>
      <c r="F1652" s="27">
        <v>375185</v>
      </c>
      <c r="G1652" s="32">
        <v>72165</v>
      </c>
      <c r="H1652" s="27">
        <v>360825</v>
      </c>
      <c r="I1652" s="27">
        <v>5</v>
      </c>
      <c r="J1652" s="27">
        <v>5</v>
      </c>
      <c r="K1652" s="29">
        <v>0</v>
      </c>
    </row>
    <row r="1653" spans="1:11" x14ac:dyDescent="0.25">
      <c r="A1653" s="5" t="s">
        <v>6</v>
      </c>
      <c r="B1653" s="5" t="s">
        <v>8037</v>
      </c>
      <c r="C1653" s="1" t="s">
        <v>8038</v>
      </c>
      <c r="D1653" s="5" t="s">
        <v>17755</v>
      </c>
      <c r="E1653" s="32">
        <v>280</v>
      </c>
      <c r="F1653" s="27">
        <v>6548</v>
      </c>
      <c r="G1653" s="32">
        <v>390</v>
      </c>
      <c r="H1653" s="27">
        <v>9856</v>
      </c>
      <c r="I1653" s="27">
        <v>23.385714285714286</v>
      </c>
      <c r="J1653" s="27">
        <v>25.271794871794871</v>
      </c>
      <c r="K1653" s="29">
        <v>8.0650971915480096E-2</v>
      </c>
    </row>
    <row r="1654" spans="1:11" x14ac:dyDescent="0.25">
      <c r="A1654" s="5" t="s">
        <v>6</v>
      </c>
      <c r="B1654" s="5" t="s">
        <v>8040</v>
      </c>
      <c r="C1654" s="1" t="s">
        <v>8041</v>
      </c>
      <c r="D1654" s="5" t="s">
        <v>17755</v>
      </c>
      <c r="E1654" s="32">
        <v>1560</v>
      </c>
      <c r="F1654" s="27">
        <v>39816</v>
      </c>
      <c r="G1654" s="32">
        <v>1656</v>
      </c>
      <c r="H1654" s="27">
        <v>45376</v>
      </c>
      <c r="I1654" s="27">
        <v>25.523076923076925</v>
      </c>
      <c r="J1654" s="27">
        <v>27.40096618357488</v>
      </c>
      <c r="K1654" s="29">
        <v>7.3576131363693245E-2</v>
      </c>
    </row>
    <row r="1655" spans="1:11" x14ac:dyDescent="0.25">
      <c r="A1655" s="5" t="s">
        <v>6</v>
      </c>
      <c r="B1655" s="5" t="s">
        <v>8046</v>
      </c>
      <c r="C1655" s="1" t="s">
        <v>8047</v>
      </c>
      <c r="D1655" s="5" t="s">
        <v>17755</v>
      </c>
      <c r="E1655" s="32">
        <v>1988</v>
      </c>
      <c r="F1655" s="27">
        <v>60464</v>
      </c>
      <c r="G1655" s="32">
        <v>1743</v>
      </c>
      <c r="H1655" s="27">
        <v>56657</v>
      </c>
      <c r="I1655" s="27">
        <v>30.414486921529175</v>
      </c>
      <c r="J1655" s="27">
        <v>32.505450372920251</v>
      </c>
      <c r="K1655" s="29">
        <v>6.8748930625917221E-2</v>
      </c>
    </row>
    <row r="1656" spans="1:11" x14ac:dyDescent="0.25">
      <c r="A1656" s="5" t="s">
        <v>6</v>
      </c>
      <c r="B1656" s="5" t="s">
        <v>8049</v>
      </c>
      <c r="C1656" s="1" t="s">
        <v>8050</v>
      </c>
      <c r="D1656" s="5" t="s">
        <v>17756</v>
      </c>
      <c r="E1656" s="32">
        <v>39</v>
      </c>
      <c r="F1656" s="27">
        <v>700</v>
      </c>
      <c r="G1656" s="32">
        <v>38</v>
      </c>
      <c r="H1656" s="27">
        <v>697</v>
      </c>
      <c r="I1656" s="27">
        <v>17.948717948717949</v>
      </c>
      <c r="J1656" s="27">
        <v>18.342105263157894</v>
      </c>
      <c r="K1656" s="29">
        <v>2.1917293233082644E-2</v>
      </c>
    </row>
    <row r="1657" spans="1:11" x14ac:dyDescent="0.25">
      <c r="A1657" s="5" t="s">
        <v>6</v>
      </c>
      <c r="B1657" s="5" t="s">
        <v>8051</v>
      </c>
      <c r="C1657" s="1" t="s">
        <v>8052</v>
      </c>
      <c r="D1657" s="5" t="s">
        <v>17755</v>
      </c>
      <c r="E1657" s="32">
        <v>0</v>
      </c>
      <c r="F1657" s="27">
        <v>0</v>
      </c>
      <c r="G1657" s="32">
        <v>30</v>
      </c>
      <c r="H1657" s="27">
        <v>780</v>
      </c>
      <c r="J1657" s="27">
        <v>26</v>
      </c>
    </row>
    <row r="1658" spans="1:11" x14ac:dyDescent="0.25">
      <c r="A1658" s="5" t="s">
        <v>6</v>
      </c>
      <c r="B1658" s="5" t="s">
        <v>8054</v>
      </c>
      <c r="C1658" s="1" t="s">
        <v>8055</v>
      </c>
      <c r="D1658" s="5" t="s">
        <v>17755</v>
      </c>
      <c r="E1658" s="32">
        <v>22</v>
      </c>
      <c r="F1658" s="27">
        <v>110</v>
      </c>
      <c r="I1658" s="27">
        <v>5</v>
      </c>
    </row>
    <row r="1659" spans="1:11" x14ac:dyDescent="0.25">
      <c r="A1659" s="5" t="s">
        <v>6</v>
      </c>
      <c r="B1659" s="5" t="s">
        <v>8057</v>
      </c>
      <c r="C1659" s="1" t="s">
        <v>8058</v>
      </c>
      <c r="D1659" s="5" t="s">
        <v>17755</v>
      </c>
      <c r="E1659" s="32">
        <v>80</v>
      </c>
      <c r="F1659" s="27">
        <v>1436</v>
      </c>
      <c r="I1659" s="27">
        <v>17.95</v>
      </c>
    </row>
    <row r="1660" spans="1:11" x14ac:dyDescent="0.25">
      <c r="A1660" s="5" t="s">
        <v>6</v>
      </c>
      <c r="B1660" s="5" t="s">
        <v>8060</v>
      </c>
      <c r="C1660" s="1" t="s">
        <v>8061</v>
      </c>
      <c r="D1660" s="5" t="s">
        <v>17755</v>
      </c>
      <c r="E1660" s="32">
        <v>102</v>
      </c>
      <c r="F1660" s="27">
        <v>1836</v>
      </c>
      <c r="G1660" s="32">
        <v>160</v>
      </c>
      <c r="H1660" s="27">
        <v>3022</v>
      </c>
      <c r="I1660" s="27">
        <v>18</v>
      </c>
      <c r="J1660" s="27">
        <v>18.887499999999999</v>
      </c>
      <c r="K1660" s="29">
        <v>4.9305555555555519E-2</v>
      </c>
    </row>
    <row r="1661" spans="1:11" x14ac:dyDescent="0.25">
      <c r="A1661" s="5" t="s">
        <v>6</v>
      </c>
      <c r="B1661" s="5" t="s">
        <v>8063</v>
      </c>
      <c r="C1661" s="1" t="s">
        <v>8064</v>
      </c>
      <c r="D1661" s="5" t="s">
        <v>17756</v>
      </c>
      <c r="E1661" s="32">
        <v>2546</v>
      </c>
      <c r="F1661" s="27">
        <v>35170</v>
      </c>
      <c r="G1661" s="32">
        <v>1975</v>
      </c>
      <c r="H1661" s="27">
        <v>29125</v>
      </c>
      <c r="I1661" s="27">
        <v>13.813825608798115</v>
      </c>
      <c r="J1661" s="27">
        <v>14.746835443037975</v>
      </c>
      <c r="K1661" s="29">
        <v>6.7541741199166408E-2</v>
      </c>
    </row>
    <row r="1662" spans="1:11" x14ac:dyDescent="0.25">
      <c r="A1662" s="5" t="s">
        <v>6</v>
      </c>
      <c r="B1662" s="5" t="s">
        <v>8078</v>
      </c>
      <c r="C1662" s="1" t="s">
        <v>8079</v>
      </c>
      <c r="D1662" s="5" t="s">
        <v>17755</v>
      </c>
      <c r="E1662" s="32">
        <v>25</v>
      </c>
      <c r="F1662" s="27">
        <v>663</v>
      </c>
      <c r="G1662" s="32">
        <v>48</v>
      </c>
      <c r="H1662" s="27">
        <v>1370</v>
      </c>
      <c r="I1662" s="27">
        <v>26.52</v>
      </c>
      <c r="J1662" s="27">
        <v>28.541666666666668</v>
      </c>
      <c r="K1662" s="29">
        <v>7.6231774761186588E-2</v>
      </c>
    </row>
    <row r="1663" spans="1:11" x14ac:dyDescent="0.25">
      <c r="A1663" s="5" t="s">
        <v>6</v>
      </c>
      <c r="B1663" s="5" t="s">
        <v>8081</v>
      </c>
      <c r="C1663" s="1" t="s">
        <v>8082</v>
      </c>
      <c r="D1663" s="5" t="s">
        <v>17755</v>
      </c>
      <c r="E1663" s="32">
        <v>14</v>
      </c>
      <c r="F1663" s="27">
        <v>362</v>
      </c>
      <c r="G1663" s="32">
        <v>52</v>
      </c>
      <c r="H1663" s="27">
        <v>1500</v>
      </c>
      <c r="I1663" s="27">
        <v>25.857142857142858</v>
      </c>
      <c r="J1663" s="27">
        <v>28.846153846153847</v>
      </c>
      <c r="K1663" s="29">
        <v>0.1155971100722482</v>
      </c>
    </row>
    <row r="1664" spans="1:11" x14ac:dyDescent="0.25">
      <c r="A1664" s="5" t="s">
        <v>6</v>
      </c>
      <c r="B1664" s="5" t="s">
        <v>8087</v>
      </c>
      <c r="C1664" s="1" t="s">
        <v>8088</v>
      </c>
      <c r="D1664" s="5" t="s">
        <v>17755</v>
      </c>
      <c r="E1664" s="32">
        <v>21</v>
      </c>
      <c r="F1664" s="27">
        <v>439</v>
      </c>
      <c r="G1664" s="32">
        <v>15</v>
      </c>
      <c r="H1664" s="27">
        <v>339</v>
      </c>
      <c r="I1664" s="27">
        <v>20.904761904761905</v>
      </c>
      <c r="J1664" s="27">
        <v>22.6</v>
      </c>
      <c r="K1664" s="29">
        <v>8.1093394077448797E-2</v>
      </c>
    </row>
    <row r="1665" spans="1:11" x14ac:dyDescent="0.25">
      <c r="A1665" s="5" t="s">
        <v>6</v>
      </c>
      <c r="B1665" s="5" t="s">
        <v>8090</v>
      </c>
      <c r="C1665" s="1" t="s">
        <v>8091</v>
      </c>
      <c r="D1665" s="5" t="s">
        <v>17755</v>
      </c>
      <c r="E1665" s="32">
        <v>287</v>
      </c>
      <c r="F1665" s="27">
        <v>7677</v>
      </c>
      <c r="G1665" s="32">
        <v>324</v>
      </c>
      <c r="H1665" s="27">
        <v>9280</v>
      </c>
      <c r="I1665" s="27">
        <v>26.749128919860627</v>
      </c>
      <c r="J1665" s="27">
        <v>28.641975308641975</v>
      </c>
      <c r="K1665" s="29">
        <v>7.0762916970202761E-2</v>
      </c>
    </row>
    <row r="1666" spans="1:11" x14ac:dyDescent="0.25">
      <c r="A1666" s="5" t="s">
        <v>6</v>
      </c>
      <c r="B1666" s="5" t="s">
        <v>8096</v>
      </c>
      <c r="C1666" s="1" t="s">
        <v>8097</v>
      </c>
      <c r="D1666" s="5" t="s">
        <v>17755</v>
      </c>
      <c r="E1666" s="32">
        <v>762</v>
      </c>
      <c r="F1666" s="27">
        <v>15848</v>
      </c>
      <c r="G1666" s="32">
        <v>932</v>
      </c>
      <c r="H1666" s="27">
        <v>21044</v>
      </c>
      <c r="I1666" s="27">
        <v>20.797900262467191</v>
      </c>
      <c r="J1666" s="27">
        <v>22.579399141630901</v>
      </c>
      <c r="K1666" s="29">
        <v>8.5657631620567068E-2</v>
      </c>
    </row>
    <row r="1667" spans="1:11" x14ac:dyDescent="0.25">
      <c r="A1667" s="5" t="s">
        <v>6</v>
      </c>
      <c r="B1667" s="5" t="s">
        <v>8102</v>
      </c>
      <c r="C1667" s="1" t="s">
        <v>8103</v>
      </c>
      <c r="D1667" s="5" t="s">
        <v>17755</v>
      </c>
      <c r="E1667" s="32">
        <v>21</v>
      </c>
      <c r="F1667" s="27">
        <v>565</v>
      </c>
      <c r="G1667" s="32">
        <v>86</v>
      </c>
      <c r="H1667" s="27">
        <v>2484</v>
      </c>
      <c r="I1667" s="27">
        <v>26.904761904761905</v>
      </c>
      <c r="J1667" s="27">
        <v>28.88372093023256</v>
      </c>
      <c r="K1667" s="29">
        <v>7.3554229265280963E-2</v>
      </c>
    </row>
    <row r="1668" spans="1:11" x14ac:dyDescent="0.25">
      <c r="A1668" s="5" t="s">
        <v>6</v>
      </c>
      <c r="B1668" s="5" t="s">
        <v>8105</v>
      </c>
      <c r="C1668" s="1" t="s">
        <v>8106</v>
      </c>
      <c r="D1668" s="5" t="s">
        <v>17755</v>
      </c>
      <c r="E1668" s="32">
        <v>1</v>
      </c>
      <c r="F1668" s="27">
        <v>29</v>
      </c>
      <c r="I1668" s="27">
        <v>29</v>
      </c>
    </row>
    <row r="1669" spans="1:11" x14ac:dyDescent="0.25">
      <c r="A1669" s="5" t="s">
        <v>6</v>
      </c>
      <c r="B1669" s="5" t="s">
        <v>8108</v>
      </c>
      <c r="C1669" s="1" t="s">
        <v>8109</v>
      </c>
      <c r="D1669" s="5" t="s">
        <v>17755</v>
      </c>
      <c r="E1669" s="32">
        <v>39</v>
      </c>
      <c r="F1669" s="27">
        <v>1039</v>
      </c>
      <c r="G1669" s="32">
        <v>13</v>
      </c>
      <c r="H1669" s="27">
        <v>361</v>
      </c>
      <c r="I1669" s="27">
        <v>26.641025641025642</v>
      </c>
      <c r="J1669" s="27">
        <v>27.76923076923077</v>
      </c>
      <c r="K1669" s="29">
        <v>4.2348411934552438E-2</v>
      </c>
    </row>
    <row r="1670" spans="1:11" x14ac:dyDescent="0.25">
      <c r="A1670" s="5" t="s">
        <v>6</v>
      </c>
      <c r="B1670" s="5" t="s">
        <v>8111</v>
      </c>
      <c r="C1670" s="1" t="s">
        <v>8112</v>
      </c>
      <c r="D1670" s="5" t="s">
        <v>17755</v>
      </c>
      <c r="E1670" s="32">
        <v>5</v>
      </c>
      <c r="F1670" s="27">
        <v>135</v>
      </c>
      <c r="I1670" s="27">
        <v>27</v>
      </c>
    </row>
    <row r="1671" spans="1:11" x14ac:dyDescent="0.25">
      <c r="A1671" s="5" t="s">
        <v>6</v>
      </c>
      <c r="B1671" s="5" t="s">
        <v>8114</v>
      </c>
      <c r="C1671" s="1" t="s">
        <v>8115</v>
      </c>
      <c r="D1671" s="5" t="s">
        <v>17755</v>
      </c>
      <c r="E1671" s="32">
        <v>2</v>
      </c>
      <c r="F1671" s="27">
        <v>52</v>
      </c>
      <c r="I1671" s="27">
        <v>26</v>
      </c>
    </row>
    <row r="1672" spans="1:11" x14ac:dyDescent="0.25">
      <c r="A1672" s="5" t="s">
        <v>6</v>
      </c>
      <c r="B1672" s="5" t="s">
        <v>8120</v>
      </c>
      <c r="C1672" s="1" t="s">
        <v>8121</v>
      </c>
      <c r="D1672" s="5" t="s">
        <v>17755</v>
      </c>
      <c r="E1672" s="32">
        <v>163</v>
      </c>
      <c r="F1672" s="27">
        <v>2445</v>
      </c>
      <c r="I1672" s="27">
        <v>15</v>
      </c>
    </row>
    <row r="1673" spans="1:11" x14ac:dyDescent="0.25">
      <c r="A1673" s="5" t="s">
        <v>6</v>
      </c>
      <c r="B1673" s="5" t="s">
        <v>8126</v>
      </c>
      <c r="C1673" s="1" t="s">
        <v>8127</v>
      </c>
      <c r="D1673" s="5" t="s">
        <v>17756</v>
      </c>
      <c r="E1673" s="32">
        <v>31</v>
      </c>
      <c r="F1673" s="27">
        <v>465</v>
      </c>
      <c r="G1673" s="32">
        <v>39</v>
      </c>
      <c r="H1673" s="27">
        <v>623</v>
      </c>
      <c r="I1673" s="27">
        <v>15</v>
      </c>
      <c r="J1673" s="27">
        <v>15.974358974358974</v>
      </c>
      <c r="K1673" s="29">
        <v>6.4957264957264962E-2</v>
      </c>
    </row>
    <row r="1674" spans="1:11" x14ac:dyDescent="0.25">
      <c r="A1674" s="5" t="s">
        <v>6</v>
      </c>
      <c r="B1674" s="5" t="s">
        <v>8132</v>
      </c>
      <c r="C1674" s="1" t="s">
        <v>8133</v>
      </c>
      <c r="D1674" s="5" t="s">
        <v>17755</v>
      </c>
      <c r="E1674" s="32">
        <v>138</v>
      </c>
      <c r="F1674" s="27">
        <v>3674</v>
      </c>
      <c r="G1674" s="32">
        <v>71</v>
      </c>
      <c r="H1674" s="27">
        <v>2055</v>
      </c>
      <c r="I1674" s="27">
        <v>26.623188405797102</v>
      </c>
      <c r="J1674" s="27">
        <v>28.943661971830984</v>
      </c>
      <c r="K1674" s="29">
        <v>8.7159867205409858E-2</v>
      </c>
    </row>
    <row r="1675" spans="1:11" x14ac:dyDescent="0.25">
      <c r="A1675" s="5" t="s">
        <v>6</v>
      </c>
      <c r="B1675" s="5" t="s">
        <v>8135</v>
      </c>
      <c r="C1675" s="1" t="s">
        <v>8136</v>
      </c>
      <c r="D1675" s="5" t="s">
        <v>17755</v>
      </c>
      <c r="E1675" s="32">
        <v>133</v>
      </c>
      <c r="F1675" s="27">
        <v>2789</v>
      </c>
      <c r="G1675" s="32">
        <v>427</v>
      </c>
      <c r="H1675" s="27">
        <v>9533</v>
      </c>
      <c r="I1675" s="27">
        <v>20.969924812030076</v>
      </c>
      <c r="J1675" s="27">
        <v>22.325526932084308</v>
      </c>
      <c r="K1675" s="29">
        <v>6.464506345185117E-2</v>
      </c>
    </row>
    <row r="1676" spans="1:11" x14ac:dyDescent="0.25">
      <c r="A1676" s="5" t="s">
        <v>6</v>
      </c>
      <c r="B1676" s="5" t="s">
        <v>8138</v>
      </c>
      <c r="C1676" s="1" t="s">
        <v>8139</v>
      </c>
      <c r="D1676" s="5" t="s">
        <v>17756</v>
      </c>
      <c r="E1676" s="32">
        <v>20</v>
      </c>
      <c r="F1676" s="27">
        <v>418</v>
      </c>
      <c r="G1676" s="32">
        <v>22</v>
      </c>
      <c r="H1676" s="27">
        <v>496</v>
      </c>
      <c r="I1676" s="27">
        <v>20.9</v>
      </c>
      <c r="J1676" s="27">
        <v>22.545454545454547</v>
      </c>
      <c r="K1676" s="29">
        <v>7.8729882557633885E-2</v>
      </c>
    </row>
    <row r="1677" spans="1:11" x14ac:dyDescent="0.25">
      <c r="A1677" s="5" t="s">
        <v>6</v>
      </c>
      <c r="B1677" s="5" t="s">
        <v>8141</v>
      </c>
      <c r="C1677" s="1" t="s">
        <v>8142</v>
      </c>
      <c r="D1677" s="5" t="s">
        <v>17756</v>
      </c>
      <c r="E1677" s="32">
        <v>225</v>
      </c>
      <c r="F1677" s="27">
        <v>4665</v>
      </c>
      <c r="G1677" s="32">
        <v>97</v>
      </c>
      <c r="H1677" s="27">
        <v>2119</v>
      </c>
      <c r="I1677" s="27">
        <v>20.733333333333334</v>
      </c>
      <c r="J1677" s="27">
        <v>21.845360824742269</v>
      </c>
      <c r="K1677" s="29">
        <v>5.3634766466668857E-2</v>
      </c>
    </row>
    <row r="1678" spans="1:11" x14ac:dyDescent="0.25">
      <c r="A1678" s="5" t="s">
        <v>6</v>
      </c>
      <c r="B1678" s="5" t="s">
        <v>8144</v>
      </c>
      <c r="C1678" s="1" t="s">
        <v>8145</v>
      </c>
      <c r="D1678" s="5" t="s">
        <v>17756</v>
      </c>
      <c r="E1678" s="32">
        <v>2</v>
      </c>
      <c r="F1678" s="27">
        <v>42</v>
      </c>
      <c r="I1678" s="27">
        <v>21</v>
      </c>
    </row>
    <row r="1679" spans="1:11" x14ac:dyDescent="0.25">
      <c r="A1679" s="5" t="s">
        <v>6</v>
      </c>
      <c r="B1679" s="5" t="s">
        <v>8150</v>
      </c>
      <c r="C1679" s="1" t="s">
        <v>8151</v>
      </c>
      <c r="D1679" s="5" t="s">
        <v>17755</v>
      </c>
      <c r="E1679" s="32">
        <v>271</v>
      </c>
      <c r="F1679" s="27">
        <v>813</v>
      </c>
      <c r="G1679" s="32">
        <v>592</v>
      </c>
      <c r="H1679" s="27">
        <v>1776</v>
      </c>
      <c r="I1679" s="27">
        <v>3</v>
      </c>
      <c r="J1679" s="27">
        <v>3</v>
      </c>
      <c r="K1679" s="29">
        <v>0</v>
      </c>
    </row>
    <row r="1680" spans="1:11" x14ac:dyDescent="0.25">
      <c r="A1680" s="5" t="s">
        <v>6</v>
      </c>
      <c r="B1680" s="5" t="s">
        <v>8153</v>
      </c>
      <c r="C1680" s="1" t="s">
        <v>8154</v>
      </c>
      <c r="D1680" s="5" t="s">
        <v>17755</v>
      </c>
      <c r="E1680" s="32">
        <v>3930</v>
      </c>
      <c r="F1680" s="27">
        <v>38319</v>
      </c>
      <c r="G1680" s="32">
        <v>5319</v>
      </c>
      <c r="H1680" s="27">
        <v>56771</v>
      </c>
      <c r="I1680" s="27">
        <v>9.7503816793893137</v>
      </c>
      <c r="J1680" s="27">
        <v>10.673246850911825</v>
      </c>
      <c r="K1680" s="29">
        <v>9.4649132912744863E-2</v>
      </c>
    </row>
    <row r="1681" spans="1:11" x14ac:dyDescent="0.25">
      <c r="A1681" s="5" t="s">
        <v>6</v>
      </c>
      <c r="B1681" s="5" t="s">
        <v>8156</v>
      </c>
      <c r="C1681" s="1" t="s">
        <v>8157</v>
      </c>
      <c r="D1681" s="5" t="s">
        <v>17755</v>
      </c>
      <c r="E1681" s="32">
        <v>2206</v>
      </c>
      <c r="F1681" s="27">
        <v>96606</v>
      </c>
      <c r="G1681" s="32">
        <v>1884</v>
      </c>
      <c r="H1681" s="27">
        <v>90644</v>
      </c>
      <c r="I1681" s="27">
        <v>43.792384406165006</v>
      </c>
      <c r="J1681" s="27">
        <v>48.112526539278129</v>
      </c>
      <c r="K1681" s="29">
        <v>9.865053460082758E-2</v>
      </c>
    </row>
    <row r="1682" spans="1:11" x14ac:dyDescent="0.25">
      <c r="A1682" s="5" t="s">
        <v>6</v>
      </c>
      <c r="B1682" s="5" t="s">
        <v>8192</v>
      </c>
      <c r="C1682" s="1" t="s">
        <v>8193</v>
      </c>
      <c r="D1682" s="5" t="s">
        <v>17755</v>
      </c>
      <c r="E1682" s="32">
        <v>11</v>
      </c>
      <c r="F1682" s="27">
        <v>491</v>
      </c>
      <c r="G1682" s="32">
        <v>24</v>
      </c>
      <c r="H1682" s="27">
        <v>1144</v>
      </c>
      <c r="I1682" s="27">
        <v>44.636363636363633</v>
      </c>
      <c r="J1682" s="27">
        <v>47.666666666666664</v>
      </c>
      <c r="K1682" s="29">
        <v>6.788866259334693E-2</v>
      </c>
    </row>
    <row r="1683" spans="1:11" x14ac:dyDescent="0.25">
      <c r="A1683" s="5" t="s">
        <v>6</v>
      </c>
      <c r="B1683" s="5" t="s">
        <v>8195</v>
      </c>
      <c r="C1683" s="1" t="s">
        <v>8196</v>
      </c>
      <c r="D1683" s="5" t="s">
        <v>17755</v>
      </c>
      <c r="E1683" s="32">
        <v>12</v>
      </c>
      <c r="F1683" s="27">
        <v>372</v>
      </c>
      <c r="I1683" s="27">
        <v>31</v>
      </c>
    </row>
    <row r="1684" spans="1:11" x14ac:dyDescent="0.25">
      <c r="A1684" s="5" t="s">
        <v>6</v>
      </c>
      <c r="B1684" s="5" t="s">
        <v>8207</v>
      </c>
      <c r="C1684" s="1" t="s">
        <v>8208</v>
      </c>
      <c r="D1684" s="5" t="s">
        <v>17755</v>
      </c>
      <c r="E1684" s="32">
        <v>10</v>
      </c>
      <c r="F1684" s="27">
        <v>1030</v>
      </c>
      <c r="G1684" s="32">
        <v>71</v>
      </c>
      <c r="H1684" s="27">
        <v>7841</v>
      </c>
      <c r="I1684" s="27">
        <v>103</v>
      </c>
      <c r="J1684" s="27">
        <v>110.43661971830986</v>
      </c>
      <c r="K1684" s="29">
        <v>7.2200191439901515E-2</v>
      </c>
    </row>
    <row r="1685" spans="1:11" x14ac:dyDescent="0.25">
      <c r="A1685" s="5" t="s">
        <v>6</v>
      </c>
      <c r="B1685" s="5" t="s">
        <v>8210</v>
      </c>
      <c r="C1685" s="1" t="s">
        <v>8211</v>
      </c>
      <c r="D1685" s="5" t="s">
        <v>17755</v>
      </c>
      <c r="E1685" s="32">
        <v>560</v>
      </c>
      <c r="F1685" s="27">
        <v>9996</v>
      </c>
      <c r="G1685" s="32">
        <v>654</v>
      </c>
      <c r="H1685" s="27">
        <v>12248</v>
      </c>
      <c r="I1685" s="27">
        <v>17.850000000000001</v>
      </c>
      <c r="J1685" s="27">
        <v>18.727828746177369</v>
      </c>
      <c r="K1685" s="29">
        <v>4.9178081018339939E-2</v>
      </c>
    </row>
    <row r="1686" spans="1:11" x14ac:dyDescent="0.25">
      <c r="A1686" s="5" t="s">
        <v>6</v>
      </c>
      <c r="B1686" s="5" t="s">
        <v>8216</v>
      </c>
      <c r="C1686" s="1" t="s">
        <v>8217</v>
      </c>
      <c r="D1686" s="5" t="s">
        <v>17755</v>
      </c>
      <c r="E1686" s="32">
        <v>24</v>
      </c>
      <c r="F1686" s="27">
        <v>648</v>
      </c>
      <c r="G1686" s="32">
        <v>6</v>
      </c>
      <c r="H1686" s="27">
        <v>174</v>
      </c>
      <c r="I1686" s="27">
        <v>27</v>
      </c>
      <c r="J1686" s="27">
        <v>29</v>
      </c>
      <c r="K1686" s="29">
        <v>7.407407407407407E-2</v>
      </c>
    </row>
    <row r="1687" spans="1:11" x14ac:dyDescent="0.25">
      <c r="A1687" s="5" t="s">
        <v>6</v>
      </c>
      <c r="B1687" s="5" t="s">
        <v>8219</v>
      </c>
      <c r="C1687" s="1" t="s">
        <v>8220</v>
      </c>
      <c r="D1687" s="5" t="s">
        <v>17755</v>
      </c>
      <c r="E1687" s="32">
        <v>15</v>
      </c>
      <c r="F1687" s="27">
        <v>435</v>
      </c>
      <c r="I1687" s="27">
        <v>29</v>
      </c>
    </row>
    <row r="1688" spans="1:11" x14ac:dyDescent="0.25">
      <c r="A1688" s="5" t="s">
        <v>6</v>
      </c>
      <c r="B1688" s="5" t="s">
        <v>8222</v>
      </c>
      <c r="C1688" s="1" t="s">
        <v>8223</v>
      </c>
      <c r="D1688" s="5" t="s">
        <v>17755</v>
      </c>
      <c r="E1688" s="32">
        <v>0</v>
      </c>
      <c r="F1688" s="27">
        <v>0</v>
      </c>
      <c r="G1688" s="32">
        <v>4</v>
      </c>
      <c r="H1688" s="27">
        <v>116</v>
      </c>
      <c r="J1688" s="27">
        <v>29</v>
      </c>
    </row>
    <row r="1689" spans="1:11" x14ac:dyDescent="0.25">
      <c r="A1689" s="5" t="s">
        <v>6</v>
      </c>
      <c r="B1689" s="5" t="s">
        <v>8228</v>
      </c>
      <c r="C1689" s="1" t="s">
        <v>8229</v>
      </c>
      <c r="D1689" s="5" t="s">
        <v>17756</v>
      </c>
      <c r="E1689" s="32">
        <v>0</v>
      </c>
      <c r="F1689" s="27">
        <v>0</v>
      </c>
      <c r="G1689" s="32">
        <v>3</v>
      </c>
      <c r="H1689" s="27">
        <v>15</v>
      </c>
      <c r="J1689" s="27">
        <v>5</v>
      </c>
    </row>
    <row r="1690" spans="1:11" x14ac:dyDescent="0.25">
      <c r="A1690" s="5" t="s">
        <v>6</v>
      </c>
      <c r="B1690" s="5" t="s">
        <v>8231</v>
      </c>
      <c r="C1690" s="1" t="s">
        <v>8232</v>
      </c>
      <c r="D1690" s="5" t="s">
        <v>17755</v>
      </c>
      <c r="E1690" s="32">
        <v>13</v>
      </c>
      <c r="F1690" s="27">
        <v>728</v>
      </c>
      <c r="I1690" s="27">
        <v>56</v>
      </c>
    </row>
    <row r="1691" spans="1:11" x14ac:dyDescent="0.25">
      <c r="A1691" s="5" t="s">
        <v>6</v>
      </c>
      <c r="B1691" s="5" t="s">
        <v>8234</v>
      </c>
      <c r="C1691" s="1" t="s">
        <v>8235</v>
      </c>
      <c r="D1691" s="5" t="s">
        <v>17755</v>
      </c>
      <c r="E1691" s="32">
        <v>4883</v>
      </c>
      <c r="F1691" s="27">
        <v>127825</v>
      </c>
      <c r="G1691" s="32">
        <v>3352</v>
      </c>
      <c r="H1691" s="27">
        <v>92658</v>
      </c>
      <c r="I1691" s="27">
        <v>26.177554781896376</v>
      </c>
      <c r="J1691" s="27">
        <v>27.642601431980907</v>
      </c>
      <c r="K1691" s="29">
        <v>5.5965756247704015E-2</v>
      </c>
    </row>
    <row r="1692" spans="1:11" x14ac:dyDescent="0.25">
      <c r="A1692" s="5" t="s">
        <v>6</v>
      </c>
      <c r="B1692" s="5" t="s">
        <v>8237</v>
      </c>
      <c r="C1692" s="1" t="s">
        <v>8238</v>
      </c>
      <c r="D1692" s="5" t="s">
        <v>17755</v>
      </c>
      <c r="E1692" s="32">
        <v>1788</v>
      </c>
      <c r="F1692" s="27">
        <v>224218</v>
      </c>
      <c r="G1692" s="32">
        <v>2193</v>
      </c>
      <c r="H1692" s="27">
        <v>294648</v>
      </c>
      <c r="I1692" s="27">
        <v>125.40156599552573</v>
      </c>
      <c r="J1692" s="27">
        <v>134.35841313269495</v>
      </c>
      <c r="K1692" s="29">
        <v>7.1425321255468188E-2</v>
      </c>
    </row>
    <row r="1693" spans="1:11" x14ac:dyDescent="0.25">
      <c r="A1693" s="5" t="s">
        <v>6</v>
      </c>
      <c r="B1693" s="5" t="s">
        <v>8240</v>
      </c>
      <c r="C1693" s="1" t="s">
        <v>8241</v>
      </c>
      <c r="D1693" s="5" t="s">
        <v>17755</v>
      </c>
      <c r="E1693" s="32">
        <v>396</v>
      </c>
      <c r="F1693" s="27">
        <v>16071</v>
      </c>
      <c r="G1693" s="32">
        <v>152</v>
      </c>
      <c r="H1693" s="27">
        <v>6508</v>
      </c>
      <c r="I1693" s="27">
        <v>40.583333333333336</v>
      </c>
      <c r="J1693" s="27">
        <v>42.815789473684212</v>
      </c>
      <c r="K1693" s="29">
        <v>5.500918620987786E-2</v>
      </c>
    </row>
    <row r="1694" spans="1:11" x14ac:dyDescent="0.25">
      <c r="A1694" s="5" t="s">
        <v>6</v>
      </c>
      <c r="B1694" s="5" t="s">
        <v>8243</v>
      </c>
      <c r="C1694" s="1" t="s">
        <v>8244</v>
      </c>
      <c r="D1694" s="5" t="s">
        <v>17755</v>
      </c>
      <c r="E1694" s="32">
        <v>2</v>
      </c>
      <c r="F1694" s="27">
        <v>30</v>
      </c>
      <c r="I1694" s="27">
        <v>15</v>
      </c>
    </row>
    <row r="1695" spans="1:11" x14ac:dyDescent="0.25">
      <c r="A1695" s="5" t="s">
        <v>6</v>
      </c>
      <c r="B1695" s="5" t="s">
        <v>8246</v>
      </c>
      <c r="C1695" s="1" t="s">
        <v>8247</v>
      </c>
      <c r="D1695" s="5" t="s">
        <v>17755</v>
      </c>
      <c r="E1695" s="32">
        <v>295</v>
      </c>
      <c r="F1695" s="27">
        <v>11349</v>
      </c>
      <c r="G1695" s="32">
        <v>144</v>
      </c>
      <c r="H1695" s="27">
        <v>5946</v>
      </c>
      <c r="I1695" s="27">
        <v>38.471186440677968</v>
      </c>
      <c r="J1695" s="27">
        <v>41.291666666666664</v>
      </c>
      <c r="K1695" s="29">
        <v>7.331409522131159E-2</v>
      </c>
    </row>
    <row r="1696" spans="1:11" x14ac:dyDescent="0.25">
      <c r="A1696" s="5" t="s">
        <v>6</v>
      </c>
      <c r="B1696" s="5" t="s">
        <v>8252</v>
      </c>
      <c r="C1696" s="1" t="s">
        <v>8253</v>
      </c>
      <c r="D1696" s="5" t="s">
        <v>17755</v>
      </c>
      <c r="E1696" s="32">
        <v>987</v>
      </c>
      <c r="F1696" s="27">
        <v>40137</v>
      </c>
      <c r="G1696" s="32">
        <v>858</v>
      </c>
      <c r="H1696" s="27">
        <v>37110</v>
      </c>
      <c r="I1696" s="27">
        <v>40.665653495440729</v>
      </c>
      <c r="J1696" s="27">
        <v>43.251748251748253</v>
      </c>
      <c r="K1696" s="29">
        <v>6.3594078393390804E-2</v>
      </c>
    </row>
    <row r="1697" spans="1:11" x14ac:dyDescent="0.25">
      <c r="A1697" s="5" t="s">
        <v>6</v>
      </c>
      <c r="B1697" s="5" t="s">
        <v>8261</v>
      </c>
      <c r="C1697" s="1" t="s">
        <v>8262</v>
      </c>
      <c r="D1697" s="5" t="s">
        <v>17755</v>
      </c>
      <c r="E1697" s="32">
        <v>1570</v>
      </c>
      <c r="F1697" s="27">
        <v>72974</v>
      </c>
      <c r="G1697" s="32">
        <v>2506</v>
      </c>
      <c r="H1697" s="27">
        <v>125270</v>
      </c>
      <c r="I1697" s="27">
        <v>46.480254777070066</v>
      </c>
      <c r="J1697" s="27">
        <v>49.988028731045489</v>
      </c>
      <c r="K1697" s="29">
        <v>7.5468044889157981E-2</v>
      </c>
    </row>
    <row r="1698" spans="1:11" x14ac:dyDescent="0.25">
      <c r="A1698" s="5" t="s">
        <v>6</v>
      </c>
      <c r="B1698" s="5" t="s">
        <v>8270</v>
      </c>
      <c r="C1698" s="1" t="s">
        <v>8271</v>
      </c>
      <c r="D1698" s="5" t="s">
        <v>17755</v>
      </c>
      <c r="E1698" s="32">
        <v>52</v>
      </c>
      <c r="F1698" s="27">
        <v>1404</v>
      </c>
      <c r="I1698" s="27">
        <v>27</v>
      </c>
    </row>
    <row r="1699" spans="1:11" x14ac:dyDescent="0.25">
      <c r="A1699" s="5" t="s">
        <v>6</v>
      </c>
      <c r="B1699" s="5" t="s">
        <v>8276</v>
      </c>
      <c r="C1699" s="1" t="s">
        <v>8277</v>
      </c>
      <c r="D1699" s="5" t="s">
        <v>17755</v>
      </c>
      <c r="E1699" s="32">
        <v>335</v>
      </c>
      <c r="F1699" s="27">
        <v>8957</v>
      </c>
      <c r="G1699" s="32">
        <v>384</v>
      </c>
      <c r="H1699" s="27">
        <v>10924</v>
      </c>
      <c r="I1699" s="27">
        <v>26.737313432835823</v>
      </c>
      <c r="J1699" s="27">
        <v>28.447916666666668</v>
      </c>
      <c r="K1699" s="29">
        <v>6.3978126977038419E-2</v>
      </c>
    </row>
    <row r="1700" spans="1:11" x14ac:dyDescent="0.25">
      <c r="A1700" s="5" t="s">
        <v>6</v>
      </c>
      <c r="B1700" s="5" t="s">
        <v>8282</v>
      </c>
      <c r="C1700" s="1" t="s">
        <v>8283</v>
      </c>
      <c r="D1700" s="5" t="s">
        <v>17755</v>
      </c>
      <c r="E1700" s="32">
        <v>513</v>
      </c>
      <c r="F1700" s="27">
        <v>13705</v>
      </c>
      <c r="G1700" s="32">
        <v>416</v>
      </c>
      <c r="H1700" s="27">
        <v>11704</v>
      </c>
      <c r="I1700" s="27">
        <v>26.715399610136451</v>
      </c>
      <c r="J1700" s="27">
        <v>28.134615384615383</v>
      </c>
      <c r="K1700" s="29">
        <v>5.3123509106726897E-2</v>
      </c>
    </row>
    <row r="1701" spans="1:11" x14ac:dyDescent="0.25">
      <c r="A1701" s="5" t="s">
        <v>6</v>
      </c>
      <c r="B1701" s="5" t="s">
        <v>8285</v>
      </c>
      <c r="C1701" s="1" t="s">
        <v>8286</v>
      </c>
      <c r="D1701" s="5" t="s">
        <v>17755</v>
      </c>
      <c r="E1701" s="32">
        <v>72</v>
      </c>
      <c r="F1701" s="27">
        <v>1920</v>
      </c>
      <c r="G1701" s="32">
        <v>47</v>
      </c>
      <c r="H1701" s="27">
        <v>1361</v>
      </c>
      <c r="I1701" s="27">
        <v>26.666666666666668</v>
      </c>
      <c r="J1701" s="27">
        <v>28.957446808510639</v>
      </c>
      <c r="K1701" s="29">
        <v>8.5904255319148914E-2</v>
      </c>
    </row>
    <row r="1702" spans="1:11" x14ac:dyDescent="0.25">
      <c r="A1702" s="5" t="s">
        <v>6</v>
      </c>
      <c r="B1702" s="5" t="s">
        <v>8294</v>
      </c>
      <c r="C1702" s="1" t="s">
        <v>8295</v>
      </c>
      <c r="D1702" s="5" t="s">
        <v>17755</v>
      </c>
      <c r="E1702" s="32">
        <v>32</v>
      </c>
      <c r="F1702" s="27">
        <v>672</v>
      </c>
      <c r="I1702" s="27">
        <v>21</v>
      </c>
    </row>
    <row r="1703" spans="1:11" x14ac:dyDescent="0.25">
      <c r="A1703" s="5" t="s">
        <v>6</v>
      </c>
      <c r="B1703" s="5" t="s">
        <v>8300</v>
      </c>
      <c r="C1703" s="1" t="s">
        <v>8301</v>
      </c>
      <c r="D1703" s="5" t="s">
        <v>17756</v>
      </c>
      <c r="E1703" s="32">
        <v>869</v>
      </c>
      <c r="F1703" s="27">
        <v>11231</v>
      </c>
      <c r="G1703" s="32">
        <v>653</v>
      </c>
      <c r="H1703" s="27">
        <v>8704</v>
      </c>
      <c r="I1703" s="27">
        <v>12.924050632911392</v>
      </c>
      <c r="J1703" s="27">
        <v>13.329249617151609</v>
      </c>
      <c r="K1703" s="29">
        <v>3.1352321013689649E-2</v>
      </c>
    </row>
    <row r="1704" spans="1:11" x14ac:dyDescent="0.25">
      <c r="A1704" s="5" t="s">
        <v>6</v>
      </c>
      <c r="B1704" s="5" t="s">
        <v>8312</v>
      </c>
      <c r="C1704" s="1" t="s">
        <v>8313</v>
      </c>
      <c r="D1704" s="5" t="s">
        <v>17755</v>
      </c>
      <c r="E1704" s="32">
        <v>1855</v>
      </c>
      <c r="F1704" s="27">
        <v>53291</v>
      </c>
      <c r="G1704" s="32">
        <v>1802</v>
      </c>
      <c r="H1704" s="27">
        <v>54624</v>
      </c>
      <c r="I1704" s="27">
        <v>28.728301886792451</v>
      </c>
      <c r="J1704" s="27">
        <v>30.312985571587124</v>
      </c>
      <c r="K1704" s="29">
        <v>5.5161063505922536E-2</v>
      </c>
    </row>
    <row r="1705" spans="1:11" x14ac:dyDescent="0.25">
      <c r="A1705" s="5" t="s">
        <v>6</v>
      </c>
      <c r="B1705" s="5" t="s">
        <v>8315</v>
      </c>
      <c r="C1705" s="1" t="s">
        <v>8316</v>
      </c>
      <c r="D1705" s="5" t="s">
        <v>17755</v>
      </c>
      <c r="E1705" s="32">
        <v>325</v>
      </c>
      <c r="F1705" s="27">
        <v>9367</v>
      </c>
      <c r="G1705" s="32">
        <v>681</v>
      </c>
      <c r="H1705" s="27">
        <v>20693</v>
      </c>
      <c r="I1705" s="27">
        <v>28.821538461538463</v>
      </c>
      <c r="J1705" s="27">
        <v>30.386196769456681</v>
      </c>
      <c r="K1705" s="29">
        <v>5.4287813608777734E-2</v>
      </c>
    </row>
    <row r="1706" spans="1:11" x14ac:dyDescent="0.25">
      <c r="A1706" s="5" t="s">
        <v>6</v>
      </c>
      <c r="B1706" s="5" t="s">
        <v>8317</v>
      </c>
      <c r="C1706" s="1" t="s">
        <v>8318</v>
      </c>
      <c r="D1706" s="5" t="s">
        <v>17755</v>
      </c>
      <c r="E1706" s="32">
        <v>106</v>
      </c>
      <c r="F1706" s="27">
        <v>3701</v>
      </c>
      <c r="G1706" s="32">
        <v>138</v>
      </c>
      <c r="H1706" s="27">
        <v>5118</v>
      </c>
      <c r="I1706" s="27">
        <v>34.915094339622641</v>
      </c>
      <c r="J1706" s="27">
        <v>37.086956521739133</v>
      </c>
      <c r="K1706" s="29">
        <v>6.2204104648567446E-2</v>
      </c>
    </row>
    <row r="1707" spans="1:11" x14ac:dyDescent="0.25">
      <c r="A1707" s="5" t="s">
        <v>6</v>
      </c>
      <c r="B1707" s="5" t="s">
        <v>8322</v>
      </c>
      <c r="C1707" s="1" t="s">
        <v>8323</v>
      </c>
      <c r="D1707" s="5" t="s">
        <v>17756</v>
      </c>
      <c r="E1707" s="32">
        <v>2976</v>
      </c>
      <c r="F1707" s="27">
        <v>29107</v>
      </c>
      <c r="G1707" s="32">
        <v>2586</v>
      </c>
      <c r="H1707" s="27">
        <v>27427</v>
      </c>
      <c r="I1707" s="27">
        <v>9.7805779569892479</v>
      </c>
      <c r="J1707" s="27">
        <v>10.605955143078113</v>
      </c>
      <c r="K1707" s="29">
        <v>8.43894082454551E-2</v>
      </c>
    </row>
    <row r="1708" spans="1:11" x14ac:dyDescent="0.25">
      <c r="A1708" s="5" t="s">
        <v>6</v>
      </c>
      <c r="B1708" s="5" t="s">
        <v>8325</v>
      </c>
      <c r="C1708" s="1" t="s">
        <v>8326</v>
      </c>
      <c r="D1708" s="5" t="s">
        <v>17756</v>
      </c>
      <c r="E1708" s="32">
        <v>2547</v>
      </c>
      <c r="F1708" s="27">
        <v>22678</v>
      </c>
      <c r="G1708" s="32">
        <v>6217</v>
      </c>
      <c r="H1708" s="27">
        <v>60713</v>
      </c>
      <c r="I1708" s="27">
        <v>8.9038084020416175</v>
      </c>
      <c r="J1708" s="27">
        <v>9.7656425928904618</v>
      </c>
      <c r="K1708" s="29">
        <v>9.6793883238910236E-2</v>
      </c>
    </row>
    <row r="1709" spans="1:11" x14ac:dyDescent="0.25">
      <c r="A1709" s="5" t="s">
        <v>6</v>
      </c>
      <c r="B1709" s="5" t="s">
        <v>8328</v>
      </c>
      <c r="C1709" s="1" t="s">
        <v>8329</v>
      </c>
      <c r="D1709" s="5" t="s">
        <v>17755</v>
      </c>
      <c r="E1709" s="32">
        <v>317</v>
      </c>
      <c r="F1709" s="27">
        <v>1585</v>
      </c>
      <c r="G1709" s="32">
        <v>378</v>
      </c>
      <c r="H1709" s="27">
        <v>1890</v>
      </c>
      <c r="I1709" s="27">
        <v>5</v>
      </c>
      <c r="J1709" s="27">
        <v>5</v>
      </c>
      <c r="K1709" s="29">
        <v>0</v>
      </c>
    </row>
    <row r="1710" spans="1:11" x14ac:dyDescent="0.25">
      <c r="A1710" s="5" t="s">
        <v>6</v>
      </c>
      <c r="B1710" s="5" t="s">
        <v>8331</v>
      </c>
      <c r="C1710" s="1" t="s">
        <v>8332</v>
      </c>
      <c r="D1710" s="5" t="s">
        <v>17755</v>
      </c>
      <c r="E1710" s="32">
        <v>2223</v>
      </c>
      <c r="F1710" s="27">
        <v>90276</v>
      </c>
      <c r="G1710" s="32">
        <v>1624</v>
      </c>
      <c r="H1710" s="27">
        <v>69548</v>
      </c>
      <c r="I1710" s="27">
        <v>40.609986504723345</v>
      </c>
      <c r="J1710" s="27">
        <v>42.825123152709359</v>
      </c>
      <c r="K1710" s="29">
        <v>5.4546598968418077E-2</v>
      </c>
    </row>
    <row r="1711" spans="1:11" x14ac:dyDescent="0.25">
      <c r="A1711" s="5" t="s">
        <v>6</v>
      </c>
      <c r="B1711" s="5" t="s">
        <v>8346</v>
      </c>
      <c r="C1711" s="1" t="s">
        <v>8347</v>
      </c>
      <c r="D1711" s="5" t="s">
        <v>17755</v>
      </c>
      <c r="E1711" s="32">
        <v>9501</v>
      </c>
      <c r="F1711" s="27">
        <v>213793</v>
      </c>
      <c r="G1711" s="32">
        <v>8522</v>
      </c>
      <c r="H1711" s="27">
        <v>207398</v>
      </c>
      <c r="I1711" s="27">
        <v>22.502157667613936</v>
      </c>
      <c r="J1711" s="27">
        <v>24.336775404834547</v>
      </c>
      <c r="K1711" s="29">
        <v>8.1530747598532363E-2</v>
      </c>
    </row>
    <row r="1712" spans="1:11" x14ac:dyDescent="0.25">
      <c r="A1712" s="5" t="s">
        <v>6</v>
      </c>
      <c r="B1712" s="5" t="s">
        <v>8349</v>
      </c>
      <c r="C1712" s="1" t="s">
        <v>8350</v>
      </c>
      <c r="D1712" s="5" t="s">
        <v>17755</v>
      </c>
      <c r="E1712" s="32">
        <v>16</v>
      </c>
      <c r="F1712" s="27">
        <v>48</v>
      </c>
      <c r="G1712" s="32">
        <v>33</v>
      </c>
      <c r="H1712" s="27">
        <v>99</v>
      </c>
      <c r="I1712" s="27">
        <v>3</v>
      </c>
      <c r="J1712" s="27">
        <v>3</v>
      </c>
      <c r="K1712" s="29">
        <v>0</v>
      </c>
    </row>
    <row r="1713" spans="1:11" x14ac:dyDescent="0.25">
      <c r="A1713" s="5" t="s">
        <v>6</v>
      </c>
      <c r="B1713" s="5" t="s">
        <v>8358</v>
      </c>
      <c r="C1713" s="1" t="s">
        <v>8359</v>
      </c>
      <c r="D1713" s="5" t="s">
        <v>17755</v>
      </c>
      <c r="E1713" s="32">
        <v>158</v>
      </c>
      <c r="F1713" s="27">
        <v>13806</v>
      </c>
      <c r="G1713" s="32">
        <v>306</v>
      </c>
      <c r="H1713" s="27">
        <v>28034</v>
      </c>
      <c r="I1713" s="27">
        <v>87.379746835443044</v>
      </c>
      <c r="J1713" s="27">
        <v>91.614379084967325</v>
      </c>
      <c r="K1713" s="29">
        <v>4.8462400074231235E-2</v>
      </c>
    </row>
    <row r="1714" spans="1:11" x14ac:dyDescent="0.25">
      <c r="A1714" s="5" t="s">
        <v>6</v>
      </c>
      <c r="B1714" s="5" t="s">
        <v>8361</v>
      </c>
      <c r="C1714" s="1" t="s">
        <v>8362</v>
      </c>
      <c r="D1714" s="5" t="s">
        <v>17756</v>
      </c>
      <c r="E1714" s="32">
        <v>690</v>
      </c>
      <c r="F1714" s="27">
        <v>14180</v>
      </c>
      <c r="G1714" s="32">
        <v>1099</v>
      </c>
      <c r="H1714" s="27">
        <v>24797</v>
      </c>
      <c r="I1714" s="27">
        <v>20.55072463768116</v>
      </c>
      <c r="J1714" s="27">
        <v>22.56323930846224</v>
      </c>
      <c r="K1714" s="29">
        <v>9.7929134191745065E-2</v>
      </c>
    </row>
    <row r="1715" spans="1:11" x14ac:dyDescent="0.25">
      <c r="A1715" s="5" t="s">
        <v>6</v>
      </c>
      <c r="B1715" s="5" t="s">
        <v>8364</v>
      </c>
      <c r="C1715" s="1" t="s">
        <v>8365</v>
      </c>
      <c r="D1715" s="5" t="s">
        <v>17755</v>
      </c>
      <c r="E1715" s="32">
        <v>377</v>
      </c>
      <c r="F1715" s="27">
        <v>16669</v>
      </c>
      <c r="G1715" s="32">
        <v>335</v>
      </c>
      <c r="H1715" s="27">
        <v>16175</v>
      </c>
      <c r="I1715" s="27">
        <v>44.214854111405835</v>
      </c>
      <c r="J1715" s="27">
        <v>48.28358208955224</v>
      </c>
      <c r="K1715" s="29">
        <v>9.2021743821536689E-2</v>
      </c>
    </row>
    <row r="1716" spans="1:11" x14ac:dyDescent="0.25">
      <c r="A1716" s="5" t="s">
        <v>6</v>
      </c>
      <c r="B1716" s="5" t="s">
        <v>8367</v>
      </c>
      <c r="C1716" s="1" t="s">
        <v>8368</v>
      </c>
      <c r="D1716" s="5" t="s">
        <v>17755</v>
      </c>
      <c r="E1716" s="32">
        <v>1885</v>
      </c>
      <c r="F1716" s="27">
        <v>55764</v>
      </c>
      <c r="G1716" s="32">
        <v>1402</v>
      </c>
      <c r="H1716" s="27">
        <v>43802</v>
      </c>
      <c r="I1716" s="27">
        <v>29.583023872679046</v>
      </c>
      <c r="J1716" s="27">
        <v>31.242510699001425</v>
      </c>
      <c r="K1716" s="29">
        <v>5.609591613976192E-2</v>
      </c>
    </row>
    <row r="1717" spans="1:11" x14ac:dyDescent="0.25">
      <c r="A1717" s="5" t="s">
        <v>6</v>
      </c>
      <c r="B1717" s="5" t="s">
        <v>8370</v>
      </c>
      <c r="C1717" s="1" t="s">
        <v>8371</v>
      </c>
      <c r="D1717" s="5" t="s">
        <v>17755</v>
      </c>
      <c r="E1717" s="32">
        <v>322</v>
      </c>
      <c r="F1717" s="27">
        <v>14810</v>
      </c>
      <c r="G1717" s="32">
        <v>455</v>
      </c>
      <c r="H1717" s="27">
        <v>22725</v>
      </c>
      <c r="I1717" s="27">
        <v>45.993788819875775</v>
      </c>
      <c r="J1717" s="27">
        <v>49.945054945054942</v>
      </c>
      <c r="K1717" s="29">
        <v>8.5908689554874532E-2</v>
      </c>
    </row>
    <row r="1718" spans="1:11" x14ac:dyDescent="0.25">
      <c r="A1718" s="5" t="s">
        <v>6</v>
      </c>
      <c r="B1718" s="5" t="s">
        <v>8373</v>
      </c>
      <c r="C1718" s="1" t="s">
        <v>8374</v>
      </c>
      <c r="D1718" s="5" t="s">
        <v>17755</v>
      </c>
      <c r="G1718" s="32">
        <v>126</v>
      </c>
      <c r="H1718" s="27">
        <v>7168.14</v>
      </c>
      <c r="J1718" s="27">
        <v>56.89</v>
      </c>
    </row>
    <row r="1719" spans="1:11" x14ac:dyDescent="0.25">
      <c r="A1719" s="5" t="s">
        <v>6</v>
      </c>
      <c r="B1719" s="5" t="s">
        <v>8376</v>
      </c>
      <c r="C1719" s="1" t="s">
        <v>8377</v>
      </c>
      <c r="D1719" s="5" t="s">
        <v>17755</v>
      </c>
      <c r="E1719" s="32">
        <v>1013</v>
      </c>
      <c r="F1719" s="27">
        <v>29868</v>
      </c>
      <c r="G1719" s="32">
        <v>830</v>
      </c>
      <c r="H1719" s="27">
        <v>25714</v>
      </c>
      <c r="I1719" s="27">
        <v>29.484698914116485</v>
      </c>
      <c r="J1719" s="27">
        <v>30.980722891566266</v>
      </c>
      <c r="K1719" s="29">
        <v>5.0738994547898347E-2</v>
      </c>
    </row>
    <row r="1720" spans="1:11" x14ac:dyDescent="0.25">
      <c r="A1720" s="5" t="s">
        <v>6</v>
      </c>
      <c r="B1720" s="5" t="s">
        <v>8379</v>
      </c>
      <c r="C1720" s="1" t="s">
        <v>8380</v>
      </c>
      <c r="D1720" s="5" t="s">
        <v>17764</v>
      </c>
      <c r="E1720" s="32">
        <v>59</v>
      </c>
      <c r="F1720" s="27">
        <v>2773</v>
      </c>
      <c r="I1720" s="27">
        <v>47</v>
      </c>
    </row>
    <row r="1721" spans="1:11" x14ac:dyDescent="0.25">
      <c r="A1721" s="5" t="s">
        <v>6</v>
      </c>
      <c r="B1721" s="5" t="s">
        <v>8382</v>
      </c>
      <c r="C1721" s="1" t="s">
        <v>8383</v>
      </c>
      <c r="D1721" s="5" t="s">
        <v>17756</v>
      </c>
      <c r="E1721" s="32">
        <v>2703</v>
      </c>
      <c r="F1721" s="27">
        <v>61379</v>
      </c>
      <c r="G1721" s="32">
        <v>1522</v>
      </c>
      <c r="H1721" s="27">
        <v>36964</v>
      </c>
      <c r="I1721" s="27">
        <v>22.70773214946356</v>
      </c>
      <c r="J1721" s="27">
        <v>24.28646517739816</v>
      </c>
      <c r="K1721" s="29">
        <v>6.9524028975826005E-2</v>
      </c>
    </row>
    <row r="1722" spans="1:11" x14ac:dyDescent="0.25">
      <c r="A1722" s="5" t="s">
        <v>6</v>
      </c>
      <c r="B1722" s="5" t="s">
        <v>8385</v>
      </c>
      <c r="C1722" s="1" t="s">
        <v>8386</v>
      </c>
      <c r="D1722" s="5" t="s">
        <v>17756</v>
      </c>
      <c r="E1722" s="32">
        <v>3552</v>
      </c>
      <c r="F1722" s="27">
        <v>72976</v>
      </c>
      <c r="G1722" s="32">
        <v>3412</v>
      </c>
      <c r="H1722" s="27">
        <v>75882</v>
      </c>
      <c r="I1722" s="27">
        <v>20.545045045045047</v>
      </c>
      <c r="J1722" s="27">
        <v>22.239742086752639</v>
      </c>
      <c r="K1722" s="29">
        <v>8.2486898324728206E-2</v>
      </c>
    </row>
    <row r="1723" spans="1:11" x14ac:dyDescent="0.25">
      <c r="A1723" s="5" t="s">
        <v>6</v>
      </c>
      <c r="B1723" s="5" t="s">
        <v>8393</v>
      </c>
      <c r="C1723" s="1" t="s">
        <v>8394</v>
      </c>
      <c r="D1723" s="5" t="s">
        <v>17755</v>
      </c>
      <c r="E1723" s="32">
        <v>123</v>
      </c>
      <c r="F1723" s="27">
        <v>5124</v>
      </c>
      <c r="G1723" s="32">
        <v>259</v>
      </c>
      <c r="H1723" s="27">
        <v>11274</v>
      </c>
      <c r="I1723" s="27">
        <v>41.658536585365852</v>
      </c>
      <c r="J1723" s="27">
        <v>43.528957528957527</v>
      </c>
      <c r="K1723" s="29">
        <v>4.4898863400034357E-2</v>
      </c>
    </row>
    <row r="1724" spans="1:11" x14ac:dyDescent="0.25">
      <c r="A1724" s="5" t="s">
        <v>6</v>
      </c>
      <c r="B1724" s="5" t="s">
        <v>8395</v>
      </c>
      <c r="C1724" s="1" t="s">
        <v>8396</v>
      </c>
      <c r="D1724" s="5" t="s">
        <v>17755</v>
      </c>
      <c r="E1724" s="32">
        <v>324</v>
      </c>
      <c r="F1724" s="27">
        <v>648</v>
      </c>
      <c r="G1724" s="32">
        <v>295</v>
      </c>
      <c r="H1724" s="27">
        <v>590</v>
      </c>
      <c r="I1724" s="27">
        <v>2</v>
      </c>
      <c r="J1724" s="27">
        <v>2</v>
      </c>
      <c r="K1724" s="29">
        <v>0</v>
      </c>
    </row>
    <row r="1725" spans="1:11" x14ac:dyDescent="0.25">
      <c r="A1725" s="5" t="s">
        <v>6</v>
      </c>
      <c r="B1725" s="5" t="s">
        <v>8404</v>
      </c>
      <c r="C1725" s="1" t="s">
        <v>8405</v>
      </c>
      <c r="D1725" s="5" t="s">
        <v>17755</v>
      </c>
      <c r="E1725" s="32">
        <v>1546</v>
      </c>
      <c r="F1725" s="27">
        <v>13723</v>
      </c>
      <c r="G1725" s="32">
        <v>1597</v>
      </c>
      <c r="H1725" s="27">
        <v>15554</v>
      </c>
      <c r="I1725" s="27">
        <v>8.8764553686934029</v>
      </c>
      <c r="J1725" s="27">
        <v>9.7395115842204127</v>
      </c>
      <c r="K1725" s="29">
        <v>9.7229826510584941E-2</v>
      </c>
    </row>
    <row r="1726" spans="1:11" x14ac:dyDescent="0.25">
      <c r="A1726" s="5" t="s">
        <v>6</v>
      </c>
      <c r="B1726" s="5" t="s">
        <v>8407</v>
      </c>
      <c r="C1726" s="1" t="s">
        <v>8408</v>
      </c>
      <c r="D1726" s="5" t="s">
        <v>17755</v>
      </c>
      <c r="E1726" s="32">
        <v>590</v>
      </c>
      <c r="F1726" s="27">
        <v>15694</v>
      </c>
      <c r="G1726" s="32">
        <v>717</v>
      </c>
      <c r="H1726" s="27">
        <v>20455</v>
      </c>
      <c r="I1726" s="27">
        <v>26.6</v>
      </c>
      <c r="J1726" s="27">
        <v>28.528591352859134</v>
      </c>
      <c r="K1726" s="29">
        <v>7.2503434318012511E-2</v>
      </c>
    </row>
    <row r="1727" spans="1:11" x14ac:dyDescent="0.25">
      <c r="A1727" s="5" t="s">
        <v>6</v>
      </c>
      <c r="B1727" s="5" t="s">
        <v>8410</v>
      </c>
      <c r="C1727" s="1" t="s">
        <v>8411</v>
      </c>
      <c r="D1727" s="5" t="s">
        <v>17755</v>
      </c>
      <c r="E1727" s="32">
        <v>2439</v>
      </c>
      <c r="F1727" s="27">
        <v>80835</v>
      </c>
      <c r="G1727" s="32">
        <v>2717</v>
      </c>
      <c r="H1727" s="27">
        <v>97373</v>
      </c>
      <c r="I1727" s="27">
        <v>33.142681426814271</v>
      </c>
      <c r="J1727" s="27">
        <v>35.838424733161574</v>
      </c>
      <c r="K1727" s="29">
        <v>8.1337513752471974E-2</v>
      </c>
    </row>
    <row r="1728" spans="1:11" x14ac:dyDescent="0.25">
      <c r="A1728" s="5" t="s">
        <v>6</v>
      </c>
      <c r="B1728" s="5" t="s">
        <v>8416</v>
      </c>
      <c r="C1728" s="1" t="s">
        <v>8417</v>
      </c>
      <c r="D1728" s="5" t="s">
        <v>17755</v>
      </c>
      <c r="E1728" s="32">
        <v>513</v>
      </c>
      <c r="F1728" s="27">
        <v>5083</v>
      </c>
      <c r="G1728" s="32">
        <v>747</v>
      </c>
      <c r="H1728" s="27">
        <v>7967</v>
      </c>
      <c r="I1728" s="27">
        <v>9.9083820662768023</v>
      </c>
      <c r="J1728" s="27">
        <v>10.66532797858099</v>
      </c>
      <c r="K1728" s="29">
        <v>7.6394501871345333E-2</v>
      </c>
    </row>
    <row r="1729" spans="1:11" x14ac:dyDescent="0.25">
      <c r="A1729" s="5" t="s">
        <v>6</v>
      </c>
      <c r="B1729" s="5" t="s">
        <v>8419</v>
      </c>
      <c r="C1729" s="1" t="s">
        <v>8420</v>
      </c>
      <c r="D1729" s="5" t="s">
        <v>17755</v>
      </c>
      <c r="E1729" s="32">
        <v>261</v>
      </c>
      <c r="F1729" s="27">
        <v>5471</v>
      </c>
      <c r="G1729" s="32">
        <v>215</v>
      </c>
      <c r="H1729" s="27">
        <v>4805</v>
      </c>
      <c r="I1729" s="27">
        <v>20.961685823754788</v>
      </c>
      <c r="J1729" s="27">
        <v>22.348837209302324</v>
      </c>
      <c r="K1729" s="29">
        <v>6.617556417984044E-2</v>
      </c>
    </row>
    <row r="1730" spans="1:11" x14ac:dyDescent="0.25">
      <c r="A1730" s="5" t="s">
        <v>6</v>
      </c>
      <c r="B1730" s="5" t="s">
        <v>8431</v>
      </c>
      <c r="C1730" s="1" t="s">
        <v>8432</v>
      </c>
      <c r="D1730" s="5" t="s">
        <v>17755</v>
      </c>
      <c r="E1730" s="32">
        <v>53</v>
      </c>
      <c r="F1730" s="27">
        <v>8402</v>
      </c>
      <c r="G1730" s="32">
        <v>82</v>
      </c>
      <c r="H1730" s="27">
        <v>14004</v>
      </c>
      <c r="I1730" s="27">
        <v>158.52830188679246</v>
      </c>
      <c r="J1730" s="27">
        <v>170.78048780487805</v>
      </c>
      <c r="K1730" s="29">
        <v>7.728705708861415E-2</v>
      </c>
    </row>
    <row r="1731" spans="1:11" x14ac:dyDescent="0.25">
      <c r="A1731" s="5" t="s">
        <v>6</v>
      </c>
      <c r="B1731" s="5" t="s">
        <v>8434</v>
      </c>
      <c r="C1731" s="1" t="s">
        <v>8435</v>
      </c>
      <c r="D1731" s="5" t="s">
        <v>17765</v>
      </c>
      <c r="E1731" s="32">
        <v>924</v>
      </c>
      <c r="F1731" s="27">
        <v>33951</v>
      </c>
      <c r="G1731" s="32">
        <v>1016</v>
      </c>
      <c r="H1731" s="27">
        <v>39986</v>
      </c>
      <c r="I1731" s="27">
        <v>36.743506493506494</v>
      </c>
      <c r="J1731" s="27">
        <v>39.356299212598422</v>
      </c>
      <c r="K1731" s="29">
        <v>7.1108965050836248E-2</v>
      </c>
    </row>
    <row r="1732" spans="1:11" x14ac:dyDescent="0.25">
      <c r="A1732" s="5" t="s">
        <v>6</v>
      </c>
      <c r="B1732" s="5" t="s">
        <v>8437</v>
      </c>
      <c r="C1732" s="1" t="s">
        <v>8438</v>
      </c>
      <c r="D1732" s="5" t="s">
        <v>17765</v>
      </c>
      <c r="E1732" s="32">
        <v>272</v>
      </c>
      <c r="F1732" s="27">
        <v>7204</v>
      </c>
      <c r="G1732" s="32">
        <v>222</v>
      </c>
      <c r="H1732" s="27">
        <v>6414</v>
      </c>
      <c r="I1732" s="27">
        <v>26.485294117647058</v>
      </c>
      <c r="J1732" s="27">
        <v>28.891891891891891</v>
      </c>
      <c r="K1732" s="29">
        <v>9.0865435118627796E-2</v>
      </c>
    </row>
    <row r="1733" spans="1:11" x14ac:dyDescent="0.25">
      <c r="A1733" s="5" t="s">
        <v>6</v>
      </c>
      <c r="B1733" s="5" t="s">
        <v>8440</v>
      </c>
      <c r="C1733" s="1" t="s">
        <v>8441</v>
      </c>
      <c r="D1733" s="5" t="s">
        <v>17766</v>
      </c>
      <c r="E1733" s="32">
        <v>69</v>
      </c>
      <c r="F1733" s="27">
        <v>2451</v>
      </c>
      <c r="I1733" s="27">
        <v>35.521739130434781</v>
      </c>
    </row>
    <row r="1734" spans="1:11" x14ac:dyDescent="0.25">
      <c r="A1734" s="5" t="s">
        <v>6</v>
      </c>
      <c r="B1734" s="5" t="s">
        <v>8443</v>
      </c>
      <c r="C1734" s="1" t="s">
        <v>8444</v>
      </c>
      <c r="D1734" s="5" t="s">
        <v>17755</v>
      </c>
      <c r="E1734" s="32">
        <v>4979</v>
      </c>
      <c r="F1734" s="27">
        <v>211496</v>
      </c>
      <c r="G1734" s="32">
        <v>6798</v>
      </c>
      <c r="H1734" s="27">
        <v>306513</v>
      </c>
      <c r="I1734" s="27">
        <v>42.477605944968872</v>
      </c>
      <c r="J1734" s="27">
        <v>45.088702559576348</v>
      </c>
      <c r="K1734" s="29">
        <v>6.1469957087276456E-2</v>
      </c>
    </row>
    <row r="1735" spans="1:11" x14ac:dyDescent="0.25">
      <c r="A1735" s="5" t="s">
        <v>6</v>
      </c>
      <c r="B1735" s="5" t="s">
        <v>8449</v>
      </c>
      <c r="C1735" s="1" t="s">
        <v>8450</v>
      </c>
      <c r="D1735" s="5" t="s">
        <v>17755</v>
      </c>
      <c r="E1735" s="32">
        <v>345</v>
      </c>
      <c r="F1735" s="27">
        <v>10593</v>
      </c>
      <c r="G1735" s="32">
        <v>322</v>
      </c>
      <c r="H1735" s="27">
        <v>10404</v>
      </c>
      <c r="I1735" s="27">
        <v>30.704347826086956</v>
      </c>
      <c r="J1735" s="27">
        <v>32.310559006211179</v>
      </c>
      <c r="K1735" s="29">
        <v>5.2312173807500896E-2</v>
      </c>
    </row>
    <row r="1736" spans="1:11" x14ac:dyDescent="0.25">
      <c r="A1736" s="5" t="s">
        <v>6</v>
      </c>
      <c r="B1736" s="5" t="s">
        <v>8452</v>
      </c>
      <c r="C1736" s="1" t="s">
        <v>8453</v>
      </c>
      <c r="D1736" s="5" t="s">
        <v>17755</v>
      </c>
      <c r="E1736" s="32">
        <v>36</v>
      </c>
      <c r="F1736" s="27">
        <v>497</v>
      </c>
      <c r="G1736" s="32">
        <v>11</v>
      </c>
      <c r="H1736" s="27">
        <v>163</v>
      </c>
      <c r="I1736" s="27">
        <v>13.805555555555555</v>
      </c>
      <c r="J1736" s="27">
        <v>14.818181818181818</v>
      </c>
      <c r="K1736" s="29">
        <v>7.3349186025242388E-2</v>
      </c>
    </row>
    <row r="1737" spans="1:11" x14ac:dyDescent="0.25">
      <c r="A1737" s="5" t="s">
        <v>6</v>
      </c>
      <c r="B1737" s="5" t="s">
        <v>8461</v>
      </c>
      <c r="C1737" s="1" t="s">
        <v>8462</v>
      </c>
      <c r="D1737" s="5" t="s">
        <v>17755</v>
      </c>
      <c r="E1737" s="32">
        <v>542</v>
      </c>
      <c r="F1737" s="27">
        <v>16062</v>
      </c>
      <c r="G1737" s="32">
        <v>195</v>
      </c>
      <c r="H1737" s="27">
        <v>6122</v>
      </c>
      <c r="I1737" s="27">
        <v>29.634686346863468</v>
      </c>
      <c r="J1737" s="27">
        <v>31.394871794871793</v>
      </c>
      <c r="K1737" s="29">
        <v>5.9396122078228891E-2</v>
      </c>
    </row>
    <row r="1738" spans="1:11" x14ac:dyDescent="0.25">
      <c r="A1738" s="5" t="s">
        <v>6</v>
      </c>
      <c r="B1738" s="5" t="s">
        <v>8467</v>
      </c>
      <c r="C1738" s="1" t="s">
        <v>8468</v>
      </c>
      <c r="D1738" s="5" t="s">
        <v>17755</v>
      </c>
      <c r="E1738" s="32">
        <v>120</v>
      </c>
      <c r="F1738" s="27">
        <v>4629</v>
      </c>
      <c r="G1738" s="32">
        <v>152</v>
      </c>
      <c r="H1738" s="27">
        <v>6153</v>
      </c>
      <c r="I1738" s="27">
        <v>38.575000000000003</v>
      </c>
      <c r="J1738" s="27">
        <v>40.48026315789474</v>
      </c>
      <c r="K1738" s="29">
        <v>4.9391138247433228E-2</v>
      </c>
    </row>
    <row r="1739" spans="1:11" x14ac:dyDescent="0.25">
      <c r="A1739" s="5" t="s">
        <v>6</v>
      </c>
      <c r="B1739" s="5" t="s">
        <v>8476</v>
      </c>
      <c r="C1739" s="1" t="s">
        <v>8477</v>
      </c>
      <c r="D1739" s="5" t="s">
        <v>17755</v>
      </c>
      <c r="E1739" s="32">
        <v>3</v>
      </c>
      <c r="F1739" s="27">
        <v>79</v>
      </c>
      <c r="I1739" s="27">
        <v>26.333333333333332</v>
      </c>
    </row>
    <row r="1740" spans="1:11" x14ac:dyDescent="0.25">
      <c r="A1740" s="5" t="s">
        <v>6</v>
      </c>
      <c r="B1740" s="5" t="s">
        <v>8500</v>
      </c>
      <c r="C1740" s="1" t="s">
        <v>8501</v>
      </c>
      <c r="D1740" s="5" t="s">
        <v>17755</v>
      </c>
      <c r="E1740" s="32">
        <v>1</v>
      </c>
      <c r="F1740" s="27">
        <v>21</v>
      </c>
      <c r="I1740" s="27">
        <v>21</v>
      </c>
    </row>
    <row r="1741" spans="1:11" x14ac:dyDescent="0.25">
      <c r="A1741" s="5" t="s">
        <v>6</v>
      </c>
      <c r="B1741" s="5" t="s">
        <v>8503</v>
      </c>
      <c r="C1741" s="1" t="s">
        <v>8504</v>
      </c>
      <c r="D1741" s="5" t="s">
        <v>17755</v>
      </c>
      <c r="E1741" s="32">
        <v>3</v>
      </c>
      <c r="F1741" s="27">
        <v>111</v>
      </c>
      <c r="I1741" s="27">
        <v>37</v>
      </c>
    </row>
    <row r="1742" spans="1:11" x14ac:dyDescent="0.25">
      <c r="A1742" s="5" t="s">
        <v>6</v>
      </c>
      <c r="B1742" s="5" t="s">
        <v>8506</v>
      </c>
      <c r="C1742" s="1" t="s">
        <v>8507</v>
      </c>
      <c r="D1742" s="5" t="s">
        <v>17755</v>
      </c>
      <c r="E1742" s="32">
        <v>315</v>
      </c>
      <c r="F1742" s="27">
        <v>5588</v>
      </c>
      <c r="G1742" s="32">
        <v>169</v>
      </c>
      <c r="H1742" s="27">
        <v>3116</v>
      </c>
      <c r="I1742" s="27">
        <v>17.739682539682541</v>
      </c>
      <c r="J1742" s="27">
        <v>18.437869822485208</v>
      </c>
      <c r="K1742" s="29">
        <v>3.9357371883113855E-2</v>
      </c>
    </row>
    <row r="1743" spans="1:11" x14ac:dyDescent="0.25">
      <c r="A1743" s="5" t="s">
        <v>6</v>
      </c>
      <c r="B1743" s="5" t="s">
        <v>8512</v>
      </c>
      <c r="C1743" s="1" t="s">
        <v>8513</v>
      </c>
      <c r="D1743" s="5" t="s">
        <v>17755</v>
      </c>
      <c r="E1743" s="32">
        <v>10</v>
      </c>
      <c r="F1743" s="27">
        <v>158</v>
      </c>
      <c r="I1743" s="27">
        <v>15.8</v>
      </c>
    </row>
    <row r="1744" spans="1:11" x14ac:dyDescent="0.25">
      <c r="A1744" s="5" t="s">
        <v>6</v>
      </c>
      <c r="B1744" s="5" t="s">
        <v>8515</v>
      </c>
      <c r="C1744" s="1" t="s">
        <v>8516</v>
      </c>
      <c r="D1744" s="5" t="s">
        <v>17756</v>
      </c>
      <c r="E1744" s="32">
        <v>5</v>
      </c>
      <c r="F1744" s="27">
        <v>85</v>
      </c>
      <c r="I1744" s="27">
        <v>17</v>
      </c>
    </row>
    <row r="1745" spans="1:11" x14ac:dyDescent="0.25">
      <c r="A1745" s="5" t="s">
        <v>6</v>
      </c>
      <c r="B1745" s="5" t="s">
        <v>8518</v>
      </c>
      <c r="C1745" s="1" t="s">
        <v>8519</v>
      </c>
      <c r="D1745" s="5" t="s">
        <v>17756</v>
      </c>
      <c r="E1745" s="32">
        <v>3590</v>
      </c>
      <c r="F1745" s="27">
        <v>74194</v>
      </c>
      <c r="G1745" s="32">
        <v>3874</v>
      </c>
      <c r="H1745" s="27">
        <v>86302</v>
      </c>
      <c r="I1745" s="27">
        <v>20.666852367688023</v>
      </c>
      <c r="J1745" s="27">
        <v>22.277232834279815</v>
      </c>
      <c r="K1745" s="29">
        <v>7.7920935319089599E-2</v>
      </c>
    </row>
    <row r="1746" spans="1:11" x14ac:dyDescent="0.25">
      <c r="A1746" s="5" t="s">
        <v>6</v>
      </c>
      <c r="B1746" s="5" t="s">
        <v>8521</v>
      </c>
      <c r="C1746" s="1" t="s">
        <v>8522</v>
      </c>
      <c r="D1746" s="5" t="s">
        <v>17755</v>
      </c>
      <c r="E1746" s="32">
        <v>0</v>
      </c>
      <c r="F1746" s="27">
        <v>0</v>
      </c>
      <c r="G1746" s="32">
        <v>34</v>
      </c>
      <c r="H1746" s="27">
        <v>850</v>
      </c>
      <c r="J1746" s="27">
        <v>25</v>
      </c>
    </row>
    <row r="1747" spans="1:11" x14ac:dyDescent="0.25">
      <c r="A1747" s="5" t="s">
        <v>6</v>
      </c>
      <c r="B1747" s="5" t="s">
        <v>8524</v>
      </c>
      <c r="C1747" s="1" t="s">
        <v>8525</v>
      </c>
      <c r="D1747" s="5" t="s">
        <v>17755</v>
      </c>
      <c r="E1747" s="32">
        <v>10</v>
      </c>
      <c r="F1747" s="27">
        <v>270</v>
      </c>
      <c r="I1747" s="27">
        <v>27</v>
      </c>
    </row>
    <row r="1748" spans="1:11" x14ac:dyDescent="0.25">
      <c r="A1748" s="5" t="s">
        <v>6</v>
      </c>
      <c r="B1748" s="5" t="s">
        <v>8548</v>
      </c>
      <c r="C1748" s="1" t="s">
        <v>8549</v>
      </c>
      <c r="D1748" s="5" t="s">
        <v>17755</v>
      </c>
      <c r="E1748" s="32">
        <v>44</v>
      </c>
      <c r="F1748" s="27">
        <v>924</v>
      </c>
      <c r="I1748" s="27">
        <v>21</v>
      </c>
    </row>
    <row r="1749" spans="1:11" x14ac:dyDescent="0.25">
      <c r="A1749" s="5" t="s">
        <v>6</v>
      </c>
      <c r="B1749" s="5" t="s">
        <v>8554</v>
      </c>
      <c r="C1749" s="1" t="s">
        <v>8555</v>
      </c>
      <c r="D1749" s="5" t="s">
        <v>17755</v>
      </c>
      <c r="E1749" s="32">
        <v>1</v>
      </c>
      <c r="F1749" s="27">
        <v>23</v>
      </c>
      <c r="I1749" s="27">
        <v>23</v>
      </c>
    </row>
    <row r="1750" spans="1:11" x14ac:dyDescent="0.25">
      <c r="A1750" s="5" t="s">
        <v>6</v>
      </c>
      <c r="B1750" s="5" t="s">
        <v>8557</v>
      </c>
      <c r="C1750" s="1" t="s">
        <v>8558</v>
      </c>
      <c r="D1750" s="5" t="s">
        <v>17755</v>
      </c>
      <c r="E1750" s="32">
        <v>1174</v>
      </c>
      <c r="F1750" s="27">
        <v>30166</v>
      </c>
      <c r="G1750" s="32">
        <v>1156</v>
      </c>
      <c r="H1750" s="27">
        <v>31336</v>
      </c>
      <c r="I1750" s="27">
        <v>25.695059625212949</v>
      </c>
      <c r="J1750" s="27">
        <v>27.107266435986158</v>
      </c>
      <c r="K1750" s="29">
        <v>5.4960246497638011E-2</v>
      </c>
    </row>
    <row r="1751" spans="1:11" x14ac:dyDescent="0.25">
      <c r="A1751" s="5" t="s">
        <v>6</v>
      </c>
      <c r="B1751" s="5" t="s">
        <v>8563</v>
      </c>
      <c r="C1751" s="1" t="s">
        <v>8564</v>
      </c>
      <c r="D1751" s="5" t="s">
        <v>17755</v>
      </c>
      <c r="E1751" s="32">
        <v>1574</v>
      </c>
      <c r="F1751" s="27">
        <v>40900</v>
      </c>
      <c r="G1751" s="32">
        <v>495</v>
      </c>
      <c r="H1751" s="27">
        <v>13682</v>
      </c>
      <c r="I1751" s="27">
        <v>25.984752223634054</v>
      </c>
      <c r="J1751" s="27">
        <v>27.640404040404039</v>
      </c>
      <c r="K1751" s="29">
        <v>6.3716282630707999E-2</v>
      </c>
    </row>
    <row r="1752" spans="1:11" x14ac:dyDescent="0.25">
      <c r="A1752" s="5" t="s">
        <v>6</v>
      </c>
      <c r="B1752" s="5" t="s">
        <v>8566</v>
      </c>
      <c r="C1752" s="1" t="s">
        <v>8567</v>
      </c>
      <c r="D1752" s="5" t="s">
        <v>17755</v>
      </c>
      <c r="E1752" s="32">
        <v>340</v>
      </c>
      <c r="F1752" s="27">
        <v>1700</v>
      </c>
      <c r="G1752" s="32">
        <v>202</v>
      </c>
      <c r="H1752" s="27">
        <v>1010</v>
      </c>
      <c r="I1752" s="27">
        <v>5</v>
      </c>
      <c r="J1752" s="27">
        <v>5</v>
      </c>
      <c r="K1752" s="29">
        <v>0</v>
      </c>
    </row>
    <row r="1753" spans="1:11" x14ac:dyDescent="0.25">
      <c r="A1753" s="5" t="s">
        <v>6</v>
      </c>
      <c r="B1753" s="5" t="s">
        <v>8572</v>
      </c>
      <c r="C1753" s="1" t="s">
        <v>8573</v>
      </c>
      <c r="D1753" s="5" t="s">
        <v>17755</v>
      </c>
      <c r="E1753" s="32">
        <v>108</v>
      </c>
      <c r="F1753" s="27">
        <v>167130</v>
      </c>
      <c r="G1753" s="32">
        <v>159</v>
      </c>
      <c r="H1753" s="27">
        <v>270462</v>
      </c>
      <c r="I1753" s="27">
        <v>1547.5</v>
      </c>
      <c r="J1753" s="27">
        <v>1701.0188679245282</v>
      </c>
      <c r="K1753" s="29">
        <v>9.920443807723954E-2</v>
      </c>
    </row>
    <row r="1754" spans="1:11" x14ac:dyDescent="0.25">
      <c r="A1754" s="5" t="s">
        <v>6</v>
      </c>
      <c r="B1754" s="5" t="s">
        <v>8575</v>
      </c>
      <c r="C1754" s="1" t="s">
        <v>8576</v>
      </c>
      <c r="D1754" s="5" t="s">
        <v>17755</v>
      </c>
      <c r="E1754" s="32">
        <v>18</v>
      </c>
      <c r="F1754" s="27">
        <v>37593</v>
      </c>
      <c r="I1754" s="27">
        <v>2088.5</v>
      </c>
    </row>
    <row r="1755" spans="1:11" x14ac:dyDescent="0.25">
      <c r="A1755" s="5" t="s">
        <v>6</v>
      </c>
      <c r="B1755" s="5" t="s">
        <v>8578</v>
      </c>
      <c r="C1755" s="1" t="s">
        <v>8579</v>
      </c>
      <c r="D1755" s="5" t="s">
        <v>17755</v>
      </c>
      <c r="E1755" s="32">
        <v>230</v>
      </c>
      <c r="F1755" s="27">
        <v>6794</v>
      </c>
      <c r="G1755" s="32">
        <v>532</v>
      </c>
      <c r="H1755" s="27">
        <v>16812</v>
      </c>
      <c r="I1755" s="27">
        <v>29.53913043478261</v>
      </c>
      <c r="J1755" s="27">
        <v>31.601503759398497</v>
      </c>
      <c r="K1755" s="29">
        <v>6.9818349228974688E-2</v>
      </c>
    </row>
    <row r="1756" spans="1:11" x14ac:dyDescent="0.25">
      <c r="A1756" s="5" t="s">
        <v>6</v>
      </c>
      <c r="B1756" s="5" t="s">
        <v>8581</v>
      </c>
      <c r="C1756" s="1" t="s">
        <v>8582</v>
      </c>
      <c r="D1756" s="5" t="s">
        <v>17755</v>
      </c>
      <c r="E1756" s="32">
        <v>94</v>
      </c>
      <c r="F1756" s="27">
        <v>2820</v>
      </c>
      <c r="I1756" s="27">
        <v>30</v>
      </c>
    </row>
    <row r="1757" spans="1:11" x14ac:dyDescent="0.25">
      <c r="A1757" s="5" t="s">
        <v>6</v>
      </c>
      <c r="B1757" s="5" t="s">
        <v>8584</v>
      </c>
      <c r="C1757" s="1" t="s">
        <v>8585</v>
      </c>
      <c r="D1757" s="5" t="s">
        <v>17755</v>
      </c>
      <c r="E1757" s="32">
        <v>779</v>
      </c>
      <c r="F1757" s="27">
        <v>23851</v>
      </c>
      <c r="G1757" s="32">
        <v>734</v>
      </c>
      <c r="H1757" s="27">
        <v>23704</v>
      </c>
      <c r="I1757" s="27">
        <v>30.617458279845955</v>
      </c>
      <c r="J1757" s="27">
        <v>32.294277929155314</v>
      </c>
      <c r="K1757" s="29">
        <v>5.4766781552638893E-2</v>
      </c>
    </row>
    <row r="1758" spans="1:11" x14ac:dyDescent="0.25">
      <c r="A1758" s="5" t="s">
        <v>6</v>
      </c>
      <c r="B1758" s="5" t="s">
        <v>8587</v>
      </c>
      <c r="C1758" s="1" t="s">
        <v>8588</v>
      </c>
      <c r="D1758" s="5" t="s">
        <v>17755</v>
      </c>
      <c r="E1758" s="32">
        <v>339</v>
      </c>
      <c r="F1758" s="27">
        <v>12843</v>
      </c>
      <c r="G1758" s="32">
        <v>128</v>
      </c>
      <c r="H1758" s="27">
        <v>5313</v>
      </c>
      <c r="I1758" s="27">
        <v>37.884955752212392</v>
      </c>
      <c r="J1758" s="27">
        <v>41.5078125</v>
      </c>
      <c r="K1758" s="29">
        <v>9.5627846881569667E-2</v>
      </c>
    </row>
    <row r="1759" spans="1:11" x14ac:dyDescent="0.25">
      <c r="A1759" s="5" t="s">
        <v>6</v>
      </c>
      <c r="B1759" s="5" t="s">
        <v>8590</v>
      </c>
      <c r="C1759" s="1" t="s">
        <v>8591</v>
      </c>
      <c r="D1759" s="5" t="s">
        <v>17755</v>
      </c>
      <c r="E1759" s="32">
        <v>3</v>
      </c>
      <c r="F1759" s="27">
        <v>47</v>
      </c>
      <c r="I1759" s="27">
        <v>15.666666666666666</v>
      </c>
    </row>
    <row r="1760" spans="1:11" x14ac:dyDescent="0.25">
      <c r="A1760" s="5" t="s">
        <v>6</v>
      </c>
      <c r="B1760" s="5" t="s">
        <v>8593</v>
      </c>
      <c r="C1760" s="1" t="s">
        <v>8594</v>
      </c>
      <c r="D1760" s="5" t="s">
        <v>17755</v>
      </c>
      <c r="E1760" s="32">
        <v>238</v>
      </c>
      <c r="F1760" s="27">
        <v>4988</v>
      </c>
      <c r="G1760" s="32">
        <v>317</v>
      </c>
      <c r="H1760" s="27">
        <v>7113</v>
      </c>
      <c r="I1760" s="27">
        <v>20.957983193277311</v>
      </c>
      <c r="J1760" s="27">
        <v>22.438485804416406</v>
      </c>
      <c r="K1760" s="29">
        <v>7.0641463803348931E-2</v>
      </c>
    </row>
    <row r="1761" spans="1:11" x14ac:dyDescent="0.25">
      <c r="A1761" s="5" t="s">
        <v>6</v>
      </c>
      <c r="B1761" s="5" t="s">
        <v>8599</v>
      </c>
      <c r="C1761" s="1" t="s">
        <v>8600</v>
      </c>
      <c r="D1761" s="5" t="s">
        <v>17755</v>
      </c>
      <c r="E1761" s="32">
        <v>1878</v>
      </c>
      <c r="F1761" s="27">
        <v>16675</v>
      </c>
      <c r="G1761" s="32">
        <v>1113</v>
      </c>
      <c r="H1761" s="27">
        <v>10761</v>
      </c>
      <c r="I1761" s="27">
        <v>8.8791267305644297</v>
      </c>
      <c r="J1761" s="27">
        <v>9.6684636118598384</v>
      </c>
      <c r="K1761" s="29">
        <v>8.8898030768982159E-2</v>
      </c>
    </row>
    <row r="1762" spans="1:11" x14ac:dyDescent="0.25">
      <c r="A1762" s="5" t="s">
        <v>6</v>
      </c>
      <c r="B1762" s="5" t="s">
        <v>8602</v>
      </c>
      <c r="C1762" s="1" t="s">
        <v>8603</v>
      </c>
      <c r="D1762" s="5" t="s">
        <v>17755</v>
      </c>
      <c r="E1762" s="32">
        <v>171</v>
      </c>
      <c r="F1762" s="27">
        <v>342</v>
      </c>
      <c r="G1762" s="32">
        <v>141</v>
      </c>
      <c r="H1762" s="27">
        <v>282</v>
      </c>
      <c r="I1762" s="27">
        <v>2</v>
      </c>
      <c r="J1762" s="27">
        <v>2</v>
      </c>
      <c r="K1762" s="29">
        <v>0</v>
      </c>
    </row>
    <row r="1763" spans="1:11" x14ac:dyDescent="0.25">
      <c r="A1763" s="5" t="s">
        <v>6</v>
      </c>
      <c r="B1763" s="5" t="s">
        <v>8605</v>
      </c>
      <c r="C1763" s="1" t="s">
        <v>8606</v>
      </c>
      <c r="D1763" s="5" t="s">
        <v>17755</v>
      </c>
      <c r="E1763" s="32">
        <v>103</v>
      </c>
      <c r="F1763" s="27">
        <v>309</v>
      </c>
      <c r="G1763" s="32">
        <v>133</v>
      </c>
      <c r="H1763" s="27">
        <v>399</v>
      </c>
      <c r="I1763" s="27">
        <v>3</v>
      </c>
      <c r="J1763" s="27">
        <v>3</v>
      </c>
      <c r="K1763" s="29">
        <v>0</v>
      </c>
    </row>
    <row r="1764" spans="1:11" x14ac:dyDescent="0.25">
      <c r="A1764" s="5" t="s">
        <v>6</v>
      </c>
      <c r="B1764" s="5" t="s">
        <v>8608</v>
      </c>
      <c r="C1764" s="1" t="s">
        <v>8609</v>
      </c>
      <c r="D1764" s="5" t="s">
        <v>17755</v>
      </c>
      <c r="E1764" s="32">
        <v>3109</v>
      </c>
      <c r="F1764" s="27">
        <v>27481</v>
      </c>
      <c r="G1764" s="32">
        <v>2211</v>
      </c>
      <c r="H1764" s="27">
        <v>21141</v>
      </c>
      <c r="I1764" s="27">
        <v>8.8391765841106462</v>
      </c>
      <c r="J1764" s="27">
        <v>9.5617367706919953</v>
      </c>
      <c r="K1764" s="29">
        <v>8.1745191953764951E-2</v>
      </c>
    </row>
    <row r="1765" spans="1:11" x14ac:dyDescent="0.25">
      <c r="A1765" s="5" t="s">
        <v>6</v>
      </c>
      <c r="B1765" s="5" t="s">
        <v>8611</v>
      </c>
      <c r="C1765" s="1" t="s">
        <v>8612</v>
      </c>
      <c r="D1765" s="5" t="s">
        <v>17755</v>
      </c>
      <c r="E1765" s="32">
        <v>0</v>
      </c>
      <c r="F1765" s="27">
        <v>0</v>
      </c>
      <c r="G1765" s="32">
        <v>289</v>
      </c>
      <c r="H1765" s="27">
        <v>8959</v>
      </c>
      <c r="J1765" s="27">
        <v>31</v>
      </c>
    </row>
    <row r="1766" spans="1:11" x14ac:dyDescent="0.25">
      <c r="A1766" s="5" t="s">
        <v>6</v>
      </c>
      <c r="B1766" s="5" t="s">
        <v>8614</v>
      </c>
      <c r="C1766" s="1" t="s">
        <v>8615</v>
      </c>
      <c r="D1766" s="5" t="s">
        <v>17755</v>
      </c>
      <c r="E1766" s="32">
        <v>0</v>
      </c>
      <c r="F1766" s="27">
        <v>0</v>
      </c>
      <c r="G1766" s="32">
        <v>9</v>
      </c>
      <c r="H1766" s="27">
        <v>1287</v>
      </c>
      <c r="J1766" s="27">
        <v>143</v>
      </c>
    </row>
    <row r="1767" spans="1:11" x14ac:dyDescent="0.25">
      <c r="A1767" s="5" t="s">
        <v>6</v>
      </c>
      <c r="B1767" s="5" t="s">
        <v>8626</v>
      </c>
      <c r="C1767" s="1" t="s">
        <v>8627</v>
      </c>
      <c r="D1767" s="5" t="s">
        <v>17755</v>
      </c>
      <c r="E1767" s="32">
        <v>25</v>
      </c>
      <c r="F1767" s="27">
        <v>499</v>
      </c>
      <c r="G1767" s="32">
        <v>53</v>
      </c>
      <c r="H1767" s="27">
        <v>1211</v>
      </c>
      <c r="I1767" s="27">
        <v>19.96</v>
      </c>
      <c r="J1767" s="27">
        <v>22.849056603773583</v>
      </c>
      <c r="K1767" s="29">
        <v>0.14474231481831573</v>
      </c>
    </row>
    <row r="1768" spans="1:11" x14ac:dyDescent="0.25">
      <c r="A1768" s="5" t="s">
        <v>6</v>
      </c>
      <c r="B1768" s="5" t="s">
        <v>8635</v>
      </c>
      <c r="C1768" s="1" t="s">
        <v>8636</v>
      </c>
      <c r="D1768" s="5" t="s">
        <v>17755</v>
      </c>
      <c r="E1768" s="32">
        <v>26</v>
      </c>
      <c r="F1768" s="27">
        <v>78</v>
      </c>
      <c r="G1768" s="32">
        <v>3</v>
      </c>
      <c r="H1768" s="27">
        <v>9</v>
      </c>
      <c r="I1768" s="27">
        <v>3</v>
      </c>
      <c r="J1768" s="27">
        <v>3</v>
      </c>
      <c r="K1768" s="29">
        <v>0</v>
      </c>
    </row>
    <row r="1769" spans="1:11" x14ac:dyDescent="0.25">
      <c r="A1769" s="5" t="s">
        <v>6</v>
      </c>
      <c r="B1769" s="5" t="s">
        <v>8650</v>
      </c>
      <c r="C1769" s="1" t="s">
        <v>8651</v>
      </c>
      <c r="D1769" s="5" t="s">
        <v>17755</v>
      </c>
      <c r="E1769" s="32">
        <v>6</v>
      </c>
      <c r="F1769" s="27">
        <v>174</v>
      </c>
      <c r="I1769" s="27">
        <v>29</v>
      </c>
    </row>
    <row r="1770" spans="1:11" x14ac:dyDescent="0.25">
      <c r="A1770" s="5" t="s">
        <v>6</v>
      </c>
      <c r="B1770" s="5" t="s">
        <v>8653</v>
      </c>
      <c r="C1770" s="1" t="s">
        <v>8654</v>
      </c>
      <c r="D1770" s="5" t="s">
        <v>17755</v>
      </c>
      <c r="E1770" s="32">
        <v>22</v>
      </c>
      <c r="F1770" s="27">
        <v>462</v>
      </c>
      <c r="I1770" s="27">
        <v>21</v>
      </c>
    </row>
    <row r="1771" spans="1:11" x14ac:dyDescent="0.25">
      <c r="A1771" s="5" t="s">
        <v>6</v>
      </c>
      <c r="B1771" s="5" t="s">
        <v>8656</v>
      </c>
      <c r="C1771" s="1" t="s">
        <v>8657</v>
      </c>
      <c r="D1771" s="5" t="s">
        <v>17755</v>
      </c>
      <c r="E1771" s="32">
        <v>89</v>
      </c>
      <c r="F1771" s="27">
        <v>2047</v>
      </c>
      <c r="I1771" s="27">
        <v>23</v>
      </c>
    </row>
    <row r="1772" spans="1:11" x14ac:dyDescent="0.25">
      <c r="A1772" s="5" t="s">
        <v>6</v>
      </c>
      <c r="B1772" s="5" t="s">
        <v>8680</v>
      </c>
      <c r="C1772" s="1" t="s">
        <v>8681</v>
      </c>
      <c r="D1772" s="5" t="s">
        <v>17755</v>
      </c>
      <c r="E1772" s="32">
        <v>252</v>
      </c>
      <c r="F1772" s="27">
        <v>10828</v>
      </c>
      <c r="G1772" s="32">
        <v>348</v>
      </c>
      <c r="H1772" s="27">
        <v>16816</v>
      </c>
      <c r="I1772" s="27">
        <v>42.968253968253968</v>
      </c>
      <c r="J1772" s="27">
        <v>48.321839080459768</v>
      </c>
      <c r="K1772" s="29">
        <v>0.12459396456186382</v>
      </c>
    </row>
    <row r="1773" spans="1:11" x14ac:dyDescent="0.25">
      <c r="A1773" s="5" t="s">
        <v>6</v>
      </c>
      <c r="B1773" s="5" t="s">
        <v>8686</v>
      </c>
      <c r="C1773" s="1" t="s">
        <v>8687</v>
      </c>
      <c r="D1773" s="5" t="s">
        <v>17755</v>
      </c>
      <c r="E1773" s="32">
        <v>80</v>
      </c>
      <c r="F1773" s="27">
        <v>2360</v>
      </c>
      <c r="G1773" s="32">
        <v>263</v>
      </c>
      <c r="H1773" s="27">
        <v>8322</v>
      </c>
      <c r="I1773" s="27">
        <v>29.5</v>
      </c>
      <c r="J1773" s="27">
        <v>31.6425855513308</v>
      </c>
      <c r="K1773" s="29">
        <v>7.2630018689179662E-2</v>
      </c>
    </row>
    <row r="1774" spans="1:11" x14ac:dyDescent="0.25">
      <c r="A1774" s="5" t="s">
        <v>6</v>
      </c>
      <c r="B1774" s="5" t="s">
        <v>8689</v>
      </c>
      <c r="C1774" s="1" t="s">
        <v>8690</v>
      </c>
      <c r="D1774" s="5" t="s">
        <v>17755</v>
      </c>
      <c r="E1774" s="32">
        <v>62</v>
      </c>
      <c r="F1774" s="27">
        <v>1556</v>
      </c>
      <c r="G1774" s="32">
        <v>243</v>
      </c>
      <c r="H1774" s="27">
        <v>6604</v>
      </c>
      <c r="I1774" s="27">
        <v>25.096774193548388</v>
      </c>
      <c r="J1774" s="27">
        <v>27.176954732510289</v>
      </c>
      <c r="K1774" s="29">
        <v>8.2886371089741562E-2</v>
      </c>
    </row>
    <row r="1775" spans="1:11" x14ac:dyDescent="0.25">
      <c r="A1775" s="5" t="s">
        <v>6</v>
      </c>
      <c r="B1775" s="5" t="s">
        <v>8692</v>
      </c>
      <c r="C1775" s="1" t="s">
        <v>8693</v>
      </c>
      <c r="D1775" s="5" t="s">
        <v>17755</v>
      </c>
      <c r="E1775" s="32">
        <v>23</v>
      </c>
      <c r="F1775" s="27">
        <v>621</v>
      </c>
      <c r="I1775" s="27">
        <v>27</v>
      </c>
    </row>
    <row r="1776" spans="1:11" x14ac:dyDescent="0.25">
      <c r="A1776" s="5" t="s">
        <v>6</v>
      </c>
      <c r="B1776" s="5" t="s">
        <v>8695</v>
      </c>
      <c r="C1776" s="1" t="s">
        <v>8696</v>
      </c>
      <c r="D1776" s="5" t="s">
        <v>17755</v>
      </c>
      <c r="E1776" s="32">
        <v>16</v>
      </c>
      <c r="F1776" s="27">
        <v>4400</v>
      </c>
      <c r="I1776" s="27">
        <v>275</v>
      </c>
    </row>
    <row r="1777" spans="1:11" x14ac:dyDescent="0.25">
      <c r="A1777" s="5" t="s">
        <v>6</v>
      </c>
      <c r="B1777" s="5" t="s">
        <v>8698</v>
      </c>
      <c r="C1777" s="1" t="s">
        <v>8699</v>
      </c>
      <c r="D1777" s="5" t="s">
        <v>17755</v>
      </c>
      <c r="E1777" s="32">
        <v>34</v>
      </c>
      <c r="F1777" s="27">
        <v>1252</v>
      </c>
      <c r="I1777" s="27">
        <v>36.823529411764703</v>
      </c>
    </row>
    <row r="1778" spans="1:11" x14ac:dyDescent="0.25">
      <c r="A1778" s="5" t="s">
        <v>6</v>
      </c>
      <c r="B1778" s="5" t="s">
        <v>8701</v>
      </c>
      <c r="C1778" s="1" t="s">
        <v>8702</v>
      </c>
      <c r="D1778" s="5" t="s">
        <v>17755</v>
      </c>
      <c r="E1778" s="32">
        <v>196</v>
      </c>
      <c r="F1778" s="27">
        <v>5240</v>
      </c>
      <c r="I1778" s="27">
        <v>26.73469387755102</v>
      </c>
    </row>
    <row r="1779" spans="1:11" x14ac:dyDescent="0.25">
      <c r="A1779" s="5" t="s">
        <v>6</v>
      </c>
      <c r="B1779" s="5" t="s">
        <v>8704</v>
      </c>
      <c r="C1779" s="1" t="s">
        <v>8705</v>
      </c>
      <c r="D1779" s="5" t="s">
        <v>17755</v>
      </c>
      <c r="E1779" s="32">
        <v>4</v>
      </c>
      <c r="F1779" s="27">
        <v>90</v>
      </c>
      <c r="G1779" s="32">
        <v>68</v>
      </c>
      <c r="H1779" s="27">
        <v>1680</v>
      </c>
      <c r="I1779" s="27">
        <v>22.5</v>
      </c>
      <c r="J1779" s="27">
        <v>24.705882352941178</v>
      </c>
      <c r="K1779" s="29">
        <v>9.803921568627455E-2</v>
      </c>
    </row>
    <row r="1780" spans="1:11" x14ac:dyDescent="0.25">
      <c r="A1780" s="5" t="s">
        <v>6</v>
      </c>
      <c r="B1780" s="5" t="s">
        <v>8713</v>
      </c>
      <c r="C1780" s="1" t="s">
        <v>8714</v>
      </c>
      <c r="D1780" s="5" t="s">
        <v>17755</v>
      </c>
      <c r="E1780" s="32">
        <v>349</v>
      </c>
      <c r="F1780" s="27">
        <v>15649</v>
      </c>
      <c r="G1780" s="32">
        <v>351</v>
      </c>
      <c r="H1780" s="27">
        <v>16883</v>
      </c>
      <c r="I1780" s="27">
        <v>44.839541547277939</v>
      </c>
      <c r="J1780" s="27">
        <v>48.099715099715098</v>
      </c>
      <c r="K1780" s="29">
        <v>7.2707557658672664E-2</v>
      </c>
    </row>
    <row r="1781" spans="1:11" x14ac:dyDescent="0.25">
      <c r="A1781" s="5" t="s">
        <v>6</v>
      </c>
      <c r="B1781" s="5" t="s">
        <v>8719</v>
      </c>
      <c r="C1781" s="1" t="s">
        <v>8720</v>
      </c>
      <c r="D1781" s="5" t="s">
        <v>17755</v>
      </c>
      <c r="E1781" s="32">
        <v>36</v>
      </c>
      <c r="F1781" s="27">
        <v>1064</v>
      </c>
      <c r="G1781" s="32">
        <v>11</v>
      </c>
      <c r="H1781" s="27">
        <v>352</v>
      </c>
      <c r="I1781" s="27">
        <v>29.555555555555557</v>
      </c>
      <c r="J1781" s="27">
        <v>32</v>
      </c>
      <c r="K1781" s="29">
        <v>8.2706766917293173E-2</v>
      </c>
    </row>
    <row r="1782" spans="1:11" x14ac:dyDescent="0.25">
      <c r="A1782" s="5" t="s">
        <v>6</v>
      </c>
      <c r="B1782" s="5" t="s">
        <v>8722</v>
      </c>
      <c r="C1782" s="1" t="s">
        <v>8723</v>
      </c>
      <c r="D1782" s="5" t="s">
        <v>17755</v>
      </c>
      <c r="E1782" s="32">
        <v>248</v>
      </c>
      <c r="F1782" s="27">
        <v>7644</v>
      </c>
      <c r="G1782" s="32">
        <v>112</v>
      </c>
      <c r="H1782" s="27">
        <v>3632</v>
      </c>
      <c r="I1782" s="27">
        <v>30.822580645161292</v>
      </c>
      <c r="J1782" s="27">
        <v>32.428571428571431</v>
      </c>
      <c r="K1782" s="29">
        <v>5.2104358226807222E-2</v>
      </c>
    </row>
    <row r="1783" spans="1:11" x14ac:dyDescent="0.25">
      <c r="A1783" s="5" t="s">
        <v>6</v>
      </c>
      <c r="B1783" s="5" t="s">
        <v>8734</v>
      </c>
      <c r="C1783" s="1" t="s">
        <v>8735</v>
      </c>
      <c r="D1783" s="5" t="s">
        <v>17755</v>
      </c>
      <c r="E1783" s="32">
        <v>53</v>
      </c>
      <c r="F1783" s="27">
        <v>1213</v>
      </c>
      <c r="G1783" s="32">
        <v>159</v>
      </c>
      <c r="H1783" s="27">
        <v>3815</v>
      </c>
      <c r="I1783" s="27">
        <v>22.886792452830189</v>
      </c>
      <c r="J1783" s="27">
        <v>23.9937106918239</v>
      </c>
      <c r="K1783" s="29">
        <v>4.8364935421819168E-2</v>
      </c>
    </row>
    <row r="1784" spans="1:11" x14ac:dyDescent="0.25">
      <c r="A1784" s="5" t="s">
        <v>6</v>
      </c>
      <c r="B1784" s="5" t="s">
        <v>8737</v>
      </c>
      <c r="C1784" s="1" t="s">
        <v>8738</v>
      </c>
      <c r="D1784" s="5" t="s">
        <v>17755</v>
      </c>
      <c r="E1784" s="32">
        <v>17</v>
      </c>
      <c r="F1784" s="27">
        <v>442</v>
      </c>
      <c r="G1784" s="32">
        <v>9</v>
      </c>
      <c r="H1784" s="27">
        <v>242</v>
      </c>
      <c r="I1784" s="27">
        <v>26</v>
      </c>
      <c r="J1784" s="27">
        <v>26.888888888888889</v>
      </c>
      <c r="K1784" s="29">
        <v>3.4188034188034205E-2</v>
      </c>
    </row>
    <row r="1785" spans="1:11" x14ac:dyDescent="0.25">
      <c r="A1785" s="5" t="s">
        <v>6</v>
      </c>
      <c r="B1785" s="5" t="s">
        <v>8740</v>
      </c>
      <c r="C1785" s="1" t="s">
        <v>8741</v>
      </c>
      <c r="D1785" s="5" t="s">
        <v>17755</v>
      </c>
      <c r="E1785" s="32">
        <v>29</v>
      </c>
      <c r="F1785" s="27">
        <v>406</v>
      </c>
      <c r="I1785" s="27">
        <v>14</v>
      </c>
    </row>
    <row r="1786" spans="1:11" x14ac:dyDescent="0.25">
      <c r="A1786" s="5" t="s">
        <v>6</v>
      </c>
      <c r="B1786" s="5" t="s">
        <v>8743</v>
      </c>
      <c r="C1786" s="1" t="s">
        <v>8744</v>
      </c>
      <c r="D1786" s="5" t="s">
        <v>17755</v>
      </c>
      <c r="E1786" s="32">
        <v>23</v>
      </c>
      <c r="F1786" s="27">
        <v>598</v>
      </c>
      <c r="I1786" s="27">
        <v>26</v>
      </c>
    </row>
    <row r="1787" spans="1:11" x14ac:dyDescent="0.25">
      <c r="A1787" s="5" t="s">
        <v>6</v>
      </c>
      <c r="B1787" s="5" t="s">
        <v>8746</v>
      </c>
      <c r="C1787" s="1" t="s">
        <v>8747</v>
      </c>
      <c r="D1787" s="5" t="s">
        <v>17755</v>
      </c>
      <c r="E1787" s="32">
        <v>24</v>
      </c>
      <c r="F1787" s="27">
        <v>610</v>
      </c>
      <c r="G1787" s="32">
        <v>30</v>
      </c>
      <c r="H1787" s="27">
        <v>828</v>
      </c>
      <c r="I1787" s="27">
        <v>25.416666666666668</v>
      </c>
      <c r="J1787" s="27">
        <v>27.6</v>
      </c>
      <c r="K1787" s="29">
        <v>8.5901639344262301E-2</v>
      </c>
    </row>
    <row r="1788" spans="1:11" x14ac:dyDescent="0.25">
      <c r="A1788" s="5" t="s">
        <v>6</v>
      </c>
      <c r="B1788" s="5" t="s">
        <v>8752</v>
      </c>
      <c r="C1788" s="1" t="s">
        <v>8753</v>
      </c>
      <c r="D1788" s="5" t="s">
        <v>17755</v>
      </c>
      <c r="E1788" s="32">
        <v>4</v>
      </c>
      <c r="F1788" s="27">
        <v>100</v>
      </c>
      <c r="I1788" s="27">
        <v>25</v>
      </c>
    </row>
    <row r="1789" spans="1:11" x14ac:dyDescent="0.25">
      <c r="A1789" s="5" t="s">
        <v>6</v>
      </c>
      <c r="B1789" s="5" t="s">
        <v>8760</v>
      </c>
      <c r="C1789" s="1" t="s">
        <v>8761</v>
      </c>
      <c r="D1789" s="5" t="s">
        <v>17756</v>
      </c>
      <c r="E1789" s="32">
        <v>6</v>
      </c>
      <c r="F1789" s="27">
        <v>12</v>
      </c>
      <c r="G1789" s="32">
        <v>7</v>
      </c>
      <c r="H1789" s="27">
        <v>14</v>
      </c>
      <c r="I1789" s="27">
        <v>2</v>
      </c>
      <c r="J1789" s="27">
        <v>2</v>
      </c>
      <c r="K1789" s="29">
        <v>0</v>
      </c>
    </row>
    <row r="1790" spans="1:11" x14ac:dyDescent="0.25">
      <c r="A1790" s="5" t="s">
        <v>6</v>
      </c>
      <c r="B1790" s="5" t="s">
        <v>8763</v>
      </c>
      <c r="C1790" s="1" t="s">
        <v>8764</v>
      </c>
      <c r="D1790" s="5" t="s">
        <v>17756</v>
      </c>
      <c r="E1790" s="32">
        <v>291</v>
      </c>
      <c r="F1790" s="27">
        <v>4900</v>
      </c>
      <c r="G1790" s="32">
        <v>98</v>
      </c>
      <c r="H1790" s="27">
        <v>1701</v>
      </c>
      <c r="I1790" s="27">
        <v>16.838487972508592</v>
      </c>
      <c r="J1790" s="27">
        <v>17.357142857142858</v>
      </c>
      <c r="K1790" s="29">
        <v>3.0801749271137022E-2</v>
      </c>
    </row>
    <row r="1791" spans="1:11" x14ac:dyDescent="0.25">
      <c r="A1791" s="5" t="s">
        <v>6</v>
      </c>
      <c r="B1791" s="5" t="s">
        <v>8766</v>
      </c>
      <c r="C1791" s="1" t="s">
        <v>8767</v>
      </c>
      <c r="D1791" s="5" t="s">
        <v>17756</v>
      </c>
      <c r="E1791" s="32">
        <v>203</v>
      </c>
      <c r="F1791" s="27">
        <v>2007</v>
      </c>
      <c r="G1791" s="32">
        <v>266</v>
      </c>
      <c r="H1791" s="27">
        <v>2841</v>
      </c>
      <c r="I1791" s="27">
        <v>9.8866995073891619</v>
      </c>
      <c r="J1791" s="27">
        <v>10.680451127819548</v>
      </c>
      <c r="K1791" s="29">
        <v>8.0284792699236912E-2</v>
      </c>
    </row>
    <row r="1792" spans="1:11" x14ac:dyDescent="0.25">
      <c r="A1792" s="5" t="s">
        <v>6</v>
      </c>
      <c r="B1792" s="5" t="s">
        <v>8772</v>
      </c>
      <c r="C1792" s="1" t="s">
        <v>8773</v>
      </c>
      <c r="D1792" s="5" t="s">
        <v>17756</v>
      </c>
      <c r="E1792" s="32">
        <v>301</v>
      </c>
      <c r="F1792" s="27">
        <v>2618</v>
      </c>
      <c r="G1792" s="32">
        <v>229</v>
      </c>
      <c r="H1792" s="27">
        <v>2230</v>
      </c>
      <c r="I1792" s="27">
        <v>8.6976744186046506</v>
      </c>
      <c r="J1792" s="27">
        <v>9.7379912663755466</v>
      </c>
      <c r="K1792" s="29">
        <v>0.11960862153515649</v>
      </c>
    </row>
    <row r="1793" spans="1:11" x14ac:dyDescent="0.25">
      <c r="A1793" s="5" t="s">
        <v>6</v>
      </c>
      <c r="B1793" s="5" t="s">
        <v>8775</v>
      </c>
      <c r="C1793" s="1" t="s">
        <v>8776</v>
      </c>
      <c r="D1793" s="5" t="s">
        <v>17756</v>
      </c>
      <c r="E1793" s="32">
        <v>1196</v>
      </c>
      <c r="F1793" s="27">
        <v>12882</v>
      </c>
      <c r="G1793" s="32">
        <v>1033</v>
      </c>
      <c r="H1793" s="27">
        <v>12067</v>
      </c>
      <c r="I1793" s="27">
        <v>10.770903010033445</v>
      </c>
      <c r="J1793" s="27">
        <v>11.681510164569216</v>
      </c>
      <c r="K1793" s="29">
        <v>8.4543250801489112E-2</v>
      </c>
    </row>
    <row r="1794" spans="1:11" x14ac:dyDescent="0.25">
      <c r="A1794" s="5" t="s">
        <v>6</v>
      </c>
      <c r="B1794" s="5" t="s">
        <v>8778</v>
      </c>
      <c r="C1794" s="1" t="s">
        <v>8779</v>
      </c>
      <c r="D1794" s="5" t="s">
        <v>17756</v>
      </c>
      <c r="E1794" s="32">
        <v>9693</v>
      </c>
      <c r="F1794" s="27">
        <v>85562</v>
      </c>
      <c r="G1794" s="32">
        <v>7400</v>
      </c>
      <c r="H1794" s="27">
        <v>71325</v>
      </c>
      <c r="I1794" s="27">
        <v>8.8271948829051894</v>
      </c>
      <c r="J1794" s="27">
        <v>9.638513513513514</v>
      </c>
      <c r="K1794" s="29">
        <v>9.1911263019640616E-2</v>
      </c>
    </row>
    <row r="1795" spans="1:11" x14ac:dyDescent="0.25">
      <c r="A1795" s="5" t="s">
        <v>6</v>
      </c>
      <c r="B1795" s="5" t="s">
        <v>8790</v>
      </c>
      <c r="C1795" s="1" t="s">
        <v>8791</v>
      </c>
      <c r="D1795" s="5" t="s">
        <v>17756</v>
      </c>
      <c r="G1795" s="32">
        <v>15</v>
      </c>
      <c r="H1795" s="27">
        <v>69.3</v>
      </c>
      <c r="J1795" s="27">
        <v>4.62</v>
      </c>
    </row>
    <row r="1796" spans="1:11" x14ac:dyDescent="0.25">
      <c r="A1796" s="5" t="s">
        <v>6</v>
      </c>
      <c r="B1796" s="5" t="s">
        <v>8793</v>
      </c>
      <c r="C1796" s="1" t="s">
        <v>8794</v>
      </c>
      <c r="D1796" s="5" t="s">
        <v>17756</v>
      </c>
      <c r="E1796" s="32">
        <v>437</v>
      </c>
      <c r="F1796" s="27">
        <v>3809</v>
      </c>
      <c r="G1796" s="32">
        <v>412</v>
      </c>
      <c r="H1796" s="27">
        <v>3917</v>
      </c>
      <c r="I1796" s="27">
        <v>8.7162471395881003</v>
      </c>
      <c r="J1796" s="27">
        <v>9.5072815533980588</v>
      </c>
      <c r="K1796" s="29">
        <v>9.0754013871082145E-2</v>
      </c>
    </row>
    <row r="1797" spans="1:11" x14ac:dyDescent="0.25">
      <c r="A1797" s="5" t="s">
        <v>6</v>
      </c>
      <c r="B1797" s="5" t="s">
        <v>8802</v>
      </c>
      <c r="C1797" s="1" t="s">
        <v>8803</v>
      </c>
      <c r="D1797" s="5" t="s">
        <v>17756</v>
      </c>
      <c r="E1797" s="32">
        <v>27</v>
      </c>
      <c r="F1797" s="27">
        <v>559</v>
      </c>
      <c r="G1797" s="32">
        <v>29</v>
      </c>
      <c r="H1797" s="27">
        <v>639</v>
      </c>
      <c r="I1797" s="27">
        <v>20.703703703703702</v>
      </c>
      <c r="J1797" s="27">
        <v>22.03448275862069</v>
      </c>
      <c r="K1797" s="29">
        <v>6.4277342545185467E-2</v>
      </c>
    </row>
    <row r="1798" spans="1:11" x14ac:dyDescent="0.25">
      <c r="A1798" s="5" t="s">
        <v>6</v>
      </c>
      <c r="B1798" s="5" t="s">
        <v>8808</v>
      </c>
      <c r="C1798" s="1" t="s">
        <v>8809</v>
      </c>
      <c r="D1798" s="5" t="s">
        <v>17755</v>
      </c>
      <c r="E1798" s="32">
        <v>3518</v>
      </c>
      <c r="F1798" s="27">
        <v>31102</v>
      </c>
      <c r="G1798" s="32">
        <v>2483</v>
      </c>
      <c r="H1798" s="27">
        <v>23697</v>
      </c>
      <c r="I1798" s="27">
        <v>8.8408186469584997</v>
      </c>
      <c r="J1798" s="27">
        <v>9.5436971405557784</v>
      </c>
      <c r="K1798" s="29">
        <v>7.9503779193467503E-2</v>
      </c>
    </row>
    <row r="1799" spans="1:11" x14ac:dyDescent="0.25">
      <c r="A1799" s="5" t="s">
        <v>6</v>
      </c>
      <c r="B1799" s="5" t="s">
        <v>8814</v>
      </c>
      <c r="C1799" s="1" t="s">
        <v>8815</v>
      </c>
      <c r="D1799" s="5" t="s">
        <v>17755</v>
      </c>
      <c r="E1799" s="32">
        <v>58</v>
      </c>
      <c r="F1799" s="27">
        <v>11827</v>
      </c>
      <c r="G1799" s="32">
        <v>143</v>
      </c>
      <c r="H1799" s="27">
        <v>32227</v>
      </c>
      <c r="I1799" s="27">
        <v>203.91379310344828</v>
      </c>
      <c r="J1799" s="27">
        <v>225.36363636363637</v>
      </c>
      <c r="K1799" s="29">
        <v>0.1051907422922896</v>
      </c>
    </row>
    <row r="1800" spans="1:11" x14ac:dyDescent="0.25">
      <c r="A1800" s="5" t="s">
        <v>6</v>
      </c>
      <c r="B1800" s="5" t="s">
        <v>8820</v>
      </c>
      <c r="C1800" s="1" t="s">
        <v>8821</v>
      </c>
      <c r="D1800" s="5" t="s">
        <v>17755</v>
      </c>
      <c r="E1800" s="32">
        <v>9</v>
      </c>
      <c r="F1800" s="27">
        <v>45</v>
      </c>
      <c r="G1800" s="32">
        <v>4</v>
      </c>
      <c r="H1800" s="27">
        <v>20</v>
      </c>
      <c r="I1800" s="27">
        <v>5</v>
      </c>
      <c r="J1800" s="27">
        <v>5</v>
      </c>
      <c r="K1800" s="29">
        <v>0</v>
      </c>
    </row>
    <row r="1801" spans="1:11" x14ac:dyDescent="0.25">
      <c r="A1801" s="5" t="s">
        <v>6</v>
      </c>
      <c r="B1801" s="5" t="s">
        <v>8823</v>
      </c>
      <c r="C1801" s="1" t="s">
        <v>8824</v>
      </c>
      <c r="D1801" s="5" t="s">
        <v>17755</v>
      </c>
      <c r="E1801" s="32">
        <v>63</v>
      </c>
      <c r="F1801" s="27">
        <v>1311</v>
      </c>
      <c r="G1801" s="32">
        <v>31</v>
      </c>
      <c r="H1801" s="27">
        <v>693</v>
      </c>
      <c r="I1801" s="27">
        <v>20.80952380952381</v>
      </c>
      <c r="J1801" s="27">
        <v>22.35483870967742</v>
      </c>
      <c r="K1801" s="29">
        <v>7.4259983760242107E-2</v>
      </c>
    </row>
    <row r="1802" spans="1:11" x14ac:dyDescent="0.25">
      <c r="A1802" s="5" t="s">
        <v>6</v>
      </c>
      <c r="B1802" s="5" t="s">
        <v>8826</v>
      </c>
      <c r="C1802" s="1" t="s">
        <v>8827</v>
      </c>
      <c r="D1802" s="5" t="s">
        <v>17755</v>
      </c>
      <c r="E1802" s="32">
        <v>17</v>
      </c>
      <c r="F1802" s="27">
        <v>408</v>
      </c>
      <c r="G1802" s="32">
        <v>74</v>
      </c>
      <c r="H1802" s="27">
        <v>1888</v>
      </c>
      <c r="I1802" s="27">
        <v>24</v>
      </c>
      <c r="J1802" s="27">
        <v>25.513513513513512</v>
      </c>
      <c r="K1802" s="29">
        <v>6.3063063063063016E-2</v>
      </c>
    </row>
    <row r="1803" spans="1:11" x14ac:dyDescent="0.25">
      <c r="A1803" s="5" t="s">
        <v>6</v>
      </c>
      <c r="B1803" s="5" t="s">
        <v>8829</v>
      </c>
      <c r="C1803" s="1" t="s">
        <v>8830</v>
      </c>
      <c r="D1803" s="5" t="s">
        <v>17755</v>
      </c>
      <c r="E1803" s="32">
        <v>88</v>
      </c>
      <c r="F1803" s="27">
        <v>2056</v>
      </c>
      <c r="I1803" s="27">
        <v>23.363636363636363</v>
      </c>
    </row>
    <row r="1804" spans="1:11" x14ac:dyDescent="0.25">
      <c r="A1804" s="5" t="s">
        <v>6</v>
      </c>
      <c r="B1804" s="5" t="s">
        <v>8832</v>
      </c>
      <c r="C1804" s="1" t="s">
        <v>8833</v>
      </c>
      <c r="D1804" s="5" t="s">
        <v>17755</v>
      </c>
      <c r="E1804" s="32">
        <v>115</v>
      </c>
      <c r="F1804" s="27">
        <v>2379</v>
      </c>
      <c r="G1804" s="32">
        <v>99</v>
      </c>
      <c r="H1804" s="27">
        <v>2213</v>
      </c>
      <c r="I1804" s="27">
        <v>20.68695652173913</v>
      </c>
      <c r="J1804" s="27">
        <v>22.353535353535353</v>
      </c>
      <c r="K1804" s="29">
        <v>8.0561818266736265E-2</v>
      </c>
    </row>
    <row r="1805" spans="1:11" x14ac:dyDescent="0.25">
      <c r="A1805" s="5" t="s">
        <v>6</v>
      </c>
      <c r="B1805" s="5" t="s">
        <v>8835</v>
      </c>
      <c r="C1805" s="1" t="s">
        <v>8836</v>
      </c>
      <c r="D1805" s="5" t="s">
        <v>17755</v>
      </c>
      <c r="E1805" s="32">
        <v>4</v>
      </c>
      <c r="F1805" s="27">
        <v>52</v>
      </c>
      <c r="G1805" s="32">
        <v>3</v>
      </c>
      <c r="H1805" s="27">
        <v>42</v>
      </c>
      <c r="I1805" s="27">
        <v>13</v>
      </c>
      <c r="J1805" s="27">
        <v>14</v>
      </c>
      <c r="K1805" s="29">
        <v>7.6923076923076927E-2</v>
      </c>
    </row>
    <row r="1806" spans="1:11" x14ac:dyDescent="0.25">
      <c r="A1806" s="5" t="s">
        <v>6</v>
      </c>
      <c r="B1806" s="5" t="s">
        <v>8838</v>
      </c>
      <c r="C1806" s="1" t="s">
        <v>8839</v>
      </c>
      <c r="D1806" s="5" t="s">
        <v>17755</v>
      </c>
      <c r="E1806" s="32">
        <v>176</v>
      </c>
      <c r="F1806" s="27">
        <v>4164</v>
      </c>
      <c r="G1806" s="32">
        <v>132</v>
      </c>
      <c r="H1806" s="27">
        <v>3332</v>
      </c>
      <c r="I1806" s="27">
        <v>23.65909090909091</v>
      </c>
      <c r="J1806" s="27">
        <v>25.242424242424242</v>
      </c>
      <c r="K1806" s="29">
        <v>6.6922830611591363E-2</v>
      </c>
    </row>
    <row r="1807" spans="1:11" x14ac:dyDescent="0.25">
      <c r="A1807" s="5" t="s">
        <v>6</v>
      </c>
      <c r="B1807" s="5" t="s">
        <v>8841</v>
      </c>
      <c r="C1807" s="1" t="s">
        <v>8842</v>
      </c>
      <c r="D1807" s="5" t="s">
        <v>17755</v>
      </c>
      <c r="E1807" s="32">
        <v>73</v>
      </c>
      <c r="F1807" s="27">
        <v>1525</v>
      </c>
      <c r="G1807" s="32">
        <v>51</v>
      </c>
      <c r="H1807" s="27">
        <v>1155</v>
      </c>
      <c r="I1807" s="27">
        <v>20.890410958904109</v>
      </c>
      <c r="J1807" s="27">
        <v>22.647058823529413</v>
      </c>
      <c r="K1807" s="29">
        <v>8.408871745419487E-2</v>
      </c>
    </row>
    <row r="1808" spans="1:11" x14ac:dyDescent="0.25">
      <c r="A1808" s="5" t="s">
        <v>6</v>
      </c>
      <c r="B1808" s="5" t="s">
        <v>8844</v>
      </c>
      <c r="C1808" s="1" t="s">
        <v>8845</v>
      </c>
      <c r="D1808" s="5" t="s">
        <v>17755</v>
      </c>
      <c r="E1808" s="32">
        <v>20</v>
      </c>
      <c r="F1808" s="27">
        <v>458</v>
      </c>
      <c r="I1808" s="27">
        <v>22.9</v>
      </c>
    </row>
    <row r="1809" spans="1:11" x14ac:dyDescent="0.25">
      <c r="A1809" s="5" t="s">
        <v>6</v>
      </c>
      <c r="B1809" s="5" t="s">
        <v>8858</v>
      </c>
      <c r="C1809" s="1" t="s">
        <v>8859</v>
      </c>
      <c r="D1809" s="5" t="s">
        <v>17756</v>
      </c>
      <c r="E1809" s="32">
        <v>8125</v>
      </c>
      <c r="F1809" s="27">
        <v>167537</v>
      </c>
      <c r="G1809" s="32">
        <v>8725</v>
      </c>
      <c r="H1809" s="27">
        <v>195081</v>
      </c>
      <c r="I1809" s="27">
        <v>20.61993846153846</v>
      </c>
      <c r="J1809" s="27">
        <v>22.358853868194842</v>
      </c>
      <c r="K1809" s="29">
        <v>8.4331745698461261E-2</v>
      </c>
    </row>
    <row r="1810" spans="1:11" x14ac:dyDescent="0.25">
      <c r="A1810" s="5" t="s">
        <v>6</v>
      </c>
      <c r="B1810" s="5" t="s">
        <v>8861</v>
      </c>
      <c r="C1810" s="1" t="s">
        <v>8862</v>
      </c>
      <c r="D1810" s="5" t="s">
        <v>17755</v>
      </c>
      <c r="E1810" s="32">
        <v>1963</v>
      </c>
      <c r="F1810" s="27">
        <v>98865</v>
      </c>
      <c r="G1810" s="32">
        <v>2268</v>
      </c>
      <c r="H1810" s="27">
        <v>122220</v>
      </c>
      <c r="I1810" s="27">
        <v>50.364238410596023</v>
      </c>
      <c r="J1810" s="27">
        <v>53.888888888888886</v>
      </c>
      <c r="K1810" s="29">
        <v>6.9983198188326406E-2</v>
      </c>
    </row>
    <row r="1811" spans="1:11" x14ac:dyDescent="0.25">
      <c r="A1811" s="5" t="s">
        <v>6</v>
      </c>
      <c r="B1811" s="5" t="s">
        <v>8864</v>
      </c>
      <c r="C1811" s="1" t="s">
        <v>8865</v>
      </c>
      <c r="D1811" s="5" t="s">
        <v>17755</v>
      </c>
      <c r="E1811" s="32">
        <v>121</v>
      </c>
      <c r="F1811" s="27">
        <v>5441</v>
      </c>
      <c r="G1811" s="32">
        <v>163</v>
      </c>
      <c r="H1811" s="27">
        <v>7707</v>
      </c>
      <c r="I1811" s="27">
        <v>44.966942148760332</v>
      </c>
      <c r="J1811" s="27">
        <v>47.282208588957054</v>
      </c>
      <c r="K1811" s="29">
        <v>5.1488189535710986E-2</v>
      </c>
    </row>
    <row r="1812" spans="1:11" x14ac:dyDescent="0.25">
      <c r="A1812" s="5" t="s">
        <v>6</v>
      </c>
      <c r="B1812" s="5" t="s">
        <v>8867</v>
      </c>
      <c r="C1812" s="1" t="s">
        <v>8868</v>
      </c>
      <c r="D1812" s="5" t="s">
        <v>17755</v>
      </c>
      <c r="E1812" s="32">
        <v>472</v>
      </c>
      <c r="F1812" s="27">
        <v>14406</v>
      </c>
      <c r="G1812" s="32">
        <v>429</v>
      </c>
      <c r="H1812" s="27">
        <v>13989</v>
      </c>
      <c r="I1812" s="27">
        <v>30.521186440677965</v>
      </c>
      <c r="J1812" s="27">
        <v>32.608391608391607</v>
      </c>
      <c r="K1812" s="29">
        <v>6.8385453225103338E-2</v>
      </c>
    </row>
    <row r="1813" spans="1:11" x14ac:dyDescent="0.25">
      <c r="A1813" s="5" t="s">
        <v>6</v>
      </c>
      <c r="B1813" s="5" t="s">
        <v>8870</v>
      </c>
      <c r="C1813" s="1" t="s">
        <v>8871</v>
      </c>
      <c r="D1813" s="5" t="s">
        <v>17755</v>
      </c>
      <c r="E1813" s="32">
        <v>47</v>
      </c>
      <c r="F1813" s="27">
        <v>1257</v>
      </c>
      <c r="G1813" s="32">
        <v>160</v>
      </c>
      <c r="H1813" s="27">
        <v>4622</v>
      </c>
      <c r="I1813" s="27">
        <v>26.74468085106383</v>
      </c>
      <c r="J1813" s="27">
        <v>28.887499999999999</v>
      </c>
      <c r="K1813" s="29">
        <v>8.0121320604614132E-2</v>
      </c>
    </row>
    <row r="1814" spans="1:11" x14ac:dyDescent="0.25">
      <c r="A1814" s="5" t="s">
        <v>6</v>
      </c>
      <c r="B1814" s="5" t="s">
        <v>8876</v>
      </c>
      <c r="C1814" s="1" t="s">
        <v>8877</v>
      </c>
      <c r="D1814" s="5" t="s">
        <v>17756</v>
      </c>
      <c r="E1814" s="32">
        <v>893</v>
      </c>
      <c r="F1814" s="27">
        <v>13360</v>
      </c>
      <c r="G1814" s="32">
        <v>1170</v>
      </c>
      <c r="H1814" s="27">
        <v>18472</v>
      </c>
      <c r="I1814" s="27">
        <v>14.96080627099664</v>
      </c>
      <c r="J1814" s="27">
        <v>15.788034188034189</v>
      </c>
      <c r="K1814" s="29">
        <v>5.5293003736117591E-2</v>
      </c>
    </row>
    <row r="1815" spans="1:11" x14ac:dyDescent="0.25">
      <c r="A1815" s="5" t="s">
        <v>6</v>
      </c>
      <c r="B1815" s="5" t="s">
        <v>8879</v>
      </c>
      <c r="C1815" s="1" t="s">
        <v>8880</v>
      </c>
      <c r="D1815" s="5" t="s">
        <v>17756</v>
      </c>
      <c r="E1815" s="32">
        <v>1584</v>
      </c>
      <c r="F1815" s="27">
        <v>21951</v>
      </c>
      <c r="G1815" s="32">
        <v>1813</v>
      </c>
      <c r="H1815" s="27">
        <v>26554</v>
      </c>
      <c r="I1815" s="27">
        <v>13.857954545454545</v>
      </c>
      <c r="J1815" s="27">
        <v>14.646442360728075</v>
      </c>
      <c r="K1815" s="29">
        <v>5.6897849728635243E-2</v>
      </c>
    </row>
    <row r="1816" spans="1:11" x14ac:dyDescent="0.25">
      <c r="A1816" s="5" t="s">
        <v>6</v>
      </c>
      <c r="B1816" s="5" t="s">
        <v>8885</v>
      </c>
      <c r="C1816" s="1" t="s">
        <v>8886</v>
      </c>
      <c r="D1816" s="5" t="s">
        <v>17756</v>
      </c>
      <c r="E1816" s="32">
        <v>1</v>
      </c>
      <c r="F1816" s="27">
        <v>74</v>
      </c>
      <c r="G1816" s="32">
        <v>2</v>
      </c>
      <c r="H1816" s="27">
        <v>160</v>
      </c>
      <c r="I1816" s="27">
        <v>74</v>
      </c>
      <c r="J1816" s="27">
        <v>80</v>
      </c>
      <c r="K1816" s="29">
        <v>8.1081081081081086E-2</v>
      </c>
    </row>
    <row r="1817" spans="1:11" x14ac:dyDescent="0.25">
      <c r="A1817" s="5" t="s">
        <v>6</v>
      </c>
      <c r="B1817" s="5" t="s">
        <v>8891</v>
      </c>
      <c r="C1817" s="1" t="s">
        <v>8892</v>
      </c>
      <c r="D1817" s="5" t="s">
        <v>17756</v>
      </c>
      <c r="E1817" s="32">
        <v>4</v>
      </c>
      <c r="F1817" s="27">
        <v>348</v>
      </c>
      <c r="I1817" s="27">
        <v>87</v>
      </c>
    </row>
    <row r="1818" spans="1:11" x14ac:dyDescent="0.25">
      <c r="A1818" s="5" t="s">
        <v>6</v>
      </c>
      <c r="B1818" s="5" t="s">
        <v>8894</v>
      </c>
      <c r="C1818" s="1" t="s">
        <v>8895</v>
      </c>
      <c r="D1818" s="5" t="s">
        <v>17756</v>
      </c>
      <c r="E1818" s="32">
        <v>7</v>
      </c>
      <c r="F1818" s="27">
        <v>903</v>
      </c>
      <c r="G1818" s="32">
        <v>10</v>
      </c>
      <c r="H1818" s="27">
        <v>1350</v>
      </c>
      <c r="I1818" s="27">
        <v>129</v>
      </c>
      <c r="J1818" s="27">
        <v>135</v>
      </c>
      <c r="K1818" s="29">
        <v>4.6511627906976744E-2</v>
      </c>
    </row>
    <row r="1819" spans="1:11" x14ac:dyDescent="0.25">
      <c r="A1819" s="5" t="s">
        <v>6</v>
      </c>
      <c r="B1819" s="5" t="s">
        <v>8909</v>
      </c>
      <c r="C1819" s="1" t="s">
        <v>8910</v>
      </c>
      <c r="D1819" s="5" t="s">
        <v>17756</v>
      </c>
      <c r="E1819" s="32">
        <v>440</v>
      </c>
      <c r="F1819" s="27">
        <v>9074</v>
      </c>
      <c r="G1819" s="32">
        <v>915</v>
      </c>
      <c r="H1819" s="27">
        <v>20469</v>
      </c>
      <c r="I1819" s="27">
        <v>20.622727272727271</v>
      </c>
      <c r="J1819" s="27">
        <v>22.370491803278689</v>
      </c>
      <c r="K1819" s="29">
        <v>8.4749437231940047E-2</v>
      </c>
    </row>
    <row r="1820" spans="1:11" x14ac:dyDescent="0.25">
      <c r="A1820" s="5" t="s">
        <v>6</v>
      </c>
      <c r="B1820" s="5" t="s">
        <v>8923</v>
      </c>
      <c r="C1820" s="1" t="s">
        <v>8924</v>
      </c>
      <c r="D1820" s="5" t="s">
        <v>17755</v>
      </c>
      <c r="E1820" s="32">
        <v>0</v>
      </c>
      <c r="F1820" s="27">
        <v>0</v>
      </c>
      <c r="G1820" s="32">
        <v>17</v>
      </c>
      <c r="H1820" s="27">
        <v>493</v>
      </c>
      <c r="J1820" s="27">
        <v>29</v>
      </c>
    </row>
    <row r="1821" spans="1:11" x14ac:dyDescent="0.25">
      <c r="A1821" s="5" t="s">
        <v>6</v>
      </c>
      <c r="B1821" s="5" t="s">
        <v>8926</v>
      </c>
      <c r="C1821" s="1" t="s">
        <v>8927</v>
      </c>
      <c r="D1821" s="5" t="s">
        <v>17755</v>
      </c>
      <c r="E1821" s="32">
        <v>1</v>
      </c>
      <c r="F1821" s="27">
        <v>180</v>
      </c>
      <c r="I1821" s="27">
        <v>180</v>
      </c>
    </row>
    <row r="1822" spans="1:11" x14ac:dyDescent="0.25">
      <c r="A1822" s="5" t="s">
        <v>6</v>
      </c>
      <c r="B1822" s="5" t="s">
        <v>8929</v>
      </c>
      <c r="C1822" s="1" t="s">
        <v>8930</v>
      </c>
      <c r="D1822" s="5" t="s">
        <v>17755</v>
      </c>
      <c r="E1822" s="32">
        <v>6</v>
      </c>
      <c r="F1822" s="27">
        <v>1230</v>
      </c>
      <c r="G1822" s="32">
        <v>10</v>
      </c>
      <c r="H1822" s="27">
        <v>2114</v>
      </c>
      <c r="I1822" s="27">
        <v>205</v>
      </c>
      <c r="J1822" s="27">
        <v>211.4</v>
      </c>
      <c r="K1822" s="29">
        <v>3.1219512195121979E-2</v>
      </c>
    </row>
    <row r="1823" spans="1:11" x14ac:dyDescent="0.25">
      <c r="A1823" s="5" t="s">
        <v>6</v>
      </c>
      <c r="B1823" s="5" t="s">
        <v>8932</v>
      </c>
      <c r="C1823" s="1" t="s">
        <v>8933</v>
      </c>
      <c r="D1823" s="5" t="s">
        <v>17755</v>
      </c>
      <c r="E1823" s="32">
        <v>78</v>
      </c>
      <c r="F1823" s="27">
        <v>2000</v>
      </c>
      <c r="G1823" s="32">
        <v>46</v>
      </c>
      <c r="H1823" s="27">
        <v>1258</v>
      </c>
      <c r="I1823" s="27">
        <v>25.641025641025642</v>
      </c>
      <c r="J1823" s="27">
        <v>27.347826086956523</v>
      </c>
      <c r="K1823" s="29">
        <v>6.656521739130436E-2</v>
      </c>
    </row>
    <row r="1824" spans="1:11" x14ac:dyDescent="0.25">
      <c r="A1824" s="5" t="s">
        <v>6</v>
      </c>
      <c r="B1824" s="5" t="s">
        <v>8941</v>
      </c>
      <c r="C1824" s="1" t="s">
        <v>8942</v>
      </c>
      <c r="D1824" s="5" t="s">
        <v>17755</v>
      </c>
      <c r="E1824" s="32">
        <v>11</v>
      </c>
      <c r="F1824" s="27">
        <v>165</v>
      </c>
      <c r="I1824" s="27">
        <v>15</v>
      </c>
    </row>
    <row r="1825" spans="1:11" x14ac:dyDescent="0.25">
      <c r="A1825" s="5" t="s">
        <v>6</v>
      </c>
      <c r="B1825" s="5" t="s">
        <v>8947</v>
      </c>
      <c r="C1825" s="1" t="s">
        <v>8948</v>
      </c>
      <c r="D1825" s="5" t="s">
        <v>17755</v>
      </c>
      <c r="E1825" s="32">
        <v>130</v>
      </c>
      <c r="F1825" s="27">
        <v>32770</v>
      </c>
      <c r="G1825" s="32">
        <v>91</v>
      </c>
      <c r="H1825" s="27">
        <v>24403</v>
      </c>
      <c r="I1825" s="27">
        <v>252.07692307692307</v>
      </c>
      <c r="J1825" s="27">
        <v>268.16483516483515</v>
      </c>
      <c r="K1825" s="29">
        <v>6.3821439469898433E-2</v>
      </c>
    </row>
    <row r="1826" spans="1:11" x14ac:dyDescent="0.25">
      <c r="A1826" s="5" t="s">
        <v>6</v>
      </c>
      <c r="B1826" s="5" t="s">
        <v>8950</v>
      </c>
      <c r="C1826" s="1" t="s">
        <v>8951</v>
      </c>
      <c r="D1826" s="5" t="s">
        <v>17755</v>
      </c>
      <c r="E1826" s="32">
        <v>2</v>
      </c>
      <c r="F1826" s="27">
        <v>94</v>
      </c>
      <c r="I1826" s="27">
        <v>47</v>
      </c>
    </row>
    <row r="1827" spans="1:11" x14ac:dyDescent="0.25">
      <c r="A1827" s="5" t="s">
        <v>6</v>
      </c>
      <c r="B1827" s="5" t="s">
        <v>8959</v>
      </c>
      <c r="C1827" s="1" t="s">
        <v>8960</v>
      </c>
      <c r="D1827" s="5" t="s">
        <v>17755</v>
      </c>
      <c r="E1827" s="32">
        <v>287</v>
      </c>
      <c r="F1827" s="27">
        <v>190395</v>
      </c>
      <c r="G1827" s="32">
        <v>308</v>
      </c>
      <c r="H1827" s="27">
        <v>219542</v>
      </c>
      <c r="I1827" s="27">
        <v>663.39721254355402</v>
      </c>
      <c r="J1827" s="27">
        <v>712.7987012987013</v>
      </c>
      <c r="K1827" s="29">
        <v>7.4467434925955353E-2</v>
      </c>
    </row>
    <row r="1828" spans="1:11" x14ac:dyDescent="0.25">
      <c r="A1828" s="5" t="s">
        <v>6</v>
      </c>
      <c r="B1828" s="5" t="s">
        <v>8968</v>
      </c>
      <c r="C1828" s="1" t="s">
        <v>8969</v>
      </c>
      <c r="D1828" s="5" t="s">
        <v>17755</v>
      </c>
      <c r="E1828" s="32">
        <v>42</v>
      </c>
      <c r="F1828" s="27">
        <v>2016</v>
      </c>
      <c r="I1828" s="27">
        <v>48</v>
      </c>
    </row>
    <row r="1829" spans="1:11" x14ac:dyDescent="0.25">
      <c r="A1829" s="5" t="s">
        <v>6</v>
      </c>
      <c r="B1829" s="5" t="s">
        <v>8974</v>
      </c>
      <c r="C1829" s="1" t="s">
        <v>8975</v>
      </c>
      <c r="D1829" s="5" t="s">
        <v>17755</v>
      </c>
      <c r="E1829" s="32">
        <v>4</v>
      </c>
      <c r="F1829" s="27">
        <v>84</v>
      </c>
      <c r="G1829" s="32">
        <v>62</v>
      </c>
      <c r="H1829" s="27">
        <v>1538</v>
      </c>
      <c r="I1829" s="27">
        <v>21</v>
      </c>
      <c r="J1829" s="27">
        <v>24.806451612903224</v>
      </c>
      <c r="K1829" s="29">
        <v>0.18125960061443924</v>
      </c>
    </row>
    <row r="1830" spans="1:11" x14ac:dyDescent="0.25">
      <c r="A1830" s="5" t="s">
        <v>6</v>
      </c>
      <c r="B1830" s="5" t="s">
        <v>8989</v>
      </c>
      <c r="C1830" s="1" t="s">
        <v>8990</v>
      </c>
      <c r="D1830" s="5" t="s">
        <v>17755</v>
      </c>
      <c r="E1830" s="32">
        <v>54</v>
      </c>
      <c r="F1830" s="27">
        <v>2430</v>
      </c>
      <c r="G1830" s="32">
        <v>5</v>
      </c>
      <c r="H1830" s="27">
        <v>237</v>
      </c>
      <c r="I1830" s="27">
        <v>45</v>
      </c>
      <c r="J1830" s="27">
        <v>47.4</v>
      </c>
      <c r="K1830" s="29">
        <v>5.3333333333333302E-2</v>
      </c>
    </row>
    <row r="1831" spans="1:11" x14ac:dyDescent="0.25">
      <c r="A1831" s="5" t="s">
        <v>6</v>
      </c>
      <c r="B1831" s="5" t="s">
        <v>8992</v>
      </c>
      <c r="C1831" s="1" t="s">
        <v>8993</v>
      </c>
      <c r="D1831" s="5" t="s">
        <v>17755</v>
      </c>
      <c r="E1831" s="32">
        <v>5</v>
      </c>
      <c r="F1831" s="27">
        <v>255</v>
      </c>
      <c r="G1831" s="32">
        <v>11</v>
      </c>
      <c r="H1831" s="27">
        <v>577</v>
      </c>
      <c r="I1831" s="27">
        <v>51</v>
      </c>
      <c r="J1831" s="27">
        <v>52.454545454545453</v>
      </c>
      <c r="K1831" s="29">
        <v>2.8520499108734377E-2</v>
      </c>
    </row>
    <row r="1832" spans="1:11" x14ac:dyDescent="0.25">
      <c r="A1832" s="5" t="s">
        <v>6</v>
      </c>
      <c r="B1832" s="5" t="s">
        <v>8995</v>
      </c>
      <c r="C1832" s="1" t="s">
        <v>8996</v>
      </c>
      <c r="D1832" s="5" t="s">
        <v>17756</v>
      </c>
      <c r="E1832" s="32">
        <v>40</v>
      </c>
      <c r="F1832" s="27">
        <v>1236</v>
      </c>
      <c r="G1832" s="32">
        <v>31</v>
      </c>
      <c r="H1832" s="27">
        <v>1003</v>
      </c>
      <c r="I1832" s="27">
        <v>30.9</v>
      </c>
      <c r="J1832" s="27">
        <v>32.354838709677416</v>
      </c>
      <c r="K1832" s="29">
        <v>4.7082158889236822E-2</v>
      </c>
    </row>
    <row r="1833" spans="1:11" x14ac:dyDescent="0.25">
      <c r="A1833" s="5" t="s">
        <v>6</v>
      </c>
      <c r="B1833" s="5" t="s">
        <v>9001</v>
      </c>
      <c r="C1833" s="1" t="s">
        <v>9002</v>
      </c>
      <c r="D1833" s="5" t="s">
        <v>17755</v>
      </c>
      <c r="E1833" s="32">
        <v>1544</v>
      </c>
      <c r="F1833" s="27">
        <v>16819</v>
      </c>
      <c r="G1833" s="32">
        <v>2164</v>
      </c>
      <c r="H1833" s="27">
        <v>25210</v>
      </c>
      <c r="I1833" s="27">
        <v>10.893134715025907</v>
      </c>
      <c r="J1833" s="27">
        <v>11.649722735674677</v>
      </c>
      <c r="K1833" s="29">
        <v>6.9455491044753057E-2</v>
      </c>
    </row>
    <row r="1834" spans="1:11" x14ac:dyDescent="0.25">
      <c r="A1834" s="5" t="s">
        <v>6</v>
      </c>
      <c r="B1834" s="5" t="s">
        <v>9010</v>
      </c>
      <c r="C1834" s="1" t="s">
        <v>9011</v>
      </c>
      <c r="D1834" s="5" t="s">
        <v>17755</v>
      </c>
      <c r="E1834" s="32">
        <v>68</v>
      </c>
      <c r="F1834" s="27">
        <v>1682</v>
      </c>
      <c r="G1834" s="32">
        <v>146</v>
      </c>
      <c r="H1834" s="27">
        <v>3878</v>
      </c>
      <c r="I1834" s="27">
        <v>24.735294117647058</v>
      </c>
      <c r="J1834" s="27">
        <v>26.561643835616437</v>
      </c>
      <c r="K1834" s="29">
        <v>7.3835779323375594E-2</v>
      </c>
    </row>
    <row r="1835" spans="1:11" x14ac:dyDescent="0.25">
      <c r="A1835" s="5" t="s">
        <v>6</v>
      </c>
      <c r="B1835" s="5" t="s">
        <v>9016</v>
      </c>
      <c r="C1835" s="1" t="s">
        <v>9017</v>
      </c>
      <c r="D1835" s="5" t="s">
        <v>17756</v>
      </c>
      <c r="E1835" s="32">
        <v>32</v>
      </c>
      <c r="F1835" s="27">
        <v>1676</v>
      </c>
      <c r="G1835" s="32">
        <v>60</v>
      </c>
      <c r="H1835" s="27">
        <v>3536</v>
      </c>
      <c r="I1835" s="27">
        <v>52.375</v>
      </c>
      <c r="J1835" s="27">
        <v>58.93333333333333</v>
      </c>
      <c r="K1835" s="29">
        <v>0.12521877486077956</v>
      </c>
    </row>
    <row r="1836" spans="1:11" x14ac:dyDescent="0.25">
      <c r="A1836" s="5" t="s">
        <v>6</v>
      </c>
      <c r="B1836" s="5" t="s">
        <v>9019</v>
      </c>
      <c r="C1836" s="1" t="s">
        <v>9020</v>
      </c>
      <c r="D1836" s="5" t="s">
        <v>17755</v>
      </c>
      <c r="E1836" s="32">
        <v>17</v>
      </c>
      <c r="F1836" s="27">
        <v>630</v>
      </c>
      <c r="I1836" s="27">
        <v>37.058823529411768</v>
      </c>
    </row>
    <row r="1837" spans="1:11" x14ac:dyDescent="0.25">
      <c r="A1837" s="5" t="s">
        <v>6</v>
      </c>
      <c r="B1837" s="5" t="s">
        <v>9034</v>
      </c>
      <c r="C1837" s="1" t="s">
        <v>9035</v>
      </c>
      <c r="D1837" s="5" t="s">
        <v>17755</v>
      </c>
      <c r="E1837" s="32">
        <v>1</v>
      </c>
      <c r="F1837" s="27">
        <v>23</v>
      </c>
      <c r="G1837" s="32">
        <v>1</v>
      </c>
      <c r="H1837" s="27">
        <v>25</v>
      </c>
      <c r="I1837" s="27">
        <v>23</v>
      </c>
      <c r="J1837" s="27">
        <v>25</v>
      </c>
      <c r="K1837" s="29">
        <v>8.6956521739130432E-2</v>
      </c>
    </row>
    <row r="1838" spans="1:11" x14ac:dyDescent="0.25">
      <c r="A1838" s="5" t="s">
        <v>6</v>
      </c>
      <c r="B1838" s="5" t="s">
        <v>9040</v>
      </c>
      <c r="C1838" s="1" t="s">
        <v>9041</v>
      </c>
      <c r="D1838" s="5" t="s">
        <v>17756</v>
      </c>
      <c r="E1838" s="32">
        <v>16</v>
      </c>
      <c r="F1838" s="27">
        <v>287</v>
      </c>
      <c r="G1838" s="32">
        <v>20</v>
      </c>
      <c r="H1838" s="27">
        <v>376</v>
      </c>
      <c r="I1838" s="27">
        <v>17.9375</v>
      </c>
      <c r="J1838" s="27">
        <v>18.8</v>
      </c>
      <c r="K1838" s="29">
        <v>4.8083623693379832E-2</v>
      </c>
    </row>
    <row r="1839" spans="1:11" x14ac:dyDescent="0.25">
      <c r="A1839" s="5" t="s">
        <v>6</v>
      </c>
      <c r="B1839" s="5" t="s">
        <v>9043</v>
      </c>
      <c r="C1839" s="1" t="s">
        <v>9044</v>
      </c>
      <c r="D1839" s="5" t="s">
        <v>17755</v>
      </c>
      <c r="E1839" s="32">
        <v>155</v>
      </c>
      <c r="F1839" s="27">
        <v>2630</v>
      </c>
      <c r="G1839" s="32">
        <v>132</v>
      </c>
      <c r="H1839" s="27">
        <v>2349</v>
      </c>
      <c r="I1839" s="27">
        <v>16.967741935483872</v>
      </c>
      <c r="J1839" s="27">
        <v>17.795454545454547</v>
      </c>
      <c r="K1839" s="29">
        <v>4.8781541652264108E-2</v>
      </c>
    </row>
    <row r="1840" spans="1:11" x14ac:dyDescent="0.25">
      <c r="A1840" s="5" t="s">
        <v>6</v>
      </c>
      <c r="B1840" s="5" t="s">
        <v>9055</v>
      </c>
      <c r="C1840" s="1" t="s">
        <v>9056</v>
      </c>
      <c r="D1840" s="5" t="s">
        <v>17756</v>
      </c>
      <c r="E1840" s="32">
        <v>2687</v>
      </c>
      <c r="F1840" s="27">
        <v>31937</v>
      </c>
      <c r="G1840" s="32">
        <v>2427</v>
      </c>
      <c r="H1840" s="27">
        <v>30533</v>
      </c>
      <c r="I1840" s="27">
        <v>11.885746185336806</v>
      </c>
      <c r="J1840" s="27">
        <v>12.580552121961269</v>
      </c>
      <c r="K1840" s="29">
        <v>5.8457073354101191E-2</v>
      </c>
    </row>
    <row r="1841" spans="1:11" x14ac:dyDescent="0.25">
      <c r="A1841" s="5" t="s">
        <v>6</v>
      </c>
      <c r="B1841" s="5" t="s">
        <v>9058</v>
      </c>
      <c r="C1841" s="1" t="s">
        <v>9059</v>
      </c>
      <c r="D1841" s="5" t="s">
        <v>17755</v>
      </c>
      <c r="E1841" s="32">
        <v>0</v>
      </c>
      <c r="F1841" s="27">
        <v>0</v>
      </c>
      <c r="G1841" s="32">
        <v>1</v>
      </c>
      <c r="H1841" s="27">
        <v>25</v>
      </c>
      <c r="J1841" s="27">
        <v>25</v>
      </c>
    </row>
    <row r="1842" spans="1:11" x14ac:dyDescent="0.25">
      <c r="A1842" s="5" t="s">
        <v>6</v>
      </c>
      <c r="B1842" s="5" t="s">
        <v>9064</v>
      </c>
      <c r="C1842" s="1" t="s">
        <v>9065</v>
      </c>
      <c r="D1842" s="5" t="s">
        <v>17755</v>
      </c>
      <c r="E1842" s="32">
        <v>229</v>
      </c>
      <c r="F1842" s="27">
        <v>5802</v>
      </c>
      <c r="G1842" s="32">
        <v>203</v>
      </c>
      <c r="H1842" s="27">
        <v>5474</v>
      </c>
      <c r="I1842" s="27">
        <v>25.336244541484717</v>
      </c>
      <c r="J1842" s="27">
        <v>26.96551724137931</v>
      </c>
      <c r="K1842" s="29">
        <v>6.4306006252302941E-2</v>
      </c>
    </row>
    <row r="1843" spans="1:11" x14ac:dyDescent="0.25">
      <c r="A1843" s="5" t="s">
        <v>6</v>
      </c>
      <c r="B1843" s="5" t="s">
        <v>9076</v>
      </c>
      <c r="C1843" s="1" t="s">
        <v>9077</v>
      </c>
      <c r="D1843" s="5" t="s">
        <v>17756</v>
      </c>
      <c r="E1843" s="32">
        <v>1230</v>
      </c>
      <c r="F1843" s="27">
        <v>6150</v>
      </c>
      <c r="G1843" s="32">
        <v>671</v>
      </c>
      <c r="H1843" s="27">
        <v>3355</v>
      </c>
      <c r="I1843" s="27">
        <v>5</v>
      </c>
      <c r="J1843" s="27">
        <v>5</v>
      </c>
      <c r="K1843" s="29">
        <v>0</v>
      </c>
    </row>
    <row r="1844" spans="1:11" x14ac:dyDescent="0.25">
      <c r="A1844" s="5" t="s">
        <v>6</v>
      </c>
      <c r="B1844" s="5" t="s">
        <v>9088</v>
      </c>
      <c r="C1844" s="1" t="s">
        <v>9089</v>
      </c>
      <c r="D1844" s="5" t="s">
        <v>17755</v>
      </c>
      <c r="E1844" s="32">
        <v>870</v>
      </c>
      <c r="F1844" s="27">
        <v>32484</v>
      </c>
      <c r="G1844" s="32">
        <v>733</v>
      </c>
      <c r="H1844" s="27">
        <v>29846</v>
      </c>
      <c r="I1844" s="27">
        <v>37.337931034482757</v>
      </c>
      <c r="J1844" s="27">
        <v>40.717598908594816</v>
      </c>
      <c r="K1844" s="29">
        <v>9.0515670806473686E-2</v>
      </c>
    </row>
    <row r="1845" spans="1:11" x14ac:dyDescent="0.25">
      <c r="A1845" s="5" t="s">
        <v>6</v>
      </c>
      <c r="B1845" s="5" t="s">
        <v>9090</v>
      </c>
      <c r="C1845" s="1" t="s">
        <v>9091</v>
      </c>
      <c r="D1845" s="5" t="s">
        <v>17756</v>
      </c>
      <c r="E1845" s="32">
        <v>3</v>
      </c>
      <c r="F1845" s="27">
        <v>36</v>
      </c>
      <c r="I1845" s="27">
        <v>12</v>
      </c>
    </row>
    <row r="1846" spans="1:11" x14ac:dyDescent="0.25">
      <c r="A1846" s="5" t="s">
        <v>6</v>
      </c>
      <c r="B1846" s="5" t="s">
        <v>9093</v>
      </c>
      <c r="C1846" s="1" t="s">
        <v>9094</v>
      </c>
      <c r="D1846" s="5" t="s">
        <v>17756</v>
      </c>
      <c r="E1846" s="32">
        <v>801</v>
      </c>
      <c r="F1846" s="27">
        <v>4005</v>
      </c>
      <c r="G1846" s="32">
        <v>640</v>
      </c>
      <c r="H1846" s="27">
        <v>3200</v>
      </c>
      <c r="I1846" s="27">
        <v>5</v>
      </c>
      <c r="J1846" s="27">
        <v>5</v>
      </c>
      <c r="K1846" s="29">
        <v>0</v>
      </c>
    </row>
    <row r="1847" spans="1:11" x14ac:dyDescent="0.25">
      <c r="A1847" s="5" t="s">
        <v>6</v>
      </c>
      <c r="B1847" s="5" t="s">
        <v>9105</v>
      </c>
      <c r="C1847" s="1" t="s">
        <v>9106</v>
      </c>
      <c r="D1847" s="5" t="s">
        <v>17755</v>
      </c>
      <c r="E1847" s="32">
        <v>87</v>
      </c>
      <c r="F1847" s="27">
        <v>1044</v>
      </c>
      <c r="G1847" s="32">
        <v>113</v>
      </c>
      <c r="H1847" s="27">
        <v>1451</v>
      </c>
      <c r="I1847" s="27">
        <v>12</v>
      </c>
      <c r="J1847" s="27">
        <v>12.840707964601769</v>
      </c>
      <c r="K1847" s="29">
        <v>7.005899705014744E-2</v>
      </c>
    </row>
    <row r="1848" spans="1:11" x14ac:dyDescent="0.25">
      <c r="A1848" s="5" t="s">
        <v>6</v>
      </c>
      <c r="B1848" s="5" t="s">
        <v>9108</v>
      </c>
      <c r="C1848" s="1" t="s">
        <v>9109</v>
      </c>
      <c r="D1848" s="5" t="s">
        <v>17755</v>
      </c>
      <c r="E1848" s="32">
        <v>199</v>
      </c>
      <c r="F1848" s="27">
        <v>1986</v>
      </c>
      <c r="G1848" s="32">
        <v>319</v>
      </c>
      <c r="H1848" s="27">
        <v>3490</v>
      </c>
      <c r="I1848" s="27">
        <v>9.9798994974874375</v>
      </c>
      <c r="J1848" s="27">
        <v>10.940438871473354</v>
      </c>
      <c r="K1848" s="29">
        <v>9.6247399508155806E-2</v>
      </c>
    </row>
    <row r="1849" spans="1:11" x14ac:dyDescent="0.25">
      <c r="A1849" s="5" t="s">
        <v>6</v>
      </c>
      <c r="B1849" s="5" t="s">
        <v>9117</v>
      </c>
      <c r="C1849" s="1" t="s">
        <v>9118</v>
      </c>
      <c r="D1849" s="5" t="s">
        <v>17756</v>
      </c>
      <c r="E1849" s="32">
        <v>1775</v>
      </c>
      <c r="F1849" s="27">
        <v>22832</v>
      </c>
      <c r="G1849" s="32">
        <v>1703</v>
      </c>
      <c r="H1849" s="27">
        <v>23451</v>
      </c>
      <c r="I1849" s="27">
        <v>12.863098591549296</v>
      </c>
      <c r="J1849" s="27">
        <v>13.770405167351733</v>
      </c>
      <c r="K1849" s="29">
        <v>7.0535615454157569E-2</v>
      </c>
    </row>
    <row r="1850" spans="1:11" x14ac:dyDescent="0.25">
      <c r="A1850" s="5" t="s">
        <v>6</v>
      </c>
      <c r="B1850" s="5" t="s">
        <v>9126</v>
      </c>
      <c r="C1850" s="1" t="s">
        <v>9127</v>
      </c>
      <c r="D1850" s="5" t="s">
        <v>17755</v>
      </c>
      <c r="E1850" s="32">
        <v>7</v>
      </c>
      <c r="F1850" s="27">
        <v>14</v>
      </c>
      <c r="G1850" s="32">
        <v>14</v>
      </c>
      <c r="H1850" s="27">
        <v>28</v>
      </c>
      <c r="I1850" s="27">
        <v>2</v>
      </c>
      <c r="J1850" s="27">
        <v>2</v>
      </c>
      <c r="K1850" s="29">
        <v>0</v>
      </c>
    </row>
    <row r="1851" spans="1:11" x14ac:dyDescent="0.25">
      <c r="A1851" s="5" t="s">
        <v>6</v>
      </c>
      <c r="B1851" s="5" t="s">
        <v>9129</v>
      </c>
      <c r="C1851" s="1" t="s">
        <v>9130</v>
      </c>
      <c r="D1851" s="5" t="s">
        <v>17756</v>
      </c>
      <c r="E1851" s="32">
        <v>1616</v>
      </c>
      <c r="F1851" s="27">
        <v>28936</v>
      </c>
      <c r="G1851" s="32">
        <v>1340</v>
      </c>
      <c r="H1851" s="27">
        <v>25089</v>
      </c>
      <c r="I1851" s="27">
        <v>17.905940594059405</v>
      </c>
      <c r="J1851" s="27">
        <v>18.72313432835821</v>
      </c>
      <c r="K1851" s="29">
        <v>4.5638135009222702E-2</v>
      </c>
    </row>
    <row r="1852" spans="1:11" x14ac:dyDescent="0.25">
      <c r="A1852" s="5" t="s">
        <v>6</v>
      </c>
      <c r="B1852" s="5" t="s">
        <v>9138</v>
      </c>
      <c r="C1852" s="1" t="s">
        <v>9139</v>
      </c>
      <c r="D1852" s="5" t="s">
        <v>17755</v>
      </c>
      <c r="G1852" s="32">
        <v>4410</v>
      </c>
      <c r="H1852" s="27">
        <v>64359.3</v>
      </c>
      <c r="J1852" s="27">
        <v>14.593945578231294</v>
      </c>
    </row>
    <row r="1853" spans="1:11" x14ac:dyDescent="0.25">
      <c r="A1853" s="5" t="s">
        <v>6</v>
      </c>
      <c r="B1853" s="5" t="s">
        <v>9141</v>
      </c>
      <c r="C1853" s="1" t="s">
        <v>9142</v>
      </c>
      <c r="D1853" s="5" t="s">
        <v>17755</v>
      </c>
      <c r="E1853" s="32">
        <v>1181</v>
      </c>
      <c r="F1853" s="27">
        <v>31633</v>
      </c>
      <c r="G1853" s="32">
        <v>1276</v>
      </c>
      <c r="H1853" s="27">
        <v>36286</v>
      </c>
      <c r="I1853" s="27">
        <v>26.784928027095681</v>
      </c>
      <c r="J1853" s="27">
        <v>28.437304075235108</v>
      </c>
      <c r="K1853" s="29">
        <v>6.1690516639353307E-2</v>
      </c>
    </row>
    <row r="1854" spans="1:11" x14ac:dyDescent="0.25">
      <c r="A1854" s="5" t="s">
        <v>6</v>
      </c>
      <c r="B1854" s="5" t="s">
        <v>9144</v>
      </c>
      <c r="C1854" s="1" t="s">
        <v>9145</v>
      </c>
      <c r="D1854" s="5" t="s">
        <v>17755</v>
      </c>
      <c r="E1854" s="32">
        <v>52</v>
      </c>
      <c r="F1854" s="27">
        <v>824</v>
      </c>
      <c r="G1854" s="32">
        <v>44</v>
      </c>
      <c r="H1854" s="27">
        <v>723</v>
      </c>
      <c r="I1854" s="27">
        <v>15.846153846153847</v>
      </c>
      <c r="J1854" s="27">
        <v>16.431818181818183</v>
      </c>
      <c r="K1854" s="29">
        <v>3.6959399823477561E-2</v>
      </c>
    </row>
    <row r="1855" spans="1:11" x14ac:dyDescent="0.25">
      <c r="A1855" s="5" t="s">
        <v>6</v>
      </c>
      <c r="B1855" s="5" t="s">
        <v>9147</v>
      </c>
      <c r="C1855" s="1" t="s">
        <v>9148</v>
      </c>
      <c r="D1855" s="5" t="s">
        <v>17755</v>
      </c>
      <c r="E1855" s="32">
        <v>181</v>
      </c>
      <c r="F1855" s="27">
        <v>5354</v>
      </c>
      <c r="G1855" s="32">
        <v>299</v>
      </c>
      <c r="H1855" s="27">
        <v>9488</v>
      </c>
      <c r="I1855" s="27">
        <v>29.58011049723757</v>
      </c>
      <c r="J1855" s="27">
        <v>31.732441471571907</v>
      </c>
      <c r="K1855" s="29">
        <v>7.2762776681829469E-2</v>
      </c>
    </row>
    <row r="1856" spans="1:11" x14ac:dyDescent="0.25">
      <c r="A1856" s="5" t="s">
        <v>6</v>
      </c>
      <c r="B1856" s="5" t="s">
        <v>9150</v>
      </c>
      <c r="C1856" s="1" t="s">
        <v>9151</v>
      </c>
      <c r="D1856" s="5" t="s">
        <v>17755</v>
      </c>
      <c r="E1856" s="32">
        <v>9171</v>
      </c>
      <c r="F1856" s="27">
        <v>677247</v>
      </c>
      <c r="G1856" s="32">
        <v>9977</v>
      </c>
      <c r="H1856" s="27">
        <v>787383</v>
      </c>
      <c r="I1856" s="27">
        <v>73.846581615963359</v>
      </c>
      <c r="J1856" s="27">
        <v>78.919815575824401</v>
      </c>
      <c r="K1856" s="29">
        <v>6.8699645248905677E-2</v>
      </c>
    </row>
    <row r="1857" spans="1:11" x14ac:dyDescent="0.25">
      <c r="A1857" s="5" t="s">
        <v>6</v>
      </c>
      <c r="B1857" s="5" t="s">
        <v>9153</v>
      </c>
      <c r="C1857" s="1" t="s">
        <v>9154</v>
      </c>
      <c r="D1857" s="5" t="s">
        <v>17755</v>
      </c>
      <c r="E1857" s="32">
        <v>6132</v>
      </c>
      <c r="F1857" s="27">
        <v>109720</v>
      </c>
      <c r="G1857" s="32">
        <v>6287</v>
      </c>
      <c r="H1857" s="27">
        <v>116819</v>
      </c>
      <c r="I1857" s="27">
        <v>17.893020221787346</v>
      </c>
      <c r="J1857" s="27">
        <v>18.581040241768729</v>
      </c>
      <c r="K1857" s="29">
        <v>3.8451866227905973E-2</v>
      </c>
    </row>
    <row r="1858" spans="1:11" x14ac:dyDescent="0.25">
      <c r="A1858" s="5" t="s">
        <v>6</v>
      </c>
      <c r="B1858" s="5" t="s">
        <v>9168</v>
      </c>
      <c r="C1858" s="1" t="s">
        <v>9169</v>
      </c>
      <c r="D1858" s="5" t="s">
        <v>17755</v>
      </c>
      <c r="E1858" s="32">
        <v>13</v>
      </c>
      <c r="F1858" s="27">
        <v>377</v>
      </c>
      <c r="G1858" s="32">
        <v>23</v>
      </c>
      <c r="H1858" s="27">
        <v>693</v>
      </c>
      <c r="I1858" s="27">
        <v>29</v>
      </c>
      <c r="J1858" s="27">
        <v>30.130434782608695</v>
      </c>
      <c r="K1858" s="29">
        <v>3.8980509745127429E-2</v>
      </c>
    </row>
    <row r="1859" spans="1:11" x14ac:dyDescent="0.25">
      <c r="A1859" s="5" t="s">
        <v>6</v>
      </c>
      <c r="B1859" s="5" t="s">
        <v>9171</v>
      </c>
      <c r="C1859" s="1" t="s">
        <v>9172</v>
      </c>
      <c r="D1859" s="5" t="s">
        <v>17755</v>
      </c>
      <c r="E1859" s="32">
        <v>248</v>
      </c>
      <c r="F1859" s="27">
        <v>1240</v>
      </c>
      <c r="G1859" s="32">
        <v>141</v>
      </c>
      <c r="H1859" s="27">
        <v>705</v>
      </c>
      <c r="I1859" s="27">
        <v>5</v>
      </c>
      <c r="J1859" s="27">
        <v>5</v>
      </c>
      <c r="K1859" s="29">
        <v>0</v>
      </c>
    </row>
    <row r="1860" spans="1:11" x14ac:dyDescent="0.25">
      <c r="A1860" s="5" t="s">
        <v>6</v>
      </c>
      <c r="B1860" s="5" t="s">
        <v>9183</v>
      </c>
      <c r="C1860" s="1" t="s">
        <v>9184</v>
      </c>
      <c r="D1860" s="5" t="s">
        <v>17755</v>
      </c>
      <c r="E1860" s="32">
        <v>10</v>
      </c>
      <c r="F1860" s="27">
        <v>3120</v>
      </c>
      <c r="I1860" s="27">
        <v>312</v>
      </c>
    </row>
    <row r="1861" spans="1:11" x14ac:dyDescent="0.25">
      <c r="A1861" s="5" t="s">
        <v>6</v>
      </c>
      <c r="B1861" s="5" t="s">
        <v>9186</v>
      </c>
      <c r="C1861" s="1" t="s">
        <v>9187</v>
      </c>
      <c r="D1861" s="5" t="s">
        <v>17766</v>
      </c>
      <c r="E1861" s="32">
        <v>815</v>
      </c>
      <c r="F1861" s="27">
        <v>113760</v>
      </c>
      <c r="G1861" s="32">
        <v>599</v>
      </c>
      <c r="H1861" s="27">
        <v>88342</v>
      </c>
      <c r="I1861" s="27">
        <v>139.58282208588957</v>
      </c>
      <c r="J1861" s="27">
        <v>147.48247078464107</v>
      </c>
      <c r="K1861" s="29">
        <v>5.6594705427940095E-2</v>
      </c>
    </row>
    <row r="1862" spans="1:11" x14ac:dyDescent="0.25">
      <c r="A1862" s="5" t="s">
        <v>6</v>
      </c>
      <c r="B1862" s="5" t="s">
        <v>9195</v>
      </c>
      <c r="C1862" s="1" t="s">
        <v>9196</v>
      </c>
      <c r="D1862" s="5" t="s">
        <v>17755</v>
      </c>
      <c r="E1862" s="32">
        <v>572</v>
      </c>
      <c r="F1862" s="27">
        <v>6205</v>
      </c>
      <c r="G1862" s="32">
        <v>543</v>
      </c>
      <c r="H1862" s="27">
        <v>6109</v>
      </c>
      <c r="I1862" s="27">
        <v>10.847902097902098</v>
      </c>
      <c r="J1862" s="27">
        <v>11.250460405156538</v>
      </c>
      <c r="K1862" s="29">
        <v>3.710932340846728E-2</v>
      </c>
    </row>
    <row r="1863" spans="1:11" x14ac:dyDescent="0.25">
      <c r="A1863" s="5" t="s">
        <v>6</v>
      </c>
      <c r="B1863" s="5" t="s">
        <v>9201</v>
      </c>
      <c r="C1863" s="1" t="s">
        <v>9202</v>
      </c>
      <c r="D1863" s="5" t="s">
        <v>17756</v>
      </c>
      <c r="E1863" s="32">
        <v>1</v>
      </c>
      <c r="F1863" s="27">
        <v>9</v>
      </c>
      <c r="I1863" s="27">
        <v>9</v>
      </c>
    </row>
    <row r="1864" spans="1:11" x14ac:dyDescent="0.25">
      <c r="A1864" s="5" t="s">
        <v>6</v>
      </c>
      <c r="B1864" s="5" t="s">
        <v>9204</v>
      </c>
      <c r="C1864" s="1" t="s">
        <v>9205</v>
      </c>
      <c r="D1864" s="5" t="s">
        <v>17756</v>
      </c>
      <c r="E1864" s="32">
        <v>267</v>
      </c>
      <c r="F1864" s="27">
        <v>7111</v>
      </c>
      <c r="G1864" s="32">
        <v>355</v>
      </c>
      <c r="H1864" s="27">
        <v>10059</v>
      </c>
      <c r="I1864" s="27">
        <v>26.632958801498127</v>
      </c>
      <c r="J1864" s="27">
        <v>28.335211267605633</v>
      </c>
      <c r="K1864" s="29">
        <v>6.3915259239305883E-2</v>
      </c>
    </row>
    <row r="1865" spans="1:11" x14ac:dyDescent="0.25">
      <c r="A1865" s="5" t="s">
        <v>6</v>
      </c>
      <c r="B1865" s="5" t="s">
        <v>9209</v>
      </c>
      <c r="C1865" s="1" t="s">
        <v>9210</v>
      </c>
      <c r="D1865" s="5" t="s">
        <v>17756</v>
      </c>
      <c r="E1865" s="32">
        <v>649</v>
      </c>
      <c r="F1865" s="27">
        <v>7047</v>
      </c>
      <c r="G1865" s="32">
        <v>1325</v>
      </c>
      <c r="H1865" s="27">
        <v>15508</v>
      </c>
      <c r="I1865" s="27">
        <v>10.858243451463791</v>
      </c>
      <c r="J1865" s="27">
        <v>11.704150943396227</v>
      </c>
      <c r="K1865" s="29">
        <v>7.7904634917575044E-2</v>
      </c>
    </row>
    <row r="1866" spans="1:11" x14ac:dyDescent="0.25">
      <c r="A1866" s="5" t="s">
        <v>6</v>
      </c>
      <c r="B1866" s="5" t="s">
        <v>9211</v>
      </c>
      <c r="C1866" s="1" t="s">
        <v>9212</v>
      </c>
      <c r="D1866" s="5" t="s">
        <v>17755</v>
      </c>
      <c r="E1866" s="32">
        <v>1581</v>
      </c>
      <c r="F1866" s="27">
        <v>140568</v>
      </c>
      <c r="G1866" s="32">
        <v>1158</v>
      </c>
      <c r="H1866" s="27">
        <v>109043</v>
      </c>
      <c r="I1866" s="27">
        <v>88.910815939278933</v>
      </c>
      <c r="J1866" s="27">
        <v>94.16493955094991</v>
      </c>
      <c r="K1866" s="29">
        <v>5.9094313286465021E-2</v>
      </c>
    </row>
    <row r="1867" spans="1:11" x14ac:dyDescent="0.25">
      <c r="A1867" s="5" t="s">
        <v>6</v>
      </c>
      <c r="B1867" s="5" t="s">
        <v>9213</v>
      </c>
      <c r="C1867" s="1" t="s">
        <v>9214</v>
      </c>
      <c r="D1867" s="5" t="s">
        <v>17755</v>
      </c>
      <c r="E1867" s="32">
        <v>311</v>
      </c>
      <c r="F1867" s="27">
        <v>4354</v>
      </c>
      <c r="G1867" s="32">
        <v>831</v>
      </c>
      <c r="H1867" s="27">
        <v>12322</v>
      </c>
      <c r="I1867" s="27">
        <v>14</v>
      </c>
      <c r="J1867" s="27">
        <v>14.82791817087846</v>
      </c>
      <c r="K1867" s="29">
        <v>5.91370122056043E-2</v>
      </c>
    </row>
    <row r="1868" spans="1:11" x14ac:dyDescent="0.25">
      <c r="A1868" s="5" t="s">
        <v>6</v>
      </c>
      <c r="B1868" s="5" t="s">
        <v>9219</v>
      </c>
      <c r="C1868" s="1" t="s">
        <v>9220</v>
      </c>
      <c r="D1868" s="5" t="s">
        <v>17756</v>
      </c>
      <c r="E1868" s="32">
        <v>374</v>
      </c>
      <c r="F1868" s="27">
        <v>1870</v>
      </c>
      <c r="G1868" s="32">
        <v>425</v>
      </c>
      <c r="H1868" s="27">
        <v>2125</v>
      </c>
      <c r="I1868" s="27">
        <v>5</v>
      </c>
      <c r="J1868" s="27">
        <v>5</v>
      </c>
      <c r="K1868" s="29">
        <v>0</v>
      </c>
    </row>
    <row r="1869" spans="1:11" x14ac:dyDescent="0.25">
      <c r="A1869" s="5" t="s">
        <v>6</v>
      </c>
      <c r="B1869" s="5" t="s">
        <v>9228</v>
      </c>
      <c r="C1869" s="1" t="s">
        <v>9229</v>
      </c>
      <c r="D1869" s="5" t="s">
        <v>17755</v>
      </c>
      <c r="E1869" s="32">
        <v>461</v>
      </c>
      <c r="F1869" s="27">
        <v>9505</v>
      </c>
      <c r="G1869" s="32">
        <v>466</v>
      </c>
      <c r="H1869" s="27">
        <v>10114</v>
      </c>
      <c r="I1869" s="27">
        <v>20.61822125813449</v>
      </c>
      <c r="J1869" s="27">
        <v>21.703862660944207</v>
      </c>
      <c r="K1869" s="29">
        <v>5.265446467072904E-2</v>
      </c>
    </row>
    <row r="1870" spans="1:11" x14ac:dyDescent="0.25">
      <c r="A1870" s="5" t="s">
        <v>6</v>
      </c>
      <c r="B1870" s="5" t="s">
        <v>9231</v>
      </c>
      <c r="C1870" s="1" t="s">
        <v>9232</v>
      </c>
      <c r="D1870" s="5" t="s">
        <v>17755</v>
      </c>
      <c r="E1870" s="32">
        <v>13</v>
      </c>
      <c r="F1870" s="27">
        <v>828</v>
      </c>
      <c r="G1870" s="32">
        <v>15</v>
      </c>
      <c r="H1870" s="27">
        <v>1065</v>
      </c>
      <c r="I1870" s="27">
        <v>63.692307692307693</v>
      </c>
      <c r="J1870" s="27">
        <v>71</v>
      </c>
      <c r="K1870" s="29">
        <v>0.11473429951690819</v>
      </c>
    </row>
    <row r="1871" spans="1:11" x14ac:dyDescent="0.25">
      <c r="A1871" s="5" t="s">
        <v>6</v>
      </c>
      <c r="B1871" s="5" t="s">
        <v>9234</v>
      </c>
      <c r="C1871" s="1" t="s">
        <v>9235</v>
      </c>
      <c r="D1871" s="5" t="s">
        <v>17755</v>
      </c>
      <c r="E1871" s="32">
        <v>3193</v>
      </c>
      <c r="F1871" s="27">
        <v>85207</v>
      </c>
      <c r="G1871" s="32">
        <v>5468</v>
      </c>
      <c r="H1871" s="27">
        <v>155426</v>
      </c>
      <c r="I1871" s="27">
        <v>26.685562167240839</v>
      </c>
      <c r="J1871" s="27">
        <v>28.424652523774689</v>
      </c>
      <c r="K1871" s="29">
        <v>6.5169710333805725E-2</v>
      </c>
    </row>
    <row r="1872" spans="1:11" x14ac:dyDescent="0.25">
      <c r="A1872" s="5" t="s">
        <v>6</v>
      </c>
      <c r="B1872" s="5" t="s">
        <v>9243</v>
      </c>
      <c r="C1872" s="1" t="s">
        <v>9244</v>
      </c>
      <c r="D1872" s="5" t="s">
        <v>17755</v>
      </c>
      <c r="E1872" s="32">
        <v>1064</v>
      </c>
      <c r="F1872" s="27">
        <v>60622</v>
      </c>
      <c r="G1872" s="32">
        <v>1069</v>
      </c>
      <c r="H1872" s="27">
        <v>65707</v>
      </c>
      <c r="I1872" s="27">
        <v>56.975563909774436</v>
      </c>
      <c r="J1872" s="27">
        <v>61.465855940130965</v>
      </c>
      <c r="K1872" s="29">
        <v>7.8810839634115434E-2</v>
      </c>
    </row>
    <row r="1873" spans="1:11" x14ac:dyDescent="0.25">
      <c r="A1873" s="5" t="s">
        <v>6</v>
      </c>
      <c r="B1873" s="5" t="s">
        <v>9259</v>
      </c>
      <c r="C1873" s="1" t="s">
        <v>9260</v>
      </c>
      <c r="D1873" s="5" t="s">
        <v>17755</v>
      </c>
      <c r="E1873" s="32">
        <v>5</v>
      </c>
      <c r="F1873" s="27">
        <v>90</v>
      </c>
      <c r="I1873" s="27">
        <v>18</v>
      </c>
    </row>
    <row r="1874" spans="1:11" x14ac:dyDescent="0.25">
      <c r="A1874" s="5" t="s">
        <v>6</v>
      </c>
      <c r="B1874" s="5" t="s">
        <v>9262</v>
      </c>
      <c r="C1874" s="1" t="s">
        <v>9263</v>
      </c>
      <c r="D1874" s="5" t="s">
        <v>17755</v>
      </c>
      <c r="E1874" s="32">
        <v>12</v>
      </c>
      <c r="F1874" s="27">
        <v>284</v>
      </c>
      <c r="G1874" s="32">
        <v>18</v>
      </c>
      <c r="H1874" s="27">
        <v>464</v>
      </c>
      <c r="I1874" s="27">
        <v>23.666666666666668</v>
      </c>
      <c r="J1874" s="27">
        <v>25.777777777777779</v>
      </c>
      <c r="K1874" s="29">
        <v>8.9201877934272283E-2</v>
      </c>
    </row>
    <row r="1875" spans="1:11" x14ac:dyDescent="0.25">
      <c r="A1875" s="5" t="s">
        <v>6</v>
      </c>
      <c r="B1875" s="5" t="s">
        <v>9277</v>
      </c>
      <c r="C1875" s="1" t="s">
        <v>9278</v>
      </c>
      <c r="D1875" s="5" t="s">
        <v>17755</v>
      </c>
      <c r="E1875" s="32">
        <v>453</v>
      </c>
      <c r="F1875" s="27">
        <v>4433</v>
      </c>
      <c r="G1875" s="32">
        <v>81</v>
      </c>
      <c r="H1875" s="27">
        <v>855</v>
      </c>
      <c r="I1875" s="27">
        <v>9.7858719646799113</v>
      </c>
      <c r="J1875" s="27">
        <v>10.555555555555555</v>
      </c>
      <c r="K1875" s="29">
        <v>7.8652530265433521E-2</v>
      </c>
    </row>
    <row r="1876" spans="1:11" x14ac:dyDescent="0.25">
      <c r="A1876" s="5" t="s">
        <v>6</v>
      </c>
      <c r="B1876" s="5" t="s">
        <v>9282</v>
      </c>
      <c r="C1876" s="1" t="s">
        <v>9283</v>
      </c>
      <c r="D1876" s="5" t="s">
        <v>17755</v>
      </c>
      <c r="E1876" s="32">
        <v>18</v>
      </c>
      <c r="F1876" s="27">
        <v>154</v>
      </c>
      <c r="G1876" s="32">
        <v>16</v>
      </c>
      <c r="H1876" s="27">
        <v>157</v>
      </c>
      <c r="I1876" s="27">
        <v>8.5555555555555554</v>
      </c>
      <c r="J1876" s="27">
        <v>9.8125</v>
      </c>
      <c r="K1876" s="29">
        <v>0.14691558441558444</v>
      </c>
    </row>
    <row r="1877" spans="1:11" x14ac:dyDescent="0.25">
      <c r="A1877" s="5" t="s">
        <v>6</v>
      </c>
      <c r="B1877" s="5" t="s">
        <v>9285</v>
      </c>
      <c r="C1877" s="1" t="s">
        <v>9286</v>
      </c>
      <c r="D1877" s="5" t="s">
        <v>17755</v>
      </c>
      <c r="E1877" s="32">
        <v>216</v>
      </c>
      <c r="F1877" s="27">
        <v>15912</v>
      </c>
      <c r="G1877" s="32">
        <v>168</v>
      </c>
      <c r="H1877" s="27">
        <v>13044</v>
      </c>
      <c r="I1877" s="27">
        <v>73.666666666666671</v>
      </c>
      <c r="J1877" s="27">
        <v>77.642857142857139</v>
      </c>
      <c r="K1877" s="29">
        <v>5.3975436328377382E-2</v>
      </c>
    </row>
    <row r="1878" spans="1:11" x14ac:dyDescent="0.25">
      <c r="A1878" s="5" t="s">
        <v>6</v>
      </c>
      <c r="B1878" s="5" t="s">
        <v>9288</v>
      </c>
      <c r="C1878" s="1" t="s">
        <v>9289</v>
      </c>
      <c r="D1878" s="5" t="s">
        <v>17755</v>
      </c>
      <c r="E1878" s="32">
        <v>81</v>
      </c>
      <c r="F1878" s="27">
        <v>5898</v>
      </c>
      <c r="G1878" s="32">
        <v>116</v>
      </c>
      <c r="H1878" s="27">
        <v>9184</v>
      </c>
      <c r="I1878" s="27">
        <v>72.81481481481481</v>
      </c>
      <c r="J1878" s="27">
        <v>79.172413793103445</v>
      </c>
      <c r="K1878" s="29">
        <v>8.7311888308134869E-2</v>
      </c>
    </row>
    <row r="1879" spans="1:11" x14ac:dyDescent="0.25">
      <c r="A1879" s="5" t="s">
        <v>6</v>
      </c>
      <c r="B1879" s="5" t="s">
        <v>9303</v>
      </c>
      <c r="C1879" s="1" t="s">
        <v>9304</v>
      </c>
      <c r="D1879" s="5" t="s">
        <v>17756</v>
      </c>
      <c r="E1879" s="32">
        <v>106</v>
      </c>
      <c r="F1879" s="27">
        <v>2168</v>
      </c>
      <c r="G1879" s="32">
        <v>128</v>
      </c>
      <c r="H1879" s="27">
        <v>2902</v>
      </c>
      <c r="I1879" s="27">
        <v>20.452830188679247</v>
      </c>
      <c r="J1879" s="27">
        <v>22.671875</v>
      </c>
      <c r="K1879" s="29">
        <v>0.10849573339483386</v>
      </c>
    </row>
    <row r="1880" spans="1:11" x14ac:dyDescent="0.25">
      <c r="A1880" s="5" t="s">
        <v>6</v>
      </c>
      <c r="B1880" s="5" t="s">
        <v>9305</v>
      </c>
      <c r="C1880" s="1" t="s">
        <v>9306</v>
      </c>
      <c r="D1880" s="5" t="s">
        <v>17756</v>
      </c>
      <c r="E1880" s="32">
        <v>5</v>
      </c>
      <c r="F1880" s="27">
        <v>358</v>
      </c>
      <c r="I1880" s="27">
        <v>71.599999999999994</v>
      </c>
    </row>
    <row r="1881" spans="1:11" x14ac:dyDescent="0.25">
      <c r="A1881" s="5" t="s">
        <v>6</v>
      </c>
      <c r="B1881" s="5" t="s">
        <v>9314</v>
      </c>
      <c r="C1881" s="1" t="s">
        <v>9315</v>
      </c>
      <c r="D1881" s="5" t="s">
        <v>17756</v>
      </c>
      <c r="E1881" s="32">
        <v>7</v>
      </c>
      <c r="F1881" s="27">
        <v>526</v>
      </c>
      <c r="G1881" s="32">
        <v>6</v>
      </c>
      <c r="H1881" s="27">
        <v>474</v>
      </c>
      <c r="I1881" s="27">
        <v>75.142857142857139</v>
      </c>
      <c r="J1881" s="27">
        <v>79</v>
      </c>
      <c r="K1881" s="29">
        <v>5.133079847908751E-2</v>
      </c>
    </row>
    <row r="1882" spans="1:11" x14ac:dyDescent="0.25">
      <c r="A1882" s="5" t="s">
        <v>6</v>
      </c>
      <c r="B1882" s="5" t="s">
        <v>9320</v>
      </c>
      <c r="C1882" s="1" t="s">
        <v>9321</v>
      </c>
      <c r="D1882" s="5" t="s">
        <v>17755</v>
      </c>
      <c r="E1882" s="32">
        <v>1593</v>
      </c>
      <c r="F1882" s="27">
        <v>33035</v>
      </c>
      <c r="G1882" s="32">
        <v>2717</v>
      </c>
      <c r="H1882" s="27">
        <v>61021</v>
      </c>
      <c r="I1882" s="27">
        <v>20.73760200878845</v>
      </c>
      <c r="J1882" s="27">
        <v>22.458962090541039</v>
      </c>
      <c r="K1882" s="29">
        <v>8.3006708346658839E-2</v>
      </c>
    </row>
    <row r="1883" spans="1:11" x14ac:dyDescent="0.25">
      <c r="A1883" s="5" t="s">
        <v>6</v>
      </c>
      <c r="B1883" s="5" t="s">
        <v>9326</v>
      </c>
      <c r="C1883" s="1" t="s">
        <v>9327</v>
      </c>
      <c r="D1883" s="5" t="s">
        <v>17756</v>
      </c>
      <c r="E1883" s="32">
        <v>47</v>
      </c>
      <c r="F1883" s="27">
        <v>235</v>
      </c>
      <c r="G1883" s="32">
        <v>42</v>
      </c>
      <c r="H1883" s="27">
        <v>210</v>
      </c>
      <c r="I1883" s="27">
        <v>5</v>
      </c>
      <c r="J1883" s="27">
        <v>5</v>
      </c>
      <c r="K1883" s="29">
        <v>0</v>
      </c>
    </row>
    <row r="1884" spans="1:11" x14ac:dyDescent="0.25">
      <c r="A1884" s="5" t="s">
        <v>6</v>
      </c>
      <c r="B1884" s="5" t="s">
        <v>9329</v>
      </c>
      <c r="C1884" s="1" t="s">
        <v>9330</v>
      </c>
      <c r="D1884" s="5" t="s">
        <v>17755</v>
      </c>
      <c r="E1884" s="32">
        <v>6</v>
      </c>
      <c r="F1884" s="27">
        <v>213</v>
      </c>
      <c r="I1884" s="27">
        <v>35.5</v>
      </c>
    </row>
    <row r="1885" spans="1:11" x14ac:dyDescent="0.25">
      <c r="A1885" s="5" t="s">
        <v>6</v>
      </c>
      <c r="B1885" s="5" t="s">
        <v>9332</v>
      </c>
      <c r="C1885" s="1" t="s">
        <v>9333</v>
      </c>
      <c r="D1885" s="5" t="s">
        <v>17755</v>
      </c>
      <c r="E1885" s="32">
        <v>0</v>
      </c>
      <c r="F1885" s="27">
        <v>0</v>
      </c>
      <c r="G1885" s="32">
        <v>489</v>
      </c>
      <c r="H1885" s="27">
        <v>2445</v>
      </c>
      <c r="J1885" s="27">
        <v>5</v>
      </c>
    </row>
    <row r="1886" spans="1:11" x14ac:dyDescent="0.25">
      <c r="A1886" s="5" t="s">
        <v>6</v>
      </c>
      <c r="B1886" s="5" t="s">
        <v>9335</v>
      </c>
      <c r="C1886" s="1" t="s">
        <v>9336</v>
      </c>
      <c r="D1886" s="5" t="s">
        <v>17755</v>
      </c>
      <c r="E1886" s="32">
        <v>227</v>
      </c>
      <c r="F1886" s="27">
        <v>3178</v>
      </c>
      <c r="G1886" s="32">
        <v>35</v>
      </c>
      <c r="H1886" s="27">
        <v>522</v>
      </c>
      <c r="I1886" s="27">
        <v>14</v>
      </c>
      <c r="J1886" s="27">
        <v>14.914285714285715</v>
      </c>
      <c r="K1886" s="29">
        <v>6.5306122448979612E-2</v>
      </c>
    </row>
    <row r="1887" spans="1:11" x14ac:dyDescent="0.25">
      <c r="A1887" s="5" t="s">
        <v>6</v>
      </c>
      <c r="B1887" s="5" t="s">
        <v>9338</v>
      </c>
      <c r="C1887" s="1" t="s">
        <v>9339</v>
      </c>
      <c r="D1887" s="5" t="s">
        <v>17755</v>
      </c>
      <c r="E1887" s="32">
        <v>2025</v>
      </c>
      <c r="F1887" s="27">
        <v>26202</v>
      </c>
      <c r="G1887" s="32">
        <v>2681</v>
      </c>
      <c r="H1887" s="27">
        <v>36564</v>
      </c>
      <c r="I1887" s="27">
        <v>12.939259259259259</v>
      </c>
      <c r="J1887" s="27">
        <v>13.638194703468855</v>
      </c>
      <c r="K1887" s="29">
        <v>5.4016650428380719E-2</v>
      </c>
    </row>
    <row r="1888" spans="1:11" x14ac:dyDescent="0.25">
      <c r="A1888" s="5" t="s">
        <v>6</v>
      </c>
      <c r="B1888" s="5" t="s">
        <v>9341</v>
      </c>
      <c r="C1888" s="1" t="s">
        <v>9342</v>
      </c>
      <c r="D1888" s="5" t="s">
        <v>17755</v>
      </c>
      <c r="E1888" s="32">
        <v>89</v>
      </c>
      <c r="F1888" s="27">
        <v>45145</v>
      </c>
      <c r="G1888" s="32">
        <v>166</v>
      </c>
      <c r="H1888" s="27">
        <v>89879</v>
      </c>
      <c r="I1888" s="27">
        <v>507.24719101123594</v>
      </c>
      <c r="J1888" s="27">
        <v>541.43975903614455</v>
      </c>
      <c r="K1888" s="29">
        <v>6.7408097335626679E-2</v>
      </c>
    </row>
    <row r="1889" spans="1:11" x14ac:dyDescent="0.25">
      <c r="A1889" s="5" t="s">
        <v>6</v>
      </c>
      <c r="B1889" s="5" t="s">
        <v>9350</v>
      </c>
      <c r="C1889" s="1" t="s">
        <v>9351</v>
      </c>
      <c r="D1889" s="5" t="s">
        <v>17756</v>
      </c>
      <c r="E1889" s="32">
        <v>6</v>
      </c>
      <c r="F1889" s="27">
        <v>54</v>
      </c>
      <c r="I1889" s="27">
        <v>9</v>
      </c>
    </row>
    <row r="1890" spans="1:11" x14ac:dyDescent="0.25">
      <c r="A1890" s="5" t="s">
        <v>6</v>
      </c>
      <c r="B1890" s="5" t="s">
        <v>9353</v>
      </c>
      <c r="C1890" s="1" t="s">
        <v>9354</v>
      </c>
      <c r="D1890" s="5" t="s">
        <v>17767</v>
      </c>
      <c r="E1890" s="32">
        <v>161</v>
      </c>
      <c r="F1890" s="27">
        <v>49893</v>
      </c>
      <c r="G1890" s="32">
        <v>481</v>
      </c>
      <c r="H1890" s="27">
        <v>158128</v>
      </c>
      <c r="I1890" s="27">
        <v>309.89440993788821</v>
      </c>
      <c r="J1890" s="27">
        <v>328.74844074844077</v>
      </c>
      <c r="K1890" s="29">
        <v>6.0840177189164048E-2</v>
      </c>
    </row>
    <row r="1891" spans="1:11" x14ac:dyDescent="0.25">
      <c r="A1891" s="5" t="s">
        <v>6</v>
      </c>
      <c r="B1891" s="5" t="s">
        <v>9359</v>
      </c>
      <c r="C1891" s="1" t="s">
        <v>9360</v>
      </c>
      <c r="D1891" s="5" t="s">
        <v>17768</v>
      </c>
      <c r="E1891" s="32">
        <v>62600</v>
      </c>
      <c r="F1891" s="27">
        <v>682700</v>
      </c>
      <c r="G1891" s="32">
        <v>97800</v>
      </c>
      <c r="H1891" s="27">
        <v>1135600</v>
      </c>
      <c r="I1891" s="27">
        <v>10.905750798722044</v>
      </c>
      <c r="J1891" s="27">
        <v>11.611451942740286</v>
      </c>
      <c r="K1891" s="29">
        <v>6.4709083954214083E-2</v>
      </c>
    </row>
    <row r="1892" spans="1:11" x14ac:dyDescent="0.25">
      <c r="A1892" s="5" t="s">
        <v>6</v>
      </c>
      <c r="B1892" s="5" t="s">
        <v>9362</v>
      </c>
      <c r="C1892" s="1" t="s">
        <v>9363</v>
      </c>
      <c r="D1892" s="5" t="s">
        <v>17769</v>
      </c>
      <c r="E1892" s="32">
        <v>5640</v>
      </c>
      <c r="F1892" s="27">
        <v>28200</v>
      </c>
      <c r="G1892" s="32">
        <v>4080</v>
      </c>
      <c r="H1892" s="27">
        <v>20400</v>
      </c>
      <c r="I1892" s="27">
        <v>5</v>
      </c>
      <c r="J1892" s="27">
        <v>5</v>
      </c>
      <c r="K1892" s="29">
        <v>0</v>
      </c>
    </row>
    <row r="1893" spans="1:11" x14ac:dyDescent="0.25">
      <c r="A1893" s="5" t="s">
        <v>6</v>
      </c>
      <c r="B1893" s="5" t="s">
        <v>9368</v>
      </c>
      <c r="C1893" s="1" t="s">
        <v>9369</v>
      </c>
      <c r="D1893" s="5" t="s">
        <v>17770</v>
      </c>
      <c r="E1893" s="32">
        <v>2151</v>
      </c>
      <c r="F1893" s="27">
        <v>4748925</v>
      </c>
      <c r="G1893" s="32">
        <v>2405</v>
      </c>
      <c r="H1893" s="27">
        <v>5679016</v>
      </c>
      <c r="I1893" s="27">
        <v>2207.7754532775452</v>
      </c>
      <c r="J1893" s="27">
        <v>2361.3372141372142</v>
      </c>
      <c r="K1893" s="29">
        <v>6.9554972464115142E-2</v>
      </c>
    </row>
    <row r="1894" spans="1:11" x14ac:dyDescent="0.25">
      <c r="A1894" s="5" t="s">
        <v>6</v>
      </c>
      <c r="B1894" s="5" t="s">
        <v>9371</v>
      </c>
      <c r="C1894" s="1" t="s">
        <v>9372</v>
      </c>
      <c r="D1894" s="5" t="s">
        <v>17771</v>
      </c>
      <c r="E1894" s="32">
        <v>1968</v>
      </c>
      <c r="F1894" s="27">
        <v>29220</v>
      </c>
      <c r="G1894" s="32">
        <v>2904</v>
      </c>
      <c r="H1894" s="27">
        <v>45282</v>
      </c>
      <c r="I1894" s="27">
        <v>14.847560975609756</v>
      </c>
      <c r="J1894" s="27">
        <v>15.59297520661157</v>
      </c>
      <c r="K1894" s="29">
        <v>5.0204490301559511E-2</v>
      </c>
    </row>
    <row r="1895" spans="1:11" x14ac:dyDescent="0.25">
      <c r="A1895" s="5" t="s">
        <v>6</v>
      </c>
      <c r="B1895" s="5" t="s">
        <v>9374</v>
      </c>
      <c r="C1895" s="1" t="s">
        <v>9375</v>
      </c>
      <c r="D1895" s="5" t="s">
        <v>17772</v>
      </c>
      <c r="E1895" s="32">
        <v>12928</v>
      </c>
      <c r="F1895" s="27">
        <v>28530529</v>
      </c>
      <c r="G1895" s="32">
        <v>10676</v>
      </c>
      <c r="H1895" s="27">
        <v>25054547</v>
      </c>
      <c r="I1895" s="27">
        <v>2206.8787902227723</v>
      </c>
      <c r="J1895" s="27">
        <v>2346.8103222180594</v>
      </c>
      <c r="K1895" s="29">
        <v>6.3406985746218419E-2</v>
      </c>
    </row>
    <row r="1896" spans="1:11" x14ac:dyDescent="0.25">
      <c r="A1896" s="5" t="s">
        <v>6</v>
      </c>
      <c r="B1896" s="5" t="s">
        <v>9380</v>
      </c>
      <c r="C1896" s="1" t="s">
        <v>9381</v>
      </c>
      <c r="D1896" s="5" t="s">
        <v>17773</v>
      </c>
      <c r="E1896" s="32">
        <v>4</v>
      </c>
      <c r="F1896" s="27">
        <v>104</v>
      </c>
      <c r="I1896" s="27">
        <v>26</v>
      </c>
    </row>
    <row r="1897" spans="1:11" x14ac:dyDescent="0.25">
      <c r="A1897" s="5" t="s">
        <v>6</v>
      </c>
      <c r="B1897" s="5" t="s">
        <v>9383</v>
      </c>
      <c r="C1897" s="1" t="s">
        <v>9384</v>
      </c>
      <c r="D1897" s="5" t="s">
        <v>17774</v>
      </c>
      <c r="E1897" s="32">
        <v>2104</v>
      </c>
      <c r="F1897" s="27">
        <v>742200</v>
      </c>
      <c r="G1897" s="32">
        <v>1741</v>
      </c>
      <c r="H1897" s="27">
        <v>654047</v>
      </c>
      <c r="I1897" s="27">
        <v>352.75665399239546</v>
      </c>
      <c r="J1897" s="27">
        <v>375.67317633543939</v>
      </c>
      <c r="K1897" s="29">
        <v>6.4964110764974992E-2</v>
      </c>
    </row>
    <row r="1898" spans="1:11" x14ac:dyDescent="0.25">
      <c r="A1898" s="5" t="s">
        <v>6</v>
      </c>
      <c r="B1898" s="5" t="s">
        <v>9386</v>
      </c>
      <c r="C1898" s="1" t="s">
        <v>9387</v>
      </c>
      <c r="D1898" s="5" t="s">
        <v>17775</v>
      </c>
      <c r="E1898" s="32">
        <v>1095</v>
      </c>
      <c r="F1898" s="27">
        <v>235300</v>
      </c>
      <c r="G1898" s="32">
        <v>1395</v>
      </c>
      <c r="H1898" s="27">
        <v>318195</v>
      </c>
      <c r="I1898" s="27">
        <v>214.88584474885846</v>
      </c>
      <c r="J1898" s="27">
        <v>228.09677419354838</v>
      </c>
      <c r="K1898" s="29">
        <v>6.1478825932577419E-2</v>
      </c>
    </row>
    <row r="1899" spans="1:11" x14ac:dyDescent="0.25">
      <c r="A1899" s="5" t="s">
        <v>6</v>
      </c>
      <c r="B1899" s="5" t="s">
        <v>9392</v>
      </c>
      <c r="C1899" s="1" t="s">
        <v>9393</v>
      </c>
      <c r="D1899" s="5" t="s">
        <v>17776</v>
      </c>
      <c r="E1899" s="32">
        <v>92</v>
      </c>
      <c r="F1899" s="27">
        <v>78660</v>
      </c>
      <c r="G1899" s="32">
        <v>58</v>
      </c>
      <c r="H1899" s="27">
        <v>52149</v>
      </c>
      <c r="I1899" s="27">
        <v>855</v>
      </c>
      <c r="J1899" s="27">
        <v>899.12068965517244</v>
      </c>
      <c r="K1899" s="29">
        <v>5.1603145795523324E-2</v>
      </c>
    </row>
    <row r="1900" spans="1:11" x14ac:dyDescent="0.25">
      <c r="A1900" s="5" t="s">
        <v>6</v>
      </c>
      <c r="B1900" s="5" t="s">
        <v>9395</v>
      </c>
      <c r="C1900" s="1" t="s">
        <v>9396</v>
      </c>
      <c r="D1900" s="5" t="s">
        <v>17777</v>
      </c>
      <c r="E1900" s="32">
        <v>16</v>
      </c>
      <c r="F1900" s="27">
        <v>4922</v>
      </c>
      <c r="G1900" s="32">
        <v>23</v>
      </c>
      <c r="H1900" s="27">
        <v>7566</v>
      </c>
      <c r="I1900" s="27">
        <v>307.625</v>
      </c>
      <c r="J1900" s="27">
        <v>328.95652173913044</v>
      </c>
      <c r="K1900" s="29">
        <v>6.9342614349062776E-2</v>
      </c>
    </row>
    <row r="1901" spans="1:11" x14ac:dyDescent="0.25">
      <c r="A1901" s="5" t="s">
        <v>6</v>
      </c>
      <c r="B1901" s="5" t="s">
        <v>9398</v>
      </c>
      <c r="C1901" s="1" t="s">
        <v>9399</v>
      </c>
      <c r="D1901" s="5" t="s">
        <v>17778</v>
      </c>
      <c r="E1901" s="32">
        <v>41013</v>
      </c>
      <c r="F1901" s="27">
        <v>1257887</v>
      </c>
      <c r="G1901" s="32">
        <v>42240</v>
      </c>
      <c r="H1901" s="27">
        <v>1358010</v>
      </c>
      <c r="I1901" s="27">
        <v>30.670445956160243</v>
      </c>
      <c r="J1901" s="27">
        <v>32.149857954545453</v>
      </c>
      <c r="K1901" s="29">
        <v>4.8235751136447555E-2</v>
      </c>
    </row>
    <row r="1902" spans="1:11" x14ac:dyDescent="0.25">
      <c r="A1902" s="5" t="s">
        <v>6</v>
      </c>
      <c r="B1902" s="5" t="s">
        <v>9404</v>
      </c>
      <c r="C1902" s="1" t="s">
        <v>9405</v>
      </c>
      <c r="D1902" s="5" t="s">
        <v>17779</v>
      </c>
      <c r="E1902" s="32">
        <v>41</v>
      </c>
      <c r="F1902" s="27">
        <v>34931</v>
      </c>
      <c r="I1902" s="27">
        <v>851.97560975609758</v>
      </c>
    </row>
    <row r="1903" spans="1:11" x14ac:dyDescent="0.25">
      <c r="A1903" s="5" t="s">
        <v>6</v>
      </c>
      <c r="B1903" s="5" t="s">
        <v>9410</v>
      </c>
      <c r="C1903" s="1" t="s">
        <v>9411</v>
      </c>
      <c r="D1903" s="5" t="s">
        <v>17780</v>
      </c>
      <c r="E1903" s="32">
        <v>2075</v>
      </c>
      <c r="F1903" s="27">
        <v>757375</v>
      </c>
      <c r="G1903" s="32">
        <v>1620</v>
      </c>
      <c r="H1903" s="27">
        <v>618270</v>
      </c>
      <c r="I1903" s="27">
        <v>365</v>
      </c>
      <c r="J1903" s="27">
        <v>381.64814814814815</v>
      </c>
      <c r="K1903" s="29">
        <v>4.5611364789446995E-2</v>
      </c>
    </row>
    <row r="1904" spans="1:11" x14ac:dyDescent="0.25">
      <c r="A1904" s="5" t="s">
        <v>6</v>
      </c>
      <c r="B1904" s="5" t="s">
        <v>9416</v>
      </c>
      <c r="C1904" s="1" t="s">
        <v>9417</v>
      </c>
      <c r="D1904" s="5" t="s">
        <v>17781</v>
      </c>
      <c r="E1904" s="32">
        <v>2122</v>
      </c>
      <c r="F1904" s="27">
        <v>564351</v>
      </c>
      <c r="G1904" s="32">
        <v>1526</v>
      </c>
      <c r="H1904" s="27">
        <v>433382</v>
      </c>
      <c r="I1904" s="27">
        <v>265.95240339302546</v>
      </c>
      <c r="J1904" s="27">
        <v>283.9986893840105</v>
      </c>
      <c r="K1904" s="29">
        <v>6.785532208301262E-2</v>
      </c>
    </row>
    <row r="1905" spans="1:11" x14ac:dyDescent="0.25">
      <c r="A1905" s="5" t="s">
        <v>6</v>
      </c>
      <c r="B1905" s="5" t="s">
        <v>9419</v>
      </c>
      <c r="C1905" s="1" t="s">
        <v>9420</v>
      </c>
      <c r="D1905" s="5" t="s">
        <v>17782</v>
      </c>
      <c r="E1905" s="32">
        <v>3572</v>
      </c>
      <c r="F1905" s="27">
        <v>1368228</v>
      </c>
      <c r="G1905" s="32">
        <v>5508</v>
      </c>
      <c r="H1905" s="27">
        <v>2246296</v>
      </c>
      <c r="I1905" s="27">
        <v>383.04255319148939</v>
      </c>
      <c r="J1905" s="27">
        <v>407.82425562817718</v>
      </c>
      <c r="K1905" s="29">
        <v>6.469699575205945E-2</v>
      </c>
    </row>
    <row r="1906" spans="1:11" x14ac:dyDescent="0.25">
      <c r="A1906" s="5" t="s">
        <v>6</v>
      </c>
      <c r="B1906" s="5" t="s">
        <v>9431</v>
      </c>
      <c r="C1906" s="1" t="s">
        <v>9432</v>
      </c>
      <c r="D1906" s="5" t="s">
        <v>17783</v>
      </c>
      <c r="E1906" s="32">
        <v>194400</v>
      </c>
      <c r="F1906" s="27">
        <v>388800</v>
      </c>
      <c r="G1906" s="32">
        <v>203600</v>
      </c>
      <c r="H1906" s="27">
        <v>407200</v>
      </c>
      <c r="I1906" s="27">
        <v>2</v>
      </c>
      <c r="J1906" s="27">
        <v>2</v>
      </c>
      <c r="K1906" s="29">
        <v>0</v>
      </c>
    </row>
    <row r="1907" spans="1:11" x14ac:dyDescent="0.25">
      <c r="A1907" s="5" t="s">
        <v>6</v>
      </c>
      <c r="B1907" s="5" t="s">
        <v>9434</v>
      </c>
      <c r="C1907" s="1" t="s">
        <v>9435</v>
      </c>
      <c r="D1907" s="5" t="s">
        <v>17784</v>
      </c>
      <c r="E1907" s="32">
        <v>2250</v>
      </c>
      <c r="F1907" s="27">
        <v>136750</v>
      </c>
      <c r="I1907" s="27">
        <v>60.777777777777779</v>
      </c>
    </row>
    <row r="1908" spans="1:11" x14ac:dyDescent="0.25">
      <c r="A1908" s="5" t="s">
        <v>6</v>
      </c>
      <c r="B1908" s="5" t="s">
        <v>9437</v>
      </c>
      <c r="C1908" s="1" t="s">
        <v>9438</v>
      </c>
      <c r="D1908" s="5" t="s">
        <v>17785</v>
      </c>
      <c r="E1908" s="32">
        <v>200</v>
      </c>
      <c r="F1908" s="27">
        <v>1000</v>
      </c>
      <c r="G1908" s="32">
        <v>820</v>
      </c>
      <c r="H1908" s="27">
        <v>4100</v>
      </c>
      <c r="I1908" s="27">
        <v>5</v>
      </c>
      <c r="J1908" s="27">
        <v>5</v>
      </c>
      <c r="K1908" s="29">
        <v>0</v>
      </c>
    </row>
    <row r="1909" spans="1:11" x14ac:dyDescent="0.25">
      <c r="A1909" s="5" t="s">
        <v>6</v>
      </c>
      <c r="B1909" s="5" t="s">
        <v>9440</v>
      </c>
      <c r="C1909" s="1" t="s">
        <v>9441</v>
      </c>
      <c r="D1909" s="5" t="s">
        <v>17785</v>
      </c>
      <c r="E1909" s="32">
        <v>21900</v>
      </c>
      <c r="F1909" s="27">
        <v>109500</v>
      </c>
      <c r="G1909" s="32">
        <v>19550</v>
      </c>
      <c r="H1909" s="27">
        <v>97750</v>
      </c>
      <c r="I1909" s="27">
        <v>5</v>
      </c>
      <c r="J1909" s="27">
        <v>5</v>
      </c>
      <c r="K1909" s="29">
        <v>0</v>
      </c>
    </row>
    <row r="1910" spans="1:11" x14ac:dyDescent="0.25">
      <c r="A1910" s="5" t="s">
        <v>6</v>
      </c>
      <c r="B1910" s="5" t="s">
        <v>9446</v>
      </c>
      <c r="C1910" s="1" t="s">
        <v>9447</v>
      </c>
      <c r="D1910" s="5" t="s">
        <v>17786</v>
      </c>
      <c r="E1910" s="32">
        <v>52</v>
      </c>
      <c r="F1910" s="27">
        <v>28548</v>
      </c>
      <c r="G1910" s="32">
        <v>53</v>
      </c>
      <c r="H1910" s="27">
        <v>31480</v>
      </c>
      <c r="I1910" s="27">
        <v>549</v>
      </c>
      <c r="J1910" s="27">
        <v>593.96226415094338</v>
      </c>
      <c r="K1910" s="29">
        <v>8.1898477506272105E-2</v>
      </c>
    </row>
    <row r="1911" spans="1:11" x14ac:dyDescent="0.25">
      <c r="A1911" s="5" t="s">
        <v>6</v>
      </c>
      <c r="B1911" s="5" t="s">
        <v>17787</v>
      </c>
      <c r="C1911" s="1" t="s">
        <v>17788</v>
      </c>
      <c r="D1911" s="5" t="s">
        <v>17789</v>
      </c>
      <c r="E1911" s="32">
        <v>670</v>
      </c>
      <c r="F1911" s="27">
        <v>353324</v>
      </c>
      <c r="I1911" s="27">
        <v>527.34925373134331</v>
      </c>
    </row>
    <row r="1912" spans="1:11" x14ac:dyDescent="0.25">
      <c r="A1912" s="5" t="s">
        <v>6</v>
      </c>
      <c r="B1912" s="5" t="s">
        <v>17790</v>
      </c>
      <c r="C1912" s="1" t="s">
        <v>17791</v>
      </c>
      <c r="D1912" s="5" t="s">
        <v>17789</v>
      </c>
      <c r="E1912" s="32">
        <v>94</v>
      </c>
      <c r="F1912" s="27">
        <v>26298</v>
      </c>
      <c r="I1912" s="27">
        <v>279.7659574468085</v>
      </c>
    </row>
    <row r="1913" spans="1:11" x14ac:dyDescent="0.25">
      <c r="A1913" s="5" t="s">
        <v>6</v>
      </c>
      <c r="B1913" s="5" t="s">
        <v>9449</v>
      </c>
      <c r="C1913" s="1" t="s">
        <v>9450</v>
      </c>
      <c r="D1913" s="5" t="s">
        <v>17786</v>
      </c>
      <c r="E1913" s="32">
        <v>1832</v>
      </c>
      <c r="F1913" s="27">
        <v>161487</v>
      </c>
      <c r="G1913" s="32">
        <v>1776</v>
      </c>
      <c r="H1913" s="27">
        <v>167192</v>
      </c>
      <c r="I1913" s="27">
        <v>88.147925764192138</v>
      </c>
      <c r="J1913" s="27">
        <v>94.13963963963964</v>
      </c>
      <c r="K1913" s="29">
        <v>6.7973396123649735E-2</v>
      </c>
    </row>
    <row r="1914" spans="1:11" x14ac:dyDescent="0.25">
      <c r="A1914" s="5" t="s">
        <v>6</v>
      </c>
      <c r="B1914" s="5" t="s">
        <v>9452</v>
      </c>
      <c r="C1914" s="1" t="s">
        <v>9453</v>
      </c>
      <c r="D1914" s="5" t="s">
        <v>17792</v>
      </c>
      <c r="G1914" s="32">
        <v>14800</v>
      </c>
      <c r="H1914" s="27">
        <v>161021.6</v>
      </c>
      <c r="J1914" s="27">
        <v>10.879837837837838</v>
      </c>
    </row>
    <row r="1915" spans="1:11" x14ac:dyDescent="0.25">
      <c r="A1915" s="5" t="s">
        <v>6</v>
      </c>
      <c r="B1915" s="5" t="s">
        <v>9455</v>
      </c>
      <c r="C1915" s="1" t="s">
        <v>9456</v>
      </c>
      <c r="D1915" s="5" t="s">
        <v>17789</v>
      </c>
      <c r="E1915" s="32">
        <v>4</v>
      </c>
      <c r="F1915" s="27">
        <v>1652</v>
      </c>
      <c r="I1915" s="27">
        <v>413</v>
      </c>
    </row>
    <row r="1916" spans="1:11" x14ac:dyDescent="0.25">
      <c r="A1916" s="5" t="s">
        <v>6</v>
      </c>
      <c r="B1916" s="5" t="s">
        <v>9461</v>
      </c>
      <c r="C1916" s="1" t="s">
        <v>9462</v>
      </c>
      <c r="D1916" s="5" t="s">
        <v>17793</v>
      </c>
      <c r="E1916" s="32">
        <v>68</v>
      </c>
      <c r="F1916" s="27">
        <v>10040</v>
      </c>
      <c r="G1916" s="32">
        <v>130</v>
      </c>
      <c r="H1916" s="27">
        <v>20656</v>
      </c>
      <c r="I1916" s="27">
        <v>147.64705882352942</v>
      </c>
      <c r="J1916" s="27">
        <v>158.8923076923077</v>
      </c>
      <c r="K1916" s="29">
        <v>7.6163040147103858E-2</v>
      </c>
    </row>
    <row r="1917" spans="1:11" x14ac:dyDescent="0.25">
      <c r="A1917" s="5" t="s">
        <v>6</v>
      </c>
      <c r="B1917" s="5" t="s">
        <v>9470</v>
      </c>
      <c r="C1917" s="1" t="s">
        <v>9471</v>
      </c>
      <c r="D1917" s="5" t="s">
        <v>17794</v>
      </c>
      <c r="E1917" s="32">
        <v>19250</v>
      </c>
      <c r="F1917" s="27">
        <v>325500</v>
      </c>
      <c r="G1917" s="32">
        <v>7750</v>
      </c>
      <c r="H1917" s="27">
        <v>135750</v>
      </c>
      <c r="I1917" s="27">
        <v>16.90909090909091</v>
      </c>
      <c r="J1917" s="27">
        <v>17.516129032258064</v>
      </c>
      <c r="K1917" s="29">
        <v>3.5900104058272549E-2</v>
      </c>
    </row>
    <row r="1918" spans="1:11" x14ac:dyDescent="0.25">
      <c r="A1918" s="5" t="s">
        <v>6</v>
      </c>
      <c r="B1918" s="5" t="s">
        <v>9476</v>
      </c>
      <c r="C1918" s="1" t="s">
        <v>9477</v>
      </c>
      <c r="D1918" s="5" t="s">
        <v>17795</v>
      </c>
      <c r="E1918" s="32">
        <v>303</v>
      </c>
      <c r="F1918" s="27">
        <v>79083</v>
      </c>
      <c r="I1918" s="27">
        <v>261</v>
      </c>
    </row>
    <row r="1919" spans="1:11" x14ac:dyDescent="0.25">
      <c r="A1919" s="5" t="s">
        <v>6</v>
      </c>
      <c r="B1919" s="5" t="s">
        <v>9479</v>
      </c>
      <c r="C1919" s="1" t="s">
        <v>9480</v>
      </c>
      <c r="D1919" s="5" t="s">
        <v>17796</v>
      </c>
      <c r="E1919" s="32">
        <v>606</v>
      </c>
      <c r="F1919" s="27">
        <v>25755</v>
      </c>
      <c r="G1919" s="32">
        <v>1209</v>
      </c>
      <c r="H1919" s="27">
        <v>55005</v>
      </c>
      <c r="I1919" s="27">
        <v>42.5</v>
      </c>
      <c r="J1919" s="27">
        <v>45.496277915632753</v>
      </c>
      <c r="K1919" s="29">
        <v>7.0500656838417719E-2</v>
      </c>
    </row>
    <row r="1920" spans="1:11" x14ac:dyDescent="0.25">
      <c r="A1920" s="5" t="s">
        <v>6</v>
      </c>
      <c r="B1920" s="5" t="s">
        <v>17797</v>
      </c>
      <c r="C1920" s="1" t="s">
        <v>17798</v>
      </c>
      <c r="D1920" s="5" t="s">
        <v>17789</v>
      </c>
      <c r="E1920" s="32">
        <v>823</v>
      </c>
      <c r="F1920" s="27">
        <v>218099</v>
      </c>
      <c r="I1920" s="27">
        <v>265.00486026731471</v>
      </c>
    </row>
    <row r="1921" spans="1:11" x14ac:dyDescent="0.25">
      <c r="A1921" s="5" t="s">
        <v>6</v>
      </c>
      <c r="B1921" s="5" t="s">
        <v>9485</v>
      </c>
      <c r="C1921" s="1" t="s">
        <v>9486</v>
      </c>
      <c r="D1921" s="5" t="s">
        <v>17799</v>
      </c>
      <c r="E1921" s="32">
        <v>0</v>
      </c>
      <c r="F1921" s="27">
        <v>0</v>
      </c>
      <c r="G1921" s="32">
        <v>5430</v>
      </c>
      <c r="H1921" s="27">
        <v>2421780</v>
      </c>
      <c r="J1921" s="27">
        <v>446</v>
      </c>
    </row>
    <row r="1922" spans="1:11" x14ac:dyDescent="0.25">
      <c r="A1922" s="5" t="s">
        <v>6</v>
      </c>
      <c r="B1922" s="5" t="s">
        <v>17800</v>
      </c>
      <c r="C1922" s="1" t="s">
        <v>17801</v>
      </c>
      <c r="D1922" s="5" t="s">
        <v>17789</v>
      </c>
      <c r="E1922" s="32">
        <v>1021</v>
      </c>
      <c r="F1922" s="27">
        <v>17315</v>
      </c>
      <c r="I1922" s="27">
        <v>16.958863858961802</v>
      </c>
    </row>
    <row r="1923" spans="1:11" x14ac:dyDescent="0.25">
      <c r="A1923" s="5" t="s">
        <v>6</v>
      </c>
      <c r="B1923" s="5" t="s">
        <v>9488</v>
      </c>
      <c r="C1923" s="1" t="s">
        <v>9489</v>
      </c>
      <c r="D1923" s="5" t="s">
        <v>17802</v>
      </c>
      <c r="E1923" s="32">
        <v>46151</v>
      </c>
      <c r="F1923" s="27">
        <v>230755</v>
      </c>
      <c r="G1923" s="32">
        <v>54663</v>
      </c>
      <c r="H1923" s="27">
        <v>273315</v>
      </c>
      <c r="I1923" s="27">
        <v>5</v>
      </c>
      <c r="J1923" s="27">
        <v>5</v>
      </c>
      <c r="K1923" s="29">
        <v>0</v>
      </c>
    </row>
    <row r="1924" spans="1:11" x14ac:dyDescent="0.25">
      <c r="A1924" s="5" t="s">
        <v>6</v>
      </c>
      <c r="B1924" s="5" t="s">
        <v>17803</v>
      </c>
      <c r="C1924" s="1" t="s">
        <v>17804</v>
      </c>
      <c r="D1924" s="5" t="s">
        <v>17805</v>
      </c>
      <c r="E1924" s="32">
        <v>14</v>
      </c>
      <c r="F1924" s="27">
        <v>3472</v>
      </c>
      <c r="I1924" s="27">
        <v>248</v>
      </c>
    </row>
    <row r="1925" spans="1:11" x14ac:dyDescent="0.25">
      <c r="A1925" s="5" t="s">
        <v>6</v>
      </c>
      <c r="B1925" s="5" t="s">
        <v>17806</v>
      </c>
      <c r="C1925" s="1" t="s">
        <v>17807</v>
      </c>
      <c r="D1925" s="5" t="s">
        <v>17805</v>
      </c>
      <c r="E1925" s="32">
        <v>275</v>
      </c>
      <c r="F1925" s="27">
        <v>47034</v>
      </c>
      <c r="I1925" s="27">
        <v>171.03272727272727</v>
      </c>
    </row>
    <row r="1926" spans="1:11" x14ac:dyDescent="0.25">
      <c r="A1926" s="5" t="s">
        <v>6</v>
      </c>
      <c r="B1926" s="5" t="s">
        <v>17808</v>
      </c>
      <c r="C1926" s="1" t="s">
        <v>17809</v>
      </c>
      <c r="D1926" s="5" t="s">
        <v>17789</v>
      </c>
      <c r="E1926" s="32">
        <v>-1</v>
      </c>
      <c r="F1926" s="27">
        <v>-278</v>
      </c>
      <c r="I1926" s="27">
        <v>278</v>
      </c>
    </row>
    <row r="1927" spans="1:11" x14ac:dyDescent="0.25">
      <c r="A1927" s="5" t="s">
        <v>6</v>
      </c>
      <c r="B1927" s="5" t="s">
        <v>17810</v>
      </c>
      <c r="C1927" s="1" t="s">
        <v>17811</v>
      </c>
      <c r="D1927" s="5" t="s">
        <v>17789</v>
      </c>
      <c r="E1927" s="32">
        <v>520</v>
      </c>
      <c r="F1927" s="27">
        <v>32755</v>
      </c>
      <c r="I1927" s="27">
        <v>62.990384615384613</v>
      </c>
    </row>
    <row r="1928" spans="1:11" x14ac:dyDescent="0.25">
      <c r="A1928" s="5" t="s">
        <v>6</v>
      </c>
      <c r="B1928" s="5" t="s">
        <v>17812</v>
      </c>
      <c r="C1928" s="1" t="s">
        <v>17813</v>
      </c>
      <c r="D1928" s="5" t="s">
        <v>17789</v>
      </c>
      <c r="E1928" s="32">
        <v>443</v>
      </c>
      <c r="F1928" s="27">
        <v>163686</v>
      </c>
      <c r="I1928" s="27">
        <v>369.49435665914223</v>
      </c>
    </row>
    <row r="1929" spans="1:11" x14ac:dyDescent="0.25">
      <c r="A1929" s="5" t="s">
        <v>6</v>
      </c>
      <c r="B1929" s="5" t="s">
        <v>17814</v>
      </c>
      <c r="C1929" s="1" t="s">
        <v>17815</v>
      </c>
      <c r="D1929" s="5" t="s">
        <v>17805</v>
      </c>
      <c r="E1929" s="32">
        <v>290</v>
      </c>
      <c r="F1929" s="27">
        <v>86255</v>
      </c>
      <c r="I1929" s="27">
        <v>297.43103448275861</v>
      </c>
    </row>
    <row r="1930" spans="1:11" x14ac:dyDescent="0.25">
      <c r="A1930" s="5" t="s">
        <v>6</v>
      </c>
      <c r="B1930" s="5" t="s">
        <v>17816</v>
      </c>
      <c r="C1930" s="1" t="s">
        <v>17817</v>
      </c>
      <c r="D1930" s="5" t="s">
        <v>17805</v>
      </c>
      <c r="E1930" s="32">
        <v>51</v>
      </c>
      <c r="F1930" s="27">
        <v>20862</v>
      </c>
      <c r="I1930" s="27">
        <v>409.05882352941177</v>
      </c>
    </row>
    <row r="1931" spans="1:11" x14ac:dyDescent="0.25">
      <c r="A1931" s="5" t="s">
        <v>6</v>
      </c>
      <c r="B1931" s="5" t="s">
        <v>17818</v>
      </c>
      <c r="C1931" s="1" t="s">
        <v>17819</v>
      </c>
      <c r="D1931" s="5" t="s">
        <v>17789</v>
      </c>
      <c r="E1931" s="32">
        <v>3</v>
      </c>
      <c r="F1931" s="27">
        <v>567</v>
      </c>
      <c r="I1931" s="27">
        <v>189</v>
      </c>
    </row>
    <row r="1932" spans="1:11" x14ac:dyDescent="0.25">
      <c r="A1932" s="5" t="s">
        <v>6</v>
      </c>
      <c r="B1932" s="5" t="s">
        <v>17820</v>
      </c>
      <c r="C1932" s="1" t="s">
        <v>17821</v>
      </c>
      <c r="D1932" s="5" t="s">
        <v>17805</v>
      </c>
      <c r="E1932" s="32">
        <v>-1</v>
      </c>
      <c r="F1932" s="27">
        <v>-111</v>
      </c>
      <c r="I1932" s="27">
        <v>111</v>
      </c>
    </row>
    <row r="1933" spans="1:11" x14ac:dyDescent="0.25">
      <c r="A1933" s="5" t="s">
        <v>6</v>
      </c>
      <c r="B1933" s="5" t="s">
        <v>17822</v>
      </c>
      <c r="C1933" s="1" t="s">
        <v>17823</v>
      </c>
      <c r="D1933" s="5" t="s">
        <v>17789</v>
      </c>
      <c r="E1933" s="32">
        <v>2</v>
      </c>
      <c r="F1933" s="27">
        <v>168</v>
      </c>
      <c r="I1933" s="27">
        <v>84</v>
      </c>
    </row>
    <row r="1934" spans="1:11" x14ac:dyDescent="0.25">
      <c r="A1934" s="5" t="s">
        <v>6</v>
      </c>
      <c r="B1934" s="5" t="s">
        <v>17824</v>
      </c>
      <c r="C1934" s="1" t="s">
        <v>17825</v>
      </c>
      <c r="D1934" s="5" t="s">
        <v>17805</v>
      </c>
      <c r="E1934" s="32">
        <v>2</v>
      </c>
      <c r="F1934" s="27">
        <v>496</v>
      </c>
      <c r="I1934" s="27">
        <v>248</v>
      </c>
    </row>
    <row r="1935" spans="1:11" x14ac:dyDescent="0.25">
      <c r="A1935" s="5" t="s">
        <v>6</v>
      </c>
      <c r="B1935" s="5" t="s">
        <v>17826</v>
      </c>
      <c r="C1935" s="1" t="s">
        <v>17827</v>
      </c>
      <c r="D1935" s="5" t="s">
        <v>17789</v>
      </c>
      <c r="E1935" s="32">
        <v>3</v>
      </c>
      <c r="F1935" s="27">
        <v>201</v>
      </c>
      <c r="I1935" s="27">
        <v>67</v>
      </c>
    </row>
    <row r="1936" spans="1:11" x14ac:dyDescent="0.25">
      <c r="A1936" s="5" t="s">
        <v>6</v>
      </c>
      <c r="B1936" s="5" t="s">
        <v>9491</v>
      </c>
      <c r="C1936" s="1" t="s">
        <v>9492</v>
      </c>
      <c r="D1936" s="5" t="s">
        <v>17828</v>
      </c>
      <c r="E1936" s="32">
        <v>21</v>
      </c>
      <c r="F1936" s="27">
        <v>5481</v>
      </c>
      <c r="I1936" s="27">
        <v>261</v>
      </c>
    </row>
    <row r="1937" spans="1:11" x14ac:dyDescent="0.25">
      <c r="A1937" s="5" t="s">
        <v>6</v>
      </c>
      <c r="B1937" s="5" t="s">
        <v>9494</v>
      </c>
      <c r="C1937" s="1" t="s">
        <v>9495</v>
      </c>
      <c r="D1937" s="5" t="s">
        <v>17829</v>
      </c>
      <c r="G1937" s="32">
        <v>347000</v>
      </c>
      <c r="H1937" s="27">
        <v>167940</v>
      </c>
      <c r="J1937" s="27">
        <v>0.48397694524495677</v>
      </c>
    </row>
    <row r="1938" spans="1:11" x14ac:dyDescent="0.25">
      <c r="A1938" s="5" t="s">
        <v>6</v>
      </c>
      <c r="B1938" s="5" t="s">
        <v>9497</v>
      </c>
      <c r="C1938" s="1" t="s">
        <v>9498</v>
      </c>
      <c r="D1938" s="5" t="s">
        <v>17829</v>
      </c>
      <c r="G1938" s="32">
        <v>31050</v>
      </c>
      <c r="H1938" s="27">
        <v>13972.5</v>
      </c>
      <c r="J1938" s="27">
        <v>0.45</v>
      </c>
    </row>
    <row r="1939" spans="1:11" x14ac:dyDescent="0.25">
      <c r="A1939" s="5" t="s">
        <v>6</v>
      </c>
      <c r="B1939" s="5" t="s">
        <v>9500</v>
      </c>
      <c r="C1939" s="1" t="s">
        <v>9501</v>
      </c>
      <c r="D1939" s="5" t="s">
        <v>17830</v>
      </c>
      <c r="E1939" s="32">
        <v>53</v>
      </c>
      <c r="F1939" s="27">
        <v>458970</v>
      </c>
      <c r="G1939" s="32">
        <v>47</v>
      </c>
      <c r="H1939" s="27">
        <v>426129</v>
      </c>
      <c r="I1939" s="27">
        <v>8659.8113207547176</v>
      </c>
      <c r="J1939" s="27">
        <v>9066.5744680851058</v>
      </c>
      <c r="K1939" s="29">
        <v>4.6971363724231587E-2</v>
      </c>
    </row>
    <row r="1940" spans="1:11" x14ac:dyDescent="0.25">
      <c r="A1940" s="5" t="s">
        <v>6</v>
      </c>
      <c r="B1940" s="5" t="s">
        <v>9503</v>
      </c>
      <c r="C1940" s="1" t="s">
        <v>9504</v>
      </c>
      <c r="D1940" s="5" t="s">
        <v>17831</v>
      </c>
      <c r="E1940" s="32">
        <v>10</v>
      </c>
      <c r="F1940" s="27">
        <v>490</v>
      </c>
      <c r="I1940" s="27">
        <v>49</v>
      </c>
    </row>
    <row r="1941" spans="1:11" x14ac:dyDescent="0.25">
      <c r="A1941" s="5" t="s">
        <v>6</v>
      </c>
      <c r="B1941" s="5" t="s">
        <v>9506</v>
      </c>
      <c r="C1941" s="1" t="s">
        <v>9507</v>
      </c>
      <c r="D1941" s="5" t="s">
        <v>17789</v>
      </c>
      <c r="E1941" s="32">
        <v>922</v>
      </c>
      <c r="F1941" s="27">
        <v>451097</v>
      </c>
      <c r="G1941" s="32">
        <v>809</v>
      </c>
      <c r="H1941" s="27">
        <v>423353</v>
      </c>
      <c r="I1941" s="27">
        <v>489.25921908893707</v>
      </c>
      <c r="J1941" s="27">
        <v>523.30407911001237</v>
      </c>
      <c r="K1941" s="29">
        <v>6.9584503863761943E-2</v>
      </c>
    </row>
    <row r="1942" spans="1:11" x14ac:dyDescent="0.25">
      <c r="A1942" s="5" t="s">
        <v>6</v>
      </c>
      <c r="B1942" s="5" t="s">
        <v>9509</v>
      </c>
      <c r="C1942" s="1" t="s">
        <v>9510</v>
      </c>
      <c r="D1942" s="5" t="s">
        <v>17789</v>
      </c>
      <c r="E1942" s="32">
        <v>358</v>
      </c>
      <c r="F1942" s="27">
        <v>138540</v>
      </c>
      <c r="G1942" s="32">
        <v>18</v>
      </c>
      <c r="H1942" s="27">
        <v>7684</v>
      </c>
      <c r="I1942" s="27">
        <v>386.98324022346367</v>
      </c>
      <c r="J1942" s="27">
        <v>426.88888888888891</v>
      </c>
      <c r="K1942" s="29">
        <v>0.10311983703062104</v>
      </c>
    </row>
    <row r="1943" spans="1:11" x14ac:dyDescent="0.25">
      <c r="A1943" s="5" t="s">
        <v>6</v>
      </c>
      <c r="B1943" s="5" t="s">
        <v>9512</v>
      </c>
      <c r="C1943" s="1" t="s">
        <v>9513</v>
      </c>
      <c r="D1943" s="5" t="s">
        <v>17832</v>
      </c>
      <c r="G1943" s="32">
        <v>117050</v>
      </c>
      <c r="H1943" s="27">
        <v>104793.5</v>
      </c>
      <c r="J1943" s="27">
        <v>0.89528833831695853</v>
      </c>
    </row>
    <row r="1944" spans="1:11" x14ac:dyDescent="0.25">
      <c r="A1944" s="5" t="s">
        <v>6</v>
      </c>
      <c r="B1944" s="5" t="s">
        <v>9515</v>
      </c>
      <c r="C1944" s="1" t="s">
        <v>9516</v>
      </c>
      <c r="D1944" s="5" t="s">
        <v>17789</v>
      </c>
      <c r="G1944" s="32">
        <v>809</v>
      </c>
      <c r="H1944" s="27">
        <v>71913.600000000006</v>
      </c>
      <c r="J1944" s="27">
        <v>88.891965389369602</v>
      </c>
    </row>
    <row r="1945" spans="1:11" x14ac:dyDescent="0.25">
      <c r="A1945" s="5" t="s">
        <v>6</v>
      </c>
      <c r="B1945" s="5" t="s">
        <v>17833</v>
      </c>
      <c r="C1945" s="1" t="s">
        <v>17834</v>
      </c>
      <c r="D1945" s="5" t="s">
        <v>17835</v>
      </c>
      <c r="E1945" s="32">
        <v>852</v>
      </c>
      <c r="F1945" s="27">
        <v>310506</v>
      </c>
      <c r="I1945" s="27">
        <v>364.44366197183098</v>
      </c>
    </row>
    <row r="1946" spans="1:11" x14ac:dyDescent="0.25">
      <c r="A1946" s="5" t="s">
        <v>6</v>
      </c>
      <c r="B1946" s="5" t="s">
        <v>9521</v>
      </c>
      <c r="C1946" s="1" t="s">
        <v>9522</v>
      </c>
      <c r="D1946" s="5" t="s">
        <v>17836</v>
      </c>
      <c r="E1946" s="32">
        <v>650</v>
      </c>
      <c r="F1946" s="27">
        <v>32467.5</v>
      </c>
      <c r="I1946" s="27">
        <v>49.95</v>
      </c>
    </row>
    <row r="1947" spans="1:11" x14ac:dyDescent="0.25">
      <c r="A1947" s="5" t="s">
        <v>6</v>
      </c>
      <c r="B1947" s="5" t="s">
        <v>9527</v>
      </c>
      <c r="C1947" s="1" t="s">
        <v>9528</v>
      </c>
      <c r="D1947" s="5" t="s">
        <v>17837</v>
      </c>
      <c r="E1947" s="32">
        <v>33</v>
      </c>
      <c r="F1947" s="27">
        <v>33794</v>
      </c>
      <c r="I1947" s="27">
        <v>1024.060606060606</v>
      </c>
    </row>
    <row r="1948" spans="1:11" x14ac:dyDescent="0.25">
      <c r="A1948" s="5" t="s">
        <v>6</v>
      </c>
      <c r="B1948" s="5" t="s">
        <v>9530</v>
      </c>
      <c r="C1948" s="1" t="s">
        <v>9531</v>
      </c>
      <c r="D1948" s="5" t="s">
        <v>17789</v>
      </c>
      <c r="E1948" s="32">
        <v>10</v>
      </c>
      <c r="F1948" s="27">
        <v>14250</v>
      </c>
      <c r="I1948" s="27">
        <v>1425</v>
      </c>
    </row>
    <row r="1949" spans="1:11" x14ac:dyDescent="0.25">
      <c r="A1949" s="5" t="s">
        <v>6</v>
      </c>
      <c r="B1949" s="5" t="s">
        <v>9533</v>
      </c>
      <c r="C1949" s="1" t="s">
        <v>9534</v>
      </c>
      <c r="D1949" s="5" t="s">
        <v>17789</v>
      </c>
      <c r="E1949" s="32">
        <v>4</v>
      </c>
      <c r="F1949" s="27">
        <v>2372</v>
      </c>
      <c r="I1949" s="27">
        <v>593</v>
      </c>
    </row>
    <row r="1950" spans="1:11" x14ac:dyDescent="0.25">
      <c r="A1950" s="5" t="s">
        <v>6</v>
      </c>
      <c r="B1950" s="5" t="s">
        <v>9536</v>
      </c>
      <c r="C1950" s="1" t="s">
        <v>9537</v>
      </c>
      <c r="D1950" s="5" t="s">
        <v>17789</v>
      </c>
      <c r="E1950" s="32">
        <v>140</v>
      </c>
      <c r="F1950" s="27">
        <v>36491</v>
      </c>
      <c r="G1950" s="32">
        <v>117</v>
      </c>
      <c r="H1950" s="27">
        <v>32649</v>
      </c>
      <c r="I1950" s="27">
        <v>260.64999999999998</v>
      </c>
      <c r="J1950" s="27">
        <v>279.05128205128204</v>
      </c>
      <c r="K1950" s="29">
        <v>7.0597667566783304E-2</v>
      </c>
    </row>
    <row r="1951" spans="1:11" x14ac:dyDescent="0.25">
      <c r="A1951" s="5" t="s">
        <v>6</v>
      </c>
      <c r="B1951" s="5" t="s">
        <v>9542</v>
      </c>
      <c r="C1951" s="1" t="s">
        <v>9543</v>
      </c>
      <c r="D1951" s="5" t="s">
        <v>17838</v>
      </c>
      <c r="E1951" s="32">
        <v>5614</v>
      </c>
      <c r="F1951" s="27">
        <v>2845006</v>
      </c>
      <c r="G1951" s="32">
        <v>12226</v>
      </c>
      <c r="H1951" s="27">
        <v>6674566</v>
      </c>
      <c r="I1951" s="27">
        <v>506.76986106163162</v>
      </c>
      <c r="J1951" s="27">
        <v>545.93211189268766</v>
      </c>
      <c r="K1951" s="29">
        <v>7.7278176624424919E-2</v>
      </c>
    </row>
    <row r="1952" spans="1:11" x14ac:dyDescent="0.25">
      <c r="A1952" s="5" t="s">
        <v>6</v>
      </c>
      <c r="B1952" s="5" t="s">
        <v>9545</v>
      </c>
      <c r="C1952" s="1" t="s">
        <v>9546</v>
      </c>
      <c r="D1952" s="5" t="s">
        <v>17838</v>
      </c>
      <c r="E1952" s="32">
        <v>24210</v>
      </c>
      <c r="F1952" s="27">
        <v>8036136</v>
      </c>
      <c r="G1952" s="32">
        <v>16814</v>
      </c>
      <c r="H1952" s="27">
        <v>5933618</v>
      </c>
      <c r="I1952" s="27">
        <v>331.93457249070633</v>
      </c>
      <c r="J1952" s="27">
        <v>352.8974663970501</v>
      </c>
      <c r="K1952" s="29">
        <v>6.3153692455252444E-2</v>
      </c>
    </row>
    <row r="1953" spans="1:11" x14ac:dyDescent="0.25">
      <c r="A1953" s="5" t="s">
        <v>6</v>
      </c>
      <c r="B1953" s="5" t="s">
        <v>9551</v>
      </c>
      <c r="C1953" s="1" t="s">
        <v>9552</v>
      </c>
      <c r="D1953" s="5" t="s">
        <v>17839</v>
      </c>
      <c r="E1953" s="32">
        <v>482</v>
      </c>
      <c r="F1953" s="27">
        <v>63144</v>
      </c>
      <c r="G1953" s="32">
        <v>420</v>
      </c>
      <c r="H1953" s="27">
        <v>57486</v>
      </c>
      <c r="I1953" s="27">
        <v>131.00414937759336</v>
      </c>
      <c r="J1953" s="27">
        <v>136.87142857142857</v>
      </c>
      <c r="K1953" s="29">
        <v>4.4786972181498914E-2</v>
      </c>
    </row>
    <row r="1954" spans="1:11" x14ac:dyDescent="0.25">
      <c r="A1954" s="5" t="s">
        <v>6</v>
      </c>
      <c r="B1954" s="5" t="s">
        <v>9554</v>
      </c>
      <c r="C1954" s="1" t="s">
        <v>9555</v>
      </c>
      <c r="D1954" s="5" t="s">
        <v>17839</v>
      </c>
      <c r="E1954" s="32">
        <v>12114</v>
      </c>
      <c r="F1954" s="27">
        <v>909492</v>
      </c>
      <c r="G1954" s="32">
        <v>12918</v>
      </c>
      <c r="H1954" s="27">
        <v>1035060</v>
      </c>
      <c r="I1954" s="27">
        <v>75.077761267954429</v>
      </c>
      <c r="J1954" s="27">
        <v>80.12540640966094</v>
      </c>
      <c r="K1954" s="29">
        <v>6.7232227712429218E-2</v>
      </c>
    </row>
    <row r="1955" spans="1:11" x14ac:dyDescent="0.25">
      <c r="A1955" s="5" t="s">
        <v>6</v>
      </c>
      <c r="B1955" s="5" t="s">
        <v>9560</v>
      </c>
      <c r="C1955" s="1" t="s">
        <v>9561</v>
      </c>
      <c r="D1955" s="5" t="s">
        <v>17840</v>
      </c>
      <c r="E1955" s="32">
        <v>0</v>
      </c>
      <c r="F1955" s="27">
        <v>0</v>
      </c>
      <c r="G1955" s="32">
        <v>8</v>
      </c>
      <c r="H1955" s="27">
        <v>6422</v>
      </c>
      <c r="J1955" s="27">
        <v>802.75</v>
      </c>
    </row>
    <row r="1956" spans="1:11" x14ac:dyDescent="0.25">
      <c r="A1956" s="5" t="s">
        <v>6</v>
      </c>
      <c r="B1956" s="5" t="s">
        <v>9563</v>
      </c>
      <c r="C1956" s="1" t="s">
        <v>9564</v>
      </c>
      <c r="D1956" s="5" t="s">
        <v>17789</v>
      </c>
      <c r="E1956" s="32">
        <v>10</v>
      </c>
      <c r="F1956" s="27">
        <v>4060</v>
      </c>
      <c r="I1956" s="27">
        <v>406</v>
      </c>
    </row>
    <row r="1957" spans="1:11" x14ac:dyDescent="0.25">
      <c r="A1957" s="5" t="s">
        <v>6</v>
      </c>
      <c r="B1957" s="5" t="s">
        <v>9566</v>
      </c>
      <c r="C1957" s="1" t="s">
        <v>9567</v>
      </c>
      <c r="D1957" s="5" t="s">
        <v>17789</v>
      </c>
      <c r="E1957" s="32">
        <v>1</v>
      </c>
      <c r="F1957" s="27">
        <v>654</v>
      </c>
      <c r="I1957" s="27">
        <v>654</v>
      </c>
    </row>
    <row r="1958" spans="1:11" x14ac:dyDescent="0.25">
      <c r="A1958" s="5" t="s">
        <v>6</v>
      </c>
      <c r="B1958" s="5" t="s">
        <v>9575</v>
      </c>
      <c r="C1958" s="1" t="s">
        <v>9576</v>
      </c>
      <c r="D1958" s="5" t="s">
        <v>17841</v>
      </c>
      <c r="E1958" s="32">
        <v>21</v>
      </c>
      <c r="F1958" s="27">
        <v>11610</v>
      </c>
      <c r="G1958" s="32">
        <v>23</v>
      </c>
      <c r="H1958" s="27">
        <v>13708</v>
      </c>
      <c r="I1958" s="27">
        <v>552.85714285714289</v>
      </c>
      <c r="J1958" s="27">
        <v>596</v>
      </c>
      <c r="K1958" s="29">
        <v>7.8036175710594249E-2</v>
      </c>
    </row>
    <row r="1959" spans="1:11" x14ac:dyDescent="0.25">
      <c r="A1959" s="5" t="s">
        <v>6</v>
      </c>
      <c r="B1959" s="5" t="s">
        <v>9578</v>
      </c>
      <c r="C1959" s="1" t="s">
        <v>9579</v>
      </c>
      <c r="D1959" s="5" t="s">
        <v>17841</v>
      </c>
      <c r="E1959" s="32">
        <v>36</v>
      </c>
      <c r="F1959" s="27">
        <v>8460</v>
      </c>
      <c r="G1959" s="32">
        <v>52</v>
      </c>
      <c r="H1959" s="27">
        <v>12885</v>
      </c>
      <c r="I1959" s="27">
        <v>235</v>
      </c>
      <c r="J1959" s="27">
        <v>247.78846153846155</v>
      </c>
      <c r="K1959" s="29">
        <v>5.4418985270049139E-2</v>
      </c>
    </row>
    <row r="1960" spans="1:11" x14ac:dyDescent="0.25">
      <c r="A1960" s="5" t="s">
        <v>6</v>
      </c>
      <c r="B1960" s="5" t="s">
        <v>9581</v>
      </c>
      <c r="C1960" s="1" t="s">
        <v>9582</v>
      </c>
      <c r="D1960" s="5" t="s">
        <v>17842</v>
      </c>
      <c r="E1960" s="32">
        <v>3030</v>
      </c>
      <c r="F1960" s="27">
        <v>15150</v>
      </c>
      <c r="G1960" s="32">
        <v>1120</v>
      </c>
      <c r="H1960" s="27">
        <v>5600</v>
      </c>
      <c r="I1960" s="27">
        <v>5</v>
      </c>
      <c r="J1960" s="27">
        <v>5</v>
      </c>
      <c r="K1960" s="29">
        <v>0</v>
      </c>
    </row>
    <row r="1961" spans="1:11" x14ac:dyDescent="0.25">
      <c r="A1961" s="5" t="s">
        <v>6</v>
      </c>
      <c r="B1961" s="5" t="s">
        <v>9584</v>
      </c>
      <c r="C1961" s="1" t="s">
        <v>9585</v>
      </c>
      <c r="D1961" s="5" t="s">
        <v>17843</v>
      </c>
      <c r="E1961" s="32">
        <v>557</v>
      </c>
      <c r="F1961" s="27">
        <v>203781</v>
      </c>
      <c r="G1961" s="32">
        <v>345</v>
      </c>
      <c r="H1961" s="27">
        <v>135808</v>
      </c>
      <c r="I1961" s="27">
        <v>365.85457809694793</v>
      </c>
      <c r="J1961" s="27">
        <v>393.64637681159422</v>
      </c>
      <c r="K1961" s="29">
        <v>7.5964058887030603E-2</v>
      </c>
    </row>
    <row r="1962" spans="1:11" x14ac:dyDescent="0.25">
      <c r="A1962" s="5" t="s">
        <v>6</v>
      </c>
      <c r="B1962" s="5" t="s">
        <v>9587</v>
      </c>
      <c r="C1962" s="1" t="s">
        <v>9588</v>
      </c>
      <c r="D1962" s="5" t="s">
        <v>17844</v>
      </c>
      <c r="E1962" s="32">
        <v>16</v>
      </c>
      <c r="F1962" s="27">
        <v>5376</v>
      </c>
      <c r="G1962" s="32">
        <v>436</v>
      </c>
      <c r="H1962" s="27">
        <v>171552</v>
      </c>
      <c r="I1962" s="27">
        <v>336</v>
      </c>
      <c r="J1962" s="27">
        <v>393.46788990825689</v>
      </c>
      <c r="K1962" s="29">
        <v>0.17103538663171694</v>
      </c>
    </row>
    <row r="1963" spans="1:11" x14ac:dyDescent="0.25">
      <c r="A1963" s="5" t="s">
        <v>6</v>
      </c>
      <c r="B1963" s="5" t="s">
        <v>9590</v>
      </c>
      <c r="C1963" s="1" t="s">
        <v>9591</v>
      </c>
      <c r="D1963" s="5" t="s">
        <v>17845</v>
      </c>
      <c r="E1963" s="32">
        <v>0</v>
      </c>
      <c r="F1963" s="27">
        <v>0</v>
      </c>
      <c r="G1963" s="32">
        <v>5140</v>
      </c>
      <c r="H1963" s="27">
        <v>138780</v>
      </c>
      <c r="J1963" s="27">
        <v>27</v>
      </c>
    </row>
    <row r="1964" spans="1:11" x14ac:dyDescent="0.25">
      <c r="A1964" s="5" t="s">
        <v>6</v>
      </c>
      <c r="B1964" s="5" t="s">
        <v>9593</v>
      </c>
      <c r="C1964" s="1" t="s">
        <v>9594</v>
      </c>
      <c r="D1964" s="5" t="s">
        <v>17846</v>
      </c>
      <c r="E1964" s="32">
        <v>10422</v>
      </c>
      <c r="F1964" s="27">
        <v>347754</v>
      </c>
      <c r="G1964" s="32">
        <v>15242</v>
      </c>
      <c r="H1964" s="27">
        <v>548303</v>
      </c>
      <c r="I1964" s="27">
        <v>33.367299942429476</v>
      </c>
      <c r="J1964" s="27">
        <v>35.973166251148143</v>
      </c>
      <c r="K1964" s="29">
        <v>7.8096409155512095E-2</v>
      </c>
    </row>
    <row r="1965" spans="1:11" x14ac:dyDescent="0.25">
      <c r="A1965" s="5" t="s">
        <v>6</v>
      </c>
      <c r="B1965" s="5" t="s">
        <v>9596</v>
      </c>
      <c r="C1965" s="1" t="s">
        <v>9597</v>
      </c>
      <c r="D1965" s="5" t="s">
        <v>17846</v>
      </c>
      <c r="E1965" s="32">
        <v>37596</v>
      </c>
      <c r="F1965" s="27">
        <v>777644</v>
      </c>
      <c r="G1965" s="32">
        <v>39704</v>
      </c>
      <c r="H1965" s="27">
        <v>887848</v>
      </c>
      <c r="I1965" s="27">
        <v>20.684221725715503</v>
      </c>
      <c r="J1965" s="27">
        <v>22.361676405399958</v>
      </c>
      <c r="K1965" s="29">
        <v>8.1098273936938733E-2</v>
      </c>
    </row>
    <row r="1966" spans="1:11" x14ac:dyDescent="0.25">
      <c r="A1966" s="5" t="s">
        <v>6</v>
      </c>
      <c r="B1966" s="5" t="s">
        <v>9611</v>
      </c>
      <c r="C1966" s="1" t="s">
        <v>9612</v>
      </c>
      <c r="D1966" s="5" t="s">
        <v>17847</v>
      </c>
      <c r="E1966" s="32">
        <v>40</v>
      </c>
      <c r="F1966" s="27">
        <v>14900</v>
      </c>
      <c r="G1966" s="32">
        <v>34</v>
      </c>
      <c r="H1966" s="27">
        <v>13736</v>
      </c>
      <c r="I1966" s="27">
        <v>372.5</v>
      </c>
      <c r="J1966" s="27">
        <v>404</v>
      </c>
      <c r="K1966" s="29">
        <v>8.4563758389261751E-2</v>
      </c>
    </row>
    <row r="1967" spans="1:11" x14ac:dyDescent="0.25">
      <c r="A1967" s="5" t="s">
        <v>6</v>
      </c>
      <c r="B1967" s="5" t="s">
        <v>9614</v>
      </c>
      <c r="C1967" s="1" t="s">
        <v>9615</v>
      </c>
      <c r="D1967" s="5" t="s">
        <v>17848</v>
      </c>
      <c r="E1967" s="32">
        <v>16</v>
      </c>
      <c r="F1967" s="27">
        <v>5022</v>
      </c>
      <c r="G1967" s="32">
        <v>16</v>
      </c>
      <c r="H1967" s="27">
        <v>5322</v>
      </c>
      <c r="I1967" s="27">
        <v>313.875</v>
      </c>
      <c r="J1967" s="27">
        <v>332.625</v>
      </c>
      <c r="K1967" s="29">
        <v>5.9737156511350059E-2</v>
      </c>
    </row>
    <row r="1968" spans="1:11" x14ac:dyDescent="0.25">
      <c r="A1968" s="5" t="s">
        <v>6</v>
      </c>
      <c r="B1968" s="5" t="s">
        <v>9623</v>
      </c>
      <c r="C1968" s="1" t="s">
        <v>9624</v>
      </c>
      <c r="D1968" s="5" t="s">
        <v>17849</v>
      </c>
      <c r="E1968" s="32">
        <v>592</v>
      </c>
      <c r="F1968" s="27">
        <v>155792</v>
      </c>
      <c r="G1968" s="32">
        <v>615</v>
      </c>
      <c r="H1968" s="27">
        <v>171843</v>
      </c>
      <c r="I1968" s="27">
        <v>263.16216216216219</v>
      </c>
      <c r="J1968" s="27">
        <v>279.41951219512197</v>
      </c>
      <c r="K1968" s="29">
        <v>6.1776928337220059E-2</v>
      </c>
    </row>
    <row r="1969" spans="1:11" x14ac:dyDescent="0.25">
      <c r="A1969" s="5" t="s">
        <v>6</v>
      </c>
      <c r="B1969" s="5" t="s">
        <v>9626</v>
      </c>
      <c r="C1969" s="1" t="s">
        <v>9627</v>
      </c>
      <c r="D1969" s="5" t="s">
        <v>17789</v>
      </c>
      <c r="E1969" s="32">
        <v>289</v>
      </c>
      <c r="F1969" s="27">
        <v>136660</v>
      </c>
      <c r="G1969" s="32">
        <v>212</v>
      </c>
      <c r="H1969" s="27">
        <v>105554</v>
      </c>
      <c r="I1969" s="27">
        <v>472.87197231833909</v>
      </c>
      <c r="J1969" s="27">
        <v>497.89622641509436</v>
      </c>
      <c r="K1969" s="29">
        <v>5.2919723649658086E-2</v>
      </c>
    </row>
    <row r="1970" spans="1:11" x14ac:dyDescent="0.25">
      <c r="A1970" s="5" t="s">
        <v>6</v>
      </c>
      <c r="B1970" s="5" t="s">
        <v>9629</v>
      </c>
      <c r="C1970" s="1" t="s">
        <v>9630</v>
      </c>
      <c r="D1970" s="5" t="s">
        <v>17789</v>
      </c>
      <c r="E1970" s="32">
        <v>17</v>
      </c>
      <c r="F1970" s="27">
        <v>7808</v>
      </c>
      <c r="G1970" s="32">
        <v>356</v>
      </c>
      <c r="H1970" s="27">
        <v>179003</v>
      </c>
      <c r="I1970" s="27">
        <v>459.29411764705884</v>
      </c>
      <c r="J1970" s="27">
        <v>502.81741573033707</v>
      </c>
      <c r="K1970" s="29">
        <v>9.476127912599E-2</v>
      </c>
    </row>
    <row r="1971" spans="1:11" x14ac:dyDescent="0.25">
      <c r="A1971" s="5" t="s">
        <v>6</v>
      </c>
      <c r="B1971" s="5" t="s">
        <v>9632</v>
      </c>
      <c r="C1971" s="1" t="s">
        <v>9633</v>
      </c>
      <c r="D1971" s="5" t="s">
        <v>17850</v>
      </c>
      <c r="E1971" s="32">
        <v>21</v>
      </c>
      <c r="F1971" s="27">
        <v>20223</v>
      </c>
      <c r="G1971" s="32">
        <v>117</v>
      </c>
      <c r="H1971" s="27">
        <v>121680</v>
      </c>
      <c r="I1971" s="27">
        <v>963</v>
      </c>
      <c r="J1971" s="27">
        <v>1040</v>
      </c>
      <c r="K1971" s="29">
        <v>7.9958463136033234E-2</v>
      </c>
    </row>
    <row r="1972" spans="1:11" x14ac:dyDescent="0.25">
      <c r="A1972" s="5" t="s">
        <v>6</v>
      </c>
      <c r="B1972" s="5" t="s">
        <v>9647</v>
      </c>
      <c r="C1972" s="1" t="s">
        <v>9648</v>
      </c>
      <c r="D1972" s="5" t="s">
        <v>17851</v>
      </c>
      <c r="E1972" s="32">
        <v>3350</v>
      </c>
      <c r="F1972" s="27">
        <v>633615</v>
      </c>
      <c r="G1972" s="32">
        <v>4584</v>
      </c>
      <c r="H1972" s="27">
        <v>929763</v>
      </c>
      <c r="I1972" s="27">
        <v>189.13880597014926</v>
      </c>
      <c r="J1972" s="27">
        <v>202.82787958115182</v>
      </c>
      <c r="K1972" s="29">
        <v>7.2375806439018267E-2</v>
      </c>
    </row>
    <row r="1973" spans="1:11" x14ac:dyDescent="0.25">
      <c r="A1973" s="5" t="s">
        <v>6</v>
      </c>
      <c r="B1973" s="5" t="s">
        <v>9653</v>
      </c>
      <c r="C1973" s="1" t="s">
        <v>9654</v>
      </c>
      <c r="D1973" s="5" t="s">
        <v>17852</v>
      </c>
      <c r="E1973" s="32">
        <v>780</v>
      </c>
      <c r="F1973" s="27">
        <v>316875</v>
      </c>
      <c r="G1973" s="32">
        <v>1140</v>
      </c>
      <c r="H1973" s="27">
        <v>483561</v>
      </c>
      <c r="I1973" s="27">
        <v>406.25</v>
      </c>
      <c r="J1973" s="27">
        <v>424.17631578947368</v>
      </c>
      <c r="K1973" s="29">
        <v>4.4126315789473666E-2</v>
      </c>
    </row>
    <row r="1974" spans="1:11" x14ac:dyDescent="0.25">
      <c r="A1974" s="5" t="s">
        <v>6</v>
      </c>
      <c r="B1974" s="5" t="s">
        <v>9656</v>
      </c>
      <c r="C1974" s="1" t="s">
        <v>9657</v>
      </c>
      <c r="D1974" s="5" t="s">
        <v>17853</v>
      </c>
      <c r="E1974" s="32">
        <v>44</v>
      </c>
      <c r="F1974" s="27">
        <v>14344</v>
      </c>
      <c r="I1974" s="27">
        <v>326</v>
      </c>
    </row>
    <row r="1975" spans="1:11" x14ac:dyDescent="0.25">
      <c r="A1975" s="5" t="s">
        <v>6</v>
      </c>
      <c r="B1975" s="5" t="s">
        <v>9662</v>
      </c>
      <c r="C1975" s="1" t="s">
        <v>9663</v>
      </c>
      <c r="D1975" s="5" t="s">
        <v>17854</v>
      </c>
      <c r="E1975" s="32">
        <v>25</v>
      </c>
      <c r="F1975" s="27">
        <v>16600</v>
      </c>
      <c r="G1975" s="32">
        <v>13</v>
      </c>
      <c r="H1975" s="27">
        <v>9109</v>
      </c>
      <c r="I1975" s="27">
        <v>664</v>
      </c>
      <c r="J1975" s="27">
        <v>700.69230769230774</v>
      </c>
      <c r="K1975" s="29">
        <v>5.5259499536608039E-2</v>
      </c>
    </row>
    <row r="1976" spans="1:11" x14ac:dyDescent="0.25">
      <c r="A1976" s="5" t="s">
        <v>6</v>
      </c>
      <c r="B1976" s="5" t="s">
        <v>17855</v>
      </c>
      <c r="C1976" s="1" t="s">
        <v>17856</v>
      </c>
      <c r="D1976" s="5" t="s">
        <v>17857</v>
      </c>
      <c r="E1976" s="32">
        <v>182</v>
      </c>
      <c r="F1976" s="27">
        <v>9392</v>
      </c>
      <c r="I1976" s="27">
        <v>51.604395604395606</v>
      </c>
    </row>
    <row r="1977" spans="1:11" x14ac:dyDescent="0.25">
      <c r="A1977" s="5" t="s">
        <v>6</v>
      </c>
      <c r="B1977" s="5" t="s">
        <v>9665</v>
      </c>
      <c r="C1977" s="1" t="s">
        <v>9666</v>
      </c>
      <c r="D1977" s="5" t="s">
        <v>17789</v>
      </c>
      <c r="E1977" s="32">
        <v>301</v>
      </c>
      <c r="F1977" s="27">
        <v>87892</v>
      </c>
      <c r="G1977" s="32">
        <v>54</v>
      </c>
      <c r="H1977" s="27">
        <v>17010</v>
      </c>
      <c r="I1977" s="27">
        <v>292</v>
      </c>
      <c r="J1977" s="27">
        <v>315</v>
      </c>
      <c r="K1977" s="29">
        <v>7.8767123287671229E-2</v>
      </c>
    </row>
    <row r="1978" spans="1:11" x14ac:dyDescent="0.25">
      <c r="A1978" s="5" t="s">
        <v>6</v>
      </c>
      <c r="B1978" s="5" t="s">
        <v>9668</v>
      </c>
      <c r="C1978" s="1" t="s">
        <v>9669</v>
      </c>
      <c r="D1978" s="5" t="s">
        <v>17858</v>
      </c>
      <c r="E1978" s="32">
        <v>78</v>
      </c>
      <c r="F1978" s="27">
        <v>8034</v>
      </c>
      <c r="G1978" s="32">
        <v>224</v>
      </c>
      <c r="H1978" s="27">
        <v>24672</v>
      </c>
      <c r="I1978" s="27">
        <v>103</v>
      </c>
      <c r="J1978" s="27">
        <v>110.14285714285714</v>
      </c>
      <c r="K1978" s="29">
        <v>6.934812760055474E-2</v>
      </c>
    </row>
    <row r="1979" spans="1:11" x14ac:dyDescent="0.25">
      <c r="A1979" s="5" t="s">
        <v>6</v>
      </c>
      <c r="B1979" s="5" t="s">
        <v>9671</v>
      </c>
      <c r="C1979" s="1" t="s">
        <v>9672</v>
      </c>
      <c r="D1979" s="5" t="s">
        <v>17859</v>
      </c>
      <c r="E1979" s="32">
        <v>590</v>
      </c>
      <c r="F1979" s="27">
        <v>138901</v>
      </c>
      <c r="G1979" s="32">
        <v>716</v>
      </c>
      <c r="H1979" s="27">
        <v>180130</v>
      </c>
      <c r="I1979" s="27">
        <v>235.42542372881357</v>
      </c>
      <c r="J1979" s="27">
        <v>251.57821229050279</v>
      </c>
      <c r="K1979" s="29">
        <v>6.8611062925368713E-2</v>
      </c>
    </row>
    <row r="1980" spans="1:11" x14ac:dyDescent="0.25">
      <c r="A1980" s="5" t="s">
        <v>6</v>
      </c>
      <c r="B1980" s="5" t="s">
        <v>9695</v>
      </c>
      <c r="C1980" s="1" t="s">
        <v>9696</v>
      </c>
      <c r="D1980" s="5" t="s">
        <v>17789</v>
      </c>
      <c r="E1980" s="32">
        <v>9</v>
      </c>
      <c r="F1980" s="27">
        <v>6246</v>
      </c>
      <c r="I1980" s="27">
        <v>694</v>
      </c>
    </row>
    <row r="1981" spans="1:11" x14ac:dyDescent="0.25">
      <c r="A1981" s="5" t="s">
        <v>6</v>
      </c>
      <c r="B1981" s="5" t="s">
        <v>9698</v>
      </c>
      <c r="C1981" s="1" t="s">
        <v>9699</v>
      </c>
      <c r="D1981" s="5" t="s">
        <v>17860</v>
      </c>
      <c r="E1981" s="32">
        <v>90000</v>
      </c>
      <c r="F1981" s="27">
        <v>180000</v>
      </c>
      <c r="G1981" s="32">
        <v>206500</v>
      </c>
      <c r="H1981" s="27">
        <v>413000</v>
      </c>
      <c r="I1981" s="27">
        <v>2</v>
      </c>
      <c r="J1981" s="27">
        <v>2</v>
      </c>
      <c r="K1981" s="29">
        <v>0</v>
      </c>
    </row>
    <row r="1982" spans="1:11" x14ac:dyDescent="0.25">
      <c r="A1982" s="5" t="s">
        <v>6</v>
      </c>
      <c r="B1982" s="5" t="s">
        <v>9701</v>
      </c>
      <c r="C1982" s="1" t="s">
        <v>9702</v>
      </c>
      <c r="D1982" s="5" t="s">
        <v>17861</v>
      </c>
      <c r="E1982" s="32">
        <v>80</v>
      </c>
      <c r="F1982" s="27">
        <v>6080</v>
      </c>
      <c r="G1982" s="32">
        <v>400</v>
      </c>
      <c r="H1982" s="27">
        <v>32800</v>
      </c>
      <c r="I1982" s="27">
        <v>76</v>
      </c>
      <c r="J1982" s="27">
        <v>82</v>
      </c>
      <c r="K1982" s="29">
        <v>7.8947368421052627E-2</v>
      </c>
    </row>
    <row r="1983" spans="1:11" x14ac:dyDescent="0.25">
      <c r="A1983" s="5" t="s">
        <v>6</v>
      </c>
      <c r="B1983" s="5" t="s">
        <v>9712</v>
      </c>
      <c r="C1983" s="1" t="s">
        <v>9713</v>
      </c>
      <c r="D1983" s="5" t="s">
        <v>17862</v>
      </c>
      <c r="E1983" s="32">
        <v>1</v>
      </c>
      <c r="F1983" s="27">
        <v>406</v>
      </c>
      <c r="I1983" s="27">
        <v>406</v>
      </c>
    </row>
    <row r="1984" spans="1:11" x14ac:dyDescent="0.25">
      <c r="A1984" s="5" t="s">
        <v>6</v>
      </c>
      <c r="B1984" s="5" t="s">
        <v>9715</v>
      </c>
      <c r="C1984" s="1" t="s">
        <v>9716</v>
      </c>
      <c r="D1984" s="5" t="s">
        <v>17863</v>
      </c>
      <c r="E1984" s="32">
        <v>4693</v>
      </c>
      <c r="F1984" s="27">
        <v>195546</v>
      </c>
      <c r="G1984" s="32">
        <v>5327</v>
      </c>
      <c r="H1984" s="27">
        <v>234975</v>
      </c>
      <c r="I1984" s="27">
        <v>41.667590027700832</v>
      </c>
      <c r="J1984" s="27">
        <v>44.110193354608597</v>
      </c>
      <c r="K1984" s="29">
        <v>5.8621180761448149E-2</v>
      </c>
    </row>
    <row r="1985" spans="1:11" x14ac:dyDescent="0.25">
      <c r="A1985" s="5" t="s">
        <v>6</v>
      </c>
      <c r="B1985" s="5" t="s">
        <v>9718</v>
      </c>
      <c r="C1985" s="1" t="s">
        <v>9719</v>
      </c>
      <c r="D1985" s="5" t="s">
        <v>17864</v>
      </c>
      <c r="E1985" s="32">
        <v>24381</v>
      </c>
      <c r="F1985" s="27">
        <v>215448</v>
      </c>
      <c r="G1985" s="32">
        <v>23958</v>
      </c>
      <c r="H1985" s="27">
        <v>231838</v>
      </c>
      <c r="I1985" s="27">
        <v>8.8367171157868825</v>
      </c>
      <c r="J1985" s="27">
        <v>9.6768511561899988</v>
      </c>
      <c r="K1985" s="29">
        <v>9.5073094385041315E-2</v>
      </c>
    </row>
    <row r="1986" spans="1:11" x14ac:dyDescent="0.25">
      <c r="A1986" s="5" t="s">
        <v>6</v>
      </c>
      <c r="B1986" s="5" t="s">
        <v>9721</v>
      </c>
      <c r="C1986" s="1" t="s">
        <v>9722</v>
      </c>
      <c r="D1986" s="5" t="s">
        <v>17789</v>
      </c>
      <c r="E1986" s="32">
        <v>5848</v>
      </c>
      <c r="F1986" s="27">
        <v>2223000</v>
      </c>
      <c r="G1986" s="32">
        <v>6188</v>
      </c>
      <c r="H1986" s="27">
        <v>2513207</v>
      </c>
      <c r="I1986" s="27">
        <v>380.12995896032834</v>
      </c>
      <c r="J1986" s="27">
        <v>406.14204912734323</v>
      </c>
      <c r="K1986" s="29">
        <v>6.8429466170356751E-2</v>
      </c>
    </row>
    <row r="1987" spans="1:11" x14ac:dyDescent="0.25">
      <c r="A1987" s="5" t="s">
        <v>6</v>
      </c>
      <c r="B1987" s="5" t="s">
        <v>9730</v>
      </c>
      <c r="C1987" s="1" t="s">
        <v>9731</v>
      </c>
      <c r="D1987" s="5" t="s">
        <v>17789</v>
      </c>
      <c r="E1987" s="32">
        <v>1144</v>
      </c>
      <c r="F1987" s="27">
        <v>733928</v>
      </c>
      <c r="G1987" s="32">
        <v>1171</v>
      </c>
      <c r="H1987" s="27">
        <v>812765</v>
      </c>
      <c r="I1987" s="27">
        <v>641.5454545454545</v>
      </c>
      <c r="J1987" s="27">
        <v>694.07771135781388</v>
      </c>
      <c r="K1987" s="29">
        <v>8.1883920211981459E-2</v>
      </c>
    </row>
    <row r="1988" spans="1:11" x14ac:dyDescent="0.25">
      <c r="A1988" s="5" t="s">
        <v>6</v>
      </c>
      <c r="B1988" s="5" t="s">
        <v>9733</v>
      </c>
      <c r="C1988" s="1" t="s">
        <v>9734</v>
      </c>
      <c r="D1988" s="5" t="s">
        <v>17865</v>
      </c>
      <c r="E1988" s="32">
        <v>116</v>
      </c>
      <c r="F1988" s="27">
        <v>21418</v>
      </c>
      <c r="G1988" s="32">
        <v>166</v>
      </c>
      <c r="H1988" s="27">
        <v>33338</v>
      </c>
      <c r="I1988" s="27">
        <v>184.63793103448276</v>
      </c>
      <c r="J1988" s="27">
        <v>200.83132530120483</v>
      </c>
      <c r="K1988" s="29">
        <v>8.7703508027815846E-2</v>
      </c>
    </row>
    <row r="1989" spans="1:11" x14ac:dyDescent="0.25">
      <c r="A1989" s="5" t="s">
        <v>6</v>
      </c>
      <c r="B1989" s="5" t="s">
        <v>9736</v>
      </c>
      <c r="C1989" s="1" t="s">
        <v>9737</v>
      </c>
      <c r="D1989" s="5" t="s">
        <v>17866</v>
      </c>
      <c r="E1989" s="32">
        <v>162</v>
      </c>
      <c r="F1989" s="27">
        <v>50804</v>
      </c>
      <c r="G1989" s="32">
        <v>267</v>
      </c>
      <c r="H1989" s="27">
        <v>89364</v>
      </c>
      <c r="I1989" s="27">
        <v>313.60493827160496</v>
      </c>
      <c r="J1989" s="27">
        <v>334.69662921348316</v>
      </c>
      <c r="K1989" s="29">
        <v>6.7255608467527511E-2</v>
      </c>
    </row>
    <row r="1990" spans="1:11" x14ac:dyDescent="0.25">
      <c r="A1990" s="5" t="s">
        <v>6</v>
      </c>
      <c r="B1990" s="5" t="s">
        <v>9739</v>
      </c>
      <c r="C1990" s="1" t="s">
        <v>9740</v>
      </c>
      <c r="D1990" s="5" t="s">
        <v>17867</v>
      </c>
      <c r="E1990" s="32">
        <v>744</v>
      </c>
      <c r="F1990" s="27">
        <v>147624</v>
      </c>
      <c r="G1990" s="32">
        <v>734</v>
      </c>
      <c r="H1990" s="27">
        <v>154590</v>
      </c>
      <c r="I1990" s="27">
        <v>198.41935483870967</v>
      </c>
      <c r="J1990" s="27">
        <v>210.61307901907358</v>
      </c>
      <c r="K1990" s="29">
        <v>6.1454308176114678E-2</v>
      </c>
    </row>
    <row r="1991" spans="1:11" x14ac:dyDescent="0.25">
      <c r="A1991" s="5" t="s">
        <v>6</v>
      </c>
      <c r="B1991" s="5" t="s">
        <v>9742</v>
      </c>
      <c r="C1991" s="1" t="s">
        <v>9743</v>
      </c>
      <c r="D1991" s="5" t="s">
        <v>17868</v>
      </c>
      <c r="E1991" s="32">
        <v>2</v>
      </c>
      <c r="F1991" s="27">
        <v>9354</v>
      </c>
      <c r="I1991" s="27">
        <v>4677</v>
      </c>
    </row>
    <row r="1992" spans="1:11" x14ac:dyDescent="0.25">
      <c r="A1992" s="5" t="s">
        <v>6</v>
      </c>
      <c r="B1992" s="5" t="s">
        <v>9748</v>
      </c>
      <c r="C1992" s="1" t="s">
        <v>9749</v>
      </c>
      <c r="D1992" s="5" t="s">
        <v>17789</v>
      </c>
      <c r="E1992" s="32">
        <v>412</v>
      </c>
      <c r="F1992" s="27">
        <v>155898</v>
      </c>
      <c r="G1992" s="32">
        <v>457</v>
      </c>
      <c r="H1992" s="27">
        <v>185191</v>
      </c>
      <c r="I1992" s="27">
        <v>378.39320388349512</v>
      </c>
      <c r="J1992" s="27">
        <v>405.23194748358861</v>
      </c>
      <c r="K1992" s="29">
        <v>7.0928186142468277E-2</v>
      </c>
    </row>
    <row r="1993" spans="1:11" x14ac:dyDescent="0.25">
      <c r="A1993" s="5" t="s">
        <v>6</v>
      </c>
      <c r="B1993" s="5" t="s">
        <v>9751</v>
      </c>
      <c r="C1993" s="1" t="s">
        <v>9752</v>
      </c>
      <c r="D1993" s="5" t="s">
        <v>17789</v>
      </c>
      <c r="E1993" s="32">
        <v>70</v>
      </c>
      <c r="F1993" s="27">
        <v>28598</v>
      </c>
      <c r="G1993" s="32">
        <v>36</v>
      </c>
      <c r="H1993" s="27">
        <v>15450</v>
      </c>
      <c r="I1993" s="27">
        <v>408.54285714285714</v>
      </c>
      <c r="J1993" s="27">
        <v>429.16666666666669</v>
      </c>
      <c r="K1993" s="29">
        <v>5.0481385644683817E-2</v>
      </c>
    </row>
    <row r="1994" spans="1:11" x14ac:dyDescent="0.25">
      <c r="A1994" s="5" t="s">
        <v>6</v>
      </c>
      <c r="B1994" s="5" t="s">
        <v>9754</v>
      </c>
      <c r="C1994" s="1" t="s">
        <v>9755</v>
      </c>
      <c r="D1994" s="5" t="s">
        <v>17789</v>
      </c>
      <c r="E1994" s="32">
        <v>176</v>
      </c>
      <c r="F1994" s="27">
        <v>49569</v>
      </c>
      <c r="G1994" s="32">
        <v>134</v>
      </c>
      <c r="H1994" s="27">
        <v>40574</v>
      </c>
      <c r="I1994" s="27">
        <v>281.64204545454544</v>
      </c>
      <c r="J1994" s="27">
        <v>302.79104477611941</v>
      </c>
      <c r="K1994" s="29">
        <v>7.5091768657770355E-2</v>
      </c>
    </row>
    <row r="1995" spans="1:11" x14ac:dyDescent="0.25">
      <c r="A1995" s="5" t="s">
        <v>6</v>
      </c>
      <c r="B1995" s="5" t="s">
        <v>9760</v>
      </c>
      <c r="C1995" s="1" t="s">
        <v>9761</v>
      </c>
      <c r="D1995" s="5" t="s">
        <v>17869</v>
      </c>
      <c r="E1995" s="32">
        <v>3105</v>
      </c>
      <c r="F1995" s="27">
        <v>668322</v>
      </c>
      <c r="G1995" s="32">
        <v>4390</v>
      </c>
      <c r="H1995" s="27">
        <v>1007068</v>
      </c>
      <c r="I1995" s="27">
        <v>215.24057971014491</v>
      </c>
      <c r="J1995" s="27">
        <v>229.40045558086561</v>
      </c>
      <c r="K1995" s="29">
        <v>6.5786274548178522E-2</v>
      </c>
    </row>
    <row r="1996" spans="1:11" x14ac:dyDescent="0.25">
      <c r="A1996" s="5" t="s">
        <v>6</v>
      </c>
      <c r="B1996" s="5" t="s">
        <v>9763</v>
      </c>
      <c r="C1996" s="1" t="s">
        <v>9764</v>
      </c>
      <c r="D1996" s="5" t="s">
        <v>17870</v>
      </c>
      <c r="E1996" s="32">
        <v>0</v>
      </c>
      <c r="F1996" s="27">
        <v>0</v>
      </c>
      <c r="G1996" s="32">
        <v>2</v>
      </c>
      <c r="H1996" s="27">
        <v>236</v>
      </c>
      <c r="J1996" s="27">
        <v>118</v>
      </c>
    </row>
    <row r="1997" spans="1:11" x14ac:dyDescent="0.25">
      <c r="A1997" s="5" t="s">
        <v>6</v>
      </c>
      <c r="B1997" s="5" t="s">
        <v>9766</v>
      </c>
      <c r="C1997" s="1" t="s">
        <v>9767</v>
      </c>
      <c r="D1997" s="5" t="s">
        <v>17871</v>
      </c>
      <c r="E1997" s="32">
        <v>919</v>
      </c>
      <c r="F1997" s="27">
        <v>190151</v>
      </c>
      <c r="G1997" s="32">
        <v>960</v>
      </c>
      <c r="H1997" s="27">
        <v>211970</v>
      </c>
      <c r="I1997" s="27">
        <v>206.91077257889009</v>
      </c>
      <c r="J1997" s="27">
        <v>220.80208333333334</v>
      </c>
      <c r="K1997" s="29">
        <v>6.7136720728964622E-2</v>
      </c>
    </row>
    <row r="1998" spans="1:11" x14ac:dyDescent="0.25">
      <c r="A1998" s="5" t="s">
        <v>6</v>
      </c>
      <c r="B1998" s="5" t="s">
        <v>9769</v>
      </c>
      <c r="C1998" s="1" t="s">
        <v>9770</v>
      </c>
      <c r="D1998" s="5" t="s">
        <v>17872</v>
      </c>
      <c r="E1998" s="32">
        <v>73</v>
      </c>
      <c r="F1998" s="27">
        <v>68946</v>
      </c>
      <c r="G1998" s="32">
        <v>81</v>
      </c>
      <c r="H1998" s="27">
        <v>84198</v>
      </c>
      <c r="I1998" s="27">
        <v>944.46575342465758</v>
      </c>
      <c r="J1998" s="27">
        <v>1039.4814814814815</v>
      </c>
      <c r="K1998" s="29">
        <v>0.1006026186892372</v>
      </c>
    </row>
    <row r="1999" spans="1:11" x14ac:dyDescent="0.25">
      <c r="A1999" s="5" t="s">
        <v>6</v>
      </c>
      <c r="B1999" s="5" t="s">
        <v>9772</v>
      </c>
      <c r="C1999" s="1" t="s">
        <v>9773</v>
      </c>
      <c r="D1999" s="5" t="s">
        <v>17872</v>
      </c>
      <c r="E1999" s="32">
        <v>580</v>
      </c>
      <c r="F1999" s="27">
        <v>399190</v>
      </c>
      <c r="G1999" s="32">
        <v>506</v>
      </c>
      <c r="H1999" s="27">
        <v>370348</v>
      </c>
      <c r="I1999" s="27">
        <v>688.25862068965512</v>
      </c>
      <c r="J1999" s="27">
        <v>731.91304347826087</v>
      </c>
      <c r="K1999" s="29">
        <v>6.3427353434182571E-2</v>
      </c>
    </row>
    <row r="2000" spans="1:11" x14ac:dyDescent="0.25">
      <c r="A2000" s="5" t="s">
        <v>6</v>
      </c>
      <c r="B2000" s="5" t="s">
        <v>9778</v>
      </c>
      <c r="C2000" s="1" t="s">
        <v>9779</v>
      </c>
      <c r="D2000" s="5" t="s">
        <v>17873</v>
      </c>
      <c r="E2000" s="32">
        <v>10030</v>
      </c>
      <c r="F2000" s="27">
        <v>338140</v>
      </c>
      <c r="G2000" s="32">
        <v>6801</v>
      </c>
      <c r="H2000" s="27">
        <v>243417</v>
      </c>
      <c r="I2000" s="27">
        <v>33.712861415752741</v>
      </c>
      <c r="J2000" s="27">
        <v>35.791354212615794</v>
      </c>
      <c r="K2000" s="29">
        <v>6.1652814670066891E-2</v>
      </c>
    </row>
    <row r="2001" spans="1:11" x14ac:dyDescent="0.25">
      <c r="A2001" s="5" t="s">
        <v>6</v>
      </c>
      <c r="B2001" s="5" t="s">
        <v>9781</v>
      </c>
      <c r="C2001" s="1" t="s">
        <v>9782</v>
      </c>
      <c r="D2001" s="5" t="s">
        <v>17873</v>
      </c>
      <c r="E2001" s="32">
        <v>1210</v>
      </c>
      <c r="F2001" s="27">
        <v>132510</v>
      </c>
      <c r="G2001" s="32">
        <v>930</v>
      </c>
      <c r="H2001" s="27">
        <v>108180</v>
      </c>
      <c r="I2001" s="27">
        <v>109.51239669421487</v>
      </c>
      <c r="J2001" s="27">
        <v>116.3225806451613</v>
      </c>
      <c r="K2001" s="29">
        <v>6.2186420501435163E-2</v>
      </c>
    </row>
    <row r="2002" spans="1:11" x14ac:dyDescent="0.25">
      <c r="A2002" s="5" t="s">
        <v>6</v>
      </c>
      <c r="B2002" s="5" t="s">
        <v>9790</v>
      </c>
      <c r="C2002" s="1" t="s">
        <v>9791</v>
      </c>
      <c r="D2002" s="5" t="s">
        <v>17874</v>
      </c>
      <c r="E2002" s="32">
        <v>82</v>
      </c>
      <c r="F2002" s="27">
        <v>90100</v>
      </c>
      <c r="G2002" s="32">
        <v>115</v>
      </c>
      <c r="H2002" s="27">
        <v>139415</v>
      </c>
      <c r="I2002" s="27">
        <v>1098.780487804878</v>
      </c>
      <c r="J2002" s="27">
        <v>1212.304347826087</v>
      </c>
      <c r="K2002" s="29">
        <v>0.1033180524055398</v>
      </c>
    </row>
    <row r="2003" spans="1:11" x14ac:dyDescent="0.25">
      <c r="A2003" s="5" t="s">
        <v>6</v>
      </c>
      <c r="B2003" s="5" t="s">
        <v>9793</v>
      </c>
      <c r="C2003" s="1" t="s">
        <v>9794</v>
      </c>
      <c r="D2003" s="5" t="s">
        <v>17875</v>
      </c>
      <c r="E2003" s="32">
        <v>10</v>
      </c>
      <c r="F2003" s="27">
        <v>27110</v>
      </c>
      <c r="I2003" s="27">
        <v>2711</v>
      </c>
    </row>
    <row r="2004" spans="1:11" x14ac:dyDescent="0.25">
      <c r="A2004" s="5" t="s">
        <v>6</v>
      </c>
      <c r="B2004" s="5" t="s">
        <v>9798</v>
      </c>
      <c r="C2004" s="1" t="s">
        <v>9799</v>
      </c>
      <c r="D2004" s="5" t="s">
        <v>17789</v>
      </c>
      <c r="E2004" s="32">
        <v>1481</v>
      </c>
      <c r="F2004" s="27">
        <v>781446</v>
      </c>
      <c r="G2004" s="32">
        <v>2038</v>
      </c>
      <c r="H2004" s="27">
        <v>1150685</v>
      </c>
      <c r="I2004" s="27">
        <v>527.64753544902089</v>
      </c>
      <c r="J2004" s="27">
        <v>564.61481844946024</v>
      </c>
      <c r="K2004" s="29">
        <v>7.0060562244416993E-2</v>
      </c>
    </row>
    <row r="2005" spans="1:11" x14ac:dyDescent="0.25">
      <c r="A2005" s="5" t="s">
        <v>6</v>
      </c>
      <c r="B2005" s="5" t="s">
        <v>9801</v>
      </c>
      <c r="C2005" s="1" t="s">
        <v>9802</v>
      </c>
      <c r="D2005" s="5" t="s">
        <v>17876</v>
      </c>
      <c r="E2005" s="32">
        <v>139</v>
      </c>
      <c r="F2005" s="27">
        <v>44144</v>
      </c>
      <c r="G2005" s="32">
        <v>137</v>
      </c>
      <c r="H2005" s="27">
        <v>46239</v>
      </c>
      <c r="I2005" s="27">
        <v>317.58273381294964</v>
      </c>
      <c r="J2005" s="27">
        <v>337.5109489051095</v>
      </c>
      <c r="K2005" s="29">
        <v>6.2749680541188402E-2</v>
      </c>
    </row>
    <row r="2006" spans="1:11" x14ac:dyDescent="0.25">
      <c r="A2006" s="5" t="s">
        <v>6</v>
      </c>
      <c r="B2006" s="5" t="s">
        <v>9810</v>
      </c>
      <c r="C2006" s="1" t="s">
        <v>9811</v>
      </c>
      <c r="D2006" s="5" t="s">
        <v>17789</v>
      </c>
      <c r="E2006" s="32">
        <v>915</v>
      </c>
      <c r="F2006" s="27">
        <v>65763</v>
      </c>
      <c r="G2006" s="32">
        <v>761</v>
      </c>
      <c r="H2006" s="27">
        <v>58025</v>
      </c>
      <c r="I2006" s="27">
        <v>71.872131147540983</v>
      </c>
      <c r="J2006" s="27">
        <v>76.248357424441522</v>
      </c>
      <c r="K2006" s="29">
        <v>6.088905681559529E-2</v>
      </c>
    </row>
    <row r="2007" spans="1:11" x14ac:dyDescent="0.25">
      <c r="A2007" s="5" t="s">
        <v>6</v>
      </c>
      <c r="B2007" s="5" t="s">
        <v>9813</v>
      </c>
      <c r="C2007" s="1" t="s">
        <v>9814</v>
      </c>
      <c r="D2007" s="5" t="s">
        <v>17877</v>
      </c>
      <c r="E2007" s="32">
        <v>48027</v>
      </c>
      <c r="F2007" s="27">
        <v>614865</v>
      </c>
      <c r="G2007" s="32">
        <v>44473</v>
      </c>
      <c r="H2007" s="27">
        <v>605927</v>
      </c>
      <c r="I2007" s="27">
        <v>12.802486101567869</v>
      </c>
      <c r="J2007" s="27">
        <v>13.624603692127808</v>
      </c>
      <c r="K2007" s="29">
        <v>6.4215464405718653E-2</v>
      </c>
    </row>
    <row r="2008" spans="1:11" x14ac:dyDescent="0.25">
      <c r="A2008" s="5" t="s">
        <v>6</v>
      </c>
      <c r="B2008" s="5" t="s">
        <v>9816</v>
      </c>
      <c r="C2008" s="1" t="s">
        <v>9817</v>
      </c>
      <c r="D2008" s="5" t="s">
        <v>17789</v>
      </c>
      <c r="E2008" s="32">
        <v>356</v>
      </c>
      <c r="F2008" s="27">
        <v>179512</v>
      </c>
      <c r="G2008" s="32">
        <v>115</v>
      </c>
      <c r="H2008" s="27">
        <v>62275</v>
      </c>
      <c r="I2008" s="27">
        <v>504.24719101123594</v>
      </c>
      <c r="J2008" s="27">
        <v>541.52173913043475</v>
      </c>
      <c r="K2008" s="29">
        <v>7.3921181483325785E-2</v>
      </c>
    </row>
    <row r="2009" spans="1:11" x14ac:dyDescent="0.25">
      <c r="A2009" s="5" t="s">
        <v>6</v>
      </c>
      <c r="B2009" s="5" t="s">
        <v>9819</v>
      </c>
      <c r="C2009" s="1" t="s">
        <v>9820</v>
      </c>
      <c r="D2009" s="5" t="s">
        <v>17789</v>
      </c>
      <c r="E2009" s="32">
        <v>66</v>
      </c>
      <c r="F2009" s="27">
        <v>8570</v>
      </c>
      <c r="G2009" s="32">
        <v>51</v>
      </c>
      <c r="H2009" s="27">
        <v>6830</v>
      </c>
      <c r="I2009" s="27">
        <v>129.84848484848484</v>
      </c>
      <c r="J2009" s="27">
        <v>133.92156862745097</v>
      </c>
      <c r="K2009" s="29">
        <v>3.1367973093554734E-2</v>
      </c>
    </row>
    <row r="2010" spans="1:11" x14ac:dyDescent="0.25">
      <c r="A2010" s="5" t="s">
        <v>6</v>
      </c>
      <c r="B2010" s="5" t="s">
        <v>9822</v>
      </c>
      <c r="C2010" s="1" t="s">
        <v>9823</v>
      </c>
      <c r="D2010" s="5" t="s">
        <v>17789</v>
      </c>
      <c r="E2010" s="32">
        <v>158</v>
      </c>
      <c r="F2010" s="27">
        <v>9548</v>
      </c>
      <c r="G2010" s="32">
        <v>380</v>
      </c>
      <c r="H2010" s="27">
        <v>24770</v>
      </c>
      <c r="I2010" s="27">
        <v>60.430379746835442</v>
      </c>
      <c r="J2010" s="27">
        <v>65.184210526315795</v>
      </c>
      <c r="K2010" s="29">
        <v>7.866624038101129E-2</v>
      </c>
    </row>
    <row r="2011" spans="1:11" x14ac:dyDescent="0.25">
      <c r="A2011" s="5" t="s">
        <v>6</v>
      </c>
      <c r="B2011" s="5" t="s">
        <v>9825</v>
      </c>
      <c r="C2011" s="1" t="s">
        <v>9826</v>
      </c>
      <c r="D2011" s="5" t="s">
        <v>17878</v>
      </c>
      <c r="E2011" s="32">
        <v>4000</v>
      </c>
      <c r="F2011" s="27">
        <v>20000</v>
      </c>
      <c r="I2011" s="27">
        <v>5</v>
      </c>
    </row>
    <row r="2012" spans="1:11" x14ac:dyDescent="0.25">
      <c r="A2012" s="5" t="s">
        <v>6</v>
      </c>
      <c r="B2012" s="5" t="s">
        <v>9834</v>
      </c>
      <c r="C2012" s="1" t="s">
        <v>9835</v>
      </c>
      <c r="D2012" s="5" t="s">
        <v>17879</v>
      </c>
      <c r="E2012" s="32">
        <v>3</v>
      </c>
      <c r="F2012" s="27">
        <v>426</v>
      </c>
      <c r="I2012" s="27">
        <v>142</v>
      </c>
    </row>
    <row r="2013" spans="1:11" x14ac:dyDescent="0.25">
      <c r="A2013" s="5" t="s">
        <v>6</v>
      </c>
      <c r="B2013" s="5" t="s">
        <v>9840</v>
      </c>
      <c r="C2013" s="1" t="s">
        <v>9841</v>
      </c>
      <c r="D2013" s="5" t="s">
        <v>17880</v>
      </c>
      <c r="E2013" s="32">
        <v>42765</v>
      </c>
      <c r="F2013" s="27">
        <v>1269690</v>
      </c>
      <c r="G2013" s="32">
        <v>39873</v>
      </c>
      <c r="H2013" s="27">
        <v>1254796</v>
      </c>
      <c r="I2013" s="27">
        <v>29.689933356716942</v>
      </c>
      <c r="J2013" s="27">
        <v>31.469816667920647</v>
      </c>
      <c r="K2013" s="29">
        <v>5.9949050400984825E-2</v>
      </c>
    </row>
    <row r="2014" spans="1:11" x14ac:dyDescent="0.25">
      <c r="A2014" s="5" t="s">
        <v>6</v>
      </c>
      <c r="B2014" s="5" t="s">
        <v>9843</v>
      </c>
      <c r="C2014" s="1" t="s">
        <v>9844</v>
      </c>
      <c r="D2014" s="5" t="s">
        <v>17789</v>
      </c>
      <c r="E2014" s="32">
        <v>54</v>
      </c>
      <c r="F2014" s="27">
        <v>3220</v>
      </c>
      <c r="G2014" s="32">
        <v>42</v>
      </c>
      <c r="H2014" s="27">
        <v>2635</v>
      </c>
      <c r="I2014" s="27">
        <v>59.629629629629626</v>
      </c>
      <c r="J2014" s="27">
        <v>62.738095238095241</v>
      </c>
      <c r="K2014" s="29">
        <v>5.2129547471162482E-2</v>
      </c>
    </row>
    <row r="2015" spans="1:11" x14ac:dyDescent="0.25">
      <c r="A2015" s="5" t="s">
        <v>6</v>
      </c>
      <c r="B2015" s="5" t="s">
        <v>9846</v>
      </c>
      <c r="C2015" s="1" t="s">
        <v>9847</v>
      </c>
      <c r="D2015" s="5" t="s">
        <v>17881</v>
      </c>
      <c r="E2015" s="32">
        <v>84100</v>
      </c>
      <c r="F2015" s="27">
        <v>168200</v>
      </c>
      <c r="G2015" s="32">
        <v>101480</v>
      </c>
      <c r="H2015" s="27">
        <v>202960</v>
      </c>
      <c r="I2015" s="27">
        <v>2</v>
      </c>
      <c r="J2015" s="27">
        <v>2</v>
      </c>
      <c r="K2015" s="29">
        <v>0</v>
      </c>
    </row>
    <row r="2016" spans="1:11" x14ac:dyDescent="0.25">
      <c r="A2016" s="5" t="s">
        <v>6</v>
      </c>
      <c r="B2016" s="5" t="s">
        <v>9849</v>
      </c>
      <c r="C2016" s="1" t="s">
        <v>9850</v>
      </c>
      <c r="D2016" s="5" t="s">
        <v>17882</v>
      </c>
      <c r="E2016" s="32">
        <v>5235</v>
      </c>
      <c r="F2016" s="27">
        <v>148875</v>
      </c>
      <c r="G2016" s="32">
        <v>2685</v>
      </c>
      <c r="H2016" s="27">
        <v>80733</v>
      </c>
      <c r="I2016" s="27">
        <v>28.43839541547278</v>
      </c>
      <c r="J2016" s="27">
        <v>30.068156424581005</v>
      </c>
      <c r="K2016" s="29">
        <v>5.7308472763604103E-2</v>
      </c>
    </row>
    <row r="2017" spans="1:11" x14ac:dyDescent="0.25">
      <c r="A2017" s="5" t="s">
        <v>6</v>
      </c>
      <c r="B2017" s="5" t="s">
        <v>9852</v>
      </c>
      <c r="C2017" s="1" t="s">
        <v>9853</v>
      </c>
      <c r="D2017" s="5" t="s">
        <v>17883</v>
      </c>
      <c r="E2017" s="32">
        <v>1684</v>
      </c>
      <c r="F2017" s="27">
        <v>543888</v>
      </c>
      <c r="G2017" s="32">
        <v>1878</v>
      </c>
      <c r="H2017" s="27">
        <v>646080</v>
      </c>
      <c r="I2017" s="27">
        <v>322.97387173396675</v>
      </c>
      <c r="J2017" s="27">
        <v>344.02555910543128</v>
      </c>
      <c r="K2017" s="29">
        <v>6.5180775331587171E-2</v>
      </c>
    </row>
    <row r="2018" spans="1:11" x14ac:dyDescent="0.25">
      <c r="A2018" s="5" t="s">
        <v>6</v>
      </c>
      <c r="B2018" s="5" t="s">
        <v>17884</v>
      </c>
      <c r="C2018" s="1" t="s">
        <v>17885</v>
      </c>
      <c r="D2018" s="5" t="s">
        <v>17789</v>
      </c>
      <c r="E2018" s="32">
        <v>170</v>
      </c>
      <c r="F2018" s="27">
        <v>53365</v>
      </c>
      <c r="I2018" s="27">
        <v>313.91176470588238</v>
      </c>
    </row>
    <row r="2019" spans="1:11" x14ac:dyDescent="0.25">
      <c r="A2019" s="5" t="s">
        <v>6</v>
      </c>
      <c r="B2019" s="5" t="s">
        <v>17886</v>
      </c>
      <c r="C2019" s="1" t="s">
        <v>17887</v>
      </c>
      <c r="D2019" s="5" t="s">
        <v>17789</v>
      </c>
      <c r="E2019" s="32">
        <v>23</v>
      </c>
      <c r="F2019" s="27">
        <v>11260</v>
      </c>
      <c r="I2019" s="27">
        <v>489.56521739130437</v>
      </c>
    </row>
    <row r="2020" spans="1:11" x14ac:dyDescent="0.25">
      <c r="A2020" s="5" t="s">
        <v>6</v>
      </c>
      <c r="B2020" s="5" t="s">
        <v>9861</v>
      </c>
      <c r="C2020" s="1" t="s">
        <v>9862</v>
      </c>
      <c r="D2020" s="5" t="s">
        <v>17888</v>
      </c>
      <c r="G2020" s="32">
        <v>800</v>
      </c>
      <c r="H2020" s="27">
        <v>3600</v>
      </c>
      <c r="J2020" s="27">
        <v>4.5</v>
      </c>
    </row>
    <row r="2021" spans="1:11" x14ac:dyDescent="0.25">
      <c r="A2021" s="5" t="s">
        <v>6</v>
      </c>
      <c r="B2021" s="5" t="s">
        <v>9864</v>
      </c>
      <c r="C2021" s="1" t="s">
        <v>9865</v>
      </c>
      <c r="D2021" s="5" t="s">
        <v>17889</v>
      </c>
      <c r="E2021" s="32">
        <v>5</v>
      </c>
      <c r="F2021" s="27">
        <v>950</v>
      </c>
      <c r="I2021" s="27">
        <v>190</v>
      </c>
    </row>
    <row r="2022" spans="1:11" x14ac:dyDescent="0.25">
      <c r="A2022" s="5" t="s">
        <v>6</v>
      </c>
      <c r="B2022" s="5" t="s">
        <v>9870</v>
      </c>
      <c r="C2022" s="1" t="s">
        <v>9871</v>
      </c>
      <c r="D2022" s="5" t="s">
        <v>17890</v>
      </c>
      <c r="E2022" s="32">
        <v>11</v>
      </c>
      <c r="F2022" s="27">
        <v>5380</v>
      </c>
      <c r="G2022" s="32">
        <v>10</v>
      </c>
      <c r="H2022" s="27">
        <v>5280</v>
      </c>
      <c r="I2022" s="27">
        <v>489.09090909090907</v>
      </c>
      <c r="J2022" s="27">
        <v>528</v>
      </c>
      <c r="K2022" s="29">
        <v>7.9553903345724958E-2</v>
      </c>
    </row>
    <row r="2023" spans="1:11" x14ac:dyDescent="0.25">
      <c r="A2023" s="5" t="s">
        <v>6</v>
      </c>
      <c r="B2023" s="5" t="s">
        <v>9876</v>
      </c>
      <c r="C2023" s="1" t="s">
        <v>9877</v>
      </c>
      <c r="D2023" s="5" t="s">
        <v>17789</v>
      </c>
      <c r="E2023" s="32">
        <v>4</v>
      </c>
      <c r="F2023" s="27">
        <v>71127</v>
      </c>
      <c r="G2023" s="32">
        <v>1</v>
      </c>
      <c r="H2023" s="27">
        <v>19592</v>
      </c>
      <c r="I2023" s="27">
        <v>17781.75</v>
      </c>
      <c r="J2023" s="27">
        <v>19592</v>
      </c>
      <c r="K2023" s="29">
        <v>0.10180381570992732</v>
      </c>
    </row>
    <row r="2024" spans="1:11" x14ac:dyDescent="0.25">
      <c r="A2024" s="5" t="s">
        <v>6</v>
      </c>
      <c r="B2024" s="5" t="s">
        <v>9879</v>
      </c>
      <c r="C2024" s="1" t="s">
        <v>9880</v>
      </c>
      <c r="D2024" s="5" t="s">
        <v>17789</v>
      </c>
      <c r="E2024" s="32">
        <v>225</v>
      </c>
      <c r="F2024" s="27">
        <v>9117</v>
      </c>
      <c r="G2024" s="32">
        <v>270</v>
      </c>
      <c r="H2024" s="27">
        <v>11649</v>
      </c>
      <c r="I2024" s="27">
        <v>40.520000000000003</v>
      </c>
      <c r="J2024" s="27">
        <v>43.144444444444446</v>
      </c>
      <c r="K2024" s="29">
        <v>6.4769112646703902E-2</v>
      </c>
    </row>
    <row r="2025" spans="1:11" x14ac:dyDescent="0.25">
      <c r="A2025" s="5" t="s">
        <v>6</v>
      </c>
      <c r="B2025" s="5" t="s">
        <v>9882</v>
      </c>
      <c r="C2025" s="1" t="s">
        <v>9883</v>
      </c>
      <c r="D2025" s="5" t="s">
        <v>17789</v>
      </c>
      <c r="E2025" s="32">
        <v>680</v>
      </c>
      <c r="F2025" s="27">
        <v>260829</v>
      </c>
      <c r="G2025" s="32">
        <v>760</v>
      </c>
      <c r="H2025" s="27">
        <v>312210</v>
      </c>
      <c r="I2025" s="27">
        <v>383.5720588235294</v>
      </c>
      <c r="J2025" s="27">
        <v>410.80263157894734</v>
      </c>
      <c r="K2025" s="29">
        <v>7.0992065581987424E-2</v>
      </c>
    </row>
    <row r="2026" spans="1:11" x14ac:dyDescent="0.25">
      <c r="A2026" s="5" t="s">
        <v>6</v>
      </c>
      <c r="B2026" s="5" t="s">
        <v>9885</v>
      </c>
      <c r="C2026" s="1" t="s">
        <v>9886</v>
      </c>
      <c r="D2026" s="5" t="s">
        <v>17891</v>
      </c>
      <c r="E2026" s="32">
        <v>290</v>
      </c>
      <c r="F2026" s="27">
        <v>7670</v>
      </c>
      <c r="G2026" s="32">
        <v>647</v>
      </c>
      <c r="H2026" s="27">
        <v>18703</v>
      </c>
      <c r="I2026" s="27">
        <v>26.448275862068964</v>
      </c>
      <c r="J2026" s="27">
        <v>28.907264296754249</v>
      </c>
      <c r="K2026" s="29">
        <v>9.2973487100225891E-2</v>
      </c>
    </row>
    <row r="2027" spans="1:11" x14ac:dyDescent="0.25">
      <c r="A2027" s="5" t="s">
        <v>6</v>
      </c>
      <c r="B2027" s="5" t="s">
        <v>9888</v>
      </c>
      <c r="C2027" s="1" t="s">
        <v>9889</v>
      </c>
      <c r="D2027" s="5" t="s">
        <v>17892</v>
      </c>
      <c r="E2027" s="32">
        <v>9000</v>
      </c>
      <c r="F2027" s="27">
        <v>90000</v>
      </c>
      <c r="I2027" s="27">
        <v>10</v>
      </c>
    </row>
    <row r="2028" spans="1:11" x14ac:dyDescent="0.25">
      <c r="A2028" s="5" t="s">
        <v>6</v>
      </c>
      <c r="B2028" s="5" t="s">
        <v>9891</v>
      </c>
      <c r="C2028" s="1" t="s">
        <v>9892</v>
      </c>
      <c r="D2028" s="5" t="s">
        <v>17893</v>
      </c>
      <c r="E2028" s="32">
        <v>3281</v>
      </c>
      <c r="F2028" s="27">
        <v>1235972</v>
      </c>
      <c r="G2028" s="32">
        <v>3458</v>
      </c>
      <c r="H2028" s="27">
        <v>1388598</v>
      </c>
      <c r="I2028" s="27">
        <v>376.70588235294116</v>
      </c>
      <c r="J2028" s="27">
        <v>401.561017929439</v>
      </c>
      <c r="K2028" s="29">
        <v>6.5980216239922451E-2</v>
      </c>
    </row>
    <row r="2029" spans="1:11" x14ac:dyDescent="0.25">
      <c r="A2029" s="5" t="s">
        <v>6</v>
      </c>
      <c r="B2029" s="5" t="s">
        <v>9900</v>
      </c>
      <c r="C2029" s="1" t="s">
        <v>9901</v>
      </c>
      <c r="D2029" s="5" t="s">
        <v>17894</v>
      </c>
      <c r="E2029" s="32">
        <v>539</v>
      </c>
      <c r="F2029" s="27">
        <v>443487</v>
      </c>
      <c r="G2029" s="32">
        <v>548</v>
      </c>
      <c r="H2029" s="27">
        <v>476632</v>
      </c>
      <c r="I2029" s="27">
        <v>822.79591836734699</v>
      </c>
      <c r="J2029" s="27">
        <v>869.76642335766428</v>
      </c>
      <c r="K2029" s="29">
        <v>5.7086458430080297E-2</v>
      </c>
    </row>
    <row r="2030" spans="1:11" x14ac:dyDescent="0.25">
      <c r="A2030" s="5" t="s">
        <v>6</v>
      </c>
      <c r="B2030" s="5" t="s">
        <v>9906</v>
      </c>
      <c r="C2030" s="1" t="s">
        <v>9907</v>
      </c>
      <c r="D2030" s="5" t="s">
        <v>17789</v>
      </c>
      <c r="E2030" s="32">
        <v>12</v>
      </c>
      <c r="F2030" s="27">
        <v>5376</v>
      </c>
      <c r="G2030" s="32">
        <v>13</v>
      </c>
      <c r="H2030" s="27">
        <v>6387</v>
      </c>
      <c r="I2030" s="27">
        <v>448</v>
      </c>
      <c r="J2030" s="27">
        <v>491.30769230769232</v>
      </c>
      <c r="K2030" s="29">
        <v>9.6668956043956075E-2</v>
      </c>
    </row>
    <row r="2031" spans="1:11" x14ac:dyDescent="0.25">
      <c r="A2031" s="5" t="s">
        <v>6</v>
      </c>
      <c r="B2031" s="5" t="s">
        <v>9912</v>
      </c>
      <c r="C2031" s="1" t="s">
        <v>9913</v>
      </c>
      <c r="D2031" s="5" t="s">
        <v>17894</v>
      </c>
      <c r="E2031" s="32">
        <v>189</v>
      </c>
      <c r="F2031" s="27">
        <v>20952</v>
      </c>
      <c r="G2031" s="32">
        <v>308</v>
      </c>
      <c r="H2031" s="27">
        <v>36015</v>
      </c>
      <c r="I2031" s="27">
        <v>110.85714285714286</v>
      </c>
      <c r="J2031" s="27">
        <v>116.93181818181819</v>
      </c>
      <c r="K2031" s="29">
        <v>5.4797328959700103E-2</v>
      </c>
    </row>
    <row r="2032" spans="1:11" x14ac:dyDescent="0.25">
      <c r="A2032" s="5" t="s">
        <v>6</v>
      </c>
      <c r="B2032" s="5" t="s">
        <v>9915</v>
      </c>
      <c r="C2032" s="1" t="s">
        <v>9916</v>
      </c>
      <c r="D2032" s="5" t="s">
        <v>17895</v>
      </c>
      <c r="E2032" s="32">
        <v>23</v>
      </c>
      <c r="F2032" s="27">
        <v>6796</v>
      </c>
      <c r="I2032" s="27">
        <v>295.47826086956519</v>
      </c>
    </row>
    <row r="2033" spans="1:11" x14ac:dyDescent="0.25">
      <c r="A2033" s="5" t="s">
        <v>6</v>
      </c>
      <c r="B2033" s="5" t="s">
        <v>9921</v>
      </c>
      <c r="C2033" s="1" t="s">
        <v>9922</v>
      </c>
      <c r="D2033" s="5" t="s">
        <v>17896</v>
      </c>
      <c r="E2033" s="32">
        <v>100</v>
      </c>
      <c r="F2033" s="27">
        <v>5200</v>
      </c>
      <c r="I2033" s="27">
        <v>52</v>
      </c>
    </row>
    <row r="2034" spans="1:11" x14ac:dyDescent="0.25">
      <c r="A2034" s="5" t="s">
        <v>6</v>
      </c>
      <c r="B2034" s="5" t="s">
        <v>9924</v>
      </c>
      <c r="C2034" s="1" t="s">
        <v>9925</v>
      </c>
      <c r="D2034" s="5" t="s">
        <v>17789</v>
      </c>
      <c r="E2034" s="32">
        <v>508</v>
      </c>
      <c r="F2034" s="27">
        <v>139200</v>
      </c>
      <c r="G2034" s="32">
        <v>652</v>
      </c>
      <c r="H2034" s="27">
        <v>190782</v>
      </c>
      <c r="I2034" s="27">
        <v>274.01574803149606</v>
      </c>
      <c r="J2034" s="27">
        <v>292.61042944785277</v>
      </c>
      <c r="K2034" s="29">
        <v>6.7859900571186835E-2</v>
      </c>
    </row>
    <row r="2035" spans="1:11" x14ac:dyDescent="0.25">
      <c r="A2035" s="5" t="s">
        <v>6</v>
      </c>
      <c r="B2035" s="5" t="s">
        <v>9927</v>
      </c>
      <c r="C2035" s="1" t="s">
        <v>9928</v>
      </c>
      <c r="D2035" s="5" t="s">
        <v>17789</v>
      </c>
      <c r="E2035" s="32">
        <v>25</v>
      </c>
      <c r="F2035" s="27">
        <v>3701</v>
      </c>
      <c r="G2035" s="32">
        <v>7</v>
      </c>
      <c r="H2035" s="27">
        <v>1198</v>
      </c>
      <c r="I2035" s="27">
        <v>148.04</v>
      </c>
      <c r="J2035" s="27">
        <v>171.14285714285714</v>
      </c>
      <c r="K2035" s="29">
        <v>0.15605820820627633</v>
      </c>
    </row>
    <row r="2036" spans="1:11" x14ac:dyDescent="0.25">
      <c r="A2036" s="5" t="s">
        <v>6</v>
      </c>
      <c r="B2036" s="5" t="s">
        <v>9930</v>
      </c>
      <c r="C2036" s="1" t="s">
        <v>9931</v>
      </c>
      <c r="D2036" s="5" t="s">
        <v>17897</v>
      </c>
      <c r="E2036" s="32">
        <v>3304</v>
      </c>
      <c r="F2036" s="27">
        <v>112096</v>
      </c>
      <c r="G2036" s="32">
        <v>820</v>
      </c>
      <c r="H2036" s="27">
        <v>29608</v>
      </c>
      <c r="I2036" s="27">
        <v>33.927360774818403</v>
      </c>
      <c r="J2036" s="27">
        <v>36.107317073170734</v>
      </c>
      <c r="K2036" s="29">
        <v>6.4253636256031421E-2</v>
      </c>
    </row>
    <row r="2037" spans="1:11" x14ac:dyDescent="0.25">
      <c r="A2037" s="5" t="s">
        <v>6</v>
      </c>
      <c r="B2037" s="5" t="s">
        <v>9933</v>
      </c>
      <c r="C2037" s="1" t="s">
        <v>9934</v>
      </c>
      <c r="D2037" s="5" t="s">
        <v>17898</v>
      </c>
      <c r="E2037" s="32">
        <v>24781</v>
      </c>
      <c r="F2037" s="27">
        <v>6980646</v>
      </c>
      <c r="G2037" s="32">
        <v>19378</v>
      </c>
      <c r="H2037" s="27">
        <v>5827975</v>
      </c>
      <c r="I2037" s="27">
        <v>281.69347483959484</v>
      </c>
      <c r="J2037" s="27">
        <v>300.75214160388072</v>
      </c>
      <c r="K2037" s="29">
        <v>6.7657466241056813E-2</v>
      </c>
    </row>
    <row r="2038" spans="1:11" x14ac:dyDescent="0.25">
      <c r="A2038" s="5" t="s">
        <v>6</v>
      </c>
      <c r="B2038" s="5" t="s">
        <v>9939</v>
      </c>
      <c r="C2038" s="1" t="s">
        <v>9940</v>
      </c>
      <c r="D2038" s="5" t="s">
        <v>17899</v>
      </c>
      <c r="E2038" s="32">
        <v>119</v>
      </c>
      <c r="F2038" s="27">
        <v>13685</v>
      </c>
      <c r="G2038" s="32">
        <v>87</v>
      </c>
      <c r="H2038" s="27">
        <v>10770</v>
      </c>
      <c r="I2038" s="27">
        <v>115</v>
      </c>
      <c r="J2038" s="27">
        <v>123.79310344827586</v>
      </c>
      <c r="K2038" s="29">
        <v>7.6461769115442238E-2</v>
      </c>
    </row>
    <row r="2039" spans="1:11" x14ac:dyDescent="0.25">
      <c r="A2039" s="5" t="s">
        <v>6</v>
      </c>
      <c r="B2039" s="5" t="s">
        <v>9951</v>
      </c>
      <c r="C2039" s="1" t="s">
        <v>9952</v>
      </c>
      <c r="D2039" s="5" t="s">
        <v>17900</v>
      </c>
      <c r="E2039" s="32">
        <v>11</v>
      </c>
      <c r="F2039" s="27">
        <v>6358</v>
      </c>
      <c r="I2039" s="27">
        <v>578</v>
      </c>
    </row>
    <row r="2040" spans="1:11" x14ac:dyDescent="0.25">
      <c r="A2040" s="5" t="s">
        <v>6</v>
      </c>
      <c r="B2040" s="5" t="s">
        <v>9954</v>
      </c>
      <c r="C2040" s="1" t="s">
        <v>9955</v>
      </c>
      <c r="D2040" s="5" t="s">
        <v>17901</v>
      </c>
      <c r="E2040" s="32">
        <v>152</v>
      </c>
      <c r="F2040" s="27">
        <v>101310</v>
      </c>
      <c r="G2040" s="32">
        <v>194</v>
      </c>
      <c r="H2040" s="27">
        <v>138836</v>
      </c>
      <c r="I2040" s="27">
        <v>666.51315789473688</v>
      </c>
      <c r="J2040" s="27">
        <v>715.64948453608247</v>
      </c>
      <c r="K2040" s="29">
        <v>7.3721465299422848E-2</v>
      </c>
    </row>
    <row r="2041" spans="1:11" x14ac:dyDescent="0.25">
      <c r="A2041" s="5" t="s">
        <v>6</v>
      </c>
      <c r="B2041" s="5" t="s">
        <v>9957</v>
      </c>
      <c r="C2041" s="1" t="s">
        <v>9958</v>
      </c>
      <c r="D2041" s="5" t="s">
        <v>17902</v>
      </c>
      <c r="E2041" s="32">
        <v>548</v>
      </c>
      <c r="F2041" s="27">
        <v>60045</v>
      </c>
      <c r="G2041" s="32">
        <v>610</v>
      </c>
      <c r="H2041" s="27">
        <v>71292</v>
      </c>
      <c r="I2041" s="27">
        <v>109.57116788321167</v>
      </c>
      <c r="J2041" s="27">
        <v>116.87213114754098</v>
      </c>
      <c r="K2041" s="29">
        <v>6.6632157029768727E-2</v>
      </c>
    </row>
    <row r="2042" spans="1:11" x14ac:dyDescent="0.25">
      <c r="A2042" s="5" t="s">
        <v>6</v>
      </c>
      <c r="B2042" s="5" t="s">
        <v>9960</v>
      </c>
      <c r="C2042" s="1" t="s">
        <v>9961</v>
      </c>
      <c r="D2042" s="5" t="s">
        <v>17902</v>
      </c>
      <c r="E2042" s="32">
        <v>506</v>
      </c>
      <c r="F2042" s="27">
        <v>151330</v>
      </c>
      <c r="G2042" s="32">
        <v>761</v>
      </c>
      <c r="H2042" s="27">
        <v>245305</v>
      </c>
      <c r="I2042" s="27">
        <v>299.07114624505931</v>
      </c>
      <c r="J2042" s="27">
        <v>322.3455978975033</v>
      </c>
      <c r="K2042" s="29">
        <v>7.7822457781911422E-2</v>
      </c>
    </row>
    <row r="2043" spans="1:11" x14ac:dyDescent="0.25">
      <c r="A2043" s="5" t="s">
        <v>6</v>
      </c>
      <c r="B2043" s="5" t="s">
        <v>9966</v>
      </c>
      <c r="C2043" s="1" t="s">
        <v>9967</v>
      </c>
      <c r="D2043" s="5" t="s">
        <v>17903</v>
      </c>
      <c r="E2043" s="32">
        <v>351</v>
      </c>
      <c r="F2043" s="27">
        <v>313839</v>
      </c>
      <c r="G2043" s="32">
        <v>347</v>
      </c>
      <c r="H2043" s="27">
        <v>328651</v>
      </c>
      <c r="I2043" s="27">
        <v>894.12820512820508</v>
      </c>
      <c r="J2043" s="27">
        <v>947.1210374639769</v>
      </c>
      <c r="K2043" s="29">
        <v>5.9267599469332716E-2</v>
      </c>
    </row>
    <row r="2044" spans="1:11" x14ac:dyDescent="0.25">
      <c r="A2044" s="5" t="s">
        <v>6</v>
      </c>
      <c r="B2044" s="5" t="s">
        <v>17904</v>
      </c>
      <c r="C2044" s="1" t="s">
        <v>17905</v>
      </c>
      <c r="D2044" s="5" t="s">
        <v>17789</v>
      </c>
      <c r="E2044" s="32">
        <v>568</v>
      </c>
      <c r="F2044" s="27">
        <v>73886</v>
      </c>
      <c r="I2044" s="27">
        <v>130.08098591549296</v>
      </c>
    </row>
    <row r="2045" spans="1:11" x14ac:dyDescent="0.25">
      <c r="A2045" s="5" t="s">
        <v>6</v>
      </c>
      <c r="B2045" s="5" t="s">
        <v>17906</v>
      </c>
      <c r="C2045" s="1" t="s">
        <v>17907</v>
      </c>
      <c r="D2045" s="5" t="s">
        <v>17789</v>
      </c>
      <c r="E2045" s="32">
        <v>-2</v>
      </c>
      <c r="F2045" s="27">
        <v>-528</v>
      </c>
      <c r="I2045" s="27">
        <v>264</v>
      </c>
    </row>
    <row r="2046" spans="1:11" x14ac:dyDescent="0.25">
      <c r="A2046" s="5" t="s">
        <v>6</v>
      </c>
      <c r="B2046" s="5" t="s">
        <v>17908</v>
      </c>
      <c r="C2046" s="1" t="s">
        <v>17909</v>
      </c>
      <c r="D2046" s="5" t="s">
        <v>17789</v>
      </c>
      <c r="E2046" s="32">
        <v>949</v>
      </c>
      <c r="F2046" s="27">
        <v>51531</v>
      </c>
      <c r="I2046" s="27">
        <v>54.30031612223393</v>
      </c>
    </row>
    <row r="2047" spans="1:11" x14ac:dyDescent="0.25">
      <c r="A2047" s="5" t="s">
        <v>6</v>
      </c>
      <c r="B2047" s="5" t="s">
        <v>9969</v>
      </c>
      <c r="C2047" s="1" t="s">
        <v>9970</v>
      </c>
      <c r="D2047" s="5" t="s">
        <v>17910</v>
      </c>
      <c r="G2047" s="32">
        <v>5742</v>
      </c>
      <c r="H2047" s="27">
        <v>64597.5</v>
      </c>
      <c r="J2047" s="27">
        <v>11.25</v>
      </c>
    </row>
    <row r="2048" spans="1:11" x14ac:dyDescent="0.25">
      <c r="A2048" s="5" t="s">
        <v>6</v>
      </c>
      <c r="B2048" s="5" t="s">
        <v>9975</v>
      </c>
      <c r="C2048" s="1" t="s">
        <v>9976</v>
      </c>
      <c r="D2048" s="5" t="s">
        <v>17911</v>
      </c>
      <c r="E2048" s="32">
        <v>781</v>
      </c>
      <c r="F2048" s="27">
        <v>158278</v>
      </c>
      <c r="G2048" s="32">
        <v>807</v>
      </c>
      <c r="H2048" s="27">
        <v>174450</v>
      </c>
      <c r="I2048" s="27">
        <v>202.6606914212548</v>
      </c>
      <c r="J2048" s="27">
        <v>216.17100371747213</v>
      </c>
      <c r="K2048" s="29">
        <v>6.6664690628803369E-2</v>
      </c>
    </row>
    <row r="2049" spans="1:11" x14ac:dyDescent="0.25">
      <c r="A2049" s="5" t="s">
        <v>6</v>
      </c>
      <c r="B2049" s="5" t="s">
        <v>9978</v>
      </c>
      <c r="C2049" s="1" t="s">
        <v>9979</v>
      </c>
      <c r="D2049" s="5" t="s">
        <v>17912</v>
      </c>
      <c r="E2049" s="32">
        <v>2</v>
      </c>
      <c r="F2049" s="27">
        <v>258</v>
      </c>
      <c r="I2049" s="27">
        <v>129</v>
      </c>
    </row>
    <row r="2050" spans="1:11" x14ac:dyDescent="0.25">
      <c r="A2050" s="5" t="s">
        <v>6</v>
      </c>
      <c r="B2050" s="5" t="s">
        <v>9981</v>
      </c>
      <c r="C2050" s="1" t="s">
        <v>9982</v>
      </c>
      <c r="D2050" s="5" t="s">
        <v>17913</v>
      </c>
      <c r="E2050" s="32">
        <v>1150</v>
      </c>
      <c r="F2050" s="27">
        <v>603</v>
      </c>
      <c r="G2050" s="32">
        <v>3560</v>
      </c>
      <c r="H2050" s="27">
        <v>2012.8</v>
      </c>
      <c r="I2050" s="27">
        <v>0.52434782608695651</v>
      </c>
      <c r="J2050" s="27">
        <v>0.56539325842696631</v>
      </c>
      <c r="K2050" s="29">
        <v>7.8279016900516182E-2</v>
      </c>
    </row>
    <row r="2051" spans="1:11" x14ac:dyDescent="0.25">
      <c r="A2051" s="5" t="s">
        <v>6</v>
      </c>
      <c r="B2051" s="5" t="s">
        <v>9984</v>
      </c>
      <c r="C2051" s="1" t="s">
        <v>9985</v>
      </c>
      <c r="D2051" s="5" t="s">
        <v>17914</v>
      </c>
      <c r="E2051" s="32">
        <v>99709</v>
      </c>
      <c r="F2051" s="27">
        <v>3438263</v>
      </c>
      <c r="G2051" s="32">
        <v>116055</v>
      </c>
      <c r="H2051" s="27">
        <v>4298421</v>
      </c>
      <c r="I2051" s="27">
        <v>34.482975458584484</v>
      </c>
      <c r="J2051" s="27">
        <v>37.037792426004913</v>
      </c>
      <c r="K2051" s="29">
        <v>7.4089226159989363E-2</v>
      </c>
    </row>
    <row r="2052" spans="1:11" x14ac:dyDescent="0.25">
      <c r="A2052" s="5" t="s">
        <v>6</v>
      </c>
      <c r="B2052" s="5" t="s">
        <v>9987</v>
      </c>
      <c r="C2052" s="1" t="s">
        <v>9988</v>
      </c>
      <c r="D2052" s="5" t="s">
        <v>17914</v>
      </c>
      <c r="E2052" s="32">
        <v>43305</v>
      </c>
      <c r="F2052" s="27">
        <v>2096037</v>
      </c>
      <c r="G2052" s="32">
        <v>64581</v>
      </c>
      <c r="H2052" s="27">
        <v>3356733</v>
      </c>
      <c r="I2052" s="27">
        <v>48.40173190162799</v>
      </c>
      <c r="J2052" s="27">
        <v>51.97709852743067</v>
      </c>
      <c r="K2052" s="29">
        <v>7.3868568031186965E-2</v>
      </c>
    </row>
    <row r="2053" spans="1:11" x14ac:dyDescent="0.25">
      <c r="A2053" s="5" t="s">
        <v>6</v>
      </c>
      <c r="B2053" s="5" t="s">
        <v>9990</v>
      </c>
      <c r="C2053" s="1" t="s">
        <v>9991</v>
      </c>
      <c r="D2053" s="5" t="s">
        <v>17915</v>
      </c>
      <c r="E2053" s="32">
        <v>3</v>
      </c>
      <c r="F2053" s="27">
        <v>3950</v>
      </c>
      <c r="G2053" s="32">
        <v>11</v>
      </c>
      <c r="H2053" s="27">
        <v>15956</v>
      </c>
      <c r="I2053" s="27">
        <v>1316.6666666666667</v>
      </c>
      <c r="J2053" s="27">
        <v>1450.5454545454545</v>
      </c>
      <c r="K2053" s="29">
        <v>0.1016800920598388</v>
      </c>
    </row>
    <row r="2054" spans="1:11" x14ac:dyDescent="0.25">
      <c r="A2054" s="5" t="s">
        <v>6</v>
      </c>
      <c r="B2054" s="5" t="s">
        <v>10014</v>
      </c>
      <c r="C2054" s="1" t="s">
        <v>10015</v>
      </c>
      <c r="D2054" s="5" t="s">
        <v>17916</v>
      </c>
      <c r="E2054" s="32">
        <v>7</v>
      </c>
      <c r="F2054" s="27">
        <v>1959</v>
      </c>
      <c r="G2054" s="32">
        <v>19</v>
      </c>
      <c r="H2054" s="27">
        <v>5722</v>
      </c>
      <c r="I2054" s="27">
        <v>279.85714285714283</v>
      </c>
      <c r="J2054" s="27">
        <v>301.15789473684208</v>
      </c>
      <c r="K2054" s="29">
        <v>7.6112946992289307E-2</v>
      </c>
    </row>
    <row r="2055" spans="1:11" x14ac:dyDescent="0.25">
      <c r="A2055" s="5" t="s">
        <v>6</v>
      </c>
      <c r="B2055" s="5" t="s">
        <v>10020</v>
      </c>
      <c r="C2055" s="1" t="s">
        <v>10021</v>
      </c>
      <c r="D2055" s="5" t="s">
        <v>17917</v>
      </c>
      <c r="E2055" s="32">
        <v>3860</v>
      </c>
      <c r="F2055" s="27">
        <v>1542128</v>
      </c>
      <c r="G2055" s="32">
        <v>5076</v>
      </c>
      <c r="H2055" s="27">
        <v>2154384</v>
      </c>
      <c r="I2055" s="27">
        <v>399.51502590673573</v>
      </c>
      <c r="J2055" s="27">
        <v>424.42553191489361</v>
      </c>
      <c r="K2055" s="29">
        <v>6.2351862615482909E-2</v>
      </c>
    </row>
    <row r="2056" spans="1:11" x14ac:dyDescent="0.25">
      <c r="A2056" s="5" t="s">
        <v>6</v>
      </c>
      <c r="B2056" s="5" t="s">
        <v>10023</v>
      </c>
      <c r="C2056" s="1" t="s">
        <v>10024</v>
      </c>
      <c r="D2056" s="5" t="s">
        <v>17918</v>
      </c>
      <c r="E2056" s="32">
        <v>1246</v>
      </c>
      <c r="F2056" s="27">
        <v>320313</v>
      </c>
      <c r="G2056" s="32">
        <v>2038</v>
      </c>
      <c r="H2056" s="27">
        <v>565350</v>
      </c>
      <c r="I2056" s="27">
        <v>257.07303370786519</v>
      </c>
      <c r="J2056" s="27">
        <v>277.40431795878311</v>
      </c>
      <c r="K2056" s="29">
        <v>7.9087580512323022E-2</v>
      </c>
    </row>
    <row r="2057" spans="1:11" x14ac:dyDescent="0.25">
      <c r="A2057" s="5" t="s">
        <v>6</v>
      </c>
      <c r="B2057" s="5" t="s">
        <v>10026</v>
      </c>
      <c r="C2057" s="1" t="s">
        <v>10027</v>
      </c>
      <c r="D2057" s="5" t="s">
        <v>17919</v>
      </c>
      <c r="E2057" s="32">
        <v>150</v>
      </c>
      <c r="F2057" s="27">
        <v>16239</v>
      </c>
      <c r="I2057" s="27">
        <v>108.26</v>
      </c>
    </row>
    <row r="2058" spans="1:11" x14ac:dyDescent="0.25">
      <c r="A2058" s="5" t="s">
        <v>6</v>
      </c>
      <c r="B2058" s="5" t="s">
        <v>10038</v>
      </c>
      <c r="C2058" s="1" t="s">
        <v>10039</v>
      </c>
      <c r="D2058" s="5" t="s">
        <v>17919</v>
      </c>
      <c r="E2058" s="32">
        <v>6600</v>
      </c>
      <c r="F2058" s="27">
        <v>6600</v>
      </c>
      <c r="G2058" s="32">
        <v>31400</v>
      </c>
      <c r="H2058" s="27">
        <v>31400</v>
      </c>
      <c r="I2058" s="27">
        <v>1</v>
      </c>
      <c r="J2058" s="27">
        <v>1</v>
      </c>
      <c r="K2058" s="29">
        <v>0</v>
      </c>
    </row>
    <row r="2059" spans="1:11" x14ac:dyDescent="0.25">
      <c r="A2059" s="5" t="s">
        <v>6</v>
      </c>
      <c r="B2059" s="5" t="s">
        <v>10041</v>
      </c>
      <c r="C2059" s="1" t="s">
        <v>10042</v>
      </c>
      <c r="D2059" s="5" t="s">
        <v>17919</v>
      </c>
      <c r="E2059" s="32">
        <v>3695</v>
      </c>
      <c r="F2059" s="27">
        <v>15223.4</v>
      </c>
      <c r="G2059" s="32">
        <v>49954</v>
      </c>
      <c r="H2059" s="27">
        <v>201371.68</v>
      </c>
      <c r="I2059" s="27">
        <v>4.12</v>
      </c>
      <c r="J2059" s="27">
        <v>4.0311422508708006</v>
      </c>
      <c r="K2059" s="29">
        <v>-2.156741483718435E-2</v>
      </c>
    </row>
    <row r="2060" spans="1:11" x14ac:dyDescent="0.25">
      <c r="A2060" s="5" t="s">
        <v>6</v>
      </c>
      <c r="B2060" s="5" t="s">
        <v>10044</v>
      </c>
      <c r="C2060" s="1" t="s">
        <v>10045</v>
      </c>
      <c r="D2060" s="5" t="s">
        <v>17919</v>
      </c>
      <c r="E2060" s="32">
        <v>3429</v>
      </c>
      <c r="F2060" s="27">
        <v>3429</v>
      </c>
      <c r="G2060" s="32">
        <v>8619</v>
      </c>
      <c r="H2060" s="27">
        <v>8619</v>
      </c>
      <c r="I2060" s="27">
        <v>1</v>
      </c>
      <c r="J2060" s="27">
        <v>1</v>
      </c>
      <c r="K2060" s="29">
        <v>0</v>
      </c>
    </row>
    <row r="2061" spans="1:11" x14ac:dyDescent="0.25">
      <c r="A2061" s="5" t="s">
        <v>6</v>
      </c>
      <c r="B2061" s="5" t="s">
        <v>10047</v>
      </c>
      <c r="C2061" s="1" t="s">
        <v>10048</v>
      </c>
      <c r="D2061" s="5" t="s">
        <v>17919</v>
      </c>
      <c r="E2061" s="32">
        <v>840</v>
      </c>
      <c r="F2061" s="27">
        <v>99840</v>
      </c>
      <c r="I2061" s="27">
        <v>118.85714285714286</v>
      </c>
    </row>
    <row r="2062" spans="1:11" x14ac:dyDescent="0.25">
      <c r="A2062" s="5" t="s">
        <v>6</v>
      </c>
      <c r="B2062" s="5" t="s">
        <v>10053</v>
      </c>
      <c r="C2062" s="1" t="s">
        <v>10054</v>
      </c>
      <c r="D2062" s="5" t="s">
        <v>17919</v>
      </c>
      <c r="E2062" s="32">
        <v>76</v>
      </c>
      <c r="F2062" s="27">
        <v>76</v>
      </c>
      <c r="I2062" s="27">
        <v>1</v>
      </c>
    </row>
    <row r="2063" spans="1:11" x14ac:dyDescent="0.25">
      <c r="A2063" s="5" t="s">
        <v>6</v>
      </c>
      <c r="B2063" s="5" t="s">
        <v>10065</v>
      </c>
      <c r="C2063" s="1" t="s">
        <v>10066</v>
      </c>
      <c r="D2063" s="5" t="s">
        <v>17920</v>
      </c>
      <c r="E2063" s="32">
        <v>90</v>
      </c>
      <c r="F2063" s="27">
        <v>16590</v>
      </c>
      <c r="G2063" s="32">
        <v>56</v>
      </c>
      <c r="H2063" s="27">
        <v>10896</v>
      </c>
      <c r="I2063" s="27">
        <v>184.33333333333334</v>
      </c>
      <c r="J2063" s="27">
        <v>194.57142857142858</v>
      </c>
      <c r="K2063" s="29">
        <v>5.5541203823301487E-2</v>
      </c>
    </row>
    <row r="2064" spans="1:11" x14ac:dyDescent="0.25">
      <c r="A2064" s="5" t="s">
        <v>6</v>
      </c>
      <c r="B2064" s="5" t="s">
        <v>10071</v>
      </c>
      <c r="C2064" s="1" t="s">
        <v>10072</v>
      </c>
      <c r="D2064" s="5" t="s">
        <v>17921</v>
      </c>
      <c r="E2064" s="32">
        <v>9</v>
      </c>
      <c r="F2064" s="27">
        <v>14364</v>
      </c>
      <c r="G2064" s="32">
        <v>36</v>
      </c>
      <c r="H2064" s="27">
        <v>62064</v>
      </c>
      <c r="I2064" s="27">
        <v>1596</v>
      </c>
      <c r="J2064" s="27">
        <v>1724</v>
      </c>
      <c r="K2064" s="29">
        <v>8.0200501253132828E-2</v>
      </c>
    </row>
    <row r="2065" spans="1:11" x14ac:dyDescent="0.25">
      <c r="A2065" s="5" t="s">
        <v>6</v>
      </c>
      <c r="B2065" s="5" t="s">
        <v>10080</v>
      </c>
      <c r="C2065" s="1" t="s">
        <v>10081</v>
      </c>
      <c r="D2065" s="5" t="s">
        <v>17789</v>
      </c>
      <c r="E2065" s="32">
        <v>12</v>
      </c>
      <c r="F2065" s="27">
        <v>4152</v>
      </c>
      <c r="G2065" s="32">
        <v>29</v>
      </c>
      <c r="H2065" s="27">
        <v>10713</v>
      </c>
      <c r="I2065" s="27">
        <v>346</v>
      </c>
      <c r="J2065" s="27">
        <v>369.41379310344826</v>
      </c>
      <c r="K2065" s="29">
        <v>6.7669922264301324E-2</v>
      </c>
    </row>
    <row r="2066" spans="1:11" x14ac:dyDescent="0.25">
      <c r="A2066" s="5" t="s">
        <v>6</v>
      </c>
      <c r="B2066" s="5" t="s">
        <v>10083</v>
      </c>
      <c r="C2066" s="1" t="s">
        <v>10084</v>
      </c>
      <c r="D2066" s="5" t="s">
        <v>17922</v>
      </c>
      <c r="E2066" s="32">
        <v>225</v>
      </c>
      <c r="F2066" s="27">
        <v>32760</v>
      </c>
      <c r="G2066" s="32">
        <v>60</v>
      </c>
      <c r="H2066" s="27">
        <v>9420</v>
      </c>
      <c r="I2066" s="27">
        <v>145.6</v>
      </c>
      <c r="J2066" s="27">
        <v>157</v>
      </c>
      <c r="K2066" s="29">
        <v>7.8296703296703338E-2</v>
      </c>
    </row>
    <row r="2067" spans="1:11" x14ac:dyDescent="0.25">
      <c r="A2067" s="5" t="s">
        <v>6</v>
      </c>
      <c r="B2067" s="5" t="s">
        <v>10092</v>
      </c>
      <c r="C2067" s="1" t="s">
        <v>10093</v>
      </c>
      <c r="D2067" s="5" t="s">
        <v>17789</v>
      </c>
      <c r="E2067" s="32">
        <v>3549</v>
      </c>
      <c r="F2067" s="27">
        <v>583219</v>
      </c>
      <c r="G2067" s="32">
        <v>16</v>
      </c>
      <c r="H2067" s="27">
        <v>2815</v>
      </c>
      <c r="I2067" s="27">
        <v>164.33333333333334</v>
      </c>
      <c r="J2067" s="27">
        <v>175.9375</v>
      </c>
      <c r="K2067" s="29">
        <v>7.0613590263691628E-2</v>
      </c>
    </row>
    <row r="2068" spans="1:11" x14ac:dyDescent="0.25">
      <c r="A2068" s="5" t="s">
        <v>6</v>
      </c>
      <c r="B2068" s="5" t="s">
        <v>10095</v>
      </c>
      <c r="C2068" s="1" t="s">
        <v>10096</v>
      </c>
      <c r="D2068" s="5" t="s">
        <v>17789</v>
      </c>
      <c r="E2068" s="32">
        <v>10</v>
      </c>
      <c r="F2068" s="27">
        <v>3514</v>
      </c>
      <c r="G2068" s="32">
        <v>18</v>
      </c>
      <c r="H2068" s="27">
        <v>6940</v>
      </c>
      <c r="I2068" s="27">
        <v>351.4</v>
      </c>
      <c r="J2068" s="27">
        <v>385.55555555555554</v>
      </c>
      <c r="K2068" s="29">
        <v>9.7198507557073335E-2</v>
      </c>
    </row>
    <row r="2069" spans="1:11" x14ac:dyDescent="0.25">
      <c r="A2069" s="5" t="s">
        <v>6</v>
      </c>
      <c r="B2069" s="5" t="s">
        <v>10143</v>
      </c>
      <c r="C2069" s="1" t="s">
        <v>10144</v>
      </c>
      <c r="D2069" s="5" t="s">
        <v>17789</v>
      </c>
      <c r="E2069" s="32">
        <v>2288</v>
      </c>
      <c r="F2069" s="27">
        <v>248332</v>
      </c>
      <c r="G2069" s="32">
        <v>659</v>
      </c>
      <c r="H2069" s="27">
        <v>76513</v>
      </c>
      <c r="I2069" s="27">
        <v>108.53671328671329</v>
      </c>
      <c r="J2069" s="27">
        <v>116.10470409711684</v>
      </c>
      <c r="K2069" s="29">
        <v>6.9727473600676937E-2</v>
      </c>
    </row>
    <row r="2070" spans="1:11" x14ac:dyDescent="0.25">
      <c r="A2070" s="5" t="s">
        <v>6</v>
      </c>
      <c r="B2070" s="5" t="s">
        <v>10146</v>
      </c>
      <c r="C2070" s="1" t="s">
        <v>10147</v>
      </c>
      <c r="D2070" s="5" t="s">
        <v>17919</v>
      </c>
      <c r="E2070" s="32">
        <v>74</v>
      </c>
      <c r="F2070" s="27">
        <v>6650</v>
      </c>
      <c r="G2070" s="32">
        <v>149</v>
      </c>
      <c r="H2070" s="27">
        <v>14007</v>
      </c>
      <c r="I2070" s="27">
        <v>89.86486486486487</v>
      </c>
      <c r="J2070" s="27">
        <v>94.006711409395976</v>
      </c>
      <c r="K2070" s="29">
        <v>4.6089720946661923E-2</v>
      </c>
    </row>
    <row r="2071" spans="1:11" x14ac:dyDescent="0.25">
      <c r="A2071" s="5" t="s">
        <v>6</v>
      </c>
      <c r="B2071" s="5" t="s">
        <v>10155</v>
      </c>
      <c r="C2071" s="1" t="s">
        <v>10156</v>
      </c>
      <c r="D2071" s="5" t="s">
        <v>17919</v>
      </c>
      <c r="E2071" s="32">
        <v>32507</v>
      </c>
      <c r="F2071" s="27">
        <v>32282.57</v>
      </c>
      <c r="G2071" s="32">
        <v>33475</v>
      </c>
      <c r="H2071" s="27">
        <v>33475</v>
      </c>
      <c r="I2071" s="27">
        <v>0.99309594856492445</v>
      </c>
      <c r="J2071" s="27">
        <v>1</v>
      </c>
      <c r="K2071" s="29">
        <v>6.9520487371358911E-3</v>
      </c>
    </row>
    <row r="2072" spans="1:11" x14ac:dyDescent="0.25">
      <c r="A2072" s="5" t="s">
        <v>6</v>
      </c>
      <c r="B2072" s="5" t="s">
        <v>10164</v>
      </c>
      <c r="C2072" s="1" t="s">
        <v>10165</v>
      </c>
      <c r="D2072" s="5" t="s">
        <v>17789</v>
      </c>
      <c r="E2072" s="32">
        <v>52</v>
      </c>
      <c r="F2072" s="27">
        <v>347359</v>
      </c>
      <c r="G2072" s="32">
        <v>86</v>
      </c>
      <c r="H2072" s="27">
        <v>605512</v>
      </c>
      <c r="I2072" s="27">
        <v>6679.9807692307695</v>
      </c>
      <c r="J2072" s="27">
        <v>7040.8372093023254</v>
      </c>
      <c r="K2072" s="29">
        <v>5.4020580677975535E-2</v>
      </c>
    </row>
    <row r="2073" spans="1:11" x14ac:dyDescent="0.25">
      <c r="A2073" s="5" t="s">
        <v>6</v>
      </c>
      <c r="B2073" s="5" t="s">
        <v>10167</v>
      </c>
      <c r="C2073" s="1" t="s">
        <v>10168</v>
      </c>
      <c r="D2073" s="5" t="s">
        <v>17789</v>
      </c>
      <c r="E2073" s="32">
        <v>10</v>
      </c>
      <c r="F2073" s="27">
        <v>5020</v>
      </c>
      <c r="I2073" s="27">
        <v>502</v>
      </c>
    </row>
    <row r="2074" spans="1:11" x14ac:dyDescent="0.25">
      <c r="A2074" s="5" t="s">
        <v>6</v>
      </c>
      <c r="B2074" s="5" t="s">
        <v>10173</v>
      </c>
      <c r="C2074" s="1" t="s">
        <v>10174</v>
      </c>
      <c r="D2074" s="5" t="s">
        <v>17923</v>
      </c>
      <c r="G2074" s="32">
        <v>5312</v>
      </c>
      <c r="H2074" s="27">
        <v>639946.28</v>
      </c>
      <c r="J2074" s="27">
        <v>120.47181475903615</v>
      </c>
    </row>
    <row r="2075" spans="1:11" x14ac:dyDescent="0.25">
      <c r="A2075" s="5" t="s">
        <v>6</v>
      </c>
      <c r="B2075" s="5" t="s">
        <v>10182</v>
      </c>
      <c r="C2075" s="1" t="s">
        <v>10183</v>
      </c>
      <c r="D2075" s="5" t="s">
        <v>17924</v>
      </c>
      <c r="E2075" s="32">
        <v>5184</v>
      </c>
      <c r="F2075" s="27">
        <v>874228</v>
      </c>
      <c r="I2075" s="27">
        <v>168.63966049382717</v>
      </c>
    </row>
    <row r="2076" spans="1:11" x14ac:dyDescent="0.25">
      <c r="A2076" s="5" t="s">
        <v>6</v>
      </c>
      <c r="B2076" s="5" t="s">
        <v>10185</v>
      </c>
      <c r="C2076" s="1" t="s">
        <v>10186</v>
      </c>
      <c r="D2076" s="5" t="s">
        <v>17925</v>
      </c>
      <c r="E2076" s="32">
        <v>76960</v>
      </c>
      <c r="F2076" s="27">
        <v>8446530</v>
      </c>
      <c r="G2076" s="32">
        <v>78855</v>
      </c>
      <c r="H2076" s="27">
        <v>9214335</v>
      </c>
      <c r="I2076" s="27">
        <v>109.75220893970894</v>
      </c>
      <c r="J2076" s="27">
        <v>116.85162640289138</v>
      </c>
      <c r="K2076" s="29">
        <v>6.4685873129737448E-2</v>
      </c>
    </row>
    <row r="2077" spans="1:11" x14ac:dyDescent="0.25">
      <c r="A2077" s="5" t="s">
        <v>6</v>
      </c>
      <c r="B2077" s="5" t="s">
        <v>10188</v>
      </c>
      <c r="C2077" s="1" t="s">
        <v>10189</v>
      </c>
      <c r="D2077" s="5" t="s">
        <v>17925</v>
      </c>
      <c r="E2077" s="32">
        <v>15840</v>
      </c>
      <c r="F2077" s="27">
        <v>233120</v>
      </c>
      <c r="G2077" s="32">
        <v>13620</v>
      </c>
      <c r="H2077" s="27">
        <v>212380</v>
      </c>
      <c r="I2077" s="27">
        <v>14.717171717171718</v>
      </c>
      <c r="J2077" s="27">
        <v>15.593245227606461</v>
      </c>
      <c r="K2077" s="29">
        <v>5.9527300983554958E-2</v>
      </c>
    </row>
    <row r="2078" spans="1:11" x14ac:dyDescent="0.25">
      <c r="A2078" s="5" t="s">
        <v>6</v>
      </c>
      <c r="B2078" s="5" t="s">
        <v>10193</v>
      </c>
      <c r="C2078" s="1" t="s">
        <v>10194</v>
      </c>
      <c r="D2078" s="5" t="s">
        <v>17789</v>
      </c>
      <c r="E2078" s="32">
        <v>56</v>
      </c>
      <c r="F2078" s="27">
        <v>28221</v>
      </c>
      <c r="G2078" s="32">
        <v>3</v>
      </c>
      <c r="H2078" s="27">
        <v>1618</v>
      </c>
      <c r="I2078" s="27">
        <v>503.94642857142856</v>
      </c>
      <c r="J2078" s="27">
        <v>539.33333333333337</v>
      </c>
      <c r="K2078" s="29">
        <v>7.0219576438349807E-2</v>
      </c>
    </row>
    <row r="2079" spans="1:11" x14ac:dyDescent="0.25">
      <c r="A2079" s="5" t="s">
        <v>6</v>
      </c>
      <c r="B2079" s="5" t="s">
        <v>10196</v>
      </c>
      <c r="C2079" s="1" t="s">
        <v>10197</v>
      </c>
      <c r="D2079" s="5" t="s">
        <v>17789</v>
      </c>
      <c r="E2079" s="32">
        <v>31</v>
      </c>
      <c r="F2079" s="27">
        <v>1948</v>
      </c>
      <c r="G2079" s="32">
        <v>162</v>
      </c>
      <c r="H2079" s="27">
        <v>10851</v>
      </c>
      <c r="I2079" s="27">
        <v>62.838709677419352</v>
      </c>
      <c r="J2079" s="27">
        <v>66.981481481481481</v>
      </c>
      <c r="K2079" s="29">
        <v>6.5927066697087269E-2</v>
      </c>
    </row>
    <row r="2080" spans="1:11" x14ac:dyDescent="0.25">
      <c r="A2080" s="5" t="s">
        <v>6</v>
      </c>
      <c r="B2080" s="5" t="s">
        <v>10199</v>
      </c>
      <c r="C2080" s="1" t="s">
        <v>10200</v>
      </c>
      <c r="D2080" s="5" t="s">
        <v>17926</v>
      </c>
      <c r="E2080" s="32">
        <v>10607</v>
      </c>
      <c r="F2080" s="27">
        <v>637312</v>
      </c>
      <c r="G2080" s="32">
        <v>12907</v>
      </c>
      <c r="H2080" s="27">
        <v>831222</v>
      </c>
      <c r="I2080" s="27">
        <v>60.08409540869237</v>
      </c>
      <c r="J2080" s="27">
        <v>64.400867746184247</v>
      </c>
      <c r="K2080" s="29">
        <v>7.1845507669361847E-2</v>
      </c>
    </row>
    <row r="2081" spans="1:11" x14ac:dyDescent="0.25">
      <c r="A2081" s="5" t="s">
        <v>6</v>
      </c>
      <c r="B2081" s="5" t="s">
        <v>17927</v>
      </c>
      <c r="C2081" s="1" t="s">
        <v>17928</v>
      </c>
      <c r="D2081" s="5" t="s">
        <v>17789</v>
      </c>
      <c r="E2081" s="32">
        <v>21</v>
      </c>
      <c r="F2081" s="27">
        <v>10752</v>
      </c>
      <c r="I2081" s="27">
        <v>512</v>
      </c>
    </row>
    <row r="2082" spans="1:11" x14ac:dyDescent="0.25">
      <c r="A2082" s="5" t="s">
        <v>6</v>
      </c>
      <c r="B2082" s="5" t="s">
        <v>17929</v>
      </c>
      <c r="C2082" s="1" t="s">
        <v>17930</v>
      </c>
      <c r="D2082" s="5" t="s">
        <v>17789</v>
      </c>
      <c r="E2082" s="32">
        <v>1663</v>
      </c>
      <c r="F2082" s="27">
        <v>180329</v>
      </c>
      <c r="I2082" s="27">
        <v>108.43595911004209</v>
      </c>
    </row>
    <row r="2083" spans="1:11" x14ac:dyDescent="0.25">
      <c r="A2083" s="5" t="s">
        <v>6</v>
      </c>
      <c r="B2083" s="5" t="s">
        <v>10205</v>
      </c>
      <c r="C2083" s="1" t="s">
        <v>10206</v>
      </c>
      <c r="D2083" s="5" t="s">
        <v>17931</v>
      </c>
      <c r="E2083" s="32">
        <v>61</v>
      </c>
      <c r="F2083" s="27">
        <v>1030.32</v>
      </c>
      <c r="I2083" s="27">
        <v>16.890491803278689</v>
      </c>
    </row>
    <row r="2084" spans="1:11" x14ac:dyDescent="0.25">
      <c r="A2084" s="5" t="s">
        <v>6</v>
      </c>
      <c r="B2084" s="5" t="s">
        <v>10208</v>
      </c>
      <c r="C2084" s="1" t="s">
        <v>10209</v>
      </c>
      <c r="D2084" s="5" t="s">
        <v>17932</v>
      </c>
      <c r="E2084" s="32">
        <v>117000</v>
      </c>
      <c r="F2084" s="27">
        <v>117000</v>
      </c>
      <c r="G2084" s="32">
        <v>98200</v>
      </c>
      <c r="H2084" s="27">
        <v>98200</v>
      </c>
      <c r="I2084" s="27">
        <v>1</v>
      </c>
      <c r="J2084" s="27">
        <v>1</v>
      </c>
      <c r="K2084" s="29">
        <v>0</v>
      </c>
    </row>
    <row r="2085" spans="1:11" x14ac:dyDescent="0.25">
      <c r="A2085" s="5" t="s">
        <v>6</v>
      </c>
      <c r="B2085" s="5" t="s">
        <v>10211</v>
      </c>
      <c r="C2085" s="1" t="s">
        <v>10212</v>
      </c>
      <c r="D2085" s="5" t="s">
        <v>17933</v>
      </c>
      <c r="E2085" s="32">
        <v>4</v>
      </c>
      <c r="F2085" s="27">
        <v>18954</v>
      </c>
      <c r="G2085" s="32">
        <v>1</v>
      </c>
      <c r="H2085" s="27">
        <v>5329</v>
      </c>
      <c r="I2085" s="27">
        <v>4738.5</v>
      </c>
      <c r="J2085" s="27">
        <v>5329</v>
      </c>
      <c r="K2085" s="29">
        <v>0.12461749498786535</v>
      </c>
    </row>
    <row r="2086" spans="1:11" x14ac:dyDescent="0.25">
      <c r="A2086" s="5" t="s">
        <v>6</v>
      </c>
      <c r="B2086" s="5" t="s">
        <v>10214</v>
      </c>
      <c r="C2086" s="1" t="s">
        <v>10215</v>
      </c>
      <c r="D2086" s="5" t="s">
        <v>17934</v>
      </c>
      <c r="E2086" s="32">
        <v>3</v>
      </c>
      <c r="F2086" s="27">
        <v>15747</v>
      </c>
      <c r="I2086" s="27">
        <v>5249</v>
      </c>
    </row>
    <row r="2087" spans="1:11" x14ac:dyDescent="0.25">
      <c r="A2087" s="5" t="s">
        <v>6</v>
      </c>
      <c r="B2087" s="5" t="s">
        <v>10217</v>
      </c>
      <c r="C2087" s="1" t="s">
        <v>10218</v>
      </c>
      <c r="D2087" s="5" t="s">
        <v>17935</v>
      </c>
      <c r="G2087" s="32">
        <v>6998</v>
      </c>
      <c r="H2087" s="27">
        <v>101890.88</v>
      </c>
      <c r="J2087" s="27">
        <v>14.56</v>
      </c>
    </row>
    <row r="2088" spans="1:11" x14ac:dyDescent="0.25">
      <c r="A2088" s="5" t="s">
        <v>6</v>
      </c>
      <c r="B2088" s="5" t="s">
        <v>10220</v>
      </c>
      <c r="C2088" s="1" t="s">
        <v>10221</v>
      </c>
      <c r="D2088" s="5" t="s">
        <v>17936</v>
      </c>
      <c r="E2088" s="32">
        <v>319200</v>
      </c>
      <c r="F2088" s="27">
        <v>2835550</v>
      </c>
      <c r="G2088" s="32">
        <v>324350</v>
      </c>
      <c r="H2088" s="27">
        <v>3119450</v>
      </c>
      <c r="I2088" s="27">
        <v>8.8833020050125313</v>
      </c>
      <c r="J2088" s="27">
        <v>9.6175427778634184</v>
      </c>
      <c r="K2088" s="29">
        <v>8.2654037027738242E-2</v>
      </c>
    </row>
    <row r="2089" spans="1:11" x14ac:dyDescent="0.25">
      <c r="A2089" s="5" t="s">
        <v>6</v>
      </c>
      <c r="B2089" s="5" t="s">
        <v>10223</v>
      </c>
      <c r="C2089" s="1" t="s">
        <v>10224</v>
      </c>
      <c r="D2089" s="5" t="s">
        <v>17936</v>
      </c>
      <c r="E2089" s="32">
        <v>24700</v>
      </c>
      <c r="F2089" s="27">
        <v>74100</v>
      </c>
      <c r="G2089" s="32">
        <v>50450</v>
      </c>
      <c r="H2089" s="27">
        <v>151350</v>
      </c>
      <c r="I2089" s="27">
        <v>3</v>
      </c>
      <c r="J2089" s="27">
        <v>3</v>
      </c>
      <c r="K2089" s="29">
        <v>0</v>
      </c>
    </row>
    <row r="2090" spans="1:11" x14ac:dyDescent="0.25">
      <c r="A2090" s="5" t="s">
        <v>6</v>
      </c>
      <c r="B2090" s="5" t="s">
        <v>10226</v>
      </c>
      <c r="C2090" s="1" t="s">
        <v>10227</v>
      </c>
      <c r="D2090" s="5" t="s">
        <v>17789</v>
      </c>
      <c r="E2090" s="32">
        <v>3860</v>
      </c>
      <c r="F2090" s="27">
        <v>1196970</v>
      </c>
      <c r="G2090" s="32">
        <v>2715</v>
      </c>
      <c r="H2090" s="27">
        <v>904305</v>
      </c>
      <c r="I2090" s="27">
        <v>310.09585492227978</v>
      </c>
      <c r="J2090" s="27">
        <v>333.07734806629833</v>
      </c>
      <c r="K2090" s="29">
        <v>7.4110933052550676E-2</v>
      </c>
    </row>
    <row r="2091" spans="1:11" x14ac:dyDescent="0.25">
      <c r="A2091" s="5" t="s">
        <v>6</v>
      </c>
      <c r="B2091" s="5" t="s">
        <v>10229</v>
      </c>
      <c r="C2091" s="1" t="s">
        <v>10230</v>
      </c>
      <c r="D2091" s="5" t="s">
        <v>17937</v>
      </c>
      <c r="E2091" s="32">
        <v>2718</v>
      </c>
      <c r="F2091" s="27">
        <v>1419576</v>
      </c>
      <c r="G2091" s="32">
        <v>2883</v>
      </c>
      <c r="H2091" s="27">
        <v>1602249</v>
      </c>
      <c r="I2091" s="27">
        <v>522.2869757174393</v>
      </c>
      <c r="J2091" s="27">
        <v>555.75754422476587</v>
      </c>
      <c r="K2091" s="29">
        <v>6.4084631751250787E-2</v>
      </c>
    </row>
    <row r="2092" spans="1:11" x14ac:dyDescent="0.25">
      <c r="A2092" s="5" t="s">
        <v>6</v>
      </c>
      <c r="B2092" s="5" t="s">
        <v>17938</v>
      </c>
      <c r="C2092" s="1" t="s">
        <v>17939</v>
      </c>
      <c r="D2092" s="5" t="s">
        <v>17789</v>
      </c>
      <c r="E2092" s="32">
        <v>569</v>
      </c>
      <c r="F2092" s="27">
        <v>375425</v>
      </c>
      <c r="G2092" s="32">
        <v>453</v>
      </c>
      <c r="H2092" s="27">
        <v>318564</v>
      </c>
      <c r="I2092" s="27">
        <v>659.79789103690689</v>
      </c>
      <c r="J2092" s="27">
        <v>703.23178807947022</v>
      </c>
      <c r="K2092" s="29">
        <v>6.5829093473313005E-2</v>
      </c>
    </row>
    <row r="2093" spans="1:11" x14ac:dyDescent="0.25">
      <c r="A2093" s="5" t="s">
        <v>6</v>
      </c>
      <c r="B2093" s="5" t="s">
        <v>17940</v>
      </c>
      <c r="C2093" s="1" t="s">
        <v>17941</v>
      </c>
      <c r="D2093" s="5" t="s">
        <v>17789</v>
      </c>
      <c r="E2093" s="32">
        <v>5</v>
      </c>
      <c r="F2093" s="27">
        <v>4048</v>
      </c>
      <c r="I2093" s="27">
        <v>809.6</v>
      </c>
    </row>
    <row r="2094" spans="1:11" x14ac:dyDescent="0.25">
      <c r="A2094" s="5" t="s">
        <v>6</v>
      </c>
      <c r="B2094" s="5" t="s">
        <v>10232</v>
      </c>
      <c r="C2094" s="1" t="s">
        <v>10233</v>
      </c>
      <c r="D2094" s="5" t="s">
        <v>17789</v>
      </c>
      <c r="E2094" s="32">
        <v>46</v>
      </c>
      <c r="F2094" s="27">
        <v>689</v>
      </c>
      <c r="G2094" s="32">
        <v>22</v>
      </c>
      <c r="H2094" s="27">
        <v>345</v>
      </c>
      <c r="I2094" s="27">
        <v>14.978260869565217</v>
      </c>
      <c r="J2094" s="27">
        <v>15.681818181818182</v>
      </c>
      <c r="K2094" s="29">
        <v>4.6971896028499827E-2</v>
      </c>
    </row>
    <row r="2095" spans="1:11" x14ac:dyDescent="0.25">
      <c r="A2095" s="5" t="s">
        <v>6</v>
      </c>
      <c r="B2095" s="5" t="s">
        <v>10235</v>
      </c>
      <c r="C2095" s="1" t="s">
        <v>10236</v>
      </c>
      <c r="D2095" s="5" t="s">
        <v>17942</v>
      </c>
      <c r="E2095" s="32">
        <v>4800</v>
      </c>
      <c r="F2095" s="27">
        <v>14400</v>
      </c>
      <c r="G2095" s="32">
        <v>8800</v>
      </c>
      <c r="H2095" s="27">
        <v>26400</v>
      </c>
      <c r="I2095" s="27">
        <v>3</v>
      </c>
      <c r="J2095" s="27">
        <v>3</v>
      </c>
      <c r="K2095" s="29">
        <v>0</v>
      </c>
    </row>
    <row r="2096" spans="1:11" x14ac:dyDescent="0.25">
      <c r="A2096" s="5" t="s">
        <v>6</v>
      </c>
      <c r="B2096" s="5" t="s">
        <v>10241</v>
      </c>
      <c r="C2096" s="1" t="s">
        <v>10242</v>
      </c>
      <c r="D2096" s="5" t="s">
        <v>17789</v>
      </c>
      <c r="E2096" s="32">
        <v>216</v>
      </c>
      <c r="F2096" s="27">
        <v>15930</v>
      </c>
      <c r="I2096" s="27">
        <v>73.75</v>
      </c>
    </row>
    <row r="2097" spans="1:11" x14ac:dyDescent="0.25">
      <c r="A2097" s="5" t="s">
        <v>6</v>
      </c>
      <c r="B2097" s="5" t="s">
        <v>10247</v>
      </c>
      <c r="C2097" s="1" t="s">
        <v>10248</v>
      </c>
      <c r="D2097" s="5" t="s">
        <v>17789</v>
      </c>
      <c r="E2097" s="32">
        <v>1</v>
      </c>
      <c r="F2097" s="27">
        <v>74</v>
      </c>
      <c r="G2097" s="32">
        <v>5</v>
      </c>
      <c r="H2097" s="27">
        <v>388</v>
      </c>
      <c r="I2097" s="27">
        <v>74</v>
      </c>
      <c r="J2097" s="27">
        <v>77.599999999999994</v>
      </c>
      <c r="K2097" s="29">
        <v>4.8648648648648575E-2</v>
      </c>
    </row>
    <row r="2098" spans="1:11" x14ac:dyDescent="0.25">
      <c r="A2098" s="5" t="s">
        <v>6</v>
      </c>
      <c r="B2098" s="5" t="s">
        <v>10250</v>
      </c>
      <c r="C2098" s="1" t="s">
        <v>10251</v>
      </c>
      <c r="D2098" s="5" t="s">
        <v>17789</v>
      </c>
      <c r="E2098" s="32">
        <v>123</v>
      </c>
      <c r="F2098" s="27">
        <v>43413</v>
      </c>
      <c r="G2098" s="32">
        <v>165</v>
      </c>
      <c r="H2098" s="27">
        <v>60535</v>
      </c>
      <c r="I2098" s="27">
        <v>352.95121951219511</v>
      </c>
      <c r="J2098" s="27">
        <v>366.87878787878788</v>
      </c>
      <c r="K2098" s="29">
        <v>3.9460320850687819E-2</v>
      </c>
    </row>
    <row r="2099" spans="1:11" x14ac:dyDescent="0.25">
      <c r="A2099" s="5" t="s">
        <v>6</v>
      </c>
      <c r="B2099" s="5" t="s">
        <v>10253</v>
      </c>
      <c r="C2099" s="1" t="s">
        <v>10254</v>
      </c>
      <c r="D2099" s="5" t="s">
        <v>17789</v>
      </c>
      <c r="E2099" s="32">
        <v>111</v>
      </c>
      <c r="F2099" s="27">
        <v>24384</v>
      </c>
      <c r="G2099" s="32">
        <v>295</v>
      </c>
      <c r="H2099" s="27">
        <v>71962</v>
      </c>
      <c r="I2099" s="27">
        <v>219.67567567567568</v>
      </c>
      <c r="J2099" s="27">
        <v>243.93898305084747</v>
      </c>
      <c r="K2099" s="29">
        <v>0.11045058721473379</v>
      </c>
    </row>
    <row r="2100" spans="1:11" x14ac:dyDescent="0.25">
      <c r="A2100" s="5" t="s">
        <v>6</v>
      </c>
      <c r="B2100" s="5" t="s">
        <v>10256</v>
      </c>
      <c r="C2100" s="1" t="s">
        <v>10257</v>
      </c>
      <c r="D2100" s="5" t="s">
        <v>17789</v>
      </c>
      <c r="E2100" s="32">
        <v>92</v>
      </c>
      <c r="F2100" s="27">
        <v>7906</v>
      </c>
      <c r="G2100" s="32">
        <v>4</v>
      </c>
      <c r="H2100" s="27">
        <v>376</v>
      </c>
      <c r="I2100" s="27">
        <v>85.934782608695656</v>
      </c>
      <c r="J2100" s="27">
        <v>94</v>
      </c>
      <c r="K2100" s="29">
        <v>9.3852770048064707E-2</v>
      </c>
    </row>
    <row r="2101" spans="1:11" x14ac:dyDescent="0.25">
      <c r="A2101" s="5" t="s">
        <v>6</v>
      </c>
      <c r="B2101" s="5" t="s">
        <v>10262</v>
      </c>
      <c r="C2101" s="1" t="s">
        <v>10263</v>
      </c>
      <c r="D2101" s="5" t="s">
        <v>17789</v>
      </c>
      <c r="E2101" s="32">
        <v>136</v>
      </c>
      <c r="F2101" s="27">
        <v>37948</v>
      </c>
      <c r="G2101" s="32">
        <v>12</v>
      </c>
      <c r="H2101" s="27">
        <v>3448</v>
      </c>
      <c r="I2101" s="27">
        <v>279.02941176470586</v>
      </c>
      <c r="J2101" s="27">
        <v>287.33333333333331</v>
      </c>
      <c r="K2101" s="29">
        <v>2.9760022486911945E-2</v>
      </c>
    </row>
    <row r="2102" spans="1:11" x14ac:dyDescent="0.25">
      <c r="A2102" s="5" t="s">
        <v>6</v>
      </c>
      <c r="B2102" s="5" t="s">
        <v>10265</v>
      </c>
      <c r="C2102" s="1" t="s">
        <v>10266</v>
      </c>
      <c r="D2102" s="5" t="s">
        <v>17789</v>
      </c>
      <c r="E2102" s="32">
        <v>364</v>
      </c>
      <c r="F2102" s="27">
        <v>126896</v>
      </c>
      <c r="G2102" s="32">
        <v>661</v>
      </c>
      <c r="H2102" s="27">
        <v>245547</v>
      </c>
      <c r="I2102" s="27">
        <v>348.61538461538464</v>
      </c>
      <c r="J2102" s="27">
        <v>371.47806354009077</v>
      </c>
      <c r="K2102" s="29">
        <v>6.558138261720646E-2</v>
      </c>
    </row>
    <row r="2103" spans="1:11" x14ac:dyDescent="0.25">
      <c r="A2103" s="5" t="s">
        <v>6</v>
      </c>
      <c r="B2103" s="5" t="s">
        <v>10268</v>
      </c>
      <c r="C2103" s="1" t="s">
        <v>10269</v>
      </c>
      <c r="D2103" s="5" t="s">
        <v>17789</v>
      </c>
      <c r="E2103" s="32">
        <v>229</v>
      </c>
      <c r="F2103" s="27">
        <v>52943</v>
      </c>
      <c r="G2103" s="32">
        <v>780</v>
      </c>
      <c r="H2103" s="27">
        <v>192190</v>
      </c>
      <c r="I2103" s="27">
        <v>231.19213973799125</v>
      </c>
      <c r="J2103" s="27">
        <v>246.39743589743588</v>
      </c>
      <c r="K2103" s="29">
        <v>6.5769087896659056E-2</v>
      </c>
    </row>
    <row r="2104" spans="1:11" x14ac:dyDescent="0.25">
      <c r="A2104" s="5" t="s">
        <v>6</v>
      </c>
      <c r="B2104" s="5" t="s">
        <v>10274</v>
      </c>
      <c r="C2104" s="1" t="s">
        <v>10275</v>
      </c>
      <c r="D2104" s="5" t="s">
        <v>17789</v>
      </c>
      <c r="E2104" s="32">
        <v>2821</v>
      </c>
      <c r="F2104" s="27">
        <v>244629</v>
      </c>
      <c r="G2104" s="32">
        <v>314</v>
      </c>
      <c r="H2104" s="27">
        <v>28137</v>
      </c>
      <c r="I2104" s="27">
        <v>86.717121588089327</v>
      </c>
      <c r="J2104" s="27">
        <v>89.608280254777071</v>
      </c>
      <c r="K2104" s="29">
        <v>3.3340113390996677E-2</v>
      </c>
    </row>
    <row r="2105" spans="1:11" x14ac:dyDescent="0.25">
      <c r="A2105" s="5" t="s">
        <v>6</v>
      </c>
      <c r="B2105" s="5" t="s">
        <v>10277</v>
      </c>
      <c r="C2105" s="1" t="s">
        <v>10278</v>
      </c>
      <c r="D2105" s="5" t="s">
        <v>17789</v>
      </c>
      <c r="E2105" s="32">
        <v>4697</v>
      </c>
      <c r="F2105" s="27">
        <v>873286</v>
      </c>
      <c r="G2105" s="32">
        <v>5736</v>
      </c>
      <c r="H2105" s="27">
        <v>1130553</v>
      </c>
      <c r="I2105" s="27">
        <v>185.92420694060038</v>
      </c>
      <c r="J2105" s="27">
        <v>197.09780334728035</v>
      </c>
      <c r="K2105" s="29">
        <v>6.0097588100777734E-2</v>
      </c>
    </row>
    <row r="2106" spans="1:11" x14ac:dyDescent="0.25">
      <c r="A2106" s="5" t="s">
        <v>6</v>
      </c>
      <c r="B2106" s="5" t="s">
        <v>10280</v>
      </c>
      <c r="C2106" s="1" t="s">
        <v>10281</v>
      </c>
      <c r="D2106" s="5" t="s">
        <v>17789</v>
      </c>
      <c r="E2106" s="32">
        <v>626</v>
      </c>
      <c r="F2106" s="27">
        <v>80020</v>
      </c>
      <c r="G2106" s="32">
        <v>378</v>
      </c>
      <c r="H2106" s="27">
        <v>51750</v>
      </c>
      <c r="I2106" s="27">
        <v>127.82747603833866</v>
      </c>
      <c r="J2106" s="27">
        <v>136.9047619047619</v>
      </c>
      <c r="K2106" s="29">
        <v>7.1012008902536214E-2</v>
      </c>
    </row>
    <row r="2107" spans="1:11" x14ac:dyDescent="0.25">
      <c r="A2107" s="5" t="s">
        <v>6</v>
      </c>
      <c r="B2107" s="5" t="s">
        <v>10283</v>
      </c>
      <c r="C2107" s="1" t="s">
        <v>10284</v>
      </c>
      <c r="D2107" s="5" t="s">
        <v>17789</v>
      </c>
      <c r="E2107" s="32">
        <v>1</v>
      </c>
      <c r="F2107" s="27">
        <v>329</v>
      </c>
      <c r="I2107" s="27">
        <v>329</v>
      </c>
    </row>
    <row r="2108" spans="1:11" x14ac:dyDescent="0.25">
      <c r="A2108" s="5" t="s">
        <v>6</v>
      </c>
      <c r="B2108" s="5" t="s">
        <v>10286</v>
      </c>
      <c r="C2108" s="1" t="s">
        <v>10287</v>
      </c>
      <c r="D2108" s="5" t="s">
        <v>17789</v>
      </c>
      <c r="E2108" s="32">
        <v>2132</v>
      </c>
      <c r="F2108" s="27">
        <v>123631</v>
      </c>
      <c r="G2108" s="32">
        <v>389</v>
      </c>
      <c r="H2108" s="27">
        <v>23772</v>
      </c>
      <c r="I2108" s="27">
        <v>57.988273921200751</v>
      </c>
      <c r="J2108" s="27">
        <v>61.110539845758353</v>
      </c>
      <c r="K2108" s="29">
        <v>5.3843056766966282E-2</v>
      </c>
    </row>
    <row r="2109" spans="1:11" x14ac:dyDescent="0.25">
      <c r="A2109" s="5" t="s">
        <v>6</v>
      </c>
      <c r="B2109" s="5" t="s">
        <v>10288</v>
      </c>
      <c r="C2109" s="1" t="s">
        <v>10289</v>
      </c>
      <c r="D2109" s="5" t="s">
        <v>17789</v>
      </c>
      <c r="G2109" s="32">
        <v>448</v>
      </c>
      <c r="H2109" s="27">
        <v>20160</v>
      </c>
      <c r="J2109" s="27">
        <v>45</v>
      </c>
    </row>
    <row r="2110" spans="1:11" x14ac:dyDescent="0.25">
      <c r="A2110" s="5" t="s">
        <v>6</v>
      </c>
      <c r="B2110" s="5" t="s">
        <v>10291</v>
      </c>
      <c r="C2110" s="1" t="s">
        <v>10292</v>
      </c>
      <c r="D2110" s="5" t="s">
        <v>17789</v>
      </c>
      <c r="E2110" s="32">
        <v>16</v>
      </c>
      <c r="F2110" s="27">
        <v>2858</v>
      </c>
      <c r="G2110" s="32">
        <v>396</v>
      </c>
      <c r="H2110" s="27">
        <v>80313</v>
      </c>
      <c r="I2110" s="27">
        <v>178.625</v>
      </c>
      <c r="J2110" s="27">
        <v>202.81060606060606</v>
      </c>
      <c r="K2110" s="29">
        <v>0.13539877430710182</v>
      </c>
    </row>
    <row r="2111" spans="1:11" x14ac:dyDescent="0.25">
      <c r="A2111" s="5" t="s">
        <v>6</v>
      </c>
      <c r="B2111" s="5" t="s">
        <v>10294</v>
      </c>
      <c r="C2111" s="1" t="s">
        <v>10295</v>
      </c>
      <c r="D2111" s="5" t="s">
        <v>17789</v>
      </c>
      <c r="E2111" s="32">
        <v>104</v>
      </c>
      <c r="F2111" s="27">
        <v>36696</v>
      </c>
      <c r="G2111" s="32">
        <v>390</v>
      </c>
      <c r="H2111" s="27">
        <v>147074</v>
      </c>
      <c r="I2111" s="27">
        <v>352.84615384615387</v>
      </c>
      <c r="J2111" s="27">
        <v>377.11282051282052</v>
      </c>
      <c r="K2111" s="29">
        <v>6.877407165176945E-2</v>
      </c>
    </row>
    <row r="2112" spans="1:11" x14ac:dyDescent="0.25">
      <c r="A2112" s="5" t="s">
        <v>6</v>
      </c>
      <c r="B2112" s="5" t="s">
        <v>10300</v>
      </c>
      <c r="C2112" s="1" t="s">
        <v>10301</v>
      </c>
      <c r="D2112" s="5" t="s">
        <v>17789</v>
      </c>
      <c r="E2112" s="32">
        <v>452</v>
      </c>
      <c r="F2112" s="27">
        <v>4678</v>
      </c>
      <c r="G2112" s="32">
        <v>65</v>
      </c>
      <c r="H2112" s="27">
        <v>750</v>
      </c>
      <c r="I2112" s="27">
        <v>10.349557522123893</v>
      </c>
      <c r="J2112" s="27">
        <v>11.538461538461538</v>
      </c>
      <c r="K2112" s="29">
        <v>0.11487486434044795</v>
      </c>
    </row>
    <row r="2113" spans="1:11" x14ac:dyDescent="0.25">
      <c r="A2113" s="5" t="s">
        <v>6</v>
      </c>
      <c r="B2113" s="5" t="s">
        <v>10303</v>
      </c>
      <c r="C2113" s="1" t="s">
        <v>10304</v>
      </c>
      <c r="D2113" s="5" t="s">
        <v>17789</v>
      </c>
      <c r="E2113" s="32">
        <v>1102</v>
      </c>
      <c r="F2113" s="27">
        <v>204746</v>
      </c>
      <c r="G2113" s="32">
        <v>1326</v>
      </c>
      <c r="H2113" s="27">
        <v>259968</v>
      </c>
      <c r="I2113" s="27">
        <v>185.79491833030852</v>
      </c>
      <c r="J2113" s="27">
        <v>196.05429864253395</v>
      </c>
      <c r="K2113" s="29">
        <v>5.5218842390437062E-2</v>
      </c>
    </row>
    <row r="2114" spans="1:11" x14ac:dyDescent="0.25">
      <c r="A2114" s="5" t="s">
        <v>6</v>
      </c>
      <c r="B2114" s="5" t="s">
        <v>10307</v>
      </c>
      <c r="C2114" s="1" t="s">
        <v>10308</v>
      </c>
      <c r="D2114" s="5" t="s">
        <v>17789</v>
      </c>
      <c r="E2114" s="32">
        <v>255</v>
      </c>
      <c r="F2114" s="27">
        <v>89573</v>
      </c>
      <c r="G2114" s="32">
        <v>216</v>
      </c>
      <c r="H2114" s="27">
        <v>80768</v>
      </c>
      <c r="I2114" s="27">
        <v>351.26666666666665</v>
      </c>
      <c r="J2114" s="27">
        <v>373.92592592592592</v>
      </c>
      <c r="K2114" s="29">
        <v>6.4507285801649092E-2</v>
      </c>
    </row>
    <row r="2115" spans="1:11" x14ac:dyDescent="0.25">
      <c r="A2115" s="5" t="s">
        <v>6</v>
      </c>
      <c r="B2115" s="5" t="s">
        <v>10313</v>
      </c>
      <c r="C2115" s="1" t="s">
        <v>10314</v>
      </c>
      <c r="D2115" s="5" t="s">
        <v>17943</v>
      </c>
      <c r="E2115" s="32">
        <v>2424</v>
      </c>
      <c r="F2115" s="27">
        <v>304788</v>
      </c>
      <c r="G2115" s="32">
        <v>2697</v>
      </c>
      <c r="H2115" s="27">
        <v>359979</v>
      </c>
      <c r="I2115" s="27">
        <v>125.73762376237623</v>
      </c>
      <c r="J2115" s="27">
        <v>133.4738598442714</v>
      </c>
      <c r="K2115" s="29">
        <v>6.1526819502453825E-2</v>
      </c>
    </row>
    <row r="2116" spans="1:11" x14ac:dyDescent="0.25">
      <c r="A2116" s="5" t="s">
        <v>6</v>
      </c>
      <c r="B2116" s="5" t="s">
        <v>10322</v>
      </c>
      <c r="C2116" s="1" t="s">
        <v>10323</v>
      </c>
      <c r="D2116" s="5" t="s">
        <v>17944</v>
      </c>
      <c r="E2116" s="32">
        <v>3588</v>
      </c>
      <c r="F2116" s="27">
        <v>1255512</v>
      </c>
      <c r="G2116" s="32">
        <v>3832</v>
      </c>
      <c r="H2116" s="27">
        <v>1431368</v>
      </c>
      <c r="I2116" s="27">
        <v>349.91973244147158</v>
      </c>
      <c r="J2116" s="27">
        <v>373.5302713987474</v>
      </c>
      <c r="K2116" s="29">
        <v>6.7474156980343994E-2</v>
      </c>
    </row>
    <row r="2117" spans="1:11" x14ac:dyDescent="0.25">
      <c r="A2117" s="5" t="s">
        <v>6</v>
      </c>
      <c r="B2117" s="5" t="s">
        <v>10325</v>
      </c>
      <c r="C2117" s="1" t="s">
        <v>10326</v>
      </c>
      <c r="D2117" s="5" t="s">
        <v>17945</v>
      </c>
      <c r="E2117" s="32">
        <v>2218</v>
      </c>
      <c r="F2117" s="27">
        <v>210762</v>
      </c>
      <c r="G2117" s="32">
        <v>2488</v>
      </c>
      <c r="H2117" s="27">
        <v>252808</v>
      </c>
      <c r="I2117" s="27">
        <v>95.023444544634799</v>
      </c>
      <c r="J2117" s="27">
        <v>101.61093247588424</v>
      </c>
      <c r="K2117" s="29">
        <v>6.9324869907816694E-2</v>
      </c>
    </row>
    <row r="2118" spans="1:11" x14ac:dyDescent="0.25">
      <c r="A2118" s="5" t="s">
        <v>6</v>
      </c>
      <c r="B2118" s="5" t="s">
        <v>10328</v>
      </c>
      <c r="C2118" s="1" t="s">
        <v>10329</v>
      </c>
      <c r="D2118" s="5" t="s">
        <v>17945</v>
      </c>
      <c r="E2118" s="32">
        <v>13762</v>
      </c>
      <c r="F2118" s="27">
        <v>231620</v>
      </c>
      <c r="G2118" s="32">
        <v>15152</v>
      </c>
      <c r="H2118" s="27">
        <v>267350</v>
      </c>
      <c r="I2118" s="27">
        <v>16.830402557767766</v>
      </c>
      <c r="J2118" s="27">
        <v>17.644535374868003</v>
      </c>
      <c r="K2118" s="29">
        <v>4.8372747728751678E-2</v>
      </c>
    </row>
    <row r="2119" spans="1:11" x14ac:dyDescent="0.25">
      <c r="A2119" s="5" t="s">
        <v>6</v>
      </c>
      <c r="B2119" s="5" t="s">
        <v>10330</v>
      </c>
      <c r="C2119" s="1" t="s">
        <v>10331</v>
      </c>
      <c r="D2119" s="5" t="s">
        <v>17946</v>
      </c>
      <c r="E2119" s="32">
        <v>46</v>
      </c>
      <c r="F2119" s="27">
        <v>16909</v>
      </c>
      <c r="I2119" s="27">
        <v>367.58695652173913</v>
      </c>
    </row>
    <row r="2120" spans="1:11" x14ac:dyDescent="0.25">
      <c r="A2120" s="5" t="s">
        <v>6</v>
      </c>
      <c r="B2120" s="5" t="s">
        <v>10336</v>
      </c>
      <c r="C2120" s="1" t="s">
        <v>10337</v>
      </c>
      <c r="D2120" s="5" t="s">
        <v>17947</v>
      </c>
      <c r="E2120" s="32">
        <v>450</v>
      </c>
      <c r="F2120" s="27">
        <v>450</v>
      </c>
      <c r="G2120" s="32">
        <v>1200</v>
      </c>
      <c r="H2120" s="27">
        <v>1200</v>
      </c>
      <c r="I2120" s="27">
        <v>1</v>
      </c>
      <c r="J2120" s="27">
        <v>1</v>
      </c>
      <c r="K2120" s="29">
        <v>0</v>
      </c>
    </row>
    <row r="2121" spans="1:11" x14ac:dyDescent="0.25">
      <c r="A2121" s="5" t="s">
        <v>6</v>
      </c>
      <c r="B2121" s="5" t="s">
        <v>10342</v>
      </c>
      <c r="C2121" s="1" t="s">
        <v>10343</v>
      </c>
      <c r="D2121" s="5" t="s">
        <v>17948</v>
      </c>
      <c r="E2121" s="32">
        <v>51320</v>
      </c>
      <c r="F2121" s="27">
        <v>2127540</v>
      </c>
      <c r="G2121" s="32">
        <v>59595</v>
      </c>
      <c r="H2121" s="27">
        <v>2632755</v>
      </c>
      <c r="I2121" s="27">
        <v>41.456352299298516</v>
      </c>
      <c r="J2121" s="27">
        <v>44.177447772464134</v>
      </c>
      <c r="K2121" s="29">
        <v>6.5637600084068715E-2</v>
      </c>
    </row>
    <row r="2122" spans="1:11" x14ac:dyDescent="0.25">
      <c r="A2122" s="5" t="s">
        <v>6</v>
      </c>
      <c r="B2122" s="5" t="s">
        <v>10345</v>
      </c>
      <c r="C2122" s="1" t="s">
        <v>10346</v>
      </c>
      <c r="D2122" s="5" t="s">
        <v>17949</v>
      </c>
      <c r="E2122" s="32">
        <v>22</v>
      </c>
      <c r="F2122" s="27">
        <v>8760</v>
      </c>
      <c r="G2122" s="32">
        <v>108</v>
      </c>
      <c r="H2122" s="27">
        <v>47088</v>
      </c>
      <c r="I2122" s="27">
        <v>398.18181818181819</v>
      </c>
      <c r="J2122" s="27">
        <v>436</v>
      </c>
      <c r="K2122" s="29">
        <v>9.4977168949771679E-2</v>
      </c>
    </row>
    <row r="2123" spans="1:11" x14ac:dyDescent="0.25">
      <c r="A2123" s="5" t="s">
        <v>6</v>
      </c>
      <c r="B2123" s="5" t="s">
        <v>10354</v>
      </c>
      <c r="C2123" s="1" t="s">
        <v>10355</v>
      </c>
      <c r="D2123" s="5" t="s">
        <v>17950</v>
      </c>
      <c r="E2123" s="32">
        <v>7</v>
      </c>
      <c r="F2123" s="27">
        <v>1354</v>
      </c>
      <c r="G2123" s="32">
        <v>2</v>
      </c>
      <c r="H2123" s="27">
        <v>412</v>
      </c>
      <c r="I2123" s="27">
        <v>193.42857142857142</v>
      </c>
      <c r="J2123" s="27">
        <v>206</v>
      </c>
      <c r="K2123" s="29">
        <v>6.4992614475627833E-2</v>
      </c>
    </row>
    <row r="2124" spans="1:11" x14ac:dyDescent="0.25">
      <c r="A2124" s="5" t="s">
        <v>6</v>
      </c>
      <c r="B2124" s="5" t="s">
        <v>10357</v>
      </c>
      <c r="C2124" s="1" t="s">
        <v>10358</v>
      </c>
      <c r="D2124" s="5" t="s">
        <v>17951</v>
      </c>
      <c r="E2124" s="32">
        <v>40200</v>
      </c>
      <c r="F2124" s="27">
        <v>80400</v>
      </c>
      <c r="G2124" s="32">
        <v>37440</v>
      </c>
      <c r="H2124" s="27">
        <v>74880</v>
      </c>
      <c r="I2124" s="27">
        <v>2</v>
      </c>
      <c r="J2124" s="27">
        <v>2</v>
      </c>
      <c r="K2124" s="29">
        <v>0</v>
      </c>
    </row>
    <row r="2125" spans="1:11" x14ac:dyDescent="0.25">
      <c r="A2125" s="5" t="s">
        <v>6</v>
      </c>
      <c r="B2125" s="5" t="s">
        <v>17952</v>
      </c>
      <c r="C2125" s="1" t="s">
        <v>17953</v>
      </c>
      <c r="D2125" s="5" t="s">
        <v>17954</v>
      </c>
      <c r="E2125" s="32">
        <v>110</v>
      </c>
      <c r="F2125" s="27">
        <v>34020</v>
      </c>
      <c r="I2125" s="27">
        <v>309.27272727272725</v>
      </c>
    </row>
    <row r="2126" spans="1:11" x14ac:dyDescent="0.25">
      <c r="A2126" s="5" t="s">
        <v>6</v>
      </c>
      <c r="B2126" s="5" t="s">
        <v>17955</v>
      </c>
      <c r="C2126" s="1" t="s">
        <v>17956</v>
      </c>
      <c r="D2126" s="5" t="s">
        <v>17957</v>
      </c>
      <c r="E2126" s="32">
        <v>47</v>
      </c>
      <c r="F2126" s="27">
        <v>29751</v>
      </c>
      <c r="I2126" s="27">
        <v>633</v>
      </c>
    </row>
    <row r="2127" spans="1:11" x14ac:dyDescent="0.25">
      <c r="A2127" s="5" t="s">
        <v>6</v>
      </c>
      <c r="B2127" s="5" t="s">
        <v>17958</v>
      </c>
      <c r="C2127" s="1" t="s">
        <v>17959</v>
      </c>
      <c r="D2127" s="5" t="s">
        <v>17960</v>
      </c>
      <c r="E2127" s="32">
        <v>3932</v>
      </c>
      <c r="F2127" s="27">
        <v>2456706</v>
      </c>
      <c r="G2127" s="32">
        <v>4589</v>
      </c>
      <c r="H2127" s="27">
        <v>3056052</v>
      </c>
      <c r="I2127" s="27">
        <v>624.79806714140386</v>
      </c>
      <c r="J2127" s="27">
        <v>665.95162344737412</v>
      </c>
      <c r="K2127" s="29">
        <v>6.5866971218808856E-2</v>
      </c>
    </row>
    <row r="2128" spans="1:11" x14ac:dyDescent="0.25">
      <c r="A2128" s="5" t="s">
        <v>6</v>
      </c>
      <c r="B2128" s="5" t="s">
        <v>17961</v>
      </c>
      <c r="C2128" s="1" t="s">
        <v>17962</v>
      </c>
      <c r="D2128" s="5" t="s">
        <v>17963</v>
      </c>
      <c r="E2128" s="32">
        <v>1736</v>
      </c>
      <c r="F2128" s="27">
        <v>1352344</v>
      </c>
      <c r="G2128" s="32">
        <v>1379</v>
      </c>
      <c r="H2128" s="27">
        <v>1126034</v>
      </c>
      <c r="I2128" s="27">
        <v>779</v>
      </c>
      <c r="J2128" s="27">
        <v>816.5583756345178</v>
      </c>
      <c r="K2128" s="29">
        <v>4.8213575910805904E-2</v>
      </c>
    </row>
    <row r="2129" spans="1:11" x14ac:dyDescent="0.25">
      <c r="A2129" s="5" t="s">
        <v>6</v>
      </c>
      <c r="B2129" s="5" t="s">
        <v>10360</v>
      </c>
      <c r="C2129" s="1" t="s">
        <v>10361</v>
      </c>
      <c r="D2129" s="5" t="s">
        <v>17964</v>
      </c>
      <c r="E2129" s="32">
        <v>8734</v>
      </c>
      <c r="F2129" s="27">
        <v>3191715</v>
      </c>
      <c r="G2129" s="32">
        <v>9277</v>
      </c>
      <c r="H2129" s="27">
        <v>3616224</v>
      </c>
      <c r="I2129" s="27">
        <v>365.43565376688804</v>
      </c>
      <c r="J2129" s="27">
        <v>389.80532499730515</v>
      </c>
      <c r="K2129" s="29">
        <v>6.6686627260411108E-2</v>
      </c>
    </row>
    <row r="2130" spans="1:11" x14ac:dyDescent="0.25">
      <c r="A2130" s="5" t="s">
        <v>6</v>
      </c>
      <c r="B2130" s="5" t="s">
        <v>10363</v>
      </c>
      <c r="C2130" s="1" t="s">
        <v>10364</v>
      </c>
      <c r="D2130" s="5" t="s">
        <v>17789</v>
      </c>
      <c r="E2130" s="32">
        <v>1203</v>
      </c>
      <c r="F2130" s="27">
        <v>306311</v>
      </c>
      <c r="G2130" s="32">
        <v>1513</v>
      </c>
      <c r="H2130" s="27">
        <v>408812</v>
      </c>
      <c r="I2130" s="27">
        <v>254.62261014131337</v>
      </c>
      <c r="J2130" s="27">
        <v>270.19960343688035</v>
      </c>
      <c r="K2130" s="29">
        <v>6.1176787430314537E-2</v>
      </c>
    </row>
    <row r="2131" spans="1:11" x14ac:dyDescent="0.25">
      <c r="A2131" s="5" t="s">
        <v>6</v>
      </c>
      <c r="B2131" s="5" t="s">
        <v>17965</v>
      </c>
      <c r="C2131" s="1" t="s">
        <v>17966</v>
      </c>
      <c r="D2131" s="5" t="s">
        <v>17967</v>
      </c>
      <c r="E2131" s="32">
        <v>5712</v>
      </c>
      <c r="F2131" s="27">
        <v>6326587</v>
      </c>
      <c r="I2131" s="27">
        <v>1107.5957633053222</v>
      </c>
    </row>
    <row r="2132" spans="1:11" x14ac:dyDescent="0.25">
      <c r="A2132" s="5" t="s">
        <v>6</v>
      </c>
      <c r="B2132" s="5" t="s">
        <v>10366</v>
      </c>
      <c r="C2132" s="1" t="s">
        <v>10367</v>
      </c>
      <c r="D2132" s="5" t="s">
        <v>17968</v>
      </c>
      <c r="G2132" s="32">
        <v>272300</v>
      </c>
      <c r="H2132" s="27">
        <v>261026.5</v>
      </c>
      <c r="J2132" s="27">
        <v>0.95859897172236508</v>
      </c>
    </row>
    <row r="2133" spans="1:11" x14ac:dyDescent="0.25">
      <c r="A2133" s="5" t="s">
        <v>6</v>
      </c>
      <c r="B2133" s="5" t="s">
        <v>10369</v>
      </c>
      <c r="C2133" s="1" t="s">
        <v>10370</v>
      </c>
      <c r="D2133" s="5" t="s">
        <v>17969</v>
      </c>
      <c r="E2133" s="32">
        <v>60550</v>
      </c>
      <c r="F2133" s="27">
        <v>772500</v>
      </c>
      <c r="G2133" s="32">
        <v>79750</v>
      </c>
      <c r="H2133" s="27">
        <v>1084750</v>
      </c>
      <c r="I2133" s="27">
        <v>12.758051197357556</v>
      </c>
      <c r="J2133" s="27">
        <v>13.601880877742946</v>
      </c>
      <c r="K2133" s="29">
        <v>6.6140954236032848E-2</v>
      </c>
    </row>
    <row r="2134" spans="1:11" x14ac:dyDescent="0.25">
      <c r="A2134" s="5" t="s">
        <v>6</v>
      </c>
      <c r="B2134" s="5" t="s">
        <v>10372</v>
      </c>
      <c r="C2134" s="1" t="s">
        <v>10373</v>
      </c>
      <c r="D2134" s="5" t="s">
        <v>17970</v>
      </c>
      <c r="E2134" s="32">
        <v>94</v>
      </c>
      <c r="F2134" s="27">
        <v>54056</v>
      </c>
      <c r="G2134" s="32">
        <v>78</v>
      </c>
      <c r="H2134" s="27">
        <v>47200</v>
      </c>
      <c r="I2134" s="27">
        <v>575.063829787234</v>
      </c>
      <c r="J2134" s="27">
        <v>605.12820512820508</v>
      </c>
      <c r="K2134" s="29">
        <v>5.2280066635549835E-2</v>
      </c>
    </row>
    <row r="2135" spans="1:11" x14ac:dyDescent="0.25">
      <c r="A2135" s="5" t="s">
        <v>6</v>
      </c>
      <c r="B2135" s="5" t="s">
        <v>10375</v>
      </c>
      <c r="C2135" s="1" t="s">
        <v>10376</v>
      </c>
      <c r="D2135" s="5" t="s">
        <v>17971</v>
      </c>
      <c r="E2135" s="32">
        <v>88494</v>
      </c>
      <c r="F2135" s="27">
        <v>5088017</v>
      </c>
      <c r="G2135" s="32">
        <v>77130</v>
      </c>
      <c r="H2135" s="27">
        <v>4714555</v>
      </c>
      <c r="I2135" s="27">
        <v>57.495615521956289</v>
      </c>
      <c r="J2135" s="27">
        <v>61.124789316737974</v>
      </c>
      <c r="K2135" s="29">
        <v>6.3120879076349487E-2</v>
      </c>
    </row>
    <row r="2136" spans="1:11" x14ac:dyDescent="0.25">
      <c r="A2136" s="5" t="s">
        <v>6</v>
      </c>
      <c r="B2136" s="5" t="s">
        <v>10378</v>
      </c>
      <c r="C2136" s="1" t="s">
        <v>10379</v>
      </c>
      <c r="D2136" s="5" t="s">
        <v>17970</v>
      </c>
      <c r="G2136" s="32">
        <v>352</v>
      </c>
      <c r="H2136" s="27">
        <v>18014.32</v>
      </c>
      <c r="J2136" s="27">
        <v>51.177045454545457</v>
      </c>
    </row>
    <row r="2137" spans="1:11" x14ac:dyDescent="0.25">
      <c r="A2137" s="5" t="s">
        <v>6</v>
      </c>
      <c r="B2137" s="5" t="s">
        <v>10381</v>
      </c>
      <c r="C2137" s="1" t="s">
        <v>10382</v>
      </c>
      <c r="D2137" s="5" t="s">
        <v>17972</v>
      </c>
      <c r="E2137" s="32">
        <v>600</v>
      </c>
      <c r="F2137" s="27">
        <v>6000</v>
      </c>
      <c r="I2137" s="27">
        <v>10</v>
      </c>
    </row>
    <row r="2138" spans="1:11" x14ac:dyDescent="0.25">
      <c r="A2138" s="5" t="s">
        <v>6</v>
      </c>
      <c r="B2138" s="5" t="s">
        <v>10384</v>
      </c>
      <c r="C2138" s="1" t="s">
        <v>10385</v>
      </c>
      <c r="D2138" s="5" t="s">
        <v>17973</v>
      </c>
      <c r="E2138" s="32">
        <v>0</v>
      </c>
      <c r="F2138" s="27">
        <v>0</v>
      </c>
      <c r="G2138" s="32">
        <v>16</v>
      </c>
      <c r="H2138" s="27">
        <v>26848</v>
      </c>
      <c r="J2138" s="27">
        <v>1678</v>
      </c>
    </row>
    <row r="2139" spans="1:11" x14ac:dyDescent="0.25">
      <c r="A2139" s="5" t="s">
        <v>6</v>
      </c>
      <c r="B2139" s="5" t="s">
        <v>10393</v>
      </c>
      <c r="C2139" s="1" t="s">
        <v>10394</v>
      </c>
      <c r="D2139" s="5" t="s">
        <v>17789</v>
      </c>
      <c r="E2139" s="32">
        <v>1702</v>
      </c>
      <c r="F2139" s="27">
        <v>392047</v>
      </c>
      <c r="G2139" s="32">
        <v>1811</v>
      </c>
      <c r="H2139" s="27">
        <v>447245</v>
      </c>
      <c r="I2139" s="27">
        <v>230.34488836662749</v>
      </c>
      <c r="J2139" s="27">
        <v>246.96024295969079</v>
      </c>
      <c r="K2139" s="29">
        <v>7.2132508391579933E-2</v>
      </c>
    </row>
    <row r="2140" spans="1:11" x14ac:dyDescent="0.25">
      <c r="A2140" s="5" t="s">
        <v>6</v>
      </c>
      <c r="B2140" s="5" t="s">
        <v>10401</v>
      </c>
      <c r="C2140" s="1" t="s">
        <v>10402</v>
      </c>
      <c r="D2140" s="5" t="s">
        <v>17789</v>
      </c>
      <c r="E2140" s="32">
        <v>516</v>
      </c>
      <c r="F2140" s="27">
        <v>143146</v>
      </c>
      <c r="G2140" s="32">
        <v>43</v>
      </c>
      <c r="H2140" s="27">
        <v>12468</v>
      </c>
      <c r="I2140" s="27">
        <v>277.41472868217056</v>
      </c>
      <c r="J2140" s="27">
        <v>289.95348837209303</v>
      </c>
      <c r="K2140" s="29">
        <v>4.519860841378729E-2</v>
      </c>
    </row>
    <row r="2141" spans="1:11" x14ac:dyDescent="0.25">
      <c r="A2141" s="5" t="s">
        <v>6</v>
      </c>
      <c r="B2141" s="5" t="s">
        <v>10404</v>
      </c>
      <c r="C2141" s="1" t="s">
        <v>10405</v>
      </c>
      <c r="D2141" s="5" t="s">
        <v>17974</v>
      </c>
      <c r="E2141" s="32">
        <v>377</v>
      </c>
      <c r="F2141" s="27">
        <v>230991</v>
      </c>
      <c r="G2141" s="32">
        <v>321</v>
      </c>
      <c r="H2141" s="27">
        <v>216912</v>
      </c>
      <c r="I2141" s="27">
        <v>612.70822281167113</v>
      </c>
      <c r="J2141" s="27">
        <v>675.73831775700933</v>
      </c>
      <c r="K2141" s="29">
        <v>0.10287130578417555</v>
      </c>
    </row>
    <row r="2142" spans="1:11" x14ac:dyDescent="0.25">
      <c r="A2142" s="5" t="s">
        <v>6</v>
      </c>
      <c r="B2142" s="5" t="s">
        <v>10407</v>
      </c>
      <c r="C2142" s="1" t="s">
        <v>10408</v>
      </c>
      <c r="D2142" s="5" t="s">
        <v>17975</v>
      </c>
      <c r="E2142" s="32">
        <v>18025</v>
      </c>
      <c r="F2142" s="27">
        <v>1190850</v>
      </c>
      <c r="G2142" s="32">
        <v>14600</v>
      </c>
      <c r="H2142" s="27">
        <v>1025700</v>
      </c>
      <c r="I2142" s="27">
        <v>66.06657420249654</v>
      </c>
      <c r="J2142" s="27">
        <v>70.253424657534254</v>
      </c>
      <c r="K2142" s="29">
        <v>6.3373203553810126E-2</v>
      </c>
    </row>
    <row r="2143" spans="1:11" x14ac:dyDescent="0.25">
      <c r="A2143" s="5" t="s">
        <v>6</v>
      </c>
      <c r="B2143" s="5" t="s">
        <v>10416</v>
      </c>
      <c r="C2143" s="1" t="s">
        <v>10417</v>
      </c>
      <c r="D2143" s="5" t="s">
        <v>17976</v>
      </c>
      <c r="E2143" s="32">
        <v>208</v>
      </c>
      <c r="F2143" s="27">
        <v>73904</v>
      </c>
      <c r="G2143" s="32">
        <v>330</v>
      </c>
      <c r="H2143" s="27">
        <v>124027</v>
      </c>
      <c r="I2143" s="27">
        <v>355.30769230769232</v>
      </c>
      <c r="J2143" s="27">
        <v>375.83939393939391</v>
      </c>
      <c r="K2143" s="29">
        <v>5.7785694135553303E-2</v>
      </c>
    </row>
    <row r="2144" spans="1:11" x14ac:dyDescent="0.25">
      <c r="A2144" s="5" t="s">
        <v>6</v>
      </c>
      <c r="B2144" s="5" t="s">
        <v>10428</v>
      </c>
      <c r="C2144" s="1" t="s">
        <v>10429</v>
      </c>
      <c r="D2144" s="5" t="s">
        <v>17977</v>
      </c>
      <c r="E2144" s="32">
        <v>9042</v>
      </c>
      <c r="F2144" s="27">
        <v>240894</v>
      </c>
      <c r="G2144" s="32">
        <v>9897</v>
      </c>
      <c r="H2144" s="27">
        <v>280151</v>
      </c>
      <c r="I2144" s="27">
        <v>26.641672196416721</v>
      </c>
      <c r="J2144" s="27">
        <v>28.306658583409114</v>
      </c>
      <c r="K2144" s="29">
        <v>6.249556614604438E-2</v>
      </c>
    </row>
    <row r="2145" spans="1:11" x14ac:dyDescent="0.25">
      <c r="A2145" s="5" t="s">
        <v>6</v>
      </c>
      <c r="B2145" s="5" t="s">
        <v>10434</v>
      </c>
      <c r="C2145" s="1" t="s">
        <v>10435</v>
      </c>
      <c r="D2145" s="5" t="s">
        <v>17978</v>
      </c>
      <c r="G2145" s="32">
        <v>130000</v>
      </c>
      <c r="H2145" s="27">
        <v>44200</v>
      </c>
      <c r="J2145" s="27">
        <v>0.34</v>
      </c>
    </row>
    <row r="2146" spans="1:11" x14ac:dyDescent="0.25">
      <c r="A2146" s="5" t="s">
        <v>6</v>
      </c>
      <c r="B2146" s="5" t="s">
        <v>17979</v>
      </c>
      <c r="C2146" s="1" t="s">
        <v>17980</v>
      </c>
      <c r="D2146" s="5" t="s">
        <v>17789</v>
      </c>
      <c r="E2146" s="32">
        <v>53</v>
      </c>
      <c r="F2146" s="27">
        <v>37036</v>
      </c>
      <c r="I2146" s="27">
        <v>698.79245283018872</v>
      </c>
    </row>
    <row r="2147" spans="1:11" x14ac:dyDescent="0.25">
      <c r="A2147" s="5" t="s">
        <v>6</v>
      </c>
      <c r="B2147" s="5" t="s">
        <v>17981</v>
      </c>
      <c r="C2147" s="1" t="s">
        <v>17982</v>
      </c>
      <c r="D2147" s="5" t="s">
        <v>17789</v>
      </c>
      <c r="E2147" s="32">
        <v>3421</v>
      </c>
      <c r="F2147" s="27">
        <v>2136893</v>
      </c>
      <c r="I2147" s="27">
        <v>624.63987138263667</v>
      </c>
    </row>
    <row r="2148" spans="1:11" x14ac:dyDescent="0.25">
      <c r="A2148" s="5" t="s">
        <v>6</v>
      </c>
      <c r="B2148" s="5" t="s">
        <v>10437</v>
      </c>
      <c r="C2148" s="1" t="s">
        <v>10438</v>
      </c>
      <c r="D2148" s="5" t="s">
        <v>17789</v>
      </c>
      <c r="E2148" s="32">
        <v>954</v>
      </c>
      <c r="F2148" s="27">
        <v>110963.5</v>
      </c>
      <c r="G2148" s="32">
        <v>881</v>
      </c>
      <c r="H2148" s="27">
        <v>108369</v>
      </c>
      <c r="I2148" s="27">
        <v>116.31394129979036</v>
      </c>
      <c r="J2148" s="27">
        <v>123.00681044267877</v>
      </c>
      <c r="K2148" s="29">
        <v>5.7541418234965058E-2</v>
      </c>
    </row>
    <row r="2149" spans="1:11" x14ac:dyDescent="0.25">
      <c r="A2149" s="5" t="s">
        <v>6</v>
      </c>
      <c r="B2149" s="5" t="s">
        <v>17983</v>
      </c>
      <c r="C2149" s="1" t="s">
        <v>17984</v>
      </c>
      <c r="D2149" s="5" t="s">
        <v>17789</v>
      </c>
      <c r="E2149" s="32">
        <v>785</v>
      </c>
      <c r="F2149" s="27">
        <v>1114036</v>
      </c>
      <c r="I2149" s="27">
        <v>1419.1541401273885</v>
      </c>
    </row>
    <row r="2150" spans="1:11" x14ac:dyDescent="0.25">
      <c r="A2150" s="5" t="s">
        <v>6</v>
      </c>
      <c r="B2150" s="5" t="s">
        <v>10440</v>
      </c>
      <c r="C2150" s="1" t="s">
        <v>10441</v>
      </c>
      <c r="D2150" s="5" t="s">
        <v>17789</v>
      </c>
      <c r="E2150" s="32">
        <v>1467</v>
      </c>
      <c r="F2150" s="27">
        <v>146700.35999999999</v>
      </c>
      <c r="G2150" s="32">
        <v>1626</v>
      </c>
      <c r="H2150" s="27">
        <v>173218</v>
      </c>
      <c r="I2150" s="27">
        <v>100.000245398773</v>
      </c>
      <c r="J2150" s="27">
        <v>106.53013530135301</v>
      </c>
      <c r="K2150" s="29">
        <v>6.5298738783496332E-2</v>
      </c>
    </row>
    <row r="2151" spans="1:11" x14ac:dyDescent="0.25">
      <c r="A2151" s="5" t="s">
        <v>6</v>
      </c>
      <c r="B2151" s="5" t="s">
        <v>10443</v>
      </c>
      <c r="C2151" s="1" t="s">
        <v>10444</v>
      </c>
      <c r="D2151" s="5" t="s">
        <v>17985</v>
      </c>
      <c r="E2151" s="32">
        <v>18570</v>
      </c>
      <c r="F2151" s="27">
        <v>1661030</v>
      </c>
      <c r="G2151" s="32">
        <v>17040</v>
      </c>
      <c r="H2151" s="27">
        <v>1631056</v>
      </c>
      <c r="I2151" s="27">
        <v>89.446957458266027</v>
      </c>
      <c r="J2151" s="27">
        <v>95.719248826291079</v>
      </c>
      <c r="K2151" s="29">
        <v>7.0123026498151872E-2</v>
      </c>
    </row>
    <row r="2152" spans="1:11" x14ac:dyDescent="0.25">
      <c r="A2152" s="5" t="s">
        <v>6</v>
      </c>
      <c r="B2152" s="5" t="s">
        <v>10449</v>
      </c>
      <c r="C2152" s="1" t="s">
        <v>10450</v>
      </c>
      <c r="D2152" s="5" t="s">
        <v>17789</v>
      </c>
      <c r="E2152" s="32">
        <v>38</v>
      </c>
      <c r="F2152" s="27">
        <v>134406</v>
      </c>
      <c r="G2152" s="32">
        <v>10</v>
      </c>
      <c r="H2152" s="27">
        <v>37917</v>
      </c>
      <c r="I2152" s="27">
        <v>3537</v>
      </c>
      <c r="J2152" s="27">
        <v>3791.7</v>
      </c>
      <c r="K2152" s="29">
        <v>7.2010178117048296E-2</v>
      </c>
    </row>
    <row r="2153" spans="1:11" x14ac:dyDescent="0.25">
      <c r="A2153" s="5" t="s">
        <v>6</v>
      </c>
      <c r="B2153" s="5" t="s">
        <v>10452</v>
      </c>
      <c r="C2153" s="1" t="s">
        <v>10453</v>
      </c>
      <c r="D2153" s="5" t="s">
        <v>17986</v>
      </c>
      <c r="E2153" s="32">
        <v>58016</v>
      </c>
      <c r="F2153" s="27">
        <v>5086144</v>
      </c>
      <c r="G2153" s="32">
        <v>60660</v>
      </c>
      <c r="H2153" s="27">
        <v>5676080</v>
      </c>
      <c r="I2153" s="27">
        <v>87.667953667953668</v>
      </c>
      <c r="J2153" s="27">
        <v>93.572040883613582</v>
      </c>
      <c r="K2153" s="29">
        <v>6.7346013778557104E-2</v>
      </c>
    </row>
    <row r="2154" spans="1:11" x14ac:dyDescent="0.25">
      <c r="A2154" s="5" t="s">
        <v>6</v>
      </c>
      <c r="B2154" s="5" t="s">
        <v>10458</v>
      </c>
      <c r="C2154" s="1" t="s">
        <v>10459</v>
      </c>
      <c r="D2154" s="5" t="s">
        <v>17985</v>
      </c>
      <c r="E2154" s="32">
        <v>644</v>
      </c>
      <c r="F2154" s="27">
        <v>7710</v>
      </c>
      <c r="G2154" s="32">
        <v>2432</v>
      </c>
      <c r="H2154" s="27">
        <v>31418</v>
      </c>
      <c r="I2154" s="27">
        <v>11.972049689440993</v>
      </c>
      <c r="J2154" s="27">
        <v>12.918585526315789</v>
      </c>
      <c r="K2154" s="29">
        <v>7.9062137347259226E-2</v>
      </c>
    </row>
    <row r="2155" spans="1:11" x14ac:dyDescent="0.25">
      <c r="A2155" s="5" t="s">
        <v>6</v>
      </c>
      <c r="B2155" s="5" t="s">
        <v>10460</v>
      </c>
      <c r="C2155" s="1" t="s">
        <v>10461</v>
      </c>
      <c r="D2155" s="5" t="s">
        <v>17987</v>
      </c>
      <c r="G2155" s="32">
        <v>6321</v>
      </c>
      <c r="H2155" s="27">
        <v>38431.68</v>
      </c>
      <c r="J2155" s="27">
        <v>6.08</v>
      </c>
    </row>
    <row r="2156" spans="1:11" x14ac:dyDescent="0.25">
      <c r="A2156" s="5" t="s">
        <v>6</v>
      </c>
      <c r="B2156" s="5" t="s">
        <v>10463</v>
      </c>
      <c r="C2156" s="1" t="s">
        <v>10464</v>
      </c>
      <c r="D2156" s="5" t="s">
        <v>17988</v>
      </c>
      <c r="E2156" s="32">
        <v>860</v>
      </c>
      <c r="F2156" s="27">
        <v>60660</v>
      </c>
      <c r="I2156" s="27">
        <v>70.534883720930239</v>
      </c>
    </row>
    <row r="2157" spans="1:11" x14ac:dyDescent="0.25">
      <c r="A2157" s="5" t="s">
        <v>6</v>
      </c>
      <c r="B2157" s="5" t="s">
        <v>10466</v>
      </c>
      <c r="C2157" s="1" t="s">
        <v>10467</v>
      </c>
      <c r="D2157" s="5" t="s">
        <v>17989</v>
      </c>
      <c r="E2157" s="32">
        <v>36</v>
      </c>
      <c r="F2157" s="27">
        <v>7956</v>
      </c>
      <c r="G2157" s="32">
        <v>12</v>
      </c>
      <c r="H2157" s="27">
        <v>2814</v>
      </c>
      <c r="I2157" s="27">
        <v>221</v>
      </c>
      <c r="J2157" s="27">
        <v>234.5</v>
      </c>
      <c r="K2157" s="29">
        <v>6.1085972850678731E-2</v>
      </c>
    </row>
    <row r="2158" spans="1:11" x14ac:dyDescent="0.25">
      <c r="A2158" s="5" t="s">
        <v>6</v>
      </c>
      <c r="B2158" s="5" t="s">
        <v>10469</v>
      </c>
      <c r="C2158" s="1" t="s">
        <v>10470</v>
      </c>
      <c r="D2158" s="5" t="s">
        <v>17990</v>
      </c>
      <c r="E2158" s="32">
        <v>1481</v>
      </c>
      <c r="F2158" s="27">
        <v>110737</v>
      </c>
      <c r="I2158" s="27">
        <v>74.771775827143827</v>
      </c>
    </row>
    <row r="2159" spans="1:11" x14ac:dyDescent="0.25">
      <c r="A2159" s="5" t="s">
        <v>6</v>
      </c>
      <c r="B2159" s="5" t="s">
        <v>10475</v>
      </c>
      <c r="C2159" s="1" t="s">
        <v>10476</v>
      </c>
      <c r="D2159" s="5" t="s">
        <v>17991</v>
      </c>
      <c r="E2159" s="32">
        <v>56</v>
      </c>
      <c r="F2159" s="27">
        <v>130234</v>
      </c>
      <c r="G2159" s="32">
        <v>67</v>
      </c>
      <c r="H2159" s="27">
        <v>166369</v>
      </c>
      <c r="I2159" s="27">
        <v>2325.6071428571427</v>
      </c>
      <c r="J2159" s="27">
        <v>2483.1194029850744</v>
      </c>
      <c r="K2159" s="29">
        <v>6.7729521992445751E-2</v>
      </c>
    </row>
    <row r="2160" spans="1:11" x14ac:dyDescent="0.25">
      <c r="A2160" s="5" t="s">
        <v>6</v>
      </c>
      <c r="B2160" s="5" t="s">
        <v>10481</v>
      </c>
      <c r="C2160" s="1" t="s">
        <v>10482</v>
      </c>
      <c r="D2160" s="5" t="s">
        <v>17789</v>
      </c>
      <c r="E2160" s="32">
        <v>1</v>
      </c>
      <c r="F2160" s="27">
        <v>271</v>
      </c>
      <c r="I2160" s="27">
        <v>271</v>
      </c>
    </row>
    <row r="2161" spans="1:11" x14ac:dyDescent="0.25">
      <c r="A2161" s="5" t="s">
        <v>6</v>
      </c>
      <c r="B2161" s="5" t="s">
        <v>10484</v>
      </c>
      <c r="C2161" s="1" t="s">
        <v>10485</v>
      </c>
      <c r="D2161" s="5" t="s">
        <v>17992</v>
      </c>
      <c r="E2161" s="32">
        <v>17739</v>
      </c>
      <c r="F2161" s="27">
        <v>4765571</v>
      </c>
      <c r="G2161" s="32">
        <v>19851</v>
      </c>
      <c r="H2161" s="27">
        <v>5719667</v>
      </c>
      <c r="I2161" s="27">
        <v>268.64936016686397</v>
      </c>
      <c r="J2161" s="27">
        <v>288.12991788826758</v>
      </c>
      <c r="K2161" s="29">
        <v>7.2512950372574173E-2</v>
      </c>
    </row>
    <row r="2162" spans="1:11" x14ac:dyDescent="0.25">
      <c r="A2162" s="5" t="s">
        <v>6</v>
      </c>
      <c r="B2162" s="5" t="s">
        <v>10487</v>
      </c>
      <c r="C2162" s="1" t="s">
        <v>10488</v>
      </c>
      <c r="D2162" s="5" t="s">
        <v>17993</v>
      </c>
      <c r="E2162" s="32">
        <v>178</v>
      </c>
      <c r="F2162" s="27">
        <v>32407</v>
      </c>
      <c r="I2162" s="27">
        <v>182.06179775280899</v>
      </c>
    </row>
    <row r="2163" spans="1:11" x14ac:dyDescent="0.25">
      <c r="A2163" s="5" t="s">
        <v>6</v>
      </c>
      <c r="B2163" s="5" t="s">
        <v>10499</v>
      </c>
      <c r="C2163" s="1" t="s">
        <v>10500</v>
      </c>
      <c r="D2163" s="5" t="s">
        <v>17994</v>
      </c>
      <c r="E2163" s="32">
        <v>1272</v>
      </c>
      <c r="F2163" s="27">
        <v>32640</v>
      </c>
      <c r="G2163" s="32">
        <v>996</v>
      </c>
      <c r="H2163" s="27">
        <v>27216</v>
      </c>
      <c r="I2163" s="27">
        <v>25.660377358490567</v>
      </c>
      <c r="J2163" s="27">
        <v>27.325301204819276</v>
      </c>
      <c r="K2163" s="29">
        <v>6.4883061658398189E-2</v>
      </c>
    </row>
    <row r="2164" spans="1:11" x14ac:dyDescent="0.25">
      <c r="A2164" s="5" t="s">
        <v>6</v>
      </c>
      <c r="B2164" s="5" t="s">
        <v>10502</v>
      </c>
      <c r="C2164" s="1" t="s">
        <v>10503</v>
      </c>
      <c r="D2164" s="5" t="s">
        <v>17995</v>
      </c>
      <c r="E2164" s="32">
        <v>3880</v>
      </c>
      <c r="F2164" s="27">
        <v>208812</v>
      </c>
      <c r="G2164" s="32">
        <v>2169</v>
      </c>
      <c r="H2164" s="27">
        <v>125010</v>
      </c>
      <c r="I2164" s="27">
        <v>53.817525773195875</v>
      </c>
      <c r="J2164" s="27">
        <v>57.634854771784234</v>
      </c>
      <c r="K2164" s="29">
        <v>7.0930964286165701E-2</v>
      </c>
    </row>
    <row r="2165" spans="1:11" x14ac:dyDescent="0.25">
      <c r="A2165" s="5" t="s">
        <v>6</v>
      </c>
      <c r="B2165" s="5" t="s">
        <v>10505</v>
      </c>
      <c r="C2165" s="1" t="s">
        <v>10506</v>
      </c>
      <c r="D2165" s="5" t="s">
        <v>17789</v>
      </c>
      <c r="E2165" s="32">
        <v>6</v>
      </c>
      <c r="F2165" s="27">
        <v>1800</v>
      </c>
      <c r="G2165" s="32">
        <v>5</v>
      </c>
      <c r="H2165" s="27">
        <v>1620</v>
      </c>
      <c r="I2165" s="27">
        <v>300</v>
      </c>
      <c r="J2165" s="27">
        <v>324</v>
      </c>
      <c r="K2165" s="29">
        <v>0.08</v>
      </c>
    </row>
    <row r="2166" spans="1:11" x14ac:dyDescent="0.25">
      <c r="A2166" s="5" t="s">
        <v>6</v>
      </c>
      <c r="B2166" s="5" t="s">
        <v>10514</v>
      </c>
      <c r="C2166" s="1" t="s">
        <v>10515</v>
      </c>
      <c r="D2166" s="5" t="s">
        <v>17996</v>
      </c>
      <c r="E2166" s="32">
        <v>3</v>
      </c>
      <c r="F2166" s="27">
        <v>1470</v>
      </c>
      <c r="I2166" s="27">
        <v>490</v>
      </c>
    </row>
    <row r="2167" spans="1:11" x14ac:dyDescent="0.25">
      <c r="A2167" s="5" t="s">
        <v>6</v>
      </c>
      <c r="B2167" s="5" t="s">
        <v>10517</v>
      </c>
      <c r="C2167" s="1" t="s">
        <v>10518</v>
      </c>
      <c r="D2167" s="5" t="s">
        <v>17997</v>
      </c>
      <c r="G2167" s="32">
        <v>1213005</v>
      </c>
      <c r="H2167" s="27">
        <v>119045.46</v>
      </c>
      <c r="J2167" s="27">
        <v>9.8140947481667434E-2</v>
      </c>
    </row>
    <row r="2168" spans="1:11" x14ac:dyDescent="0.25">
      <c r="A2168" s="5" t="s">
        <v>6</v>
      </c>
      <c r="B2168" s="5" t="s">
        <v>10520</v>
      </c>
      <c r="C2168" s="1" t="s">
        <v>10521</v>
      </c>
      <c r="D2168" s="5" t="s">
        <v>17997</v>
      </c>
      <c r="G2168" s="32">
        <v>28201</v>
      </c>
      <c r="H2168" s="27">
        <v>33277.18</v>
      </c>
      <c r="J2168" s="27">
        <v>1.18</v>
      </c>
    </row>
    <row r="2169" spans="1:11" x14ac:dyDescent="0.25">
      <c r="A2169" s="5" t="s">
        <v>6</v>
      </c>
      <c r="B2169" s="5" t="s">
        <v>17998</v>
      </c>
      <c r="C2169" s="1" t="s">
        <v>17999</v>
      </c>
      <c r="D2169" s="5" t="s">
        <v>18000</v>
      </c>
      <c r="E2169" s="32">
        <v>3962</v>
      </c>
      <c r="F2169" s="27">
        <v>168503</v>
      </c>
      <c r="I2169" s="27">
        <v>42.529782937910149</v>
      </c>
    </row>
    <row r="2170" spans="1:11" x14ac:dyDescent="0.25">
      <c r="A2170" s="5" t="s">
        <v>6</v>
      </c>
      <c r="B2170" s="5" t="s">
        <v>10523</v>
      </c>
      <c r="C2170" s="1" t="s">
        <v>10524</v>
      </c>
      <c r="D2170" s="5" t="s">
        <v>18001</v>
      </c>
      <c r="E2170" s="32">
        <v>1597</v>
      </c>
      <c r="F2170" s="27">
        <v>172138</v>
      </c>
      <c r="G2170" s="32">
        <v>1316</v>
      </c>
      <c r="H2170" s="27">
        <v>149852</v>
      </c>
      <c r="I2170" s="27">
        <v>107.78835316217909</v>
      </c>
      <c r="J2170" s="27">
        <v>113.8693009118541</v>
      </c>
      <c r="K2170" s="29">
        <v>5.6415629066394302E-2</v>
      </c>
    </row>
    <row r="2171" spans="1:11" x14ac:dyDescent="0.25">
      <c r="A2171" s="5" t="s">
        <v>6</v>
      </c>
      <c r="B2171" s="5" t="s">
        <v>10532</v>
      </c>
      <c r="C2171" s="1" t="s">
        <v>10533</v>
      </c>
      <c r="D2171" s="5" t="s">
        <v>18002</v>
      </c>
      <c r="E2171" s="32">
        <v>3230</v>
      </c>
      <c r="F2171" s="27">
        <v>66610</v>
      </c>
      <c r="G2171" s="32">
        <v>3041</v>
      </c>
      <c r="H2171" s="27">
        <v>68383</v>
      </c>
      <c r="I2171" s="27">
        <v>20.622291021671828</v>
      </c>
      <c r="J2171" s="27">
        <v>22.487010851693523</v>
      </c>
      <c r="K2171" s="29">
        <v>9.0422534919232467E-2</v>
      </c>
    </row>
    <row r="2172" spans="1:11" x14ac:dyDescent="0.25">
      <c r="A2172" s="5" t="s">
        <v>6</v>
      </c>
      <c r="B2172" s="5" t="s">
        <v>10547</v>
      </c>
      <c r="C2172" s="1" t="s">
        <v>10548</v>
      </c>
      <c r="D2172" s="5" t="s">
        <v>18003</v>
      </c>
      <c r="E2172" s="32">
        <v>475</v>
      </c>
      <c r="F2172" s="27">
        <v>45587</v>
      </c>
      <c r="G2172" s="32">
        <v>1170</v>
      </c>
      <c r="H2172" s="27">
        <v>118650</v>
      </c>
      <c r="I2172" s="27">
        <v>95.972631578947372</v>
      </c>
      <c r="J2172" s="27">
        <v>101.41025641025641</v>
      </c>
      <c r="K2172" s="29">
        <v>5.6658077848329408E-2</v>
      </c>
    </row>
    <row r="2173" spans="1:11" x14ac:dyDescent="0.25">
      <c r="A2173" s="5" t="s">
        <v>6</v>
      </c>
      <c r="B2173" s="5" t="s">
        <v>10550</v>
      </c>
      <c r="C2173" s="1" t="s">
        <v>10551</v>
      </c>
      <c r="D2173" s="5" t="s">
        <v>18003</v>
      </c>
      <c r="E2173" s="32">
        <v>83271</v>
      </c>
      <c r="F2173" s="27">
        <v>6810126</v>
      </c>
      <c r="G2173" s="32">
        <v>80820</v>
      </c>
      <c r="H2173" s="27">
        <v>7082280</v>
      </c>
      <c r="I2173" s="27">
        <v>81.78268544871564</v>
      </c>
      <c r="J2173" s="27">
        <v>87.630289532293986</v>
      </c>
      <c r="K2173" s="29">
        <v>7.1501737213621672E-2</v>
      </c>
    </row>
    <row r="2174" spans="1:11" x14ac:dyDescent="0.25">
      <c r="A2174" s="5" t="s">
        <v>6</v>
      </c>
      <c r="B2174" s="5" t="s">
        <v>10552</v>
      </c>
      <c r="C2174" s="1" t="s">
        <v>10553</v>
      </c>
      <c r="D2174" s="5" t="s">
        <v>18004</v>
      </c>
      <c r="E2174" s="32">
        <v>16</v>
      </c>
      <c r="F2174" s="27">
        <v>5862</v>
      </c>
      <c r="G2174" s="32">
        <v>8</v>
      </c>
      <c r="H2174" s="27">
        <v>3170</v>
      </c>
      <c r="I2174" s="27">
        <v>366.375</v>
      </c>
      <c r="J2174" s="27">
        <v>396.25</v>
      </c>
      <c r="K2174" s="29">
        <v>8.1542135789832826E-2</v>
      </c>
    </row>
    <row r="2175" spans="1:11" x14ac:dyDescent="0.25">
      <c r="A2175" s="5" t="s">
        <v>6</v>
      </c>
      <c r="B2175" s="5" t="s">
        <v>10558</v>
      </c>
      <c r="C2175" s="1" t="s">
        <v>10559</v>
      </c>
      <c r="D2175" s="5" t="s">
        <v>17789</v>
      </c>
      <c r="E2175" s="32">
        <v>334</v>
      </c>
      <c r="F2175" s="27">
        <v>102108</v>
      </c>
      <c r="G2175" s="32">
        <v>895</v>
      </c>
      <c r="H2175" s="27">
        <v>288102</v>
      </c>
      <c r="I2175" s="27">
        <v>305.7125748502994</v>
      </c>
      <c r="J2175" s="27">
        <v>321.90167597765361</v>
      </c>
      <c r="K2175" s="29">
        <v>5.2955300040509114E-2</v>
      </c>
    </row>
    <row r="2176" spans="1:11" x14ac:dyDescent="0.25">
      <c r="A2176" s="5" t="s">
        <v>6</v>
      </c>
      <c r="B2176" s="5" t="s">
        <v>10564</v>
      </c>
      <c r="C2176" s="1" t="s">
        <v>10565</v>
      </c>
      <c r="D2176" s="5" t="s">
        <v>17789</v>
      </c>
      <c r="E2176" s="32">
        <v>630</v>
      </c>
      <c r="F2176" s="27">
        <v>194640</v>
      </c>
      <c r="G2176" s="32">
        <v>671</v>
      </c>
      <c r="H2176" s="27">
        <v>220648</v>
      </c>
      <c r="I2176" s="27">
        <v>308.95238095238096</v>
      </c>
      <c r="J2176" s="27">
        <v>328.8345752608048</v>
      </c>
      <c r="K2176" s="29">
        <v>6.4353588236267037E-2</v>
      </c>
    </row>
    <row r="2177" spans="1:11" x14ac:dyDescent="0.25">
      <c r="A2177" s="5" t="s">
        <v>6</v>
      </c>
      <c r="B2177" s="5" t="s">
        <v>10570</v>
      </c>
      <c r="C2177" s="1" t="s">
        <v>10571</v>
      </c>
      <c r="D2177" s="5" t="s">
        <v>17789</v>
      </c>
      <c r="E2177" s="32">
        <v>1994</v>
      </c>
      <c r="F2177" s="27">
        <v>74734</v>
      </c>
      <c r="G2177" s="32">
        <v>2113</v>
      </c>
      <c r="H2177" s="27">
        <v>84377</v>
      </c>
      <c r="I2177" s="27">
        <v>37.479438314944836</v>
      </c>
      <c r="J2177" s="27">
        <v>39.932323710364408</v>
      </c>
      <c r="K2177" s="29">
        <v>6.5446162101140376E-2</v>
      </c>
    </row>
    <row r="2178" spans="1:11" x14ac:dyDescent="0.25">
      <c r="A2178" s="5" t="s">
        <v>6</v>
      </c>
      <c r="B2178" s="5" t="s">
        <v>10579</v>
      </c>
      <c r="C2178" s="1" t="s">
        <v>10580</v>
      </c>
      <c r="D2178" s="5" t="s">
        <v>18005</v>
      </c>
      <c r="E2178" s="32">
        <v>7</v>
      </c>
      <c r="F2178" s="27">
        <v>4410</v>
      </c>
      <c r="I2178" s="27">
        <v>630</v>
      </c>
    </row>
    <row r="2179" spans="1:11" x14ac:dyDescent="0.25">
      <c r="A2179" s="5" t="s">
        <v>6</v>
      </c>
      <c r="B2179" s="5" t="s">
        <v>10585</v>
      </c>
      <c r="C2179" s="1" t="s">
        <v>10586</v>
      </c>
      <c r="D2179" s="5" t="s">
        <v>18006</v>
      </c>
      <c r="E2179" s="32">
        <v>367</v>
      </c>
      <c r="F2179" s="27">
        <v>83553</v>
      </c>
      <c r="G2179" s="32">
        <v>431</v>
      </c>
      <c r="H2179" s="27">
        <v>105141</v>
      </c>
      <c r="I2179" s="27">
        <v>227.66485013623978</v>
      </c>
      <c r="J2179" s="27">
        <v>243.94663573085847</v>
      </c>
      <c r="K2179" s="29">
        <v>7.151646635339319E-2</v>
      </c>
    </row>
    <row r="2180" spans="1:11" x14ac:dyDescent="0.25">
      <c r="A2180" s="5" t="s">
        <v>6</v>
      </c>
      <c r="B2180" s="5" t="s">
        <v>10591</v>
      </c>
      <c r="C2180" s="1" t="s">
        <v>10592</v>
      </c>
      <c r="D2180" s="5" t="s">
        <v>18007</v>
      </c>
      <c r="E2180" s="32">
        <v>213</v>
      </c>
      <c r="F2180" s="27">
        <v>44757</v>
      </c>
      <c r="G2180" s="32">
        <v>215</v>
      </c>
      <c r="H2180" s="27">
        <v>47886</v>
      </c>
      <c r="I2180" s="27">
        <v>210.12676056338029</v>
      </c>
      <c r="J2180" s="27">
        <v>222.72558139534883</v>
      </c>
      <c r="K2180" s="29">
        <v>5.9958192846019588E-2</v>
      </c>
    </row>
    <row r="2181" spans="1:11" x14ac:dyDescent="0.25">
      <c r="A2181" s="5" t="s">
        <v>6</v>
      </c>
      <c r="B2181" s="5" t="s">
        <v>10594</v>
      </c>
      <c r="C2181" s="1" t="s">
        <v>10595</v>
      </c>
      <c r="D2181" s="5" t="s">
        <v>18008</v>
      </c>
      <c r="E2181" s="32">
        <v>5</v>
      </c>
      <c r="F2181" s="27">
        <v>1585</v>
      </c>
      <c r="I2181" s="27">
        <v>317</v>
      </c>
    </row>
    <row r="2182" spans="1:11" x14ac:dyDescent="0.25">
      <c r="A2182" s="5" t="s">
        <v>6</v>
      </c>
      <c r="B2182" s="5" t="s">
        <v>10597</v>
      </c>
      <c r="C2182" s="1" t="s">
        <v>10598</v>
      </c>
      <c r="D2182" s="5" t="s">
        <v>18009</v>
      </c>
      <c r="E2182" s="32">
        <v>465331</v>
      </c>
      <c r="F2182" s="27">
        <v>5958852</v>
      </c>
      <c r="G2182" s="32">
        <v>476872</v>
      </c>
      <c r="H2182" s="27">
        <v>6516288</v>
      </c>
      <c r="I2182" s="27">
        <v>12.805620085487535</v>
      </c>
      <c r="J2182" s="27">
        <v>13.664647955845593</v>
      </c>
      <c r="K2182" s="29">
        <v>6.708209868974524E-2</v>
      </c>
    </row>
    <row r="2183" spans="1:11" x14ac:dyDescent="0.25">
      <c r="A2183" s="5" t="s">
        <v>6</v>
      </c>
      <c r="B2183" s="5" t="s">
        <v>10600</v>
      </c>
      <c r="C2183" s="1" t="s">
        <v>10601</v>
      </c>
      <c r="D2183" s="5" t="s">
        <v>18010</v>
      </c>
      <c r="E2183" s="32">
        <v>4305</v>
      </c>
      <c r="F2183" s="27">
        <v>55355</v>
      </c>
      <c r="G2183" s="32">
        <v>3296</v>
      </c>
      <c r="H2183" s="27">
        <v>45044</v>
      </c>
      <c r="I2183" s="27">
        <v>12.858304297328688</v>
      </c>
      <c r="J2183" s="27">
        <v>13.666262135922331</v>
      </c>
      <c r="K2183" s="29">
        <v>6.2835489028012489E-2</v>
      </c>
    </row>
    <row r="2184" spans="1:11" x14ac:dyDescent="0.25">
      <c r="A2184" s="5" t="s">
        <v>6</v>
      </c>
      <c r="B2184" s="5" t="s">
        <v>10603</v>
      </c>
      <c r="C2184" s="1" t="s">
        <v>10604</v>
      </c>
      <c r="D2184" s="5" t="s">
        <v>18011</v>
      </c>
      <c r="E2184" s="32">
        <v>34000</v>
      </c>
      <c r="F2184" s="27">
        <v>102000</v>
      </c>
      <c r="I2184" s="27">
        <v>3</v>
      </c>
    </row>
    <row r="2185" spans="1:11" x14ac:dyDescent="0.25">
      <c r="A2185" s="5" t="s">
        <v>6</v>
      </c>
      <c r="B2185" s="5" t="s">
        <v>10611</v>
      </c>
      <c r="C2185" s="1" t="s">
        <v>10612</v>
      </c>
      <c r="D2185" s="5" t="s">
        <v>18012</v>
      </c>
      <c r="E2185" s="32">
        <v>41</v>
      </c>
      <c r="F2185" s="27">
        <v>6425</v>
      </c>
      <c r="G2185" s="32">
        <v>28</v>
      </c>
      <c r="H2185" s="27">
        <v>4448</v>
      </c>
      <c r="I2185" s="27">
        <v>156.70731707317074</v>
      </c>
      <c r="J2185" s="27">
        <v>158.85714285714286</v>
      </c>
      <c r="K2185" s="29">
        <v>1.3718732629238424E-2</v>
      </c>
    </row>
    <row r="2186" spans="1:11" x14ac:dyDescent="0.25">
      <c r="A2186" s="5" t="s">
        <v>6</v>
      </c>
      <c r="B2186" s="5" t="s">
        <v>10614</v>
      </c>
      <c r="C2186" s="1" t="s">
        <v>10615</v>
      </c>
      <c r="D2186" s="5" t="s">
        <v>18013</v>
      </c>
      <c r="G2186" s="32">
        <v>41</v>
      </c>
      <c r="H2186" s="27">
        <v>61543.16</v>
      </c>
      <c r="J2186" s="27">
        <v>1501.0526829268294</v>
      </c>
    </row>
    <row r="2187" spans="1:11" x14ac:dyDescent="0.25">
      <c r="A2187" s="5" t="s">
        <v>6</v>
      </c>
      <c r="B2187" s="5" t="s">
        <v>10617</v>
      </c>
      <c r="C2187" s="1" t="s">
        <v>10618</v>
      </c>
      <c r="D2187" s="5" t="s">
        <v>18014</v>
      </c>
      <c r="E2187" s="32">
        <v>2</v>
      </c>
      <c r="F2187" s="27">
        <v>2630</v>
      </c>
      <c r="G2187" s="32">
        <v>26</v>
      </c>
      <c r="H2187" s="27">
        <v>36185</v>
      </c>
      <c r="I2187" s="27">
        <v>1315</v>
      </c>
      <c r="J2187" s="27">
        <v>1391.7307692307693</v>
      </c>
      <c r="K2187" s="29">
        <v>5.8350394852296032E-2</v>
      </c>
    </row>
    <row r="2188" spans="1:11" x14ac:dyDescent="0.25">
      <c r="A2188" s="5" t="s">
        <v>6</v>
      </c>
      <c r="B2188" s="5" t="s">
        <v>10623</v>
      </c>
      <c r="C2188" s="1" t="s">
        <v>10624</v>
      </c>
      <c r="D2188" s="5" t="s">
        <v>18015</v>
      </c>
      <c r="E2188" s="32">
        <v>2740</v>
      </c>
      <c r="F2188" s="27">
        <v>796800</v>
      </c>
      <c r="G2188" s="32">
        <v>2920</v>
      </c>
      <c r="H2188" s="27">
        <v>907672</v>
      </c>
      <c r="I2188" s="27">
        <v>290.80291970802921</v>
      </c>
      <c r="J2188" s="27">
        <v>310.84657534246577</v>
      </c>
      <c r="K2188" s="29">
        <v>6.8925221433679934E-2</v>
      </c>
    </row>
    <row r="2189" spans="1:11" x14ac:dyDescent="0.25">
      <c r="A2189" s="5" t="s">
        <v>6</v>
      </c>
      <c r="B2189" s="5" t="s">
        <v>10626</v>
      </c>
      <c r="C2189" s="1" t="s">
        <v>10627</v>
      </c>
      <c r="D2189" s="5" t="s">
        <v>18016</v>
      </c>
      <c r="E2189" s="32">
        <v>228</v>
      </c>
      <c r="F2189" s="27">
        <v>1131342</v>
      </c>
      <c r="G2189" s="32">
        <v>195</v>
      </c>
      <c r="H2189" s="27">
        <v>1070133</v>
      </c>
      <c r="I2189" s="27">
        <v>4962.0263157894733</v>
      </c>
      <c r="J2189" s="27">
        <v>5487.8615384615387</v>
      </c>
      <c r="K2189" s="29">
        <v>0.10597187302268538</v>
      </c>
    </row>
    <row r="2190" spans="1:11" x14ac:dyDescent="0.25">
      <c r="A2190" s="5" t="s">
        <v>6</v>
      </c>
      <c r="B2190" s="5" t="s">
        <v>18017</v>
      </c>
      <c r="C2190" s="1" t="s">
        <v>18018</v>
      </c>
      <c r="D2190" s="5" t="s">
        <v>18013</v>
      </c>
      <c r="E2190" s="32">
        <v>101</v>
      </c>
      <c r="F2190" s="27">
        <v>362388</v>
      </c>
      <c r="I2190" s="27">
        <v>3588</v>
      </c>
    </row>
    <row r="2191" spans="1:11" x14ac:dyDescent="0.25">
      <c r="A2191" s="5" t="s">
        <v>6</v>
      </c>
      <c r="B2191" s="5" t="s">
        <v>10629</v>
      </c>
      <c r="C2191" s="1" t="s">
        <v>10630</v>
      </c>
      <c r="D2191" s="5" t="s">
        <v>18019</v>
      </c>
      <c r="E2191" s="32">
        <v>33100</v>
      </c>
      <c r="F2191" s="27">
        <v>1223528</v>
      </c>
      <c r="G2191" s="32">
        <v>49300</v>
      </c>
      <c r="H2191" s="27">
        <v>1945871</v>
      </c>
      <c r="I2191" s="27">
        <v>36.964592145015104</v>
      </c>
      <c r="J2191" s="27">
        <v>39.47</v>
      </c>
      <c r="K2191" s="29">
        <v>6.7778587821447522E-2</v>
      </c>
    </row>
    <row r="2192" spans="1:11" x14ac:dyDescent="0.25">
      <c r="A2192" s="5" t="s">
        <v>6</v>
      </c>
      <c r="B2192" s="5" t="s">
        <v>10632</v>
      </c>
      <c r="C2192" s="1" t="s">
        <v>10633</v>
      </c>
      <c r="D2192" s="5" t="s">
        <v>18020</v>
      </c>
      <c r="E2192" s="32">
        <v>756</v>
      </c>
      <c r="F2192" s="27">
        <v>182492</v>
      </c>
      <c r="G2192" s="32">
        <v>436</v>
      </c>
      <c r="H2192" s="27">
        <v>116412</v>
      </c>
      <c r="I2192" s="27">
        <v>241.39153439153438</v>
      </c>
      <c r="J2192" s="27">
        <v>267</v>
      </c>
      <c r="K2192" s="29">
        <v>0.10608684216294419</v>
      </c>
    </row>
    <row r="2193" spans="1:11" x14ac:dyDescent="0.25">
      <c r="A2193" s="5" t="s">
        <v>6</v>
      </c>
      <c r="B2193" s="5" t="s">
        <v>10635</v>
      </c>
      <c r="C2193" s="1" t="s">
        <v>10636</v>
      </c>
      <c r="D2193" s="5" t="s">
        <v>18021</v>
      </c>
      <c r="E2193" s="32">
        <v>117</v>
      </c>
      <c r="F2193" s="27">
        <v>33696</v>
      </c>
      <c r="I2193" s="27">
        <v>288</v>
      </c>
    </row>
    <row r="2194" spans="1:11" x14ac:dyDescent="0.25">
      <c r="A2194" s="5" t="s">
        <v>6</v>
      </c>
      <c r="B2194" s="5" t="s">
        <v>10638</v>
      </c>
      <c r="C2194" s="1" t="s">
        <v>10639</v>
      </c>
      <c r="D2194" s="5" t="s">
        <v>18022</v>
      </c>
      <c r="E2194" s="32">
        <v>1</v>
      </c>
      <c r="F2194" s="27">
        <v>963</v>
      </c>
      <c r="I2194" s="27">
        <v>963</v>
      </c>
    </row>
    <row r="2195" spans="1:11" x14ac:dyDescent="0.25">
      <c r="A2195" s="5" t="s">
        <v>6</v>
      </c>
      <c r="B2195" s="5" t="s">
        <v>10644</v>
      </c>
      <c r="C2195" s="1" t="s">
        <v>10645</v>
      </c>
      <c r="D2195" s="5" t="s">
        <v>17789</v>
      </c>
      <c r="E2195" s="32">
        <v>14</v>
      </c>
      <c r="F2195" s="27">
        <v>13140</v>
      </c>
      <c r="I2195" s="27">
        <v>938.57142857142856</v>
      </c>
    </row>
    <row r="2196" spans="1:11" x14ac:dyDescent="0.25">
      <c r="A2196" s="5" t="s">
        <v>6</v>
      </c>
      <c r="B2196" s="5" t="s">
        <v>10647</v>
      </c>
      <c r="C2196" s="1" t="s">
        <v>10648</v>
      </c>
      <c r="D2196" s="5" t="s">
        <v>17789</v>
      </c>
      <c r="E2196" s="32">
        <v>392</v>
      </c>
      <c r="F2196" s="27">
        <v>38968</v>
      </c>
      <c r="G2196" s="32">
        <v>563</v>
      </c>
      <c r="H2196" s="27">
        <v>59716</v>
      </c>
      <c r="I2196" s="27">
        <v>99.408163265306129</v>
      </c>
      <c r="J2196" s="27">
        <v>106.06749555950266</v>
      </c>
      <c r="K2196" s="29">
        <v>6.6989793146300561E-2</v>
      </c>
    </row>
    <row r="2197" spans="1:11" x14ac:dyDescent="0.25">
      <c r="A2197" s="5" t="s">
        <v>6</v>
      </c>
      <c r="B2197" s="5" t="s">
        <v>10650</v>
      </c>
      <c r="C2197" s="1" t="s">
        <v>10651</v>
      </c>
      <c r="D2197" s="5" t="s">
        <v>17789</v>
      </c>
      <c r="E2197" s="32">
        <v>1796</v>
      </c>
      <c r="F2197" s="27">
        <v>959156</v>
      </c>
      <c r="G2197" s="32">
        <v>1968</v>
      </c>
      <c r="H2197" s="27">
        <v>1120836</v>
      </c>
      <c r="I2197" s="27">
        <v>534.05122494432067</v>
      </c>
      <c r="J2197" s="27">
        <v>569.53048780487802</v>
      </c>
      <c r="K2197" s="29">
        <v>6.6434194330808563E-2</v>
      </c>
    </row>
    <row r="2198" spans="1:11" x14ac:dyDescent="0.25">
      <c r="A2198" s="5" t="s">
        <v>6</v>
      </c>
      <c r="B2198" s="5" t="s">
        <v>10659</v>
      </c>
      <c r="C2198" s="1" t="s">
        <v>10660</v>
      </c>
      <c r="D2198" s="5" t="s">
        <v>18023</v>
      </c>
      <c r="E2198" s="32">
        <v>115241</v>
      </c>
      <c r="F2198" s="27">
        <v>230482</v>
      </c>
      <c r="G2198" s="32">
        <v>123450</v>
      </c>
      <c r="H2198" s="27">
        <v>246900</v>
      </c>
      <c r="I2198" s="27">
        <v>2</v>
      </c>
      <c r="J2198" s="27">
        <v>2</v>
      </c>
      <c r="K2198" s="29">
        <v>0</v>
      </c>
    </row>
    <row r="2199" spans="1:11" x14ac:dyDescent="0.25">
      <c r="A2199" s="5" t="s">
        <v>6</v>
      </c>
      <c r="B2199" s="5" t="s">
        <v>10668</v>
      </c>
      <c r="C2199" s="1" t="s">
        <v>10669</v>
      </c>
      <c r="D2199" s="5" t="s">
        <v>17789</v>
      </c>
      <c r="E2199" s="32">
        <v>1066</v>
      </c>
      <c r="F2199" s="27">
        <v>221572</v>
      </c>
      <c r="G2199" s="32">
        <v>1021</v>
      </c>
      <c r="H2199" s="27">
        <v>224986</v>
      </c>
      <c r="I2199" s="27">
        <v>207.85365853658536</v>
      </c>
      <c r="J2199" s="27">
        <v>220.35847208619001</v>
      </c>
      <c r="K2199" s="29">
        <v>6.0161623507837436E-2</v>
      </c>
    </row>
    <row r="2200" spans="1:11" x14ac:dyDescent="0.25">
      <c r="A2200" s="5" t="s">
        <v>6</v>
      </c>
      <c r="B2200" s="5" t="s">
        <v>10671</v>
      </c>
      <c r="C2200" s="1" t="s">
        <v>10672</v>
      </c>
      <c r="D2200" s="5" t="s">
        <v>17789</v>
      </c>
      <c r="E2200" s="32">
        <v>90</v>
      </c>
      <c r="F2200" s="27">
        <v>33390</v>
      </c>
      <c r="G2200" s="32">
        <v>70</v>
      </c>
      <c r="H2200" s="27">
        <v>27620</v>
      </c>
      <c r="I2200" s="27">
        <v>371</v>
      </c>
      <c r="J2200" s="27">
        <v>394.57142857142856</v>
      </c>
      <c r="K2200" s="29">
        <v>6.3534847901424676E-2</v>
      </c>
    </row>
    <row r="2201" spans="1:11" x14ac:dyDescent="0.25">
      <c r="A2201" s="5" t="s">
        <v>6</v>
      </c>
      <c r="B2201" s="5" t="s">
        <v>10677</v>
      </c>
      <c r="C2201" s="1" t="s">
        <v>10678</v>
      </c>
      <c r="D2201" s="5" t="s">
        <v>17789</v>
      </c>
      <c r="E2201" s="32">
        <v>4806</v>
      </c>
      <c r="F2201" s="27">
        <v>2377806</v>
      </c>
      <c r="G2201" s="32">
        <v>4749</v>
      </c>
      <c r="H2201" s="27">
        <v>2514129</v>
      </c>
      <c r="I2201" s="27">
        <v>494.75780274656677</v>
      </c>
      <c r="J2201" s="27">
        <v>529.40176879343016</v>
      </c>
      <c r="K2201" s="29">
        <v>7.0022071111447065E-2</v>
      </c>
    </row>
    <row r="2202" spans="1:11" x14ac:dyDescent="0.25">
      <c r="A2202" s="5" t="s">
        <v>6</v>
      </c>
      <c r="B2202" s="5" t="s">
        <v>10680</v>
      </c>
      <c r="C2202" s="1" t="s">
        <v>10681</v>
      </c>
      <c r="D2202" s="5" t="s">
        <v>17789</v>
      </c>
      <c r="E2202" s="32">
        <v>1510</v>
      </c>
      <c r="F2202" s="27">
        <v>779264</v>
      </c>
      <c r="G2202" s="32">
        <v>1502</v>
      </c>
      <c r="H2202" s="27">
        <v>822718</v>
      </c>
      <c r="I2202" s="27">
        <v>516.06887417218547</v>
      </c>
      <c r="J2202" s="27">
        <v>547.74833555259659</v>
      </c>
      <c r="K2202" s="29">
        <v>6.1386111362029781E-2</v>
      </c>
    </row>
    <row r="2203" spans="1:11" x14ac:dyDescent="0.25">
      <c r="A2203" s="5" t="s">
        <v>6</v>
      </c>
      <c r="B2203" s="5" t="s">
        <v>10683</v>
      </c>
      <c r="C2203" s="1" t="s">
        <v>10684</v>
      </c>
      <c r="D2203" s="5" t="s">
        <v>17789</v>
      </c>
      <c r="E2203" s="32">
        <v>806</v>
      </c>
      <c r="F2203" s="27">
        <v>145900</v>
      </c>
      <c r="G2203" s="32">
        <v>823</v>
      </c>
      <c r="H2203" s="27">
        <v>160970</v>
      </c>
      <c r="I2203" s="27">
        <v>181.01736972704714</v>
      </c>
      <c r="J2203" s="27">
        <v>195.58930741190767</v>
      </c>
      <c r="K2203" s="29">
        <v>8.0500217779284358E-2</v>
      </c>
    </row>
    <row r="2204" spans="1:11" x14ac:dyDescent="0.25">
      <c r="A2204" s="5" t="s">
        <v>6</v>
      </c>
      <c r="B2204" s="5" t="s">
        <v>10686</v>
      </c>
      <c r="C2204" s="1" t="s">
        <v>10687</v>
      </c>
      <c r="D2204" s="5" t="s">
        <v>18024</v>
      </c>
      <c r="E2204" s="32">
        <v>967</v>
      </c>
      <c r="F2204" s="27">
        <v>379625</v>
      </c>
      <c r="G2204" s="32">
        <v>1149</v>
      </c>
      <c r="H2204" s="27">
        <v>477875</v>
      </c>
      <c r="I2204" s="27">
        <v>392.58014477766289</v>
      </c>
      <c r="J2204" s="27">
        <v>415.90513489991298</v>
      </c>
      <c r="K2204" s="29">
        <v>5.9414594529379867E-2</v>
      </c>
    </row>
    <row r="2205" spans="1:11" x14ac:dyDescent="0.25">
      <c r="A2205" s="5" t="s">
        <v>6</v>
      </c>
      <c r="B2205" s="5" t="s">
        <v>10694</v>
      </c>
      <c r="C2205" s="1" t="s">
        <v>10695</v>
      </c>
      <c r="D2205" s="5" t="s">
        <v>18024</v>
      </c>
      <c r="E2205" s="32">
        <v>11180</v>
      </c>
      <c r="F2205" s="27">
        <v>11180</v>
      </c>
      <c r="G2205" s="32">
        <v>9570</v>
      </c>
      <c r="H2205" s="27">
        <v>9570</v>
      </c>
      <c r="I2205" s="27">
        <v>1</v>
      </c>
      <c r="J2205" s="27">
        <v>1</v>
      </c>
      <c r="K2205" s="29">
        <v>0</v>
      </c>
    </row>
    <row r="2206" spans="1:11" x14ac:dyDescent="0.25">
      <c r="A2206" s="5" t="s">
        <v>6</v>
      </c>
      <c r="B2206" s="5" t="s">
        <v>10700</v>
      </c>
      <c r="C2206" s="1" t="s">
        <v>10701</v>
      </c>
      <c r="D2206" s="5" t="s">
        <v>17789</v>
      </c>
      <c r="E2206" s="32">
        <v>819</v>
      </c>
      <c r="F2206" s="27">
        <v>83888</v>
      </c>
      <c r="G2206" s="32">
        <v>662</v>
      </c>
      <c r="H2206" s="27">
        <v>71600</v>
      </c>
      <c r="I2206" s="27">
        <v>102.42735042735043</v>
      </c>
      <c r="J2206" s="27">
        <v>108.1570996978852</v>
      </c>
      <c r="K2206" s="29">
        <v>5.5939641576482631E-2</v>
      </c>
    </row>
    <row r="2207" spans="1:11" x14ac:dyDescent="0.25">
      <c r="A2207" s="5" t="s">
        <v>6</v>
      </c>
      <c r="B2207" s="5" t="s">
        <v>10709</v>
      </c>
      <c r="C2207" s="1" t="s">
        <v>10710</v>
      </c>
      <c r="D2207" s="5" t="s">
        <v>17789</v>
      </c>
      <c r="E2207" s="32">
        <v>79</v>
      </c>
      <c r="F2207" s="27">
        <v>21146</v>
      </c>
      <c r="G2207" s="32">
        <v>195</v>
      </c>
      <c r="H2207" s="27">
        <v>55887</v>
      </c>
      <c r="I2207" s="27">
        <v>267.67088607594934</v>
      </c>
      <c r="J2207" s="27">
        <v>286.60000000000002</v>
      </c>
      <c r="K2207" s="29">
        <v>7.0717866263123236E-2</v>
      </c>
    </row>
    <row r="2208" spans="1:11" x14ac:dyDescent="0.25">
      <c r="A2208" s="5" t="s">
        <v>6</v>
      </c>
      <c r="B2208" s="5" t="s">
        <v>10712</v>
      </c>
      <c r="C2208" s="1" t="s">
        <v>10713</v>
      </c>
      <c r="D2208" s="5" t="s">
        <v>18025</v>
      </c>
      <c r="E2208" s="32">
        <v>5993</v>
      </c>
      <c r="F2208" s="27">
        <v>52675</v>
      </c>
      <c r="G2208" s="32">
        <v>5065</v>
      </c>
      <c r="H2208" s="27">
        <v>48695</v>
      </c>
      <c r="I2208" s="27">
        <v>8.7894209911563497</v>
      </c>
      <c r="J2208" s="27">
        <v>9.6140177690029613</v>
      </c>
      <c r="K2208" s="29">
        <v>9.3816962309155066E-2</v>
      </c>
    </row>
    <row r="2209" spans="1:11" x14ac:dyDescent="0.25">
      <c r="A2209" s="5" t="s">
        <v>6</v>
      </c>
      <c r="B2209" s="5" t="s">
        <v>10718</v>
      </c>
      <c r="C2209" s="1" t="s">
        <v>10719</v>
      </c>
      <c r="D2209" s="5" t="s">
        <v>18026</v>
      </c>
      <c r="E2209" s="32">
        <v>16</v>
      </c>
      <c r="F2209" s="27">
        <v>6692</v>
      </c>
      <c r="G2209" s="32">
        <v>37</v>
      </c>
      <c r="H2209" s="27">
        <v>16967</v>
      </c>
      <c r="I2209" s="27">
        <v>418.25</v>
      </c>
      <c r="J2209" s="27">
        <v>458.56756756756755</v>
      </c>
      <c r="K2209" s="29">
        <v>9.6395857902134008E-2</v>
      </c>
    </row>
    <row r="2210" spans="1:11" x14ac:dyDescent="0.25">
      <c r="A2210" s="5" t="s">
        <v>6</v>
      </c>
      <c r="B2210" s="5" t="s">
        <v>10727</v>
      </c>
      <c r="C2210" s="1" t="s">
        <v>10728</v>
      </c>
      <c r="D2210" s="5" t="s">
        <v>18027</v>
      </c>
      <c r="E2210" s="32">
        <v>42</v>
      </c>
      <c r="F2210" s="27">
        <v>13164</v>
      </c>
      <c r="G2210" s="32">
        <v>45</v>
      </c>
      <c r="H2210" s="27">
        <v>14965</v>
      </c>
      <c r="I2210" s="27">
        <v>313.42857142857144</v>
      </c>
      <c r="J2210" s="27">
        <v>332.55555555555554</v>
      </c>
      <c r="K2210" s="29">
        <v>6.1025017725108786E-2</v>
      </c>
    </row>
    <row r="2211" spans="1:11" x14ac:dyDescent="0.25">
      <c r="A2211" s="5" t="s">
        <v>6</v>
      </c>
      <c r="B2211" s="5" t="s">
        <v>10730</v>
      </c>
      <c r="C2211" s="1" t="s">
        <v>10731</v>
      </c>
      <c r="D2211" s="5" t="s">
        <v>18028</v>
      </c>
      <c r="E2211" s="32">
        <v>1645</v>
      </c>
      <c r="F2211" s="27">
        <v>873380</v>
      </c>
      <c r="G2211" s="32">
        <v>2265</v>
      </c>
      <c r="H2211" s="27">
        <v>1297764</v>
      </c>
      <c r="I2211" s="27">
        <v>530.93009118541033</v>
      </c>
      <c r="J2211" s="27">
        <v>572.96423841059607</v>
      </c>
      <c r="K2211" s="29">
        <v>7.9170775819723982E-2</v>
      </c>
    </row>
    <row r="2212" spans="1:11" x14ac:dyDescent="0.25">
      <c r="A2212" s="5" t="s">
        <v>6</v>
      </c>
      <c r="B2212" s="5" t="s">
        <v>10733</v>
      </c>
      <c r="C2212" s="1" t="s">
        <v>10734</v>
      </c>
      <c r="D2212" s="5" t="s">
        <v>18029</v>
      </c>
      <c r="E2212" s="32">
        <v>75195</v>
      </c>
      <c r="F2212" s="27">
        <v>225585</v>
      </c>
      <c r="G2212" s="32">
        <v>103920</v>
      </c>
      <c r="H2212" s="27">
        <v>311760</v>
      </c>
      <c r="I2212" s="27">
        <v>3</v>
      </c>
      <c r="J2212" s="27">
        <v>3</v>
      </c>
      <c r="K2212" s="29">
        <v>0</v>
      </c>
    </row>
    <row r="2213" spans="1:11" x14ac:dyDescent="0.25">
      <c r="A2213" s="5" t="s">
        <v>6</v>
      </c>
      <c r="B2213" s="5" t="s">
        <v>10736</v>
      </c>
      <c r="C2213" s="1" t="s">
        <v>10737</v>
      </c>
      <c r="D2213" s="5" t="s">
        <v>18030</v>
      </c>
      <c r="E2213" s="32">
        <v>600</v>
      </c>
      <c r="F2213" s="27">
        <v>600</v>
      </c>
      <c r="I2213" s="27">
        <v>1</v>
      </c>
    </row>
    <row r="2214" spans="1:11" x14ac:dyDescent="0.25">
      <c r="A2214" s="5" t="s">
        <v>6</v>
      </c>
      <c r="B2214" s="5" t="s">
        <v>10745</v>
      </c>
      <c r="C2214" s="1" t="s">
        <v>10746</v>
      </c>
      <c r="D2214" s="5" t="s">
        <v>18031</v>
      </c>
      <c r="E2214" s="32">
        <v>6024</v>
      </c>
      <c r="F2214" s="27">
        <v>1415358</v>
      </c>
      <c r="G2214" s="32">
        <v>9880</v>
      </c>
      <c r="H2214" s="27">
        <v>2463730</v>
      </c>
      <c r="I2214" s="27">
        <v>234.95318725099602</v>
      </c>
      <c r="J2214" s="27">
        <v>249.36538461538461</v>
      </c>
      <c r="K2214" s="29">
        <v>6.1340718689601399E-2</v>
      </c>
    </row>
    <row r="2215" spans="1:11" x14ac:dyDescent="0.25">
      <c r="A2215" s="5" t="s">
        <v>6</v>
      </c>
      <c r="B2215" s="5" t="s">
        <v>10751</v>
      </c>
      <c r="C2215" s="1" t="s">
        <v>10752</v>
      </c>
      <c r="D2215" s="5" t="s">
        <v>18032</v>
      </c>
      <c r="E2215" s="32">
        <v>13300</v>
      </c>
      <c r="F2215" s="27">
        <v>159200</v>
      </c>
      <c r="G2215" s="32">
        <v>12150</v>
      </c>
      <c r="H2215" s="27">
        <v>154250</v>
      </c>
      <c r="I2215" s="27">
        <v>11.969924812030076</v>
      </c>
      <c r="J2215" s="27">
        <v>12.695473251028806</v>
      </c>
      <c r="K2215" s="29">
        <v>6.0614285418863795E-2</v>
      </c>
    </row>
    <row r="2216" spans="1:11" x14ac:dyDescent="0.25">
      <c r="A2216" s="5" t="s">
        <v>6</v>
      </c>
      <c r="B2216" s="5" t="s">
        <v>10754</v>
      </c>
      <c r="C2216" s="1" t="s">
        <v>10755</v>
      </c>
      <c r="D2216" s="5" t="s">
        <v>18033</v>
      </c>
      <c r="E2216" s="32">
        <v>2700</v>
      </c>
      <c r="F2216" s="27">
        <v>196500</v>
      </c>
      <c r="G2216" s="32">
        <v>6700</v>
      </c>
      <c r="H2216" s="27">
        <v>530000</v>
      </c>
      <c r="I2216" s="27">
        <v>72.777777777777771</v>
      </c>
      <c r="J2216" s="27">
        <v>79.104477611940297</v>
      </c>
      <c r="K2216" s="29">
        <v>8.6931753446507984E-2</v>
      </c>
    </row>
    <row r="2217" spans="1:11" x14ac:dyDescent="0.25">
      <c r="A2217" s="5" t="s">
        <v>6</v>
      </c>
      <c r="B2217" s="5" t="s">
        <v>10757</v>
      </c>
      <c r="C2217" s="1" t="s">
        <v>10758</v>
      </c>
      <c r="D2217" s="5" t="s">
        <v>18034</v>
      </c>
      <c r="E2217" s="32">
        <v>4858</v>
      </c>
      <c r="F2217" s="27">
        <v>2911634</v>
      </c>
      <c r="G2217" s="32">
        <v>1609</v>
      </c>
      <c r="H2217" s="27">
        <v>984917</v>
      </c>
      <c r="I2217" s="27">
        <v>599.3482914779745</v>
      </c>
      <c r="J2217" s="27">
        <v>612.12989434431324</v>
      </c>
      <c r="K2217" s="29">
        <v>2.1325835158084297E-2</v>
      </c>
    </row>
    <row r="2218" spans="1:11" x14ac:dyDescent="0.25">
      <c r="A2218" s="5" t="s">
        <v>6</v>
      </c>
      <c r="B2218" s="5" t="s">
        <v>10763</v>
      </c>
      <c r="C2218" s="1" t="s">
        <v>10764</v>
      </c>
      <c r="D2218" s="5" t="s">
        <v>18035</v>
      </c>
      <c r="E2218" s="32">
        <v>16000</v>
      </c>
      <c r="F2218" s="27">
        <v>312634</v>
      </c>
      <c r="I2218" s="27">
        <v>19.539625000000001</v>
      </c>
    </row>
    <row r="2219" spans="1:11" x14ac:dyDescent="0.25">
      <c r="A2219" s="5" t="s">
        <v>6</v>
      </c>
      <c r="B2219" s="5" t="s">
        <v>10778</v>
      </c>
      <c r="C2219" s="1" t="s">
        <v>10779</v>
      </c>
      <c r="D2219" s="5" t="s">
        <v>17789</v>
      </c>
      <c r="E2219" s="32">
        <v>1246</v>
      </c>
      <c r="F2219" s="27">
        <v>36744</v>
      </c>
      <c r="G2219" s="32">
        <v>1209</v>
      </c>
      <c r="H2219" s="27">
        <v>37746</v>
      </c>
      <c r="I2219" s="27">
        <v>29.489566613162118</v>
      </c>
      <c r="J2219" s="27">
        <v>31.220843672456574</v>
      </c>
      <c r="K2219" s="29">
        <v>5.8708121485981174E-2</v>
      </c>
    </row>
    <row r="2220" spans="1:11" x14ac:dyDescent="0.25">
      <c r="A2220" s="5" t="s">
        <v>6</v>
      </c>
      <c r="B2220" s="5" t="s">
        <v>10781</v>
      </c>
      <c r="C2220" s="1" t="s">
        <v>10782</v>
      </c>
      <c r="D2220" s="5" t="s">
        <v>17789</v>
      </c>
      <c r="E2220" s="32">
        <v>1550</v>
      </c>
      <c r="F2220" s="27">
        <v>223792</v>
      </c>
      <c r="G2220" s="32">
        <v>1499</v>
      </c>
      <c r="H2220" s="27">
        <v>231166</v>
      </c>
      <c r="I2220" s="27">
        <v>144.38193548387096</v>
      </c>
      <c r="J2220" s="27">
        <v>154.21347565043362</v>
      </c>
      <c r="K2220" s="29">
        <v>6.8093976809591603E-2</v>
      </c>
    </row>
    <row r="2221" spans="1:11" x14ac:dyDescent="0.25">
      <c r="A2221" s="5" t="s">
        <v>6</v>
      </c>
      <c r="B2221" s="5" t="s">
        <v>10787</v>
      </c>
      <c r="C2221" s="1" t="s">
        <v>10788</v>
      </c>
      <c r="D2221" s="5" t="s">
        <v>18036</v>
      </c>
      <c r="E2221" s="32">
        <v>148</v>
      </c>
      <c r="F2221" s="27">
        <v>5724</v>
      </c>
      <c r="G2221" s="32">
        <v>212</v>
      </c>
      <c r="H2221" s="27">
        <v>8736</v>
      </c>
      <c r="I2221" s="27">
        <v>38.675675675675677</v>
      </c>
      <c r="J2221" s="27">
        <v>41.20754716981132</v>
      </c>
      <c r="K2221" s="29">
        <v>6.546418258771404E-2</v>
      </c>
    </row>
    <row r="2222" spans="1:11" x14ac:dyDescent="0.25">
      <c r="A2222" s="5" t="s">
        <v>6</v>
      </c>
      <c r="B2222" s="5" t="s">
        <v>10799</v>
      </c>
      <c r="C2222" s="1" t="s">
        <v>10800</v>
      </c>
      <c r="D2222" s="5" t="s">
        <v>18037</v>
      </c>
      <c r="E2222" s="32">
        <v>15</v>
      </c>
      <c r="F2222" s="27">
        <v>2247</v>
      </c>
      <c r="G2222" s="32">
        <v>6</v>
      </c>
      <c r="H2222" s="27">
        <v>978</v>
      </c>
      <c r="I2222" s="27">
        <v>149.80000000000001</v>
      </c>
      <c r="J2222" s="27">
        <v>163</v>
      </c>
      <c r="K2222" s="29">
        <v>8.8117489986648784E-2</v>
      </c>
    </row>
    <row r="2223" spans="1:11" x14ac:dyDescent="0.25">
      <c r="A2223" s="5" t="s">
        <v>6</v>
      </c>
      <c r="B2223" s="5" t="s">
        <v>10805</v>
      </c>
      <c r="C2223" s="1" t="s">
        <v>10806</v>
      </c>
      <c r="D2223" s="5" t="s">
        <v>17789</v>
      </c>
      <c r="E2223" s="32">
        <v>652</v>
      </c>
      <c r="F2223" s="27">
        <v>148332</v>
      </c>
      <c r="G2223" s="32">
        <v>460</v>
      </c>
      <c r="H2223" s="27">
        <v>111126</v>
      </c>
      <c r="I2223" s="27">
        <v>227.50306748466258</v>
      </c>
      <c r="J2223" s="27">
        <v>241.57826086956521</v>
      </c>
      <c r="K2223" s="29">
        <v>6.1868147715641378E-2</v>
      </c>
    </row>
    <row r="2224" spans="1:11" x14ac:dyDescent="0.25">
      <c r="A2224" s="5" t="s">
        <v>6</v>
      </c>
      <c r="B2224" s="5" t="s">
        <v>10808</v>
      </c>
      <c r="C2224" s="1" t="s">
        <v>10809</v>
      </c>
      <c r="D2224" s="5" t="s">
        <v>18038</v>
      </c>
      <c r="E2224" s="32">
        <v>6148</v>
      </c>
      <c r="F2224" s="27">
        <v>698848</v>
      </c>
      <c r="G2224" s="32">
        <v>6250</v>
      </c>
      <c r="H2224" s="27">
        <v>756118</v>
      </c>
      <c r="I2224" s="27">
        <v>113.67078724788549</v>
      </c>
      <c r="J2224" s="27">
        <v>120.97888</v>
      </c>
      <c r="K2224" s="29">
        <v>6.4291740464307065E-2</v>
      </c>
    </row>
    <row r="2225" spans="1:11" x14ac:dyDescent="0.25">
      <c r="A2225" s="5" t="s">
        <v>6</v>
      </c>
      <c r="B2225" s="5" t="s">
        <v>10814</v>
      </c>
      <c r="C2225" s="1" t="s">
        <v>10815</v>
      </c>
      <c r="D2225" s="5" t="s">
        <v>18038</v>
      </c>
      <c r="E2225" s="32">
        <v>24826</v>
      </c>
      <c r="F2225" s="27">
        <v>4100910</v>
      </c>
      <c r="G2225" s="32">
        <v>25916</v>
      </c>
      <c r="H2225" s="27">
        <v>4563207</v>
      </c>
      <c r="I2225" s="27">
        <v>165.18609522275034</v>
      </c>
      <c r="J2225" s="27">
        <v>176.07682512733447</v>
      </c>
      <c r="K2225" s="29">
        <v>6.5930064451842574E-2</v>
      </c>
    </row>
    <row r="2226" spans="1:11" x14ac:dyDescent="0.25">
      <c r="A2226" s="5" t="s">
        <v>6</v>
      </c>
      <c r="B2226" s="5" t="s">
        <v>10817</v>
      </c>
      <c r="C2226" s="1" t="s">
        <v>10818</v>
      </c>
      <c r="D2226" s="5" t="s">
        <v>18039</v>
      </c>
      <c r="G2226" s="32">
        <v>25180</v>
      </c>
      <c r="H2226" s="27">
        <v>127662.6</v>
      </c>
      <c r="J2226" s="27">
        <v>5.07</v>
      </c>
    </row>
    <row r="2227" spans="1:11" x14ac:dyDescent="0.25">
      <c r="A2227" s="5" t="s">
        <v>6</v>
      </c>
      <c r="B2227" s="5" t="s">
        <v>18040</v>
      </c>
      <c r="C2227" s="1" t="s">
        <v>18041</v>
      </c>
      <c r="D2227" s="5" t="s">
        <v>17789</v>
      </c>
      <c r="E2227" s="32">
        <v>2025</v>
      </c>
      <c r="F2227" s="27">
        <v>605535</v>
      </c>
      <c r="I2227" s="27">
        <v>299.02962962962965</v>
      </c>
    </row>
    <row r="2228" spans="1:11" x14ac:dyDescent="0.25">
      <c r="A2228" s="5" t="s">
        <v>6</v>
      </c>
      <c r="B2228" s="5" t="s">
        <v>10820</v>
      </c>
      <c r="C2228" s="1" t="s">
        <v>10821</v>
      </c>
      <c r="D2228" s="5" t="s">
        <v>17789</v>
      </c>
      <c r="E2228" s="32">
        <v>539</v>
      </c>
      <c r="F2228" s="27">
        <v>386496</v>
      </c>
      <c r="G2228" s="32">
        <v>306</v>
      </c>
      <c r="H2228" s="27">
        <v>235246</v>
      </c>
      <c r="I2228" s="27">
        <v>717.0612244897959</v>
      </c>
      <c r="J2228" s="27">
        <v>768.77777777777783</v>
      </c>
      <c r="K2228" s="29">
        <v>7.2122925521149656E-2</v>
      </c>
    </row>
    <row r="2229" spans="1:11" x14ac:dyDescent="0.25">
      <c r="A2229" s="5" t="s">
        <v>6</v>
      </c>
      <c r="B2229" s="5" t="s">
        <v>10823</v>
      </c>
      <c r="C2229" s="1" t="s">
        <v>10824</v>
      </c>
      <c r="D2229" s="5" t="s">
        <v>17789</v>
      </c>
      <c r="E2229" s="32">
        <v>41</v>
      </c>
      <c r="F2229" s="27">
        <v>3978</v>
      </c>
      <c r="G2229" s="32">
        <v>5</v>
      </c>
      <c r="H2229" s="27">
        <v>522</v>
      </c>
      <c r="I2229" s="27">
        <v>97.024390243902445</v>
      </c>
      <c r="J2229" s="27">
        <v>104.4</v>
      </c>
      <c r="K2229" s="29">
        <v>7.6018099547511306E-2</v>
      </c>
    </row>
    <row r="2230" spans="1:11" x14ac:dyDescent="0.25">
      <c r="A2230" s="5" t="s">
        <v>6</v>
      </c>
      <c r="B2230" s="5" t="s">
        <v>10826</v>
      </c>
      <c r="C2230" s="1" t="s">
        <v>10827</v>
      </c>
      <c r="D2230" s="5" t="s">
        <v>17789</v>
      </c>
      <c r="E2230" s="32">
        <v>264</v>
      </c>
      <c r="F2230" s="27">
        <v>158064</v>
      </c>
      <c r="G2230" s="32">
        <v>337</v>
      </c>
      <c r="H2230" s="27">
        <v>216313</v>
      </c>
      <c r="I2230" s="27">
        <v>598.72727272727275</v>
      </c>
      <c r="J2230" s="27">
        <v>641.87833827893178</v>
      </c>
      <c r="K2230" s="29">
        <v>7.2071321146105274E-2</v>
      </c>
    </row>
    <row r="2231" spans="1:11" x14ac:dyDescent="0.25">
      <c r="A2231" s="5" t="s">
        <v>6</v>
      </c>
      <c r="B2231" s="5" t="s">
        <v>10832</v>
      </c>
      <c r="C2231" s="1" t="s">
        <v>10833</v>
      </c>
      <c r="D2231" s="5" t="s">
        <v>18042</v>
      </c>
      <c r="E2231" s="32">
        <v>33</v>
      </c>
      <c r="F2231" s="27">
        <v>40413</v>
      </c>
      <c r="I2231" s="27">
        <v>1224.6363636363637</v>
      </c>
    </row>
    <row r="2232" spans="1:11" x14ac:dyDescent="0.25">
      <c r="A2232" s="5" t="s">
        <v>6</v>
      </c>
      <c r="B2232" s="5" t="s">
        <v>10838</v>
      </c>
      <c r="C2232" s="1" t="s">
        <v>10839</v>
      </c>
      <c r="D2232" s="5" t="s">
        <v>18043</v>
      </c>
      <c r="E2232" s="32">
        <v>980</v>
      </c>
      <c r="F2232" s="27">
        <v>26460</v>
      </c>
      <c r="G2232" s="32">
        <v>1500</v>
      </c>
      <c r="H2232" s="27">
        <v>42580</v>
      </c>
      <c r="I2232" s="27">
        <v>27</v>
      </c>
      <c r="J2232" s="27">
        <v>28.386666666666667</v>
      </c>
      <c r="K2232" s="29">
        <v>5.1358024691358029E-2</v>
      </c>
    </row>
    <row r="2233" spans="1:11" x14ac:dyDescent="0.25">
      <c r="A2233" s="5" t="s">
        <v>6</v>
      </c>
      <c r="B2233" s="5" t="s">
        <v>10844</v>
      </c>
      <c r="C2233" s="1" t="s">
        <v>10845</v>
      </c>
      <c r="D2233" s="5" t="s">
        <v>17789</v>
      </c>
      <c r="E2233" s="32">
        <v>118</v>
      </c>
      <c r="F2233" s="27">
        <v>20677</v>
      </c>
      <c r="G2233" s="32">
        <v>32</v>
      </c>
      <c r="H2233" s="27">
        <v>6203</v>
      </c>
      <c r="I2233" s="27">
        <v>175.22881355932202</v>
      </c>
      <c r="J2233" s="27">
        <v>193.84375</v>
      </c>
      <c r="K2233" s="29">
        <v>0.10623216617497712</v>
      </c>
    </row>
    <row r="2234" spans="1:11" x14ac:dyDescent="0.25">
      <c r="A2234" s="5" t="s">
        <v>6</v>
      </c>
      <c r="B2234" s="5" t="s">
        <v>10847</v>
      </c>
      <c r="C2234" s="1" t="s">
        <v>10848</v>
      </c>
      <c r="D2234" s="5" t="s">
        <v>17789</v>
      </c>
      <c r="E2234" s="32">
        <v>310</v>
      </c>
      <c r="F2234" s="27">
        <v>57485</v>
      </c>
      <c r="G2234" s="32">
        <v>258</v>
      </c>
      <c r="H2234" s="27">
        <v>51024</v>
      </c>
      <c r="I2234" s="27">
        <v>185.43548387096774</v>
      </c>
      <c r="J2234" s="27">
        <v>197.76744186046511</v>
      </c>
      <c r="K2234" s="29">
        <v>6.6502687253095313E-2</v>
      </c>
    </row>
    <row r="2235" spans="1:11" x14ac:dyDescent="0.25">
      <c r="A2235" s="5" t="s">
        <v>6</v>
      </c>
      <c r="B2235" s="5" t="s">
        <v>10850</v>
      </c>
      <c r="C2235" s="1" t="s">
        <v>10851</v>
      </c>
      <c r="D2235" s="5" t="s">
        <v>17789</v>
      </c>
      <c r="E2235" s="32">
        <v>16</v>
      </c>
      <c r="F2235" s="27">
        <v>2352</v>
      </c>
      <c r="G2235" s="32">
        <v>20</v>
      </c>
      <c r="H2235" s="27">
        <v>3048</v>
      </c>
      <c r="I2235" s="27">
        <v>147</v>
      </c>
      <c r="J2235" s="27">
        <v>152.4</v>
      </c>
      <c r="K2235" s="29">
        <v>3.6734693877551058E-2</v>
      </c>
    </row>
    <row r="2236" spans="1:11" x14ac:dyDescent="0.25">
      <c r="A2236" s="5" t="s">
        <v>6</v>
      </c>
      <c r="B2236" s="5" t="s">
        <v>10853</v>
      </c>
      <c r="C2236" s="1" t="s">
        <v>10854</v>
      </c>
      <c r="D2236" s="5" t="s">
        <v>18044</v>
      </c>
      <c r="E2236" s="32">
        <v>12</v>
      </c>
      <c r="F2236" s="27">
        <v>980</v>
      </c>
      <c r="G2236" s="32">
        <v>32</v>
      </c>
      <c r="H2236" s="27">
        <v>2800</v>
      </c>
      <c r="I2236" s="27">
        <v>81.666666666666671</v>
      </c>
      <c r="J2236" s="27">
        <v>87.5</v>
      </c>
      <c r="K2236" s="29">
        <v>7.1428571428571369E-2</v>
      </c>
    </row>
    <row r="2237" spans="1:11" x14ac:dyDescent="0.25">
      <c r="A2237" s="5" t="s">
        <v>6</v>
      </c>
      <c r="B2237" s="5" t="s">
        <v>10856</v>
      </c>
      <c r="C2237" s="1" t="s">
        <v>10857</v>
      </c>
      <c r="D2237" s="5" t="s">
        <v>18045</v>
      </c>
      <c r="E2237" s="32">
        <v>394</v>
      </c>
      <c r="F2237" s="27">
        <v>105582</v>
      </c>
      <c r="G2237" s="32">
        <v>286</v>
      </c>
      <c r="H2237" s="27">
        <v>81444</v>
      </c>
      <c r="I2237" s="27">
        <v>267.97461928934013</v>
      </c>
      <c r="J2237" s="27">
        <v>284.76923076923077</v>
      </c>
      <c r="K2237" s="29">
        <v>6.2672396081499826E-2</v>
      </c>
    </row>
    <row r="2238" spans="1:11" x14ac:dyDescent="0.25">
      <c r="A2238" s="5" t="s">
        <v>6</v>
      </c>
      <c r="B2238" s="5" t="s">
        <v>10859</v>
      </c>
      <c r="C2238" s="1" t="s">
        <v>10860</v>
      </c>
      <c r="D2238" s="5" t="s">
        <v>17755</v>
      </c>
      <c r="E2238" s="32">
        <v>2</v>
      </c>
      <c r="F2238" s="27">
        <v>74</v>
      </c>
      <c r="I2238" s="27">
        <v>37</v>
      </c>
    </row>
    <row r="2239" spans="1:11" x14ac:dyDescent="0.25">
      <c r="A2239" s="5" t="s">
        <v>6</v>
      </c>
      <c r="B2239" s="5" t="s">
        <v>10865</v>
      </c>
      <c r="C2239" s="1" t="s">
        <v>10866</v>
      </c>
      <c r="D2239" s="5" t="s">
        <v>17755</v>
      </c>
      <c r="E2239" s="32">
        <v>287</v>
      </c>
      <c r="F2239" s="27">
        <v>10538</v>
      </c>
      <c r="G2239" s="32">
        <v>275</v>
      </c>
      <c r="H2239" s="27">
        <v>10688</v>
      </c>
      <c r="I2239" s="27">
        <v>36.717770034843205</v>
      </c>
      <c r="J2239" s="27">
        <v>38.865454545454547</v>
      </c>
      <c r="K2239" s="29">
        <v>5.8491692403250618E-2</v>
      </c>
    </row>
    <row r="2240" spans="1:11" x14ac:dyDescent="0.25">
      <c r="A2240" s="5" t="s">
        <v>6</v>
      </c>
      <c r="B2240" s="5" t="s">
        <v>10868</v>
      </c>
      <c r="C2240" s="1" t="s">
        <v>10869</v>
      </c>
      <c r="D2240" s="5" t="s">
        <v>17755</v>
      </c>
      <c r="E2240" s="32">
        <v>1</v>
      </c>
      <c r="F2240" s="27">
        <v>34</v>
      </c>
      <c r="I2240" s="27">
        <v>34</v>
      </c>
    </row>
    <row r="2241" spans="1:11" x14ac:dyDescent="0.25">
      <c r="A2241" s="5" t="s">
        <v>6</v>
      </c>
      <c r="B2241" s="5" t="s">
        <v>10871</v>
      </c>
      <c r="C2241" s="1" t="s">
        <v>10872</v>
      </c>
      <c r="D2241" s="5" t="s">
        <v>17755</v>
      </c>
      <c r="E2241" s="32">
        <v>2</v>
      </c>
      <c r="F2241" s="27">
        <v>10</v>
      </c>
      <c r="I2241" s="27">
        <v>5</v>
      </c>
    </row>
    <row r="2242" spans="1:11" x14ac:dyDescent="0.25">
      <c r="A2242" s="5" t="s">
        <v>6</v>
      </c>
      <c r="B2242" s="5" t="s">
        <v>10874</v>
      </c>
      <c r="C2242" s="1" t="s">
        <v>10875</v>
      </c>
      <c r="D2242" s="5" t="s">
        <v>17755</v>
      </c>
      <c r="E2242" s="32">
        <v>80</v>
      </c>
      <c r="F2242" s="27">
        <v>2666</v>
      </c>
      <c r="G2242" s="32">
        <v>142</v>
      </c>
      <c r="H2242" s="27">
        <v>5101</v>
      </c>
      <c r="I2242" s="27">
        <v>33.325000000000003</v>
      </c>
      <c r="J2242" s="27">
        <v>35.922535211267608</v>
      </c>
      <c r="K2242" s="29">
        <v>7.7945542723709071E-2</v>
      </c>
    </row>
    <row r="2243" spans="1:11" x14ac:dyDescent="0.25">
      <c r="A2243" s="5" t="s">
        <v>6</v>
      </c>
      <c r="B2243" s="5" t="s">
        <v>10880</v>
      </c>
      <c r="C2243" s="1" t="s">
        <v>10881</v>
      </c>
      <c r="D2243" s="5" t="s">
        <v>17755</v>
      </c>
      <c r="E2243" s="32">
        <v>1</v>
      </c>
      <c r="F2243" s="27">
        <v>37</v>
      </c>
      <c r="I2243" s="27">
        <v>37</v>
      </c>
    </row>
    <row r="2244" spans="1:11" x14ac:dyDescent="0.25">
      <c r="A2244" s="5" t="s">
        <v>6</v>
      </c>
      <c r="B2244" s="5" t="s">
        <v>10886</v>
      </c>
      <c r="C2244" s="1" t="s">
        <v>10887</v>
      </c>
      <c r="D2244" s="5" t="s">
        <v>17789</v>
      </c>
      <c r="E2244" s="32">
        <v>2</v>
      </c>
      <c r="F2244" s="27">
        <v>1084</v>
      </c>
      <c r="G2244" s="32">
        <v>15</v>
      </c>
      <c r="H2244" s="27">
        <v>8646</v>
      </c>
      <c r="I2244" s="27">
        <v>542</v>
      </c>
      <c r="J2244" s="27">
        <v>576.4</v>
      </c>
      <c r="K2244" s="29">
        <v>6.3468634686346823E-2</v>
      </c>
    </row>
    <row r="2245" spans="1:11" x14ac:dyDescent="0.25">
      <c r="A2245" s="5" t="s">
        <v>6</v>
      </c>
      <c r="B2245" s="5" t="s">
        <v>10891</v>
      </c>
      <c r="C2245" s="1" t="s">
        <v>10892</v>
      </c>
      <c r="D2245" s="5" t="s">
        <v>17755</v>
      </c>
      <c r="E2245" s="32">
        <v>2</v>
      </c>
      <c r="F2245" s="27">
        <v>68</v>
      </c>
      <c r="I2245" s="27">
        <v>34</v>
      </c>
    </row>
    <row r="2246" spans="1:11" x14ac:dyDescent="0.25">
      <c r="A2246" s="5" t="s">
        <v>6</v>
      </c>
      <c r="B2246" s="5" t="s">
        <v>10894</v>
      </c>
      <c r="C2246" s="1" t="s">
        <v>10895</v>
      </c>
      <c r="D2246" s="5" t="s">
        <v>17755</v>
      </c>
      <c r="E2246" s="32">
        <v>525</v>
      </c>
      <c r="F2246" s="27">
        <v>20385</v>
      </c>
      <c r="G2246" s="32">
        <v>411</v>
      </c>
      <c r="H2246" s="27">
        <v>16788</v>
      </c>
      <c r="I2246" s="27">
        <v>38.828571428571429</v>
      </c>
      <c r="J2246" s="27">
        <v>40.846715328467155</v>
      </c>
      <c r="K2246" s="29">
        <v>5.1975744294591918E-2</v>
      </c>
    </row>
    <row r="2247" spans="1:11" x14ac:dyDescent="0.25">
      <c r="A2247" s="5" t="s">
        <v>6</v>
      </c>
      <c r="B2247" s="5" t="s">
        <v>10900</v>
      </c>
      <c r="C2247" s="1" t="s">
        <v>10901</v>
      </c>
      <c r="D2247" s="5" t="s">
        <v>18046</v>
      </c>
      <c r="E2247" s="32">
        <v>17526</v>
      </c>
      <c r="F2247" s="27">
        <v>5283654</v>
      </c>
      <c r="G2247" s="32">
        <v>26324</v>
      </c>
      <c r="H2247" s="27">
        <v>8441812</v>
      </c>
      <c r="I2247" s="27">
        <v>301.47517973296817</v>
      </c>
      <c r="J2247" s="27">
        <v>320.68880109405865</v>
      </c>
      <c r="K2247" s="29">
        <v>6.373201726957739E-2</v>
      </c>
    </row>
    <row r="2248" spans="1:11" x14ac:dyDescent="0.25">
      <c r="A2248" s="5" t="s">
        <v>6</v>
      </c>
      <c r="B2248" s="5" t="s">
        <v>10903</v>
      </c>
      <c r="C2248" s="1" t="s">
        <v>10904</v>
      </c>
      <c r="D2248" s="5" t="s">
        <v>17789</v>
      </c>
      <c r="E2248" s="32">
        <v>2</v>
      </c>
      <c r="F2248" s="27">
        <v>108</v>
      </c>
      <c r="I2248" s="27">
        <v>54</v>
      </c>
    </row>
    <row r="2249" spans="1:11" x14ac:dyDescent="0.25">
      <c r="A2249" s="5" t="s">
        <v>6</v>
      </c>
      <c r="B2249" s="5" t="s">
        <v>10906</v>
      </c>
      <c r="C2249" s="1" t="s">
        <v>10907</v>
      </c>
      <c r="D2249" s="5" t="s">
        <v>17789</v>
      </c>
      <c r="E2249" s="32">
        <v>2</v>
      </c>
      <c r="F2249" s="27">
        <v>662</v>
      </c>
      <c r="I2249" s="27">
        <v>331</v>
      </c>
    </row>
    <row r="2250" spans="1:11" x14ac:dyDescent="0.25">
      <c r="A2250" s="5" t="s">
        <v>6</v>
      </c>
      <c r="B2250" s="5" t="s">
        <v>10909</v>
      </c>
      <c r="C2250" s="1" t="s">
        <v>10910</v>
      </c>
      <c r="D2250" s="5" t="s">
        <v>17789</v>
      </c>
      <c r="E2250" s="32">
        <v>7</v>
      </c>
      <c r="F2250" s="27">
        <v>3112</v>
      </c>
      <c r="I2250" s="27">
        <v>444.57142857142856</v>
      </c>
    </row>
    <row r="2251" spans="1:11" x14ac:dyDescent="0.25">
      <c r="A2251" s="5" t="s">
        <v>6</v>
      </c>
      <c r="B2251" s="5" t="s">
        <v>10915</v>
      </c>
      <c r="C2251" s="1" t="s">
        <v>10916</v>
      </c>
      <c r="D2251" s="5" t="s">
        <v>17789</v>
      </c>
      <c r="E2251" s="32">
        <v>1</v>
      </c>
      <c r="F2251" s="27">
        <v>619</v>
      </c>
      <c r="I2251" s="27">
        <v>619</v>
      </c>
    </row>
    <row r="2252" spans="1:11" x14ac:dyDescent="0.25">
      <c r="A2252" s="5" t="s">
        <v>6</v>
      </c>
      <c r="B2252" s="5" t="s">
        <v>10924</v>
      </c>
      <c r="C2252" s="1" t="s">
        <v>10925</v>
      </c>
      <c r="D2252" s="5" t="s">
        <v>17755</v>
      </c>
      <c r="E2252" s="32">
        <v>29</v>
      </c>
      <c r="F2252" s="27">
        <v>521</v>
      </c>
      <c r="G2252" s="32">
        <v>60</v>
      </c>
      <c r="H2252" s="27">
        <v>1112</v>
      </c>
      <c r="I2252" s="27">
        <v>17.96551724137931</v>
      </c>
      <c r="J2252" s="27">
        <v>18.533333333333335</v>
      </c>
      <c r="K2252" s="29">
        <v>3.1605886116442876E-2</v>
      </c>
    </row>
    <row r="2253" spans="1:11" x14ac:dyDescent="0.25">
      <c r="A2253" s="5" t="s">
        <v>6</v>
      </c>
      <c r="B2253" s="5" t="s">
        <v>10927</v>
      </c>
      <c r="C2253" s="1" t="s">
        <v>10928</v>
      </c>
      <c r="D2253" s="5" t="s">
        <v>17755</v>
      </c>
      <c r="E2253" s="32">
        <v>15031</v>
      </c>
      <c r="F2253" s="27">
        <v>192952</v>
      </c>
      <c r="G2253" s="32">
        <v>14564</v>
      </c>
      <c r="H2253" s="27">
        <v>199204</v>
      </c>
      <c r="I2253" s="27">
        <v>12.83693699687313</v>
      </c>
      <c r="J2253" s="27">
        <v>13.677835759406756</v>
      </c>
      <c r="K2253" s="29">
        <v>6.5506184437802872E-2</v>
      </c>
    </row>
    <row r="2254" spans="1:11" x14ac:dyDescent="0.25">
      <c r="A2254" s="5" t="s">
        <v>6</v>
      </c>
      <c r="B2254" s="5" t="s">
        <v>10933</v>
      </c>
      <c r="C2254" s="1" t="s">
        <v>10934</v>
      </c>
      <c r="D2254" s="5" t="s">
        <v>17755</v>
      </c>
      <c r="E2254" s="32">
        <v>5507</v>
      </c>
      <c r="F2254" s="27">
        <v>124839</v>
      </c>
      <c r="G2254" s="32">
        <v>6437</v>
      </c>
      <c r="H2254" s="27">
        <v>157329</v>
      </c>
      <c r="I2254" s="27">
        <v>22.669148356637006</v>
      </c>
      <c r="J2254" s="27">
        <v>24.441354668323754</v>
      </c>
      <c r="K2254" s="29">
        <v>7.817701326075123E-2</v>
      </c>
    </row>
    <row r="2255" spans="1:11" x14ac:dyDescent="0.25">
      <c r="A2255" s="5" t="s">
        <v>6</v>
      </c>
      <c r="B2255" s="5" t="s">
        <v>10945</v>
      </c>
      <c r="C2255" s="1" t="s">
        <v>10946</v>
      </c>
      <c r="D2255" s="5" t="s">
        <v>17755</v>
      </c>
      <c r="E2255" s="32">
        <v>19</v>
      </c>
      <c r="F2255" s="27">
        <v>57</v>
      </c>
      <c r="G2255" s="32">
        <v>64</v>
      </c>
      <c r="H2255" s="27">
        <v>192</v>
      </c>
      <c r="I2255" s="27">
        <v>3</v>
      </c>
      <c r="J2255" s="27">
        <v>3</v>
      </c>
      <c r="K2255" s="29">
        <v>0</v>
      </c>
    </row>
    <row r="2256" spans="1:11" x14ac:dyDescent="0.25">
      <c r="A2256" s="5" t="s">
        <v>6</v>
      </c>
      <c r="B2256" s="5" t="s">
        <v>10948</v>
      </c>
      <c r="C2256" s="1" t="s">
        <v>10949</v>
      </c>
      <c r="D2256" s="5" t="s">
        <v>17755</v>
      </c>
      <c r="E2256" s="32">
        <v>211</v>
      </c>
      <c r="F2256" s="27">
        <v>7744</v>
      </c>
      <c r="G2256" s="32">
        <v>362</v>
      </c>
      <c r="H2256" s="27">
        <v>13733</v>
      </c>
      <c r="I2256" s="27">
        <v>36.70142180094787</v>
      </c>
      <c r="J2256" s="27">
        <v>37.936464088397791</v>
      </c>
      <c r="K2256" s="29">
        <v>3.3651074722615373E-2</v>
      </c>
    </row>
    <row r="2257" spans="1:11" x14ac:dyDescent="0.25">
      <c r="A2257" s="5" t="s">
        <v>6</v>
      </c>
      <c r="B2257" s="5" t="s">
        <v>10951</v>
      </c>
      <c r="C2257" s="1" t="s">
        <v>10952</v>
      </c>
      <c r="D2257" s="5" t="s">
        <v>18047</v>
      </c>
      <c r="E2257" s="32">
        <v>12458</v>
      </c>
      <c r="F2257" s="27">
        <v>4571939</v>
      </c>
      <c r="G2257" s="32">
        <v>12866</v>
      </c>
      <c r="H2257" s="27">
        <v>5028612</v>
      </c>
      <c r="I2257" s="27">
        <v>366.9882003531867</v>
      </c>
      <c r="J2257" s="27">
        <v>390.84501787657393</v>
      </c>
      <c r="K2257" s="29">
        <v>6.5007042461930967E-2</v>
      </c>
    </row>
    <row r="2258" spans="1:11" x14ac:dyDescent="0.25">
      <c r="A2258" s="5" t="s">
        <v>6</v>
      </c>
      <c r="B2258" s="5" t="s">
        <v>10960</v>
      </c>
      <c r="C2258" s="1" t="s">
        <v>10961</v>
      </c>
      <c r="D2258" s="5" t="s">
        <v>18048</v>
      </c>
      <c r="E2258" s="32">
        <v>87</v>
      </c>
      <c r="F2258" s="27">
        <v>33714</v>
      </c>
      <c r="G2258" s="32">
        <v>114</v>
      </c>
      <c r="H2258" s="27">
        <v>48486</v>
      </c>
      <c r="I2258" s="27">
        <v>387.51724137931035</v>
      </c>
      <c r="J2258" s="27">
        <v>425.31578947368422</v>
      </c>
      <c r="K2258" s="29">
        <v>9.7540300296924926E-2</v>
      </c>
    </row>
    <row r="2259" spans="1:11" x14ac:dyDescent="0.25">
      <c r="A2259" s="5" t="s">
        <v>6</v>
      </c>
      <c r="B2259" s="5" t="s">
        <v>10969</v>
      </c>
      <c r="C2259" s="1" t="s">
        <v>10970</v>
      </c>
      <c r="D2259" s="5" t="s">
        <v>17755</v>
      </c>
      <c r="E2259" s="32">
        <v>1348</v>
      </c>
      <c r="F2259" s="27">
        <v>2696</v>
      </c>
      <c r="G2259" s="32">
        <v>575</v>
      </c>
      <c r="H2259" s="27">
        <v>1150</v>
      </c>
      <c r="I2259" s="27">
        <v>2</v>
      </c>
      <c r="J2259" s="27">
        <v>2</v>
      </c>
      <c r="K2259" s="29">
        <v>0</v>
      </c>
    </row>
    <row r="2260" spans="1:11" x14ac:dyDescent="0.25">
      <c r="A2260" s="5" t="s">
        <v>6</v>
      </c>
      <c r="B2260" s="5" t="s">
        <v>10975</v>
      </c>
      <c r="C2260" s="1" t="s">
        <v>10976</v>
      </c>
      <c r="D2260" s="5" t="s">
        <v>17755</v>
      </c>
      <c r="E2260" s="32">
        <v>316</v>
      </c>
      <c r="F2260" s="27">
        <v>9722</v>
      </c>
      <c r="G2260" s="32">
        <v>158</v>
      </c>
      <c r="H2260" s="27">
        <v>5072</v>
      </c>
      <c r="I2260" s="27">
        <v>30.765822784810126</v>
      </c>
      <c r="J2260" s="27">
        <v>32.101265822784811</v>
      </c>
      <c r="K2260" s="29">
        <v>4.340670643900435E-2</v>
      </c>
    </row>
    <row r="2261" spans="1:11" x14ac:dyDescent="0.25">
      <c r="A2261" s="5" t="s">
        <v>6</v>
      </c>
      <c r="B2261" s="5" t="s">
        <v>10978</v>
      </c>
      <c r="C2261" s="1" t="s">
        <v>10979</v>
      </c>
      <c r="D2261" s="5" t="s">
        <v>18049</v>
      </c>
      <c r="E2261" s="32">
        <v>56</v>
      </c>
      <c r="F2261" s="27">
        <v>1512</v>
      </c>
      <c r="G2261" s="32">
        <v>16</v>
      </c>
      <c r="H2261" s="27">
        <v>452</v>
      </c>
      <c r="I2261" s="27">
        <v>27</v>
      </c>
      <c r="J2261" s="27">
        <v>28.25</v>
      </c>
      <c r="K2261" s="29">
        <v>4.6296296296296294E-2</v>
      </c>
    </row>
    <row r="2262" spans="1:11" x14ac:dyDescent="0.25">
      <c r="A2262" s="5" t="s">
        <v>6</v>
      </c>
      <c r="B2262" s="5" t="s">
        <v>10981</v>
      </c>
      <c r="C2262" s="1" t="s">
        <v>10982</v>
      </c>
      <c r="D2262" s="5" t="s">
        <v>17755</v>
      </c>
      <c r="E2262" s="32">
        <v>219</v>
      </c>
      <c r="F2262" s="27">
        <v>4953</v>
      </c>
      <c r="G2262" s="32">
        <v>517</v>
      </c>
      <c r="H2262" s="27">
        <v>12551</v>
      </c>
      <c r="I2262" s="27">
        <v>22.616438356164384</v>
      </c>
      <c r="J2262" s="27">
        <v>24.276595744680851</v>
      </c>
      <c r="K2262" s="29">
        <v>7.3404899673956442E-2</v>
      </c>
    </row>
    <row r="2263" spans="1:11" x14ac:dyDescent="0.25">
      <c r="A2263" s="5" t="s">
        <v>6</v>
      </c>
      <c r="B2263" s="5" t="s">
        <v>10984</v>
      </c>
      <c r="C2263" s="1" t="s">
        <v>10985</v>
      </c>
      <c r="D2263" s="5" t="s">
        <v>17755</v>
      </c>
      <c r="E2263" s="32">
        <v>1234</v>
      </c>
      <c r="F2263" s="27">
        <v>77756.11</v>
      </c>
      <c r="G2263" s="32">
        <v>1170</v>
      </c>
      <c r="H2263" s="27">
        <v>77470</v>
      </c>
      <c r="I2263" s="27">
        <v>63.011434359805513</v>
      </c>
      <c r="J2263" s="27">
        <v>66.213675213675216</v>
      </c>
      <c r="K2263" s="29">
        <v>5.0819996186476077E-2</v>
      </c>
    </row>
    <row r="2264" spans="1:11" x14ac:dyDescent="0.25">
      <c r="A2264" s="5" t="s">
        <v>6</v>
      </c>
      <c r="B2264" s="5" t="s">
        <v>10990</v>
      </c>
      <c r="C2264" s="1" t="s">
        <v>10991</v>
      </c>
      <c r="D2264" s="5" t="s">
        <v>17755</v>
      </c>
      <c r="E2264" s="32">
        <v>453</v>
      </c>
      <c r="F2264" s="27">
        <v>30736.14</v>
      </c>
      <c r="G2264" s="32">
        <v>195</v>
      </c>
      <c r="H2264" s="27">
        <v>13965</v>
      </c>
      <c r="I2264" s="27">
        <v>67.850198675496685</v>
      </c>
      <c r="J2264" s="27">
        <v>71.615384615384613</v>
      </c>
      <c r="K2264" s="29">
        <v>5.5492629548447907E-2</v>
      </c>
    </row>
    <row r="2265" spans="1:11" x14ac:dyDescent="0.25">
      <c r="A2265" s="5" t="s">
        <v>6</v>
      </c>
      <c r="B2265" s="5" t="s">
        <v>10993</v>
      </c>
      <c r="C2265" s="1" t="s">
        <v>10994</v>
      </c>
      <c r="D2265" s="5" t="s">
        <v>17755</v>
      </c>
      <c r="E2265" s="32">
        <v>4</v>
      </c>
      <c r="F2265" s="27">
        <v>84</v>
      </c>
      <c r="I2265" s="27">
        <v>21</v>
      </c>
    </row>
    <row r="2266" spans="1:11" x14ac:dyDescent="0.25">
      <c r="A2266" s="5" t="s">
        <v>6</v>
      </c>
      <c r="B2266" s="5" t="s">
        <v>10996</v>
      </c>
      <c r="C2266" s="1" t="s">
        <v>10997</v>
      </c>
      <c r="D2266" s="5" t="s">
        <v>17755</v>
      </c>
      <c r="E2266" s="32">
        <v>1</v>
      </c>
      <c r="F2266" s="27">
        <v>31</v>
      </c>
      <c r="I2266" s="27">
        <v>31</v>
      </c>
    </row>
    <row r="2267" spans="1:11" x14ac:dyDescent="0.25">
      <c r="A2267" s="5" t="s">
        <v>6</v>
      </c>
      <c r="B2267" s="5" t="s">
        <v>11002</v>
      </c>
      <c r="C2267" s="1" t="s">
        <v>11003</v>
      </c>
      <c r="D2267" s="5" t="s">
        <v>18050</v>
      </c>
      <c r="E2267" s="32">
        <v>150</v>
      </c>
      <c r="F2267" s="27">
        <v>60184</v>
      </c>
      <c r="G2267" s="32">
        <v>131</v>
      </c>
      <c r="H2267" s="27">
        <v>55772</v>
      </c>
      <c r="I2267" s="27">
        <v>401.22666666666669</v>
      </c>
      <c r="J2267" s="27">
        <v>425.74045801526717</v>
      </c>
      <c r="K2267" s="29">
        <v>6.1097113888908539E-2</v>
      </c>
    </row>
    <row r="2268" spans="1:11" x14ac:dyDescent="0.25">
      <c r="A2268" s="5" t="s">
        <v>6</v>
      </c>
      <c r="B2268" s="5" t="s">
        <v>11011</v>
      </c>
      <c r="C2268" s="1" t="s">
        <v>11012</v>
      </c>
      <c r="D2268" s="5" t="s">
        <v>18051</v>
      </c>
      <c r="E2268" s="32">
        <v>21990</v>
      </c>
      <c r="F2268" s="27">
        <v>1300965</v>
      </c>
      <c r="G2268" s="32">
        <v>22440</v>
      </c>
      <c r="H2268" s="27">
        <v>1424790</v>
      </c>
      <c r="I2268" s="27">
        <v>59.16166439290587</v>
      </c>
      <c r="J2268" s="27">
        <v>63.493315508021389</v>
      </c>
      <c r="K2268" s="29">
        <v>7.3217194944821942E-2</v>
      </c>
    </row>
    <row r="2269" spans="1:11" x14ac:dyDescent="0.25">
      <c r="A2269" s="5" t="s">
        <v>6</v>
      </c>
      <c r="B2269" s="5" t="s">
        <v>11020</v>
      </c>
      <c r="C2269" s="1" t="s">
        <v>11021</v>
      </c>
      <c r="D2269" s="5" t="s">
        <v>17755</v>
      </c>
      <c r="E2269" s="32">
        <v>35</v>
      </c>
      <c r="F2269" s="27">
        <v>70</v>
      </c>
      <c r="G2269" s="32">
        <v>59</v>
      </c>
      <c r="H2269" s="27">
        <v>118</v>
      </c>
      <c r="I2269" s="27">
        <v>2</v>
      </c>
      <c r="J2269" s="27">
        <v>2</v>
      </c>
      <c r="K2269" s="29">
        <v>0</v>
      </c>
    </row>
    <row r="2270" spans="1:11" x14ac:dyDescent="0.25">
      <c r="A2270" s="5" t="s">
        <v>6</v>
      </c>
      <c r="B2270" s="5" t="s">
        <v>11023</v>
      </c>
      <c r="C2270" s="1" t="s">
        <v>11024</v>
      </c>
      <c r="D2270" s="5" t="s">
        <v>17755</v>
      </c>
      <c r="E2270" s="32">
        <v>2</v>
      </c>
      <c r="F2270" s="27">
        <v>74</v>
      </c>
      <c r="I2270" s="27">
        <v>37</v>
      </c>
    </row>
    <row r="2271" spans="1:11" x14ac:dyDescent="0.25">
      <c r="A2271" s="5" t="s">
        <v>6</v>
      </c>
      <c r="B2271" s="5" t="s">
        <v>11029</v>
      </c>
      <c r="C2271" s="1" t="s">
        <v>11030</v>
      </c>
      <c r="D2271" s="5" t="s">
        <v>17755</v>
      </c>
      <c r="E2271" s="32">
        <v>543</v>
      </c>
      <c r="F2271" s="27">
        <v>15916</v>
      </c>
      <c r="G2271" s="32">
        <v>310</v>
      </c>
      <c r="H2271" s="27">
        <v>9792</v>
      </c>
      <c r="I2271" s="27">
        <v>29.311233885819522</v>
      </c>
      <c r="J2271" s="27">
        <v>31.587096774193547</v>
      </c>
      <c r="K2271" s="29">
        <v>7.7644731615173129E-2</v>
      </c>
    </row>
    <row r="2272" spans="1:11" x14ac:dyDescent="0.25">
      <c r="A2272" s="5" t="s">
        <v>6</v>
      </c>
      <c r="B2272" s="5" t="s">
        <v>11035</v>
      </c>
      <c r="C2272" s="1" t="s">
        <v>11036</v>
      </c>
      <c r="D2272" s="5" t="s">
        <v>17755</v>
      </c>
      <c r="E2272" s="32">
        <v>285</v>
      </c>
      <c r="F2272" s="27">
        <v>10329</v>
      </c>
      <c r="G2272" s="32">
        <v>214</v>
      </c>
      <c r="H2272" s="27">
        <v>8317</v>
      </c>
      <c r="I2272" s="27">
        <v>36.242105263157896</v>
      </c>
      <c r="J2272" s="27">
        <v>38.864485981308412</v>
      </c>
      <c r="K2272" s="29">
        <v>7.2357295447080763E-2</v>
      </c>
    </row>
    <row r="2273" spans="1:11" x14ac:dyDescent="0.25">
      <c r="A2273" s="5" t="s">
        <v>6</v>
      </c>
      <c r="B2273" s="5" t="s">
        <v>11038</v>
      </c>
      <c r="C2273" s="1" t="s">
        <v>11039</v>
      </c>
      <c r="D2273" s="5" t="s">
        <v>17789</v>
      </c>
      <c r="E2273" s="32">
        <v>8</v>
      </c>
      <c r="F2273" s="27">
        <v>280</v>
      </c>
      <c r="I2273" s="27">
        <v>35</v>
      </c>
    </row>
    <row r="2274" spans="1:11" x14ac:dyDescent="0.25">
      <c r="A2274" s="5" t="s">
        <v>6</v>
      </c>
      <c r="B2274" s="5" t="s">
        <v>11041</v>
      </c>
      <c r="C2274" s="1" t="s">
        <v>11042</v>
      </c>
      <c r="D2274" s="5" t="s">
        <v>17789</v>
      </c>
      <c r="E2274" s="32">
        <v>1</v>
      </c>
      <c r="F2274" s="27">
        <v>95</v>
      </c>
      <c r="I2274" s="27">
        <v>95</v>
      </c>
    </row>
    <row r="2275" spans="1:11" x14ac:dyDescent="0.25">
      <c r="A2275" s="5" t="s">
        <v>6</v>
      </c>
      <c r="B2275" s="5" t="s">
        <v>11044</v>
      </c>
      <c r="C2275" s="1" t="s">
        <v>11045</v>
      </c>
      <c r="D2275" s="5" t="s">
        <v>18051</v>
      </c>
      <c r="E2275" s="32">
        <v>39</v>
      </c>
      <c r="F2275" s="27">
        <v>3276</v>
      </c>
      <c r="I2275" s="27">
        <v>84</v>
      </c>
    </row>
    <row r="2276" spans="1:11" x14ac:dyDescent="0.25">
      <c r="A2276" s="5" t="s">
        <v>6</v>
      </c>
      <c r="B2276" s="5" t="s">
        <v>11053</v>
      </c>
      <c r="C2276" s="1" t="s">
        <v>11054</v>
      </c>
      <c r="D2276" s="5" t="s">
        <v>17755</v>
      </c>
      <c r="E2276" s="32">
        <v>9210</v>
      </c>
      <c r="F2276" s="27">
        <v>308805</v>
      </c>
      <c r="G2276" s="32">
        <v>10211</v>
      </c>
      <c r="H2276" s="27">
        <v>369233</v>
      </c>
      <c r="I2276" s="27">
        <v>33.529315960912051</v>
      </c>
      <c r="J2276" s="27">
        <v>36.160317304867299</v>
      </c>
      <c r="K2276" s="29">
        <v>7.846868534456318E-2</v>
      </c>
    </row>
    <row r="2277" spans="1:11" x14ac:dyDescent="0.25">
      <c r="A2277" s="5" t="s">
        <v>6</v>
      </c>
      <c r="B2277" s="5" t="s">
        <v>11059</v>
      </c>
      <c r="C2277" s="1" t="s">
        <v>11060</v>
      </c>
      <c r="D2277" s="5" t="s">
        <v>17755</v>
      </c>
      <c r="E2277" s="32">
        <v>2418</v>
      </c>
      <c r="F2277" s="27">
        <v>28730</v>
      </c>
      <c r="G2277" s="32">
        <v>1799</v>
      </c>
      <c r="H2277" s="27">
        <v>22760</v>
      </c>
      <c r="I2277" s="27">
        <v>11.881720430107526</v>
      </c>
      <c r="J2277" s="27">
        <v>12.651473040578098</v>
      </c>
      <c r="K2277" s="29">
        <v>6.4784608845034591E-2</v>
      </c>
    </row>
    <row r="2278" spans="1:11" x14ac:dyDescent="0.25">
      <c r="A2278" s="5" t="s">
        <v>6</v>
      </c>
      <c r="B2278" s="5" t="s">
        <v>11062</v>
      </c>
      <c r="C2278" s="1" t="s">
        <v>11063</v>
      </c>
      <c r="D2278" s="5" t="s">
        <v>17755</v>
      </c>
      <c r="E2278" s="32">
        <v>297</v>
      </c>
      <c r="F2278" s="27">
        <v>8436</v>
      </c>
      <c r="G2278" s="32">
        <v>520</v>
      </c>
      <c r="H2278" s="27">
        <v>16548</v>
      </c>
      <c r="I2278" s="27">
        <v>28.404040404040405</v>
      </c>
      <c r="J2278" s="27">
        <v>31.823076923076922</v>
      </c>
      <c r="K2278" s="29">
        <v>0.12037148484516898</v>
      </c>
    </row>
    <row r="2279" spans="1:11" x14ac:dyDescent="0.25">
      <c r="A2279" s="5" t="s">
        <v>6</v>
      </c>
      <c r="B2279" s="5" t="s">
        <v>11065</v>
      </c>
      <c r="C2279" s="1" t="s">
        <v>11066</v>
      </c>
      <c r="D2279" s="5" t="s">
        <v>17755</v>
      </c>
      <c r="E2279" s="32">
        <v>271</v>
      </c>
      <c r="F2279" s="27">
        <v>12123</v>
      </c>
      <c r="G2279" s="32">
        <v>425</v>
      </c>
      <c r="H2279" s="27">
        <v>20237</v>
      </c>
      <c r="I2279" s="27">
        <v>44.73431734317343</v>
      </c>
      <c r="J2279" s="27">
        <v>47.616470588235295</v>
      </c>
      <c r="K2279" s="29">
        <v>6.4428238011363964E-2</v>
      </c>
    </row>
    <row r="2280" spans="1:11" x14ac:dyDescent="0.25">
      <c r="A2280" s="5" t="s">
        <v>6</v>
      </c>
      <c r="B2280" s="5" t="s">
        <v>11068</v>
      </c>
      <c r="C2280" s="1" t="s">
        <v>11069</v>
      </c>
      <c r="D2280" s="5" t="s">
        <v>17755</v>
      </c>
      <c r="E2280" s="32">
        <v>1</v>
      </c>
      <c r="F2280" s="27">
        <v>84</v>
      </c>
      <c r="I2280" s="27">
        <v>84</v>
      </c>
    </row>
    <row r="2281" spans="1:11" x14ac:dyDescent="0.25">
      <c r="A2281" s="5" t="s">
        <v>6</v>
      </c>
      <c r="B2281" s="5" t="s">
        <v>11077</v>
      </c>
      <c r="C2281" s="1" t="s">
        <v>11078</v>
      </c>
      <c r="D2281" s="5" t="s">
        <v>17755</v>
      </c>
      <c r="E2281" s="32">
        <v>12</v>
      </c>
      <c r="F2281" s="27">
        <v>348</v>
      </c>
      <c r="I2281" s="27">
        <v>29</v>
      </c>
    </row>
    <row r="2282" spans="1:11" x14ac:dyDescent="0.25">
      <c r="A2282" s="5" t="s">
        <v>6</v>
      </c>
      <c r="B2282" s="5" t="s">
        <v>11080</v>
      </c>
      <c r="C2282" s="1" t="s">
        <v>11081</v>
      </c>
      <c r="D2282" s="5" t="s">
        <v>17755</v>
      </c>
      <c r="E2282" s="32">
        <v>773</v>
      </c>
      <c r="F2282" s="27">
        <v>6901</v>
      </c>
      <c r="G2282" s="32">
        <v>1273</v>
      </c>
      <c r="H2282" s="27">
        <v>11732</v>
      </c>
      <c r="I2282" s="27">
        <v>8.9275549805950849</v>
      </c>
      <c r="J2282" s="27">
        <v>9.2160251374705418</v>
      </c>
      <c r="K2282" s="29">
        <v>3.2312336076616162E-2</v>
      </c>
    </row>
    <row r="2283" spans="1:11" x14ac:dyDescent="0.25">
      <c r="A2283" s="5" t="s">
        <v>6</v>
      </c>
      <c r="B2283" s="5" t="s">
        <v>11083</v>
      </c>
      <c r="C2283" s="1" t="s">
        <v>11084</v>
      </c>
      <c r="D2283" s="5" t="s">
        <v>17755</v>
      </c>
      <c r="E2283" s="32">
        <v>2</v>
      </c>
      <c r="F2283" s="27">
        <v>68</v>
      </c>
      <c r="I2283" s="27">
        <v>34</v>
      </c>
    </row>
    <row r="2284" spans="1:11" x14ac:dyDescent="0.25">
      <c r="A2284" s="5" t="s">
        <v>6</v>
      </c>
      <c r="B2284" s="5" t="s">
        <v>11089</v>
      </c>
      <c r="C2284" s="1" t="s">
        <v>11090</v>
      </c>
      <c r="D2284" s="5" t="s">
        <v>18052</v>
      </c>
      <c r="E2284" s="32">
        <v>496</v>
      </c>
      <c r="F2284" s="27">
        <v>97584</v>
      </c>
      <c r="G2284" s="32">
        <v>376</v>
      </c>
      <c r="H2284" s="27">
        <v>79104</v>
      </c>
      <c r="I2284" s="27">
        <v>196.74193548387098</v>
      </c>
      <c r="J2284" s="27">
        <v>210.38297872340425</v>
      </c>
      <c r="K2284" s="29">
        <v>6.9334700840388841E-2</v>
      </c>
    </row>
    <row r="2285" spans="1:11" x14ac:dyDescent="0.25">
      <c r="A2285" s="5" t="s">
        <v>6</v>
      </c>
      <c r="B2285" s="5" t="s">
        <v>11101</v>
      </c>
      <c r="C2285" s="1" t="s">
        <v>11102</v>
      </c>
      <c r="D2285" s="5" t="s">
        <v>17789</v>
      </c>
      <c r="E2285" s="32">
        <v>139</v>
      </c>
      <c r="F2285" s="27">
        <v>31883</v>
      </c>
      <c r="G2285" s="32">
        <v>205</v>
      </c>
      <c r="H2285" s="27">
        <v>50729</v>
      </c>
      <c r="I2285" s="27">
        <v>229.37410071942446</v>
      </c>
      <c r="J2285" s="27">
        <v>247.45853658536586</v>
      </c>
      <c r="K2285" s="29">
        <v>7.884253631608866E-2</v>
      </c>
    </row>
    <row r="2286" spans="1:11" x14ac:dyDescent="0.25">
      <c r="A2286" s="5" t="s">
        <v>6</v>
      </c>
      <c r="B2286" s="5" t="s">
        <v>11107</v>
      </c>
      <c r="C2286" s="1" t="s">
        <v>11108</v>
      </c>
      <c r="D2286" s="5" t="s">
        <v>17789</v>
      </c>
      <c r="E2286" s="32">
        <v>5</v>
      </c>
      <c r="F2286" s="27">
        <v>2188</v>
      </c>
      <c r="I2286" s="27">
        <v>437.6</v>
      </c>
    </row>
    <row r="2287" spans="1:11" x14ac:dyDescent="0.25">
      <c r="A2287" s="5" t="s">
        <v>6</v>
      </c>
      <c r="B2287" s="5" t="s">
        <v>11131</v>
      </c>
      <c r="C2287" s="1" t="s">
        <v>11132</v>
      </c>
      <c r="D2287" s="5" t="s">
        <v>17789</v>
      </c>
      <c r="E2287" s="32">
        <v>11101</v>
      </c>
      <c r="F2287" s="27">
        <v>746118</v>
      </c>
      <c r="G2287" s="32">
        <v>18892</v>
      </c>
      <c r="H2287" s="27">
        <v>1344296</v>
      </c>
      <c r="I2287" s="27">
        <v>67.211782722277277</v>
      </c>
      <c r="J2287" s="27">
        <v>71.156891806055469</v>
      </c>
      <c r="K2287" s="29">
        <v>5.8696688645792895E-2</v>
      </c>
    </row>
    <row r="2288" spans="1:11" x14ac:dyDescent="0.25">
      <c r="A2288" s="5" t="s">
        <v>6</v>
      </c>
      <c r="B2288" s="5" t="s">
        <v>11134</v>
      </c>
      <c r="C2288" s="1" t="s">
        <v>11135</v>
      </c>
      <c r="D2288" s="5" t="s">
        <v>17789</v>
      </c>
      <c r="E2288" s="32">
        <v>40</v>
      </c>
      <c r="F2288" s="27">
        <v>3080</v>
      </c>
      <c r="I2288" s="27">
        <v>77</v>
      </c>
    </row>
    <row r="2289" spans="1:11" x14ac:dyDescent="0.25">
      <c r="A2289" s="5" t="s">
        <v>6</v>
      </c>
      <c r="B2289" s="5" t="s">
        <v>11140</v>
      </c>
      <c r="C2289" s="1" t="s">
        <v>11141</v>
      </c>
      <c r="D2289" s="5" t="s">
        <v>17789</v>
      </c>
      <c r="E2289" s="32">
        <v>1776</v>
      </c>
      <c r="F2289" s="27">
        <v>70767</v>
      </c>
      <c r="G2289" s="32">
        <v>1030</v>
      </c>
      <c r="H2289" s="27">
        <v>42937</v>
      </c>
      <c r="I2289" s="27">
        <v>39.846283783783782</v>
      </c>
      <c r="J2289" s="27">
        <v>41.686407766990293</v>
      </c>
      <c r="K2289" s="29">
        <v>4.6180567131215995E-2</v>
      </c>
    </row>
    <row r="2290" spans="1:11" x14ac:dyDescent="0.25">
      <c r="A2290" s="5" t="s">
        <v>6</v>
      </c>
      <c r="B2290" s="5" t="s">
        <v>11147</v>
      </c>
      <c r="C2290" s="1" t="s">
        <v>11148</v>
      </c>
      <c r="D2290" s="5" t="s">
        <v>17789</v>
      </c>
      <c r="E2290" s="32">
        <v>1</v>
      </c>
      <c r="F2290" s="27">
        <v>72</v>
      </c>
      <c r="I2290" s="27">
        <v>72</v>
      </c>
    </row>
    <row r="2291" spans="1:11" x14ac:dyDescent="0.25">
      <c r="A2291" s="5" t="s">
        <v>6</v>
      </c>
      <c r="B2291" s="5" t="s">
        <v>11150</v>
      </c>
      <c r="C2291" s="1" t="s">
        <v>11151</v>
      </c>
      <c r="D2291" s="5" t="s">
        <v>18053</v>
      </c>
      <c r="G2291" s="32">
        <v>10</v>
      </c>
      <c r="H2291" s="27">
        <v>490.5</v>
      </c>
      <c r="J2291" s="27">
        <v>49.05</v>
      </c>
    </row>
    <row r="2292" spans="1:11" x14ac:dyDescent="0.25">
      <c r="A2292" s="5" t="s">
        <v>6</v>
      </c>
      <c r="B2292" s="5" t="s">
        <v>11153</v>
      </c>
      <c r="C2292" s="1" t="s">
        <v>11154</v>
      </c>
      <c r="D2292" s="5" t="s">
        <v>17789</v>
      </c>
      <c r="E2292" s="32">
        <v>49210</v>
      </c>
      <c r="F2292" s="27">
        <v>1694081</v>
      </c>
      <c r="G2292" s="32">
        <v>61616</v>
      </c>
      <c r="H2292" s="27">
        <v>2275606</v>
      </c>
      <c r="I2292" s="27">
        <v>34.425543588701487</v>
      </c>
      <c r="J2292" s="27">
        <v>36.93206310049338</v>
      </c>
      <c r="K2292" s="29">
        <v>7.280987460179239E-2</v>
      </c>
    </row>
    <row r="2293" spans="1:11" x14ac:dyDescent="0.25">
      <c r="A2293" s="5" t="s">
        <v>6</v>
      </c>
      <c r="B2293" s="5" t="s">
        <v>11156</v>
      </c>
      <c r="C2293" s="1" t="s">
        <v>11157</v>
      </c>
      <c r="D2293" s="5" t="s">
        <v>17789</v>
      </c>
      <c r="E2293" s="32">
        <v>14689</v>
      </c>
      <c r="F2293" s="27">
        <v>234741</v>
      </c>
      <c r="G2293" s="32">
        <v>1669</v>
      </c>
      <c r="H2293" s="27">
        <v>27709</v>
      </c>
      <c r="I2293" s="27">
        <v>15.980733882497107</v>
      </c>
      <c r="J2293" s="27">
        <v>16.602156980227683</v>
      </c>
      <c r="K2293" s="29">
        <v>3.8885767218186963E-2</v>
      </c>
    </row>
    <row r="2294" spans="1:11" x14ac:dyDescent="0.25">
      <c r="A2294" s="5" t="s">
        <v>6</v>
      </c>
      <c r="B2294" s="5" t="s">
        <v>11159</v>
      </c>
      <c r="C2294" s="1" t="s">
        <v>11160</v>
      </c>
      <c r="D2294" s="5" t="s">
        <v>18053</v>
      </c>
      <c r="E2294" s="32">
        <v>7</v>
      </c>
      <c r="F2294" s="27">
        <v>492</v>
      </c>
      <c r="I2294" s="27">
        <v>70.285714285714292</v>
      </c>
    </row>
    <row r="2295" spans="1:11" x14ac:dyDescent="0.25">
      <c r="A2295" s="5" t="s">
        <v>6</v>
      </c>
      <c r="B2295" s="5" t="s">
        <v>11174</v>
      </c>
      <c r="C2295" s="1" t="s">
        <v>11175</v>
      </c>
      <c r="D2295" s="5" t="s">
        <v>17789</v>
      </c>
      <c r="E2295" s="32">
        <v>2</v>
      </c>
      <c r="F2295" s="27">
        <v>60</v>
      </c>
      <c r="I2295" s="27">
        <v>30</v>
      </c>
    </row>
    <row r="2296" spans="1:11" x14ac:dyDescent="0.25">
      <c r="A2296" s="5" t="s">
        <v>6</v>
      </c>
      <c r="B2296" s="5" t="s">
        <v>11177</v>
      </c>
      <c r="C2296" s="1" t="s">
        <v>11178</v>
      </c>
      <c r="D2296" s="5" t="s">
        <v>17756</v>
      </c>
      <c r="E2296" s="32">
        <v>7</v>
      </c>
      <c r="F2296" s="27">
        <v>1134</v>
      </c>
      <c r="G2296" s="32">
        <v>20</v>
      </c>
      <c r="H2296" s="27">
        <v>3474</v>
      </c>
      <c r="I2296" s="27">
        <v>162</v>
      </c>
      <c r="J2296" s="27">
        <v>173.7</v>
      </c>
      <c r="K2296" s="29">
        <v>7.2222222222222146E-2</v>
      </c>
    </row>
    <row r="2297" spans="1:11" x14ac:dyDescent="0.25">
      <c r="A2297" s="5" t="s">
        <v>6</v>
      </c>
      <c r="B2297" s="5" t="s">
        <v>11183</v>
      </c>
      <c r="C2297" s="1" t="s">
        <v>11184</v>
      </c>
      <c r="D2297" s="5" t="s">
        <v>17789</v>
      </c>
      <c r="E2297" s="32">
        <v>1</v>
      </c>
      <c r="F2297" s="27">
        <v>63</v>
      </c>
      <c r="G2297" s="32">
        <v>8</v>
      </c>
      <c r="H2297" s="27">
        <v>544</v>
      </c>
      <c r="I2297" s="27">
        <v>63</v>
      </c>
      <c r="J2297" s="27">
        <v>68</v>
      </c>
      <c r="K2297" s="29">
        <v>7.9365079365079361E-2</v>
      </c>
    </row>
    <row r="2298" spans="1:11" x14ac:dyDescent="0.25">
      <c r="A2298" s="5" t="s">
        <v>6</v>
      </c>
      <c r="B2298" s="5" t="s">
        <v>11186</v>
      </c>
      <c r="C2298" s="1" t="s">
        <v>11187</v>
      </c>
      <c r="D2298" s="5" t="s">
        <v>17789</v>
      </c>
      <c r="E2298" s="32">
        <v>1</v>
      </c>
      <c r="F2298" s="27">
        <v>111</v>
      </c>
      <c r="I2298" s="27">
        <v>111</v>
      </c>
    </row>
    <row r="2299" spans="1:11" x14ac:dyDescent="0.25">
      <c r="A2299" s="5" t="s">
        <v>6</v>
      </c>
      <c r="B2299" s="5" t="s">
        <v>11192</v>
      </c>
      <c r="C2299" s="1" t="s">
        <v>11193</v>
      </c>
      <c r="D2299" s="5" t="s">
        <v>17789</v>
      </c>
      <c r="E2299" s="32">
        <v>31</v>
      </c>
      <c r="F2299" s="27">
        <v>14742</v>
      </c>
      <c r="G2299" s="32">
        <v>32</v>
      </c>
      <c r="H2299" s="27">
        <v>16360</v>
      </c>
      <c r="I2299" s="27">
        <v>475.54838709677421</v>
      </c>
      <c r="J2299" s="27">
        <v>511.25</v>
      </c>
      <c r="K2299" s="29">
        <v>7.5074616741283379E-2</v>
      </c>
    </row>
    <row r="2300" spans="1:11" x14ac:dyDescent="0.25">
      <c r="A2300" s="5" t="s">
        <v>6</v>
      </c>
      <c r="B2300" s="5" t="s">
        <v>11198</v>
      </c>
      <c r="C2300" s="1" t="s">
        <v>11199</v>
      </c>
      <c r="D2300" s="5" t="s">
        <v>17789</v>
      </c>
      <c r="E2300" s="32">
        <v>1</v>
      </c>
      <c r="F2300" s="27">
        <v>61</v>
      </c>
      <c r="I2300" s="27">
        <v>61</v>
      </c>
    </row>
    <row r="2301" spans="1:11" x14ac:dyDescent="0.25">
      <c r="A2301" s="5" t="s">
        <v>6</v>
      </c>
      <c r="B2301" s="5" t="s">
        <v>11218</v>
      </c>
      <c r="C2301" s="1" t="s">
        <v>11219</v>
      </c>
      <c r="D2301" s="5" t="s">
        <v>17789</v>
      </c>
      <c r="E2301" s="32">
        <v>1</v>
      </c>
      <c r="F2301" s="27">
        <v>325</v>
      </c>
      <c r="G2301" s="32">
        <v>3</v>
      </c>
      <c r="H2301" s="27">
        <v>1027</v>
      </c>
      <c r="I2301" s="27">
        <v>325</v>
      </c>
      <c r="J2301" s="27">
        <v>342.33333333333331</v>
      </c>
      <c r="K2301" s="29">
        <v>5.3333333333333274E-2</v>
      </c>
    </row>
    <row r="2302" spans="1:11" x14ac:dyDescent="0.25">
      <c r="A2302" s="5" t="s">
        <v>6</v>
      </c>
      <c r="B2302" s="5" t="s">
        <v>11221</v>
      </c>
      <c r="C2302" s="1" t="s">
        <v>11222</v>
      </c>
      <c r="D2302" s="5" t="s">
        <v>17789</v>
      </c>
      <c r="E2302" s="32">
        <v>1</v>
      </c>
      <c r="F2302" s="27">
        <v>391</v>
      </c>
      <c r="I2302" s="27">
        <v>391</v>
      </c>
    </row>
    <row r="2303" spans="1:11" x14ac:dyDescent="0.25">
      <c r="A2303" s="5" t="s">
        <v>6</v>
      </c>
      <c r="B2303" s="5" t="s">
        <v>11224</v>
      </c>
      <c r="C2303" s="1" t="s">
        <v>11225</v>
      </c>
      <c r="D2303" s="5" t="s">
        <v>17789</v>
      </c>
      <c r="E2303" s="32">
        <v>45</v>
      </c>
      <c r="F2303" s="27">
        <v>19770</v>
      </c>
      <c r="G2303" s="32">
        <v>45</v>
      </c>
      <c r="H2303" s="27">
        <v>20844</v>
      </c>
      <c r="I2303" s="27">
        <v>439.33333333333331</v>
      </c>
      <c r="J2303" s="27">
        <v>463.2</v>
      </c>
      <c r="K2303" s="29">
        <v>5.4324734446130521E-2</v>
      </c>
    </row>
    <row r="2304" spans="1:11" x14ac:dyDescent="0.25">
      <c r="A2304" s="5" t="s">
        <v>6</v>
      </c>
      <c r="B2304" s="5" t="s">
        <v>11227</v>
      </c>
      <c r="C2304" s="1" t="s">
        <v>11228</v>
      </c>
      <c r="D2304" s="5" t="s">
        <v>17789</v>
      </c>
      <c r="E2304" s="32">
        <v>2731</v>
      </c>
      <c r="F2304" s="27">
        <v>84661</v>
      </c>
      <c r="G2304" s="32">
        <v>36</v>
      </c>
      <c r="H2304" s="27">
        <v>1168</v>
      </c>
      <c r="I2304" s="27">
        <v>31</v>
      </c>
      <c r="J2304" s="27">
        <v>32.444444444444443</v>
      </c>
      <c r="K2304" s="29">
        <v>4.6594982078852994E-2</v>
      </c>
    </row>
    <row r="2305" spans="1:11" x14ac:dyDescent="0.25">
      <c r="A2305" s="5" t="s">
        <v>6</v>
      </c>
      <c r="B2305" s="5" t="s">
        <v>11233</v>
      </c>
      <c r="C2305" s="1" t="s">
        <v>11234</v>
      </c>
      <c r="D2305" s="5" t="s">
        <v>17789</v>
      </c>
      <c r="E2305" s="32">
        <v>90</v>
      </c>
      <c r="F2305" s="27">
        <v>32238</v>
      </c>
      <c r="G2305" s="32">
        <v>122</v>
      </c>
      <c r="H2305" s="27">
        <v>46815</v>
      </c>
      <c r="I2305" s="27">
        <v>358.2</v>
      </c>
      <c r="J2305" s="27">
        <v>383.72950819672133</v>
      </c>
      <c r="K2305" s="29">
        <v>7.1271658840651425E-2</v>
      </c>
    </row>
    <row r="2306" spans="1:11" x14ac:dyDescent="0.25">
      <c r="A2306" s="5" t="s">
        <v>6</v>
      </c>
      <c r="B2306" s="5" t="s">
        <v>11244</v>
      </c>
      <c r="C2306" s="1" t="s">
        <v>11245</v>
      </c>
      <c r="D2306" s="5" t="s">
        <v>17789</v>
      </c>
      <c r="E2306" s="32">
        <v>21830</v>
      </c>
      <c r="F2306" s="27">
        <v>796745</v>
      </c>
      <c r="G2306" s="32">
        <v>20482</v>
      </c>
      <c r="H2306" s="27">
        <v>798481</v>
      </c>
      <c r="I2306" s="27">
        <v>36.497709573980764</v>
      </c>
      <c r="J2306" s="27">
        <v>38.984522995801193</v>
      </c>
      <c r="K2306" s="29">
        <v>6.8136150209088184E-2</v>
      </c>
    </row>
    <row r="2307" spans="1:11" x14ac:dyDescent="0.25">
      <c r="A2307" s="5" t="s">
        <v>6</v>
      </c>
      <c r="B2307" s="5" t="s">
        <v>11249</v>
      </c>
      <c r="C2307" s="1" t="s">
        <v>11250</v>
      </c>
      <c r="D2307" s="5" t="s">
        <v>17789</v>
      </c>
      <c r="E2307" s="32">
        <v>32</v>
      </c>
      <c r="F2307" s="27">
        <v>7888</v>
      </c>
      <c r="G2307" s="32">
        <v>24</v>
      </c>
      <c r="H2307" s="27">
        <v>6296</v>
      </c>
      <c r="I2307" s="27">
        <v>246.5</v>
      </c>
      <c r="J2307" s="27">
        <v>262.33333333333331</v>
      </c>
      <c r="K2307" s="29">
        <v>6.4232589587559091E-2</v>
      </c>
    </row>
    <row r="2308" spans="1:11" x14ac:dyDescent="0.25">
      <c r="A2308" s="5" t="s">
        <v>6</v>
      </c>
      <c r="B2308" s="5" t="s">
        <v>11251</v>
      </c>
      <c r="C2308" s="1" t="s">
        <v>11252</v>
      </c>
      <c r="D2308" s="5" t="s">
        <v>17243</v>
      </c>
      <c r="E2308" s="32">
        <v>2</v>
      </c>
      <c r="F2308" s="27">
        <v>1596</v>
      </c>
      <c r="G2308" s="32">
        <v>8</v>
      </c>
      <c r="H2308" s="27">
        <v>6768</v>
      </c>
      <c r="I2308" s="27">
        <v>798</v>
      </c>
      <c r="J2308" s="27">
        <v>846</v>
      </c>
      <c r="K2308" s="29">
        <v>6.0150375939849621E-2</v>
      </c>
    </row>
    <row r="2309" spans="1:11" x14ac:dyDescent="0.25">
      <c r="A2309" s="5" t="s">
        <v>6</v>
      </c>
      <c r="B2309" s="5" t="s">
        <v>11259</v>
      </c>
      <c r="C2309" s="1" t="s">
        <v>11260</v>
      </c>
      <c r="D2309" s="5" t="s">
        <v>17789</v>
      </c>
      <c r="E2309" s="32">
        <v>1</v>
      </c>
      <c r="F2309" s="27">
        <v>296</v>
      </c>
      <c r="I2309" s="27">
        <v>296</v>
      </c>
    </row>
    <row r="2310" spans="1:11" x14ac:dyDescent="0.25">
      <c r="A2310" s="5" t="s">
        <v>6</v>
      </c>
      <c r="B2310" s="5" t="s">
        <v>11262</v>
      </c>
      <c r="C2310" s="1" t="s">
        <v>11263</v>
      </c>
      <c r="D2310" s="5" t="s">
        <v>17756</v>
      </c>
      <c r="E2310" s="32">
        <v>22</v>
      </c>
      <c r="F2310" s="27">
        <v>2357</v>
      </c>
      <c r="G2310" s="32">
        <v>17</v>
      </c>
      <c r="H2310" s="27">
        <v>1987</v>
      </c>
      <c r="I2310" s="27">
        <v>107.13636363636364</v>
      </c>
      <c r="J2310" s="27">
        <v>116.88235294117646</v>
      </c>
      <c r="K2310" s="29">
        <v>9.0968080061893136E-2</v>
      </c>
    </row>
    <row r="2311" spans="1:11" x14ac:dyDescent="0.25">
      <c r="A2311" s="5" t="s">
        <v>6</v>
      </c>
      <c r="B2311" s="5" t="s">
        <v>11268</v>
      </c>
      <c r="C2311" s="1" t="s">
        <v>11269</v>
      </c>
      <c r="D2311" s="5" t="s">
        <v>17789</v>
      </c>
      <c r="E2311" s="32">
        <v>27</v>
      </c>
      <c r="F2311" s="27">
        <v>7707</v>
      </c>
      <c r="G2311" s="32">
        <v>55</v>
      </c>
      <c r="H2311" s="27">
        <v>16484</v>
      </c>
      <c r="I2311" s="27">
        <v>285.44444444444446</v>
      </c>
      <c r="J2311" s="27">
        <v>299.70909090909089</v>
      </c>
      <c r="K2311" s="29">
        <v>4.9973459782723974E-2</v>
      </c>
    </row>
    <row r="2312" spans="1:11" x14ac:dyDescent="0.25">
      <c r="A2312" s="5" t="s">
        <v>6</v>
      </c>
      <c r="B2312" s="5" t="s">
        <v>11271</v>
      </c>
      <c r="C2312" s="1" t="s">
        <v>11272</v>
      </c>
      <c r="D2312" s="5" t="s">
        <v>17789</v>
      </c>
      <c r="E2312" s="32">
        <v>2</v>
      </c>
      <c r="F2312" s="27">
        <v>751</v>
      </c>
      <c r="G2312" s="32">
        <v>7</v>
      </c>
      <c r="H2312" s="27">
        <v>2892</v>
      </c>
      <c r="I2312" s="27">
        <v>375.5</v>
      </c>
      <c r="J2312" s="27">
        <v>413.14285714285717</v>
      </c>
      <c r="K2312" s="29">
        <v>0.10024728932851443</v>
      </c>
    </row>
    <row r="2313" spans="1:11" x14ac:dyDescent="0.25">
      <c r="A2313" s="5" t="s">
        <v>6</v>
      </c>
      <c r="B2313" s="5" t="s">
        <v>11283</v>
      </c>
      <c r="C2313" s="1" t="s">
        <v>11284</v>
      </c>
      <c r="D2313" s="5" t="s">
        <v>17789</v>
      </c>
      <c r="E2313" s="32">
        <v>5</v>
      </c>
      <c r="F2313" s="27">
        <v>590</v>
      </c>
      <c r="I2313" s="27">
        <v>118</v>
      </c>
    </row>
    <row r="2314" spans="1:11" x14ac:dyDescent="0.25">
      <c r="A2314" s="5" t="s">
        <v>6</v>
      </c>
      <c r="B2314" s="5" t="s">
        <v>11295</v>
      </c>
      <c r="C2314" s="1" t="s">
        <v>11296</v>
      </c>
      <c r="D2314" s="5" t="s">
        <v>17789</v>
      </c>
      <c r="E2314" s="32">
        <v>1</v>
      </c>
      <c r="F2314" s="27">
        <v>162</v>
      </c>
      <c r="I2314" s="27">
        <v>162</v>
      </c>
    </row>
    <row r="2315" spans="1:11" x14ac:dyDescent="0.25">
      <c r="A2315" s="5" t="s">
        <v>6</v>
      </c>
      <c r="B2315" s="5" t="s">
        <v>11298</v>
      </c>
      <c r="C2315" s="1" t="s">
        <v>11299</v>
      </c>
      <c r="D2315" s="5" t="s">
        <v>17789</v>
      </c>
      <c r="E2315" s="32">
        <v>8</v>
      </c>
      <c r="F2315" s="27">
        <v>352</v>
      </c>
      <c r="G2315" s="32">
        <v>12</v>
      </c>
      <c r="H2315" s="27">
        <v>564</v>
      </c>
      <c r="I2315" s="27">
        <v>44</v>
      </c>
      <c r="J2315" s="27">
        <v>47</v>
      </c>
      <c r="K2315" s="29">
        <v>6.8181818181818177E-2</v>
      </c>
    </row>
    <row r="2316" spans="1:11" x14ac:dyDescent="0.25">
      <c r="A2316" s="5" t="s">
        <v>6</v>
      </c>
      <c r="B2316" s="5" t="s">
        <v>11301</v>
      </c>
      <c r="C2316" s="1" t="s">
        <v>11302</v>
      </c>
      <c r="D2316" s="5" t="s">
        <v>17789</v>
      </c>
      <c r="E2316" s="32">
        <v>13</v>
      </c>
      <c r="F2316" s="27">
        <v>2347</v>
      </c>
      <c r="G2316" s="32">
        <v>5</v>
      </c>
      <c r="H2316" s="27">
        <v>965</v>
      </c>
      <c r="I2316" s="27">
        <v>180.53846153846155</v>
      </c>
      <c r="J2316" s="27">
        <v>193</v>
      </c>
      <c r="K2316" s="29">
        <v>6.9024286322965436E-2</v>
      </c>
    </row>
    <row r="2317" spans="1:11" x14ac:dyDescent="0.25">
      <c r="A2317" s="5" t="s">
        <v>6</v>
      </c>
      <c r="B2317" s="5" t="s">
        <v>11307</v>
      </c>
      <c r="C2317" s="1" t="s">
        <v>11308</v>
      </c>
      <c r="D2317" s="5" t="s">
        <v>17789</v>
      </c>
      <c r="E2317" s="32">
        <v>2</v>
      </c>
      <c r="F2317" s="27">
        <v>150</v>
      </c>
      <c r="I2317" s="27">
        <v>75</v>
      </c>
    </row>
    <row r="2318" spans="1:11" x14ac:dyDescent="0.25">
      <c r="A2318" s="5" t="s">
        <v>6</v>
      </c>
      <c r="B2318" s="5" t="s">
        <v>11316</v>
      </c>
      <c r="C2318" s="1" t="s">
        <v>11317</v>
      </c>
      <c r="D2318" s="5" t="s">
        <v>17789</v>
      </c>
      <c r="E2318" s="32">
        <v>70</v>
      </c>
      <c r="F2318" s="27">
        <v>3600</v>
      </c>
      <c r="G2318" s="32">
        <v>67</v>
      </c>
      <c r="H2318" s="27">
        <v>3672</v>
      </c>
      <c r="I2318" s="27">
        <v>51.428571428571431</v>
      </c>
      <c r="J2318" s="27">
        <v>54.805970149253731</v>
      </c>
      <c r="K2318" s="29">
        <v>6.5671641791044733E-2</v>
      </c>
    </row>
    <row r="2319" spans="1:11" x14ac:dyDescent="0.25">
      <c r="A2319" s="5" t="s">
        <v>6</v>
      </c>
      <c r="B2319" s="5" t="s">
        <v>11322</v>
      </c>
      <c r="C2319" s="1" t="s">
        <v>11323</v>
      </c>
      <c r="D2319" s="5" t="s">
        <v>17789</v>
      </c>
      <c r="E2319" s="32">
        <v>94</v>
      </c>
      <c r="F2319" s="27">
        <v>5146</v>
      </c>
      <c r="G2319" s="32">
        <v>136</v>
      </c>
      <c r="H2319" s="27">
        <v>7844</v>
      </c>
      <c r="I2319" s="27">
        <v>54.744680851063826</v>
      </c>
      <c r="J2319" s="27">
        <v>57.676470588235297</v>
      </c>
      <c r="K2319" s="29">
        <v>5.3553873939782018E-2</v>
      </c>
    </row>
    <row r="2320" spans="1:11" x14ac:dyDescent="0.25">
      <c r="A2320" s="5" t="s">
        <v>6</v>
      </c>
      <c r="B2320" s="5" t="s">
        <v>11325</v>
      </c>
      <c r="C2320" s="1" t="s">
        <v>11326</v>
      </c>
      <c r="D2320" s="5" t="s">
        <v>17789</v>
      </c>
      <c r="E2320" s="32">
        <v>199</v>
      </c>
      <c r="F2320" s="27">
        <v>5029</v>
      </c>
      <c r="I2320" s="27">
        <v>25.271356783919597</v>
      </c>
    </row>
    <row r="2321" spans="1:11" x14ac:dyDescent="0.25">
      <c r="A2321" s="5" t="s">
        <v>6</v>
      </c>
      <c r="B2321" s="5" t="s">
        <v>11328</v>
      </c>
      <c r="C2321" s="1" t="s">
        <v>11329</v>
      </c>
      <c r="D2321" s="5" t="s">
        <v>17789</v>
      </c>
      <c r="E2321" s="32">
        <v>6</v>
      </c>
      <c r="F2321" s="27">
        <v>2106</v>
      </c>
      <c r="I2321" s="27">
        <v>351</v>
      </c>
    </row>
    <row r="2322" spans="1:11" x14ac:dyDescent="0.25">
      <c r="A2322" s="5" t="s">
        <v>6</v>
      </c>
      <c r="B2322" s="5" t="s">
        <v>11331</v>
      </c>
      <c r="C2322" s="1" t="s">
        <v>11332</v>
      </c>
      <c r="D2322" s="5" t="s">
        <v>17789</v>
      </c>
      <c r="E2322" s="32">
        <v>63</v>
      </c>
      <c r="F2322" s="27">
        <v>2193</v>
      </c>
      <c r="G2322" s="32">
        <v>39</v>
      </c>
      <c r="H2322" s="27">
        <v>1446</v>
      </c>
      <c r="I2322" s="27">
        <v>34.80952380952381</v>
      </c>
      <c r="J2322" s="27">
        <v>37.07692307692308</v>
      </c>
      <c r="K2322" s="29">
        <v>6.513732505524579E-2</v>
      </c>
    </row>
    <row r="2323" spans="1:11" x14ac:dyDescent="0.25">
      <c r="A2323" s="5" t="s">
        <v>6</v>
      </c>
      <c r="B2323" s="5" t="s">
        <v>11334</v>
      </c>
      <c r="C2323" s="1" t="s">
        <v>11335</v>
      </c>
      <c r="D2323" s="5" t="s">
        <v>17789</v>
      </c>
      <c r="E2323" s="32">
        <v>33</v>
      </c>
      <c r="F2323" s="27">
        <v>1110</v>
      </c>
      <c r="I2323" s="27">
        <v>33.636363636363633</v>
      </c>
    </row>
    <row r="2324" spans="1:11" x14ac:dyDescent="0.25">
      <c r="A2324" s="5" t="s">
        <v>6</v>
      </c>
      <c r="B2324" s="5" t="s">
        <v>11337</v>
      </c>
      <c r="C2324" s="1" t="s">
        <v>11338</v>
      </c>
      <c r="D2324" s="5" t="s">
        <v>17789</v>
      </c>
      <c r="E2324" s="32">
        <v>7</v>
      </c>
      <c r="F2324" s="27">
        <v>455</v>
      </c>
      <c r="G2324" s="32">
        <v>27</v>
      </c>
      <c r="H2324" s="27">
        <v>1875</v>
      </c>
      <c r="I2324" s="27">
        <v>65</v>
      </c>
      <c r="J2324" s="27">
        <v>69.444444444444443</v>
      </c>
      <c r="K2324" s="29">
        <v>6.8376068376068355E-2</v>
      </c>
    </row>
    <row r="2325" spans="1:11" x14ac:dyDescent="0.25">
      <c r="A2325" s="5" t="s">
        <v>6</v>
      </c>
      <c r="B2325" s="5" t="s">
        <v>11340</v>
      </c>
      <c r="C2325" s="1" t="s">
        <v>11341</v>
      </c>
      <c r="D2325" s="5" t="s">
        <v>17789</v>
      </c>
      <c r="E2325" s="32">
        <v>27</v>
      </c>
      <c r="F2325" s="27">
        <v>1272</v>
      </c>
      <c r="G2325" s="32">
        <v>15</v>
      </c>
      <c r="H2325" s="27">
        <v>768</v>
      </c>
      <c r="I2325" s="27">
        <v>47.111111111111114</v>
      </c>
      <c r="J2325" s="27">
        <v>51.2</v>
      </c>
      <c r="K2325" s="29">
        <v>8.679245283018866E-2</v>
      </c>
    </row>
    <row r="2326" spans="1:11" x14ac:dyDescent="0.25">
      <c r="A2326" s="5" t="s">
        <v>6</v>
      </c>
      <c r="B2326" s="5" t="s">
        <v>11355</v>
      </c>
      <c r="C2326" s="1" t="s">
        <v>11356</v>
      </c>
      <c r="D2326" s="5" t="s">
        <v>17789</v>
      </c>
      <c r="E2326" s="32">
        <v>314</v>
      </c>
      <c r="F2326" s="27">
        <v>30880</v>
      </c>
      <c r="G2326" s="32">
        <v>362</v>
      </c>
      <c r="H2326" s="27">
        <v>37968</v>
      </c>
      <c r="I2326" s="27">
        <v>98.343949044585983</v>
      </c>
      <c r="J2326" s="27">
        <v>104.88397790055248</v>
      </c>
      <c r="K2326" s="29">
        <v>6.6501588755617888E-2</v>
      </c>
    </row>
    <row r="2327" spans="1:11" x14ac:dyDescent="0.25">
      <c r="A2327" s="5" t="s">
        <v>6</v>
      </c>
      <c r="B2327" s="5" t="s">
        <v>11369</v>
      </c>
      <c r="C2327" s="1" t="s">
        <v>11370</v>
      </c>
      <c r="D2327" s="5" t="s">
        <v>18053</v>
      </c>
      <c r="E2327" s="32">
        <v>162</v>
      </c>
      <c r="F2327" s="27">
        <v>65132</v>
      </c>
      <c r="G2327" s="32">
        <v>180</v>
      </c>
      <c r="H2327" s="27">
        <v>76984</v>
      </c>
      <c r="I2327" s="27">
        <v>402.04938271604937</v>
      </c>
      <c r="J2327" s="27">
        <v>427.68888888888887</v>
      </c>
      <c r="K2327" s="29">
        <v>6.377203218080206E-2</v>
      </c>
    </row>
    <row r="2328" spans="1:11" x14ac:dyDescent="0.25">
      <c r="A2328" s="5" t="s">
        <v>6</v>
      </c>
      <c r="B2328" s="5" t="s">
        <v>11382</v>
      </c>
      <c r="C2328" s="1" t="s">
        <v>11383</v>
      </c>
      <c r="D2328" s="5" t="s">
        <v>18053</v>
      </c>
      <c r="E2328" s="32">
        <v>25707</v>
      </c>
      <c r="F2328" s="27">
        <v>634507</v>
      </c>
      <c r="G2328" s="32">
        <v>18488</v>
      </c>
      <c r="H2328" s="27">
        <v>485122</v>
      </c>
      <c r="I2328" s="27">
        <v>24.68226553078928</v>
      </c>
      <c r="J2328" s="27">
        <v>26.23983124188663</v>
      </c>
      <c r="K2328" s="29">
        <v>6.3104649334332921E-2</v>
      </c>
    </row>
    <row r="2329" spans="1:11" x14ac:dyDescent="0.25">
      <c r="A2329" s="5" t="s">
        <v>6</v>
      </c>
      <c r="B2329" s="5" t="s">
        <v>11385</v>
      </c>
      <c r="C2329" s="1" t="s">
        <v>11386</v>
      </c>
      <c r="D2329" s="5" t="s">
        <v>17789</v>
      </c>
      <c r="E2329" s="32">
        <v>4</v>
      </c>
      <c r="F2329" s="27">
        <v>333</v>
      </c>
      <c r="I2329" s="27">
        <v>83.25</v>
      </c>
    </row>
    <row r="2330" spans="1:11" x14ac:dyDescent="0.25">
      <c r="A2330" s="5" t="s">
        <v>6</v>
      </c>
      <c r="B2330" s="5" t="s">
        <v>11388</v>
      </c>
      <c r="C2330" s="1" t="s">
        <v>11389</v>
      </c>
      <c r="D2330" s="5" t="s">
        <v>17789</v>
      </c>
      <c r="E2330" s="32">
        <v>16</v>
      </c>
      <c r="F2330" s="27">
        <v>1360</v>
      </c>
      <c r="G2330" s="32">
        <v>8</v>
      </c>
      <c r="H2330" s="27">
        <v>729</v>
      </c>
      <c r="I2330" s="27">
        <v>85</v>
      </c>
      <c r="J2330" s="27">
        <v>91.125</v>
      </c>
      <c r="K2330" s="29">
        <v>7.2058823529411759E-2</v>
      </c>
    </row>
    <row r="2331" spans="1:11" x14ac:dyDescent="0.25">
      <c r="A2331" s="5" t="s">
        <v>6</v>
      </c>
      <c r="B2331" s="5" t="s">
        <v>11406</v>
      </c>
      <c r="C2331" s="1" t="s">
        <v>11407</v>
      </c>
      <c r="D2331" s="5" t="s">
        <v>17756</v>
      </c>
      <c r="E2331" s="32">
        <v>0</v>
      </c>
      <c r="F2331" s="27">
        <v>0</v>
      </c>
      <c r="G2331" s="32">
        <v>1</v>
      </c>
      <c r="H2331" s="27">
        <v>281</v>
      </c>
      <c r="J2331" s="27">
        <v>281</v>
      </c>
    </row>
    <row r="2332" spans="1:11" x14ac:dyDescent="0.25">
      <c r="A2332" s="5" t="s">
        <v>6</v>
      </c>
      <c r="B2332" s="5" t="s">
        <v>11412</v>
      </c>
      <c r="C2332" s="1" t="s">
        <v>11413</v>
      </c>
      <c r="D2332" s="5" t="s">
        <v>17789</v>
      </c>
      <c r="E2332" s="32">
        <v>12009</v>
      </c>
      <c r="F2332" s="27">
        <v>204094</v>
      </c>
      <c r="G2332" s="32">
        <v>2539</v>
      </c>
      <c r="H2332" s="27">
        <v>44994</v>
      </c>
      <c r="I2332" s="27">
        <v>16.995087018069782</v>
      </c>
      <c r="J2332" s="27">
        <v>17.721150059078376</v>
      </c>
      <c r="K2332" s="29">
        <v>4.2721937242016922E-2</v>
      </c>
    </row>
    <row r="2333" spans="1:11" x14ac:dyDescent="0.25">
      <c r="A2333" s="5" t="s">
        <v>6</v>
      </c>
      <c r="B2333" s="5" t="s">
        <v>11415</v>
      </c>
      <c r="C2333" s="1" t="s">
        <v>11416</v>
      </c>
      <c r="D2333" s="5" t="s">
        <v>17789</v>
      </c>
      <c r="E2333" s="32">
        <v>1</v>
      </c>
      <c r="F2333" s="27">
        <v>88</v>
      </c>
      <c r="I2333" s="27">
        <v>88</v>
      </c>
    </row>
    <row r="2334" spans="1:11" x14ac:dyDescent="0.25">
      <c r="A2334" s="5" t="s">
        <v>6</v>
      </c>
      <c r="B2334" s="5" t="s">
        <v>11433</v>
      </c>
      <c r="C2334" s="1" t="s">
        <v>11434</v>
      </c>
      <c r="D2334" s="5" t="s">
        <v>17756</v>
      </c>
      <c r="E2334" s="32">
        <v>6</v>
      </c>
      <c r="F2334" s="27">
        <v>1044</v>
      </c>
      <c r="I2334" s="27">
        <v>174</v>
      </c>
    </row>
    <row r="2335" spans="1:11" x14ac:dyDescent="0.25">
      <c r="A2335" s="5" t="s">
        <v>6</v>
      </c>
      <c r="B2335" s="5" t="s">
        <v>11439</v>
      </c>
      <c r="C2335" s="1" t="s">
        <v>11440</v>
      </c>
      <c r="D2335" s="5" t="s">
        <v>17789</v>
      </c>
      <c r="E2335" s="32">
        <v>10</v>
      </c>
      <c r="F2335" s="27">
        <v>2190</v>
      </c>
      <c r="G2335" s="32">
        <v>15</v>
      </c>
      <c r="H2335" s="27">
        <v>3447</v>
      </c>
      <c r="I2335" s="27">
        <v>219</v>
      </c>
      <c r="J2335" s="27">
        <v>229.8</v>
      </c>
      <c r="K2335" s="29">
        <v>4.9315068493150739E-2</v>
      </c>
    </row>
    <row r="2336" spans="1:11" x14ac:dyDescent="0.25">
      <c r="A2336" s="5" t="s">
        <v>6</v>
      </c>
      <c r="B2336" s="5" t="s">
        <v>11442</v>
      </c>
      <c r="C2336" s="1" t="s">
        <v>11443</v>
      </c>
      <c r="D2336" s="5" t="s">
        <v>17789</v>
      </c>
      <c r="E2336" s="32">
        <v>10</v>
      </c>
      <c r="F2336" s="27">
        <v>310</v>
      </c>
      <c r="G2336" s="32">
        <v>23</v>
      </c>
      <c r="H2336" s="27">
        <v>741</v>
      </c>
      <c r="I2336" s="27">
        <v>31</v>
      </c>
      <c r="J2336" s="27">
        <v>32.217391304347828</v>
      </c>
      <c r="K2336" s="29">
        <v>3.9270687237026709E-2</v>
      </c>
    </row>
    <row r="2337" spans="1:11" x14ac:dyDescent="0.25">
      <c r="A2337" s="5" t="s">
        <v>6</v>
      </c>
      <c r="B2337" s="5" t="s">
        <v>11445</v>
      </c>
      <c r="C2337" s="1" t="s">
        <v>11446</v>
      </c>
      <c r="D2337" s="5" t="s">
        <v>17789</v>
      </c>
      <c r="E2337" s="32">
        <v>352</v>
      </c>
      <c r="F2337" s="27">
        <v>126823</v>
      </c>
      <c r="G2337" s="32">
        <v>391</v>
      </c>
      <c r="H2337" s="27">
        <v>149719</v>
      </c>
      <c r="I2337" s="27">
        <v>360.29261363636363</v>
      </c>
      <c r="J2337" s="27">
        <v>382.91304347826087</v>
      </c>
      <c r="K2337" s="29">
        <v>6.2783495930137531E-2</v>
      </c>
    </row>
    <row r="2338" spans="1:11" x14ac:dyDescent="0.25">
      <c r="A2338" s="5" t="s">
        <v>6</v>
      </c>
      <c r="B2338" s="5" t="s">
        <v>11451</v>
      </c>
      <c r="C2338" s="1" t="s">
        <v>11452</v>
      </c>
      <c r="D2338" s="5" t="s">
        <v>17789</v>
      </c>
      <c r="E2338" s="32">
        <v>18</v>
      </c>
      <c r="F2338" s="27">
        <v>830</v>
      </c>
      <c r="I2338" s="27">
        <v>46.111111111111114</v>
      </c>
    </row>
    <row r="2339" spans="1:11" x14ac:dyDescent="0.25">
      <c r="A2339" s="5" t="s">
        <v>6</v>
      </c>
      <c r="B2339" s="5" t="s">
        <v>11454</v>
      </c>
      <c r="C2339" s="1" t="s">
        <v>11455</v>
      </c>
      <c r="D2339" s="5" t="s">
        <v>17789</v>
      </c>
      <c r="E2339" s="32">
        <v>6</v>
      </c>
      <c r="F2339" s="27">
        <v>150</v>
      </c>
      <c r="I2339" s="27">
        <v>25</v>
      </c>
    </row>
    <row r="2340" spans="1:11" x14ac:dyDescent="0.25">
      <c r="A2340" s="5" t="s">
        <v>6</v>
      </c>
      <c r="B2340" s="5" t="s">
        <v>11457</v>
      </c>
      <c r="C2340" s="1" t="s">
        <v>11458</v>
      </c>
      <c r="D2340" s="5" t="s">
        <v>17789</v>
      </c>
      <c r="E2340" s="32">
        <v>0</v>
      </c>
      <c r="F2340" s="27">
        <v>0</v>
      </c>
      <c r="G2340" s="32">
        <v>1317</v>
      </c>
      <c r="H2340" s="27">
        <v>69489</v>
      </c>
      <c r="J2340" s="27">
        <v>52.763097949886102</v>
      </c>
    </row>
    <row r="2341" spans="1:11" x14ac:dyDescent="0.25">
      <c r="A2341" s="5" t="s">
        <v>6</v>
      </c>
      <c r="B2341" s="5" t="s">
        <v>11468</v>
      </c>
      <c r="C2341" s="1" t="s">
        <v>11469</v>
      </c>
      <c r="D2341" s="5" t="s">
        <v>17789</v>
      </c>
      <c r="E2341" s="32">
        <v>354</v>
      </c>
      <c r="F2341" s="27">
        <v>54432</v>
      </c>
      <c r="G2341" s="32">
        <v>386</v>
      </c>
      <c r="H2341" s="27">
        <v>63552</v>
      </c>
      <c r="I2341" s="27">
        <v>153.76271186440678</v>
      </c>
      <c r="J2341" s="27">
        <v>164.64248704663211</v>
      </c>
      <c r="K2341" s="29">
        <v>7.0756915316500718E-2</v>
      </c>
    </row>
    <row r="2342" spans="1:11" x14ac:dyDescent="0.25">
      <c r="A2342" s="5" t="s">
        <v>6</v>
      </c>
      <c r="B2342" s="5" t="s">
        <v>11474</v>
      </c>
      <c r="C2342" s="1" t="s">
        <v>11475</v>
      </c>
      <c r="D2342" s="5" t="s">
        <v>17789</v>
      </c>
      <c r="E2342" s="32">
        <v>18</v>
      </c>
      <c r="F2342" s="27">
        <v>5084</v>
      </c>
      <c r="G2342" s="32">
        <v>20</v>
      </c>
      <c r="H2342" s="27">
        <v>6022</v>
      </c>
      <c r="I2342" s="27">
        <v>282.44444444444446</v>
      </c>
      <c r="J2342" s="27">
        <v>301.10000000000002</v>
      </c>
      <c r="K2342" s="29">
        <v>6.6050354051927648E-2</v>
      </c>
    </row>
    <row r="2343" spans="1:11" x14ac:dyDescent="0.25">
      <c r="A2343" s="5" t="s">
        <v>6</v>
      </c>
      <c r="B2343" s="5" t="s">
        <v>11488</v>
      </c>
      <c r="C2343" s="1" t="s">
        <v>11489</v>
      </c>
      <c r="D2343" s="5" t="s">
        <v>17789</v>
      </c>
      <c r="E2343" s="32">
        <v>2</v>
      </c>
      <c r="F2343" s="27">
        <v>222</v>
      </c>
      <c r="G2343" s="32">
        <v>2</v>
      </c>
      <c r="H2343" s="27">
        <v>240</v>
      </c>
      <c r="I2343" s="27">
        <v>111</v>
      </c>
      <c r="J2343" s="27">
        <v>120</v>
      </c>
      <c r="K2343" s="29">
        <v>8.1081081081081086E-2</v>
      </c>
    </row>
    <row r="2344" spans="1:11" x14ac:dyDescent="0.25">
      <c r="A2344" s="5" t="s">
        <v>6</v>
      </c>
      <c r="B2344" s="5" t="s">
        <v>11500</v>
      </c>
      <c r="C2344" s="1" t="s">
        <v>11501</v>
      </c>
      <c r="D2344" s="5" t="s">
        <v>17789</v>
      </c>
      <c r="E2344" s="32">
        <v>0</v>
      </c>
      <c r="F2344" s="27">
        <v>0</v>
      </c>
      <c r="G2344" s="32">
        <v>5</v>
      </c>
      <c r="H2344" s="27">
        <v>889</v>
      </c>
      <c r="J2344" s="27">
        <v>177.8</v>
      </c>
    </row>
    <row r="2345" spans="1:11" x14ac:dyDescent="0.25">
      <c r="A2345" s="5" t="s">
        <v>6</v>
      </c>
      <c r="B2345" s="5" t="s">
        <v>11503</v>
      </c>
      <c r="C2345" s="1" t="s">
        <v>11504</v>
      </c>
      <c r="D2345" s="5" t="s">
        <v>17789</v>
      </c>
      <c r="E2345" s="32">
        <v>32</v>
      </c>
      <c r="F2345" s="27">
        <v>9727</v>
      </c>
      <c r="G2345" s="32">
        <v>29</v>
      </c>
      <c r="H2345" s="27">
        <v>9419</v>
      </c>
      <c r="I2345" s="27">
        <v>303.96875</v>
      </c>
      <c r="J2345" s="27">
        <v>324.79310344827587</v>
      </c>
      <c r="K2345" s="29">
        <v>6.8508205031852357E-2</v>
      </c>
    </row>
    <row r="2346" spans="1:11" x14ac:dyDescent="0.25">
      <c r="A2346" s="5" t="s">
        <v>6</v>
      </c>
      <c r="B2346" s="5" t="s">
        <v>11509</v>
      </c>
      <c r="C2346" s="1" t="s">
        <v>11510</v>
      </c>
      <c r="D2346" s="5" t="s">
        <v>17756</v>
      </c>
      <c r="E2346" s="32">
        <v>12</v>
      </c>
      <c r="F2346" s="27">
        <v>1386</v>
      </c>
      <c r="G2346" s="32">
        <v>25</v>
      </c>
      <c r="H2346" s="27">
        <v>3051</v>
      </c>
      <c r="I2346" s="27">
        <v>115.5</v>
      </c>
      <c r="J2346" s="27">
        <v>122.04</v>
      </c>
      <c r="K2346" s="29">
        <v>5.662337662337668E-2</v>
      </c>
    </row>
    <row r="2347" spans="1:11" x14ac:dyDescent="0.25">
      <c r="A2347" s="5" t="s">
        <v>6</v>
      </c>
      <c r="B2347" s="5" t="s">
        <v>11518</v>
      </c>
      <c r="C2347" s="1" t="s">
        <v>11519</v>
      </c>
      <c r="D2347" s="5" t="s">
        <v>17756</v>
      </c>
      <c r="E2347" s="32">
        <v>65</v>
      </c>
      <c r="F2347" s="27">
        <v>1796</v>
      </c>
      <c r="G2347" s="32">
        <v>82</v>
      </c>
      <c r="H2347" s="27">
        <v>2394</v>
      </c>
      <c r="I2347" s="27">
        <v>27.630769230769232</v>
      </c>
      <c r="J2347" s="27">
        <v>29.195121951219512</v>
      </c>
      <c r="K2347" s="29">
        <v>5.6616328969525731E-2</v>
      </c>
    </row>
    <row r="2348" spans="1:11" x14ac:dyDescent="0.25">
      <c r="A2348" s="5" t="s">
        <v>6</v>
      </c>
      <c r="B2348" s="5" t="s">
        <v>11524</v>
      </c>
      <c r="C2348" s="1" t="s">
        <v>11525</v>
      </c>
      <c r="D2348" s="5" t="s">
        <v>17756</v>
      </c>
      <c r="E2348" s="32">
        <v>1</v>
      </c>
      <c r="F2348" s="27">
        <v>38</v>
      </c>
      <c r="G2348" s="32">
        <v>1</v>
      </c>
      <c r="H2348" s="27">
        <v>41</v>
      </c>
      <c r="I2348" s="27">
        <v>38</v>
      </c>
      <c r="J2348" s="27">
        <v>41</v>
      </c>
      <c r="K2348" s="29">
        <v>7.8947368421052627E-2</v>
      </c>
    </row>
    <row r="2349" spans="1:11" x14ac:dyDescent="0.25">
      <c r="A2349" s="5" t="s">
        <v>6</v>
      </c>
      <c r="B2349" s="5" t="s">
        <v>11533</v>
      </c>
      <c r="C2349" s="1" t="s">
        <v>11534</v>
      </c>
      <c r="D2349" s="5" t="s">
        <v>17756</v>
      </c>
      <c r="E2349" s="32">
        <v>9</v>
      </c>
      <c r="F2349" s="27">
        <v>306</v>
      </c>
      <c r="I2349" s="27">
        <v>34</v>
      </c>
    </row>
    <row r="2350" spans="1:11" x14ac:dyDescent="0.25">
      <c r="A2350" s="5" t="s">
        <v>6</v>
      </c>
      <c r="B2350" s="5" t="s">
        <v>11539</v>
      </c>
      <c r="C2350" s="1" t="s">
        <v>11540</v>
      </c>
      <c r="D2350" s="5" t="s">
        <v>17756</v>
      </c>
      <c r="E2350" s="32">
        <v>2</v>
      </c>
      <c r="F2350" s="27">
        <v>170</v>
      </c>
      <c r="I2350" s="27">
        <v>85</v>
      </c>
    </row>
    <row r="2351" spans="1:11" x14ac:dyDescent="0.25">
      <c r="A2351" s="5" t="s">
        <v>6</v>
      </c>
      <c r="B2351" s="5" t="s">
        <v>11546</v>
      </c>
      <c r="C2351" s="1" t="s">
        <v>11547</v>
      </c>
      <c r="D2351" s="5" t="s">
        <v>17789</v>
      </c>
      <c r="E2351" s="32">
        <v>2</v>
      </c>
      <c r="F2351" s="27">
        <v>304</v>
      </c>
      <c r="I2351" s="27">
        <v>152</v>
      </c>
    </row>
    <row r="2352" spans="1:11" x14ac:dyDescent="0.25">
      <c r="A2352" s="5" t="s">
        <v>6</v>
      </c>
      <c r="B2352" s="5" t="s">
        <v>11549</v>
      </c>
      <c r="C2352" s="1" t="s">
        <v>11550</v>
      </c>
      <c r="D2352" s="5" t="s">
        <v>17789</v>
      </c>
      <c r="E2352" s="32">
        <v>3</v>
      </c>
      <c r="F2352" s="27">
        <v>129</v>
      </c>
      <c r="I2352" s="27">
        <v>43</v>
      </c>
    </row>
    <row r="2353" spans="1:11" x14ac:dyDescent="0.25">
      <c r="A2353" s="5" t="s">
        <v>6</v>
      </c>
      <c r="B2353" s="5" t="s">
        <v>11552</v>
      </c>
      <c r="C2353" s="1" t="s">
        <v>11553</v>
      </c>
      <c r="D2353" s="5" t="s">
        <v>17789</v>
      </c>
      <c r="E2353" s="32">
        <v>1</v>
      </c>
      <c r="F2353" s="27">
        <v>137</v>
      </c>
      <c r="I2353" s="27">
        <v>137</v>
      </c>
    </row>
    <row r="2354" spans="1:11" x14ac:dyDescent="0.25">
      <c r="A2354" s="5" t="s">
        <v>6</v>
      </c>
      <c r="B2354" s="5" t="s">
        <v>11594</v>
      </c>
      <c r="C2354" s="1" t="s">
        <v>11595</v>
      </c>
      <c r="D2354" s="5" t="s">
        <v>17756</v>
      </c>
      <c r="E2354" s="32">
        <v>2737</v>
      </c>
      <c r="F2354" s="27">
        <v>2737</v>
      </c>
      <c r="G2354" s="32">
        <v>1307</v>
      </c>
      <c r="H2354" s="27">
        <v>1307</v>
      </c>
      <c r="I2354" s="27">
        <v>1</v>
      </c>
      <c r="J2354" s="27">
        <v>1</v>
      </c>
      <c r="K2354" s="29">
        <v>0</v>
      </c>
    </row>
    <row r="2355" spans="1:11" x14ac:dyDescent="0.25">
      <c r="A2355" s="5" t="s">
        <v>6</v>
      </c>
      <c r="B2355" s="5" t="s">
        <v>11597</v>
      </c>
      <c r="C2355" s="1" t="s">
        <v>11598</v>
      </c>
      <c r="D2355" s="5" t="s">
        <v>17789</v>
      </c>
      <c r="E2355" s="32">
        <v>15</v>
      </c>
      <c r="F2355" s="27">
        <v>2760</v>
      </c>
      <c r="G2355" s="32">
        <v>21</v>
      </c>
      <c r="H2355" s="27">
        <v>4191</v>
      </c>
      <c r="I2355" s="27">
        <v>184</v>
      </c>
      <c r="J2355" s="27">
        <v>199.57142857142858</v>
      </c>
      <c r="K2355" s="29">
        <v>8.4627329192546646E-2</v>
      </c>
    </row>
    <row r="2356" spans="1:11" x14ac:dyDescent="0.25">
      <c r="A2356" s="5" t="s">
        <v>6</v>
      </c>
      <c r="B2356" s="5" t="s">
        <v>11600</v>
      </c>
      <c r="C2356" s="1" t="s">
        <v>11601</v>
      </c>
      <c r="D2356" s="5" t="s">
        <v>17756</v>
      </c>
      <c r="E2356" s="32">
        <v>60</v>
      </c>
      <c r="F2356" s="27">
        <v>1548</v>
      </c>
      <c r="G2356" s="32">
        <v>320</v>
      </c>
      <c r="H2356" s="27">
        <v>8818</v>
      </c>
      <c r="I2356" s="27">
        <v>25.8</v>
      </c>
      <c r="J2356" s="27">
        <v>27.556249999999999</v>
      </c>
      <c r="K2356" s="29">
        <v>6.8071705426356502E-2</v>
      </c>
    </row>
    <row r="2357" spans="1:11" x14ac:dyDescent="0.25">
      <c r="A2357" s="5" t="s">
        <v>6</v>
      </c>
      <c r="B2357" s="5" t="s">
        <v>11602</v>
      </c>
      <c r="C2357" s="1" t="s">
        <v>11603</v>
      </c>
      <c r="D2357" s="5" t="s">
        <v>17789</v>
      </c>
      <c r="E2357" s="32">
        <v>3</v>
      </c>
      <c r="F2357" s="27">
        <v>204</v>
      </c>
      <c r="I2357" s="27">
        <v>68</v>
      </c>
    </row>
    <row r="2358" spans="1:11" x14ac:dyDescent="0.25">
      <c r="A2358" s="5" t="s">
        <v>6</v>
      </c>
      <c r="B2358" s="5" t="s">
        <v>11611</v>
      </c>
      <c r="C2358" s="1" t="s">
        <v>11612</v>
      </c>
      <c r="D2358" s="5" t="s">
        <v>17789</v>
      </c>
      <c r="E2358" s="32">
        <v>47</v>
      </c>
      <c r="F2358" s="27">
        <v>6735</v>
      </c>
      <c r="G2358" s="32">
        <v>40</v>
      </c>
      <c r="H2358" s="27">
        <v>6024</v>
      </c>
      <c r="I2358" s="27">
        <v>143.29787234042553</v>
      </c>
      <c r="J2358" s="27">
        <v>150.6</v>
      </c>
      <c r="K2358" s="29">
        <v>5.0957683741648101E-2</v>
      </c>
    </row>
    <row r="2359" spans="1:11" x14ac:dyDescent="0.25">
      <c r="A2359" s="5" t="s">
        <v>6</v>
      </c>
      <c r="B2359" s="5" t="s">
        <v>11619</v>
      </c>
      <c r="C2359" s="1" t="s">
        <v>11620</v>
      </c>
      <c r="D2359" s="5" t="s">
        <v>17789</v>
      </c>
      <c r="E2359" s="32">
        <v>104</v>
      </c>
      <c r="F2359" s="27">
        <v>32501</v>
      </c>
      <c r="G2359" s="32">
        <v>116</v>
      </c>
      <c r="H2359" s="27">
        <v>38798</v>
      </c>
      <c r="I2359" s="27">
        <v>312.50961538461536</v>
      </c>
      <c r="J2359" s="27">
        <v>334.4655172413793</v>
      </c>
      <c r="K2359" s="29">
        <v>7.0256724196284745E-2</v>
      </c>
    </row>
    <row r="2360" spans="1:11" x14ac:dyDescent="0.25">
      <c r="A2360" s="5" t="s">
        <v>6</v>
      </c>
      <c r="B2360" s="5" t="s">
        <v>11638</v>
      </c>
      <c r="C2360" s="1" t="s">
        <v>11639</v>
      </c>
      <c r="D2360" s="5" t="s">
        <v>17756</v>
      </c>
      <c r="E2360" s="32">
        <v>17</v>
      </c>
      <c r="F2360" s="27">
        <v>1919</v>
      </c>
      <c r="G2360" s="32">
        <v>10</v>
      </c>
      <c r="H2360" s="27">
        <v>1222</v>
      </c>
      <c r="I2360" s="27">
        <v>112.88235294117646</v>
      </c>
      <c r="J2360" s="27">
        <v>122.2</v>
      </c>
      <c r="K2360" s="29">
        <v>8.2542991141219477E-2</v>
      </c>
    </row>
    <row r="2361" spans="1:11" x14ac:dyDescent="0.25">
      <c r="A2361" s="5" t="s">
        <v>6</v>
      </c>
      <c r="B2361" s="5" t="s">
        <v>11641</v>
      </c>
      <c r="C2361" s="1" t="s">
        <v>11642</v>
      </c>
      <c r="D2361" s="5" t="s">
        <v>17756</v>
      </c>
      <c r="E2361" s="32">
        <v>11</v>
      </c>
      <c r="F2361" s="27">
        <v>121</v>
      </c>
      <c r="I2361" s="27">
        <v>11</v>
      </c>
    </row>
    <row r="2362" spans="1:11" x14ac:dyDescent="0.25">
      <c r="A2362" s="5" t="s">
        <v>6</v>
      </c>
      <c r="B2362" s="5" t="s">
        <v>11646</v>
      </c>
      <c r="C2362" s="1" t="s">
        <v>11647</v>
      </c>
      <c r="D2362" s="5" t="s">
        <v>17789</v>
      </c>
      <c r="E2362" s="32">
        <v>14</v>
      </c>
      <c r="F2362" s="27">
        <v>322</v>
      </c>
      <c r="G2362" s="32">
        <v>91</v>
      </c>
      <c r="H2362" s="27">
        <v>2261</v>
      </c>
      <c r="I2362" s="27">
        <v>23</v>
      </c>
      <c r="J2362" s="27">
        <v>24.846153846153847</v>
      </c>
      <c r="K2362" s="29">
        <v>8.0267558528428123E-2</v>
      </c>
    </row>
    <row r="2363" spans="1:11" x14ac:dyDescent="0.25">
      <c r="A2363" s="5" t="s">
        <v>6</v>
      </c>
      <c r="B2363" s="5" t="s">
        <v>11651</v>
      </c>
      <c r="C2363" s="1" t="s">
        <v>11652</v>
      </c>
      <c r="D2363" s="5" t="s">
        <v>17789</v>
      </c>
      <c r="E2363" s="32">
        <v>1</v>
      </c>
      <c r="F2363" s="27">
        <v>187</v>
      </c>
      <c r="I2363" s="27">
        <v>187</v>
      </c>
    </row>
    <row r="2364" spans="1:11" x14ac:dyDescent="0.25">
      <c r="A2364" s="5" t="s">
        <v>6</v>
      </c>
      <c r="B2364" s="5" t="s">
        <v>11660</v>
      </c>
      <c r="C2364" s="1" t="s">
        <v>11661</v>
      </c>
      <c r="D2364" s="5" t="s">
        <v>17789</v>
      </c>
      <c r="E2364" s="32">
        <v>5</v>
      </c>
      <c r="F2364" s="27">
        <v>950</v>
      </c>
      <c r="G2364" s="32">
        <v>2</v>
      </c>
      <c r="H2364" s="27">
        <v>410</v>
      </c>
      <c r="I2364" s="27">
        <v>190</v>
      </c>
      <c r="J2364" s="27">
        <v>205</v>
      </c>
      <c r="K2364" s="29">
        <v>7.8947368421052627E-2</v>
      </c>
    </row>
    <row r="2365" spans="1:11" x14ac:dyDescent="0.25">
      <c r="A2365" s="5" t="s">
        <v>6</v>
      </c>
      <c r="B2365" s="5" t="s">
        <v>11675</v>
      </c>
      <c r="C2365" s="1" t="s">
        <v>11676</v>
      </c>
      <c r="D2365" s="5" t="s">
        <v>17789</v>
      </c>
      <c r="E2365" s="32">
        <v>209</v>
      </c>
      <c r="F2365" s="27">
        <v>12992</v>
      </c>
      <c r="G2365" s="32">
        <v>248</v>
      </c>
      <c r="H2365" s="27">
        <v>16449</v>
      </c>
      <c r="I2365" s="27">
        <v>62.162679425837318</v>
      </c>
      <c r="J2365" s="27">
        <v>66.326612903225808</v>
      </c>
      <c r="K2365" s="29">
        <v>6.6984459419195994E-2</v>
      </c>
    </row>
    <row r="2366" spans="1:11" x14ac:dyDescent="0.25">
      <c r="A2366" s="5" t="s">
        <v>6</v>
      </c>
      <c r="B2366" s="5" t="s">
        <v>11681</v>
      </c>
      <c r="C2366" s="1" t="s">
        <v>11682</v>
      </c>
      <c r="D2366" s="5" t="s">
        <v>17756</v>
      </c>
      <c r="E2366" s="32">
        <v>3</v>
      </c>
      <c r="F2366" s="27">
        <v>147</v>
      </c>
      <c r="I2366" s="27">
        <v>49</v>
      </c>
    </row>
    <row r="2367" spans="1:11" x14ac:dyDescent="0.25">
      <c r="A2367" s="5" t="s">
        <v>6</v>
      </c>
      <c r="B2367" s="5" t="s">
        <v>11686</v>
      </c>
      <c r="C2367" s="1" t="s">
        <v>11687</v>
      </c>
      <c r="D2367" s="5" t="s">
        <v>17789</v>
      </c>
      <c r="E2367" s="32">
        <v>81</v>
      </c>
      <c r="F2367" s="27">
        <v>2325</v>
      </c>
      <c r="G2367" s="32">
        <v>90</v>
      </c>
      <c r="H2367" s="27">
        <v>2738</v>
      </c>
      <c r="I2367" s="27">
        <v>28.703703703703702</v>
      </c>
      <c r="J2367" s="27">
        <v>30.422222222222221</v>
      </c>
      <c r="K2367" s="29">
        <v>5.9870967741935482E-2</v>
      </c>
    </row>
    <row r="2368" spans="1:11" x14ac:dyDescent="0.25">
      <c r="A2368" s="5" t="s">
        <v>6</v>
      </c>
      <c r="B2368" s="5" t="s">
        <v>11689</v>
      </c>
      <c r="C2368" s="1" t="s">
        <v>11690</v>
      </c>
      <c r="D2368" s="5" t="s">
        <v>17789</v>
      </c>
      <c r="E2368" s="32">
        <v>8</v>
      </c>
      <c r="F2368" s="27">
        <v>2400</v>
      </c>
      <c r="G2368" s="32">
        <v>19</v>
      </c>
      <c r="H2368" s="27">
        <v>5988</v>
      </c>
      <c r="I2368" s="27">
        <v>300</v>
      </c>
      <c r="J2368" s="27">
        <v>315.15789473684208</v>
      </c>
      <c r="K2368" s="29">
        <v>5.0526315789473607E-2</v>
      </c>
    </row>
    <row r="2369" spans="1:11" x14ac:dyDescent="0.25">
      <c r="A2369" s="5" t="s">
        <v>6</v>
      </c>
      <c r="B2369" s="5" t="s">
        <v>11692</v>
      </c>
      <c r="C2369" s="1" t="s">
        <v>11693</v>
      </c>
      <c r="D2369" s="5" t="s">
        <v>17789</v>
      </c>
      <c r="E2369" s="32">
        <v>2</v>
      </c>
      <c r="F2369" s="27">
        <v>462</v>
      </c>
      <c r="G2369" s="32">
        <v>3</v>
      </c>
      <c r="H2369" s="27">
        <v>711</v>
      </c>
      <c r="I2369" s="27">
        <v>231</v>
      </c>
      <c r="J2369" s="27">
        <v>237</v>
      </c>
      <c r="K2369" s="29">
        <v>2.5974025974025976E-2</v>
      </c>
    </row>
    <row r="2370" spans="1:11" x14ac:dyDescent="0.25">
      <c r="A2370" s="5" t="s">
        <v>6</v>
      </c>
      <c r="B2370" s="5" t="s">
        <v>11695</v>
      </c>
      <c r="C2370" s="1" t="s">
        <v>11696</v>
      </c>
      <c r="D2370" s="5" t="s">
        <v>17789</v>
      </c>
      <c r="E2370" s="32">
        <v>2</v>
      </c>
      <c r="F2370" s="27">
        <v>356</v>
      </c>
      <c r="I2370" s="27">
        <v>178</v>
      </c>
    </row>
    <row r="2371" spans="1:11" x14ac:dyDescent="0.25">
      <c r="A2371" s="5" t="s">
        <v>6</v>
      </c>
      <c r="B2371" s="5" t="s">
        <v>11712</v>
      </c>
      <c r="C2371" s="1" t="s">
        <v>11713</v>
      </c>
      <c r="D2371" s="5" t="s">
        <v>17789</v>
      </c>
      <c r="E2371" s="32">
        <v>3</v>
      </c>
      <c r="F2371" s="27">
        <v>519</v>
      </c>
      <c r="I2371" s="27">
        <v>173</v>
      </c>
    </row>
    <row r="2372" spans="1:11" x14ac:dyDescent="0.25">
      <c r="A2372" s="5" t="s">
        <v>6</v>
      </c>
      <c r="B2372" s="5" t="s">
        <v>11715</v>
      </c>
      <c r="C2372" s="1" t="s">
        <v>11716</v>
      </c>
      <c r="D2372" s="5" t="s">
        <v>17789</v>
      </c>
      <c r="E2372" s="32">
        <v>3</v>
      </c>
      <c r="F2372" s="27">
        <v>609</v>
      </c>
      <c r="I2372" s="27">
        <v>203</v>
      </c>
    </row>
    <row r="2373" spans="1:11" x14ac:dyDescent="0.25">
      <c r="A2373" s="5" t="s">
        <v>6</v>
      </c>
      <c r="B2373" s="5" t="s">
        <v>11721</v>
      </c>
      <c r="C2373" s="1" t="s">
        <v>11722</v>
      </c>
      <c r="D2373" s="5" t="s">
        <v>17789</v>
      </c>
      <c r="E2373" s="32">
        <v>0</v>
      </c>
      <c r="F2373" s="27">
        <v>0</v>
      </c>
      <c r="G2373" s="32">
        <v>99</v>
      </c>
      <c r="H2373" s="27">
        <v>10420.08</v>
      </c>
      <c r="J2373" s="27">
        <v>105.25333333333333</v>
      </c>
    </row>
    <row r="2374" spans="1:11" x14ac:dyDescent="0.25">
      <c r="A2374" s="5" t="s">
        <v>6</v>
      </c>
      <c r="B2374" s="5" t="s">
        <v>11727</v>
      </c>
      <c r="C2374" s="1" t="s">
        <v>11728</v>
      </c>
      <c r="D2374" s="5" t="s">
        <v>17789</v>
      </c>
      <c r="E2374" s="32">
        <v>6</v>
      </c>
      <c r="F2374" s="27">
        <v>2214</v>
      </c>
      <c r="I2374" s="27">
        <v>369</v>
      </c>
    </row>
    <row r="2375" spans="1:11" x14ac:dyDescent="0.25">
      <c r="A2375" s="5" t="s">
        <v>6</v>
      </c>
      <c r="B2375" s="5" t="s">
        <v>11745</v>
      </c>
      <c r="C2375" s="1" t="s">
        <v>11746</v>
      </c>
      <c r="D2375" s="5" t="s">
        <v>17789</v>
      </c>
      <c r="E2375" s="32">
        <v>5</v>
      </c>
      <c r="F2375" s="27">
        <v>891</v>
      </c>
      <c r="G2375" s="32">
        <v>5</v>
      </c>
      <c r="H2375" s="27">
        <v>975</v>
      </c>
      <c r="I2375" s="27">
        <v>178.2</v>
      </c>
      <c r="J2375" s="27">
        <v>195</v>
      </c>
      <c r="K2375" s="29">
        <v>9.4276094276094347E-2</v>
      </c>
    </row>
    <row r="2376" spans="1:11" x14ac:dyDescent="0.25">
      <c r="A2376" s="5" t="s">
        <v>6</v>
      </c>
      <c r="B2376" s="5" t="s">
        <v>11751</v>
      </c>
      <c r="C2376" s="1" t="s">
        <v>11752</v>
      </c>
      <c r="D2376" s="5" t="s">
        <v>17789</v>
      </c>
      <c r="E2376" s="32">
        <v>4</v>
      </c>
      <c r="F2376" s="27">
        <v>1548</v>
      </c>
      <c r="G2376" s="32">
        <v>3</v>
      </c>
      <c r="H2376" s="27">
        <v>1254</v>
      </c>
      <c r="I2376" s="27">
        <v>387</v>
      </c>
      <c r="J2376" s="27">
        <v>418</v>
      </c>
      <c r="K2376" s="29">
        <v>8.0103359173126609E-2</v>
      </c>
    </row>
    <row r="2377" spans="1:11" x14ac:dyDescent="0.25">
      <c r="A2377" s="5" t="s">
        <v>6</v>
      </c>
      <c r="B2377" s="5" t="s">
        <v>11753</v>
      </c>
      <c r="C2377" s="1" t="s">
        <v>11754</v>
      </c>
      <c r="D2377" s="5" t="s">
        <v>17789</v>
      </c>
      <c r="E2377" s="32">
        <v>1</v>
      </c>
      <c r="F2377" s="27">
        <v>316</v>
      </c>
      <c r="I2377" s="27">
        <v>316</v>
      </c>
    </row>
    <row r="2378" spans="1:11" x14ac:dyDescent="0.25">
      <c r="A2378" s="5" t="s">
        <v>6</v>
      </c>
      <c r="B2378" s="5" t="s">
        <v>11756</v>
      </c>
      <c r="C2378" s="1" t="s">
        <v>11757</v>
      </c>
      <c r="D2378" s="5" t="s">
        <v>18053</v>
      </c>
      <c r="E2378" s="32">
        <v>139</v>
      </c>
      <c r="F2378" s="27">
        <v>33501.440000000002</v>
      </c>
      <c r="G2378" s="32">
        <v>142</v>
      </c>
      <c r="H2378" s="27">
        <v>36690</v>
      </c>
      <c r="I2378" s="27">
        <v>241.01755395683455</v>
      </c>
      <c r="J2378" s="27">
        <v>258.38028169014086</v>
      </c>
      <c r="K2378" s="29">
        <v>7.2039266220484177E-2</v>
      </c>
    </row>
    <row r="2379" spans="1:11" x14ac:dyDescent="0.25">
      <c r="A2379" s="5" t="s">
        <v>6</v>
      </c>
      <c r="B2379" s="5" t="s">
        <v>11759</v>
      </c>
      <c r="C2379" s="1" t="s">
        <v>11760</v>
      </c>
      <c r="D2379" s="5" t="s">
        <v>17789</v>
      </c>
      <c r="E2379" s="32">
        <v>13</v>
      </c>
      <c r="F2379" s="27">
        <v>5028</v>
      </c>
      <c r="G2379" s="32">
        <v>9</v>
      </c>
      <c r="H2379" s="27">
        <v>3860</v>
      </c>
      <c r="I2379" s="27">
        <v>386.76923076923077</v>
      </c>
      <c r="J2379" s="27">
        <v>428.88888888888891</v>
      </c>
      <c r="K2379" s="29">
        <v>0.108901264032529</v>
      </c>
    </row>
    <row r="2380" spans="1:11" x14ac:dyDescent="0.25">
      <c r="A2380" s="5" t="s">
        <v>6</v>
      </c>
      <c r="B2380" s="5" t="s">
        <v>11762</v>
      </c>
      <c r="C2380" s="1" t="s">
        <v>11763</v>
      </c>
      <c r="D2380" s="5" t="s">
        <v>17789</v>
      </c>
      <c r="E2380" s="32">
        <v>4</v>
      </c>
      <c r="F2380" s="27">
        <v>6069</v>
      </c>
      <c r="I2380" s="27">
        <v>1517.25</v>
      </c>
    </row>
    <row r="2381" spans="1:11" x14ac:dyDescent="0.25">
      <c r="A2381" s="5" t="s">
        <v>6</v>
      </c>
      <c r="B2381" s="5" t="s">
        <v>11768</v>
      </c>
      <c r="C2381" s="1" t="s">
        <v>11769</v>
      </c>
      <c r="D2381" s="5" t="s">
        <v>17789</v>
      </c>
      <c r="E2381" s="32">
        <v>7</v>
      </c>
      <c r="F2381" s="27">
        <v>714</v>
      </c>
      <c r="G2381" s="32">
        <v>12</v>
      </c>
      <c r="H2381" s="27">
        <v>1320</v>
      </c>
      <c r="I2381" s="27">
        <v>102</v>
      </c>
      <c r="J2381" s="27">
        <v>110</v>
      </c>
      <c r="K2381" s="29">
        <v>7.8431372549019607E-2</v>
      </c>
    </row>
    <row r="2382" spans="1:11" x14ac:dyDescent="0.25">
      <c r="A2382" s="5" t="s">
        <v>6</v>
      </c>
      <c r="B2382" s="5" t="s">
        <v>11774</v>
      </c>
      <c r="C2382" s="1" t="s">
        <v>11775</v>
      </c>
      <c r="D2382" s="5" t="s">
        <v>17756</v>
      </c>
      <c r="E2382" s="32">
        <v>459</v>
      </c>
      <c r="F2382" s="27">
        <v>22139</v>
      </c>
      <c r="G2382" s="32">
        <v>591</v>
      </c>
      <c r="H2382" s="27">
        <v>30611</v>
      </c>
      <c r="I2382" s="27">
        <v>48.233115468409586</v>
      </c>
      <c r="J2382" s="27">
        <v>51.795262267343489</v>
      </c>
      <c r="K2382" s="29">
        <v>7.3852720570516339E-2</v>
      </c>
    </row>
    <row r="2383" spans="1:11" x14ac:dyDescent="0.25">
      <c r="A2383" s="5" t="s">
        <v>6</v>
      </c>
      <c r="B2383" s="5" t="s">
        <v>11777</v>
      </c>
      <c r="C2383" s="1" t="s">
        <v>11778</v>
      </c>
      <c r="D2383" s="5" t="s">
        <v>17756</v>
      </c>
      <c r="E2383" s="32">
        <v>472</v>
      </c>
      <c r="F2383" s="27">
        <v>14014</v>
      </c>
      <c r="G2383" s="32">
        <v>504</v>
      </c>
      <c r="H2383" s="27">
        <v>15660</v>
      </c>
      <c r="I2383" s="27">
        <v>29.690677966101696</v>
      </c>
      <c r="J2383" s="27">
        <v>31.071428571428573</v>
      </c>
      <c r="K2383" s="29">
        <v>4.6504515892271024E-2</v>
      </c>
    </row>
    <row r="2384" spans="1:11" x14ac:dyDescent="0.25">
      <c r="A2384" s="5" t="s">
        <v>6</v>
      </c>
      <c r="B2384" s="5" t="s">
        <v>11780</v>
      </c>
      <c r="C2384" s="1" t="s">
        <v>11781</v>
      </c>
      <c r="D2384" s="5" t="s">
        <v>17756</v>
      </c>
      <c r="E2384" s="32">
        <v>1</v>
      </c>
      <c r="F2384" s="27">
        <v>106</v>
      </c>
      <c r="I2384" s="27">
        <v>106</v>
      </c>
    </row>
    <row r="2385" spans="1:11" x14ac:dyDescent="0.25">
      <c r="A2385" s="5" t="s">
        <v>6</v>
      </c>
      <c r="B2385" s="5" t="s">
        <v>11783</v>
      </c>
      <c r="C2385" s="1" t="s">
        <v>11784</v>
      </c>
      <c r="D2385" s="5" t="s">
        <v>17756</v>
      </c>
      <c r="E2385" s="32">
        <v>1</v>
      </c>
      <c r="F2385" s="27">
        <v>132</v>
      </c>
      <c r="I2385" s="27">
        <v>132</v>
      </c>
    </row>
    <row r="2386" spans="1:11" x14ac:dyDescent="0.25">
      <c r="A2386" s="5" t="s">
        <v>6</v>
      </c>
      <c r="B2386" s="5" t="s">
        <v>11798</v>
      </c>
      <c r="C2386" s="1" t="s">
        <v>11799</v>
      </c>
      <c r="D2386" s="5" t="s">
        <v>17789</v>
      </c>
      <c r="E2386" s="32">
        <v>161</v>
      </c>
      <c r="F2386" s="27">
        <v>41037</v>
      </c>
      <c r="G2386" s="32">
        <v>155</v>
      </c>
      <c r="H2386" s="27">
        <v>41830</v>
      </c>
      <c r="I2386" s="27">
        <v>254.88819875776397</v>
      </c>
      <c r="J2386" s="27">
        <v>269.87096774193549</v>
      </c>
      <c r="K2386" s="29">
        <v>5.8781728841085214E-2</v>
      </c>
    </row>
    <row r="2387" spans="1:11" x14ac:dyDescent="0.25">
      <c r="A2387" s="5" t="s">
        <v>6</v>
      </c>
      <c r="B2387" s="5" t="s">
        <v>11813</v>
      </c>
      <c r="C2387" s="1" t="s">
        <v>11814</v>
      </c>
      <c r="D2387" s="5" t="s">
        <v>17789</v>
      </c>
      <c r="E2387" s="32">
        <v>11</v>
      </c>
      <c r="F2387" s="27">
        <v>3025</v>
      </c>
      <c r="G2387" s="32">
        <v>16</v>
      </c>
      <c r="H2387" s="27">
        <v>4896</v>
      </c>
      <c r="I2387" s="27">
        <v>275</v>
      </c>
      <c r="J2387" s="27">
        <v>306</v>
      </c>
      <c r="K2387" s="29">
        <v>0.11272727272727273</v>
      </c>
    </row>
    <row r="2388" spans="1:11" x14ac:dyDescent="0.25">
      <c r="A2388" s="5" t="s">
        <v>6</v>
      </c>
      <c r="B2388" s="5" t="s">
        <v>11819</v>
      </c>
      <c r="C2388" s="1" t="s">
        <v>11820</v>
      </c>
      <c r="D2388" s="5" t="s">
        <v>17789</v>
      </c>
      <c r="E2388" s="32">
        <v>3</v>
      </c>
      <c r="F2388" s="27">
        <v>534</v>
      </c>
      <c r="I2388" s="27">
        <v>178</v>
      </c>
    </row>
    <row r="2389" spans="1:11" x14ac:dyDescent="0.25">
      <c r="A2389" s="5" t="s">
        <v>6</v>
      </c>
      <c r="B2389" s="5" t="s">
        <v>11821</v>
      </c>
      <c r="C2389" s="1" t="s">
        <v>11822</v>
      </c>
      <c r="D2389" s="5" t="s">
        <v>17789</v>
      </c>
      <c r="E2389" s="32">
        <v>2</v>
      </c>
      <c r="F2389" s="27">
        <v>346</v>
      </c>
      <c r="I2389" s="27">
        <v>173</v>
      </c>
    </row>
    <row r="2390" spans="1:11" x14ac:dyDescent="0.25">
      <c r="A2390" s="5" t="s">
        <v>6</v>
      </c>
      <c r="B2390" s="5" t="s">
        <v>11835</v>
      </c>
      <c r="C2390" s="1" t="s">
        <v>11836</v>
      </c>
      <c r="D2390" s="5" t="s">
        <v>17756</v>
      </c>
      <c r="E2390" s="32">
        <v>4</v>
      </c>
      <c r="F2390" s="27">
        <v>1823</v>
      </c>
      <c r="I2390" s="27">
        <v>455.75</v>
      </c>
    </row>
    <row r="2391" spans="1:11" x14ac:dyDescent="0.25">
      <c r="A2391" s="5" t="s">
        <v>6</v>
      </c>
      <c r="B2391" s="5" t="s">
        <v>11838</v>
      </c>
      <c r="C2391" s="1" t="s">
        <v>11839</v>
      </c>
      <c r="D2391" s="5" t="s">
        <v>17756</v>
      </c>
      <c r="G2391" s="32">
        <v>7</v>
      </c>
      <c r="H2391" s="27">
        <v>133</v>
      </c>
      <c r="J2391" s="27">
        <v>19</v>
      </c>
    </row>
    <row r="2392" spans="1:11" x14ac:dyDescent="0.25">
      <c r="A2392" s="5" t="s">
        <v>6</v>
      </c>
      <c r="B2392" s="5" t="s">
        <v>11844</v>
      </c>
      <c r="C2392" s="1" t="s">
        <v>11845</v>
      </c>
      <c r="D2392" s="5" t="s">
        <v>17789</v>
      </c>
      <c r="E2392" s="32">
        <v>7</v>
      </c>
      <c r="F2392" s="27">
        <v>7717</v>
      </c>
      <c r="I2392" s="27">
        <v>1102.4285714285713</v>
      </c>
    </row>
    <row r="2393" spans="1:11" x14ac:dyDescent="0.25">
      <c r="A2393" s="5" t="s">
        <v>6</v>
      </c>
      <c r="B2393" s="5" t="s">
        <v>11850</v>
      </c>
      <c r="C2393" s="1" t="s">
        <v>11851</v>
      </c>
      <c r="D2393" s="5" t="s">
        <v>17756</v>
      </c>
      <c r="E2393" s="32">
        <v>254</v>
      </c>
      <c r="F2393" s="27">
        <v>8579</v>
      </c>
      <c r="G2393" s="32">
        <v>471</v>
      </c>
      <c r="H2393" s="27">
        <v>16950</v>
      </c>
      <c r="I2393" s="27">
        <v>33.775590551181104</v>
      </c>
      <c r="J2393" s="27">
        <v>35.987261146496813</v>
      </c>
      <c r="K2393" s="29">
        <v>6.5481330132904789E-2</v>
      </c>
    </row>
    <row r="2394" spans="1:11" x14ac:dyDescent="0.25">
      <c r="A2394" s="5" t="s">
        <v>6</v>
      </c>
      <c r="B2394" s="5" t="s">
        <v>11856</v>
      </c>
      <c r="C2394" s="1" t="s">
        <v>11857</v>
      </c>
      <c r="D2394" s="5" t="s">
        <v>17756</v>
      </c>
      <c r="E2394" s="32">
        <v>21</v>
      </c>
      <c r="F2394" s="27">
        <v>582</v>
      </c>
      <c r="G2394" s="32">
        <v>20</v>
      </c>
      <c r="H2394" s="27">
        <v>580</v>
      </c>
      <c r="I2394" s="27">
        <v>27.714285714285715</v>
      </c>
      <c r="J2394" s="27">
        <v>29</v>
      </c>
      <c r="K2394" s="29">
        <v>4.6391752577319548E-2</v>
      </c>
    </row>
    <row r="2395" spans="1:11" x14ac:dyDescent="0.25">
      <c r="A2395" s="5" t="s">
        <v>6</v>
      </c>
      <c r="B2395" s="5" t="s">
        <v>11865</v>
      </c>
      <c r="C2395" s="1" t="s">
        <v>11866</v>
      </c>
      <c r="D2395" s="5" t="s">
        <v>17756</v>
      </c>
      <c r="E2395" s="32">
        <v>4</v>
      </c>
      <c r="F2395" s="27">
        <v>3064</v>
      </c>
      <c r="G2395" s="32">
        <v>11</v>
      </c>
      <c r="H2395" s="27">
        <v>8792</v>
      </c>
      <c r="I2395" s="27">
        <v>766</v>
      </c>
      <c r="J2395" s="27">
        <v>799.27272727272725</v>
      </c>
      <c r="K2395" s="29">
        <v>4.3436980773795368E-2</v>
      </c>
    </row>
    <row r="2396" spans="1:11" x14ac:dyDescent="0.25">
      <c r="A2396" s="5" t="s">
        <v>6</v>
      </c>
      <c r="B2396" s="5" t="s">
        <v>11873</v>
      </c>
      <c r="C2396" s="1" t="s">
        <v>11874</v>
      </c>
      <c r="D2396" s="5" t="s">
        <v>17789</v>
      </c>
      <c r="E2396" s="32">
        <v>8</v>
      </c>
      <c r="F2396" s="27">
        <v>1396</v>
      </c>
      <c r="I2396" s="27">
        <v>174.5</v>
      </c>
    </row>
    <row r="2397" spans="1:11" x14ac:dyDescent="0.25">
      <c r="A2397" s="5" t="s">
        <v>6</v>
      </c>
      <c r="B2397" s="5" t="s">
        <v>11888</v>
      </c>
      <c r="C2397" s="1" t="s">
        <v>11889</v>
      </c>
      <c r="D2397" s="5" t="s">
        <v>17789</v>
      </c>
      <c r="E2397" s="32">
        <v>28</v>
      </c>
      <c r="F2397" s="27">
        <v>7674</v>
      </c>
      <c r="G2397" s="32">
        <v>21</v>
      </c>
      <c r="H2397" s="27">
        <v>6190</v>
      </c>
      <c r="I2397" s="27">
        <v>274.07142857142856</v>
      </c>
      <c r="J2397" s="27">
        <v>294.76190476190476</v>
      </c>
      <c r="K2397" s="29">
        <v>7.5493006689253808E-2</v>
      </c>
    </row>
    <row r="2398" spans="1:11" x14ac:dyDescent="0.25">
      <c r="A2398" s="5" t="s">
        <v>6</v>
      </c>
      <c r="B2398" s="5" t="s">
        <v>11891</v>
      </c>
      <c r="C2398" s="1" t="s">
        <v>11892</v>
      </c>
      <c r="D2398" s="5" t="s">
        <v>17789</v>
      </c>
      <c r="E2398" s="32">
        <v>33</v>
      </c>
      <c r="F2398" s="27">
        <v>8756</v>
      </c>
      <c r="G2398" s="32">
        <v>39</v>
      </c>
      <c r="H2398" s="27">
        <v>11158</v>
      </c>
      <c r="I2398" s="27">
        <v>265.33333333333331</v>
      </c>
      <c r="J2398" s="27">
        <v>286.10256410256409</v>
      </c>
      <c r="K2398" s="29">
        <v>7.8275995361422518E-2</v>
      </c>
    </row>
    <row r="2399" spans="1:11" x14ac:dyDescent="0.25">
      <c r="A2399" s="5" t="s">
        <v>6</v>
      </c>
      <c r="B2399" s="5" t="s">
        <v>11894</v>
      </c>
      <c r="C2399" s="1" t="s">
        <v>11895</v>
      </c>
      <c r="D2399" s="5" t="s">
        <v>17789</v>
      </c>
      <c r="E2399" s="32">
        <v>76</v>
      </c>
      <c r="F2399" s="27">
        <v>12221</v>
      </c>
      <c r="G2399" s="32">
        <v>72</v>
      </c>
      <c r="H2399" s="27">
        <v>12275</v>
      </c>
      <c r="I2399" s="27">
        <v>160.80263157894737</v>
      </c>
      <c r="J2399" s="27">
        <v>170.48611111111111</v>
      </c>
      <c r="K2399" s="29">
        <v>6.0219658329469322E-2</v>
      </c>
    </row>
    <row r="2400" spans="1:11" x14ac:dyDescent="0.25">
      <c r="A2400" s="5" t="s">
        <v>6</v>
      </c>
      <c r="B2400" s="5" t="s">
        <v>11897</v>
      </c>
      <c r="C2400" s="1" t="s">
        <v>11898</v>
      </c>
      <c r="D2400" s="5" t="s">
        <v>17789</v>
      </c>
      <c r="E2400" s="32">
        <v>12</v>
      </c>
      <c r="F2400" s="27">
        <v>2868</v>
      </c>
      <c r="G2400" s="32">
        <v>9</v>
      </c>
      <c r="H2400" s="27">
        <v>2322</v>
      </c>
      <c r="I2400" s="27">
        <v>239</v>
      </c>
      <c r="J2400" s="27">
        <v>258</v>
      </c>
      <c r="K2400" s="29">
        <v>7.9497907949790794E-2</v>
      </c>
    </row>
    <row r="2401" spans="1:11" x14ac:dyDescent="0.25">
      <c r="A2401" s="5" t="s">
        <v>6</v>
      </c>
      <c r="B2401" s="5" t="s">
        <v>11900</v>
      </c>
      <c r="C2401" s="1" t="s">
        <v>11901</v>
      </c>
      <c r="D2401" s="5" t="s">
        <v>17789</v>
      </c>
      <c r="E2401" s="32">
        <v>6</v>
      </c>
      <c r="F2401" s="27">
        <v>800</v>
      </c>
      <c r="G2401" s="32">
        <v>6</v>
      </c>
      <c r="H2401" s="27">
        <v>855</v>
      </c>
      <c r="I2401" s="27">
        <v>133.33333333333334</v>
      </c>
      <c r="J2401" s="27">
        <v>142.5</v>
      </c>
      <c r="K2401" s="29">
        <v>6.8749999999999922E-2</v>
      </c>
    </row>
    <row r="2402" spans="1:11" x14ac:dyDescent="0.25">
      <c r="A2402" s="5" t="s">
        <v>6</v>
      </c>
      <c r="B2402" s="5" t="s">
        <v>11906</v>
      </c>
      <c r="C2402" s="1" t="s">
        <v>11907</v>
      </c>
      <c r="D2402" s="5" t="s">
        <v>17789</v>
      </c>
      <c r="E2402" s="32">
        <v>2</v>
      </c>
      <c r="F2402" s="27">
        <v>438</v>
      </c>
      <c r="I2402" s="27">
        <v>219</v>
      </c>
    </row>
    <row r="2403" spans="1:11" x14ac:dyDescent="0.25">
      <c r="A2403" s="5" t="s">
        <v>6</v>
      </c>
      <c r="B2403" s="5" t="s">
        <v>11909</v>
      </c>
      <c r="C2403" s="1" t="s">
        <v>11910</v>
      </c>
      <c r="D2403" s="5" t="s">
        <v>17789</v>
      </c>
      <c r="E2403" s="32">
        <v>26</v>
      </c>
      <c r="F2403" s="27">
        <v>4576</v>
      </c>
      <c r="G2403" s="32">
        <v>19</v>
      </c>
      <c r="H2403" s="27">
        <v>3568</v>
      </c>
      <c r="I2403" s="27">
        <v>176</v>
      </c>
      <c r="J2403" s="27">
        <v>187.78947368421052</v>
      </c>
      <c r="K2403" s="29">
        <v>6.6985645933014315E-2</v>
      </c>
    </row>
    <row r="2404" spans="1:11" x14ac:dyDescent="0.25">
      <c r="A2404" s="5" t="s">
        <v>6</v>
      </c>
      <c r="B2404" s="5" t="s">
        <v>11912</v>
      </c>
      <c r="C2404" s="1" t="s">
        <v>11913</v>
      </c>
      <c r="D2404" s="5" t="s">
        <v>17789</v>
      </c>
      <c r="E2404" s="32">
        <v>0</v>
      </c>
      <c r="F2404" s="27">
        <v>0</v>
      </c>
      <c r="G2404" s="32">
        <v>5</v>
      </c>
      <c r="H2404" s="27">
        <v>1785</v>
      </c>
      <c r="J2404" s="27">
        <v>357</v>
      </c>
    </row>
    <row r="2405" spans="1:11" x14ac:dyDescent="0.25">
      <c r="A2405" s="5" t="s">
        <v>6</v>
      </c>
      <c r="B2405" s="5" t="s">
        <v>11915</v>
      </c>
      <c r="C2405" s="1" t="s">
        <v>11916</v>
      </c>
      <c r="D2405" s="5" t="s">
        <v>17789</v>
      </c>
      <c r="E2405" s="32">
        <v>35</v>
      </c>
      <c r="F2405" s="27">
        <v>2975</v>
      </c>
      <c r="G2405" s="32">
        <v>60</v>
      </c>
      <c r="H2405" s="27">
        <v>5324</v>
      </c>
      <c r="I2405" s="27">
        <v>85</v>
      </c>
      <c r="J2405" s="27">
        <v>88.733333333333334</v>
      </c>
      <c r="K2405" s="29">
        <v>4.3921568627450988E-2</v>
      </c>
    </row>
    <row r="2406" spans="1:11" x14ac:dyDescent="0.25">
      <c r="A2406" s="5" t="s">
        <v>6</v>
      </c>
      <c r="B2406" s="5" t="s">
        <v>11918</v>
      </c>
      <c r="C2406" s="1" t="s">
        <v>11919</v>
      </c>
      <c r="D2406" s="5" t="s">
        <v>17789</v>
      </c>
      <c r="E2406" s="32">
        <v>55</v>
      </c>
      <c r="F2406" s="27">
        <v>8376</v>
      </c>
      <c r="G2406" s="32">
        <v>56</v>
      </c>
      <c r="H2406" s="27">
        <v>9288</v>
      </c>
      <c r="I2406" s="27">
        <v>152.29090909090908</v>
      </c>
      <c r="J2406" s="27">
        <v>165.85714285714286</v>
      </c>
      <c r="K2406" s="29">
        <v>8.908104789193623E-2</v>
      </c>
    </row>
    <row r="2407" spans="1:11" x14ac:dyDescent="0.25">
      <c r="A2407" s="5" t="s">
        <v>6</v>
      </c>
      <c r="B2407" s="5" t="s">
        <v>11921</v>
      </c>
      <c r="C2407" s="1" t="s">
        <v>11922</v>
      </c>
      <c r="D2407" s="5" t="s">
        <v>17789</v>
      </c>
      <c r="E2407" s="32">
        <v>74</v>
      </c>
      <c r="F2407" s="27">
        <v>15319</v>
      </c>
      <c r="G2407" s="32">
        <v>39</v>
      </c>
      <c r="H2407" s="27">
        <v>8479</v>
      </c>
      <c r="I2407" s="27">
        <v>207.01351351351352</v>
      </c>
      <c r="J2407" s="27">
        <v>217.41025641025641</v>
      </c>
      <c r="K2407" s="29">
        <v>5.0222532434165031E-2</v>
      </c>
    </row>
    <row r="2408" spans="1:11" x14ac:dyDescent="0.25">
      <c r="A2408" s="5" t="s">
        <v>6</v>
      </c>
      <c r="B2408" s="5" t="s">
        <v>11930</v>
      </c>
      <c r="C2408" s="1" t="s">
        <v>11931</v>
      </c>
      <c r="D2408" s="5" t="s">
        <v>17789</v>
      </c>
      <c r="E2408" s="32">
        <v>270</v>
      </c>
      <c r="F2408" s="27">
        <v>136682</v>
      </c>
      <c r="G2408" s="32">
        <v>244</v>
      </c>
      <c r="H2408" s="27">
        <v>130258</v>
      </c>
      <c r="I2408" s="27">
        <v>506.22962962962964</v>
      </c>
      <c r="J2408" s="27">
        <v>533.84426229508199</v>
      </c>
      <c r="K2408" s="29">
        <v>5.4549617503929802E-2</v>
      </c>
    </row>
    <row r="2409" spans="1:11" x14ac:dyDescent="0.25">
      <c r="A2409" s="5" t="s">
        <v>6</v>
      </c>
      <c r="B2409" s="5" t="s">
        <v>11933</v>
      </c>
      <c r="C2409" s="1" t="s">
        <v>11934</v>
      </c>
      <c r="D2409" s="5" t="s">
        <v>17243</v>
      </c>
      <c r="E2409" s="32">
        <v>1</v>
      </c>
      <c r="F2409" s="27">
        <v>1089</v>
      </c>
      <c r="I2409" s="27">
        <v>1089</v>
      </c>
    </row>
    <row r="2410" spans="1:11" x14ac:dyDescent="0.25">
      <c r="A2410" s="5" t="s">
        <v>6</v>
      </c>
      <c r="B2410" s="5" t="s">
        <v>11953</v>
      </c>
      <c r="C2410" s="1" t="s">
        <v>11954</v>
      </c>
      <c r="D2410" s="5" t="s">
        <v>17789</v>
      </c>
      <c r="E2410" s="32">
        <v>102</v>
      </c>
      <c r="F2410" s="27">
        <v>21505</v>
      </c>
      <c r="G2410" s="32">
        <v>104</v>
      </c>
      <c r="H2410" s="27">
        <v>23463</v>
      </c>
      <c r="I2410" s="27">
        <v>210.83333333333334</v>
      </c>
      <c r="J2410" s="27">
        <v>225.60576923076923</v>
      </c>
      <c r="K2410" s="29">
        <v>7.0066889632106957E-2</v>
      </c>
    </row>
    <row r="2411" spans="1:11" x14ac:dyDescent="0.25">
      <c r="A2411" s="5" t="s">
        <v>6</v>
      </c>
      <c r="B2411" s="5" t="s">
        <v>11956</v>
      </c>
      <c r="C2411" s="1" t="s">
        <v>11957</v>
      </c>
      <c r="D2411" s="5" t="s">
        <v>17756</v>
      </c>
      <c r="E2411" s="32">
        <v>10</v>
      </c>
      <c r="F2411" s="27">
        <v>1181</v>
      </c>
      <c r="G2411" s="32">
        <v>11</v>
      </c>
      <c r="H2411" s="27">
        <v>1379</v>
      </c>
      <c r="I2411" s="27">
        <v>118.1</v>
      </c>
      <c r="J2411" s="27">
        <v>125.36363636363636</v>
      </c>
      <c r="K2411" s="29">
        <v>6.1504118235701656E-2</v>
      </c>
    </row>
    <row r="2412" spans="1:11" x14ac:dyDescent="0.25">
      <c r="A2412" s="5" t="s">
        <v>6</v>
      </c>
      <c r="B2412" s="5" t="s">
        <v>11959</v>
      </c>
      <c r="C2412" s="1" t="s">
        <v>11960</v>
      </c>
      <c r="D2412" s="5" t="s">
        <v>17756</v>
      </c>
      <c r="E2412" s="32">
        <v>1</v>
      </c>
      <c r="F2412" s="27">
        <v>148</v>
      </c>
      <c r="I2412" s="27">
        <v>148</v>
      </c>
    </row>
    <row r="2413" spans="1:11" x14ac:dyDescent="0.25">
      <c r="A2413" s="5" t="s">
        <v>6</v>
      </c>
      <c r="B2413" s="5" t="s">
        <v>11962</v>
      </c>
      <c r="C2413" s="1" t="s">
        <v>11963</v>
      </c>
      <c r="D2413" s="5" t="s">
        <v>17756</v>
      </c>
      <c r="E2413" s="32">
        <v>3</v>
      </c>
      <c r="F2413" s="27">
        <v>225</v>
      </c>
      <c r="I2413" s="27">
        <v>75</v>
      </c>
    </row>
    <row r="2414" spans="1:11" x14ac:dyDescent="0.25">
      <c r="A2414" s="5" t="s">
        <v>6</v>
      </c>
      <c r="B2414" s="5" t="s">
        <v>11971</v>
      </c>
      <c r="C2414" s="1" t="s">
        <v>11972</v>
      </c>
      <c r="D2414" s="5" t="s">
        <v>17243</v>
      </c>
      <c r="E2414" s="32">
        <v>4</v>
      </c>
      <c r="F2414" s="27">
        <v>492</v>
      </c>
      <c r="I2414" s="27">
        <v>123</v>
      </c>
    </row>
    <row r="2415" spans="1:11" x14ac:dyDescent="0.25">
      <c r="A2415" s="5" t="s">
        <v>6</v>
      </c>
      <c r="B2415" s="5" t="s">
        <v>11977</v>
      </c>
      <c r="C2415" s="1" t="s">
        <v>11978</v>
      </c>
      <c r="D2415" s="5" t="s">
        <v>17756</v>
      </c>
      <c r="E2415" s="32">
        <v>2</v>
      </c>
      <c r="F2415" s="27">
        <v>30</v>
      </c>
      <c r="G2415" s="32">
        <v>2</v>
      </c>
      <c r="H2415" s="27">
        <v>34</v>
      </c>
      <c r="I2415" s="27">
        <v>15</v>
      </c>
      <c r="J2415" s="27">
        <v>17</v>
      </c>
      <c r="K2415" s="29">
        <v>0.13333333333333333</v>
      </c>
    </row>
    <row r="2416" spans="1:11" x14ac:dyDescent="0.25">
      <c r="A2416" s="5" t="s">
        <v>6</v>
      </c>
      <c r="B2416" s="5" t="s">
        <v>11983</v>
      </c>
      <c r="C2416" s="1" t="s">
        <v>11984</v>
      </c>
      <c r="D2416" s="5" t="s">
        <v>17243</v>
      </c>
      <c r="E2416" s="32">
        <v>83</v>
      </c>
      <c r="F2416" s="27">
        <v>201632</v>
      </c>
      <c r="G2416" s="32">
        <v>112</v>
      </c>
      <c r="H2416" s="27">
        <v>289072</v>
      </c>
      <c r="I2416" s="27">
        <v>2429.3012048192772</v>
      </c>
      <c r="J2416" s="27">
        <v>2581</v>
      </c>
      <c r="K2416" s="29">
        <v>6.244544516743368E-2</v>
      </c>
    </row>
    <row r="2417" spans="1:11" x14ac:dyDescent="0.25">
      <c r="A2417" s="5" t="s">
        <v>6</v>
      </c>
      <c r="B2417" s="5" t="s">
        <v>11986</v>
      </c>
      <c r="C2417" s="1" t="s">
        <v>11987</v>
      </c>
      <c r="D2417" s="5" t="s">
        <v>17243</v>
      </c>
      <c r="E2417" s="32">
        <v>234</v>
      </c>
      <c r="F2417" s="27">
        <v>464232</v>
      </c>
      <c r="G2417" s="32">
        <v>209</v>
      </c>
      <c r="H2417" s="27">
        <v>443452</v>
      </c>
      <c r="I2417" s="27">
        <v>1983.8974358974358</v>
      </c>
      <c r="J2417" s="27">
        <v>2121.77990430622</v>
      </c>
      <c r="K2417" s="29">
        <v>6.9500804786519488E-2</v>
      </c>
    </row>
    <row r="2418" spans="1:11" x14ac:dyDescent="0.25">
      <c r="A2418" s="5" t="s">
        <v>6</v>
      </c>
      <c r="B2418" s="5" t="s">
        <v>11992</v>
      </c>
      <c r="C2418" s="1" t="s">
        <v>11993</v>
      </c>
      <c r="D2418" s="5" t="s">
        <v>17243</v>
      </c>
      <c r="E2418" s="32">
        <v>30</v>
      </c>
      <c r="F2418" s="27">
        <v>104744</v>
      </c>
      <c r="G2418" s="32">
        <v>36</v>
      </c>
      <c r="H2418" s="27">
        <v>133947</v>
      </c>
      <c r="I2418" s="27">
        <v>3491.4666666666667</v>
      </c>
      <c r="J2418" s="27">
        <v>3720.75</v>
      </c>
      <c r="K2418" s="29">
        <v>6.5669632628121893E-2</v>
      </c>
    </row>
    <row r="2419" spans="1:11" x14ac:dyDescent="0.25">
      <c r="A2419" s="5" t="s">
        <v>6</v>
      </c>
      <c r="B2419" s="5" t="s">
        <v>12007</v>
      </c>
      <c r="C2419" s="1" t="s">
        <v>12008</v>
      </c>
      <c r="D2419" s="5" t="s">
        <v>17789</v>
      </c>
      <c r="E2419" s="32">
        <v>7</v>
      </c>
      <c r="F2419" s="27">
        <v>1744</v>
      </c>
      <c r="I2419" s="27">
        <v>249.14285714285714</v>
      </c>
    </row>
    <row r="2420" spans="1:11" x14ac:dyDescent="0.25">
      <c r="A2420" s="5" t="s">
        <v>6</v>
      </c>
      <c r="B2420" s="5" t="s">
        <v>12010</v>
      </c>
      <c r="C2420" s="1" t="s">
        <v>12011</v>
      </c>
      <c r="D2420" s="5" t="s">
        <v>17789</v>
      </c>
      <c r="E2420" s="32">
        <v>4</v>
      </c>
      <c r="F2420" s="27">
        <v>1124</v>
      </c>
      <c r="G2420" s="32">
        <v>2</v>
      </c>
      <c r="H2420" s="27">
        <v>606</v>
      </c>
      <c r="I2420" s="27">
        <v>281</v>
      </c>
      <c r="J2420" s="27">
        <v>303</v>
      </c>
      <c r="K2420" s="29">
        <v>7.8291814946619215E-2</v>
      </c>
    </row>
    <row r="2421" spans="1:11" x14ac:dyDescent="0.25">
      <c r="A2421" s="5" t="s">
        <v>6</v>
      </c>
      <c r="B2421" s="5" t="s">
        <v>12022</v>
      </c>
      <c r="C2421" s="1" t="s">
        <v>12023</v>
      </c>
      <c r="D2421" s="5" t="s">
        <v>17243</v>
      </c>
      <c r="E2421" s="32">
        <v>240</v>
      </c>
      <c r="F2421" s="27">
        <v>92623</v>
      </c>
      <c r="G2421" s="32">
        <v>175</v>
      </c>
      <c r="H2421" s="27">
        <v>71917</v>
      </c>
      <c r="I2421" s="27">
        <v>385.92916666666667</v>
      </c>
      <c r="J2421" s="27">
        <v>410.95428571428573</v>
      </c>
      <c r="K2421" s="29">
        <v>6.4843813862955998E-2</v>
      </c>
    </row>
    <row r="2422" spans="1:11" x14ac:dyDescent="0.25">
      <c r="A2422" s="5" t="s">
        <v>6</v>
      </c>
      <c r="B2422" s="5" t="s">
        <v>12025</v>
      </c>
      <c r="C2422" s="1" t="s">
        <v>12026</v>
      </c>
      <c r="D2422" s="5" t="s">
        <v>17243</v>
      </c>
      <c r="E2422" s="32">
        <v>1</v>
      </c>
      <c r="F2422" s="27">
        <v>70</v>
      </c>
      <c r="I2422" s="27">
        <v>70</v>
      </c>
    </row>
    <row r="2423" spans="1:11" x14ac:dyDescent="0.25">
      <c r="A2423" s="5" t="s">
        <v>6</v>
      </c>
      <c r="B2423" s="5" t="s">
        <v>12028</v>
      </c>
      <c r="C2423" s="1" t="s">
        <v>12029</v>
      </c>
      <c r="D2423" s="5" t="s">
        <v>17789</v>
      </c>
      <c r="E2423" s="32">
        <v>8</v>
      </c>
      <c r="F2423" s="27">
        <v>480</v>
      </c>
      <c r="G2423" s="32">
        <v>13</v>
      </c>
      <c r="H2423" s="27">
        <v>830</v>
      </c>
      <c r="I2423" s="27">
        <v>60</v>
      </c>
      <c r="J2423" s="27">
        <v>63.846153846153847</v>
      </c>
      <c r="K2423" s="29">
        <v>6.4102564102564111E-2</v>
      </c>
    </row>
    <row r="2424" spans="1:11" x14ac:dyDescent="0.25">
      <c r="A2424" s="5" t="s">
        <v>6</v>
      </c>
      <c r="B2424" s="5" t="s">
        <v>12031</v>
      </c>
      <c r="C2424" s="1" t="s">
        <v>12032</v>
      </c>
      <c r="D2424" s="5" t="s">
        <v>17789</v>
      </c>
      <c r="E2424" s="32">
        <v>2</v>
      </c>
      <c r="F2424" s="27">
        <v>376</v>
      </c>
      <c r="G2424" s="32">
        <v>1</v>
      </c>
      <c r="H2424" s="27">
        <v>188</v>
      </c>
      <c r="I2424" s="27">
        <v>188</v>
      </c>
      <c r="J2424" s="27">
        <v>188</v>
      </c>
      <c r="K2424" s="29">
        <v>0</v>
      </c>
    </row>
    <row r="2425" spans="1:11" x14ac:dyDescent="0.25">
      <c r="A2425" s="5" t="s">
        <v>6</v>
      </c>
      <c r="B2425" s="5" t="s">
        <v>12040</v>
      </c>
      <c r="C2425" s="1" t="s">
        <v>12041</v>
      </c>
      <c r="D2425" s="5" t="s">
        <v>17789</v>
      </c>
      <c r="E2425" s="32">
        <v>7</v>
      </c>
      <c r="F2425" s="27">
        <v>3220</v>
      </c>
      <c r="I2425" s="27">
        <v>460</v>
      </c>
    </row>
    <row r="2426" spans="1:11" x14ac:dyDescent="0.25">
      <c r="A2426" s="5" t="s">
        <v>6</v>
      </c>
      <c r="B2426" s="5" t="s">
        <v>12046</v>
      </c>
      <c r="C2426" s="1" t="s">
        <v>12047</v>
      </c>
      <c r="D2426" s="5" t="s">
        <v>17756</v>
      </c>
      <c r="E2426" s="32">
        <v>20</v>
      </c>
      <c r="F2426" s="27">
        <v>1245</v>
      </c>
      <c r="G2426" s="32">
        <v>28</v>
      </c>
      <c r="H2426" s="27">
        <v>1814</v>
      </c>
      <c r="I2426" s="27">
        <v>62.25</v>
      </c>
      <c r="J2426" s="27">
        <v>64.785714285714292</v>
      </c>
      <c r="K2426" s="29">
        <v>4.073436603557095E-2</v>
      </c>
    </row>
    <row r="2427" spans="1:11" x14ac:dyDescent="0.25">
      <c r="A2427" s="5" t="s">
        <v>6</v>
      </c>
      <c r="B2427" s="5" t="s">
        <v>12052</v>
      </c>
      <c r="C2427" s="1" t="s">
        <v>12053</v>
      </c>
      <c r="D2427" s="5" t="s">
        <v>17789</v>
      </c>
      <c r="E2427" s="32">
        <v>8</v>
      </c>
      <c r="F2427" s="27">
        <v>274</v>
      </c>
      <c r="I2427" s="27">
        <v>34.25</v>
      </c>
    </row>
    <row r="2428" spans="1:11" x14ac:dyDescent="0.25">
      <c r="A2428" s="5" t="s">
        <v>6</v>
      </c>
      <c r="B2428" s="5" t="s">
        <v>12058</v>
      </c>
      <c r="C2428" s="1" t="s">
        <v>12059</v>
      </c>
      <c r="D2428" s="5" t="s">
        <v>17789</v>
      </c>
      <c r="E2428" s="32">
        <v>1</v>
      </c>
      <c r="F2428" s="27">
        <v>123</v>
      </c>
      <c r="I2428" s="27">
        <v>123</v>
      </c>
    </row>
    <row r="2429" spans="1:11" x14ac:dyDescent="0.25">
      <c r="A2429" s="5" t="s">
        <v>6</v>
      </c>
      <c r="B2429" s="5" t="s">
        <v>12061</v>
      </c>
      <c r="C2429" s="1" t="s">
        <v>12062</v>
      </c>
      <c r="D2429" s="5" t="s">
        <v>17789</v>
      </c>
      <c r="E2429" s="32">
        <v>39</v>
      </c>
      <c r="F2429" s="27">
        <v>4209</v>
      </c>
      <c r="G2429" s="32">
        <v>93</v>
      </c>
      <c r="H2429" s="27">
        <v>10851</v>
      </c>
      <c r="I2429" s="27">
        <v>107.92307692307692</v>
      </c>
      <c r="J2429" s="27">
        <v>116.6774193548387</v>
      </c>
      <c r="K2429" s="29">
        <v>8.1116501505989452E-2</v>
      </c>
    </row>
    <row r="2430" spans="1:11" x14ac:dyDescent="0.25">
      <c r="A2430" s="5" t="s">
        <v>6</v>
      </c>
      <c r="B2430" s="5" t="s">
        <v>12065</v>
      </c>
      <c r="C2430" s="1" t="s">
        <v>12066</v>
      </c>
      <c r="D2430" s="5" t="s">
        <v>17789</v>
      </c>
      <c r="E2430" s="32">
        <v>2</v>
      </c>
      <c r="F2430" s="27">
        <v>286</v>
      </c>
      <c r="I2430" s="27">
        <v>143</v>
      </c>
    </row>
    <row r="2431" spans="1:11" x14ac:dyDescent="0.25">
      <c r="A2431" s="5" t="s">
        <v>6</v>
      </c>
      <c r="B2431" s="5" t="s">
        <v>12071</v>
      </c>
      <c r="C2431" s="1" t="s">
        <v>12072</v>
      </c>
      <c r="D2431" s="5" t="s">
        <v>17789</v>
      </c>
      <c r="E2431" s="32">
        <v>27</v>
      </c>
      <c r="F2431" s="27">
        <v>7305</v>
      </c>
      <c r="G2431" s="32">
        <v>23</v>
      </c>
      <c r="H2431" s="27">
        <v>6499</v>
      </c>
      <c r="I2431" s="27">
        <v>270.55555555555554</v>
      </c>
      <c r="J2431" s="27">
        <v>282.56521739130437</v>
      </c>
      <c r="K2431" s="29">
        <v>4.4388893848763641E-2</v>
      </c>
    </row>
    <row r="2432" spans="1:11" x14ac:dyDescent="0.25">
      <c r="A2432" s="5" t="s">
        <v>6</v>
      </c>
      <c r="B2432" s="5" t="s">
        <v>12074</v>
      </c>
      <c r="C2432" s="1" t="s">
        <v>12075</v>
      </c>
      <c r="D2432" s="5" t="s">
        <v>17789</v>
      </c>
      <c r="E2432" s="32">
        <v>6</v>
      </c>
      <c r="F2432" s="27">
        <v>336</v>
      </c>
      <c r="G2432" s="32">
        <v>4</v>
      </c>
      <c r="H2432" s="27">
        <v>240</v>
      </c>
      <c r="I2432" s="27">
        <v>56</v>
      </c>
      <c r="J2432" s="27">
        <v>60</v>
      </c>
      <c r="K2432" s="29">
        <v>7.1428571428571425E-2</v>
      </c>
    </row>
    <row r="2433" spans="1:11" x14ac:dyDescent="0.25">
      <c r="A2433" s="5" t="s">
        <v>6</v>
      </c>
      <c r="B2433" s="5" t="s">
        <v>12083</v>
      </c>
      <c r="C2433" s="1" t="s">
        <v>12084</v>
      </c>
      <c r="D2433" s="5" t="s">
        <v>17789</v>
      </c>
      <c r="E2433" s="32">
        <v>1</v>
      </c>
      <c r="F2433" s="27">
        <v>172</v>
      </c>
      <c r="I2433" s="27">
        <v>172</v>
      </c>
    </row>
    <row r="2434" spans="1:11" x14ac:dyDescent="0.25">
      <c r="A2434" s="5" t="s">
        <v>6</v>
      </c>
      <c r="B2434" s="5" t="s">
        <v>12086</v>
      </c>
      <c r="C2434" s="1" t="s">
        <v>12087</v>
      </c>
      <c r="D2434" s="5" t="s">
        <v>17789</v>
      </c>
      <c r="E2434" s="32">
        <v>1</v>
      </c>
      <c r="F2434" s="27">
        <v>38</v>
      </c>
      <c r="I2434" s="27">
        <v>38</v>
      </c>
    </row>
    <row r="2435" spans="1:11" x14ac:dyDescent="0.25">
      <c r="A2435" s="5" t="s">
        <v>6</v>
      </c>
      <c r="B2435" s="5" t="s">
        <v>12089</v>
      </c>
      <c r="C2435" s="1" t="s">
        <v>12090</v>
      </c>
      <c r="D2435" s="5" t="s">
        <v>17789</v>
      </c>
      <c r="E2435" s="32">
        <v>19</v>
      </c>
      <c r="F2435" s="27">
        <v>2140</v>
      </c>
      <c r="G2435" s="32">
        <v>16</v>
      </c>
      <c r="H2435" s="27">
        <v>1939</v>
      </c>
      <c r="I2435" s="27">
        <v>112.63157894736842</v>
      </c>
      <c r="J2435" s="27">
        <v>121.1875</v>
      </c>
      <c r="K2435" s="29">
        <v>7.5963785046728932E-2</v>
      </c>
    </row>
    <row r="2436" spans="1:11" x14ac:dyDescent="0.25">
      <c r="A2436" s="5" t="s">
        <v>6</v>
      </c>
      <c r="B2436" s="5" t="s">
        <v>12095</v>
      </c>
      <c r="C2436" s="1" t="s">
        <v>12096</v>
      </c>
      <c r="D2436" s="5" t="s">
        <v>17789</v>
      </c>
      <c r="E2436" s="32">
        <v>45</v>
      </c>
      <c r="F2436" s="27">
        <v>7436</v>
      </c>
      <c r="G2436" s="32">
        <v>89</v>
      </c>
      <c r="H2436" s="27">
        <v>15923</v>
      </c>
      <c r="I2436" s="27">
        <v>165.24444444444444</v>
      </c>
      <c r="J2436" s="27">
        <v>178.91011235955057</v>
      </c>
      <c r="K2436" s="29">
        <v>8.2699711697118844E-2</v>
      </c>
    </row>
    <row r="2437" spans="1:11" x14ac:dyDescent="0.25">
      <c r="A2437" s="5" t="s">
        <v>6</v>
      </c>
      <c r="B2437" s="5" t="s">
        <v>12098</v>
      </c>
      <c r="C2437" s="1" t="s">
        <v>12099</v>
      </c>
      <c r="D2437" s="5" t="s">
        <v>17789</v>
      </c>
      <c r="E2437" s="32">
        <v>70</v>
      </c>
      <c r="F2437" s="27">
        <v>11451</v>
      </c>
      <c r="G2437" s="32">
        <v>74</v>
      </c>
      <c r="H2437" s="27">
        <v>12778</v>
      </c>
      <c r="I2437" s="27">
        <v>163.58571428571429</v>
      </c>
      <c r="J2437" s="27">
        <v>172.67567567567568</v>
      </c>
      <c r="K2437" s="29">
        <v>5.5566963347943164E-2</v>
      </c>
    </row>
    <row r="2438" spans="1:11" x14ac:dyDescent="0.25">
      <c r="A2438" s="5" t="s">
        <v>6</v>
      </c>
      <c r="B2438" s="5" t="s">
        <v>12101</v>
      </c>
      <c r="C2438" s="1" t="s">
        <v>12102</v>
      </c>
      <c r="D2438" s="5" t="s">
        <v>17789</v>
      </c>
      <c r="E2438" s="32">
        <v>5</v>
      </c>
      <c r="F2438" s="27">
        <v>4520</v>
      </c>
      <c r="G2438" s="32">
        <v>46</v>
      </c>
      <c r="H2438" s="27">
        <v>43888</v>
      </c>
      <c r="I2438" s="27">
        <v>904</v>
      </c>
      <c r="J2438" s="27">
        <v>954.08695652173913</v>
      </c>
      <c r="K2438" s="29">
        <v>5.5405925355906112E-2</v>
      </c>
    </row>
    <row r="2439" spans="1:11" x14ac:dyDescent="0.25">
      <c r="A2439" s="5" t="s">
        <v>6</v>
      </c>
      <c r="B2439" s="5" t="s">
        <v>12109</v>
      </c>
      <c r="C2439" s="1" t="s">
        <v>12110</v>
      </c>
      <c r="D2439" s="5" t="s">
        <v>17756</v>
      </c>
      <c r="E2439" s="32">
        <v>12</v>
      </c>
      <c r="F2439" s="27">
        <v>330</v>
      </c>
      <c r="G2439" s="32">
        <v>11</v>
      </c>
      <c r="H2439" s="27">
        <v>322</v>
      </c>
      <c r="I2439" s="27">
        <v>27.5</v>
      </c>
      <c r="J2439" s="27">
        <v>29.272727272727273</v>
      </c>
      <c r="K2439" s="29">
        <v>6.4462809917355396E-2</v>
      </c>
    </row>
    <row r="2440" spans="1:11" x14ac:dyDescent="0.25">
      <c r="A2440" s="5" t="s">
        <v>6</v>
      </c>
      <c r="B2440" s="5" t="s">
        <v>12115</v>
      </c>
      <c r="C2440" s="1" t="s">
        <v>12116</v>
      </c>
      <c r="D2440" s="5" t="s">
        <v>17756</v>
      </c>
      <c r="E2440" s="32">
        <v>1687</v>
      </c>
      <c r="F2440" s="27">
        <v>23386</v>
      </c>
      <c r="G2440" s="32">
        <v>2141</v>
      </c>
      <c r="H2440" s="27">
        <v>31445</v>
      </c>
      <c r="I2440" s="27">
        <v>13.862477771191465</v>
      </c>
      <c r="J2440" s="27">
        <v>14.687062120504438</v>
      </c>
      <c r="K2440" s="29">
        <v>5.9483186406011516E-2</v>
      </c>
    </row>
    <row r="2441" spans="1:11" x14ac:dyDescent="0.25">
      <c r="A2441" s="5" t="s">
        <v>6</v>
      </c>
      <c r="B2441" s="5" t="s">
        <v>12124</v>
      </c>
      <c r="C2441" s="1" t="s">
        <v>12125</v>
      </c>
      <c r="D2441" s="5" t="s">
        <v>17756</v>
      </c>
      <c r="E2441" s="32">
        <v>3</v>
      </c>
      <c r="F2441" s="27">
        <v>111</v>
      </c>
      <c r="I2441" s="27">
        <v>37</v>
      </c>
    </row>
    <row r="2442" spans="1:11" x14ac:dyDescent="0.25">
      <c r="A2442" s="5" t="s">
        <v>6</v>
      </c>
      <c r="B2442" s="5" t="s">
        <v>12127</v>
      </c>
      <c r="C2442" s="1" t="s">
        <v>12128</v>
      </c>
      <c r="D2442" s="5" t="s">
        <v>17789</v>
      </c>
      <c r="E2442" s="32">
        <v>1</v>
      </c>
      <c r="F2442" s="27">
        <v>207</v>
      </c>
      <c r="I2442" s="27">
        <v>207</v>
      </c>
    </row>
    <row r="2443" spans="1:11" x14ac:dyDescent="0.25">
      <c r="A2443" s="5" t="s">
        <v>6</v>
      </c>
      <c r="B2443" s="5" t="s">
        <v>12130</v>
      </c>
      <c r="C2443" s="1" t="s">
        <v>12131</v>
      </c>
      <c r="D2443" s="5" t="s">
        <v>17789</v>
      </c>
      <c r="E2443" s="32">
        <v>2</v>
      </c>
      <c r="F2443" s="27">
        <v>596</v>
      </c>
      <c r="G2443" s="32">
        <v>7</v>
      </c>
      <c r="H2443" s="27">
        <v>2182</v>
      </c>
      <c r="I2443" s="27">
        <v>298</v>
      </c>
      <c r="J2443" s="27">
        <v>311.71428571428572</v>
      </c>
      <c r="K2443" s="29">
        <v>4.6021093000958802E-2</v>
      </c>
    </row>
    <row r="2444" spans="1:11" x14ac:dyDescent="0.25">
      <c r="A2444" s="5" t="s">
        <v>6</v>
      </c>
      <c r="B2444" s="5" t="s">
        <v>12139</v>
      </c>
      <c r="C2444" s="1" t="s">
        <v>12140</v>
      </c>
      <c r="D2444" s="5" t="s">
        <v>17756</v>
      </c>
      <c r="E2444" s="32">
        <v>8</v>
      </c>
      <c r="F2444" s="27">
        <v>1141</v>
      </c>
      <c r="G2444" s="32">
        <v>10</v>
      </c>
      <c r="H2444" s="27">
        <v>1560</v>
      </c>
      <c r="I2444" s="27">
        <v>142.625</v>
      </c>
      <c r="J2444" s="27">
        <v>156</v>
      </c>
      <c r="K2444" s="29">
        <v>9.3777388255915861E-2</v>
      </c>
    </row>
    <row r="2445" spans="1:11" x14ac:dyDescent="0.25">
      <c r="A2445" s="5" t="s">
        <v>6</v>
      </c>
      <c r="B2445" s="5" t="s">
        <v>12142</v>
      </c>
      <c r="C2445" s="1" t="s">
        <v>12143</v>
      </c>
      <c r="D2445" s="5" t="s">
        <v>17756</v>
      </c>
      <c r="E2445" s="32">
        <v>4</v>
      </c>
      <c r="F2445" s="27">
        <v>145</v>
      </c>
      <c r="G2445" s="32">
        <v>9</v>
      </c>
      <c r="H2445" s="27">
        <v>360</v>
      </c>
      <c r="I2445" s="27">
        <v>36.25</v>
      </c>
      <c r="J2445" s="27">
        <v>40</v>
      </c>
      <c r="K2445" s="29">
        <v>0.10344827586206896</v>
      </c>
    </row>
    <row r="2446" spans="1:11" x14ac:dyDescent="0.25">
      <c r="A2446" s="5" t="s">
        <v>6</v>
      </c>
      <c r="B2446" s="5" t="s">
        <v>12145</v>
      </c>
      <c r="C2446" s="1" t="s">
        <v>12146</v>
      </c>
      <c r="D2446" s="5" t="s">
        <v>17243</v>
      </c>
      <c r="E2446" s="32">
        <v>4</v>
      </c>
      <c r="F2446" s="27">
        <v>9826</v>
      </c>
      <c r="I2446" s="27">
        <v>2456.5</v>
      </c>
    </row>
    <row r="2447" spans="1:11" x14ac:dyDescent="0.25">
      <c r="A2447" s="5" t="s">
        <v>6</v>
      </c>
      <c r="B2447" s="5" t="s">
        <v>12148</v>
      </c>
      <c r="C2447" s="1" t="s">
        <v>12149</v>
      </c>
      <c r="D2447" s="5" t="s">
        <v>17243</v>
      </c>
      <c r="E2447" s="32">
        <v>2</v>
      </c>
      <c r="F2447" s="27">
        <v>11906</v>
      </c>
      <c r="I2447" s="27">
        <v>5953</v>
      </c>
    </row>
    <row r="2448" spans="1:11" x14ac:dyDescent="0.25">
      <c r="A2448" s="5" t="s">
        <v>6</v>
      </c>
      <c r="B2448" s="5" t="s">
        <v>12151</v>
      </c>
      <c r="C2448" s="1" t="s">
        <v>12152</v>
      </c>
      <c r="D2448" s="5" t="s">
        <v>17789</v>
      </c>
      <c r="E2448" s="32">
        <v>46</v>
      </c>
      <c r="F2448" s="27">
        <v>2318</v>
      </c>
      <c r="G2448" s="32">
        <v>38</v>
      </c>
      <c r="H2448" s="27">
        <v>2042</v>
      </c>
      <c r="I2448" s="27">
        <v>50.391304347826086</v>
      </c>
      <c r="J2448" s="27">
        <v>53.736842105263158</v>
      </c>
      <c r="K2448" s="29">
        <v>6.6391172063030759E-2</v>
      </c>
    </row>
    <row r="2449" spans="1:11" x14ac:dyDescent="0.25">
      <c r="A2449" s="5" t="s">
        <v>6</v>
      </c>
      <c r="B2449" s="5" t="s">
        <v>12175</v>
      </c>
      <c r="C2449" s="1" t="s">
        <v>12176</v>
      </c>
      <c r="D2449" s="5" t="s">
        <v>17756</v>
      </c>
      <c r="E2449" s="32">
        <v>37</v>
      </c>
      <c r="F2449" s="27">
        <v>3450</v>
      </c>
      <c r="G2449" s="32">
        <v>26</v>
      </c>
      <c r="H2449" s="27">
        <v>2604</v>
      </c>
      <c r="I2449" s="27">
        <v>93.243243243243242</v>
      </c>
      <c r="J2449" s="27">
        <v>100.15384615384616</v>
      </c>
      <c r="K2449" s="29">
        <v>7.411371237458203E-2</v>
      </c>
    </row>
    <row r="2450" spans="1:11" x14ac:dyDescent="0.25">
      <c r="A2450" s="5" t="s">
        <v>6</v>
      </c>
      <c r="B2450" s="5" t="s">
        <v>12178</v>
      </c>
      <c r="C2450" s="1" t="s">
        <v>12179</v>
      </c>
      <c r="D2450" s="5" t="s">
        <v>17756</v>
      </c>
      <c r="E2450" s="32">
        <v>48</v>
      </c>
      <c r="F2450" s="27">
        <v>1226</v>
      </c>
      <c r="G2450" s="32">
        <v>31</v>
      </c>
      <c r="H2450" s="27">
        <v>858</v>
      </c>
      <c r="I2450" s="27">
        <v>25.541666666666668</v>
      </c>
      <c r="J2450" s="27">
        <v>27.677419354838708</v>
      </c>
      <c r="K2450" s="29">
        <v>8.3618376045887385E-2</v>
      </c>
    </row>
    <row r="2451" spans="1:11" x14ac:dyDescent="0.25">
      <c r="A2451" s="5" t="s">
        <v>6</v>
      </c>
      <c r="B2451" s="5" t="s">
        <v>12184</v>
      </c>
      <c r="C2451" s="1" t="s">
        <v>12185</v>
      </c>
      <c r="D2451" s="5" t="s">
        <v>17756</v>
      </c>
      <c r="E2451" s="32">
        <v>225</v>
      </c>
      <c r="F2451" s="27">
        <v>26885</v>
      </c>
      <c r="G2451" s="32">
        <v>109</v>
      </c>
      <c r="H2451" s="27">
        <v>14109</v>
      </c>
      <c r="I2451" s="27">
        <v>119.48888888888889</v>
      </c>
      <c r="J2451" s="27">
        <v>129.44036697247705</v>
      </c>
      <c r="K2451" s="29">
        <v>8.3283710946897349E-2</v>
      </c>
    </row>
    <row r="2452" spans="1:11" x14ac:dyDescent="0.25">
      <c r="A2452" s="5" t="s">
        <v>6</v>
      </c>
      <c r="B2452" s="5" t="s">
        <v>12187</v>
      </c>
      <c r="C2452" s="1" t="s">
        <v>12188</v>
      </c>
      <c r="D2452" s="5" t="s">
        <v>17756</v>
      </c>
      <c r="E2452" s="32">
        <v>421</v>
      </c>
      <c r="F2452" s="27">
        <v>50993</v>
      </c>
      <c r="G2452" s="32">
        <v>266</v>
      </c>
      <c r="H2452" s="27">
        <v>34408</v>
      </c>
      <c r="I2452" s="27">
        <v>121.12351543942992</v>
      </c>
      <c r="J2452" s="27">
        <v>129.35338345864662</v>
      </c>
      <c r="K2452" s="29">
        <v>6.7946079581319568E-2</v>
      </c>
    </row>
    <row r="2453" spans="1:11" x14ac:dyDescent="0.25">
      <c r="A2453" s="5" t="s">
        <v>6</v>
      </c>
      <c r="B2453" s="5" t="s">
        <v>12190</v>
      </c>
      <c r="C2453" s="1" t="s">
        <v>12191</v>
      </c>
      <c r="D2453" s="5" t="s">
        <v>17756</v>
      </c>
      <c r="E2453" s="32">
        <v>153</v>
      </c>
      <c r="F2453" s="27">
        <v>19158</v>
      </c>
      <c r="G2453" s="32">
        <v>314</v>
      </c>
      <c r="H2453" s="27">
        <v>41474</v>
      </c>
      <c r="I2453" s="27">
        <v>125.21568627450981</v>
      </c>
      <c r="J2453" s="27">
        <v>132.08280254777071</v>
      </c>
      <c r="K2453" s="29">
        <v>5.4842300334529616E-2</v>
      </c>
    </row>
    <row r="2454" spans="1:11" x14ac:dyDescent="0.25">
      <c r="A2454" s="5" t="s">
        <v>6</v>
      </c>
      <c r="B2454" s="5" t="s">
        <v>12193</v>
      </c>
      <c r="C2454" s="1" t="s">
        <v>12194</v>
      </c>
      <c r="D2454" s="5" t="s">
        <v>17789</v>
      </c>
      <c r="E2454" s="32">
        <v>35</v>
      </c>
      <c r="F2454" s="27">
        <v>1652</v>
      </c>
      <c r="G2454" s="32">
        <v>36</v>
      </c>
      <c r="H2454" s="27">
        <v>1852</v>
      </c>
      <c r="I2454" s="27">
        <v>47.2</v>
      </c>
      <c r="J2454" s="27">
        <v>51.444444444444443</v>
      </c>
      <c r="K2454" s="29">
        <v>8.9924670433144907E-2</v>
      </c>
    </row>
    <row r="2455" spans="1:11" x14ac:dyDescent="0.25">
      <c r="A2455" s="5" t="s">
        <v>6</v>
      </c>
      <c r="B2455" s="5" t="s">
        <v>12196</v>
      </c>
      <c r="C2455" s="1" t="s">
        <v>12197</v>
      </c>
      <c r="D2455" s="5" t="s">
        <v>17789</v>
      </c>
      <c r="E2455" s="32">
        <v>488</v>
      </c>
      <c r="F2455" s="27">
        <v>30404</v>
      </c>
      <c r="G2455" s="32">
        <v>482</v>
      </c>
      <c r="H2455" s="27">
        <v>31941</v>
      </c>
      <c r="I2455" s="27">
        <v>62.303278688524593</v>
      </c>
      <c r="J2455" s="27">
        <v>66.267634854771785</v>
      </c>
      <c r="K2455" s="29">
        <v>6.3629976619149778E-2</v>
      </c>
    </row>
    <row r="2456" spans="1:11" x14ac:dyDescent="0.25">
      <c r="A2456" s="5" t="s">
        <v>6</v>
      </c>
      <c r="B2456" s="5" t="s">
        <v>12202</v>
      </c>
      <c r="C2456" s="1" t="s">
        <v>12203</v>
      </c>
      <c r="D2456" s="5" t="s">
        <v>17789</v>
      </c>
      <c r="E2456" s="32">
        <v>9</v>
      </c>
      <c r="F2456" s="27">
        <v>567</v>
      </c>
      <c r="I2456" s="27">
        <v>63</v>
      </c>
    </row>
    <row r="2457" spans="1:11" x14ac:dyDescent="0.25">
      <c r="A2457" s="5" t="s">
        <v>6</v>
      </c>
      <c r="B2457" s="5" t="s">
        <v>12205</v>
      </c>
      <c r="C2457" s="1" t="s">
        <v>12206</v>
      </c>
      <c r="D2457" s="5" t="s">
        <v>17789</v>
      </c>
      <c r="E2457" s="32">
        <v>0</v>
      </c>
      <c r="F2457" s="27">
        <v>0</v>
      </c>
      <c r="G2457" s="32">
        <v>2</v>
      </c>
      <c r="H2457" s="27">
        <v>135</v>
      </c>
      <c r="J2457" s="27">
        <v>67.5</v>
      </c>
    </row>
    <row r="2458" spans="1:11" x14ac:dyDescent="0.25">
      <c r="A2458" s="5" t="s">
        <v>6</v>
      </c>
      <c r="B2458" s="5" t="s">
        <v>12208</v>
      </c>
      <c r="C2458" s="1" t="s">
        <v>12209</v>
      </c>
      <c r="D2458" s="5" t="s">
        <v>17789</v>
      </c>
      <c r="E2458" s="32">
        <v>1</v>
      </c>
      <c r="F2458" s="27">
        <v>169</v>
      </c>
      <c r="I2458" s="27">
        <v>169</v>
      </c>
    </row>
    <row r="2459" spans="1:11" x14ac:dyDescent="0.25">
      <c r="A2459" s="5" t="s">
        <v>6</v>
      </c>
      <c r="B2459" s="5" t="s">
        <v>12211</v>
      </c>
      <c r="C2459" s="1" t="s">
        <v>12212</v>
      </c>
      <c r="D2459" s="5" t="s">
        <v>17789</v>
      </c>
      <c r="E2459" s="32">
        <v>905</v>
      </c>
      <c r="F2459" s="27">
        <v>61105</v>
      </c>
      <c r="G2459" s="32">
        <v>626</v>
      </c>
      <c r="H2459" s="27">
        <v>44768</v>
      </c>
      <c r="I2459" s="27">
        <v>67.519337016574582</v>
      </c>
      <c r="J2459" s="27">
        <v>71.514376996805112</v>
      </c>
      <c r="K2459" s="29">
        <v>5.9168827135400205E-2</v>
      </c>
    </row>
    <row r="2460" spans="1:11" x14ac:dyDescent="0.25">
      <c r="A2460" s="5" t="s">
        <v>6</v>
      </c>
      <c r="B2460" s="5" t="s">
        <v>12214</v>
      </c>
      <c r="C2460" s="1" t="s">
        <v>12215</v>
      </c>
      <c r="D2460" s="5" t="s">
        <v>17789</v>
      </c>
      <c r="E2460" s="32">
        <v>22</v>
      </c>
      <c r="F2460" s="27">
        <v>4003</v>
      </c>
      <c r="G2460" s="32">
        <v>34</v>
      </c>
      <c r="H2460" s="27">
        <v>6481</v>
      </c>
      <c r="I2460" s="27">
        <v>181.95454545454547</v>
      </c>
      <c r="J2460" s="27">
        <v>190.61764705882354</v>
      </c>
      <c r="K2460" s="29">
        <v>4.7611350310796274E-2</v>
      </c>
    </row>
    <row r="2461" spans="1:11" x14ac:dyDescent="0.25">
      <c r="A2461" s="5" t="s">
        <v>6</v>
      </c>
      <c r="B2461" s="5" t="s">
        <v>12220</v>
      </c>
      <c r="C2461" s="1" t="s">
        <v>12221</v>
      </c>
      <c r="D2461" s="5" t="s">
        <v>17789</v>
      </c>
      <c r="E2461" s="32">
        <v>77</v>
      </c>
      <c r="F2461" s="27">
        <v>21208</v>
      </c>
      <c r="G2461" s="32">
        <v>119</v>
      </c>
      <c r="H2461" s="27">
        <v>35216</v>
      </c>
      <c r="I2461" s="27">
        <v>275.42857142857144</v>
      </c>
      <c r="J2461" s="27">
        <v>295.93277310924367</v>
      </c>
      <c r="K2461" s="29">
        <v>7.444471564559417E-2</v>
      </c>
    </row>
    <row r="2462" spans="1:11" x14ac:dyDescent="0.25">
      <c r="A2462" s="5" t="s">
        <v>6</v>
      </c>
      <c r="B2462" s="5" t="s">
        <v>12223</v>
      </c>
      <c r="C2462" s="1" t="s">
        <v>12224</v>
      </c>
      <c r="D2462" s="5" t="s">
        <v>17789</v>
      </c>
      <c r="E2462" s="32">
        <v>3</v>
      </c>
      <c r="F2462" s="27">
        <v>903</v>
      </c>
      <c r="I2462" s="27">
        <v>301</v>
      </c>
    </row>
    <row r="2463" spans="1:11" x14ac:dyDescent="0.25">
      <c r="A2463" s="5" t="s">
        <v>6</v>
      </c>
      <c r="B2463" s="5" t="s">
        <v>12241</v>
      </c>
      <c r="C2463" s="1" t="s">
        <v>12242</v>
      </c>
      <c r="D2463" s="5" t="s">
        <v>17789</v>
      </c>
      <c r="E2463" s="32">
        <v>35</v>
      </c>
      <c r="F2463" s="27">
        <v>5985</v>
      </c>
      <c r="G2463" s="32">
        <v>49</v>
      </c>
      <c r="H2463" s="27">
        <v>9051</v>
      </c>
      <c r="I2463" s="27">
        <v>171</v>
      </c>
      <c r="J2463" s="27">
        <v>184.71428571428572</v>
      </c>
      <c r="K2463" s="29">
        <v>8.0200501253132883E-2</v>
      </c>
    </row>
    <row r="2464" spans="1:11" x14ac:dyDescent="0.25">
      <c r="A2464" s="5" t="s">
        <v>6</v>
      </c>
      <c r="B2464" s="5" t="s">
        <v>12244</v>
      </c>
      <c r="C2464" s="1" t="s">
        <v>12245</v>
      </c>
      <c r="D2464" s="5" t="s">
        <v>17756</v>
      </c>
      <c r="E2464" s="32">
        <v>7</v>
      </c>
      <c r="F2464" s="27">
        <v>182</v>
      </c>
      <c r="G2464" s="32">
        <v>30</v>
      </c>
      <c r="H2464" s="27">
        <v>834</v>
      </c>
      <c r="I2464" s="27">
        <v>26</v>
      </c>
      <c r="J2464" s="27">
        <v>27.8</v>
      </c>
      <c r="K2464" s="29">
        <v>6.9230769230769262E-2</v>
      </c>
    </row>
    <row r="2465" spans="1:11" x14ac:dyDescent="0.25">
      <c r="A2465" s="5" t="s">
        <v>6</v>
      </c>
      <c r="B2465" s="5" t="s">
        <v>12253</v>
      </c>
      <c r="C2465" s="1" t="s">
        <v>12254</v>
      </c>
      <c r="D2465" s="5" t="s">
        <v>17756</v>
      </c>
      <c r="E2465" s="32">
        <v>1</v>
      </c>
      <c r="F2465" s="27">
        <v>35</v>
      </c>
      <c r="G2465" s="32">
        <v>5</v>
      </c>
      <c r="H2465" s="27">
        <v>184</v>
      </c>
      <c r="I2465" s="27">
        <v>35</v>
      </c>
      <c r="J2465" s="27">
        <v>36.799999999999997</v>
      </c>
      <c r="K2465" s="29">
        <v>5.1428571428571344E-2</v>
      </c>
    </row>
    <row r="2466" spans="1:11" x14ac:dyDescent="0.25">
      <c r="A2466" s="5" t="s">
        <v>6</v>
      </c>
      <c r="B2466" s="5" t="s">
        <v>12262</v>
      </c>
      <c r="C2466" s="1" t="s">
        <v>12263</v>
      </c>
      <c r="D2466" s="5" t="s">
        <v>17756</v>
      </c>
      <c r="E2466" s="32">
        <v>3</v>
      </c>
      <c r="F2466" s="27">
        <v>345</v>
      </c>
      <c r="G2466" s="32">
        <v>12</v>
      </c>
      <c r="H2466" s="27">
        <v>1452</v>
      </c>
      <c r="I2466" s="27">
        <v>115</v>
      </c>
      <c r="J2466" s="27">
        <v>121</v>
      </c>
      <c r="K2466" s="29">
        <v>5.2173913043478258E-2</v>
      </c>
    </row>
    <row r="2467" spans="1:11" x14ac:dyDescent="0.25">
      <c r="A2467" s="5" t="s">
        <v>6</v>
      </c>
      <c r="B2467" s="5" t="s">
        <v>12280</v>
      </c>
      <c r="C2467" s="1" t="s">
        <v>12281</v>
      </c>
      <c r="D2467" s="5" t="s">
        <v>17789</v>
      </c>
      <c r="E2467" s="32">
        <v>114</v>
      </c>
      <c r="F2467" s="27">
        <v>12513</v>
      </c>
      <c r="G2467" s="32">
        <v>268</v>
      </c>
      <c r="H2467" s="27">
        <v>30839</v>
      </c>
      <c r="I2467" s="27">
        <v>109.76315789473684</v>
      </c>
      <c r="J2467" s="27">
        <v>115.07089552238806</v>
      </c>
      <c r="K2467" s="29">
        <v>4.8356276636477201E-2</v>
      </c>
    </row>
    <row r="2468" spans="1:11" x14ac:dyDescent="0.25">
      <c r="A2468" s="5" t="s">
        <v>6</v>
      </c>
      <c r="B2468" s="5" t="s">
        <v>12283</v>
      </c>
      <c r="C2468" s="1" t="s">
        <v>12284</v>
      </c>
      <c r="D2468" s="5" t="s">
        <v>17243</v>
      </c>
      <c r="E2468" s="32">
        <v>2</v>
      </c>
      <c r="F2468" s="27">
        <v>264</v>
      </c>
      <c r="I2468" s="27">
        <v>132</v>
      </c>
    </row>
    <row r="2469" spans="1:11" x14ac:dyDescent="0.25">
      <c r="A2469" s="5" t="s">
        <v>6</v>
      </c>
      <c r="B2469" s="5" t="s">
        <v>12286</v>
      </c>
      <c r="C2469" s="1" t="s">
        <v>12287</v>
      </c>
      <c r="D2469" s="5" t="s">
        <v>17789</v>
      </c>
      <c r="E2469" s="32">
        <v>64</v>
      </c>
      <c r="F2469" s="27">
        <v>3316</v>
      </c>
      <c r="G2469" s="32">
        <v>108</v>
      </c>
      <c r="H2469" s="27">
        <v>5916</v>
      </c>
      <c r="I2469" s="27">
        <v>51.8125</v>
      </c>
      <c r="J2469" s="27">
        <v>54.777777777777779</v>
      </c>
      <c r="K2469" s="29">
        <v>5.7230934191127208E-2</v>
      </c>
    </row>
    <row r="2470" spans="1:11" x14ac:dyDescent="0.25">
      <c r="A2470" s="5" t="s">
        <v>6</v>
      </c>
      <c r="B2470" s="5" t="s">
        <v>12289</v>
      </c>
      <c r="C2470" s="1" t="s">
        <v>12290</v>
      </c>
      <c r="D2470" s="5" t="s">
        <v>17789</v>
      </c>
      <c r="E2470" s="32">
        <v>4</v>
      </c>
      <c r="F2470" s="27">
        <v>812</v>
      </c>
      <c r="G2470" s="32">
        <v>4</v>
      </c>
      <c r="H2470" s="27">
        <v>860</v>
      </c>
      <c r="I2470" s="27">
        <v>203</v>
      </c>
      <c r="J2470" s="27">
        <v>215</v>
      </c>
      <c r="K2470" s="29">
        <v>5.9113300492610835E-2</v>
      </c>
    </row>
    <row r="2471" spans="1:11" x14ac:dyDescent="0.25">
      <c r="A2471" s="5" t="s">
        <v>6</v>
      </c>
      <c r="B2471" s="5" t="s">
        <v>12292</v>
      </c>
      <c r="C2471" s="1" t="s">
        <v>12293</v>
      </c>
      <c r="D2471" s="5" t="s">
        <v>17789</v>
      </c>
      <c r="E2471" s="32">
        <v>21</v>
      </c>
      <c r="F2471" s="27">
        <v>14645</v>
      </c>
      <c r="I2471" s="27">
        <v>697.38095238095241</v>
      </c>
    </row>
    <row r="2472" spans="1:11" x14ac:dyDescent="0.25">
      <c r="A2472" s="5" t="s">
        <v>6</v>
      </c>
      <c r="B2472" s="5" t="s">
        <v>12295</v>
      </c>
      <c r="C2472" s="1" t="s">
        <v>12296</v>
      </c>
      <c r="D2472" s="5" t="s">
        <v>17789</v>
      </c>
      <c r="E2472" s="32">
        <v>141</v>
      </c>
      <c r="F2472" s="27">
        <v>13860</v>
      </c>
      <c r="G2472" s="32">
        <v>141</v>
      </c>
      <c r="H2472" s="27">
        <v>14916</v>
      </c>
      <c r="I2472" s="27">
        <v>98.297872340425528</v>
      </c>
      <c r="J2472" s="27">
        <v>105.78723404255319</v>
      </c>
      <c r="K2472" s="29">
        <v>7.6190476190476267E-2</v>
      </c>
    </row>
    <row r="2473" spans="1:11" x14ac:dyDescent="0.25">
      <c r="A2473" s="5" t="s">
        <v>6</v>
      </c>
      <c r="B2473" s="5" t="s">
        <v>12298</v>
      </c>
      <c r="C2473" s="1" t="s">
        <v>12299</v>
      </c>
      <c r="D2473" s="5" t="s">
        <v>17756</v>
      </c>
      <c r="E2473" s="32">
        <v>3</v>
      </c>
      <c r="F2473" s="27">
        <v>135</v>
      </c>
      <c r="G2473" s="32">
        <v>11</v>
      </c>
      <c r="H2473" s="27">
        <v>535</v>
      </c>
      <c r="I2473" s="27">
        <v>45</v>
      </c>
      <c r="J2473" s="27">
        <v>48.636363636363633</v>
      </c>
      <c r="K2473" s="29">
        <v>8.0808080808080732E-2</v>
      </c>
    </row>
    <row r="2474" spans="1:11" x14ac:dyDescent="0.25">
      <c r="A2474" s="5" t="s">
        <v>6</v>
      </c>
      <c r="B2474" s="5" t="s">
        <v>12301</v>
      </c>
      <c r="C2474" s="1" t="s">
        <v>12302</v>
      </c>
      <c r="D2474" s="5" t="s">
        <v>17789</v>
      </c>
      <c r="E2474" s="32">
        <v>67</v>
      </c>
      <c r="F2474" s="27">
        <v>4077</v>
      </c>
      <c r="G2474" s="32">
        <v>12</v>
      </c>
      <c r="H2474" s="27">
        <v>767</v>
      </c>
      <c r="I2474" s="27">
        <v>60.850746268656714</v>
      </c>
      <c r="J2474" s="27">
        <v>63.916666666666664</v>
      </c>
      <c r="K2474" s="29">
        <v>5.0384269479192223E-2</v>
      </c>
    </row>
    <row r="2475" spans="1:11" x14ac:dyDescent="0.25">
      <c r="A2475" s="5" t="s">
        <v>6</v>
      </c>
      <c r="B2475" s="5" t="s">
        <v>12303</v>
      </c>
      <c r="C2475" s="1" t="s">
        <v>12304</v>
      </c>
      <c r="D2475" s="5" t="s">
        <v>17789</v>
      </c>
      <c r="E2475" s="32">
        <v>196</v>
      </c>
      <c r="F2475" s="27">
        <v>12233</v>
      </c>
      <c r="G2475" s="32">
        <v>159</v>
      </c>
      <c r="H2475" s="27">
        <v>10527</v>
      </c>
      <c r="I2475" s="27">
        <v>62.413265306122447</v>
      </c>
      <c r="J2475" s="27">
        <v>66.20754716981132</v>
      </c>
      <c r="K2475" s="29">
        <v>6.0792875442084456E-2</v>
      </c>
    </row>
    <row r="2476" spans="1:11" x14ac:dyDescent="0.25">
      <c r="A2476" s="5" t="s">
        <v>6</v>
      </c>
      <c r="B2476" s="5" t="s">
        <v>12308</v>
      </c>
      <c r="C2476" s="1" t="s">
        <v>12309</v>
      </c>
      <c r="D2476" s="5" t="s">
        <v>17243</v>
      </c>
      <c r="E2476" s="32">
        <v>160</v>
      </c>
      <c r="F2476" s="27">
        <v>130622</v>
      </c>
      <c r="G2476" s="32">
        <v>139</v>
      </c>
      <c r="H2476" s="27">
        <v>120650</v>
      </c>
      <c r="I2476" s="27">
        <v>816.38750000000005</v>
      </c>
      <c r="J2476" s="27">
        <v>867.98561151079139</v>
      </c>
      <c r="K2476" s="29">
        <v>6.3202966129186619E-2</v>
      </c>
    </row>
    <row r="2477" spans="1:11" x14ac:dyDescent="0.25">
      <c r="A2477" s="5" t="s">
        <v>6</v>
      </c>
      <c r="B2477" s="5" t="s">
        <v>12311</v>
      </c>
      <c r="C2477" s="1" t="s">
        <v>12312</v>
      </c>
      <c r="D2477" s="5" t="s">
        <v>17243</v>
      </c>
      <c r="E2477" s="32">
        <v>350</v>
      </c>
      <c r="F2477" s="27">
        <v>252836</v>
      </c>
      <c r="G2477" s="32">
        <v>280</v>
      </c>
      <c r="H2477" s="27">
        <v>214400</v>
      </c>
      <c r="I2477" s="27">
        <v>722.38857142857148</v>
      </c>
      <c r="J2477" s="27">
        <v>765.71428571428567</v>
      </c>
      <c r="K2477" s="29">
        <v>5.9975636380894981E-2</v>
      </c>
    </row>
    <row r="2478" spans="1:11" x14ac:dyDescent="0.25">
      <c r="A2478" s="5" t="s">
        <v>6</v>
      </c>
      <c r="B2478" s="5" t="s">
        <v>12344</v>
      </c>
      <c r="C2478" s="1" t="s">
        <v>12345</v>
      </c>
      <c r="D2478" s="5" t="s">
        <v>17243</v>
      </c>
      <c r="E2478" s="32">
        <v>704</v>
      </c>
      <c r="F2478" s="27">
        <v>160158</v>
      </c>
      <c r="G2478" s="32">
        <v>454</v>
      </c>
      <c r="H2478" s="27">
        <v>109752</v>
      </c>
      <c r="I2478" s="27">
        <v>227.49715909090909</v>
      </c>
      <c r="J2478" s="27">
        <v>241.7444933920705</v>
      </c>
      <c r="K2478" s="29">
        <v>6.2626427328123652E-2</v>
      </c>
    </row>
    <row r="2479" spans="1:11" x14ac:dyDescent="0.25">
      <c r="A2479" s="5" t="s">
        <v>6</v>
      </c>
      <c r="B2479" s="5" t="s">
        <v>12353</v>
      </c>
      <c r="C2479" s="1" t="s">
        <v>12354</v>
      </c>
      <c r="D2479" s="5" t="s">
        <v>17243</v>
      </c>
      <c r="E2479" s="32">
        <v>2</v>
      </c>
      <c r="F2479" s="27">
        <v>2174</v>
      </c>
      <c r="G2479" s="32">
        <v>25</v>
      </c>
      <c r="H2479" s="27">
        <v>28219</v>
      </c>
      <c r="I2479" s="27">
        <v>1087</v>
      </c>
      <c r="J2479" s="27">
        <v>1128.76</v>
      </c>
      <c r="K2479" s="29">
        <v>3.8417663293468254E-2</v>
      </c>
    </row>
    <row r="2480" spans="1:11" x14ac:dyDescent="0.25">
      <c r="A2480" s="5" t="s">
        <v>6</v>
      </c>
      <c r="B2480" s="5" t="s">
        <v>12356</v>
      </c>
      <c r="C2480" s="1" t="s">
        <v>12357</v>
      </c>
      <c r="D2480" s="5" t="s">
        <v>17789</v>
      </c>
      <c r="E2480" s="32">
        <v>232</v>
      </c>
      <c r="F2480" s="27">
        <v>496613</v>
      </c>
      <c r="G2480" s="32">
        <v>191</v>
      </c>
      <c r="H2480" s="27">
        <v>435724</v>
      </c>
      <c r="I2480" s="27">
        <v>2140.5732758620688</v>
      </c>
      <c r="J2480" s="27">
        <v>2281.2774869109949</v>
      </c>
      <c r="K2480" s="29">
        <v>6.5732022648120045E-2</v>
      </c>
    </row>
    <row r="2481" spans="1:11" x14ac:dyDescent="0.25">
      <c r="A2481" s="5" t="s">
        <v>6</v>
      </c>
      <c r="B2481" s="5" t="s">
        <v>12359</v>
      </c>
      <c r="C2481" s="1" t="s">
        <v>12360</v>
      </c>
      <c r="D2481" s="5" t="s">
        <v>17756</v>
      </c>
      <c r="E2481" s="32">
        <v>4</v>
      </c>
      <c r="F2481" s="27">
        <v>444</v>
      </c>
      <c r="I2481" s="27">
        <v>111</v>
      </c>
    </row>
    <row r="2482" spans="1:11" x14ac:dyDescent="0.25">
      <c r="A2482" s="5" t="s">
        <v>6</v>
      </c>
      <c r="B2482" s="5" t="s">
        <v>12365</v>
      </c>
      <c r="C2482" s="1" t="s">
        <v>12366</v>
      </c>
      <c r="D2482" s="5" t="s">
        <v>17789</v>
      </c>
      <c r="E2482" s="32">
        <v>39</v>
      </c>
      <c r="F2482" s="27">
        <v>4083</v>
      </c>
      <c r="G2482" s="32">
        <v>22</v>
      </c>
      <c r="H2482" s="27">
        <v>2546</v>
      </c>
      <c r="I2482" s="27">
        <v>104.69230769230769</v>
      </c>
      <c r="J2482" s="27">
        <v>115.72727272727273</v>
      </c>
      <c r="K2482" s="29">
        <v>0.10540378064257569</v>
      </c>
    </row>
    <row r="2483" spans="1:11" x14ac:dyDescent="0.25">
      <c r="A2483" s="5" t="s">
        <v>6</v>
      </c>
      <c r="B2483" s="5" t="s">
        <v>12368</v>
      </c>
      <c r="C2483" s="1" t="s">
        <v>12369</v>
      </c>
      <c r="D2483" s="5" t="s">
        <v>17789</v>
      </c>
      <c r="E2483" s="32">
        <v>14</v>
      </c>
      <c r="F2483" s="27">
        <v>1603</v>
      </c>
      <c r="I2483" s="27">
        <v>114.5</v>
      </c>
    </row>
    <row r="2484" spans="1:11" x14ac:dyDescent="0.25">
      <c r="A2484" s="5" t="s">
        <v>6</v>
      </c>
      <c r="B2484" s="5" t="s">
        <v>12374</v>
      </c>
      <c r="C2484" s="1" t="s">
        <v>12375</v>
      </c>
      <c r="D2484" s="5" t="s">
        <v>17789</v>
      </c>
      <c r="E2484" s="32">
        <v>4</v>
      </c>
      <c r="F2484" s="27">
        <v>1344</v>
      </c>
      <c r="I2484" s="27">
        <v>336</v>
      </c>
    </row>
    <row r="2485" spans="1:11" x14ac:dyDescent="0.25">
      <c r="A2485" s="5" t="s">
        <v>6</v>
      </c>
      <c r="B2485" s="5" t="s">
        <v>12379</v>
      </c>
      <c r="C2485" s="1" t="s">
        <v>12380</v>
      </c>
      <c r="D2485" s="5" t="s">
        <v>17789</v>
      </c>
      <c r="E2485" s="32">
        <v>4</v>
      </c>
      <c r="F2485" s="27">
        <v>736</v>
      </c>
      <c r="G2485" s="32">
        <v>9</v>
      </c>
      <c r="H2485" s="27">
        <v>1791</v>
      </c>
      <c r="I2485" s="27">
        <v>184</v>
      </c>
      <c r="J2485" s="27">
        <v>199</v>
      </c>
      <c r="K2485" s="29">
        <v>8.1521739130434784E-2</v>
      </c>
    </row>
    <row r="2486" spans="1:11" x14ac:dyDescent="0.25">
      <c r="A2486" s="5" t="s">
        <v>6</v>
      </c>
      <c r="B2486" s="5" t="s">
        <v>12381</v>
      </c>
      <c r="C2486" s="1" t="s">
        <v>12382</v>
      </c>
      <c r="D2486" s="5" t="s">
        <v>17789</v>
      </c>
      <c r="E2486" s="32">
        <v>3</v>
      </c>
      <c r="F2486" s="27">
        <v>309</v>
      </c>
      <c r="I2486" s="27">
        <v>103</v>
      </c>
    </row>
    <row r="2487" spans="1:11" x14ac:dyDescent="0.25">
      <c r="A2487" s="5" t="s">
        <v>6</v>
      </c>
      <c r="B2487" s="5" t="s">
        <v>12386</v>
      </c>
      <c r="C2487" s="1" t="s">
        <v>12387</v>
      </c>
      <c r="D2487" s="5" t="s">
        <v>17789</v>
      </c>
      <c r="E2487" s="32">
        <v>3</v>
      </c>
      <c r="F2487" s="27">
        <v>1416</v>
      </c>
      <c r="I2487" s="27">
        <v>472</v>
      </c>
    </row>
    <row r="2488" spans="1:11" x14ac:dyDescent="0.25">
      <c r="A2488" s="5" t="s">
        <v>6</v>
      </c>
      <c r="B2488" s="5" t="s">
        <v>12391</v>
      </c>
      <c r="C2488" s="1" t="s">
        <v>12392</v>
      </c>
      <c r="D2488" s="5" t="s">
        <v>17789</v>
      </c>
      <c r="E2488" s="32">
        <v>12</v>
      </c>
      <c r="F2488" s="27">
        <v>564</v>
      </c>
      <c r="I2488" s="27">
        <v>47</v>
      </c>
    </row>
    <row r="2489" spans="1:11" x14ac:dyDescent="0.25">
      <c r="A2489" s="5" t="s">
        <v>6</v>
      </c>
      <c r="B2489" s="5" t="s">
        <v>12396</v>
      </c>
      <c r="C2489" s="1" t="s">
        <v>12397</v>
      </c>
      <c r="D2489" s="5" t="s">
        <v>17789</v>
      </c>
      <c r="E2489" s="32">
        <v>33</v>
      </c>
      <c r="F2489" s="27">
        <v>5889</v>
      </c>
      <c r="G2489" s="32">
        <v>31</v>
      </c>
      <c r="H2489" s="27">
        <v>5835</v>
      </c>
      <c r="I2489" s="27">
        <v>178.45454545454547</v>
      </c>
      <c r="J2489" s="27">
        <v>188.2258064516129</v>
      </c>
      <c r="K2489" s="29">
        <v>5.4754901155242848E-2</v>
      </c>
    </row>
    <row r="2490" spans="1:11" x14ac:dyDescent="0.25">
      <c r="A2490" s="5" t="s">
        <v>6</v>
      </c>
      <c r="B2490" s="5" t="s">
        <v>12399</v>
      </c>
      <c r="C2490" s="1" t="s">
        <v>12400</v>
      </c>
      <c r="D2490" s="5" t="s">
        <v>17789</v>
      </c>
      <c r="E2490" s="32">
        <v>1</v>
      </c>
      <c r="F2490" s="27">
        <v>175</v>
      </c>
      <c r="G2490" s="32">
        <v>17</v>
      </c>
      <c r="H2490" s="27">
        <v>3171</v>
      </c>
      <c r="I2490" s="27">
        <v>175</v>
      </c>
      <c r="J2490" s="27">
        <v>186.52941176470588</v>
      </c>
      <c r="K2490" s="29">
        <v>6.5882352941176475E-2</v>
      </c>
    </row>
    <row r="2491" spans="1:11" x14ac:dyDescent="0.25">
      <c r="A2491" s="5" t="s">
        <v>6</v>
      </c>
      <c r="B2491" s="5" t="s">
        <v>12414</v>
      </c>
      <c r="C2491" s="1" t="s">
        <v>12415</v>
      </c>
      <c r="D2491" s="5" t="s">
        <v>17789</v>
      </c>
      <c r="E2491" s="32">
        <v>141</v>
      </c>
      <c r="F2491" s="27">
        <v>1390</v>
      </c>
      <c r="G2491" s="32">
        <v>369</v>
      </c>
      <c r="H2491" s="27">
        <v>4007</v>
      </c>
      <c r="I2491" s="27">
        <v>9.8581560283687946</v>
      </c>
      <c r="J2491" s="27">
        <v>10.859078590785908</v>
      </c>
      <c r="K2491" s="29">
        <v>0.10153243259051289</v>
      </c>
    </row>
    <row r="2492" spans="1:11" x14ac:dyDescent="0.25">
      <c r="A2492" s="5" t="s">
        <v>6</v>
      </c>
      <c r="B2492" s="5" t="s">
        <v>12419</v>
      </c>
      <c r="C2492" s="1" t="s">
        <v>12420</v>
      </c>
      <c r="D2492" s="5" t="s">
        <v>17756</v>
      </c>
      <c r="E2492" s="32">
        <v>5</v>
      </c>
      <c r="F2492" s="27">
        <v>143</v>
      </c>
      <c r="G2492" s="32">
        <v>5</v>
      </c>
      <c r="H2492" s="27">
        <v>151</v>
      </c>
      <c r="I2492" s="27">
        <v>28.6</v>
      </c>
      <c r="J2492" s="27">
        <v>30.2</v>
      </c>
      <c r="K2492" s="29">
        <v>5.5944055944055868E-2</v>
      </c>
    </row>
    <row r="2493" spans="1:11" x14ac:dyDescent="0.25">
      <c r="A2493" s="5" t="s">
        <v>6</v>
      </c>
      <c r="B2493" s="5" t="s">
        <v>12422</v>
      </c>
      <c r="C2493" s="1" t="s">
        <v>12423</v>
      </c>
      <c r="D2493" s="5" t="s">
        <v>17756</v>
      </c>
      <c r="E2493" s="32">
        <v>27</v>
      </c>
      <c r="F2493" s="27">
        <v>1863</v>
      </c>
      <c r="G2493" s="32">
        <v>12</v>
      </c>
      <c r="H2493" s="27">
        <v>918</v>
      </c>
      <c r="I2493" s="27">
        <v>69</v>
      </c>
      <c r="J2493" s="27">
        <v>76.5</v>
      </c>
      <c r="K2493" s="29">
        <v>0.10869565217391304</v>
      </c>
    </row>
    <row r="2494" spans="1:11" x14ac:dyDescent="0.25">
      <c r="A2494" s="5" t="s">
        <v>6</v>
      </c>
      <c r="B2494" s="5" t="s">
        <v>12425</v>
      </c>
      <c r="C2494" s="1" t="s">
        <v>12426</v>
      </c>
      <c r="D2494" s="5" t="s">
        <v>17789</v>
      </c>
      <c r="E2494" s="32">
        <v>5</v>
      </c>
      <c r="F2494" s="27">
        <v>170</v>
      </c>
      <c r="G2494" s="32">
        <v>39</v>
      </c>
      <c r="H2494" s="27">
        <v>1458</v>
      </c>
      <c r="I2494" s="27">
        <v>34</v>
      </c>
      <c r="J2494" s="27">
        <v>37.384615384615387</v>
      </c>
      <c r="K2494" s="29">
        <v>9.9547511312217257E-2</v>
      </c>
    </row>
    <row r="2495" spans="1:11" x14ac:dyDescent="0.25">
      <c r="A2495" s="5" t="s">
        <v>6</v>
      </c>
      <c r="B2495" s="5" t="s">
        <v>12428</v>
      </c>
      <c r="C2495" s="1" t="s">
        <v>12429</v>
      </c>
      <c r="D2495" s="5" t="s">
        <v>17756</v>
      </c>
      <c r="E2495" s="32">
        <v>30</v>
      </c>
      <c r="F2495" s="27">
        <v>770</v>
      </c>
      <c r="G2495" s="32">
        <v>18</v>
      </c>
      <c r="H2495" s="27">
        <v>498</v>
      </c>
      <c r="I2495" s="27">
        <v>25.666666666666668</v>
      </c>
      <c r="J2495" s="27">
        <v>27.666666666666668</v>
      </c>
      <c r="K2495" s="29">
        <v>7.792207792207792E-2</v>
      </c>
    </row>
    <row r="2496" spans="1:11" x14ac:dyDescent="0.25">
      <c r="A2496" s="5" t="s">
        <v>6</v>
      </c>
      <c r="B2496" s="5" t="s">
        <v>12430</v>
      </c>
      <c r="C2496" s="1" t="s">
        <v>12431</v>
      </c>
      <c r="D2496" s="5" t="s">
        <v>17756</v>
      </c>
      <c r="E2496" s="32">
        <v>173</v>
      </c>
      <c r="F2496" s="27">
        <v>4454</v>
      </c>
      <c r="G2496" s="32">
        <v>234</v>
      </c>
      <c r="H2496" s="27">
        <v>6350</v>
      </c>
      <c r="I2496" s="27">
        <v>25.745664739884393</v>
      </c>
      <c r="J2496" s="27">
        <v>27.136752136752136</v>
      </c>
      <c r="K2496" s="29">
        <v>5.4031908320188483E-2</v>
      </c>
    </row>
    <row r="2497" spans="1:11" x14ac:dyDescent="0.25">
      <c r="A2497" s="5" t="s">
        <v>6</v>
      </c>
      <c r="B2497" s="5" t="s">
        <v>12432</v>
      </c>
      <c r="C2497" s="1" t="s">
        <v>12433</v>
      </c>
      <c r="D2497" s="5" t="s">
        <v>17756</v>
      </c>
      <c r="E2497" s="32">
        <v>305</v>
      </c>
      <c r="F2497" s="27">
        <v>7786</v>
      </c>
      <c r="G2497" s="32">
        <v>263</v>
      </c>
      <c r="H2497" s="27">
        <v>7130</v>
      </c>
      <c r="I2497" s="27">
        <v>25.527868852459015</v>
      </c>
      <c r="J2497" s="27">
        <v>27.110266159695819</v>
      </c>
      <c r="K2497" s="29">
        <v>6.1987050951351791E-2</v>
      </c>
    </row>
    <row r="2498" spans="1:11" x14ac:dyDescent="0.25">
      <c r="A2498" s="5" t="s">
        <v>6</v>
      </c>
      <c r="B2498" s="5" t="s">
        <v>12434</v>
      </c>
      <c r="C2498" s="1" t="s">
        <v>12435</v>
      </c>
      <c r="D2498" s="5" t="s">
        <v>17756</v>
      </c>
      <c r="E2498" s="32">
        <v>89</v>
      </c>
      <c r="F2498" s="27">
        <v>2274</v>
      </c>
      <c r="G2498" s="32">
        <v>136</v>
      </c>
      <c r="H2498" s="27">
        <v>3722</v>
      </c>
      <c r="I2498" s="27">
        <v>25.55056179775281</v>
      </c>
      <c r="J2498" s="27">
        <v>27.367647058823529</v>
      </c>
      <c r="K2498" s="29">
        <v>7.1117233172952515E-2</v>
      </c>
    </row>
    <row r="2499" spans="1:11" x14ac:dyDescent="0.25">
      <c r="A2499" s="5" t="s">
        <v>6</v>
      </c>
      <c r="B2499" s="5" t="s">
        <v>12438</v>
      </c>
      <c r="C2499" s="1" t="s">
        <v>12439</v>
      </c>
      <c r="D2499" s="5" t="s">
        <v>17756</v>
      </c>
      <c r="E2499" s="32">
        <v>547</v>
      </c>
      <c r="F2499" s="27">
        <v>14098</v>
      </c>
      <c r="G2499" s="32">
        <v>543</v>
      </c>
      <c r="H2499" s="27">
        <v>14804</v>
      </c>
      <c r="I2499" s="27">
        <v>25.773308957952469</v>
      </c>
      <c r="J2499" s="27">
        <v>27.263351749539595</v>
      </c>
      <c r="K2499" s="29">
        <v>5.7813406653295332E-2</v>
      </c>
    </row>
    <row r="2500" spans="1:11" x14ac:dyDescent="0.25">
      <c r="A2500" s="5" t="s">
        <v>6</v>
      </c>
      <c r="B2500" s="5" t="s">
        <v>12446</v>
      </c>
      <c r="C2500" s="1" t="s">
        <v>12447</v>
      </c>
      <c r="D2500" s="5" t="s">
        <v>17789</v>
      </c>
      <c r="G2500" s="32">
        <v>2</v>
      </c>
      <c r="H2500" s="27">
        <v>46.94</v>
      </c>
      <c r="J2500" s="27">
        <v>23.47</v>
      </c>
    </row>
    <row r="2501" spans="1:11" x14ac:dyDescent="0.25">
      <c r="A2501" s="5" t="s">
        <v>6</v>
      </c>
      <c r="B2501" s="5" t="s">
        <v>12452</v>
      </c>
      <c r="C2501" s="1" t="s">
        <v>12453</v>
      </c>
      <c r="D2501" s="5" t="s">
        <v>17756</v>
      </c>
      <c r="E2501" s="32">
        <v>16</v>
      </c>
      <c r="F2501" s="27">
        <v>287</v>
      </c>
      <c r="G2501" s="32">
        <v>31</v>
      </c>
      <c r="H2501" s="27">
        <v>572</v>
      </c>
      <c r="I2501" s="27">
        <v>17.9375</v>
      </c>
      <c r="J2501" s="27">
        <v>18.451612903225808</v>
      </c>
      <c r="K2501" s="29">
        <v>2.866134652129939E-2</v>
      </c>
    </row>
    <row r="2502" spans="1:11" x14ac:dyDescent="0.25">
      <c r="A2502" s="5" t="s">
        <v>6</v>
      </c>
      <c r="B2502" s="5" t="s">
        <v>12455</v>
      </c>
      <c r="C2502" s="1" t="s">
        <v>12456</v>
      </c>
      <c r="D2502" s="5" t="s">
        <v>17756</v>
      </c>
      <c r="E2502" s="32">
        <v>2</v>
      </c>
      <c r="F2502" s="27">
        <v>52</v>
      </c>
      <c r="I2502" s="27">
        <v>26</v>
      </c>
    </row>
    <row r="2503" spans="1:11" x14ac:dyDescent="0.25">
      <c r="A2503" s="5" t="s">
        <v>6</v>
      </c>
      <c r="B2503" s="5" t="s">
        <v>12460</v>
      </c>
      <c r="C2503" s="1" t="s">
        <v>12461</v>
      </c>
      <c r="D2503" s="5" t="s">
        <v>17789</v>
      </c>
      <c r="E2503" s="32">
        <v>11</v>
      </c>
      <c r="F2503" s="27">
        <v>564</v>
      </c>
      <c r="I2503" s="27">
        <v>51.272727272727273</v>
      </c>
    </row>
    <row r="2504" spans="1:11" x14ac:dyDescent="0.25">
      <c r="A2504" s="5" t="s">
        <v>6</v>
      </c>
      <c r="B2504" s="5" t="s">
        <v>12466</v>
      </c>
      <c r="C2504" s="1" t="s">
        <v>12467</v>
      </c>
      <c r="D2504" s="5" t="s">
        <v>17789</v>
      </c>
      <c r="E2504" s="32">
        <v>109</v>
      </c>
      <c r="F2504" s="27">
        <v>436</v>
      </c>
      <c r="G2504" s="32">
        <v>131</v>
      </c>
      <c r="H2504" s="27">
        <v>524</v>
      </c>
      <c r="I2504" s="27">
        <v>4</v>
      </c>
      <c r="J2504" s="27">
        <v>4</v>
      </c>
      <c r="K2504" s="29">
        <v>0</v>
      </c>
    </row>
    <row r="2505" spans="1:11" x14ac:dyDescent="0.25">
      <c r="A2505" s="5" t="s">
        <v>6</v>
      </c>
      <c r="B2505" s="5" t="s">
        <v>12468</v>
      </c>
      <c r="C2505" s="1" t="s">
        <v>12469</v>
      </c>
      <c r="D2505" s="5" t="s">
        <v>17789</v>
      </c>
      <c r="E2505" s="32">
        <v>11</v>
      </c>
      <c r="F2505" s="27">
        <v>780</v>
      </c>
      <c r="I2505" s="27">
        <v>70.909090909090907</v>
      </c>
    </row>
    <row r="2506" spans="1:11" x14ac:dyDescent="0.25">
      <c r="A2506" s="5" t="s">
        <v>6</v>
      </c>
      <c r="B2506" s="5" t="s">
        <v>12471</v>
      </c>
      <c r="C2506" s="1" t="s">
        <v>12472</v>
      </c>
      <c r="D2506" s="5" t="s">
        <v>17789</v>
      </c>
      <c r="E2506" s="32">
        <v>10</v>
      </c>
      <c r="F2506" s="27">
        <v>1820</v>
      </c>
      <c r="I2506" s="27">
        <v>182</v>
      </c>
    </row>
    <row r="2507" spans="1:11" x14ac:dyDescent="0.25">
      <c r="A2507" s="5" t="s">
        <v>6</v>
      </c>
      <c r="B2507" s="5" t="s">
        <v>12477</v>
      </c>
      <c r="C2507" s="1" t="s">
        <v>12478</v>
      </c>
      <c r="D2507" s="5" t="s">
        <v>17756</v>
      </c>
      <c r="E2507" s="32">
        <v>38</v>
      </c>
      <c r="F2507" s="27">
        <v>1388</v>
      </c>
      <c r="G2507" s="32">
        <v>94</v>
      </c>
      <c r="H2507" s="27">
        <v>3697</v>
      </c>
      <c r="I2507" s="27">
        <v>36.526315789473685</v>
      </c>
      <c r="J2507" s="27">
        <v>39.329787234042556</v>
      </c>
      <c r="K2507" s="29">
        <v>7.6752100067447468E-2</v>
      </c>
    </row>
    <row r="2508" spans="1:11" x14ac:dyDescent="0.25">
      <c r="A2508" s="5" t="s">
        <v>6</v>
      </c>
      <c r="B2508" s="5" t="s">
        <v>12483</v>
      </c>
      <c r="C2508" s="1" t="s">
        <v>12484</v>
      </c>
      <c r="D2508" s="5" t="s">
        <v>17789</v>
      </c>
      <c r="E2508" s="32">
        <v>53</v>
      </c>
      <c r="F2508" s="27">
        <v>14058</v>
      </c>
      <c r="G2508" s="32">
        <v>51</v>
      </c>
      <c r="H2508" s="27">
        <v>14518</v>
      </c>
      <c r="I2508" s="27">
        <v>265.24528301886795</v>
      </c>
      <c r="J2508" s="27">
        <v>284.66666666666669</v>
      </c>
      <c r="K2508" s="29">
        <v>7.3220467586664728E-2</v>
      </c>
    </row>
    <row r="2509" spans="1:11" x14ac:dyDescent="0.25">
      <c r="A2509" s="5" t="s">
        <v>6</v>
      </c>
      <c r="B2509" s="5" t="s">
        <v>12489</v>
      </c>
      <c r="C2509" s="1" t="s">
        <v>12490</v>
      </c>
      <c r="D2509" s="5" t="s">
        <v>17789</v>
      </c>
      <c r="E2509" s="32">
        <v>0</v>
      </c>
      <c r="F2509" s="27">
        <v>0</v>
      </c>
      <c r="G2509" s="32">
        <v>1</v>
      </c>
      <c r="H2509" s="27">
        <v>219</v>
      </c>
      <c r="J2509" s="27">
        <v>219</v>
      </c>
    </row>
    <row r="2510" spans="1:11" x14ac:dyDescent="0.25">
      <c r="A2510" s="5" t="s">
        <v>6</v>
      </c>
      <c r="B2510" s="5" t="s">
        <v>12492</v>
      </c>
      <c r="C2510" s="1" t="s">
        <v>12493</v>
      </c>
      <c r="D2510" s="5" t="s">
        <v>17756</v>
      </c>
      <c r="E2510" s="32">
        <v>1</v>
      </c>
      <c r="F2510" s="27">
        <v>88</v>
      </c>
      <c r="I2510" s="27">
        <v>88</v>
      </c>
    </row>
    <row r="2511" spans="1:11" x14ac:dyDescent="0.25">
      <c r="A2511" s="5" t="s">
        <v>6</v>
      </c>
      <c r="B2511" s="5" t="s">
        <v>12495</v>
      </c>
      <c r="C2511" s="1" t="s">
        <v>12496</v>
      </c>
      <c r="D2511" s="5" t="s">
        <v>17756</v>
      </c>
      <c r="E2511" s="32">
        <v>23</v>
      </c>
      <c r="F2511" s="27">
        <v>1759</v>
      </c>
      <c r="G2511" s="32">
        <v>19</v>
      </c>
      <c r="H2511" s="27">
        <v>1517</v>
      </c>
      <c r="I2511" s="27">
        <v>76.478260869565219</v>
      </c>
      <c r="J2511" s="27">
        <v>79.84210526315789</v>
      </c>
      <c r="K2511" s="29">
        <v>4.3984321235151475E-2</v>
      </c>
    </row>
    <row r="2512" spans="1:11" x14ac:dyDescent="0.25">
      <c r="A2512" s="5" t="s">
        <v>6</v>
      </c>
      <c r="B2512" s="5" t="s">
        <v>12501</v>
      </c>
      <c r="C2512" s="1" t="s">
        <v>12502</v>
      </c>
      <c r="D2512" s="5" t="s">
        <v>17789</v>
      </c>
      <c r="E2512" s="32">
        <v>4</v>
      </c>
      <c r="F2512" s="27">
        <v>104</v>
      </c>
      <c r="I2512" s="27">
        <v>26</v>
      </c>
    </row>
    <row r="2513" spans="1:11" x14ac:dyDescent="0.25">
      <c r="A2513" s="5" t="s">
        <v>6</v>
      </c>
      <c r="B2513" s="5" t="s">
        <v>12510</v>
      </c>
      <c r="C2513" s="1" t="s">
        <v>12511</v>
      </c>
      <c r="D2513" s="5" t="s">
        <v>17756</v>
      </c>
      <c r="E2513" s="32">
        <v>318</v>
      </c>
      <c r="F2513" s="27">
        <v>11622</v>
      </c>
      <c r="G2513" s="32">
        <v>342</v>
      </c>
      <c r="H2513" s="27">
        <v>13287</v>
      </c>
      <c r="I2513" s="27">
        <v>36.547169811320757</v>
      </c>
      <c r="J2513" s="27">
        <v>38.850877192982459</v>
      </c>
      <c r="K2513" s="29">
        <v>6.3033810649494176E-2</v>
      </c>
    </row>
    <row r="2514" spans="1:11" x14ac:dyDescent="0.25">
      <c r="A2514" s="5" t="s">
        <v>6</v>
      </c>
      <c r="B2514" s="5" t="s">
        <v>12513</v>
      </c>
      <c r="C2514" s="1" t="s">
        <v>12514</v>
      </c>
      <c r="D2514" s="5" t="s">
        <v>17755</v>
      </c>
      <c r="E2514" s="32">
        <v>6</v>
      </c>
      <c r="F2514" s="27">
        <v>1612</v>
      </c>
      <c r="G2514" s="32">
        <v>11</v>
      </c>
      <c r="H2514" s="27">
        <v>3190</v>
      </c>
      <c r="I2514" s="27">
        <v>268.66666666666669</v>
      </c>
      <c r="J2514" s="27">
        <v>290</v>
      </c>
      <c r="K2514" s="29">
        <v>7.9404466501240625E-2</v>
      </c>
    </row>
    <row r="2515" spans="1:11" x14ac:dyDescent="0.25">
      <c r="A2515" s="5" t="s">
        <v>6</v>
      </c>
      <c r="B2515" s="5" t="s">
        <v>12525</v>
      </c>
      <c r="C2515" s="1" t="s">
        <v>12526</v>
      </c>
      <c r="D2515" s="5" t="s">
        <v>17789</v>
      </c>
      <c r="E2515" s="32">
        <v>12</v>
      </c>
      <c r="F2515" s="27">
        <v>59024</v>
      </c>
      <c r="I2515" s="27">
        <v>4918.666666666667</v>
      </c>
    </row>
    <row r="2516" spans="1:11" x14ac:dyDescent="0.25">
      <c r="A2516" s="5" t="s">
        <v>6</v>
      </c>
      <c r="B2516" s="5" t="s">
        <v>12531</v>
      </c>
      <c r="C2516" s="1" t="s">
        <v>12532</v>
      </c>
      <c r="D2516" s="5" t="s">
        <v>18054</v>
      </c>
      <c r="G2516" s="32">
        <v>46350</v>
      </c>
      <c r="H2516" s="27">
        <v>38934</v>
      </c>
      <c r="J2516" s="27">
        <v>0.84</v>
      </c>
    </row>
    <row r="2517" spans="1:11" x14ac:dyDescent="0.25">
      <c r="A2517" s="5" t="s">
        <v>6</v>
      </c>
      <c r="B2517" s="5" t="s">
        <v>12537</v>
      </c>
      <c r="C2517" s="1" t="s">
        <v>12538</v>
      </c>
      <c r="D2517" s="5" t="s">
        <v>18055</v>
      </c>
      <c r="E2517" s="32">
        <v>10090</v>
      </c>
      <c r="F2517" s="27">
        <v>577695</v>
      </c>
      <c r="I2517" s="27">
        <v>57.254212091179383</v>
      </c>
    </row>
    <row r="2518" spans="1:11" x14ac:dyDescent="0.25">
      <c r="A2518" s="5" t="s">
        <v>6</v>
      </c>
      <c r="B2518" s="5" t="s">
        <v>12540</v>
      </c>
      <c r="C2518" s="1" t="s">
        <v>12541</v>
      </c>
      <c r="D2518" s="5" t="s">
        <v>18056</v>
      </c>
      <c r="E2518" s="32">
        <v>6600</v>
      </c>
      <c r="F2518" s="27">
        <v>13200</v>
      </c>
      <c r="G2518" s="32">
        <v>2100</v>
      </c>
      <c r="H2518" s="27">
        <v>4200</v>
      </c>
      <c r="I2518" s="27">
        <v>2</v>
      </c>
      <c r="J2518" s="27">
        <v>2</v>
      </c>
      <c r="K2518" s="29">
        <v>0</v>
      </c>
    </row>
    <row r="2519" spans="1:11" x14ac:dyDescent="0.25">
      <c r="A2519" s="5" t="s">
        <v>6</v>
      </c>
      <c r="B2519" s="5" t="s">
        <v>12545</v>
      </c>
      <c r="C2519" s="1" t="s">
        <v>12546</v>
      </c>
      <c r="D2519" s="5" t="s">
        <v>18057</v>
      </c>
      <c r="E2519" s="32">
        <v>44400</v>
      </c>
      <c r="F2519" s="27">
        <v>222000</v>
      </c>
      <c r="G2519" s="32">
        <v>37891</v>
      </c>
      <c r="H2519" s="27">
        <v>189455</v>
      </c>
      <c r="I2519" s="27">
        <v>5</v>
      </c>
      <c r="J2519" s="27">
        <v>5</v>
      </c>
      <c r="K2519" s="29">
        <v>0</v>
      </c>
    </row>
    <row r="2520" spans="1:11" x14ac:dyDescent="0.25">
      <c r="A2520" s="5" t="s">
        <v>6</v>
      </c>
      <c r="B2520" s="5" t="s">
        <v>12547</v>
      </c>
      <c r="C2520" s="1" t="s">
        <v>12548</v>
      </c>
      <c r="D2520" s="5" t="s">
        <v>18058</v>
      </c>
      <c r="E2520" s="32">
        <v>1260</v>
      </c>
      <c r="F2520" s="27">
        <v>6300</v>
      </c>
      <c r="G2520" s="32">
        <v>4980</v>
      </c>
      <c r="H2520" s="27">
        <v>24900</v>
      </c>
      <c r="I2520" s="27">
        <v>5</v>
      </c>
      <c r="J2520" s="27">
        <v>5</v>
      </c>
      <c r="K2520" s="29">
        <v>0</v>
      </c>
    </row>
    <row r="2521" spans="1:11" x14ac:dyDescent="0.25">
      <c r="A2521" s="5" t="s">
        <v>6</v>
      </c>
      <c r="B2521" s="5" t="s">
        <v>12553</v>
      </c>
      <c r="C2521" s="1" t="s">
        <v>12554</v>
      </c>
      <c r="D2521" s="5" t="s">
        <v>18059</v>
      </c>
      <c r="E2521" s="32">
        <v>776592</v>
      </c>
      <c r="F2521" s="27">
        <v>6850576</v>
      </c>
      <c r="G2521" s="32">
        <v>711473</v>
      </c>
      <c r="H2521" s="27">
        <v>6876217</v>
      </c>
      <c r="I2521" s="27">
        <v>8.8213321795743447</v>
      </c>
      <c r="J2521" s="27">
        <v>9.6647616986168128</v>
      </c>
      <c r="K2521" s="29">
        <v>9.5612488212995297E-2</v>
      </c>
    </row>
    <row r="2522" spans="1:11" x14ac:dyDescent="0.25">
      <c r="A2522" s="5" t="s">
        <v>6</v>
      </c>
      <c r="B2522" s="5" t="s">
        <v>12561</v>
      </c>
      <c r="C2522" s="1" t="s">
        <v>12562</v>
      </c>
      <c r="D2522" s="5" t="s">
        <v>18060</v>
      </c>
      <c r="E2522" s="32">
        <v>1850</v>
      </c>
      <c r="F2522" s="27">
        <v>289527.52</v>
      </c>
      <c r="G2522" s="32">
        <v>2400</v>
      </c>
      <c r="H2522" s="27">
        <v>295086</v>
      </c>
      <c r="I2522" s="27">
        <v>156.50136216216217</v>
      </c>
      <c r="J2522" s="27">
        <v>122.9525</v>
      </c>
      <c r="K2522" s="29">
        <v>-0.2143678604368939</v>
      </c>
    </row>
    <row r="2523" spans="1:11" x14ac:dyDescent="0.25">
      <c r="A2523" s="5" t="s">
        <v>6</v>
      </c>
      <c r="B2523" s="5" t="s">
        <v>12568</v>
      </c>
      <c r="C2523" s="1" t="s">
        <v>12569</v>
      </c>
      <c r="D2523" s="5" t="s">
        <v>18061</v>
      </c>
      <c r="E2523" s="32">
        <v>1</v>
      </c>
      <c r="F2523" s="27">
        <v>411</v>
      </c>
      <c r="I2523" s="27">
        <v>411</v>
      </c>
    </row>
    <row r="2524" spans="1:11" x14ac:dyDescent="0.25">
      <c r="A2524" s="5" t="s">
        <v>6</v>
      </c>
      <c r="B2524" s="5" t="s">
        <v>12571</v>
      </c>
      <c r="C2524" s="1" t="s">
        <v>12572</v>
      </c>
      <c r="D2524" s="5" t="s">
        <v>18061</v>
      </c>
      <c r="E2524" s="32">
        <v>162</v>
      </c>
      <c r="F2524" s="27">
        <v>62498</v>
      </c>
      <c r="G2524" s="32">
        <v>392</v>
      </c>
      <c r="H2524" s="27">
        <v>161250</v>
      </c>
      <c r="I2524" s="27">
        <v>385.79012345679013</v>
      </c>
      <c r="J2524" s="27">
        <v>411.35204081632651</v>
      </c>
      <c r="K2524" s="29">
        <v>6.6258610071440585E-2</v>
      </c>
    </row>
    <row r="2525" spans="1:11" x14ac:dyDescent="0.25">
      <c r="A2525" s="5" t="s">
        <v>6</v>
      </c>
      <c r="B2525" s="5" t="s">
        <v>12574</v>
      </c>
      <c r="C2525" s="1" t="s">
        <v>12575</v>
      </c>
      <c r="D2525" s="5" t="s">
        <v>17789</v>
      </c>
      <c r="E2525" s="32">
        <v>40</v>
      </c>
      <c r="F2525" s="27">
        <v>21400</v>
      </c>
      <c r="G2525" s="32">
        <v>49</v>
      </c>
      <c r="H2525" s="27">
        <v>27849</v>
      </c>
      <c r="I2525" s="27">
        <v>535</v>
      </c>
      <c r="J2525" s="27">
        <v>568.34693877551024</v>
      </c>
      <c r="K2525" s="29">
        <v>6.2330726683196711E-2</v>
      </c>
    </row>
    <row r="2526" spans="1:11" x14ac:dyDescent="0.25">
      <c r="A2526" s="5" t="s">
        <v>6</v>
      </c>
      <c r="B2526" s="5" t="s">
        <v>12595</v>
      </c>
      <c r="C2526" s="1" t="s">
        <v>12596</v>
      </c>
      <c r="D2526" s="5" t="s">
        <v>17789</v>
      </c>
      <c r="E2526" s="32">
        <v>5</v>
      </c>
      <c r="F2526" s="27">
        <v>1665</v>
      </c>
      <c r="I2526" s="27">
        <v>333</v>
      </c>
    </row>
    <row r="2527" spans="1:11" x14ac:dyDescent="0.25">
      <c r="A2527" s="5" t="s">
        <v>6</v>
      </c>
      <c r="B2527" s="5" t="s">
        <v>12598</v>
      </c>
      <c r="C2527" s="1" t="s">
        <v>12599</v>
      </c>
      <c r="D2527" s="5" t="s">
        <v>18062</v>
      </c>
      <c r="E2527" s="32">
        <v>2336</v>
      </c>
      <c r="F2527" s="27">
        <v>1626704</v>
      </c>
      <c r="G2527" s="32">
        <v>2050</v>
      </c>
      <c r="H2527" s="27">
        <v>1516068</v>
      </c>
      <c r="I2527" s="27">
        <v>696.36301369863008</v>
      </c>
      <c r="J2527" s="27">
        <v>739.5453658536585</v>
      </c>
      <c r="K2527" s="29">
        <v>6.201126611488407E-2</v>
      </c>
    </row>
    <row r="2528" spans="1:11" x14ac:dyDescent="0.25">
      <c r="A2528" s="5" t="s">
        <v>6</v>
      </c>
      <c r="B2528" s="5" t="s">
        <v>12601</v>
      </c>
      <c r="C2528" s="1" t="s">
        <v>12602</v>
      </c>
      <c r="D2528" s="5" t="s">
        <v>17789</v>
      </c>
      <c r="E2528" s="32">
        <v>129</v>
      </c>
      <c r="F2528" s="27">
        <v>10665</v>
      </c>
      <c r="G2528" s="32">
        <v>67</v>
      </c>
      <c r="H2528" s="27">
        <v>5666</v>
      </c>
      <c r="I2528" s="27">
        <v>82.674418604651166</v>
      </c>
      <c r="J2528" s="27">
        <v>84.567164179104481</v>
      </c>
      <c r="K2528" s="29">
        <v>2.2893968973696915E-2</v>
      </c>
    </row>
    <row r="2529" spans="1:11" x14ac:dyDescent="0.25">
      <c r="A2529" s="5" t="s">
        <v>6</v>
      </c>
      <c r="B2529" s="5" t="s">
        <v>12604</v>
      </c>
      <c r="C2529" s="1" t="s">
        <v>12605</v>
      </c>
      <c r="D2529" s="5" t="s">
        <v>17789</v>
      </c>
      <c r="E2529" s="32">
        <v>1480</v>
      </c>
      <c r="F2529" s="27">
        <v>1278800</v>
      </c>
      <c r="G2529" s="32">
        <v>1138</v>
      </c>
      <c r="H2529" s="27">
        <v>1048672</v>
      </c>
      <c r="I2529" s="27">
        <v>864.05405405405406</v>
      </c>
      <c r="J2529" s="27">
        <v>921.50439367311071</v>
      </c>
      <c r="K2529" s="29">
        <v>6.6489288892871312E-2</v>
      </c>
    </row>
    <row r="2530" spans="1:11" x14ac:dyDescent="0.25">
      <c r="A2530" s="5" t="s">
        <v>6</v>
      </c>
      <c r="B2530" s="5" t="s">
        <v>12607</v>
      </c>
      <c r="C2530" s="1" t="s">
        <v>12608</v>
      </c>
      <c r="D2530" s="5" t="s">
        <v>17789</v>
      </c>
      <c r="E2530" s="32">
        <v>12</v>
      </c>
      <c r="F2530" s="27">
        <v>7392</v>
      </c>
      <c r="G2530" s="32">
        <v>3</v>
      </c>
      <c r="H2530" s="27">
        <v>2115</v>
      </c>
      <c r="I2530" s="27">
        <v>616</v>
      </c>
      <c r="J2530" s="27">
        <v>705</v>
      </c>
      <c r="K2530" s="29">
        <v>0.14448051948051949</v>
      </c>
    </row>
    <row r="2531" spans="1:11" x14ac:dyDescent="0.25">
      <c r="A2531" s="5" t="s">
        <v>6</v>
      </c>
      <c r="B2531" s="5" t="s">
        <v>12610</v>
      </c>
      <c r="C2531" s="1" t="s">
        <v>12611</v>
      </c>
      <c r="D2531" s="5" t="s">
        <v>17789</v>
      </c>
      <c r="E2531" s="32">
        <v>35</v>
      </c>
      <c r="F2531" s="27">
        <v>30135</v>
      </c>
      <c r="G2531" s="32">
        <v>36</v>
      </c>
      <c r="H2531" s="27">
        <v>33324</v>
      </c>
      <c r="I2531" s="27">
        <v>861</v>
      </c>
      <c r="J2531" s="27">
        <v>925.66666666666663</v>
      </c>
      <c r="K2531" s="29">
        <v>7.5106465350367746E-2</v>
      </c>
    </row>
    <row r="2532" spans="1:11" x14ac:dyDescent="0.25">
      <c r="A2532" s="5" t="s">
        <v>6</v>
      </c>
      <c r="B2532" s="5" t="s">
        <v>12616</v>
      </c>
      <c r="C2532" s="1" t="s">
        <v>12617</v>
      </c>
      <c r="D2532" s="5" t="s">
        <v>18063</v>
      </c>
      <c r="E2532" s="32">
        <v>3001</v>
      </c>
      <c r="F2532" s="27">
        <v>1149967</v>
      </c>
      <c r="G2532" s="32">
        <v>3031</v>
      </c>
      <c r="H2532" s="27">
        <v>1243384</v>
      </c>
      <c r="I2532" s="27">
        <v>383.19460179940017</v>
      </c>
      <c r="J2532" s="27">
        <v>410.22236885516332</v>
      </c>
      <c r="K2532" s="29">
        <v>7.0532744795585633E-2</v>
      </c>
    </row>
    <row r="2533" spans="1:11" x14ac:dyDescent="0.25">
      <c r="A2533" s="5" t="s">
        <v>6</v>
      </c>
      <c r="B2533" s="5" t="s">
        <v>12619</v>
      </c>
      <c r="C2533" s="1" t="s">
        <v>12620</v>
      </c>
      <c r="D2533" s="5" t="s">
        <v>17789</v>
      </c>
      <c r="E2533" s="32">
        <v>483</v>
      </c>
      <c r="F2533" s="27">
        <v>420917</v>
      </c>
      <c r="G2533" s="32">
        <v>347</v>
      </c>
      <c r="H2533" s="27">
        <v>321883</v>
      </c>
      <c r="I2533" s="27">
        <v>871.463768115942</v>
      </c>
      <c r="J2533" s="27">
        <v>927.61671469740634</v>
      </c>
      <c r="K2533" s="29">
        <v>6.4435205037685045E-2</v>
      </c>
    </row>
    <row r="2534" spans="1:11" x14ac:dyDescent="0.25">
      <c r="A2534" s="5" t="s">
        <v>6</v>
      </c>
      <c r="B2534" s="5" t="s">
        <v>12622</v>
      </c>
      <c r="C2534" s="1" t="s">
        <v>12623</v>
      </c>
      <c r="D2534" s="5" t="s">
        <v>17789</v>
      </c>
      <c r="E2534" s="32">
        <v>21</v>
      </c>
      <c r="F2534" s="27">
        <v>18389</v>
      </c>
      <c r="G2534" s="32">
        <v>52</v>
      </c>
      <c r="H2534" s="27">
        <v>48018</v>
      </c>
      <c r="I2534" s="27">
        <v>875.66666666666663</v>
      </c>
      <c r="J2534" s="27">
        <v>923.42307692307691</v>
      </c>
      <c r="K2534" s="29">
        <v>5.4537202424526393E-2</v>
      </c>
    </row>
    <row r="2535" spans="1:11" x14ac:dyDescent="0.25">
      <c r="A2535" s="5" t="s">
        <v>6</v>
      </c>
      <c r="B2535" s="5" t="s">
        <v>12625</v>
      </c>
      <c r="C2535" s="1" t="s">
        <v>12626</v>
      </c>
      <c r="D2535" s="5" t="s">
        <v>17789</v>
      </c>
      <c r="E2535" s="32">
        <v>7</v>
      </c>
      <c r="F2535" s="27">
        <v>3094</v>
      </c>
      <c r="I2535" s="27">
        <v>442</v>
      </c>
    </row>
    <row r="2536" spans="1:11" x14ac:dyDescent="0.25">
      <c r="A2536" s="5" t="s">
        <v>6</v>
      </c>
      <c r="B2536" s="5" t="s">
        <v>12628</v>
      </c>
      <c r="C2536" s="1" t="s">
        <v>12629</v>
      </c>
      <c r="D2536" s="5" t="s">
        <v>18064</v>
      </c>
      <c r="E2536" s="32">
        <v>7384</v>
      </c>
      <c r="F2536" s="27">
        <v>4110956</v>
      </c>
      <c r="G2536" s="32">
        <v>5430</v>
      </c>
      <c r="H2536" s="27">
        <v>3234064</v>
      </c>
      <c r="I2536" s="27">
        <v>556.73835319609964</v>
      </c>
      <c r="J2536" s="27">
        <v>595.59189686924492</v>
      </c>
      <c r="K2536" s="29">
        <v>6.9787797894821729E-2</v>
      </c>
    </row>
    <row r="2537" spans="1:11" x14ac:dyDescent="0.25">
      <c r="A2537" s="5" t="s">
        <v>6</v>
      </c>
      <c r="B2537" s="5" t="s">
        <v>12631</v>
      </c>
      <c r="C2537" s="1" t="s">
        <v>12632</v>
      </c>
      <c r="D2537" s="5" t="s">
        <v>18064</v>
      </c>
      <c r="E2537" s="32">
        <v>7214</v>
      </c>
      <c r="F2537" s="27">
        <v>2982295</v>
      </c>
      <c r="G2537" s="32">
        <v>6872</v>
      </c>
      <c r="H2537" s="27">
        <v>3042130</v>
      </c>
      <c r="I2537" s="27">
        <v>413.40379817022455</v>
      </c>
      <c r="J2537" s="27">
        <v>442.68480791618163</v>
      </c>
      <c r="K2537" s="29">
        <v>7.0829077709393062E-2</v>
      </c>
    </row>
    <row r="2538" spans="1:11" x14ac:dyDescent="0.25">
      <c r="A2538" s="5" t="s">
        <v>6</v>
      </c>
      <c r="B2538" s="5" t="s">
        <v>12634</v>
      </c>
      <c r="C2538" s="1" t="s">
        <v>12635</v>
      </c>
      <c r="D2538" s="5" t="s">
        <v>18064</v>
      </c>
      <c r="E2538" s="32">
        <v>172</v>
      </c>
      <c r="F2538" s="27">
        <v>16372</v>
      </c>
      <c r="G2538" s="32">
        <v>131</v>
      </c>
      <c r="H2538" s="27">
        <v>13411</v>
      </c>
      <c r="I2538" s="27">
        <v>95.186046511627907</v>
      </c>
      <c r="J2538" s="27">
        <v>102.37404580152672</v>
      </c>
      <c r="K2538" s="29">
        <v>7.5515262512985321E-2</v>
      </c>
    </row>
    <row r="2539" spans="1:11" x14ac:dyDescent="0.25">
      <c r="A2539" s="5" t="s">
        <v>6</v>
      </c>
      <c r="B2539" s="5" t="s">
        <v>12637</v>
      </c>
      <c r="C2539" s="1" t="s">
        <v>12638</v>
      </c>
      <c r="D2539" s="5" t="s">
        <v>18064</v>
      </c>
      <c r="E2539" s="32">
        <v>10412</v>
      </c>
      <c r="F2539" s="27">
        <v>3912462</v>
      </c>
      <c r="G2539" s="32">
        <v>10185</v>
      </c>
      <c r="H2539" s="27">
        <v>4068195</v>
      </c>
      <c r="I2539" s="27">
        <v>375.76469458317325</v>
      </c>
      <c r="J2539" s="27">
        <v>399.43004418262149</v>
      </c>
      <c r="K2539" s="29">
        <v>6.2979172712592485E-2</v>
      </c>
    </row>
    <row r="2540" spans="1:11" x14ac:dyDescent="0.25">
      <c r="A2540" s="5" t="s">
        <v>6</v>
      </c>
      <c r="B2540" s="5" t="s">
        <v>12640</v>
      </c>
      <c r="C2540" s="1" t="s">
        <v>12641</v>
      </c>
      <c r="D2540" s="5" t="s">
        <v>18064</v>
      </c>
      <c r="E2540" s="32">
        <v>1792</v>
      </c>
      <c r="F2540" s="27">
        <v>841326</v>
      </c>
      <c r="G2540" s="32">
        <v>1637</v>
      </c>
      <c r="H2540" s="27">
        <v>827814</v>
      </c>
      <c r="I2540" s="27">
        <v>469.48995535714283</v>
      </c>
      <c r="J2540" s="27">
        <v>505.68967623701894</v>
      </c>
      <c r="K2540" s="29">
        <v>7.710435647625058E-2</v>
      </c>
    </row>
    <row r="2541" spans="1:11" x14ac:dyDescent="0.25">
      <c r="A2541" s="5" t="s">
        <v>6</v>
      </c>
      <c r="B2541" s="5" t="s">
        <v>12643</v>
      </c>
      <c r="C2541" s="1" t="s">
        <v>12644</v>
      </c>
      <c r="D2541" s="5" t="s">
        <v>18065</v>
      </c>
      <c r="E2541" s="32">
        <v>2060</v>
      </c>
      <c r="F2541" s="27">
        <v>852924</v>
      </c>
      <c r="G2541" s="32">
        <v>1644</v>
      </c>
      <c r="H2541" s="27">
        <v>726724</v>
      </c>
      <c r="I2541" s="27">
        <v>414.04077669902915</v>
      </c>
      <c r="J2541" s="27">
        <v>442.04622871046229</v>
      </c>
      <c r="K2541" s="29">
        <v>6.7639357250531412E-2</v>
      </c>
    </row>
    <row r="2542" spans="1:11" x14ac:dyDescent="0.25">
      <c r="A2542" s="5" t="s">
        <v>6</v>
      </c>
      <c r="B2542" s="5" t="s">
        <v>12645</v>
      </c>
      <c r="C2542" s="1" t="s">
        <v>12646</v>
      </c>
      <c r="D2542" s="5" t="s">
        <v>18066</v>
      </c>
      <c r="E2542" s="32">
        <v>118</v>
      </c>
      <c r="F2542" s="27">
        <v>72287</v>
      </c>
      <c r="G2542" s="32">
        <v>81</v>
      </c>
      <c r="H2542" s="27">
        <v>52753</v>
      </c>
      <c r="I2542" s="27">
        <v>612.60169491525426</v>
      </c>
      <c r="J2542" s="27">
        <v>651.27160493827159</v>
      </c>
      <c r="K2542" s="29">
        <v>6.3124066328884107E-2</v>
      </c>
    </row>
    <row r="2543" spans="1:11" x14ac:dyDescent="0.25">
      <c r="A2543" s="5" t="s">
        <v>6</v>
      </c>
      <c r="B2543" s="5" t="s">
        <v>12651</v>
      </c>
      <c r="C2543" s="1" t="s">
        <v>12652</v>
      </c>
      <c r="D2543" s="5" t="s">
        <v>17789</v>
      </c>
      <c r="E2543" s="32">
        <v>1</v>
      </c>
      <c r="F2543" s="27">
        <v>357</v>
      </c>
      <c r="I2543" s="27">
        <v>357</v>
      </c>
    </row>
    <row r="2544" spans="1:11" x14ac:dyDescent="0.25">
      <c r="A2544" s="5" t="s">
        <v>6</v>
      </c>
      <c r="B2544" s="5" t="s">
        <v>12654</v>
      </c>
      <c r="C2544" s="1" t="s">
        <v>12655</v>
      </c>
      <c r="D2544" s="5" t="s">
        <v>17789</v>
      </c>
      <c r="G2544" s="32">
        <v>7</v>
      </c>
      <c r="H2544" s="27">
        <v>315</v>
      </c>
      <c r="J2544" s="27">
        <v>45</v>
      </c>
    </row>
    <row r="2545" spans="1:11" x14ac:dyDescent="0.25">
      <c r="A2545" s="5" t="s">
        <v>6</v>
      </c>
      <c r="B2545" s="5" t="s">
        <v>12657</v>
      </c>
      <c r="C2545" s="1" t="s">
        <v>12658</v>
      </c>
      <c r="D2545" s="5" t="s">
        <v>17789</v>
      </c>
      <c r="E2545" s="32">
        <v>53</v>
      </c>
      <c r="F2545" s="27">
        <v>18550</v>
      </c>
      <c r="G2545" s="32">
        <v>21</v>
      </c>
      <c r="H2545" s="27">
        <v>7602</v>
      </c>
      <c r="I2545" s="27">
        <v>350</v>
      </c>
      <c r="J2545" s="27">
        <v>362</v>
      </c>
      <c r="K2545" s="29">
        <v>3.4285714285714287E-2</v>
      </c>
    </row>
    <row r="2546" spans="1:11" x14ac:dyDescent="0.25">
      <c r="A2546" s="5" t="s">
        <v>6</v>
      </c>
      <c r="B2546" s="5" t="s">
        <v>12660</v>
      </c>
      <c r="C2546" s="1" t="s">
        <v>12661</v>
      </c>
      <c r="D2546" s="5" t="s">
        <v>17789</v>
      </c>
      <c r="E2546" s="32">
        <v>344</v>
      </c>
      <c r="F2546" s="27">
        <v>138923</v>
      </c>
      <c r="G2546" s="32">
        <v>306</v>
      </c>
      <c r="H2546" s="27">
        <v>133068</v>
      </c>
      <c r="I2546" s="27">
        <v>403.84593023255815</v>
      </c>
      <c r="J2546" s="27">
        <v>434.86274509803923</v>
      </c>
      <c r="K2546" s="29">
        <v>7.6803584098568925E-2</v>
      </c>
    </row>
    <row r="2547" spans="1:11" x14ac:dyDescent="0.25">
      <c r="A2547" s="5" t="s">
        <v>6</v>
      </c>
      <c r="B2547" s="5" t="s">
        <v>12663</v>
      </c>
      <c r="C2547" s="1" t="s">
        <v>12664</v>
      </c>
      <c r="D2547" s="5" t="s">
        <v>17789</v>
      </c>
      <c r="E2547" s="32">
        <v>232</v>
      </c>
      <c r="F2547" s="27">
        <v>195092</v>
      </c>
      <c r="G2547" s="32">
        <v>200</v>
      </c>
      <c r="H2547" s="27">
        <v>179524</v>
      </c>
      <c r="I2547" s="27">
        <v>840.91379310344826</v>
      </c>
      <c r="J2547" s="27">
        <v>897.62</v>
      </c>
      <c r="K2547" s="29">
        <v>6.7434031123777535E-2</v>
      </c>
    </row>
    <row r="2548" spans="1:11" x14ac:dyDescent="0.25">
      <c r="A2548" s="5" t="s">
        <v>6</v>
      </c>
      <c r="B2548" s="5" t="s">
        <v>12666</v>
      </c>
      <c r="C2548" s="1" t="s">
        <v>12667</v>
      </c>
      <c r="D2548" s="5" t="s">
        <v>18067</v>
      </c>
      <c r="E2548" s="32">
        <v>29</v>
      </c>
      <c r="F2548" s="27">
        <v>11524</v>
      </c>
      <c r="G2548" s="32">
        <v>8</v>
      </c>
      <c r="H2548" s="27">
        <v>3392</v>
      </c>
      <c r="I2548" s="27">
        <v>397.37931034482756</v>
      </c>
      <c r="J2548" s="27">
        <v>424</v>
      </c>
      <c r="K2548" s="29">
        <v>6.6990628254078519E-2</v>
      </c>
    </row>
    <row r="2549" spans="1:11" x14ac:dyDescent="0.25">
      <c r="A2549" s="5" t="s">
        <v>6</v>
      </c>
      <c r="B2549" s="5" t="s">
        <v>12669</v>
      </c>
      <c r="C2549" s="1" t="s">
        <v>12670</v>
      </c>
      <c r="D2549" s="5" t="s">
        <v>18067</v>
      </c>
      <c r="E2549" s="32">
        <v>2385</v>
      </c>
      <c r="F2549" s="27">
        <v>1017837</v>
      </c>
      <c r="G2549" s="32">
        <v>3380</v>
      </c>
      <c r="H2549" s="27">
        <v>1533824</v>
      </c>
      <c r="I2549" s="27">
        <v>426.76603773584907</v>
      </c>
      <c r="J2549" s="27">
        <v>453.79408284023668</v>
      </c>
      <c r="K2549" s="29">
        <v>6.3332230577159671E-2</v>
      </c>
    </row>
    <row r="2550" spans="1:11" x14ac:dyDescent="0.25">
      <c r="A2550" s="5" t="s">
        <v>6</v>
      </c>
      <c r="B2550" s="5" t="s">
        <v>12672</v>
      </c>
      <c r="C2550" s="1" t="s">
        <v>12673</v>
      </c>
      <c r="D2550" s="5" t="s">
        <v>17789</v>
      </c>
      <c r="E2550" s="32">
        <v>283</v>
      </c>
      <c r="F2550" s="27">
        <v>134575</v>
      </c>
      <c r="G2550" s="32">
        <v>168</v>
      </c>
      <c r="H2550" s="27">
        <v>85050</v>
      </c>
      <c r="I2550" s="27">
        <v>475.53003533568904</v>
      </c>
      <c r="J2550" s="27">
        <v>506.25</v>
      </c>
      <c r="K2550" s="29">
        <v>6.4601523314137127E-2</v>
      </c>
    </row>
    <row r="2551" spans="1:11" x14ac:dyDescent="0.25">
      <c r="A2551" s="5" t="s">
        <v>6</v>
      </c>
      <c r="B2551" s="5" t="s">
        <v>12681</v>
      </c>
      <c r="C2551" s="1" t="s">
        <v>12682</v>
      </c>
      <c r="D2551" s="5" t="s">
        <v>17789</v>
      </c>
      <c r="E2551" s="32">
        <v>2</v>
      </c>
      <c r="F2551" s="27">
        <v>20</v>
      </c>
      <c r="I2551" s="27">
        <v>10</v>
      </c>
    </row>
    <row r="2552" spans="1:11" x14ac:dyDescent="0.25">
      <c r="A2552" s="5" t="s">
        <v>6</v>
      </c>
      <c r="B2552" s="5" t="s">
        <v>12684</v>
      </c>
      <c r="C2552" s="1" t="s">
        <v>12685</v>
      </c>
      <c r="D2552" s="5" t="s">
        <v>17789</v>
      </c>
      <c r="E2552" s="32">
        <v>5</v>
      </c>
      <c r="F2552" s="27">
        <v>1780</v>
      </c>
      <c r="G2552" s="32">
        <v>6</v>
      </c>
      <c r="H2552" s="27">
        <v>2248</v>
      </c>
      <c r="I2552" s="27">
        <v>356</v>
      </c>
      <c r="J2552" s="27">
        <v>374.66666666666669</v>
      </c>
      <c r="K2552" s="29">
        <v>5.2434456928839003E-2</v>
      </c>
    </row>
    <row r="2553" spans="1:11" x14ac:dyDescent="0.25">
      <c r="A2553" s="5" t="s">
        <v>6</v>
      </c>
      <c r="B2553" s="5" t="s">
        <v>12687</v>
      </c>
      <c r="C2553" s="1" t="s">
        <v>12688</v>
      </c>
      <c r="D2553" s="5" t="s">
        <v>17789</v>
      </c>
      <c r="E2553" s="32">
        <v>153</v>
      </c>
      <c r="F2553" s="27">
        <v>80343</v>
      </c>
      <c r="G2553" s="32">
        <v>121</v>
      </c>
      <c r="H2553" s="27">
        <v>67831</v>
      </c>
      <c r="I2553" s="27">
        <v>525.11764705882354</v>
      </c>
      <c r="J2553" s="27">
        <v>560.58677685950408</v>
      </c>
      <c r="K2553" s="29">
        <v>6.754511108004585E-2</v>
      </c>
    </row>
    <row r="2554" spans="1:11" x14ac:dyDescent="0.25">
      <c r="A2554" s="5" t="s">
        <v>6</v>
      </c>
      <c r="B2554" s="5" t="s">
        <v>12690</v>
      </c>
      <c r="C2554" s="1" t="s">
        <v>12691</v>
      </c>
      <c r="D2554" s="5" t="s">
        <v>17789</v>
      </c>
      <c r="E2554" s="32">
        <v>1553</v>
      </c>
      <c r="F2554" s="27">
        <v>678656</v>
      </c>
      <c r="G2554" s="32">
        <v>1238</v>
      </c>
      <c r="H2554" s="27">
        <v>574671</v>
      </c>
      <c r="I2554" s="27">
        <v>436.99678042498391</v>
      </c>
      <c r="J2554" s="27">
        <v>464.19305331179322</v>
      </c>
      <c r="K2554" s="29">
        <v>6.2234492575347244E-2</v>
      </c>
    </row>
    <row r="2555" spans="1:11" x14ac:dyDescent="0.25">
      <c r="A2555" s="5" t="s">
        <v>6</v>
      </c>
      <c r="B2555" s="5" t="s">
        <v>12693</v>
      </c>
      <c r="C2555" s="1" t="s">
        <v>12694</v>
      </c>
      <c r="D2555" s="5" t="s">
        <v>18068</v>
      </c>
      <c r="E2555" s="32">
        <v>87</v>
      </c>
      <c r="F2555" s="27">
        <v>6612</v>
      </c>
      <c r="I2555" s="27">
        <v>76</v>
      </c>
    </row>
    <row r="2556" spans="1:11" x14ac:dyDescent="0.25">
      <c r="A2556" s="5" t="s">
        <v>6</v>
      </c>
      <c r="B2556" s="5" t="s">
        <v>12696</v>
      </c>
      <c r="C2556" s="1" t="s">
        <v>12697</v>
      </c>
      <c r="D2556" s="5" t="s">
        <v>18068</v>
      </c>
      <c r="E2556" s="32">
        <v>6342</v>
      </c>
      <c r="F2556" s="27">
        <v>2440768</v>
      </c>
      <c r="G2556" s="32">
        <v>8231</v>
      </c>
      <c r="H2556" s="27">
        <v>3379257</v>
      </c>
      <c r="I2556" s="27">
        <v>384.85777357300537</v>
      </c>
      <c r="J2556" s="27">
        <v>410.55242376381972</v>
      </c>
      <c r="K2556" s="29">
        <v>6.6764015060073123E-2</v>
      </c>
    </row>
    <row r="2557" spans="1:11" x14ac:dyDescent="0.25">
      <c r="A2557" s="5" t="s">
        <v>6</v>
      </c>
      <c r="B2557" s="5" t="s">
        <v>12699</v>
      </c>
      <c r="C2557" s="1" t="s">
        <v>12700</v>
      </c>
      <c r="D2557" s="5" t="s">
        <v>18068</v>
      </c>
      <c r="E2557" s="32">
        <v>17724</v>
      </c>
      <c r="F2557" s="27">
        <v>7366926</v>
      </c>
      <c r="G2557" s="32">
        <v>21324</v>
      </c>
      <c r="H2557" s="27">
        <v>9440002</v>
      </c>
      <c r="I2557" s="27">
        <v>415.64691943127963</v>
      </c>
      <c r="J2557" s="27">
        <v>442.69377227537046</v>
      </c>
      <c r="K2557" s="29">
        <v>6.5071702879690385E-2</v>
      </c>
    </row>
    <row r="2558" spans="1:11" x14ac:dyDescent="0.25">
      <c r="A2558" s="5" t="s">
        <v>6</v>
      </c>
      <c r="B2558" s="5" t="s">
        <v>12702</v>
      </c>
      <c r="C2558" s="1" t="s">
        <v>12703</v>
      </c>
      <c r="D2558" s="5" t="s">
        <v>18068</v>
      </c>
      <c r="E2558" s="32">
        <v>9917</v>
      </c>
      <c r="F2558" s="27">
        <v>3819518</v>
      </c>
      <c r="G2558" s="32">
        <v>9386</v>
      </c>
      <c r="H2558" s="27">
        <v>3855685</v>
      </c>
      <c r="I2558" s="27">
        <v>385.14853282242615</v>
      </c>
      <c r="J2558" s="27">
        <v>410.79107180907732</v>
      </c>
      <c r="K2558" s="29">
        <v>6.6578311486061775E-2</v>
      </c>
    </row>
    <row r="2559" spans="1:11" x14ac:dyDescent="0.25">
      <c r="A2559" s="5" t="s">
        <v>6</v>
      </c>
      <c r="B2559" s="5" t="s">
        <v>12705</v>
      </c>
      <c r="C2559" s="1" t="s">
        <v>12706</v>
      </c>
      <c r="D2559" s="5" t="s">
        <v>18069</v>
      </c>
      <c r="E2559" s="32">
        <v>7963</v>
      </c>
      <c r="F2559" s="27">
        <v>2991183</v>
      </c>
      <c r="G2559" s="32">
        <v>8983</v>
      </c>
      <c r="H2559" s="27">
        <v>3607893</v>
      </c>
      <c r="I2559" s="27">
        <v>375.63518774331283</v>
      </c>
      <c r="J2559" s="27">
        <v>401.63564510742515</v>
      </c>
      <c r="K2559" s="29">
        <v>6.9217310338560503E-2</v>
      </c>
    </row>
    <row r="2560" spans="1:11" x14ac:dyDescent="0.25">
      <c r="A2560" s="5" t="s">
        <v>6</v>
      </c>
      <c r="B2560" s="5" t="s">
        <v>12708</v>
      </c>
      <c r="C2560" s="1" t="s">
        <v>12709</v>
      </c>
      <c r="D2560" s="5" t="s">
        <v>18070</v>
      </c>
      <c r="E2560" s="32">
        <v>32494</v>
      </c>
      <c r="F2560" s="27">
        <v>14092332</v>
      </c>
      <c r="G2560" s="32">
        <v>34695</v>
      </c>
      <c r="H2560" s="27">
        <v>16095720</v>
      </c>
      <c r="I2560" s="27">
        <v>433.69028128269832</v>
      </c>
      <c r="J2560" s="27">
        <v>463.92044963251186</v>
      </c>
      <c r="K2560" s="29">
        <v>6.9704509541702625E-2</v>
      </c>
    </row>
    <row r="2561" spans="1:11" x14ac:dyDescent="0.25">
      <c r="A2561" s="5" t="s">
        <v>6</v>
      </c>
      <c r="B2561" s="5" t="s">
        <v>12711</v>
      </c>
      <c r="C2561" s="1" t="s">
        <v>12712</v>
      </c>
      <c r="D2561" s="5" t="s">
        <v>17789</v>
      </c>
      <c r="E2561" s="32">
        <v>770</v>
      </c>
      <c r="F2561" s="27">
        <v>660660</v>
      </c>
      <c r="G2561" s="32">
        <v>684</v>
      </c>
      <c r="H2561" s="27">
        <v>632176</v>
      </c>
      <c r="I2561" s="27">
        <v>858</v>
      </c>
      <c r="J2561" s="27">
        <v>924.23391812865498</v>
      </c>
      <c r="K2561" s="29">
        <v>7.7195708774656147E-2</v>
      </c>
    </row>
    <row r="2562" spans="1:11" x14ac:dyDescent="0.25">
      <c r="A2562" s="5" t="s">
        <v>6</v>
      </c>
      <c r="B2562" s="5" t="s">
        <v>12714</v>
      </c>
      <c r="C2562" s="1" t="s">
        <v>12715</v>
      </c>
      <c r="D2562" s="5" t="s">
        <v>17789</v>
      </c>
      <c r="E2562" s="32">
        <v>186</v>
      </c>
      <c r="F2562" s="27">
        <v>126276</v>
      </c>
      <c r="G2562" s="32">
        <v>145</v>
      </c>
      <c r="H2562" s="27">
        <v>104605</v>
      </c>
      <c r="I2562" s="27">
        <v>678.90322580645159</v>
      </c>
      <c r="J2562" s="27">
        <v>721.41379310344826</v>
      </c>
      <c r="K2562" s="29">
        <v>6.2616534553211853E-2</v>
      </c>
    </row>
    <row r="2563" spans="1:11" x14ac:dyDescent="0.25">
      <c r="A2563" s="5" t="s">
        <v>6</v>
      </c>
      <c r="B2563" s="5" t="s">
        <v>12717</v>
      </c>
      <c r="C2563" s="1" t="s">
        <v>12718</v>
      </c>
      <c r="D2563" s="5" t="s">
        <v>17789</v>
      </c>
      <c r="E2563" s="32">
        <v>878</v>
      </c>
      <c r="F2563" s="27">
        <v>343121</v>
      </c>
      <c r="G2563" s="32">
        <v>726</v>
      </c>
      <c r="H2563" s="27">
        <v>299794</v>
      </c>
      <c r="I2563" s="27">
        <v>390.79840546697039</v>
      </c>
      <c r="J2563" s="27">
        <v>412.93939393939394</v>
      </c>
      <c r="K2563" s="29">
        <v>5.665577996913005E-2</v>
      </c>
    </row>
    <row r="2564" spans="1:11" x14ac:dyDescent="0.25">
      <c r="A2564" s="5" t="s">
        <v>6</v>
      </c>
      <c r="B2564" s="5" t="s">
        <v>12723</v>
      </c>
      <c r="C2564" s="1" t="s">
        <v>12724</v>
      </c>
      <c r="D2564" s="5" t="s">
        <v>17789</v>
      </c>
      <c r="E2564" s="32">
        <v>2</v>
      </c>
      <c r="F2564" s="27">
        <v>818</v>
      </c>
      <c r="I2564" s="27">
        <v>409</v>
      </c>
    </row>
    <row r="2565" spans="1:11" x14ac:dyDescent="0.25">
      <c r="A2565" s="5" t="s">
        <v>6</v>
      </c>
      <c r="B2565" s="5" t="s">
        <v>12726</v>
      </c>
      <c r="C2565" s="1" t="s">
        <v>12727</v>
      </c>
      <c r="D2565" s="5" t="s">
        <v>18071</v>
      </c>
      <c r="E2565" s="32">
        <v>61</v>
      </c>
      <c r="F2565" s="27">
        <v>20605</v>
      </c>
      <c r="G2565" s="32">
        <v>69</v>
      </c>
      <c r="H2565" s="27">
        <v>24432</v>
      </c>
      <c r="I2565" s="27">
        <v>337.78688524590166</v>
      </c>
      <c r="J2565" s="27">
        <v>354.08695652173913</v>
      </c>
      <c r="K2565" s="29">
        <v>4.8255488853486316E-2</v>
      </c>
    </row>
    <row r="2566" spans="1:11" x14ac:dyDescent="0.25">
      <c r="A2566" s="5" t="s">
        <v>6</v>
      </c>
      <c r="B2566" s="5" t="s">
        <v>12729</v>
      </c>
      <c r="C2566" s="1" t="s">
        <v>12730</v>
      </c>
      <c r="D2566" s="5" t="s">
        <v>18071</v>
      </c>
      <c r="E2566" s="32">
        <v>169</v>
      </c>
      <c r="F2566" s="27">
        <v>58982</v>
      </c>
      <c r="G2566" s="32">
        <v>376</v>
      </c>
      <c r="H2566" s="27">
        <v>136640</v>
      </c>
      <c r="I2566" s="27">
        <v>349.00591715976333</v>
      </c>
      <c r="J2566" s="27">
        <v>363.40425531914894</v>
      </c>
      <c r="K2566" s="29">
        <v>4.1255283797364775E-2</v>
      </c>
    </row>
    <row r="2567" spans="1:11" x14ac:dyDescent="0.25">
      <c r="A2567" s="5" t="s">
        <v>6</v>
      </c>
      <c r="B2567" s="5" t="s">
        <v>12738</v>
      </c>
      <c r="C2567" s="1" t="s">
        <v>12739</v>
      </c>
      <c r="D2567" s="5" t="s">
        <v>17789</v>
      </c>
      <c r="E2567" s="32">
        <v>1404</v>
      </c>
      <c r="F2567" s="27">
        <v>1665528</v>
      </c>
      <c r="G2567" s="32">
        <v>1100</v>
      </c>
      <c r="H2567" s="27">
        <v>1378336</v>
      </c>
      <c r="I2567" s="27">
        <v>1186.2735042735044</v>
      </c>
      <c r="J2567" s="27">
        <v>1253.0327272727272</v>
      </c>
      <c r="K2567" s="29">
        <v>5.6276417502983365E-2</v>
      </c>
    </row>
    <row r="2568" spans="1:11" x14ac:dyDescent="0.25">
      <c r="A2568" s="5" t="s">
        <v>6</v>
      </c>
      <c r="B2568" s="5" t="s">
        <v>12747</v>
      </c>
      <c r="C2568" s="1" t="s">
        <v>12748</v>
      </c>
      <c r="D2568" s="5" t="s">
        <v>17789</v>
      </c>
      <c r="E2568" s="32">
        <v>862</v>
      </c>
      <c r="F2568" s="27">
        <v>225849</v>
      </c>
      <c r="G2568" s="32">
        <v>1117</v>
      </c>
      <c r="H2568" s="27">
        <v>315396</v>
      </c>
      <c r="I2568" s="27">
        <v>262.00580046403712</v>
      </c>
      <c r="J2568" s="27">
        <v>282.35989256938228</v>
      </c>
      <c r="K2568" s="29">
        <v>7.7685654551525693E-2</v>
      </c>
    </row>
    <row r="2569" spans="1:11" x14ac:dyDescent="0.25">
      <c r="A2569" s="5" t="s">
        <v>6</v>
      </c>
      <c r="B2569" s="5" t="s">
        <v>12753</v>
      </c>
      <c r="C2569" s="1" t="s">
        <v>12754</v>
      </c>
      <c r="D2569" s="5" t="s">
        <v>17789</v>
      </c>
      <c r="E2569" s="32">
        <v>1349</v>
      </c>
      <c r="F2569" s="27">
        <v>39906</v>
      </c>
      <c r="G2569" s="32">
        <v>1064</v>
      </c>
      <c r="H2569" s="27">
        <v>32840</v>
      </c>
      <c r="I2569" s="27">
        <v>29.581912527798369</v>
      </c>
      <c r="J2569" s="27">
        <v>30.86466165413534</v>
      </c>
      <c r="K2569" s="29">
        <v>4.3362616434335005E-2</v>
      </c>
    </row>
    <row r="2570" spans="1:11" x14ac:dyDescent="0.25">
      <c r="A2570" s="5" t="s">
        <v>6</v>
      </c>
      <c r="B2570" s="5" t="s">
        <v>12758</v>
      </c>
      <c r="C2570" s="1" t="s">
        <v>12759</v>
      </c>
      <c r="D2570" s="5" t="s">
        <v>17789</v>
      </c>
      <c r="E2570" s="32">
        <v>434</v>
      </c>
      <c r="F2570" s="27">
        <v>195674</v>
      </c>
      <c r="G2570" s="32">
        <v>203</v>
      </c>
      <c r="H2570" s="27">
        <v>93881</v>
      </c>
      <c r="I2570" s="27">
        <v>450.86175115207374</v>
      </c>
      <c r="J2570" s="27">
        <v>462.46798029556652</v>
      </c>
      <c r="K2570" s="29">
        <v>2.5742323703076893E-2</v>
      </c>
    </row>
    <row r="2571" spans="1:11" x14ac:dyDescent="0.25">
      <c r="A2571" s="5" t="s">
        <v>6</v>
      </c>
      <c r="B2571" s="5" t="s">
        <v>12760</v>
      </c>
      <c r="C2571" s="1" t="s">
        <v>12761</v>
      </c>
      <c r="D2571" s="5" t="s">
        <v>17789</v>
      </c>
      <c r="E2571" s="32">
        <v>582</v>
      </c>
      <c r="F2571" s="27">
        <v>262500</v>
      </c>
      <c r="G2571" s="32">
        <v>996</v>
      </c>
      <c r="H2571" s="27">
        <v>493964</v>
      </c>
      <c r="I2571" s="27">
        <v>451.03092783505156</v>
      </c>
      <c r="J2571" s="27">
        <v>495.94779116465861</v>
      </c>
      <c r="K2571" s="29">
        <v>9.9587102696500215E-2</v>
      </c>
    </row>
    <row r="2572" spans="1:11" x14ac:dyDescent="0.25">
      <c r="A2572" s="5" t="s">
        <v>6</v>
      </c>
      <c r="B2572" s="5" t="s">
        <v>12783</v>
      </c>
      <c r="C2572" s="1" t="s">
        <v>12784</v>
      </c>
      <c r="D2572" s="5" t="s">
        <v>17789</v>
      </c>
      <c r="E2572" s="32">
        <v>177</v>
      </c>
      <c r="F2572" s="27">
        <v>159657</v>
      </c>
      <c r="G2572" s="32">
        <v>217</v>
      </c>
      <c r="H2572" s="27">
        <v>207319</v>
      </c>
      <c r="I2572" s="27">
        <v>902.01694915254234</v>
      </c>
      <c r="J2572" s="27">
        <v>955.38709677419354</v>
      </c>
      <c r="K2572" s="29">
        <v>5.9167566276657223E-2</v>
      </c>
    </row>
    <row r="2573" spans="1:11" x14ac:dyDescent="0.25">
      <c r="A2573" s="5" t="s">
        <v>6</v>
      </c>
      <c r="B2573" s="5" t="s">
        <v>12789</v>
      </c>
      <c r="C2573" s="1" t="s">
        <v>12790</v>
      </c>
      <c r="D2573" s="5" t="s">
        <v>17789</v>
      </c>
      <c r="E2573" s="32">
        <v>3</v>
      </c>
      <c r="F2573" s="27">
        <v>906</v>
      </c>
      <c r="I2573" s="27">
        <v>302</v>
      </c>
    </row>
    <row r="2574" spans="1:11" x14ac:dyDescent="0.25">
      <c r="A2574" s="5" t="s">
        <v>6</v>
      </c>
      <c r="B2574" s="5" t="s">
        <v>12798</v>
      </c>
      <c r="C2574" s="1" t="s">
        <v>12799</v>
      </c>
      <c r="D2574" s="5" t="s">
        <v>17789</v>
      </c>
      <c r="E2574" s="32">
        <v>18</v>
      </c>
      <c r="F2574" s="27">
        <v>7578</v>
      </c>
      <c r="G2574" s="32">
        <v>27</v>
      </c>
      <c r="H2574" s="27">
        <v>12047</v>
      </c>
      <c r="I2574" s="27">
        <v>421</v>
      </c>
      <c r="J2574" s="27">
        <v>446.18518518518516</v>
      </c>
      <c r="K2574" s="29">
        <v>5.9822292601389937E-2</v>
      </c>
    </row>
    <row r="2575" spans="1:11" x14ac:dyDescent="0.25">
      <c r="A2575" s="5" t="s">
        <v>6</v>
      </c>
      <c r="B2575" s="5" t="s">
        <v>12801</v>
      </c>
      <c r="C2575" s="1" t="s">
        <v>12802</v>
      </c>
      <c r="D2575" s="5" t="s">
        <v>18072</v>
      </c>
      <c r="E2575" s="32">
        <v>107</v>
      </c>
      <c r="F2575" s="27">
        <v>878033</v>
      </c>
      <c r="G2575" s="32">
        <v>126</v>
      </c>
      <c r="H2575" s="27">
        <v>1105288</v>
      </c>
      <c r="I2575" s="27">
        <v>8205.9158878504677</v>
      </c>
      <c r="J2575" s="27">
        <v>8772.1269841269841</v>
      </c>
      <c r="K2575" s="29">
        <v>6.9000353405381409E-2</v>
      </c>
    </row>
    <row r="2576" spans="1:11" x14ac:dyDescent="0.25">
      <c r="A2576" s="5" t="s">
        <v>6</v>
      </c>
      <c r="B2576" s="5" t="s">
        <v>12804</v>
      </c>
      <c r="C2576" s="1" t="s">
        <v>12805</v>
      </c>
      <c r="D2576" s="5" t="s">
        <v>18072</v>
      </c>
      <c r="E2576" s="32">
        <v>387</v>
      </c>
      <c r="F2576" s="27">
        <v>3189033</v>
      </c>
      <c r="G2576" s="32">
        <v>410</v>
      </c>
      <c r="H2576" s="27">
        <v>3598364</v>
      </c>
      <c r="I2576" s="27">
        <v>8240.3953488372099</v>
      </c>
      <c r="J2576" s="27">
        <v>8776.4975609756093</v>
      </c>
      <c r="K2576" s="29">
        <v>6.5057826650762332E-2</v>
      </c>
    </row>
    <row r="2577" spans="1:11" x14ac:dyDescent="0.25">
      <c r="A2577" s="5" t="s">
        <v>6</v>
      </c>
      <c r="B2577" s="5" t="s">
        <v>12807</v>
      </c>
      <c r="C2577" s="1" t="s">
        <v>12808</v>
      </c>
      <c r="D2577" s="5" t="s">
        <v>18073</v>
      </c>
      <c r="E2577" s="32">
        <v>2</v>
      </c>
      <c r="F2577" s="27">
        <v>1164</v>
      </c>
      <c r="I2577" s="27">
        <v>582</v>
      </c>
    </row>
    <row r="2578" spans="1:11" x14ac:dyDescent="0.25">
      <c r="A2578" s="5" t="s">
        <v>6</v>
      </c>
      <c r="B2578" s="5" t="s">
        <v>12810</v>
      </c>
      <c r="C2578" s="1" t="s">
        <v>12811</v>
      </c>
      <c r="D2578" s="5" t="s">
        <v>17110</v>
      </c>
      <c r="E2578" s="32">
        <v>2</v>
      </c>
      <c r="F2578" s="27">
        <v>1000</v>
      </c>
      <c r="G2578" s="32">
        <v>1</v>
      </c>
      <c r="H2578" s="27">
        <v>540</v>
      </c>
      <c r="I2578" s="27">
        <v>500</v>
      </c>
      <c r="J2578" s="27">
        <v>540</v>
      </c>
      <c r="K2578" s="29">
        <v>0.08</v>
      </c>
    </row>
    <row r="2579" spans="1:11" x14ac:dyDescent="0.25">
      <c r="A2579" s="5" t="s">
        <v>6</v>
      </c>
      <c r="B2579" s="5" t="s">
        <v>12813</v>
      </c>
      <c r="C2579" s="1" t="s">
        <v>12814</v>
      </c>
      <c r="D2579" s="5" t="s">
        <v>18073</v>
      </c>
      <c r="E2579" s="32">
        <v>2575</v>
      </c>
      <c r="F2579" s="27">
        <v>1851841</v>
      </c>
      <c r="G2579" s="32">
        <v>2799</v>
      </c>
      <c r="H2579" s="27">
        <v>2151453</v>
      </c>
      <c r="I2579" s="27">
        <v>719.16155339805823</v>
      </c>
      <c r="J2579" s="27">
        <v>768.6505894962487</v>
      </c>
      <c r="K2579" s="29">
        <v>6.8814907949894435E-2</v>
      </c>
    </row>
    <row r="2580" spans="1:11" x14ac:dyDescent="0.25">
      <c r="A2580" s="5" t="s">
        <v>6</v>
      </c>
      <c r="B2580" s="5" t="s">
        <v>12816</v>
      </c>
      <c r="C2580" s="1" t="s">
        <v>12817</v>
      </c>
      <c r="D2580" s="5" t="s">
        <v>17110</v>
      </c>
      <c r="E2580" s="32">
        <v>133939</v>
      </c>
      <c r="F2580" s="27">
        <v>84111515</v>
      </c>
      <c r="G2580" s="32">
        <v>122736</v>
      </c>
      <c r="H2580" s="27">
        <v>81964524</v>
      </c>
      <c r="I2580" s="27">
        <v>627.98374633228559</v>
      </c>
      <c r="J2580" s="27">
        <v>667.81159561986703</v>
      </c>
      <c r="K2580" s="29">
        <v>6.3421783637226975E-2</v>
      </c>
    </row>
    <row r="2581" spans="1:11" x14ac:dyDescent="0.25">
      <c r="A2581" s="5" t="s">
        <v>6</v>
      </c>
      <c r="B2581" s="5" t="s">
        <v>12819</v>
      </c>
      <c r="C2581" s="1" t="s">
        <v>12820</v>
      </c>
      <c r="D2581" s="5" t="s">
        <v>17060</v>
      </c>
      <c r="E2581" s="32">
        <v>11999</v>
      </c>
      <c r="F2581" s="27">
        <v>17934766</v>
      </c>
      <c r="G2581" s="32">
        <v>10765</v>
      </c>
      <c r="H2581" s="27">
        <v>17123672</v>
      </c>
      <c r="I2581" s="27">
        <v>1494.688390699225</v>
      </c>
      <c r="J2581" s="27">
        <v>1590.6801672085462</v>
      </c>
      <c r="K2581" s="29">
        <v>6.4221932214523741E-2</v>
      </c>
    </row>
    <row r="2582" spans="1:11" x14ac:dyDescent="0.25">
      <c r="A2582" s="5" t="s">
        <v>6</v>
      </c>
      <c r="B2582" s="5" t="s">
        <v>18074</v>
      </c>
      <c r="C2582" s="1" t="s">
        <v>18075</v>
      </c>
      <c r="D2582" s="5" t="s">
        <v>18076</v>
      </c>
      <c r="E2582" s="32">
        <v>8</v>
      </c>
      <c r="F2582" s="27">
        <v>12112</v>
      </c>
      <c r="G2582" s="32">
        <v>8</v>
      </c>
      <c r="H2582" s="27">
        <v>12717</v>
      </c>
      <c r="I2582" s="27">
        <v>1514</v>
      </c>
      <c r="J2582" s="27">
        <v>1589.625</v>
      </c>
      <c r="K2582" s="29">
        <v>4.9950462351387052E-2</v>
      </c>
    </row>
    <row r="2583" spans="1:11" x14ac:dyDescent="0.25">
      <c r="A2583" s="5" t="s">
        <v>6</v>
      </c>
      <c r="B2583" s="5" t="s">
        <v>12822</v>
      </c>
      <c r="C2583" s="1" t="s">
        <v>3937</v>
      </c>
      <c r="D2583" s="5" t="s">
        <v>17505</v>
      </c>
      <c r="E2583" s="32">
        <v>33</v>
      </c>
      <c r="F2583" s="27">
        <v>109317</v>
      </c>
      <c r="G2583" s="32">
        <v>55</v>
      </c>
      <c r="H2583" s="27">
        <v>196960</v>
      </c>
      <c r="I2583" s="27">
        <v>3312.6363636363635</v>
      </c>
      <c r="J2583" s="27">
        <v>3581.090909090909</v>
      </c>
      <c r="K2583" s="29">
        <v>8.1039545541864502E-2</v>
      </c>
    </row>
    <row r="2584" spans="1:11" x14ac:dyDescent="0.25">
      <c r="A2584" s="5" t="s">
        <v>6</v>
      </c>
      <c r="B2584" s="5" t="s">
        <v>12823</v>
      </c>
      <c r="C2584" s="1" t="s">
        <v>12824</v>
      </c>
      <c r="D2584" s="5" t="s">
        <v>17110</v>
      </c>
      <c r="E2584" s="32">
        <v>87</v>
      </c>
      <c r="F2584" s="27">
        <v>38295</v>
      </c>
      <c r="G2584" s="32">
        <v>60</v>
      </c>
      <c r="H2584" s="27">
        <v>28068</v>
      </c>
      <c r="I2584" s="27">
        <v>440.17241379310343</v>
      </c>
      <c r="J2584" s="27">
        <v>467.8</v>
      </c>
      <c r="K2584" s="29">
        <v>6.2765374069721963E-2</v>
      </c>
    </row>
    <row r="2585" spans="1:11" x14ac:dyDescent="0.25">
      <c r="A2585" s="5" t="s">
        <v>6</v>
      </c>
      <c r="B2585" s="5" t="s">
        <v>12826</v>
      </c>
      <c r="C2585" s="1" t="s">
        <v>12827</v>
      </c>
      <c r="D2585" s="5" t="s">
        <v>18077</v>
      </c>
      <c r="E2585" s="32">
        <v>70</v>
      </c>
      <c r="F2585" s="27">
        <v>17990</v>
      </c>
      <c r="G2585" s="32">
        <v>76</v>
      </c>
      <c r="H2585" s="27">
        <v>20663</v>
      </c>
      <c r="I2585" s="27">
        <v>257</v>
      </c>
      <c r="J2585" s="27">
        <v>271.88157894736844</v>
      </c>
      <c r="K2585" s="29">
        <v>5.7904976448904431E-2</v>
      </c>
    </row>
    <row r="2586" spans="1:11" x14ac:dyDescent="0.25">
      <c r="A2586" s="5" t="s">
        <v>6</v>
      </c>
      <c r="B2586" s="5" t="s">
        <v>12829</v>
      </c>
      <c r="C2586" s="1" t="s">
        <v>12830</v>
      </c>
      <c r="D2586" s="5" t="s">
        <v>18078</v>
      </c>
      <c r="E2586" s="32">
        <v>14</v>
      </c>
      <c r="F2586" s="27">
        <v>3619</v>
      </c>
      <c r="I2586" s="27">
        <v>258.5</v>
      </c>
    </row>
    <row r="2587" spans="1:11" x14ac:dyDescent="0.25">
      <c r="A2587" s="5" t="s">
        <v>6</v>
      </c>
      <c r="B2587" s="5" t="s">
        <v>12832</v>
      </c>
      <c r="C2587" s="1" t="s">
        <v>12833</v>
      </c>
      <c r="D2587" s="5" t="s">
        <v>17110</v>
      </c>
      <c r="E2587" s="32">
        <v>1</v>
      </c>
      <c r="F2587" s="27">
        <v>468</v>
      </c>
      <c r="I2587" s="27">
        <v>468</v>
      </c>
    </row>
    <row r="2588" spans="1:11" x14ac:dyDescent="0.25">
      <c r="A2588" s="5" t="s">
        <v>6</v>
      </c>
      <c r="B2588" s="5" t="s">
        <v>12837</v>
      </c>
      <c r="C2588" s="1" t="s">
        <v>12838</v>
      </c>
      <c r="D2588" s="5" t="s">
        <v>18079</v>
      </c>
      <c r="E2588" s="32">
        <v>36</v>
      </c>
      <c r="F2588" s="27">
        <v>299867</v>
      </c>
      <c r="G2588" s="32">
        <v>38</v>
      </c>
      <c r="H2588" s="27">
        <v>335260</v>
      </c>
      <c r="I2588" s="27">
        <v>8329.6388888888887</v>
      </c>
      <c r="J2588" s="27">
        <v>8822.6315789473683</v>
      </c>
      <c r="K2588" s="29">
        <v>5.9185361650682694E-2</v>
      </c>
    </row>
    <row r="2589" spans="1:11" x14ac:dyDescent="0.25">
      <c r="A2589" s="5" t="s">
        <v>6</v>
      </c>
      <c r="B2589" s="5" t="s">
        <v>12839</v>
      </c>
      <c r="C2589" s="1" t="s">
        <v>12840</v>
      </c>
      <c r="D2589" s="5" t="s">
        <v>18080</v>
      </c>
      <c r="E2589" s="32">
        <v>750</v>
      </c>
      <c r="F2589" s="27">
        <v>9552272</v>
      </c>
      <c r="G2589" s="32">
        <v>784</v>
      </c>
      <c r="H2589" s="27">
        <v>10646856</v>
      </c>
      <c r="I2589" s="27">
        <v>12736.362666666666</v>
      </c>
      <c r="J2589" s="27">
        <v>13580.173469387755</v>
      </c>
      <c r="K2589" s="29">
        <v>6.6252102331342419E-2</v>
      </c>
    </row>
    <row r="2590" spans="1:11" x14ac:dyDescent="0.25">
      <c r="A2590" s="5" t="s">
        <v>6</v>
      </c>
      <c r="B2590" s="5" t="s">
        <v>12842</v>
      </c>
      <c r="C2590" s="1" t="s">
        <v>12843</v>
      </c>
      <c r="D2590" s="5" t="s">
        <v>18081</v>
      </c>
      <c r="E2590" s="32">
        <v>4853</v>
      </c>
      <c r="F2590" s="27">
        <v>52583490</v>
      </c>
      <c r="G2590" s="32">
        <v>4760</v>
      </c>
      <c r="H2590" s="27">
        <v>54733567</v>
      </c>
      <c r="I2590" s="27">
        <v>10835.254481763857</v>
      </c>
      <c r="J2590" s="27">
        <v>11498.648529411765</v>
      </c>
      <c r="K2590" s="29">
        <v>6.1225516093269858E-2</v>
      </c>
    </row>
    <row r="2591" spans="1:11" x14ac:dyDescent="0.25">
      <c r="A2591" s="5" t="s">
        <v>6</v>
      </c>
      <c r="B2591" s="5" t="s">
        <v>12845</v>
      </c>
      <c r="C2591" s="1" t="s">
        <v>12846</v>
      </c>
      <c r="E2591" s="32">
        <v>18</v>
      </c>
      <c r="F2591" s="27">
        <v>39978</v>
      </c>
      <c r="G2591" s="32">
        <v>89</v>
      </c>
      <c r="H2591" s="27">
        <v>210485</v>
      </c>
      <c r="I2591" s="27">
        <v>2221</v>
      </c>
      <c r="J2591" s="27">
        <v>2365</v>
      </c>
      <c r="K2591" s="29">
        <v>6.4835659612787033E-2</v>
      </c>
    </row>
    <row r="2592" spans="1:11" x14ac:dyDescent="0.25">
      <c r="A2592" s="5" t="s">
        <v>6</v>
      </c>
      <c r="B2592" s="5" t="s">
        <v>12848</v>
      </c>
      <c r="C2592" s="1" t="s">
        <v>12849</v>
      </c>
      <c r="E2592" s="32">
        <v>6</v>
      </c>
      <c r="F2592" s="27">
        <v>14429</v>
      </c>
      <c r="G2592" s="32">
        <v>17</v>
      </c>
      <c r="H2592" s="27">
        <v>44744</v>
      </c>
      <c r="I2592" s="27">
        <v>2404.8333333333335</v>
      </c>
      <c r="J2592" s="27">
        <v>2632</v>
      </c>
      <c r="K2592" s="29">
        <v>9.4462540716612309E-2</v>
      </c>
    </row>
    <row r="2593" spans="1:11" x14ac:dyDescent="0.25">
      <c r="A2593" s="5" t="s">
        <v>6</v>
      </c>
      <c r="B2593" s="5" t="s">
        <v>12854</v>
      </c>
      <c r="C2593" s="1" t="s">
        <v>12855</v>
      </c>
      <c r="E2593" s="32">
        <v>6</v>
      </c>
      <c r="F2593" s="27">
        <v>12876</v>
      </c>
      <c r="G2593" s="32">
        <v>15</v>
      </c>
      <c r="H2593" s="27">
        <v>34770</v>
      </c>
      <c r="I2593" s="27">
        <v>2146</v>
      </c>
      <c r="J2593" s="27">
        <v>2318</v>
      </c>
      <c r="K2593" s="29">
        <v>8.0149114631873256E-2</v>
      </c>
    </row>
    <row r="2594" spans="1:11" x14ac:dyDescent="0.25">
      <c r="A2594" s="5" t="s">
        <v>6</v>
      </c>
      <c r="B2594" s="5" t="s">
        <v>12857</v>
      </c>
      <c r="C2594" s="1" t="s">
        <v>12858</v>
      </c>
      <c r="D2594" s="5" t="s">
        <v>18082</v>
      </c>
      <c r="E2594" s="32">
        <v>9775</v>
      </c>
      <c r="F2594" s="27">
        <v>5064171</v>
      </c>
      <c r="G2594" s="32">
        <v>8516</v>
      </c>
      <c r="H2594" s="27">
        <v>4696482</v>
      </c>
      <c r="I2594" s="27">
        <v>518.07375959079286</v>
      </c>
      <c r="J2594" s="27">
        <v>551.48919680601216</v>
      </c>
      <c r="K2594" s="29">
        <v>6.4499381789984711E-2</v>
      </c>
    </row>
    <row r="2595" spans="1:11" x14ac:dyDescent="0.25">
      <c r="A2595" s="5" t="s">
        <v>6</v>
      </c>
      <c r="B2595" s="5" t="s">
        <v>12862</v>
      </c>
      <c r="C2595" s="1" t="s">
        <v>12863</v>
      </c>
      <c r="D2595" s="5" t="s">
        <v>18083</v>
      </c>
      <c r="E2595" s="32">
        <v>1</v>
      </c>
      <c r="F2595" s="27">
        <v>1528</v>
      </c>
      <c r="I2595" s="27">
        <v>1528</v>
      </c>
    </row>
    <row r="2596" spans="1:11" x14ac:dyDescent="0.25">
      <c r="A2596" s="5" t="s">
        <v>6</v>
      </c>
      <c r="B2596" s="5" t="s">
        <v>12865</v>
      </c>
      <c r="C2596" s="1" t="s">
        <v>12866</v>
      </c>
      <c r="D2596" s="5" t="s">
        <v>18079</v>
      </c>
      <c r="E2596" s="32">
        <v>499</v>
      </c>
      <c r="F2596" s="27">
        <v>4114094</v>
      </c>
      <c r="G2596" s="32">
        <v>565</v>
      </c>
      <c r="H2596" s="27">
        <v>4969124</v>
      </c>
      <c r="I2596" s="27">
        <v>8244.6773547094181</v>
      </c>
      <c r="J2596" s="27">
        <v>8794.9097345132741</v>
      </c>
      <c r="K2596" s="29">
        <v>6.6737891142527164E-2</v>
      </c>
    </row>
    <row r="2597" spans="1:11" x14ac:dyDescent="0.25">
      <c r="A2597" s="5" t="s">
        <v>6</v>
      </c>
      <c r="B2597" s="5" t="s">
        <v>12868</v>
      </c>
      <c r="C2597" s="1" t="s">
        <v>12869</v>
      </c>
      <c r="D2597" s="5" t="s">
        <v>18073</v>
      </c>
      <c r="E2597" s="32">
        <v>1</v>
      </c>
      <c r="F2597" s="27">
        <v>728</v>
      </c>
      <c r="I2597" s="27">
        <v>728</v>
      </c>
    </row>
    <row r="2598" spans="1:11" x14ac:dyDescent="0.25">
      <c r="A2598" s="5" t="s">
        <v>6</v>
      </c>
      <c r="B2598" s="5" t="s">
        <v>12871</v>
      </c>
      <c r="C2598" s="1" t="s">
        <v>12872</v>
      </c>
      <c r="D2598" s="5" t="s">
        <v>17110</v>
      </c>
      <c r="E2598" s="32">
        <v>27</v>
      </c>
      <c r="F2598" s="27">
        <v>12015</v>
      </c>
      <c r="I2598" s="27">
        <v>445</v>
      </c>
    </row>
    <row r="2599" spans="1:11" x14ac:dyDescent="0.25">
      <c r="A2599" s="5" t="s">
        <v>6</v>
      </c>
      <c r="B2599" s="5" t="s">
        <v>12873</v>
      </c>
      <c r="C2599" s="1" t="s">
        <v>12874</v>
      </c>
      <c r="D2599" s="5" t="s">
        <v>18084</v>
      </c>
      <c r="E2599" s="32">
        <v>2184</v>
      </c>
      <c r="F2599" s="27">
        <v>553108</v>
      </c>
      <c r="G2599" s="32">
        <v>799</v>
      </c>
      <c r="H2599" s="27">
        <v>216326</v>
      </c>
      <c r="I2599" s="27">
        <v>253.25457875457874</v>
      </c>
      <c r="J2599" s="27">
        <v>270.74593241551941</v>
      </c>
      <c r="K2599" s="29">
        <v>6.9066287950082808E-2</v>
      </c>
    </row>
    <row r="2600" spans="1:11" x14ac:dyDescent="0.25">
      <c r="A2600" s="5" t="s">
        <v>6</v>
      </c>
      <c r="B2600" s="5" t="s">
        <v>12878</v>
      </c>
      <c r="C2600" s="1" t="s">
        <v>12879</v>
      </c>
      <c r="D2600" s="5" t="s">
        <v>18085</v>
      </c>
      <c r="E2600" s="32">
        <v>256</v>
      </c>
      <c r="F2600" s="27">
        <v>511072</v>
      </c>
      <c r="G2600" s="32">
        <v>164</v>
      </c>
      <c r="H2600" s="27">
        <v>343507</v>
      </c>
      <c r="I2600" s="27">
        <v>1996.375</v>
      </c>
      <c r="J2600" s="27">
        <v>2094.5548780487807</v>
      </c>
      <c r="K2600" s="29">
        <v>4.9179076099821258E-2</v>
      </c>
    </row>
    <row r="2601" spans="1:11" x14ac:dyDescent="0.25">
      <c r="A2601" s="5" t="s">
        <v>6</v>
      </c>
      <c r="B2601" s="5" t="s">
        <v>12881</v>
      </c>
      <c r="C2601" s="1" t="s">
        <v>12882</v>
      </c>
      <c r="D2601" s="5" t="s">
        <v>18086</v>
      </c>
      <c r="E2601" s="32">
        <v>215</v>
      </c>
      <c r="F2601" s="27">
        <v>395337</v>
      </c>
      <c r="G2601" s="32">
        <v>65</v>
      </c>
      <c r="H2601" s="27">
        <v>125229</v>
      </c>
      <c r="I2601" s="27">
        <v>1838.7767441860465</v>
      </c>
      <c r="J2601" s="27">
        <v>1926.6</v>
      </c>
      <c r="K2601" s="29">
        <v>4.7761782985149354E-2</v>
      </c>
    </row>
    <row r="2602" spans="1:11" x14ac:dyDescent="0.25">
      <c r="A2602" s="5" t="s">
        <v>6</v>
      </c>
      <c r="B2602" s="5" t="s">
        <v>12884</v>
      </c>
      <c r="C2602" s="1" t="s">
        <v>12885</v>
      </c>
      <c r="D2602" s="5" t="s">
        <v>18072</v>
      </c>
      <c r="E2602" s="32">
        <v>68</v>
      </c>
      <c r="F2602" s="27">
        <v>559732</v>
      </c>
      <c r="G2602" s="32">
        <v>111</v>
      </c>
      <c r="H2602" s="27">
        <v>977396</v>
      </c>
      <c r="I2602" s="27">
        <v>8231.3529411764703</v>
      </c>
      <c r="J2602" s="27">
        <v>8805.3693693693695</v>
      </c>
      <c r="K2602" s="29">
        <v>6.9735368206779572E-2</v>
      </c>
    </row>
    <row r="2603" spans="1:11" x14ac:dyDescent="0.25">
      <c r="A2603" s="5" t="s">
        <v>6</v>
      </c>
      <c r="B2603" s="5" t="s">
        <v>12887</v>
      </c>
      <c r="C2603" s="1" t="s">
        <v>12888</v>
      </c>
      <c r="D2603" s="5" t="s">
        <v>18072</v>
      </c>
      <c r="E2603" s="32">
        <v>201</v>
      </c>
      <c r="F2603" s="27">
        <v>1658118</v>
      </c>
      <c r="G2603" s="32">
        <v>264</v>
      </c>
      <c r="H2603" s="27">
        <v>2340144</v>
      </c>
      <c r="I2603" s="27">
        <v>8249.3432835820895</v>
      </c>
      <c r="J2603" s="27">
        <v>8864.181818181818</v>
      </c>
      <c r="K2603" s="29">
        <v>7.4531815862649967E-2</v>
      </c>
    </row>
    <row r="2604" spans="1:11" x14ac:dyDescent="0.25">
      <c r="A2604" s="5" t="s">
        <v>6</v>
      </c>
      <c r="B2604" s="5" t="s">
        <v>12890</v>
      </c>
      <c r="C2604" s="1" t="s">
        <v>12891</v>
      </c>
      <c r="D2604" s="5" t="s">
        <v>18079</v>
      </c>
      <c r="E2604" s="32">
        <v>54</v>
      </c>
      <c r="F2604" s="27">
        <v>450792</v>
      </c>
      <c r="G2604" s="32">
        <v>74</v>
      </c>
      <c r="H2604" s="27">
        <v>653824</v>
      </c>
      <c r="I2604" s="27">
        <v>8348</v>
      </c>
      <c r="J2604" s="27">
        <v>8835.45945945946</v>
      </c>
      <c r="K2604" s="29">
        <v>5.8392364573485872E-2</v>
      </c>
    </row>
    <row r="2605" spans="1:11" x14ac:dyDescent="0.25">
      <c r="A2605" s="5" t="s">
        <v>6</v>
      </c>
      <c r="B2605" s="5" t="s">
        <v>12893</v>
      </c>
      <c r="C2605" s="1" t="s">
        <v>12894</v>
      </c>
      <c r="D2605" s="5" t="s">
        <v>18079</v>
      </c>
      <c r="E2605" s="32">
        <v>1387</v>
      </c>
      <c r="F2605" s="27">
        <v>11431273</v>
      </c>
      <c r="G2605" s="32">
        <v>1693</v>
      </c>
      <c r="H2605" s="27">
        <v>14862620</v>
      </c>
      <c r="I2605" s="27">
        <v>8241.7253064167271</v>
      </c>
      <c r="J2605" s="27">
        <v>8778.8659184878907</v>
      </c>
      <c r="K2605" s="29">
        <v>6.5173321373980297E-2</v>
      </c>
    </row>
    <row r="2606" spans="1:11" x14ac:dyDescent="0.25">
      <c r="A2606" s="5" t="s">
        <v>6</v>
      </c>
      <c r="B2606" s="5" t="s">
        <v>12899</v>
      </c>
      <c r="C2606" s="1" t="s">
        <v>12900</v>
      </c>
      <c r="D2606" s="5" t="s">
        <v>18087</v>
      </c>
      <c r="E2606" s="32">
        <v>81</v>
      </c>
      <c r="F2606" s="27">
        <v>37096</v>
      </c>
      <c r="G2606" s="32">
        <v>158</v>
      </c>
      <c r="H2606" s="27">
        <v>77520</v>
      </c>
      <c r="I2606" s="27">
        <v>457.97530864197529</v>
      </c>
      <c r="J2606" s="27">
        <v>490.63291139240505</v>
      </c>
      <c r="K2606" s="29">
        <v>7.1308653838279348E-2</v>
      </c>
    </row>
    <row r="2607" spans="1:11" x14ac:dyDescent="0.25">
      <c r="A2607" s="5" t="s">
        <v>6</v>
      </c>
      <c r="B2607" s="5" t="s">
        <v>12902</v>
      </c>
      <c r="C2607" s="1" t="s">
        <v>12903</v>
      </c>
      <c r="D2607" s="5" t="s">
        <v>18088</v>
      </c>
      <c r="E2607" s="32">
        <v>4557</v>
      </c>
      <c r="F2607" s="27">
        <v>2088357</v>
      </c>
      <c r="G2607" s="32">
        <v>7456</v>
      </c>
      <c r="H2607" s="27">
        <v>3620034</v>
      </c>
      <c r="I2607" s="27">
        <v>458.27452271231073</v>
      </c>
      <c r="J2607" s="27">
        <v>485.5195815450644</v>
      </c>
      <c r="K2607" s="29">
        <v>5.9451393176960875E-2</v>
      </c>
    </row>
    <row r="2608" spans="1:11" x14ac:dyDescent="0.25">
      <c r="A2608" s="5" t="s">
        <v>6</v>
      </c>
      <c r="B2608" s="5" t="s">
        <v>12913</v>
      </c>
      <c r="C2608" s="1" t="s">
        <v>12914</v>
      </c>
      <c r="D2608" s="5" t="s">
        <v>18089</v>
      </c>
      <c r="E2608" s="32">
        <v>1</v>
      </c>
      <c r="F2608" s="27">
        <v>232</v>
      </c>
      <c r="I2608" s="27">
        <v>232</v>
      </c>
    </row>
    <row r="2609" spans="1:11" x14ac:dyDescent="0.25">
      <c r="A2609" s="5" t="s">
        <v>6</v>
      </c>
      <c r="B2609" s="5" t="s">
        <v>12916</v>
      </c>
      <c r="C2609" s="1" t="s">
        <v>12917</v>
      </c>
      <c r="D2609" s="5" t="s">
        <v>18090</v>
      </c>
      <c r="E2609" s="32">
        <v>213</v>
      </c>
      <c r="F2609" s="27">
        <v>212276</v>
      </c>
      <c r="G2609" s="32">
        <v>220</v>
      </c>
      <c r="H2609" s="27">
        <v>236329</v>
      </c>
      <c r="I2609" s="27">
        <v>996.60093896713613</v>
      </c>
      <c r="J2609" s="27">
        <v>1074.2227272727273</v>
      </c>
      <c r="K2609" s="29">
        <v>7.788652937256646E-2</v>
      </c>
    </row>
    <row r="2610" spans="1:11" x14ac:dyDescent="0.25">
      <c r="A2610" s="5" t="s">
        <v>6</v>
      </c>
      <c r="B2610" s="5" t="s">
        <v>12919</v>
      </c>
      <c r="C2610" s="1" t="s">
        <v>12920</v>
      </c>
      <c r="D2610" s="5" t="s">
        <v>18090</v>
      </c>
      <c r="E2610" s="32">
        <v>32</v>
      </c>
      <c r="F2610" s="27">
        <v>31184</v>
      </c>
      <c r="G2610" s="32">
        <v>38</v>
      </c>
      <c r="H2610" s="27">
        <v>40400</v>
      </c>
      <c r="I2610" s="27">
        <v>974.5</v>
      </c>
      <c r="J2610" s="27">
        <v>1063.1578947368421</v>
      </c>
      <c r="K2610" s="29">
        <v>9.0977829386189923E-2</v>
      </c>
    </row>
    <row r="2611" spans="1:11" x14ac:dyDescent="0.25">
      <c r="A2611" s="5" t="s">
        <v>6</v>
      </c>
      <c r="B2611" s="5" t="s">
        <v>12921</v>
      </c>
      <c r="C2611" s="1" t="s">
        <v>12922</v>
      </c>
      <c r="D2611" s="5" t="s">
        <v>18091</v>
      </c>
      <c r="E2611" s="32">
        <v>21</v>
      </c>
      <c r="F2611" s="27">
        <v>54085</v>
      </c>
      <c r="G2611" s="32">
        <v>41</v>
      </c>
      <c r="H2611" s="27">
        <v>113295</v>
      </c>
      <c r="I2611" s="27">
        <v>2575.4761904761904</v>
      </c>
      <c r="J2611" s="27">
        <v>2763.2926829268295</v>
      </c>
      <c r="K2611" s="29">
        <v>7.2924957778744956E-2</v>
      </c>
    </row>
    <row r="2612" spans="1:11" x14ac:dyDescent="0.25">
      <c r="A2612" s="5" t="s">
        <v>6</v>
      </c>
      <c r="B2612" s="5" t="s">
        <v>12923</v>
      </c>
      <c r="C2612" s="1" t="s">
        <v>12924</v>
      </c>
      <c r="D2612" s="5" t="s">
        <v>18091</v>
      </c>
      <c r="E2612" s="32">
        <v>427</v>
      </c>
      <c r="F2612" s="27">
        <v>1101739</v>
      </c>
      <c r="G2612" s="32">
        <v>732</v>
      </c>
      <c r="H2612" s="27">
        <v>2031750</v>
      </c>
      <c r="I2612" s="27">
        <v>2580.1850117096019</v>
      </c>
      <c r="J2612" s="27">
        <v>2775.6147540983607</v>
      </c>
      <c r="K2612" s="29">
        <v>7.5742530671964944E-2</v>
      </c>
    </row>
    <row r="2613" spans="1:11" x14ac:dyDescent="0.25">
      <c r="A2613" s="5" t="s">
        <v>6</v>
      </c>
      <c r="B2613" s="5" t="s">
        <v>12925</v>
      </c>
      <c r="C2613" s="1" t="s">
        <v>12926</v>
      </c>
      <c r="D2613" s="5" t="s">
        <v>18092</v>
      </c>
      <c r="E2613" s="32">
        <v>3808</v>
      </c>
      <c r="F2613" s="27">
        <v>5962754</v>
      </c>
      <c r="G2613" s="32">
        <v>3837</v>
      </c>
      <c r="H2613" s="27">
        <v>6393076</v>
      </c>
      <c r="I2613" s="27">
        <v>1565.8492647058824</v>
      </c>
      <c r="J2613" s="27">
        <v>1666.1652332551473</v>
      </c>
      <c r="K2613" s="29">
        <v>6.4064894885081727E-2</v>
      </c>
    </row>
    <row r="2614" spans="1:11" x14ac:dyDescent="0.25">
      <c r="A2614" s="5" t="s">
        <v>6</v>
      </c>
      <c r="B2614" s="5" t="s">
        <v>12927</v>
      </c>
      <c r="C2614" s="1" t="s">
        <v>12928</v>
      </c>
      <c r="E2614" s="32">
        <v>23</v>
      </c>
      <c r="F2614" s="27">
        <v>97705</v>
      </c>
      <c r="G2614" s="32">
        <v>19</v>
      </c>
      <c r="H2614" s="27">
        <v>91257</v>
      </c>
      <c r="I2614" s="27">
        <v>4248.04347826087</v>
      </c>
      <c r="J2614" s="27">
        <v>4803</v>
      </c>
      <c r="K2614" s="29">
        <v>0.13063814543779734</v>
      </c>
    </row>
    <row r="2615" spans="1:11" x14ac:dyDescent="0.25">
      <c r="A2615" s="5" t="s">
        <v>6</v>
      </c>
      <c r="B2615" s="5" t="s">
        <v>12930</v>
      </c>
      <c r="C2615" s="1" t="s">
        <v>4481</v>
      </c>
      <c r="E2615" s="32">
        <v>2</v>
      </c>
      <c r="F2615" s="27">
        <v>1344</v>
      </c>
      <c r="I2615" s="27">
        <v>672</v>
      </c>
    </row>
    <row r="2616" spans="1:11" x14ac:dyDescent="0.25">
      <c r="A2616" s="5" t="s">
        <v>6</v>
      </c>
      <c r="B2616" s="5" t="s">
        <v>12931</v>
      </c>
      <c r="C2616" s="1" t="s">
        <v>12932</v>
      </c>
      <c r="D2616" s="5" t="s">
        <v>18091</v>
      </c>
      <c r="E2616" s="32">
        <v>316</v>
      </c>
      <c r="F2616" s="27">
        <v>821596</v>
      </c>
      <c r="G2616" s="32">
        <v>213</v>
      </c>
      <c r="H2616" s="27">
        <v>589365</v>
      </c>
      <c r="I2616" s="27">
        <v>2599.9873417721519</v>
      </c>
      <c r="J2616" s="27">
        <v>2766.9718309859154</v>
      </c>
      <c r="K2616" s="29">
        <v>6.4225116226891629E-2</v>
      </c>
    </row>
    <row r="2617" spans="1:11" x14ac:dyDescent="0.25">
      <c r="A2617" s="5" t="s">
        <v>6</v>
      </c>
      <c r="B2617" s="5" t="s">
        <v>13008</v>
      </c>
      <c r="C2617" s="1" t="s">
        <v>13009</v>
      </c>
      <c r="D2617" s="5" t="s">
        <v>18093</v>
      </c>
      <c r="E2617" s="32">
        <v>1</v>
      </c>
      <c r="F2617" s="27">
        <v>202</v>
      </c>
      <c r="I2617" s="27">
        <v>202</v>
      </c>
    </row>
    <row r="2618" spans="1:11" x14ac:dyDescent="0.25">
      <c r="A2618" s="5" t="s">
        <v>6</v>
      </c>
      <c r="B2618" s="5" t="s">
        <v>13011</v>
      </c>
      <c r="C2618" s="1" t="s">
        <v>13012</v>
      </c>
      <c r="D2618" s="5" t="s">
        <v>17172</v>
      </c>
      <c r="E2618" s="32">
        <v>1280</v>
      </c>
      <c r="F2618" s="27">
        <v>1289449</v>
      </c>
      <c r="G2618" s="32">
        <v>1149</v>
      </c>
      <c r="H2618" s="27">
        <v>1237992</v>
      </c>
      <c r="I2618" s="27">
        <v>1007.38203125</v>
      </c>
      <c r="J2618" s="27">
        <v>1077.4516971279375</v>
      </c>
      <c r="K2618" s="29">
        <v>6.9556199837108715E-2</v>
      </c>
    </row>
    <row r="2619" spans="1:11" x14ac:dyDescent="0.25">
      <c r="A2619" s="5" t="s">
        <v>6</v>
      </c>
      <c r="B2619" s="5" t="s">
        <v>13014</v>
      </c>
      <c r="C2619" s="1" t="s">
        <v>13015</v>
      </c>
      <c r="D2619" s="5" t="s">
        <v>18094</v>
      </c>
      <c r="E2619" s="32">
        <v>2488</v>
      </c>
      <c r="F2619" s="27">
        <v>2397950</v>
      </c>
      <c r="G2619" s="32">
        <v>2934</v>
      </c>
      <c r="H2619" s="27">
        <v>3021222</v>
      </c>
      <c r="I2619" s="27">
        <v>963.80627009646298</v>
      </c>
      <c r="J2619" s="27">
        <v>1029.7280163599182</v>
      </c>
      <c r="K2619" s="29">
        <v>6.8397299653235752E-2</v>
      </c>
    </row>
    <row r="2620" spans="1:11" x14ac:dyDescent="0.25">
      <c r="A2620" s="5" t="s">
        <v>6</v>
      </c>
      <c r="B2620" s="5" t="s">
        <v>13017</v>
      </c>
      <c r="C2620" s="1" t="s">
        <v>13018</v>
      </c>
      <c r="D2620" s="5" t="s">
        <v>18095</v>
      </c>
      <c r="E2620" s="32">
        <v>72</v>
      </c>
      <c r="F2620" s="27">
        <v>69579</v>
      </c>
      <c r="G2620" s="32">
        <v>173</v>
      </c>
      <c r="H2620" s="27">
        <v>177584</v>
      </c>
      <c r="I2620" s="27">
        <v>966.375</v>
      </c>
      <c r="J2620" s="27">
        <v>1026.4971098265896</v>
      </c>
      <c r="K2620" s="29">
        <v>6.2214057510376015E-2</v>
      </c>
    </row>
    <row r="2621" spans="1:11" x14ac:dyDescent="0.25">
      <c r="A2621" s="5" t="s">
        <v>6</v>
      </c>
      <c r="B2621" s="5" t="s">
        <v>13020</v>
      </c>
      <c r="C2621" s="1" t="s">
        <v>13021</v>
      </c>
      <c r="D2621" s="5" t="s">
        <v>18096</v>
      </c>
      <c r="E2621" s="32">
        <v>152</v>
      </c>
      <c r="F2621" s="27">
        <v>47963</v>
      </c>
      <c r="G2621" s="32">
        <v>184</v>
      </c>
      <c r="H2621" s="27">
        <v>62284</v>
      </c>
      <c r="I2621" s="27">
        <v>315.54605263157896</v>
      </c>
      <c r="J2621" s="27">
        <v>338.5</v>
      </c>
      <c r="K2621" s="29">
        <v>7.2743573170985926E-2</v>
      </c>
    </row>
    <row r="2622" spans="1:11" x14ac:dyDescent="0.25">
      <c r="A2622" s="5" t="s">
        <v>6</v>
      </c>
      <c r="B2622" s="5" t="s">
        <v>13031</v>
      </c>
      <c r="C2622" s="1" t="s">
        <v>13032</v>
      </c>
      <c r="D2622" s="5" t="s">
        <v>17116</v>
      </c>
      <c r="E2622" s="32">
        <v>4430</v>
      </c>
      <c r="F2622" s="27">
        <v>1398125</v>
      </c>
      <c r="G2622" s="32">
        <v>3322</v>
      </c>
      <c r="H2622" s="27">
        <v>1120370</v>
      </c>
      <c r="I2622" s="27">
        <v>315.60383747178332</v>
      </c>
      <c r="J2622" s="27">
        <v>337.25767609873571</v>
      </c>
      <c r="K2622" s="29">
        <v>6.8610821720088755E-2</v>
      </c>
    </row>
    <row r="2623" spans="1:11" x14ac:dyDescent="0.25">
      <c r="A2623" s="5" t="s">
        <v>6</v>
      </c>
      <c r="B2623" s="5" t="s">
        <v>13037</v>
      </c>
      <c r="C2623" s="1" t="s">
        <v>13038</v>
      </c>
      <c r="D2623" s="5" t="s">
        <v>18097</v>
      </c>
      <c r="E2623" s="32">
        <v>1016</v>
      </c>
      <c r="F2623" s="27">
        <v>331354</v>
      </c>
      <c r="G2623" s="32">
        <v>495</v>
      </c>
      <c r="H2623" s="27">
        <v>171696</v>
      </c>
      <c r="I2623" s="27">
        <v>326.13582677165357</v>
      </c>
      <c r="J2623" s="27">
        <v>346.86060606060607</v>
      </c>
      <c r="K2623" s="29">
        <v>6.3546466188957262E-2</v>
      </c>
    </row>
    <row r="2624" spans="1:11" x14ac:dyDescent="0.25">
      <c r="A2624" s="5" t="s">
        <v>6</v>
      </c>
      <c r="B2624" s="5" t="s">
        <v>13040</v>
      </c>
      <c r="C2624" s="1" t="s">
        <v>13041</v>
      </c>
      <c r="D2624" s="5" t="s">
        <v>18097</v>
      </c>
      <c r="E2624" s="32">
        <v>232</v>
      </c>
      <c r="F2624" s="27">
        <v>75182</v>
      </c>
      <c r="G2624" s="32">
        <v>25</v>
      </c>
      <c r="H2624" s="27">
        <v>8406</v>
      </c>
      <c r="I2624" s="27">
        <v>324.06034482758622</v>
      </c>
      <c r="J2624" s="27">
        <v>336.24</v>
      </c>
      <c r="K2624" s="29">
        <v>3.7584528211539979E-2</v>
      </c>
    </row>
    <row r="2625" spans="1:11" x14ac:dyDescent="0.25">
      <c r="A2625" s="5" t="s">
        <v>6</v>
      </c>
      <c r="B2625" s="5" t="s">
        <v>13046</v>
      </c>
      <c r="C2625" s="1" t="s">
        <v>13047</v>
      </c>
      <c r="D2625" s="5" t="s">
        <v>18098</v>
      </c>
      <c r="E2625" s="32">
        <v>3076</v>
      </c>
      <c r="F2625" s="27">
        <v>1293528</v>
      </c>
      <c r="G2625" s="32">
        <v>8824</v>
      </c>
      <c r="H2625" s="27">
        <v>4007038</v>
      </c>
      <c r="I2625" s="27">
        <v>420.52275682704811</v>
      </c>
      <c r="J2625" s="27">
        <v>454.10675430643698</v>
      </c>
      <c r="K2625" s="29">
        <v>7.9862497175631431E-2</v>
      </c>
    </row>
    <row r="2626" spans="1:11" x14ac:dyDescent="0.25">
      <c r="A2626" s="5" t="s">
        <v>6</v>
      </c>
      <c r="B2626" s="5" t="s">
        <v>13049</v>
      </c>
      <c r="C2626" s="1" t="s">
        <v>13050</v>
      </c>
      <c r="D2626" s="5" t="s">
        <v>18098</v>
      </c>
      <c r="E2626" s="32">
        <v>773</v>
      </c>
      <c r="F2626" s="27">
        <v>322863</v>
      </c>
      <c r="G2626" s="32">
        <v>338</v>
      </c>
      <c r="H2626" s="27">
        <v>152622</v>
      </c>
      <c r="I2626" s="27">
        <v>417.67529107373866</v>
      </c>
      <c r="J2626" s="27">
        <v>451.54437869822488</v>
      </c>
      <c r="K2626" s="29">
        <v>8.1089517020308435E-2</v>
      </c>
    </row>
    <row r="2627" spans="1:11" x14ac:dyDescent="0.25">
      <c r="A2627" s="5" t="s">
        <v>6</v>
      </c>
      <c r="B2627" s="5" t="s">
        <v>13074</v>
      </c>
      <c r="C2627" s="1" t="s">
        <v>13075</v>
      </c>
      <c r="D2627" s="5" t="s">
        <v>17114</v>
      </c>
      <c r="E2627" s="32">
        <v>4375</v>
      </c>
      <c r="F2627" s="27">
        <v>1151934</v>
      </c>
      <c r="G2627" s="32">
        <v>1515</v>
      </c>
      <c r="H2627" s="27">
        <v>419898</v>
      </c>
      <c r="I2627" s="27">
        <v>263.29919999999998</v>
      </c>
      <c r="J2627" s="27">
        <v>277.16039603960394</v>
      </c>
      <c r="K2627" s="29">
        <v>5.264427707947443E-2</v>
      </c>
    </row>
    <row r="2628" spans="1:11" x14ac:dyDescent="0.25">
      <c r="A2628" s="5" t="s">
        <v>6</v>
      </c>
      <c r="B2628" s="5" t="s">
        <v>13077</v>
      </c>
      <c r="C2628" s="1" t="s">
        <v>13078</v>
      </c>
      <c r="D2628" s="5" t="s">
        <v>17114</v>
      </c>
      <c r="E2628" s="32">
        <v>244</v>
      </c>
      <c r="F2628" s="27">
        <v>47220</v>
      </c>
      <c r="G2628" s="32">
        <v>31</v>
      </c>
      <c r="H2628" s="27">
        <v>6299</v>
      </c>
      <c r="I2628" s="27">
        <v>193.52459016393442</v>
      </c>
      <c r="J2628" s="27">
        <v>203.19354838709677</v>
      </c>
      <c r="K2628" s="29">
        <v>4.9962427074367072E-2</v>
      </c>
    </row>
    <row r="2629" spans="1:11" x14ac:dyDescent="0.25">
      <c r="A2629" s="5" t="s">
        <v>6</v>
      </c>
      <c r="B2629" s="5" t="s">
        <v>13080</v>
      </c>
      <c r="C2629" s="1" t="s">
        <v>13081</v>
      </c>
      <c r="D2629" s="5" t="s">
        <v>18099</v>
      </c>
      <c r="E2629" s="32">
        <v>103</v>
      </c>
      <c r="F2629" s="27">
        <v>18985</v>
      </c>
      <c r="G2629" s="32">
        <v>63</v>
      </c>
      <c r="H2629" s="27">
        <v>12675</v>
      </c>
      <c r="I2629" s="27">
        <v>184.32038834951456</v>
      </c>
      <c r="J2629" s="27">
        <v>201.1904761904762</v>
      </c>
      <c r="K2629" s="29">
        <v>9.1525891367871981E-2</v>
      </c>
    </row>
    <row r="2630" spans="1:11" x14ac:dyDescent="0.25">
      <c r="A2630" s="5" t="s">
        <v>6</v>
      </c>
      <c r="B2630" s="5" t="s">
        <v>13185</v>
      </c>
      <c r="C2630" s="1" t="s">
        <v>13186</v>
      </c>
      <c r="D2630" s="5" t="s">
        <v>18100</v>
      </c>
      <c r="E2630" s="32">
        <v>1177</v>
      </c>
      <c r="F2630" s="27">
        <v>642422</v>
      </c>
      <c r="G2630" s="32">
        <v>769</v>
      </c>
      <c r="H2630" s="27">
        <v>444902</v>
      </c>
      <c r="I2630" s="27">
        <v>545.81308411214957</v>
      </c>
      <c r="J2630" s="27">
        <v>578.54616384915471</v>
      </c>
      <c r="K2630" s="29">
        <v>5.9971225846024961E-2</v>
      </c>
    </row>
    <row r="2631" spans="1:11" x14ac:dyDescent="0.25">
      <c r="A2631" s="5" t="s">
        <v>6</v>
      </c>
      <c r="B2631" s="5" t="s">
        <v>13188</v>
      </c>
      <c r="C2631" s="1" t="s">
        <v>13189</v>
      </c>
      <c r="D2631" s="5" t="s">
        <v>18101</v>
      </c>
      <c r="E2631" s="32">
        <v>415</v>
      </c>
      <c r="F2631" s="27">
        <v>233470</v>
      </c>
      <c r="G2631" s="32">
        <v>1074</v>
      </c>
      <c r="H2631" s="27">
        <v>645942</v>
      </c>
      <c r="I2631" s="27">
        <v>562.57831325301208</v>
      </c>
      <c r="J2631" s="27">
        <v>601.43575418994408</v>
      </c>
      <c r="K2631" s="29">
        <v>6.9070278788824158E-2</v>
      </c>
    </row>
    <row r="2632" spans="1:11" x14ac:dyDescent="0.25">
      <c r="A2632" s="5" t="s">
        <v>6</v>
      </c>
      <c r="B2632" s="5" t="s">
        <v>13191</v>
      </c>
      <c r="C2632" s="1" t="s">
        <v>13192</v>
      </c>
      <c r="D2632" s="5" t="s">
        <v>18102</v>
      </c>
      <c r="E2632" s="32">
        <v>2</v>
      </c>
      <c r="F2632" s="27">
        <v>918</v>
      </c>
      <c r="G2632" s="32">
        <v>86</v>
      </c>
      <c r="H2632" s="27">
        <v>44262</v>
      </c>
      <c r="I2632" s="27">
        <v>459</v>
      </c>
      <c r="J2632" s="27">
        <v>514.67441860465112</v>
      </c>
      <c r="K2632" s="29">
        <v>0.1212950296397628</v>
      </c>
    </row>
    <row r="2633" spans="1:11" x14ac:dyDescent="0.25">
      <c r="A2633" s="5" t="s">
        <v>6</v>
      </c>
      <c r="B2633" s="5" t="s">
        <v>13194</v>
      </c>
      <c r="C2633" s="1" t="s">
        <v>13195</v>
      </c>
      <c r="D2633" s="5" t="s">
        <v>18103</v>
      </c>
      <c r="E2633" s="32">
        <v>33</v>
      </c>
      <c r="F2633" s="27">
        <v>8375</v>
      </c>
      <c r="G2633" s="32">
        <v>69</v>
      </c>
      <c r="H2633" s="27">
        <v>18655</v>
      </c>
      <c r="I2633" s="27">
        <v>253.78787878787878</v>
      </c>
      <c r="J2633" s="27">
        <v>270.36231884057969</v>
      </c>
      <c r="K2633" s="29">
        <v>6.5308241401687159E-2</v>
      </c>
    </row>
    <row r="2634" spans="1:11" x14ac:dyDescent="0.25">
      <c r="A2634" s="5" t="s">
        <v>6</v>
      </c>
      <c r="B2634" s="5" t="s">
        <v>13205</v>
      </c>
      <c r="C2634" s="1" t="s">
        <v>13206</v>
      </c>
      <c r="D2634" s="5" t="s">
        <v>17116</v>
      </c>
      <c r="E2634" s="32">
        <v>135</v>
      </c>
      <c r="F2634" s="27">
        <v>35466</v>
      </c>
      <c r="G2634" s="32">
        <v>124</v>
      </c>
      <c r="H2634" s="27">
        <v>34807</v>
      </c>
      <c r="I2634" s="27">
        <v>262.71111111111111</v>
      </c>
      <c r="J2634" s="27">
        <v>280.70161290322579</v>
      </c>
      <c r="K2634" s="29">
        <v>6.8480170922446362E-2</v>
      </c>
    </row>
    <row r="2635" spans="1:11" x14ac:dyDescent="0.25">
      <c r="A2635" s="5" t="s">
        <v>6</v>
      </c>
      <c r="B2635" s="5" t="s">
        <v>13211</v>
      </c>
      <c r="C2635" s="1" t="s">
        <v>13212</v>
      </c>
      <c r="D2635" s="5" t="s">
        <v>18097</v>
      </c>
      <c r="E2635" s="32">
        <v>278</v>
      </c>
      <c r="F2635" s="27">
        <v>86573</v>
      </c>
      <c r="G2635" s="32">
        <v>169</v>
      </c>
      <c r="H2635" s="27">
        <v>56129</v>
      </c>
      <c r="I2635" s="27">
        <v>311.41366906474821</v>
      </c>
      <c r="J2635" s="27">
        <v>332.12426035502961</v>
      </c>
      <c r="K2635" s="29">
        <v>6.6505081014845605E-2</v>
      </c>
    </row>
    <row r="2636" spans="1:11" x14ac:dyDescent="0.25">
      <c r="A2636" s="5" t="s">
        <v>6</v>
      </c>
      <c r="B2636" s="5" t="s">
        <v>13214</v>
      </c>
      <c r="C2636" s="1" t="s">
        <v>13215</v>
      </c>
      <c r="D2636" s="5" t="s">
        <v>18097</v>
      </c>
      <c r="E2636" s="32">
        <v>25</v>
      </c>
      <c r="F2636" s="27">
        <v>8891</v>
      </c>
      <c r="G2636" s="32">
        <v>13</v>
      </c>
      <c r="H2636" s="27">
        <v>4957</v>
      </c>
      <c r="I2636" s="27">
        <v>355.64</v>
      </c>
      <c r="J2636" s="27">
        <v>381.30769230769232</v>
      </c>
      <c r="K2636" s="29">
        <v>7.2173243470060558E-2</v>
      </c>
    </row>
    <row r="2637" spans="1:11" x14ac:dyDescent="0.25">
      <c r="A2637" s="5" t="s">
        <v>6</v>
      </c>
      <c r="B2637" s="5" t="s">
        <v>13220</v>
      </c>
      <c r="C2637" s="1" t="s">
        <v>13221</v>
      </c>
      <c r="D2637" s="5" t="s">
        <v>18098</v>
      </c>
      <c r="E2637" s="32">
        <v>423</v>
      </c>
      <c r="F2637" s="27">
        <v>174189</v>
      </c>
      <c r="G2637" s="32">
        <v>309</v>
      </c>
      <c r="H2637" s="27">
        <v>134951</v>
      </c>
      <c r="I2637" s="27">
        <v>411.79432624113474</v>
      </c>
      <c r="J2637" s="27">
        <v>436.73462783171522</v>
      </c>
      <c r="K2637" s="29">
        <v>6.0564947113856453E-2</v>
      </c>
    </row>
    <row r="2638" spans="1:11" x14ac:dyDescent="0.25">
      <c r="A2638" s="5" t="s">
        <v>6</v>
      </c>
      <c r="B2638" s="5" t="s">
        <v>13223</v>
      </c>
      <c r="C2638" s="1" t="s">
        <v>13224</v>
      </c>
      <c r="D2638" s="5" t="s">
        <v>18098</v>
      </c>
      <c r="E2638" s="32">
        <v>53</v>
      </c>
      <c r="F2638" s="27">
        <v>22016</v>
      </c>
      <c r="G2638" s="32">
        <v>61</v>
      </c>
      <c r="H2638" s="27">
        <v>26565</v>
      </c>
      <c r="I2638" s="27">
        <v>415.39622641509436</v>
      </c>
      <c r="J2638" s="27">
        <v>435.49180327868851</v>
      </c>
      <c r="K2638" s="29">
        <v>4.8376888343499715E-2</v>
      </c>
    </row>
    <row r="2639" spans="1:11" x14ac:dyDescent="0.25">
      <c r="A2639" s="5" t="s">
        <v>6</v>
      </c>
      <c r="B2639" s="5" t="s">
        <v>13226</v>
      </c>
      <c r="C2639" s="1" t="s">
        <v>13227</v>
      </c>
      <c r="D2639" s="5" t="s">
        <v>18104</v>
      </c>
      <c r="E2639" s="32">
        <v>2261</v>
      </c>
      <c r="F2639" s="27">
        <v>877227</v>
      </c>
      <c r="G2639" s="32">
        <v>2960</v>
      </c>
      <c r="H2639" s="27">
        <v>1219514</v>
      </c>
      <c r="I2639" s="27">
        <v>387.98186643078282</v>
      </c>
      <c r="J2639" s="27">
        <v>411.99797297297295</v>
      </c>
      <c r="K2639" s="29">
        <v>6.1900074771857098E-2</v>
      </c>
    </row>
    <row r="2640" spans="1:11" x14ac:dyDescent="0.25">
      <c r="A2640" s="5" t="s">
        <v>6</v>
      </c>
      <c r="B2640" s="5" t="s">
        <v>13265</v>
      </c>
      <c r="C2640" s="1" t="s">
        <v>13266</v>
      </c>
      <c r="D2640" s="5" t="s">
        <v>18105</v>
      </c>
      <c r="E2640" s="32">
        <v>28</v>
      </c>
      <c r="F2640" s="27">
        <v>24738</v>
      </c>
      <c r="G2640" s="32">
        <v>79</v>
      </c>
      <c r="H2640" s="27">
        <v>73331</v>
      </c>
      <c r="I2640" s="27">
        <v>883.5</v>
      </c>
      <c r="J2640" s="27">
        <v>928.24050632911394</v>
      </c>
      <c r="K2640" s="29">
        <v>5.0640075075397785E-2</v>
      </c>
    </row>
    <row r="2641" spans="1:11" x14ac:dyDescent="0.25">
      <c r="A2641" s="5" t="s">
        <v>6</v>
      </c>
      <c r="B2641" s="5" t="s">
        <v>13268</v>
      </c>
      <c r="C2641" s="1" t="s">
        <v>13269</v>
      </c>
      <c r="D2641" s="5" t="s">
        <v>18105</v>
      </c>
      <c r="E2641" s="32">
        <v>4</v>
      </c>
      <c r="F2641" s="27">
        <v>3544</v>
      </c>
      <c r="G2641" s="32">
        <v>8</v>
      </c>
      <c r="H2641" s="27">
        <v>7372</v>
      </c>
      <c r="I2641" s="27">
        <v>886</v>
      </c>
      <c r="J2641" s="27">
        <v>921.5</v>
      </c>
      <c r="K2641" s="29">
        <v>4.0067720090293454E-2</v>
      </c>
    </row>
    <row r="2642" spans="1:11" x14ac:dyDescent="0.25">
      <c r="A2642" s="5" t="s">
        <v>6</v>
      </c>
      <c r="B2642" s="5" t="s">
        <v>13273</v>
      </c>
      <c r="C2642" s="1" t="s">
        <v>13274</v>
      </c>
      <c r="D2642" s="5" t="s">
        <v>18106</v>
      </c>
      <c r="E2642" s="32">
        <v>70</v>
      </c>
      <c r="F2642" s="27">
        <v>33538</v>
      </c>
      <c r="G2642" s="32">
        <v>108</v>
      </c>
      <c r="H2642" s="27">
        <v>55977</v>
      </c>
      <c r="I2642" s="27">
        <v>479.1142857142857</v>
      </c>
      <c r="J2642" s="27">
        <v>518.30555555555554</v>
      </c>
      <c r="K2642" s="29">
        <v>8.1799418238681171E-2</v>
      </c>
    </row>
    <row r="2643" spans="1:11" x14ac:dyDescent="0.25">
      <c r="A2643" s="5" t="s">
        <v>6</v>
      </c>
      <c r="B2643" s="5" t="s">
        <v>13276</v>
      </c>
      <c r="C2643" s="1" t="s">
        <v>13277</v>
      </c>
      <c r="D2643" s="5" t="s">
        <v>18106</v>
      </c>
      <c r="E2643" s="32">
        <v>6</v>
      </c>
      <c r="F2643" s="27">
        <v>2904</v>
      </c>
      <c r="G2643" s="32">
        <v>20</v>
      </c>
      <c r="H2643" s="27">
        <v>10265</v>
      </c>
      <c r="I2643" s="27">
        <v>484</v>
      </c>
      <c r="J2643" s="27">
        <v>513.25</v>
      </c>
      <c r="K2643" s="29">
        <v>6.0433884297520661E-2</v>
      </c>
    </row>
    <row r="2644" spans="1:11" x14ac:dyDescent="0.25">
      <c r="A2644" s="5" t="s">
        <v>6</v>
      </c>
      <c r="B2644" s="5" t="s">
        <v>13279</v>
      </c>
      <c r="C2644" s="1" t="s">
        <v>13280</v>
      </c>
      <c r="D2644" s="5" t="s">
        <v>18106</v>
      </c>
      <c r="E2644" s="32">
        <v>1</v>
      </c>
      <c r="F2644" s="27">
        <v>484</v>
      </c>
      <c r="I2644" s="27">
        <v>484</v>
      </c>
    </row>
    <row r="2645" spans="1:11" x14ac:dyDescent="0.25">
      <c r="A2645" s="5" t="s">
        <v>6</v>
      </c>
      <c r="B2645" s="5" t="s">
        <v>13291</v>
      </c>
      <c r="C2645" s="1" t="s">
        <v>13292</v>
      </c>
      <c r="D2645" s="5" t="s">
        <v>18107</v>
      </c>
      <c r="E2645" s="32">
        <v>211</v>
      </c>
      <c r="F2645" s="27">
        <v>109558</v>
      </c>
      <c r="G2645" s="32">
        <v>261</v>
      </c>
      <c r="H2645" s="27">
        <v>145812</v>
      </c>
      <c r="I2645" s="27">
        <v>519.23222748815169</v>
      </c>
      <c r="J2645" s="27">
        <v>558.66666666666663</v>
      </c>
      <c r="K2645" s="29">
        <v>7.5947595489755659E-2</v>
      </c>
    </row>
    <row r="2646" spans="1:11" x14ac:dyDescent="0.25">
      <c r="A2646" s="5" t="s">
        <v>6</v>
      </c>
      <c r="B2646" s="5" t="s">
        <v>13294</v>
      </c>
      <c r="C2646" s="1" t="s">
        <v>13295</v>
      </c>
      <c r="D2646" s="5" t="s">
        <v>18107</v>
      </c>
      <c r="E2646" s="32">
        <v>20</v>
      </c>
      <c r="F2646" s="27">
        <v>10436</v>
      </c>
      <c r="G2646" s="32">
        <v>49</v>
      </c>
      <c r="H2646" s="27">
        <v>26824</v>
      </c>
      <c r="I2646" s="27">
        <v>521.79999999999995</v>
      </c>
      <c r="J2646" s="27">
        <v>547.42857142857144</v>
      </c>
      <c r="K2646" s="29">
        <v>4.9115698406614589E-2</v>
      </c>
    </row>
    <row r="2647" spans="1:11" x14ac:dyDescent="0.25">
      <c r="A2647" s="5" t="s">
        <v>6</v>
      </c>
      <c r="B2647" s="5" t="s">
        <v>13297</v>
      </c>
      <c r="C2647" s="1" t="s">
        <v>13298</v>
      </c>
      <c r="D2647" s="5" t="s">
        <v>18107</v>
      </c>
      <c r="E2647" s="32">
        <v>0</v>
      </c>
      <c r="F2647" s="27">
        <v>0</v>
      </c>
      <c r="G2647" s="32">
        <v>5</v>
      </c>
      <c r="H2647" s="27">
        <v>2672</v>
      </c>
      <c r="J2647" s="27">
        <v>534.4</v>
      </c>
    </row>
    <row r="2648" spans="1:11" x14ac:dyDescent="0.25">
      <c r="A2648" s="5" t="s">
        <v>6</v>
      </c>
      <c r="B2648" s="5" t="s">
        <v>13309</v>
      </c>
      <c r="C2648" s="1" t="s">
        <v>13310</v>
      </c>
      <c r="D2648" s="5" t="s">
        <v>18105</v>
      </c>
      <c r="E2648" s="32">
        <v>360</v>
      </c>
      <c r="F2648" s="27">
        <v>314270</v>
      </c>
      <c r="G2648" s="32">
        <v>440</v>
      </c>
      <c r="H2648" s="27">
        <v>412489</v>
      </c>
      <c r="I2648" s="27">
        <v>872.97222222222217</v>
      </c>
      <c r="J2648" s="27">
        <v>937.47500000000002</v>
      </c>
      <c r="K2648" s="29">
        <v>7.3888694434721819E-2</v>
      </c>
    </row>
    <row r="2649" spans="1:11" x14ac:dyDescent="0.25">
      <c r="A2649" s="5" t="s">
        <v>6</v>
      </c>
      <c r="B2649" s="5" t="s">
        <v>13314</v>
      </c>
      <c r="C2649" s="1" t="s">
        <v>13315</v>
      </c>
      <c r="D2649" s="5" t="s">
        <v>18108</v>
      </c>
      <c r="E2649" s="32">
        <v>917</v>
      </c>
      <c r="F2649" s="27">
        <v>1791061</v>
      </c>
      <c r="G2649" s="32">
        <v>984</v>
      </c>
      <c r="H2649" s="27">
        <v>2053160</v>
      </c>
      <c r="I2649" s="27">
        <v>1953.174482006543</v>
      </c>
      <c r="J2649" s="27">
        <v>2086.5447154471544</v>
      </c>
      <c r="K2649" s="29">
        <v>6.8283829565291554E-2</v>
      </c>
    </row>
    <row r="2650" spans="1:11" x14ac:dyDescent="0.25">
      <c r="A2650" s="5" t="s">
        <v>6</v>
      </c>
      <c r="B2650" s="5" t="s">
        <v>13317</v>
      </c>
      <c r="C2650" s="1" t="s">
        <v>13318</v>
      </c>
      <c r="D2650" s="5" t="s">
        <v>18109</v>
      </c>
      <c r="E2650" s="32">
        <v>138</v>
      </c>
      <c r="F2650" s="27">
        <v>117314</v>
      </c>
      <c r="G2650" s="32">
        <v>130</v>
      </c>
      <c r="H2650" s="27">
        <v>117758</v>
      </c>
      <c r="I2650" s="27">
        <v>850.10144927536237</v>
      </c>
      <c r="J2650" s="27">
        <v>905.83076923076919</v>
      </c>
      <c r="K2650" s="29">
        <v>6.5556081574629971E-2</v>
      </c>
    </row>
    <row r="2651" spans="1:11" x14ac:dyDescent="0.25">
      <c r="A2651" s="5" t="s">
        <v>6</v>
      </c>
      <c r="B2651" s="5" t="s">
        <v>13320</v>
      </c>
      <c r="C2651" s="1" t="s">
        <v>13321</v>
      </c>
      <c r="D2651" s="5" t="s">
        <v>18108</v>
      </c>
      <c r="E2651" s="32">
        <v>32</v>
      </c>
      <c r="F2651" s="27">
        <v>53521</v>
      </c>
      <c r="G2651" s="32">
        <v>138</v>
      </c>
      <c r="H2651" s="27">
        <v>244545</v>
      </c>
      <c r="I2651" s="27">
        <v>1672.53125</v>
      </c>
      <c r="J2651" s="27">
        <v>1772.0652173913043</v>
      </c>
      <c r="K2651" s="29">
        <v>5.9510976187323414E-2</v>
      </c>
    </row>
    <row r="2652" spans="1:11" x14ac:dyDescent="0.25">
      <c r="A2652" s="5" t="s">
        <v>6</v>
      </c>
      <c r="B2652" s="5" t="s">
        <v>13323</v>
      </c>
      <c r="C2652" s="1" t="s">
        <v>13324</v>
      </c>
      <c r="D2652" s="5" t="s">
        <v>18108</v>
      </c>
      <c r="E2652" s="32">
        <v>5</v>
      </c>
      <c r="F2652" s="27">
        <v>8425</v>
      </c>
      <c r="G2652" s="32">
        <v>14</v>
      </c>
      <c r="H2652" s="27">
        <v>24400</v>
      </c>
      <c r="I2652" s="27">
        <v>1685</v>
      </c>
      <c r="J2652" s="27">
        <v>1742.8571428571429</v>
      </c>
      <c r="K2652" s="29">
        <v>3.433658329800765E-2</v>
      </c>
    </row>
    <row r="2653" spans="1:11" x14ac:dyDescent="0.25">
      <c r="A2653" s="5" t="s">
        <v>6</v>
      </c>
      <c r="B2653" s="5" t="s">
        <v>13326</v>
      </c>
      <c r="C2653" s="1" t="s">
        <v>13327</v>
      </c>
      <c r="D2653" s="5" t="s">
        <v>18109</v>
      </c>
      <c r="E2653" s="32">
        <v>19</v>
      </c>
      <c r="F2653" s="27">
        <v>16011</v>
      </c>
      <c r="G2653" s="32">
        <v>17</v>
      </c>
      <c r="H2653" s="27">
        <v>15397</v>
      </c>
      <c r="I2653" s="27">
        <v>842.68421052631584</v>
      </c>
      <c r="J2653" s="27">
        <v>905.70588235294122</v>
      </c>
      <c r="K2653" s="29">
        <v>7.478681935581051E-2</v>
      </c>
    </row>
    <row r="2654" spans="1:11" x14ac:dyDescent="0.25">
      <c r="A2654" s="5" t="s">
        <v>6</v>
      </c>
      <c r="B2654" s="5" t="s">
        <v>13329</v>
      </c>
      <c r="C2654" s="1" t="s">
        <v>13330</v>
      </c>
      <c r="D2654" s="5" t="s">
        <v>18109</v>
      </c>
      <c r="E2654" s="32">
        <v>1</v>
      </c>
      <c r="F2654" s="27">
        <v>789</v>
      </c>
      <c r="I2654" s="27">
        <v>789</v>
      </c>
    </row>
    <row r="2655" spans="1:11" x14ac:dyDescent="0.25">
      <c r="A2655" s="5" t="s">
        <v>6</v>
      </c>
      <c r="B2655" s="5" t="s">
        <v>18110</v>
      </c>
      <c r="C2655" s="1" t="s">
        <v>18111</v>
      </c>
      <c r="D2655" s="5" t="s">
        <v>18112</v>
      </c>
      <c r="E2655" s="32">
        <v>1</v>
      </c>
      <c r="F2655" s="27">
        <v>84.7</v>
      </c>
      <c r="I2655" s="27">
        <v>84.7</v>
      </c>
    </row>
    <row r="2656" spans="1:11" x14ac:dyDescent="0.25">
      <c r="A2656" s="5" t="s">
        <v>6</v>
      </c>
      <c r="B2656" s="5" t="s">
        <v>18113</v>
      </c>
      <c r="C2656" s="1" t="s">
        <v>18114</v>
      </c>
      <c r="D2656" s="5" t="s">
        <v>18115</v>
      </c>
      <c r="E2656" s="32">
        <v>1</v>
      </c>
      <c r="F2656" s="27">
        <v>141.94999999999999</v>
      </c>
      <c r="I2656" s="27">
        <v>141.94999999999999</v>
      </c>
    </row>
    <row r="2657" spans="1:11" x14ac:dyDescent="0.25">
      <c r="A2657" s="5" t="s">
        <v>6</v>
      </c>
      <c r="B2657" s="5" t="s">
        <v>13340</v>
      </c>
      <c r="C2657" s="1" t="s">
        <v>13341</v>
      </c>
      <c r="D2657" s="5" t="s">
        <v>18116</v>
      </c>
      <c r="E2657" s="32">
        <v>4</v>
      </c>
      <c r="F2657" s="27">
        <v>840</v>
      </c>
      <c r="G2657" s="32">
        <v>5</v>
      </c>
      <c r="H2657" s="27">
        <v>1118</v>
      </c>
      <c r="I2657" s="27">
        <v>210</v>
      </c>
      <c r="J2657" s="27">
        <v>223.6</v>
      </c>
      <c r="K2657" s="29">
        <v>6.4761904761904729E-2</v>
      </c>
    </row>
    <row r="2658" spans="1:11" x14ac:dyDescent="0.25">
      <c r="A2658" s="5" t="s">
        <v>6</v>
      </c>
      <c r="B2658" s="5" t="s">
        <v>18117</v>
      </c>
      <c r="C2658" s="1" t="s">
        <v>18118</v>
      </c>
      <c r="D2658" s="5" t="s">
        <v>18119</v>
      </c>
      <c r="E2658" s="32">
        <v>1</v>
      </c>
      <c r="F2658" s="27">
        <v>200</v>
      </c>
      <c r="I2658" s="27">
        <v>200</v>
      </c>
    </row>
    <row r="2659" spans="1:11" x14ac:dyDescent="0.25">
      <c r="A2659" s="5" t="s">
        <v>6</v>
      </c>
      <c r="B2659" s="5" t="s">
        <v>13351</v>
      </c>
      <c r="C2659" s="1" t="s">
        <v>13352</v>
      </c>
      <c r="E2659" s="32">
        <v>1253</v>
      </c>
      <c r="F2659" s="27">
        <v>680591</v>
      </c>
      <c r="G2659" s="32">
        <v>1248</v>
      </c>
      <c r="H2659" s="27">
        <v>723860</v>
      </c>
      <c r="I2659" s="27">
        <v>543.16919393455703</v>
      </c>
      <c r="J2659" s="27">
        <v>580.01602564102564</v>
      </c>
      <c r="K2659" s="29">
        <v>6.7836747956122198E-2</v>
      </c>
    </row>
    <row r="2660" spans="1:11" x14ac:dyDescent="0.25">
      <c r="A2660" s="5" t="s">
        <v>6</v>
      </c>
      <c r="B2660" s="5" t="s">
        <v>13354</v>
      </c>
      <c r="C2660" s="1" t="s">
        <v>13355</v>
      </c>
      <c r="E2660" s="32">
        <v>2313</v>
      </c>
      <c r="F2660" s="27">
        <v>2527742</v>
      </c>
      <c r="G2660" s="32">
        <v>2268</v>
      </c>
      <c r="H2660" s="27">
        <v>2646797</v>
      </c>
      <c r="I2660" s="27">
        <v>1092.8413316039776</v>
      </c>
      <c r="J2660" s="27">
        <v>1167.0180776014108</v>
      </c>
      <c r="K2660" s="29">
        <v>6.7875128669010978E-2</v>
      </c>
    </row>
    <row r="2661" spans="1:11" x14ac:dyDescent="0.25">
      <c r="A2661" s="5" t="s">
        <v>6</v>
      </c>
      <c r="B2661" s="5" t="s">
        <v>13357</v>
      </c>
      <c r="C2661" s="1" t="s">
        <v>13358</v>
      </c>
      <c r="E2661" s="32">
        <v>253</v>
      </c>
      <c r="F2661" s="27">
        <v>556611</v>
      </c>
      <c r="G2661" s="32">
        <v>250</v>
      </c>
      <c r="H2661" s="27">
        <v>585298</v>
      </c>
      <c r="I2661" s="27">
        <v>2200.0434782608695</v>
      </c>
      <c r="J2661" s="27">
        <v>2341.192</v>
      </c>
      <c r="K2661" s="29">
        <v>6.415715104444579E-2</v>
      </c>
    </row>
    <row r="2662" spans="1:11" x14ac:dyDescent="0.25">
      <c r="A2662" s="5" t="s">
        <v>6</v>
      </c>
      <c r="B2662" s="5" t="s">
        <v>13360</v>
      </c>
      <c r="C2662" s="1" t="s">
        <v>13361</v>
      </c>
      <c r="E2662" s="32">
        <v>386</v>
      </c>
      <c r="F2662" s="27">
        <v>0</v>
      </c>
      <c r="G2662" s="32">
        <v>379</v>
      </c>
      <c r="H2662" s="27">
        <v>0</v>
      </c>
      <c r="I2662" s="27">
        <v>0</v>
      </c>
      <c r="J2662" s="27">
        <v>0</v>
      </c>
    </row>
    <row r="2663" spans="1:11" x14ac:dyDescent="0.25">
      <c r="A2663" s="5" t="s">
        <v>6</v>
      </c>
      <c r="B2663" s="5" t="s">
        <v>13362</v>
      </c>
      <c r="C2663" s="1" t="s">
        <v>13363</v>
      </c>
      <c r="D2663" s="5" t="s">
        <v>18120</v>
      </c>
      <c r="E2663" s="32">
        <v>544</v>
      </c>
      <c r="F2663" s="27">
        <v>344335</v>
      </c>
      <c r="G2663" s="32">
        <v>565</v>
      </c>
      <c r="H2663" s="27">
        <v>381706</v>
      </c>
      <c r="I2663" s="27">
        <v>632.96875</v>
      </c>
      <c r="J2663" s="27">
        <v>675.58584070796462</v>
      </c>
      <c r="K2663" s="29">
        <v>6.7328901636873259E-2</v>
      </c>
    </row>
    <row r="2664" spans="1:11" x14ac:dyDescent="0.25">
      <c r="A2664" s="5" t="s">
        <v>6</v>
      </c>
      <c r="B2664" s="5" t="s">
        <v>13364</v>
      </c>
      <c r="C2664" s="1" t="s">
        <v>13365</v>
      </c>
      <c r="D2664" s="5" t="s">
        <v>18121</v>
      </c>
      <c r="E2664" s="32">
        <v>430</v>
      </c>
      <c r="F2664" s="27">
        <v>3202525</v>
      </c>
      <c r="G2664" s="32">
        <v>463</v>
      </c>
      <c r="H2664" s="27">
        <v>3652622</v>
      </c>
      <c r="I2664" s="27">
        <v>7447.7325581395353</v>
      </c>
      <c r="J2664" s="27">
        <v>7889.0323974082075</v>
      </c>
      <c r="K2664" s="29">
        <v>5.9252911651128115E-2</v>
      </c>
    </row>
    <row r="2665" spans="1:11" x14ac:dyDescent="0.25">
      <c r="A2665" s="5" t="s">
        <v>6</v>
      </c>
      <c r="B2665" s="5" t="s">
        <v>13367</v>
      </c>
      <c r="C2665" s="1" t="s">
        <v>13368</v>
      </c>
      <c r="D2665" s="5" t="s">
        <v>17047</v>
      </c>
      <c r="E2665" s="32">
        <v>2949</v>
      </c>
      <c r="F2665" s="27">
        <v>4713897</v>
      </c>
      <c r="G2665" s="32">
        <v>2499</v>
      </c>
      <c r="H2665" s="27">
        <v>4257059</v>
      </c>
      <c r="I2665" s="27">
        <v>1598.4730417090539</v>
      </c>
      <c r="J2665" s="27">
        <v>1703.5050020008002</v>
      </c>
      <c r="K2665" s="29">
        <v>6.5707683239655021E-2</v>
      </c>
    </row>
    <row r="2666" spans="1:11" x14ac:dyDescent="0.25">
      <c r="A2666" s="5" t="s">
        <v>6</v>
      </c>
      <c r="B2666" s="5" t="s">
        <v>13369</v>
      </c>
      <c r="C2666" s="1" t="s">
        <v>13370</v>
      </c>
      <c r="D2666" s="5" t="s">
        <v>17049</v>
      </c>
      <c r="E2666" s="32">
        <v>11182</v>
      </c>
      <c r="F2666" s="27">
        <v>29732654</v>
      </c>
      <c r="G2666" s="32">
        <v>9760</v>
      </c>
      <c r="H2666" s="27">
        <v>27701664</v>
      </c>
      <c r="I2666" s="27">
        <v>2658.9746020389912</v>
      </c>
      <c r="J2666" s="27">
        <v>2838.2852459016394</v>
      </c>
      <c r="K2666" s="29">
        <v>6.7436012260194897E-2</v>
      </c>
    </row>
    <row r="2667" spans="1:11" x14ac:dyDescent="0.25">
      <c r="A2667" s="5" t="s">
        <v>6</v>
      </c>
      <c r="B2667" s="5" t="s">
        <v>13372</v>
      </c>
      <c r="C2667" s="1" t="s">
        <v>13373</v>
      </c>
      <c r="D2667" s="5" t="s">
        <v>17051</v>
      </c>
      <c r="E2667" s="32">
        <v>9357</v>
      </c>
      <c r="F2667" s="27">
        <v>41598004</v>
      </c>
      <c r="G2667" s="32">
        <v>9310</v>
      </c>
      <c r="H2667" s="27">
        <v>44210929</v>
      </c>
      <c r="I2667" s="27">
        <v>4445.6560863524637</v>
      </c>
      <c r="J2667" s="27">
        <v>4748.7571428571428</v>
      </c>
      <c r="K2667" s="29">
        <v>6.8179150752384218E-2</v>
      </c>
    </row>
    <row r="2668" spans="1:11" x14ac:dyDescent="0.25">
      <c r="A2668" s="5" t="s">
        <v>6</v>
      </c>
      <c r="B2668" s="5" t="s">
        <v>13374</v>
      </c>
      <c r="C2668" s="1" t="s">
        <v>13375</v>
      </c>
      <c r="D2668" s="5" t="s">
        <v>17053</v>
      </c>
      <c r="E2668" s="32">
        <v>16061</v>
      </c>
      <c r="F2668" s="27">
        <v>88263619</v>
      </c>
      <c r="G2668" s="32">
        <v>17140</v>
      </c>
      <c r="H2668" s="27">
        <v>100713744</v>
      </c>
      <c r="I2668" s="27">
        <v>5495.5245003424443</v>
      </c>
      <c r="J2668" s="27">
        <v>5875.9477246207698</v>
      </c>
      <c r="K2668" s="29">
        <v>6.9224188565553679E-2</v>
      </c>
    </row>
    <row r="2669" spans="1:11" x14ac:dyDescent="0.25">
      <c r="A2669" s="5" t="s">
        <v>6</v>
      </c>
      <c r="B2669" s="5" t="s">
        <v>13376</v>
      </c>
      <c r="C2669" s="1" t="s">
        <v>13377</v>
      </c>
      <c r="D2669" s="5" t="s">
        <v>17505</v>
      </c>
      <c r="E2669" s="32">
        <v>103</v>
      </c>
      <c r="F2669" s="27">
        <v>424454</v>
      </c>
      <c r="G2669" s="32">
        <v>87</v>
      </c>
      <c r="H2669" s="27">
        <v>382543</v>
      </c>
      <c r="I2669" s="27">
        <v>4120.9126213592235</v>
      </c>
      <c r="J2669" s="27">
        <v>4397.045977011494</v>
      </c>
      <c r="K2669" s="29">
        <v>6.7007816234936776E-2</v>
      </c>
    </row>
    <row r="2670" spans="1:11" x14ac:dyDescent="0.25">
      <c r="A2670" s="5" t="s">
        <v>6</v>
      </c>
      <c r="B2670" s="5" t="s">
        <v>13382</v>
      </c>
      <c r="C2670" s="1" t="s">
        <v>13383</v>
      </c>
      <c r="D2670" s="5" t="s">
        <v>18122</v>
      </c>
      <c r="E2670" s="32">
        <v>-1</v>
      </c>
      <c r="F2670" s="27">
        <v>-1376</v>
      </c>
      <c r="I2670" s="27">
        <v>1376</v>
      </c>
    </row>
    <row r="2671" spans="1:11" x14ac:dyDescent="0.25">
      <c r="A2671" s="5" t="s">
        <v>6</v>
      </c>
      <c r="B2671" s="5" t="s">
        <v>13385</v>
      </c>
      <c r="C2671" s="1" t="s">
        <v>218</v>
      </c>
      <c r="D2671" s="5" t="s">
        <v>18123</v>
      </c>
      <c r="E2671" s="32">
        <v>1604</v>
      </c>
      <c r="F2671" s="27">
        <v>3028052</v>
      </c>
      <c r="G2671" s="32">
        <v>1508</v>
      </c>
      <c r="H2671" s="27">
        <v>3042918</v>
      </c>
      <c r="I2671" s="27">
        <v>1887.8129675810474</v>
      </c>
      <c r="J2671" s="27">
        <v>2017.8501326259948</v>
      </c>
      <c r="K2671" s="29">
        <v>6.8882440833940656E-2</v>
      </c>
    </row>
    <row r="2672" spans="1:11" x14ac:dyDescent="0.25">
      <c r="A2672" s="5" t="s">
        <v>6</v>
      </c>
      <c r="B2672" s="5" t="s">
        <v>13386</v>
      </c>
      <c r="C2672" s="1" t="s">
        <v>13387</v>
      </c>
      <c r="D2672" s="5" t="s">
        <v>18124</v>
      </c>
      <c r="E2672" s="32">
        <v>7257</v>
      </c>
      <c r="F2672" s="27">
        <v>3640251.69</v>
      </c>
      <c r="G2672" s="32">
        <v>7821</v>
      </c>
      <c r="H2672" s="27">
        <v>4193033</v>
      </c>
      <c r="I2672" s="27">
        <v>501.61935923935511</v>
      </c>
      <c r="J2672" s="27">
        <v>536.12492008694539</v>
      </c>
      <c r="K2672" s="29">
        <v>6.8788335641418993E-2</v>
      </c>
    </row>
    <row r="2673" spans="1:11" x14ac:dyDescent="0.25">
      <c r="A2673" s="5" t="s">
        <v>6</v>
      </c>
      <c r="B2673" s="5" t="s">
        <v>13389</v>
      </c>
      <c r="C2673" s="1" t="s">
        <v>221</v>
      </c>
      <c r="D2673" s="5" t="s">
        <v>18125</v>
      </c>
      <c r="E2673" s="32">
        <v>3702</v>
      </c>
      <c r="F2673" s="27">
        <v>7007814</v>
      </c>
      <c r="G2673" s="32">
        <v>4059</v>
      </c>
      <c r="H2673" s="27">
        <v>8191449</v>
      </c>
      <c r="I2673" s="27">
        <v>1892.9805510534845</v>
      </c>
      <c r="J2673" s="27">
        <v>2018.0953436807094</v>
      </c>
      <c r="K2673" s="29">
        <v>6.6094071889748598E-2</v>
      </c>
    </row>
    <row r="2674" spans="1:11" x14ac:dyDescent="0.25">
      <c r="A2674" s="5" t="s">
        <v>6</v>
      </c>
      <c r="B2674" s="5" t="s">
        <v>13390</v>
      </c>
      <c r="C2674" s="1" t="s">
        <v>224</v>
      </c>
      <c r="D2674" s="5" t="s">
        <v>18126</v>
      </c>
      <c r="E2674" s="32">
        <v>1479</v>
      </c>
      <c r="F2674" s="27">
        <v>910316</v>
      </c>
      <c r="G2674" s="32">
        <v>1921</v>
      </c>
      <c r="H2674" s="27">
        <v>1252770</v>
      </c>
      <c r="I2674" s="27">
        <v>615.49425287356325</v>
      </c>
      <c r="J2674" s="27">
        <v>652.14471629359707</v>
      </c>
      <c r="K2674" s="29">
        <v>5.9546394217205902E-2</v>
      </c>
    </row>
    <row r="2675" spans="1:11" x14ac:dyDescent="0.25">
      <c r="A2675" s="5" t="s">
        <v>6</v>
      </c>
      <c r="B2675" s="5" t="s">
        <v>13391</v>
      </c>
      <c r="C2675" s="1" t="s">
        <v>13392</v>
      </c>
      <c r="D2675" s="5" t="s">
        <v>18127</v>
      </c>
      <c r="E2675" s="32">
        <v>645</v>
      </c>
      <c r="F2675" s="27">
        <v>454843</v>
      </c>
      <c r="G2675" s="32">
        <v>722</v>
      </c>
      <c r="H2675" s="27">
        <v>537681</v>
      </c>
      <c r="I2675" s="27">
        <v>705.18294573643414</v>
      </c>
      <c r="J2675" s="27">
        <v>744.71052631578948</v>
      </c>
      <c r="K2675" s="29">
        <v>5.6052944584580162E-2</v>
      </c>
    </row>
    <row r="2676" spans="1:11" x14ac:dyDescent="0.25">
      <c r="A2676" s="5" t="s">
        <v>6</v>
      </c>
      <c r="B2676" s="5" t="s">
        <v>13394</v>
      </c>
      <c r="C2676" s="1" t="s">
        <v>13395</v>
      </c>
      <c r="D2676" s="5" t="s">
        <v>18128</v>
      </c>
      <c r="E2676" s="32">
        <v>514</v>
      </c>
      <c r="F2676" s="27">
        <v>254794</v>
      </c>
      <c r="G2676" s="32">
        <v>611</v>
      </c>
      <c r="H2676" s="27">
        <v>321631</v>
      </c>
      <c r="I2676" s="27">
        <v>495.7081712062257</v>
      </c>
      <c r="J2676" s="27">
        <v>526.40098199672673</v>
      </c>
      <c r="K2676" s="29">
        <v>6.191709673821804E-2</v>
      </c>
    </row>
    <row r="2677" spans="1:11" x14ac:dyDescent="0.25">
      <c r="A2677" s="5" t="s">
        <v>6</v>
      </c>
      <c r="B2677" s="5" t="s">
        <v>13397</v>
      </c>
      <c r="C2677" s="1" t="s">
        <v>227</v>
      </c>
      <c r="D2677" s="5" t="s">
        <v>17196</v>
      </c>
      <c r="E2677" s="32">
        <v>5633</v>
      </c>
      <c r="F2677" s="27">
        <v>3384242</v>
      </c>
      <c r="G2677" s="32">
        <v>5202</v>
      </c>
      <c r="H2677" s="27">
        <v>3344769</v>
      </c>
      <c r="I2677" s="27">
        <v>600.78856737085039</v>
      </c>
      <c r="J2677" s="27">
        <v>642.97750865051898</v>
      </c>
      <c r="K2677" s="29">
        <v>7.0222610034499061E-2</v>
      </c>
    </row>
    <row r="2678" spans="1:11" x14ac:dyDescent="0.25">
      <c r="A2678" s="5" t="s">
        <v>6</v>
      </c>
      <c r="B2678" s="5" t="s">
        <v>13398</v>
      </c>
      <c r="C2678" s="1" t="s">
        <v>230</v>
      </c>
      <c r="D2678" s="5" t="s">
        <v>18129</v>
      </c>
      <c r="E2678" s="32">
        <v>9012</v>
      </c>
      <c r="F2678" s="27">
        <v>4950956</v>
      </c>
      <c r="G2678" s="32">
        <v>9097</v>
      </c>
      <c r="H2678" s="27">
        <v>5339459</v>
      </c>
      <c r="I2678" s="27">
        <v>549.37372392365739</v>
      </c>
      <c r="J2678" s="27">
        <v>586.9472353523139</v>
      </c>
      <c r="K2678" s="29">
        <v>6.8393353727048342E-2</v>
      </c>
    </row>
    <row r="2679" spans="1:11" x14ac:dyDescent="0.25">
      <c r="A2679" s="5" t="s">
        <v>6</v>
      </c>
      <c r="B2679" s="5" t="s">
        <v>13399</v>
      </c>
      <c r="C2679" s="1" t="s">
        <v>13400</v>
      </c>
      <c r="D2679" s="5" t="s">
        <v>18130</v>
      </c>
      <c r="E2679" s="32">
        <v>1498</v>
      </c>
      <c r="F2679" s="27">
        <v>785106</v>
      </c>
      <c r="G2679" s="32">
        <v>1504</v>
      </c>
      <c r="H2679" s="27">
        <v>840918</v>
      </c>
      <c r="I2679" s="27">
        <v>524.10280373831779</v>
      </c>
      <c r="J2679" s="27">
        <v>559.12101063829789</v>
      </c>
      <c r="K2679" s="29">
        <v>6.6815530560421374E-2</v>
      </c>
    </row>
    <row r="2680" spans="1:11" x14ac:dyDescent="0.25">
      <c r="A2680" s="5" t="s">
        <v>6</v>
      </c>
      <c r="B2680" s="5" t="s">
        <v>13402</v>
      </c>
      <c r="C2680" s="1" t="s">
        <v>236</v>
      </c>
      <c r="D2680" s="5" t="s">
        <v>18131</v>
      </c>
      <c r="E2680" s="32">
        <v>3366</v>
      </c>
      <c r="F2680" s="27">
        <v>1469047</v>
      </c>
      <c r="G2680" s="32">
        <v>4801</v>
      </c>
      <c r="H2680" s="27">
        <v>2237647</v>
      </c>
      <c r="I2680" s="27">
        <v>436.43701723113486</v>
      </c>
      <c r="J2680" s="27">
        <v>466.07935846698604</v>
      </c>
      <c r="K2680" s="29">
        <v>6.7918943777751886E-2</v>
      </c>
    </row>
    <row r="2681" spans="1:11" x14ac:dyDescent="0.25">
      <c r="A2681" s="5" t="s">
        <v>6</v>
      </c>
      <c r="B2681" s="5" t="s">
        <v>13403</v>
      </c>
      <c r="C2681" s="1" t="s">
        <v>13404</v>
      </c>
      <c r="D2681" s="5" t="s">
        <v>17466</v>
      </c>
      <c r="E2681" s="32">
        <v>13</v>
      </c>
      <c r="F2681" s="27">
        <v>60788</v>
      </c>
      <c r="I2681" s="27">
        <v>4676</v>
      </c>
    </row>
    <row r="2682" spans="1:11" x14ac:dyDescent="0.25">
      <c r="A2682" s="5" t="s">
        <v>6</v>
      </c>
      <c r="B2682" s="5" t="s">
        <v>13410</v>
      </c>
      <c r="C2682" s="1" t="s">
        <v>13411</v>
      </c>
      <c r="D2682" s="5" t="s">
        <v>18132</v>
      </c>
      <c r="E2682" s="32">
        <v>760</v>
      </c>
      <c r="F2682" s="27">
        <v>2837470</v>
      </c>
      <c r="G2682" s="32">
        <v>942</v>
      </c>
      <c r="H2682" s="27">
        <v>3727598</v>
      </c>
      <c r="I2682" s="27">
        <v>3733.5131578947367</v>
      </c>
      <c r="J2682" s="27">
        <v>3957.1104033970278</v>
      </c>
      <c r="K2682" s="29">
        <v>5.9889234628644976E-2</v>
      </c>
    </row>
    <row r="2683" spans="1:11" x14ac:dyDescent="0.25">
      <c r="A2683" s="5" t="s">
        <v>6</v>
      </c>
      <c r="B2683" s="5" t="s">
        <v>13413</v>
      </c>
      <c r="C2683" s="1" t="s">
        <v>13414</v>
      </c>
      <c r="D2683" s="5" t="s">
        <v>18133</v>
      </c>
      <c r="E2683" s="32">
        <v>764</v>
      </c>
      <c r="F2683" s="27">
        <v>185568</v>
      </c>
      <c r="G2683" s="32">
        <v>844</v>
      </c>
      <c r="H2683" s="27">
        <v>219068</v>
      </c>
      <c r="I2683" s="27">
        <v>242.89005235602093</v>
      </c>
      <c r="J2683" s="27">
        <v>259.55924170616112</v>
      </c>
      <c r="K2683" s="29">
        <v>6.8628538667804273E-2</v>
      </c>
    </row>
    <row r="2684" spans="1:11" x14ac:dyDescent="0.25">
      <c r="A2684" s="5" t="s">
        <v>6</v>
      </c>
      <c r="B2684" s="5" t="s">
        <v>13416</v>
      </c>
      <c r="C2684" s="1" t="s">
        <v>13417</v>
      </c>
      <c r="D2684" s="5" t="s">
        <v>18134</v>
      </c>
      <c r="E2684" s="32">
        <v>63</v>
      </c>
      <c r="F2684" s="27">
        <v>15416</v>
      </c>
      <c r="G2684" s="32">
        <v>38</v>
      </c>
      <c r="H2684" s="27">
        <v>9710</v>
      </c>
      <c r="I2684" s="27">
        <v>244.69841269841271</v>
      </c>
      <c r="J2684" s="27">
        <v>255.52631578947367</v>
      </c>
      <c r="K2684" s="29">
        <v>4.4249993171824112E-2</v>
      </c>
    </row>
    <row r="2685" spans="1:11" x14ac:dyDescent="0.25">
      <c r="A2685" s="5" t="s">
        <v>6</v>
      </c>
      <c r="B2685" s="5" t="s">
        <v>13419</v>
      </c>
      <c r="C2685" s="1" t="s">
        <v>13420</v>
      </c>
      <c r="D2685" s="5" t="s">
        <v>18135</v>
      </c>
      <c r="E2685" s="32">
        <v>5</v>
      </c>
      <c r="F2685" s="27">
        <v>2245</v>
      </c>
      <c r="I2685" s="27">
        <v>449</v>
      </c>
    </row>
    <row r="2686" spans="1:11" x14ac:dyDescent="0.25">
      <c r="A2686" s="5" t="s">
        <v>6</v>
      </c>
      <c r="B2686" s="5" t="s">
        <v>13421</v>
      </c>
      <c r="C2686" s="1" t="s">
        <v>245</v>
      </c>
      <c r="D2686" s="5" t="s">
        <v>17197</v>
      </c>
      <c r="E2686" s="32">
        <v>48</v>
      </c>
      <c r="F2686" s="27">
        <v>21192</v>
      </c>
      <c r="G2686" s="32">
        <v>76</v>
      </c>
      <c r="H2686" s="27">
        <v>35924</v>
      </c>
      <c r="I2686" s="27">
        <v>441.5</v>
      </c>
      <c r="J2686" s="27">
        <v>472.68421052631578</v>
      </c>
      <c r="K2686" s="29">
        <v>7.0632413423138807E-2</v>
      </c>
    </row>
    <row r="2687" spans="1:11" x14ac:dyDescent="0.25">
      <c r="A2687" s="5" t="s">
        <v>6</v>
      </c>
      <c r="B2687" s="5" t="s">
        <v>13422</v>
      </c>
      <c r="C2687" s="1" t="s">
        <v>248</v>
      </c>
      <c r="D2687" s="5" t="s">
        <v>17198</v>
      </c>
      <c r="E2687" s="32">
        <v>0</v>
      </c>
      <c r="F2687" s="27">
        <v>0</v>
      </c>
      <c r="G2687" s="32">
        <v>6</v>
      </c>
      <c r="H2687" s="27">
        <v>2471</v>
      </c>
      <c r="J2687" s="27">
        <v>411.83333333333331</v>
      </c>
    </row>
    <row r="2688" spans="1:11" x14ac:dyDescent="0.25">
      <c r="A2688" s="5" t="s">
        <v>6</v>
      </c>
      <c r="B2688" s="5" t="s">
        <v>13432</v>
      </c>
      <c r="C2688" s="1" t="s">
        <v>13433</v>
      </c>
      <c r="D2688" s="5" t="s">
        <v>18136</v>
      </c>
      <c r="E2688" s="32">
        <v>339</v>
      </c>
      <c r="F2688" s="27">
        <v>194112</v>
      </c>
      <c r="G2688" s="32">
        <v>370</v>
      </c>
      <c r="H2688" s="27">
        <v>228488</v>
      </c>
      <c r="I2688" s="27">
        <v>572.60176991150445</v>
      </c>
      <c r="J2688" s="27">
        <v>617.53513513513508</v>
      </c>
      <c r="K2688" s="29">
        <v>7.8472277915897948E-2</v>
      </c>
    </row>
    <row r="2689" spans="1:11" x14ac:dyDescent="0.25">
      <c r="A2689" s="5" t="s">
        <v>6</v>
      </c>
      <c r="B2689" s="5" t="s">
        <v>13435</v>
      </c>
      <c r="C2689" s="1" t="s">
        <v>13436</v>
      </c>
      <c r="D2689" s="5" t="s">
        <v>18136</v>
      </c>
      <c r="E2689" s="32">
        <v>238</v>
      </c>
      <c r="F2689" s="27">
        <v>133794</v>
      </c>
      <c r="G2689" s="32">
        <v>149</v>
      </c>
      <c r="H2689" s="27">
        <v>91669</v>
      </c>
      <c r="I2689" s="27">
        <v>562.15966386554624</v>
      </c>
      <c r="J2689" s="27">
        <v>615.22818791946304</v>
      </c>
      <c r="K2689" s="29">
        <v>9.4401159430409429E-2</v>
      </c>
    </row>
    <row r="2690" spans="1:11" x14ac:dyDescent="0.25">
      <c r="A2690" s="5" t="s">
        <v>6</v>
      </c>
      <c r="B2690" s="5" t="s">
        <v>13438</v>
      </c>
      <c r="C2690" s="1" t="s">
        <v>13439</v>
      </c>
      <c r="D2690" s="5" t="s">
        <v>18136</v>
      </c>
      <c r="E2690" s="32">
        <v>13841</v>
      </c>
      <c r="F2690" s="27">
        <v>2435824</v>
      </c>
      <c r="G2690" s="32">
        <v>16343</v>
      </c>
      <c r="H2690" s="27">
        <v>3069130</v>
      </c>
      <c r="I2690" s="27">
        <v>175.98612816992991</v>
      </c>
      <c r="J2690" s="27">
        <v>187.79477452120173</v>
      </c>
      <c r="K2690" s="29">
        <v>6.7099870166298245E-2</v>
      </c>
    </row>
    <row r="2691" spans="1:11" x14ac:dyDescent="0.25">
      <c r="A2691" s="5" t="s">
        <v>6</v>
      </c>
      <c r="B2691" s="5" t="s">
        <v>13441</v>
      </c>
      <c r="C2691" s="1" t="s">
        <v>13442</v>
      </c>
      <c r="D2691" s="5" t="s">
        <v>18136</v>
      </c>
      <c r="E2691" s="32">
        <v>20732</v>
      </c>
      <c r="F2691" s="27">
        <v>3640722</v>
      </c>
      <c r="G2691" s="32">
        <v>22896</v>
      </c>
      <c r="H2691" s="27">
        <v>4289632</v>
      </c>
      <c r="I2691" s="27">
        <v>175.60881728728535</v>
      </c>
      <c r="J2691" s="27">
        <v>187.3529000698812</v>
      </c>
      <c r="K2691" s="29">
        <v>6.6876384477797882E-2</v>
      </c>
    </row>
    <row r="2692" spans="1:11" x14ac:dyDescent="0.25">
      <c r="A2692" s="5" t="s">
        <v>6</v>
      </c>
      <c r="B2692" s="5" t="s">
        <v>13444</v>
      </c>
      <c r="C2692" s="1" t="s">
        <v>13445</v>
      </c>
      <c r="D2692" s="5" t="s">
        <v>18136</v>
      </c>
      <c r="E2692" s="32">
        <v>4600</v>
      </c>
      <c r="F2692" s="27">
        <v>1717140</v>
      </c>
      <c r="G2692" s="32">
        <v>6305</v>
      </c>
      <c r="H2692" s="27">
        <v>2516790</v>
      </c>
      <c r="I2692" s="27">
        <v>373.2913043478261</v>
      </c>
      <c r="J2692" s="27">
        <v>399.17367168913563</v>
      </c>
      <c r="K2692" s="29">
        <v>6.9335575299640004E-2</v>
      </c>
    </row>
    <row r="2693" spans="1:11" x14ac:dyDescent="0.25">
      <c r="A2693" s="5" t="s">
        <v>6</v>
      </c>
      <c r="B2693" s="5" t="s">
        <v>13447</v>
      </c>
      <c r="C2693" s="1" t="s">
        <v>13448</v>
      </c>
      <c r="D2693" s="5" t="s">
        <v>18137</v>
      </c>
      <c r="E2693" s="32">
        <v>2</v>
      </c>
      <c r="F2693" s="27">
        <v>690</v>
      </c>
      <c r="I2693" s="27">
        <v>345</v>
      </c>
    </row>
    <row r="2694" spans="1:11" x14ac:dyDescent="0.25">
      <c r="A2694" s="5" t="s">
        <v>6</v>
      </c>
      <c r="B2694" s="5" t="s">
        <v>13450</v>
      </c>
      <c r="C2694" s="1" t="s">
        <v>13451</v>
      </c>
      <c r="D2694" s="5" t="s">
        <v>18136</v>
      </c>
      <c r="E2694" s="32">
        <v>13928</v>
      </c>
      <c r="F2694" s="27">
        <v>5173494</v>
      </c>
      <c r="G2694" s="32">
        <v>16231</v>
      </c>
      <c r="H2694" s="27">
        <v>6469848</v>
      </c>
      <c r="I2694" s="27">
        <v>371.44557725445145</v>
      </c>
      <c r="J2694" s="27">
        <v>398.61056003943071</v>
      </c>
      <c r="K2694" s="29">
        <v>7.3133143718576099E-2</v>
      </c>
    </row>
    <row r="2695" spans="1:11" x14ac:dyDescent="0.25">
      <c r="A2695" s="5" t="s">
        <v>6</v>
      </c>
      <c r="B2695" s="5" t="s">
        <v>13453</v>
      </c>
      <c r="C2695" s="1" t="s">
        <v>13454</v>
      </c>
      <c r="D2695" s="5" t="s">
        <v>18137</v>
      </c>
      <c r="E2695" s="32">
        <v>9</v>
      </c>
      <c r="F2695" s="27">
        <v>3175</v>
      </c>
      <c r="G2695" s="32">
        <v>14</v>
      </c>
      <c r="H2695" s="27">
        <v>5258</v>
      </c>
      <c r="I2695" s="27">
        <v>352.77777777777777</v>
      </c>
      <c r="J2695" s="27">
        <v>375.57142857142856</v>
      </c>
      <c r="K2695" s="29">
        <v>6.4611923509561284E-2</v>
      </c>
    </row>
    <row r="2696" spans="1:11" x14ac:dyDescent="0.25">
      <c r="A2696" s="5" t="s">
        <v>6</v>
      </c>
      <c r="B2696" s="5" t="s">
        <v>13456</v>
      </c>
      <c r="C2696" s="1" t="s">
        <v>13457</v>
      </c>
      <c r="D2696" s="5" t="s">
        <v>18136</v>
      </c>
      <c r="E2696" s="32">
        <v>9939</v>
      </c>
      <c r="F2696" s="27">
        <v>3710772</v>
      </c>
      <c r="G2696" s="32">
        <v>15489</v>
      </c>
      <c r="H2696" s="27">
        <v>6186012</v>
      </c>
      <c r="I2696" s="27">
        <v>373.35466344702684</v>
      </c>
      <c r="J2696" s="27">
        <v>399.38098005035835</v>
      </c>
      <c r="K2696" s="29">
        <v>6.9709365253513789E-2</v>
      </c>
    </row>
    <row r="2697" spans="1:11" x14ac:dyDescent="0.25">
      <c r="A2697" s="5" t="s">
        <v>6</v>
      </c>
      <c r="B2697" s="5" t="s">
        <v>13459</v>
      </c>
      <c r="C2697" s="1" t="s">
        <v>13460</v>
      </c>
      <c r="D2697" s="5" t="s">
        <v>18137</v>
      </c>
      <c r="E2697" s="32">
        <v>9</v>
      </c>
      <c r="F2697" s="27">
        <v>3147</v>
      </c>
      <c r="G2697" s="32">
        <v>92</v>
      </c>
      <c r="H2697" s="27">
        <v>35406</v>
      </c>
      <c r="I2697" s="27">
        <v>349.66666666666669</v>
      </c>
      <c r="J2697" s="27">
        <v>384.8478260869565</v>
      </c>
      <c r="K2697" s="29">
        <v>0.10061342064906524</v>
      </c>
    </row>
    <row r="2698" spans="1:11" x14ac:dyDescent="0.25">
      <c r="A2698" s="5" t="s">
        <v>6</v>
      </c>
      <c r="B2698" s="5" t="s">
        <v>13462</v>
      </c>
      <c r="C2698" s="1" t="s">
        <v>13463</v>
      </c>
      <c r="D2698" s="5" t="s">
        <v>18136</v>
      </c>
      <c r="E2698" s="32">
        <v>8962</v>
      </c>
      <c r="F2698" s="27">
        <v>3329196</v>
      </c>
      <c r="G2698" s="32">
        <v>10682</v>
      </c>
      <c r="H2698" s="27">
        <v>4293096</v>
      </c>
      <c r="I2698" s="27">
        <v>371.47913412184778</v>
      </c>
      <c r="J2698" s="27">
        <v>401.90001872308557</v>
      </c>
      <c r="K2698" s="29">
        <v>8.1891233738203784E-2</v>
      </c>
    </row>
    <row r="2699" spans="1:11" x14ac:dyDescent="0.25">
      <c r="A2699" s="5" t="s">
        <v>6</v>
      </c>
      <c r="B2699" s="5" t="s">
        <v>13465</v>
      </c>
      <c r="C2699" s="1" t="s">
        <v>13466</v>
      </c>
      <c r="D2699" s="5" t="s">
        <v>18137</v>
      </c>
      <c r="E2699" s="32">
        <v>2</v>
      </c>
      <c r="F2699" s="27">
        <v>842</v>
      </c>
      <c r="G2699" s="32">
        <v>23</v>
      </c>
      <c r="H2699" s="27">
        <v>10431</v>
      </c>
      <c r="I2699" s="27">
        <v>421</v>
      </c>
      <c r="J2699" s="27">
        <v>453.52173913043481</v>
      </c>
      <c r="K2699" s="29">
        <v>7.7248786533099315E-2</v>
      </c>
    </row>
    <row r="2700" spans="1:11" x14ac:dyDescent="0.25">
      <c r="A2700" s="5" t="s">
        <v>6</v>
      </c>
      <c r="B2700" s="5" t="s">
        <v>13468</v>
      </c>
      <c r="C2700" s="1" t="s">
        <v>13469</v>
      </c>
      <c r="D2700" s="5" t="s">
        <v>18137</v>
      </c>
      <c r="E2700" s="32">
        <v>5</v>
      </c>
      <c r="F2700" s="27">
        <v>2072</v>
      </c>
      <c r="G2700" s="32">
        <v>15</v>
      </c>
      <c r="H2700" s="27">
        <v>6689</v>
      </c>
      <c r="I2700" s="27">
        <v>414.4</v>
      </c>
      <c r="J2700" s="27">
        <v>445.93333333333334</v>
      </c>
      <c r="K2700" s="29">
        <v>7.6093951093951159E-2</v>
      </c>
    </row>
    <row r="2701" spans="1:11" x14ac:dyDescent="0.25">
      <c r="A2701" s="5" t="s">
        <v>6</v>
      </c>
      <c r="B2701" s="5" t="s">
        <v>13471</v>
      </c>
      <c r="C2701" s="1" t="s">
        <v>13472</v>
      </c>
      <c r="D2701" s="5" t="s">
        <v>18137</v>
      </c>
      <c r="E2701" s="32">
        <v>3</v>
      </c>
      <c r="F2701" s="27">
        <v>1049</v>
      </c>
      <c r="G2701" s="32">
        <v>10</v>
      </c>
      <c r="H2701" s="27">
        <v>3735</v>
      </c>
      <c r="I2701" s="27">
        <v>349.66666666666669</v>
      </c>
      <c r="J2701" s="27">
        <v>373.5</v>
      </c>
      <c r="K2701" s="29">
        <v>6.8160152526215392E-2</v>
      </c>
    </row>
    <row r="2702" spans="1:11" x14ac:dyDescent="0.25">
      <c r="A2702" s="5" t="s">
        <v>6</v>
      </c>
      <c r="B2702" s="5" t="s">
        <v>13474</v>
      </c>
      <c r="C2702" s="1" t="s">
        <v>13475</v>
      </c>
      <c r="D2702" s="5" t="s">
        <v>18136</v>
      </c>
      <c r="E2702" s="32">
        <v>13741</v>
      </c>
      <c r="F2702" s="27">
        <v>5137698</v>
      </c>
      <c r="G2702" s="32">
        <v>16886</v>
      </c>
      <c r="H2702" s="27">
        <v>6711768</v>
      </c>
      <c r="I2702" s="27">
        <v>373.89549523324359</v>
      </c>
      <c r="J2702" s="27">
        <v>397.47530498637923</v>
      </c>
      <c r="K2702" s="29">
        <v>6.306524163503513E-2</v>
      </c>
    </row>
    <row r="2703" spans="1:11" x14ac:dyDescent="0.25">
      <c r="A2703" s="5" t="s">
        <v>6</v>
      </c>
      <c r="B2703" s="5" t="s">
        <v>13477</v>
      </c>
      <c r="C2703" s="1" t="s">
        <v>13341</v>
      </c>
      <c r="D2703" s="5" t="s">
        <v>18116</v>
      </c>
      <c r="E2703" s="32">
        <v>118</v>
      </c>
      <c r="F2703" s="27">
        <v>31388</v>
      </c>
      <c r="G2703" s="32">
        <v>91</v>
      </c>
      <c r="H2703" s="27">
        <v>26075</v>
      </c>
      <c r="I2703" s="27">
        <v>266</v>
      </c>
      <c r="J2703" s="27">
        <v>286.53846153846155</v>
      </c>
      <c r="K2703" s="29">
        <v>7.7212261422787767E-2</v>
      </c>
    </row>
    <row r="2704" spans="1:11" x14ac:dyDescent="0.25">
      <c r="A2704" s="5" t="s">
        <v>6</v>
      </c>
      <c r="B2704" s="5" t="s">
        <v>13478</v>
      </c>
      <c r="C2704" s="1" t="s">
        <v>13479</v>
      </c>
      <c r="D2704" s="5" t="s">
        <v>18138</v>
      </c>
      <c r="E2704" s="32">
        <v>17</v>
      </c>
      <c r="F2704" s="27">
        <v>4480</v>
      </c>
      <c r="G2704" s="32">
        <v>9</v>
      </c>
      <c r="H2704" s="27">
        <v>2562</v>
      </c>
      <c r="I2704" s="27">
        <v>263.52941176470586</v>
      </c>
      <c r="J2704" s="27">
        <v>284.66666666666669</v>
      </c>
      <c r="K2704" s="29">
        <v>8.020833333333352E-2</v>
      </c>
    </row>
    <row r="2705" spans="1:11" x14ac:dyDescent="0.25">
      <c r="A2705" s="5" t="s">
        <v>6</v>
      </c>
      <c r="B2705" s="5" t="s">
        <v>13481</v>
      </c>
      <c r="C2705" s="1" t="s">
        <v>13344</v>
      </c>
      <c r="D2705" s="5" t="s">
        <v>18139</v>
      </c>
      <c r="E2705" s="32">
        <v>2</v>
      </c>
      <c r="F2705" s="27">
        <v>511</v>
      </c>
      <c r="G2705" s="32">
        <v>11</v>
      </c>
      <c r="H2705" s="27">
        <v>3052</v>
      </c>
      <c r="I2705" s="27">
        <v>255.5</v>
      </c>
      <c r="J2705" s="27">
        <v>277.45454545454544</v>
      </c>
      <c r="K2705" s="29">
        <v>8.592777085927765E-2</v>
      </c>
    </row>
    <row r="2706" spans="1:11" x14ac:dyDescent="0.25">
      <c r="A2706" s="5" t="s">
        <v>6</v>
      </c>
      <c r="B2706" s="5" t="s">
        <v>13483</v>
      </c>
      <c r="C2706" s="1" t="s">
        <v>13484</v>
      </c>
      <c r="E2706" s="32">
        <v>2005</v>
      </c>
      <c r="F2706" s="27">
        <v>4890790</v>
      </c>
      <c r="G2706" s="32">
        <v>1653</v>
      </c>
      <c r="H2706" s="27">
        <v>4294452</v>
      </c>
      <c r="I2706" s="27">
        <v>2439.2967581047383</v>
      </c>
      <c r="J2706" s="27">
        <v>2597.9745916515426</v>
      </c>
      <c r="K2706" s="29">
        <v>6.5050647494851066E-2</v>
      </c>
    </row>
    <row r="2707" spans="1:11" x14ac:dyDescent="0.25">
      <c r="A2707" s="5" t="s">
        <v>6</v>
      </c>
      <c r="B2707" s="5" t="s">
        <v>13486</v>
      </c>
      <c r="C2707" s="1" t="s">
        <v>13487</v>
      </c>
      <c r="E2707" s="32">
        <v>122</v>
      </c>
      <c r="F2707" s="27">
        <v>317795</v>
      </c>
      <c r="G2707" s="32">
        <v>124</v>
      </c>
      <c r="H2707" s="27">
        <v>344340</v>
      </c>
      <c r="I2707" s="27">
        <v>2604.877049180328</v>
      </c>
      <c r="J2707" s="27">
        <v>2776.9354838709678</v>
      </c>
      <c r="K2707" s="29">
        <v>6.6052420687103514E-2</v>
      </c>
    </row>
    <row r="2708" spans="1:11" x14ac:dyDescent="0.25">
      <c r="A2708" s="5" t="s">
        <v>6</v>
      </c>
      <c r="B2708" s="5" t="s">
        <v>13489</v>
      </c>
      <c r="C2708" s="1" t="s">
        <v>13490</v>
      </c>
      <c r="E2708" s="32">
        <v>24</v>
      </c>
      <c r="F2708" s="27">
        <v>61962</v>
      </c>
      <c r="G2708" s="32">
        <v>35</v>
      </c>
      <c r="H2708" s="27">
        <v>98309</v>
      </c>
      <c r="I2708" s="27">
        <v>2581.75</v>
      </c>
      <c r="J2708" s="27">
        <v>2808.8285714285716</v>
      </c>
      <c r="K2708" s="29">
        <v>8.7955290569796327E-2</v>
      </c>
    </row>
    <row r="2709" spans="1:11" x14ac:dyDescent="0.25">
      <c r="A2709" s="5" t="s">
        <v>6</v>
      </c>
      <c r="B2709" s="5" t="s">
        <v>13492</v>
      </c>
      <c r="C2709" s="1" t="s">
        <v>13493</v>
      </c>
      <c r="E2709" s="32">
        <v>14</v>
      </c>
      <c r="F2709" s="27">
        <v>36040</v>
      </c>
      <c r="G2709" s="32">
        <v>5</v>
      </c>
      <c r="H2709" s="27">
        <v>13803</v>
      </c>
      <c r="I2709" s="27">
        <v>2574.2857142857142</v>
      </c>
      <c r="J2709" s="27">
        <v>2760.6</v>
      </c>
      <c r="K2709" s="29">
        <v>7.2375138734739164E-2</v>
      </c>
    </row>
    <row r="2710" spans="1:11" x14ac:dyDescent="0.25">
      <c r="A2710" s="5" t="s">
        <v>6</v>
      </c>
      <c r="B2710" s="5" t="s">
        <v>13495</v>
      </c>
      <c r="C2710" s="1" t="s">
        <v>13496</v>
      </c>
      <c r="E2710" s="32">
        <v>5</v>
      </c>
      <c r="F2710" s="27">
        <v>12961</v>
      </c>
      <c r="G2710" s="32">
        <v>6</v>
      </c>
      <c r="H2710" s="27">
        <v>16859</v>
      </c>
      <c r="I2710" s="27">
        <v>2592.1999999999998</v>
      </c>
      <c r="J2710" s="27">
        <v>2809.8333333333335</v>
      </c>
      <c r="K2710" s="29">
        <v>8.3956999202736554E-2</v>
      </c>
    </row>
    <row r="2711" spans="1:11" x14ac:dyDescent="0.25">
      <c r="A2711" s="5" t="s">
        <v>6</v>
      </c>
      <c r="B2711" s="5" t="s">
        <v>13498</v>
      </c>
      <c r="C2711" s="1" t="s">
        <v>13499</v>
      </c>
      <c r="E2711" s="32">
        <v>2</v>
      </c>
      <c r="F2711" s="27">
        <v>5268</v>
      </c>
      <c r="G2711" s="32">
        <v>10</v>
      </c>
      <c r="H2711" s="27">
        <v>27817</v>
      </c>
      <c r="I2711" s="27">
        <v>2634</v>
      </c>
      <c r="J2711" s="27">
        <v>2781.7</v>
      </c>
      <c r="K2711" s="29">
        <v>5.6074411541381861E-2</v>
      </c>
    </row>
    <row r="2712" spans="1:11" x14ac:dyDescent="0.25">
      <c r="A2712" s="5" t="s">
        <v>6</v>
      </c>
      <c r="B2712" s="5" t="s">
        <v>13501</v>
      </c>
      <c r="C2712" s="1" t="s">
        <v>13347</v>
      </c>
      <c r="D2712" s="5" t="s">
        <v>18140</v>
      </c>
      <c r="E2712" s="32">
        <v>27</v>
      </c>
      <c r="F2712" s="27">
        <v>63913.5</v>
      </c>
      <c r="I2712" s="27">
        <v>2367.1666666666665</v>
      </c>
    </row>
    <row r="2713" spans="1:11" x14ac:dyDescent="0.25">
      <c r="A2713" s="5" t="s">
        <v>6</v>
      </c>
      <c r="B2713" s="5" t="s">
        <v>13506</v>
      </c>
      <c r="C2713" s="1" t="s">
        <v>13414</v>
      </c>
      <c r="D2713" s="5" t="s">
        <v>18133</v>
      </c>
      <c r="E2713" s="32">
        <v>16</v>
      </c>
      <c r="F2713" s="27">
        <v>3544</v>
      </c>
      <c r="G2713" s="32">
        <v>9</v>
      </c>
      <c r="H2713" s="27">
        <v>2142</v>
      </c>
      <c r="I2713" s="27">
        <v>221.5</v>
      </c>
      <c r="J2713" s="27">
        <v>238</v>
      </c>
      <c r="K2713" s="29">
        <v>7.4492099322799099E-2</v>
      </c>
    </row>
    <row r="2714" spans="1:11" x14ac:dyDescent="0.25">
      <c r="A2714" s="5" t="s">
        <v>6</v>
      </c>
      <c r="B2714" s="5" t="s">
        <v>13507</v>
      </c>
      <c r="C2714" s="1" t="s">
        <v>13417</v>
      </c>
      <c r="D2714" s="5" t="s">
        <v>18134</v>
      </c>
      <c r="E2714" s="32">
        <v>2</v>
      </c>
      <c r="F2714" s="27">
        <v>471</v>
      </c>
      <c r="I2714" s="27">
        <v>235.5</v>
      </c>
    </row>
    <row r="2715" spans="1:11" x14ac:dyDescent="0.25">
      <c r="A2715" s="5" t="s">
        <v>6</v>
      </c>
      <c r="B2715" s="5" t="s">
        <v>13508</v>
      </c>
      <c r="C2715" s="1" t="s">
        <v>218</v>
      </c>
      <c r="D2715" s="5" t="s">
        <v>18123</v>
      </c>
      <c r="E2715" s="32">
        <v>104</v>
      </c>
      <c r="F2715" s="27">
        <v>161737</v>
      </c>
      <c r="G2715" s="32">
        <v>128</v>
      </c>
      <c r="H2715" s="27">
        <v>214458</v>
      </c>
      <c r="I2715" s="27">
        <v>1555.1634615384614</v>
      </c>
      <c r="J2715" s="27">
        <v>1675.453125</v>
      </c>
      <c r="K2715" s="29">
        <v>7.7348565881647444E-2</v>
      </c>
    </row>
    <row r="2716" spans="1:11" x14ac:dyDescent="0.25">
      <c r="A2716" s="5" t="s">
        <v>6</v>
      </c>
      <c r="B2716" s="5" t="s">
        <v>13509</v>
      </c>
      <c r="C2716" s="1" t="s">
        <v>13387</v>
      </c>
      <c r="D2716" s="5" t="s">
        <v>18124</v>
      </c>
      <c r="E2716" s="32">
        <v>7598</v>
      </c>
      <c r="F2716" s="27">
        <v>3263992</v>
      </c>
      <c r="G2716" s="32">
        <v>13390</v>
      </c>
      <c r="H2716" s="27">
        <v>6136285</v>
      </c>
      <c r="I2716" s="27">
        <v>429.58568044222164</v>
      </c>
      <c r="J2716" s="27">
        <v>458.27371172516803</v>
      </c>
      <c r="K2716" s="29">
        <v>6.6780697283518653E-2</v>
      </c>
    </row>
    <row r="2717" spans="1:11" x14ac:dyDescent="0.25">
      <c r="A2717" s="5" t="s">
        <v>6</v>
      </c>
      <c r="B2717" s="5" t="s">
        <v>13510</v>
      </c>
      <c r="C2717" s="1" t="s">
        <v>221</v>
      </c>
      <c r="D2717" s="5" t="s">
        <v>18125</v>
      </c>
      <c r="E2717" s="32">
        <v>650</v>
      </c>
      <c r="F2717" s="27">
        <v>1012325</v>
      </c>
      <c r="G2717" s="32">
        <v>791</v>
      </c>
      <c r="H2717" s="27">
        <v>1320018</v>
      </c>
      <c r="I2717" s="27">
        <v>1557.4230769230769</v>
      </c>
      <c r="J2717" s="27">
        <v>1668.7964601769911</v>
      </c>
      <c r="K2717" s="29">
        <v>7.1511322070525005E-2</v>
      </c>
    </row>
    <row r="2718" spans="1:11" x14ac:dyDescent="0.25">
      <c r="A2718" s="5" t="s">
        <v>6</v>
      </c>
      <c r="B2718" s="5" t="s">
        <v>13511</v>
      </c>
      <c r="C2718" s="1" t="s">
        <v>224</v>
      </c>
      <c r="D2718" s="5" t="s">
        <v>18126</v>
      </c>
      <c r="E2718" s="32">
        <v>3473</v>
      </c>
      <c r="F2718" s="27">
        <v>1491331</v>
      </c>
      <c r="G2718" s="32">
        <v>5077</v>
      </c>
      <c r="H2718" s="27">
        <v>2331166</v>
      </c>
      <c r="I2718" s="27">
        <v>429.4071408004607</v>
      </c>
      <c r="J2718" s="27">
        <v>459.16210360449082</v>
      </c>
      <c r="K2718" s="29">
        <v>6.929312528097159E-2</v>
      </c>
    </row>
    <row r="2719" spans="1:11" x14ac:dyDescent="0.25">
      <c r="A2719" s="5" t="s">
        <v>6</v>
      </c>
      <c r="B2719" s="5" t="s">
        <v>13512</v>
      </c>
      <c r="C2719" s="1" t="s">
        <v>13392</v>
      </c>
      <c r="D2719" s="5" t="s">
        <v>18127</v>
      </c>
      <c r="E2719" s="32">
        <v>427</v>
      </c>
      <c r="F2719" s="27">
        <v>182715</v>
      </c>
      <c r="G2719" s="32">
        <v>653</v>
      </c>
      <c r="H2719" s="27">
        <v>299304</v>
      </c>
      <c r="I2719" s="27">
        <v>427.90398126463703</v>
      </c>
      <c r="J2719" s="27">
        <v>458.35222052067382</v>
      </c>
      <c r="K2719" s="29">
        <v>7.1156709423570663E-2</v>
      </c>
    </row>
    <row r="2720" spans="1:11" x14ac:dyDescent="0.25">
      <c r="A2720" s="5" t="s">
        <v>6</v>
      </c>
      <c r="B2720" s="5" t="s">
        <v>13513</v>
      </c>
      <c r="C2720" s="1" t="s">
        <v>13395</v>
      </c>
      <c r="D2720" s="5" t="s">
        <v>18128</v>
      </c>
      <c r="E2720" s="32">
        <v>126</v>
      </c>
      <c r="F2720" s="27">
        <v>55601</v>
      </c>
      <c r="G2720" s="32">
        <v>201</v>
      </c>
      <c r="H2720" s="27">
        <v>94866</v>
      </c>
      <c r="I2720" s="27">
        <v>441.27777777777777</v>
      </c>
      <c r="J2720" s="27">
        <v>471.97014925373134</v>
      </c>
      <c r="K2720" s="29">
        <v>6.9553403823135365E-2</v>
      </c>
    </row>
    <row r="2721" spans="1:11" x14ac:dyDescent="0.25">
      <c r="A2721" s="5" t="s">
        <v>6</v>
      </c>
      <c r="B2721" s="5" t="s">
        <v>13514</v>
      </c>
      <c r="C2721" s="1" t="s">
        <v>227</v>
      </c>
      <c r="D2721" s="5" t="s">
        <v>17196</v>
      </c>
      <c r="E2721" s="32">
        <v>412</v>
      </c>
      <c r="F2721" s="27">
        <v>174622</v>
      </c>
      <c r="G2721" s="32">
        <v>375</v>
      </c>
      <c r="H2721" s="27">
        <v>171370</v>
      </c>
      <c r="I2721" s="27">
        <v>423.83980582524271</v>
      </c>
      <c r="J2721" s="27">
        <v>456.98666666666668</v>
      </c>
      <c r="K2721" s="29">
        <v>7.8206106141646969E-2</v>
      </c>
    </row>
    <row r="2722" spans="1:11" x14ac:dyDescent="0.25">
      <c r="A2722" s="5" t="s">
        <v>6</v>
      </c>
      <c r="B2722" s="5" t="s">
        <v>13515</v>
      </c>
      <c r="C2722" s="1" t="s">
        <v>230</v>
      </c>
      <c r="D2722" s="5" t="s">
        <v>18129</v>
      </c>
      <c r="E2722" s="32">
        <v>1474</v>
      </c>
      <c r="F2722" s="27">
        <v>625866</v>
      </c>
      <c r="G2722" s="32">
        <v>1590</v>
      </c>
      <c r="H2722" s="27">
        <v>726620</v>
      </c>
      <c r="I2722" s="27">
        <v>424.60379918588876</v>
      </c>
      <c r="J2722" s="27">
        <v>456.99371069182388</v>
      </c>
      <c r="K2722" s="29">
        <v>7.6282670028006566E-2</v>
      </c>
    </row>
    <row r="2723" spans="1:11" x14ac:dyDescent="0.25">
      <c r="A2723" s="5" t="s">
        <v>6</v>
      </c>
      <c r="B2723" s="5" t="s">
        <v>13516</v>
      </c>
      <c r="C2723" s="1" t="s">
        <v>13400</v>
      </c>
      <c r="D2723" s="5" t="s">
        <v>18130</v>
      </c>
      <c r="E2723" s="32">
        <v>3013</v>
      </c>
      <c r="F2723" s="27">
        <v>1219124</v>
      </c>
      <c r="G2723" s="32">
        <v>2833</v>
      </c>
      <c r="H2723" s="27">
        <v>1231838</v>
      </c>
      <c r="I2723" s="27">
        <v>404.62130766677728</v>
      </c>
      <c r="J2723" s="27">
        <v>434.81750794211086</v>
      </c>
      <c r="K2723" s="29">
        <v>7.4628299852664767E-2</v>
      </c>
    </row>
    <row r="2724" spans="1:11" x14ac:dyDescent="0.25">
      <c r="A2724" s="5" t="s">
        <v>6</v>
      </c>
      <c r="B2724" s="5" t="s">
        <v>13517</v>
      </c>
      <c r="C2724" s="1" t="s">
        <v>236</v>
      </c>
      <c r="D2724" s="5" t="s">
        <v>18131</v>
      </c>
      <c r="E2724" s="32">
        <v>1822</v>
      </c>
      <c r="F2724" s="27">
        <v>702375</v>
      </c>
      <c r="G2724" s="32">
        <v>1824</v>
      </c>
      <c r="H2724" s="27">
        <v>754807</v>
      </c>
      <c r="I2724" s="27">
        <v>385.49670691547749</v>
      </c>
      <c r="J2724" s="27">
        <v>413.81962719298247</v>
      </c>
      <c r="K2724" s="29">
        <v>7.3471237936449996E-2</v>
      </c>
    </row>
    <row r="2725" spans="1:11" x14ac:dyDescent="0.25">
      <c r="A2725" s="5" t="s">
        <v>6</v>
      </c>
      <c r="B2725" s="5" t="s">
        <v>13518</v>
      </c>
      <c r="C2725" s="1" t="s">
        <v>13519</v>
      </c>
      <c r="E2725" s="32">
        <v>7</v>
      </c>
      <c r="F2725" s="27">
        <v>2134</v>
      </c>
      <c r="I2725" s="27">
        <v>304.85714285714283</v>
      </c>
    </row>
    <row r="2726" spans="1:11" x14ac:dyDescent="0.25">
      <c r="A2726" s="5" t="s">
        <v>6</v>
      </c>
      <c r="B2726" s="5" t="s">
        <v>13520</v>
      </c>
      <c r="C2726" s="1" t="s">
        <v>13521</v>
      </c>
      <c r="E2726" s="32">
        <v>8</v>
      </c>
      <c r="F2726" s="27">
        <v>6816</v>
      </c>
      <c r="I2726" s="27">
        <v>852</v>
      </c>
    </row>
    <row r="2727" spans="1:11" x14ac:dyDescent="0.25">
      <c r="A2727" s="5" t="s">
        <v>6</v>
      </c>
      <c r="B2727" s="5" t="s">
        <v>13522</v>
      </c>
      <c r="C2727" s="1" t="s">
        <v>13523</v>
      </c>
      <c r="E2727" s="32">
        <v>41</v>
      </c>
      <c r="F2727" s="27">
        <v>56811</v>
      </c>
      <c r="G2727" s="32">
        <v>94</v>
      </c>
      <c r="H2727" s="27">
        <v>134750</v>
      </c>
      <c r="I2727" s="27">
        <v>1385.6341463414635</v>
      </c>
      <c r="J2727" s="27">
        <v>1433.5106382978724</v>
      </c>
      <c r="K2727" s="29">
        <v>3.4552043974103004E-2</v>
      </c>
    </row>
    <row r="2728" spans="1:11" x14ac:dyDescent="0.25">
      <c r="A2728" s="5" t="s">
        <v>6</v>
      </c>
      <c r="B2728" s="5" t="s">
        <v>13530</v>
      </c>
      <c r="C2728" s="1" t="s">
        <v>4630</v>
      </c>
      <c r="E2728" s="32">
        <v>175</v>
      </c>
      <c r="F2728" s="27">
        <v>862848</v>
      </c>
      <c r="G2728" s="32">
        <v>147</v>
      </c>
      <c r="H2728" s="27">
        <v>778359</v>
      </c>
      <c r="I2728" s="27">
        <v>4930.5600000000004</v>
      </c>
      <c r="J2728" s="27">
        <v>5294.9591836734689</v>
      </c>
      <c r="K2728" s="29">
        <v>7.3906246688706462E-2</v>
      </c>
    </row>
    <row r="2729" spans="1:11" x14ac:dyDescent="0.25">
      <c r="A2729" s="5" t="s">
        <v>6</v>
      </c>
      <c r="B2729" s="5" t="s">
        <v>13531</v>
      </c>
      <c r="C2729" s="1" t="s">
        <v>13532</v>
      </c>
      <c r="E2729" s="32">
        <v>3141</v>
      </c>
      <c r="F2729" s="27">
        <v>0</v>
      </c>
      <c r="G2729" s="32">
        <v>2750</v>
      </c>
      <c r="H2729" s="27">
        <v>0</v>
      </c>
      <c r="I2729" s="27">
        <v>0</v>
      </c>
      <c r="J2729" s="27">
        <v>0</v>
      </c>
    </row>
    <row r="2730" spans="1:11" x14ac:dyDescent="0.25">
      <c r="A2730" s="5" t="s">
        <v>6</v>
      </c>
      <c r="B2730" s="5" t="s">
        <v>13538</v>
      </c>
      <c r="C2730" s="1" t="s">
        <v>13539</v>
      </c>
      <c r="D2730" s="5" t="s">
        <v>18141</v>
      </c>
      <c r="E2730" s="32">
        <v>7</v>
      </c>
      <c r="F2730" s="27">
        <v>712.67</v>
      </c>
      <c r="G2730" s="32">
        <v>2</v>
      </c>
      <c r="H2730" s="27">
        <v>203.62</v>
      </c>
      <c r="I2730" s="27">
        <v>101.80999999999999</v>
      </c>
      <c r="J2730" s="27">
        <v>101.81</v>
      </c>
      <c r="K2730" s="29">
        <v>1.3958211094393484E-16</v>
      </c>
    </row>
    <row r="2731" spans="1:11" x14ac:dyDescent="0.25">
      <c r="A2731" s="5" t="s">
        <v>6</v>
      </c>
      <c r="B2731" s="5" t="s">
        <v>13559</v>
      </c>
      <c r="C2731" s="1" t="s">
        <v>13560</v>
      </c>
      <c r="D2731" s="5" t="s">
        <v>18142</v>
      </c>
      <c r="E2731" s="32">
        <v>4</v>
      </c>
      <c r="F2731" s="27">
        <v>2500</v>
      </c>
      <c r="I2731" s="27">
        <v>625</v>
      </c>
    </row>
    <row r="2732" spans="1:11" x14ac:dyDescent="0.25">
      <c r="A2732" s="5" t="s">
        <v>6</v>
      </c>
      <c r="B2732" s="5" t="s">
        <v>13569</v>
      </c>
      <c r="C2732" s="1" t="s">
        <v>3328</v>
      </c>
      <c r="D2732" s="5" t="s">
        <v>18143</v>
      </c>
      <c r="E2732" s="32">
        <v>1</v>
      </c>
      <c r="F2732" s="27">
        <v>674.89</v>
      </c>
      <c r="I2732" s="27">
        <v>674.89</v>
      </c>
    </row>
    <row r="2733" spans="1:11" x14ac:dyDescent="0.25">
      <c r="A2733" s="5" t="s">
        <v>6</v>
      </c>
      <c r="B2733" s="5" t="s">
        <v>13573</v>
      </c>
      <c r="C2733" s="1" t="s">
        <v>13574</v>
      </c>
      <c r="D2733" s="5" t="s">
        <v>18144</v>
      </c>
      <c r="E2733" s="32">
        <v>1</v>
      </c>
      <c r="F2733" s="27">
        <v>20.75</v>
      </c>
      <c r="I2733" s="27">
        <v>20.75</v>
      </c>
    </row>
    <row r="2734" spans="1:11" x14ac:dyDescent="0.25">
      <c r="A2734" s="5" t="s">
        <v>6</v>
      </c>
      <c r="B2734" s="5" t="s">
        <v>13576</v>
      </c>
      <c r="C2734" s="1" t="s">
        <v>3325</v>
      </c>
      <c r="D2734" s="5" t="s">
        <v>17434</v>
      </c>
      <c r="E2734" s="32">
        <v>8</v>
      </c>
      <c r="F2734" s="27">
        <v>1734.17</v>
      </c>
      <c r="I2734" s="27">
        <v>216.77125000000001</v>
      </c>
    </row>
    <row r="2735" spans="1:11" x14ac:dyDescent="0.25">
      <c r="A2735" s="5" t="s">
        <v>6</v>
      </c>
      <c r="B2735" s="5" t="s">
        <v>13577</v>
      </c>
      <c r="C2735" s="1" t="s">
        <v>13578</v>
      </c>
      <c r="D2735" s="5" t="s">
        <v>18145</v>
      </c>
      <c r="E2735" s="32">
        <v>54</v>
      </c>
      <c r="F2735" s="27">
        <v>11689.95</v>
      </c>
      <c r="I2735" s="27">
        <v>216.48055555555558</v>
      </c>
    </row>
    <row r="2736" spans="1:11" x14ac:dyDescent="0.25">
      <c r="A2736" s="5" t="s">
        <v>6</v>
      </c>
      <c r="B2736" s="5" t="s">
        <v>13583</v>
      </c>
      <c r="C2736" s="1" t="s">
        <v>13584</v>
      </c>
      <c r="D2736" s="5" t="s">
        <v>18146</v>
      </c>
      <c r="E2736" s="32">
        <v>4</v>
      </c>
      <c r="F2736" s="27">
        <v>2541.19</v>
      </c>
      <c r="I2736" s="27">
        <v>635.29750000000001</v>
      </c>
    </row>
    <row r="2737" spans="1:11" x14ac:dyDescent="0.25">
      <c r="A2737" s="5" t="s">
        <v>6</v>
      </c>
      <c r="B2737" s="5" t="s">
        <v>18147</v>
      </c>
      <c r="C2737" s="1" t="s">
        <v>18148</v>
      </c>
      <c r="E2737" s="32">
        <v>18</v>
      </c>
      <c r="F2737" s="27">
        <v>6295.1</v>
      </c>
      <c r="I2737" s="27">
        <v>349.72777777777782</v>
      </c>
    </row>
    <row r="2738" spans="1:11" x14ac:dyDescent="0.25">
      <c r="A2738" s="5" t="s">
        <v>6</v>
      </c>
      <c r="B2738" s="5" t="s">
        <v>13597</v>
      </c>
      <c r="C2738" s="1" t="s">
        <v>13551</v>
      </c>
      <c r="D2738" s="5" t="s">
        <v>18149</v>
      </c>
      <c r="E2738" s="32">
        <v>52</v>
      </c>
      <c r="F2738" s="27">
        <v>5200</v>
      </c>
      <c r="G2738" s="32">
        <v>94</v>
      </c>
      <c r="H2738" s="27">
        <v>9400</v>
      </c>
      <c r="I2738" s="27">
        <v>100</v>
      </c>
      <c r="J2738" s="27">
        <v>100</v>
      </c>
      <c r="K2738" s="29">
        <v>0</v>
      </c>
    </row>
    <row r="2739" spans="1:11" x14ac:dyDescent="0.25">
      <c r="A2739" s="5" t="s">
        <v>6</v>
      </c>
      <c r="B2739" s="5" t="s">
        <v>13600</v>
      </c>
      <c r="C2739" s="1" t="s">
        <v>2799</v>
      </c>
      <c r="D2739" s="5" t="s">
        <v>17327</v>
      </c>
      <c r="E2739" s="32">
        <v>2</v>
      </c>
      <c r="F2739" s="27">
        <v>40</v>
      </c>
      <c r="I2739" s="27">
        <v>20</v>
      </c>
    </row>
    <row r="2740" spans="1:11" x14ac:dyDescent="0.25">
      <c r="A2740" s="5" t="s">
        <v>6</v>
      </c>
      <c r="B2740" s="5" t="s">
        <v>13601</v>
      </c>
      <c r="C2740" s="1" t="s">
        <v>13554</v>
      </c>
      <c r="D2740" s="5" t="s">
        <v>18150</v>
      </c>
      <c r="E2740" s="32">
        <v>47</v>
      </c>
      <c r="F2740" s="27">
        <v>1880</v>
      </c>
      <c r="G2740" s="32">
        <v>53</v>
      </c>
      <c r="H2740" s="27">
        <v>2120</v>
      </c>
      <c r="I2740" s="27">
        <v>40</v>
      </c>
      <c r="J2740" s="27">
        <v>40</v>
      </c>
      <c r="K2740" s="29">
        <v>0</v>
      </c>
    </row>
    <row r="2741" spans="1:11" x14ac:dyDescent="0.25">
      <c r="A2741" s="5" t="s">
        <v>6</v>
      </c>
      <c r="B2741" s="5" t="s">
        <v>13602</v>
      </c>
      <c r="C2741" s="1" t="s">
        <v>13537</v>
      </c>
      <c r="D2741" s="5" t="s">
        <v>18151</v>
      </c>
      <c r="E2741" s="32">
        <v>3</v>
      </c>
      <c r="F2741" s="27">
        <v>135</v>
      </c>
      <c r="I2741" s="27">
        <v>45</v>
      </c>
    </row>
    <row r="2742" spans="1:11" x14ac:dyDescent="0.25">
      <c r="A2742" s="5" t="s">
        <v>6</v>
      </c>
      <c r="B2742" s="5" t="s">
        <v>13603</v>
      </c>
      <c r="C2742" s="1" t="s">
        <v>2811</v>
      </c>
      <c r="D2742" s="5" t="s">
        <v>18152</v>
      </c>
      <c r="E2742" s="32">
        <v>463</v>
      </c>
      <c r="F2742" s="27">
        <v>12598.23</v>
      </c>
      <c r="G2742" s="32">
        <v>457</v>
      </c>
      <c r="H2742" s="27">
        <v>12434.97</v>
      </c>
      <c r="I2742" s="27">
        <v>27.209999999999997</v>
      </c>
      <c r="J2742" s="27">
        <v>27.209999999999997</v>
      </c>
      <c r="K2742" s="29">
        <v>0</v>
      </c>
    </row>
    <row r="2743" spans="1:11" x14ac:dyDescent="0.25">
      <c r="A2743" s="5" t="s">
        <v>6</v>
      </c>
      <c r="B2743" s="5" t="s">
        <v>13604</v>
      </c>
      <c r="C2743" s="1" t="s">
        <v>2814</v>
      </c>
      <c r="D2743" s="5" t="s">
        <v>18153</v>
      </c>
      <c r="E2743" s="32">
        <v>427</v>
      </c>
      <c r="F2743" s="27">
        <v>11977.35</v>
      </c>
      <c r="G2743" s="32">
        <v>477</v>
      </c>
      <c r="H2743" s="27">
        <v>13379.85</v>
      </c>
      <c r="I2743" s="27">
        <v>28.05</v>
      </c>
      <c r="J2743" s="27">
        <v>28.05</v>
      </c>
      <c r="K2743" s="29">
        <v>0</v>
      </c>
    </row>
    <row r="2744" spans="1:11" x14ac:dyDescent="0.25">
      <c r="A2744" s="5" t="s">
        <v>6</v>
      </c>
      <c r="B2744" s="5" t="s">
        <v>13639</v>
      </c>
      <c r="C2744" s="1" t="s">
        <v>3291</v>
      </c>
      <c r="D2744" s="5" t="s">
        <v>18154</v>
      </c>
      <c r="E2744" s="32">
        <v>393</v>
      </c>
      <c r="F2744" s="27">
        <v>9718.89</v>
      </c>
      <c r="G2744" s="32">
        <v>695</v>
      </c>
      <c r="H2744" s="27">
        <v>17187.349999999999</v>
      </c>
      <c r="I2744" s="27">
        <v>24.729999999999997</v>
      </c>
      <c r="J2744" s="27">
        <v>24.729999999999997</v>
      </c>
      <c r="K2744" s="29">
        <v>0</v>
      </c>
    </row>
    <row r="2745" spans="1:11" x14ac:dyDescent="0.25">
      <c r="A2745" s="5" t="s">
        <v>6</v>
      </c>
      <c r="B2745" s="5" t="s">
        <v>13642</v>
      </c>
      <c r="C2745" s="1" t="s">
        <v>13571</v>
      </c>
      <c r="D2745" s="5" t="s">
        <v>18155</v>
      </c>
      <c r="E2745" s="32">
        <v>1057</v>
      </c>
      <c r="F2745" s="27">
        <v>25653.39</v>
      </c>
      <c r="G2745" s="32">
        <v>1428</v>
      </c>
      <c r="H2745" s="27">
        <v>34657.56</v>
      </c>
      <c r="I2745" s="27">
        <v>24.27</v>
      </c>
      <c r="J2745" s="27">
        <v>24.27</v>
      </c>
      <c r="K2745" s="29">
        <v>0</v>
      </c>
    </row>
    <row r="2746" spans="1:11" x14ac:dyDescent="0.25">
      <c r="A2746" s="5" t="s">
        <v>6</v>
      </c>
      <c r="B2746" s="5" t="s">
        <v>13643</v>
      </c>
      <c r="C2746" s="1" t="s">
        <v>13574</v>
      </c>
      <c r="D2746" s="5" t="s">
        <v>18144</v>
      </c>
      <c r="E2746" s="32">
        <v>360</v>
      </c>
      <c r="F2746" s="27">
        <v>9000</v>
      </c>
      <c r="G2746" s="32">
        <v>816</v>
      </c>
      <c r="H2746" s="27">
        <v>20400</v>
      </c>
      <c r="I2746" s="27">
        <v>25</v>
      </c>
      <c r="J2746" s="27">
        <v>25</v>
      </c>
      <c r="K2746" s="29">
        <v>0</v>
      </c>
    </row>
    <row r="2747" spans="1:11" x14ac:dyDescent="0.25">
      <c r="A2747" s="5" t="s">
        <v>6</v>
      </c>
      <c r="B2747" s="5" t="s">
        <v>13644</v>
      </c>
      <c r="C2747" s="1" t="s">
        <v>3325</v>
      </c>
      <c r="D2747" s="5" t="s">
        <v>17434</v>
      </c>
      <c r="E2747" s="32">
        <v>367</v>
      </c>
      <c r="F2747" s="27">
        <v>16515</v>
      </c>
      <c r="G2747" s="32">
        <v>513</v>
      </c>
      <c r="H2747" s="27">
        <v>23085</v>
      </c>
      <c r="I2747" s="27">
        <v>45</v>
      </c>
      <c r="J2747" s="27">
        <v>45</v>
      </c>
      <c r="K2747" s="29">
        <v>0</v>
      </c>
    </row>
    <row r="2748" spans="1:11" x14ac:dyDescent="0.25">
      <c r="A2748" s="5" t="s">
        <v>6</v>
      </c>
      <c r="B2748" s="5" t="s">
        <v>13645</v>
      </c>
      <c r="C2748" s="1" t="s">
        <v>13646</v>
      </c>
      <c r="D2748" s="5" t="s">
        <v>18156</v>
      </c>
      <c r="E2748" s="32">
        <v>3</v>
      </c>
      <c r="F2748" s="27">
        <v>135</v>
      </c>
      <c r="I2748" s="27">
        <v>45</v>
      </c>
    </row>
    <row r="2749" spans="1:11" x14ac:dyDescent="0.25">
      <c r="A2749" s="5" t="s">
        <v>6</v>
      </c>
      <c r="B2749" s="5" t="s">
        <v>13648</v>
      </c>
      <c r="C2749" s="1" t="s">
        <v>13563</v>
      </c>
      <c r="D2749" s="5" t="s">
        <v>18157</v>
      </c>
      <c r="E2749" s="32">
        <v>58</v>
      </c>
      <c r="F2749" s="27">
        <v>3480</v>
      </c>
      <c r="G2749" s="32">
        <v>95</v>
      </c>
      <c r="H2749" s="27">
        <v>5700</v>
      </c>
      <c r="I2749" s="27">
        <v>60</v>
      </c>
      <c r="J2749" s="27">
        <v>60</v>
      </c>
      <c r="K2749" s="29">
        <v>0</v>
      </c>
    </row>
    <row r="2750" spans="1:11" x14ac:dyDescent="0.25">
      <c r="A2750" s="5" t="s">
        <v>6</v>
      </c>
      <c r="B2750" s="5" t="s">
        <v>13649</v>
      </c>
      <c r="C2750" s="1" t="s">
        <v>13630</v>
      </c>
      <c r="D2750" s="5" t="s">
        <v>18158</v>
      </c>
      <c r="E2750" s="32">
        <v>1</v>
      </c>
      <c r="F2750" s="27">
        <v>125</v>
      </c>
      <c r="I2750" s="27">
        <v>125</v>
      </c>
    </row>
    <row r="2751" spans="1:11" x14ac:dyDescent="0.25">
      <c r="A2751" s="5" t="s">
        <v>6</v>
      </c>
      <c r="B2751" s="5" t="s">
        <v>13650</v>
      </c>
      <c r="C2751" s="1" t="s">
        <v>13581</v>
      </c>
      <c r="D2751" s="5" t="s">
        <v>18159</v>
      </c>
      <c r="E2751" s="32">
        <v>5</v>
      </c>
      <c r="F2751" s="27">
        <v>625</v>
      </c>
      <c r="I2751" s="27">
        <v>125</v>
      </c>
    </row>
    <row r="2752" spans="1:11" x14ac:dyDescent="0.25">
      <c r="A2752" s="5" t="s">
        <v>6</v>
      </c>
      <c r="B2752" s="5" t="s">
        <v>13651</v>
      </c>
      <c r="C2752" s="1" t="s">
        <v>13578</v>
      </c>
      <c r="D2752" s="5" t="s">
        <v>18145</v>
      </c>
      <c r="E2752" s="32">
        <v>1871</v>
      </c>
      <c r="F2752" s="27">
        <v>84195</v>
      </c>
      <c r="G2752" s="32">
        <v>3107</v>
      </c>
      <c r="H2752" s="27">
        <v>139815</v>
      </c>
      <c r="I2752" s="27">
        <v>45</v>
      </c>
      <c r="J2752" s="27">
        <v>45</v>
      </c>
      <c r="K2752" s="29">
        <v>0</v>
      </c>
    </row>
    <row r="2753" spans="1:11" x14ac:dyDescent="0.25">
      <c r="A2753" s="5" t="s">
        <v>6</v>
      </c>
      <c r="B2753" s="5" t="s">
        <v>13652</v>
      </c>
      <c r="C2753" s="1" t="s">
        <v>13653</v>
      </c>
      <c r="D2753" s="5" t="s">
        <v>17422</v>
      </c>
      <c r="E2753" s="32">
        <v>25</v>
      </c>
      <c r="F2753" s="27">
        <v>1468.6</v>
      </c>
      <c r="G2753" s="32">
        <v>44</v>
      </c>
      <c r="H2753" s="27">
        <v>2294.6</v>
      </c>
      <c r="I2753" s="27">
        <v>58.744</v>
      </c>
      <c r="J2753" s="27">
        <v>52.15</v>
      </c>
      <c r="K2753" s="29">
        <v>-0.11224976167778838</v>
      </c>
    </row>
    <row r="2754" spans="1:11" x14ac:dyDescent="0.25">
      <c r="A2754" s="5" t="s">
        <v>6</v>
      </c>
      <c r="B2754" s="5" t="s">
        <v>13655</v>
      </c>
      <c r="C2754" s="1" t="s">
        <v>13574</v>
      </c>
      <c r="D2754" s="5" t="s">
        <v>18144</v>
      </c>
      <c r="E2754" s="32">
        <v>82</v>
      </c>
      <c r="F2754" s="27">
        <v>4435.2</v>
      </c>
      <c r="G2754" s="32">
        <v>128</v>
      </c>
      <c r="H2754" s="27">
        <v>4748.8</v>
      </c>
      <c r="I2754" s="27">
        <v>54.087804878048779</v>
      </c>
      <c r="J2754" s="27">
        <v>37.1</v>
      </c>
      <c r="K2754" s="29">
        <v>-0.31407828282828276</v>
      </c>
    </row>
    <row r="2755" spans="1:11" x14ac:dyDescent="0.25">
      <c r="A2755" s="5" t="s">
        <v>6</v>
      </c>
      <c r="B2755" s="5" t="s">
        <v>13657</v>
      </c>
      <c r="C2755" s="1" t="s">
        <v>13578</v>
      </c>
      <c r="D2755" s="5" t="s">
        <v>18145</v>
      </c>
      <c r="E2755" s="32">
        <v>8</v>
      </c>
      <c r="F2755" s="27">
        <v>488</v>
      </c>
      <c r="I2755" s="27">
        <v>61</v>
      </c>
    </row>
    <row r="2756" spans="1:11" x14ac:dyDescent="0.25">
      <c r="A2756" s="5" t="s">
        <v>6</v>
      </c>
      <c r="B2756" s="5" t="s">
        <v>13659</v>
      </c>
      <c r="C2756" s="1" t="s">
        <v>13660</v>
      </c>
      <c r="D2756" s="5" t="s">
        <v>18160</v>
      </c>
      <c r="E2756" s="32">
        <v>25</v>
      </c>
      <c r="F2756" s="27">
        <v>6213.36</v>
      </c>
      <c r="G2756" s="32">
        <v>40</v>
      </c>
      <c r="H2756" s="27">
        <v>10053.6</v>
      </c>
      <c r="I2756" s="27">
        <v>248.53439999999998</v>
      </c>
      <c r="J2756" s="27">
        <v>251.34</v>
      </c>
      <c r="K2756" s="29">
        <v>1.1288578160608862E-2</v>
      </c>
    </row>
    <row r="2757" spans="1:11" x14ac:dyDescent="0.25">
      <c r="A2757" s="5" t="s">
        <v>6</v>
      </c>
      <c r="B2757" s="5" t="s">
        <v>13661</v>
      </c>
      <c r="C2757" s="1" t="s">
        <v>13662</v>
      </c>
      <c r="D2757" s="5" t="s">
        <v>18161</v>
      </c>
      <c r="E2757" s="32">
        <v>16</v>
      </c>
      <c r="F2757" s="27">
        <v>816</v>
      </c>
      <c r="I2757" s="27">
        <v>51</v>
      </c>
    </row>
    <row r="2758" spans="1:11" x14ac:dyDescent="0.25">
      <c r="A2758" s="5" t="s">
        <v>6</v>
      </c>
      <c r="B2758" s="5" t="s">
        <v>13664</v>
      </c>
      <c r="C2758" s="1" t="s">
        <v>3343</v>
      </c>
      <c r="D2758" s="5" t="s">
        <v>18162</v>
      </c>
      <c r="E2758" s="32">
        <v>25</v>
      </c>
      <c r="F2758" s="27">
        <v>13775.27</v>
      </c>
      <c r="G2758" s="32">
        <v>35</v>
      </c>
      <c r="H2758" s="27">
        <v>22089.55</v>
      </c>
      <c r="I2758" s="27">
        <v>551.01080000000002</v>
      </c>
      <c r="J2758" s="27">
        <v>631.13</v>
      </c>
      <c r="K2758" s="29">
        <v>0.14540404652685568</v>
      </c>
    </row>
    <row r="2759" spans="1:11" x14ac:dyDescent="0.25">
      <c r="A2759" s="5" t="s">
        <v>6</v>
      </c>
      <c r="B2759" s="5" t="s">
        <v>13665</v>
      </c>
      <c r="C2759" s="1" t="s">
        <v>3325</v>
      </c>
      <c r="D2759" s="5" t="s">
        <v>17434</v>
      </c>
      <c r="E2759" s="32">
        <v>3</v>
      </c>
      <c r="F2759" s="27">
        <v>813</v>
      </c>
      <c r="I2759" s="27">
        <v>271</v>
      </c>
    </row>
    <row r="2760" spans="1:11" x14ac:dyDescent="0.25">
      <c r="A2760" s="5" t="s">
        <v>6</v>
      </c>
      <c r="B2760" s="5" t="s">
        <v>13670</v>
      </c>
      <c r="C2760" s="1" t="s">
        <v>3282</v>
      </c>
      <c r="D2760" s="5" t="s">
        <v>17422</v>
      </c>
      <c r="E2760" s="32">
        <v>2</v>
      </c>
      <c r="F2760" s="27">
        <v>210</v>
      </c>
      <c r="I2760" s="27">
        <v>105</v>
      </c>
    </row>
    <row r="2761" spans="1:11" x14ac:dyDescent="0.25">
      <c r="A2761" s="5" t="s">
        <v>6</v>
      </c>
      <c r="B2761" s="5" t="s">
        <v>18163</v>
      </c>
      <c r="C2761" s="1" t="s">
        <v>18148</v>
      </c>
      <c r="E2761" s="32">
        <v>51</v>
      </c>
      <c r="F2761" s="27">
        <v>8692.9</v>
      </c>
      <c r="I2761" s="27">
        <v>170.44901960784313</v>
      </c>
    </row>
    <row r="2762" spans="1:11" x14ac:dyDescent="0.25">
      <c r="A2762" s="5" t="s">
        <v>6</v>
      </c>
      <c r="B2762" s="5" t="s">
        <v>13671</v>
      </c>
      <c r="C2762" s="1" t="s">
        <v>13672</v>
      </c>
      <c r="D2762" s="5" t="s">
        <v>18164</v>
      </c>
      <c r="E2762" s="32">
        <v>30</v>
      </c>
      <c r="F2762" s="27">
        <v>977.4</v>
      </c>
      <c r="G2762" s="32">
        <v>33</v>
      </c>
      <c r="H2762" s="27">
        <v>1075.1400000000001</v>
      </c>
      <c r="I2762" s="27">
        <v>32.58</v>
      </c>
      <c r="J2762" s="27">
        <v>32.580000000000005</v>
      </c>
      <c r="K2762" s="29">
        <v>2.1809169298959491E-16</v>
      </c>
    </row>
    <row r="2763" spans="1:11" x14ac:dyDescent="0.25">
      <c r="A2763" s="5" t="s">
        <v>6</v>
      </c>
      <c r="B2763" s="5" t="s">
        <v>13674</v>
      </c>
      <c r="C2763" s="1" t="s">
        <v>13675</v>
      </c>
      <c r="D2763" s="5" t="s">
        <v>18165</v>
      </c>
      <c r="E2763" s="32">
        <v>22</v>
      </c>
      <c r="F2763" s="27">
        <v>232.98</v>
      </c>
      <c r="G2763" s="32">
        <v>40</v>
      </c>
      <c r="H2763" s="27">
        <v>423.6</v>
      </c>
      <c r="I2763" s="27">
        <v>10.59</v>
      </c>
      <c r="J2763" s="27">
        <v>10.59</v>
      </c>
      <c r="K2763" s="29">
        <v>0</v>
      </c>
    </row>
    <row r="2764" spans="1:11" x14ac:dyDescent="0.25">
      <c r="A2764" s="5" t="s">
        <v>6</v>
      </c>
      <c r="B2764" s="5" t="s">
        <v>13679</v>
      </c>
      <c r="C2764" s="1" t="s">
        <v>13680</v>
      </c>
      <c r="D2764" s="5" t="s">
        <v>18166</v>
      </c>
      <c r="E2764" s="32">
        <v>11</v>
      </c>
      <c r="F2764" s="27">
        <v>9900</v>
      </c>
      <c r="G2764" s="32">
        <v>7</v>
      </c>
      <c r="H2764" s="27">
        <v>6300</v>
      </c>
      <c r="I2764" s="27">
        <v>900</v>
      </c>
      <c r="J2764" s="27">
        <v>900</v>
      </c>
      <c r="K2764" s="29">
        <v>0</v>
      </c>
    </row>
    <row r="2765" spans="1:11" x14ac:dyDescent="0.25">
      <c r="A2765" s="5" t="s">
        <v>6</v>
      </c>
      <c r="B2765" s="5" t="s">
        <v>13684</v>
      </c>
      <c r="C2765" s="1" t="s">
        <v>13685</v>
      </c>
      <c r="D2765" s="5" t="s">
        <v>18167</v>
      </c>
      <c r="E2765" s="32">
        <v>1</v>
      </c>
      <c r="F2765" s="27">
        <v>8.9600000000000009</v>
      </c>
      <c r="G2765" s="32">
        <v>8</v>
      </c>
      <c r="H2765" s="27">
        <v>71.680000000000007</v>
      </c>
      <c r="I2765" s="27">
        <v>8.9600000000000009</v>
      </c>
      <c r="J2765" s="27">
        <v>8.9600000000000009</v>
      </c>
      <c r="K2765" s="29">
        <v>0</v>
      </c>
    </row>
    <row r="2766" spans="1:11" x14ac:dyDescent="0.25">
      <c r="A2766" s="5" t="s">
        <v>6</v>
      </c>
      <c r="B2766" s="5" t="s">
        <v>13688</v>
      </c>
      <c r="C2766" s="1" t="s">
        <v>13689</v>
      </c>
      <c r="D2766" s="5" t="s">
        <v>18168</v>
      </c>
      <c r="E2766" s="32">
        <v>11</v>
      </c>
      <c r="F2766" s="27">
        <v>463.43</v>
      </c>
      <c r="I2766" s="27">
        <v>42.13</v>
      </c>
    </row>
    <row r="2767" spans="1:11" x14ac:dyDescent="0.25">
      <c r="A2767" s="5" t="s">
        <v>6</v>
      </c>
      <c r="B2767" s="5" t="s">
        <v>13694</v>
      </c>
      <c r="C2767" s="1" t="s">
        <v>13695</v>
      </c>
      <c r="D2767" s="5" t="s">
        <v>18169</v>
      </c>
      <c r="E2767" s="32">
        <v>5</v>
      </c>
      <c r="F2767" s="27">
        <v>196.25</v>
      </c>
      <c r="I2767" s="27">
        <v>39.25</v>
      </c>
    </row>
    <row r="2768" spans="1:11" x14ac:dyDescent="0.25">
      <c r="A2768" s="5" t="s">
        <v>6</v>
      </c>
      <c r="B2768" s="5" t="s">
        <v>13698</v>
      </c>
      <c r="C2768" s="1" t="s">
        <v>13699</v>
      </c>
      <c r="D2768" s="5" t="s">
        <v>18168</v>
      </c>
      <c r="E2768" s="32">
        <v>1</v>
      </c>
      <c r="F2768" s="27">
        <v>42.13</v>
      </c>
      <c r="I2768" s="27">
        <v>42.13</v>
      </c>
    </row>
    <row r="2769" spans="1:11" x14ac:dyDescent="0.25">
      <c r="A2769" s="5" t="s">
        <v>6</v>
      </c>
      <c r="B2769" s="5" t="s">
        <v>13700</v>
      </c>
      <c r="C2769" s="1" t="s">
        <v>13701</v>
      </c>
      <c r="D2769" s="5" t="s">
        <v>18170</v>
      </c>
      <c r="E2769" s="32">
        <v>8</v>
      </c>
      <c r="F2769" s="27">
        <v>125.92</v>
      </c>
      <c r="I2769" s="27">
        <v>15.74</v>
      </c>
    </row>
    <row r="2770" spans="1:11" x14ac:dyDescent="0.25">
      <c r="A2770" s="5" t="s">
        <v>6</v>
      </c>
      <c r="B2770" s="5" t="s">
        <v>18171</v>
      </c>
      <c r="C2770" s="1" t="s">
        <v>17285</v>
      </c>
      <c r="D2770" s="5" t="s">
        <v>17286</v>
      </c>
      <c r="E2770" s="32">
        <v>-19</v>
      </c>
      <c r="F2770" s="27">
        <v>-974.89</v>
      </c>
      <c r="I2770" s="27">
        <v>51.31</v>
      </c>
    </row>
    <row r="2771" spans="1:11" x14ac:dyDescent="0.25">
      <c r="A2771" s="5" t="s">
        <v>6</v>
      </c>
      <c r="B2771" s="5" t="s">
        <v>13705</v>
      </c>
      <c r="C2771" s="1" t="s">
        <v>13706</v>
      </c>
      <c r="D2771" s="5" t="s">
        <v>18172</v>
      </c>
      <c r="G2771" s="32">
        <v>7</v>
      </c>
      <c r="H2771" s="27">
        <v>34.159999999999997</v>
      </c>
      <c r="J2771" s="27">
        <v>4.88</v>
      </c>
    </row>
    <row r="2772" spans="1:11" x14ac:dyDescent="0.25">
      <c r="A2772" s="5" t="s">
        <v>6</v>
      </c>
      <c r="B2772" s="5" t="s">
        <v>18173</v>
      </c>
      <c r="C2772" s="1" t="s">
        <v>17274</v>
      </c>
      <c r="D2772" s="5" t="s">
        <v>17275</v>
      </c>
      <c r="E2772" s="32">
        <v>1</v>
      </c>
      <c r="F2772" s="27">
        <v>0.01</v>
      </c>
      <c r="I2772" s="27">
        <v>0.01</v>
      </c>
    </row>
    <row r="2773" spans="1:11" x14ac:dyDescent="0.25">
      <c r="A2773" s="5" t="s">
        <v>6</v>
      </c>
      <c r="B2773" s="5" t="s">
        <v>13711</v>
      </c>
      <c r="C2773" s="1" t="s">
        <v>13712</v>
      </c>
      <c r="D2773" s="5" t="s">
        <v>18174</v>
      </c>
      <c r="G2773" s="32">
        <v>8</v>
      </c>
      <c r="H2773" s="27">
        <v>39.04</v>
      </c>
      <c r="J2773" s="27">
        <v>4.88</v>
      </c>
    </row>
    <row r="2774" spans="1:11" x14ac:dyDescent="0.25">
      <c r="A2774" s="5" t="s">
        <v>6</v>
      </c>
      <c r="B2774" s="5" t="s">
        <v>13741</v>
      </c>
      <c r="C2774" s="1" t="s">
        <v>13742</v>
      </c>
      <c r="D2774" s="5" t="s">
        <v>18175</v>
      </c>
      <c r="E2774" s="32">
        <v>1</v>
      </c>
      <c r="F2774" s="27">
        <v>8.15</v>
      </c>
      <c r="I2774" s="27">
        <v>8.15</v>
      </c>
    </row>
    <row r="2775" spans="1:11" x14ac:dyDescent="0.25">
      <c r="A2775" s="5" t="s">
        <v>6</v>
      </c>
      <c r="B2775" s="5" t="s">
        <v>13745</v>
      </c>
      <c r="C2775" s="1" t="s">
        <v>13746</v>
      </c>
      <c r="D2775" s="5" t="s">
        <v>18176</v>
      </c>
      <c r="E2775" s="32">
        <v>3</v>
      </c>
      <c r="F2775" s="27">
        <v>24.45</v>
      </c>
      <c r="I2775" s="27">
        <v>8.15</v>
      </c>
    </row>
    <row r="2776" spans="1:11" x14ac:dyDescent="0.25">
      <c r="A2776" s="5" t="s">
        <v>6</v>
      </c>
      <c r="B2776" s="5" t="s">
        <v>13750</v>
      </c>
      <c r="C2776" s="1" t="s">
        <v>13751</v>
      </c>
      <c r="D2776" s="5" t="s">
        <v>17269</v>
      </c>
      <c r="E2776" s="32">
        <v>4</v>
      </c>
      <c r="F2776" s="27">
        <v>430.36</v>
      </c>
      <c r="I2776" s="27">
        <v>107.59</v>
      </c>
    </row>
    <row r="2777" spans="1:11" x14ac:dyDescent="0.25">
      <c r="A2777" s="5" t="s">
        <v>6</v>
      </c>
      <c r="B2777" s="5" t="s">
        <v>13753</v>
      </c>
      <c r="C2777" s="1" t="s">
        <v>13754</v>
      </c>
      <c r="D2777" s="5" t="s">
        <v>18177</v>
      </c>
      <c r="E2777" s="32">
        <v>1</v>
      </c>
      <c r="F2777" s="27">
        <v>6.52</v>
      </c>
      <c r="G2777" s="32">
        <v>8</v>
      </c>
      <c r="H2777" s="27">
        <v>52.16</v>
      </c>
      <c r="I2777" s="27">
        <v>6.52</v>
      </c>
      <c r="J2777" s="27">
        <v>6.52</v>
      </c>
      <c r="K2777" s="29">
        <v>0</v>
      </c>
    </row>
    <row r="2778" spans="1:11" x14ac:dyDescent="0.25">
      <c r="A2778" s="5" t="s">
        <v>6</v>
      </c>
      <c r="B2778" s="5" t="s">
        <v>13757</v>
      </c>
      <c r="C2778" s="1" t="s">
        <v>13758</v>
      </c>
      <c r="D2778" s="5" t="s">
        <v>17269</v>
      </c>
      <c r="E2778" s="32">
        <v>169</v>
      </c>
      <c r="F2778" s="27">
        <v>2957.5</v>
      </c>
      <c r="G2778" s="32">
        <v>1236</v>
      </c>
      <c r="H2778" s="27">
        <v>21630</v>
      </c>
      <c r="I2778" s="27">
        <v>17.5</v>
      </c>
      <c r="J2778" s="27">
        <v>17.5</v>
      </c>
      <c r="K2778" s="29">
        <v>0</v>
      </c>
    </row>
    <row r="2779" spans="1:11" x14ac:dyDescent="0.25">
      <c r="A2779" s="5" t="s">
        <v>6</v>
      </c>
      <c r="B2779" s="5" t="s">
        <v>13770</v>
      </c>
      <c r="C2779" s="1" t="s">
        <v>13771</v>
      </c>
      <c r="D2779" s="5" t="s">
        <v>18178</v>
      </c>
      <c r="E2779" s="32">
        <v>0</v>
      </c>
      <c r="F2779" s="27">
        <v>0</v>
      </c>
      <c r="G2779" s="32">
        <v>1</v>
      </c>
      <c r="H2779" s="27">
        <v>100</v>
      </c>
      <c r="J2779" s="27">
        <v>100</v>
      </c>
    </row>
    <row r="2780" spans="1:11" x14ac:dyDescent="0.25">
      <c r="A2780" s="5" t="s">
        <v>6</v>
      </c>
      <c r="B2780" s="5" t="s">
        <v>13782</v>
      </c>
      <c r="C2780" s="1" t="s">
        <v>13783</v>
      </c>
      <c r="D2780" s="5" t="s">
        <v>18168</v>
      </c>
      <c r="E2780" s="32">
        <v>2</v>
      </c>
      <c r="F2780" s="27">
        <v>84.26</v>
      </c>
      <c r="I2780" s="27">
        <v>42.13</v>
      </c>
    </row>
    <row r="2781" spans="1:11" x14ac:dyDescent="0.25">
      <c r="A2781" s="5" t="s">
        <v>6</v>
      </c>
      <c r="B2781" s="5" t="s">
        <v>13785</v>
      </c>
      <c r="C2781" s="1" t="s">
        <v>13786</v>
      </c>
      <c r="D2781" s="5" t="s">
        <v>18179</v>
      </c>
      <c r="E2781" s="32">
        <v>14</v>
      </c>
      <c r="F2781" s="27">
        <v>1078</v>
      </c>
      <c r="I2781" s="27">
        <v>77</v>
      </c>
    </row>
    <row r="2782" spans="1:11" x14ac:dyDescent="0.25">
      <c r="A2782" s="5" t="s">
        <v>6</v>
      </c>
      <c r="B2782" s="5" t="s">
        <v>13800</v>
      </c>
      <c r="C2782" s="1" t="s">
        <v>13801</v>
      </c>
      <c r="D2782" s="5" t="s">
        <v>18180</v>
      </c>
      <c r="E2782" s="32">
        <v>22</v>
      </c>
      <c r="F2782" s="27">
        <v>116.38</v>
      </c>
      <c r="G2782" s="32">
        <v>22</v>
      </c>
      <c r="H2782" s="27">
        <v>116.38</v>
      </c>
      <c r="I2782" s="27">
        <v>5.29</v>
      </c>
      <c r="J2782" s="27">
        <v>5.29</v>
      </c>
      <c r="K2782" s="29">
        <v>0</v>
      </c>
    </row>
    <row r="2783" spans="1:11" x14ac:dyDescent="0.25">
      <c r="A2783" s="5" t="s">
        <v>6</v>
      </c>
      <c r="B2783" s="5" t="s">
        <v>13806</v>
      </c>
      <c r="C2783" s="1" t="s">
        <v>13807</v>
      </c>
      <c r="D2783" s="5" t="s">
        <v>18181</v>
      </c>
      <c r="E2783" s="32">
        <v>3</v>
      </c>
      <c r="F2783" s="27">
        <v>525</v>
      </c>
      <c r="I2783" s="27">
        <v>175</v>
      </c>
    </row>
    <row r="2784" spans="1:11" x14ac:dyDescent="0.25">
      <c r="A2784" s="5" t="s">
        <v>6</v>
      </c>
      <c r="B2784" s="5" t="s">
        <v>13856</v>
      </c>
      <c r="C2784" s="1" t="s">
        <v>13857</v>
      </c>
      <c r="D2784" s="5" t="s">
        <v>18182</v>
      </c>
      <c r="G2784" s="32">
        <v>4</v>
      </c>
      <c r="H2784" s="27">
        <v>7600</v>
      </c>
      <c r="J2784" s="27">
        <v>1900</v>
      </c>
    </row>
    <row r="2785" spans="1:11" x14ac:dyDescent="0.25">
      <c r="A2785" s="5" t="s">
        <v>6</v>
      </c>
      <c r="B2785" s="5" t="s">
        <v>13862</v>
      </c>
      <c r="C2785" s="1" t="s">
        <v>13863</v>
      </c>
      <c r="D2785" s="5" t="s">
        <v>17280</v>
      </c>
      <c r="E2785" s="32">
        <v>0</v>
      </c>
      <c r="F2785" s="27">
        <v>0</v>
      </c>
      <c r="G2785" s="32">
        <v>137</v>
      </c>
      <c r="H2785" s="27">
        <v>5706.05</v>
      </c>
      <c r="J2785" s="27">
        <v>41.65</v>
      </c>
    </row>
    <row r="2786" spans="1:11" x14ac:dyDescent="0.25">
      <c r="A2786" s="5" t="s">
        <v>6</v>
      </c>
      <c r="B2786" s="5" t="s">
        <v>13865</v>
      </c>
      <c r="C2786" s="1" t="s">
        <v>13866</v>
      </c>
      <c r="D2786" s="5" t="s">
        <v>18183</v>
      </c>
      <c r="E2786" s="32">
        <v>64</v>
      </c>
      <c r="F2786" s="27">
        <v>368</v>
      </c>
      <c r="G2786" s="32">
        <v>59</v>
      </c>
      <c r="H2786" s="27">
        <v>339.25</v>
      </c>
      <c r="I2786" s="27">
        <v>5.75</v>
      </c>
      <c r="J2786" s="27">
        <v>5.75</v>
      </c>
      <c r="K2786" s="29">
        <v>0</v>
      </c>
    </row>
    <row r="2787" spans="1:11" x14ac:dyDescent="0.25">
      <c r="A2787" s="5" t="s">
        <v>6</v>
      </c>
      <c r="B2787" s="5" t="s">
        <v>13877</v>
      </c>
      <c r="C2787" s="1" t="s">
        <v>13878</v>
      </c>
      <c r="D2787" s="5" t="s">
        <v>18184</v>
      </c>
      <c r="E2787" s="32">
        <v>87</v>
      </c>
      <c r="F2787" s="27">
        <v>226.2</v>
      </c>
      <c r="G2787" s="32">
        <v>109</v>
      </c>
      <c r="H2787" s="27">
        <v>283.39999999999998</v>
      </c>
      <c r="I2787" s="27">
        <v>2.6</v>
      </c>
      <c r="J2787" s="27">
        <v>2.5999999999999996</v>
      </c>
      <c r="K2787" s="29">
        <v>-1.7080354225002407E-16</v>
      </c>
    </row>
    <row r="2788" spans="1:11" x14ac:dyDescent="0.25">
      <c r="A2788" s="5" t="s">
        <v>6</v>
      </c>
      <c r="B2788" s="5" t="s">
        <v>13880</v>
      </c>
      <c r="C2788" s="1" t="s">
        <v>13881</v>
      </c>
      <c r="D2788" s="5" t="s">
        <v>18185</v>
      </c>
      <c r="E2788" s="32">
        <v>228</v>
      </c>
      <c r="F2788" s="27">
        <v>743.28</v>
      </c>
      <c r="G2788" s="32">
        <v>198</v>
      </c>
      <c r="H2788" s="27">
        <v>645.48</v>
      </c>
      <c r="I2788" s="27">
        <v>3.26</v>
      </c>
      <c r="J2788" s="27">
        <v>3.2600000000000002</v>
      </c>
      <c r="K2788" s="29">
        <v>1.3622368400308669E-16</v>
      </c>
    </row>
    <row r="2789" spans="1:11" x14ac:dyDescent="0.25">
      <c r="A2789" s="5" t="s">
        <v>6</v>
      </c>
      <c r="B2789" s="5" t="s">
        <v>13884</v>
      </c>
      <c r="C2789" s="1" t="s">
        <v>13885</v>
      </c>
      <c r="D2789" s="5" t="s">
        <v>18186</v>
      </c>
      <c r="E2789" s="32">
        <v>26</v>
      </c>
      <c r="F2789" s="27">
        <v>52</v>
      </c>
      <c r="G2789" s="32">
        <v>19</v>
      </c>
      <c r="H2789" s="27">
        <v>38</v>
      </c>
      <c r="I2789" s="27">
        <v>2</v>
      </c>
      <c r="J2789" s="27">
        <v>2</v>
      </c>
      <c r="K2789" s="29">
        <v>0</v>
      </c>
    </row>
    <row r="2790" spans="1:11" x14ac:dyDescent="0.25">
      <c r="A2790" s="5" t="s">
        <v>6</v>
      </c>
      <c r="B2790" s="5" t="s">
        <v>13886</v>
      </c>
      <c r="C2790" s="1" t="s">
        <v>13887</v>
      </c>
      <c r="D2790" s="5" t="s">
        <v>18187</v>
      </c>
      <c r="E2790" s="32">
        <v>31</v>
      </c>
      <c r="F2790" s="27">
        <v>131.13</v>
      </c>
      <c r="G2790" s="32">
        <v>36</v>
      </c>
      <c r="H2790" s="27">
        <v>152.28</v>
      </c>
      <c r="I2790" s="27">
        <v>4.2299999999999995</v>
      </c>
      <c r="J2790" s="27">
        <v>4.2300000000000004</v>
      </c>
      <c r="K2790" s="29">
        <v>2.0997125761232278E-16</v>
      </c>
    </row>
    <row r="2791" spans="1:11" x14ac:dyDescent="0.25">
      <c r="A2791" s="5" t="s">
        <v>6</v>
      </c>
      <c r="B2791" s="5" t="s">
        <v>13888</v>
      </c>
      <c r="C2791" s="1" t="s">
        <v>13889</v>
      </c>
      <c r="D2791" s="5" t="s">
        <v>18187</v>
      </c>
      <c r="E2791" s="32">
        <v>2</v>
      </c>
      <c r="F2791" s="27">
        <v>20</v>
      </c>
      <c r="G2791" s="32">
        <v>7</v>
      </c>
      <c r="H2791" s="27">
        <v>70</v>
      </c>
      <c r="I2791" s="27">
        <v>10</v>
      </c>
      <c r="J2791" s="27">
        <v>10</v>
      </c>
      <c r="K2791" s="29">
        <v>0</v>
      </c>
    </row>
    <row r="2792" spans="1:11" x14ac:dyDescent="0.25">
      <c r="A2792" s="5" t="s">
        <v>6</v>
      </c>
      <c r="B2792" s="5" t="s">
        <v>13895</v>
      </c>
      <c r="C2792" s="1" t="s">
        <v>2636</v>
      </c>
      <c r="D2792" s="5" t="s">
        <v>17282</v>
      </c>
      <c r="E2792" s="32">
        <v>11</v>
      </c>
      <c r="F2792" s="27">
        <v>44.77</v>
      </c>
      <c r="I2792" s="27">
        <v>4.07</v>
      </c>
    </row>
    <row r="2793" spans="1:11" x14ac:dyDescent="0.25">
      <c r="A2793" s="5" t="s">
        <v>6</v>
      </c>
      <c r="B2793" s="5" t="s">
        <v>13897</v>
      </c>
      <c r="C2793" s="1" t="s">
        <v>13898</v>
      </c>
      <c r="D2793" s="5" t="s">
        <v>18188</v>
      </c>
      <c r="E2793" s="32">
        <v>71</v>
      </c>
      <c r="F2793" s="27">
        <v>710</v>
      </c>
      <c r="G2793" s="32">
        <v>130</v>
      </c>
      <c r="H2793" s="27">
        <v>1300</v>
      </c>
      <c r="I2793" s="27">
        <v>10</v>
      </c>
      <c r="J2793" s="27">
        <v>10</v>
      </c>
      <c r="K2793" s="29">
        <v>0</v>
      </c>
    </row>
    <row r="2794" spans="1:11" x14ac:dyDescent="0.25">
      <c r="A2794" s="5" t="s">
        <v>6</v>
      </c>
      <c r="B2794" s="5" t="s">
        <v>13915</v>
      </c>
      <c r="C2794" s="1" t="s">
        <v>13916</v>
      </c>
      <c r="D2794" s="5" t="s">
        <v>17289</v>
      </c>
      <c r="E2794" s="32">
        <v>152</v>
      </c>
      <c r="F2794" s="27">
        <v>557.84</v>
      </c>
      <c r="G2794" s="32">
        <v>295</v>
      </c>
      <c r="H2794" s="27">
        <v>1082.6500000000001</v>
      </c>
      <c r="I2794" s="27">
        <v>3.6700000000000004</v>
      </c>
      <c r="J2794" s="27">
        <v>3.6700000000000004</v>
      </c>
      <c r="K2794" s="29">
        <v>0</v>
      </c>
    </row>
    <row r="2795" spans="1:11" x14ac:dyDescent="0.25">
      <c r="A2795" s="5" t="s">
        <v>6</v>
      </c>
      <c r="B2795" s="5" t="s">
        <v>13917</v>
      </c>
      <c r="C2795" s="1" t="s">
        <v>13918</v>
      </c>
      <c r="D2795" s="5" t="s">
        <v>18189</v>
      </c>
      <c r="E2795" s="32">
        <v>22</v>
      </c>
      <c r="F2795" s="27">
        <v>80.64</v>
      </c>
      <c r="G2795" s="32">
        <v>9</v>
      </c>
      <c r="H2795" s="27">
        <v>33.03</v>
      </c>
      <c r="I2795" s="27">
        <v>3.6654545454545455</v>
      </c>
      <c r="J2795" s="27">
        <v>3.67</v>
      </c>
      <c r="K2795" s="29">
        <v>1.2400793650793277E-3</v>
      </c>
    </row>
    <row r="2796" spans="1:11" x14ac:dyDescent="0.25">
      <c r="A2796" s="5" t="s">
        <v>6</v>
      </c>
      <c r="B2796" s="5" t="s">
        <v>13927</v>
      </c>
      <c r="C2796" s="1" t="s">
        <v>13928</v>
      </c>
      <c r="D2796" s="5" t="s">
        <v>18190</v>
      </c>
      <c r="E2796" s="32">
        <v>1</v>
      </c>
      <c r="F2796" s="27">
        <v>6.72</v>
      </c>
      <c r="I2796" s="27">
        <v>6.72</v>
      </c>
    </row>
    <row r="2797" spans="1:11" x14ac:dyDescent="0.25">
      <c r="A2797" s="5" t="s">
        <v>6</v>
      </c>
      <c r="B2797" s="5" t="s">
        <v>13934</v>
      </c>
      <c r="C2797" s="1" t="s">
        <v>13935</v>
      </c>
      <c r="D2797" s="5" t="s">
        <v>18191</v>
      </c>
      <c r="E2797" s="32">
        <v>10</v>
      </c>
      <c r="F2797" s="27">
        <v>40</v>
      </c>
      <c r="G2797" s="32">
        <v>16</v>
      </c>
      <c r="H2797" s="27">
        <v>64</v>
      </c>
      <c r="I2797" s="27">
        <v>4</v>
      </c>
      <c r="J2797" s="27">
        <v>4</v>
      </c>
      <c r="K2797" s="29">
        <v>0</v>
      </c>
    </row>
    <row r="2798" spans="1:11" x14ac:dyDescent="0.25">
      <c r="A2798" s="5" t="s">
        <v>6</v>
      </c>
      <c r="B2798" s="5" t="s">
        <v>13944</v>
      </c>
      <c r="C2798" s="1" t="s">
        <v>2914</v>
      </c>
      <c r="D2798" s="5" t="s">
        <v>17356</v>
      </c>
      <c r="E2798" s="32">
        <v>29</v>
      </c>
      <c r="F2798" s="27">
        <v>812</v>
      </c>
      <c r="G2798" s="32">
        <v>19</v>
      </c>
      <c r="H2798" s="27">
        <v>532</v>
      </c>
      <c r="I2798" s="27">
        <v>28</v>
      </c>
      <c r="J2798" s="27">
        <v>28</v>
      </c>
      <c r="K2798" s="29">
        <v>0</v>
      </c>
    </row>
    <row r="2799" spans="1:11" x14ac:dyDescent="0.25">
      <c r="A2799" s="5" t="s">
        <v>6</v>
      </c>
      <c r="B2799" s="5" t="s">
        <v>13945</v>
      </c>
      <c r="C2799" s="1" t="s">
        <v>13946</v>
      </c>
      <c r="D2799" s="5" t="s">
        <v>18192</v>
      </c>
      <c r="E2799" s="32">
        <v>5</v>
      </c>
      <c r="F2799" s="27">
        <v>40</v>
      </c>
      <c r="I2799" s="27">
        <v>8</v>
      </c>
    </row>
    <row r="2800" spans="1:11" x14ac:dyDescent="0.25">
      <c r="A2800" s="5" t="s">
        <v>6</v>
      </c>
      <c r="B2800" s="5" t="s">
        <v>13948</v>
      </c>
      <c r="C2800" s="1" t="s">
        <v>13949</v>
      </c>
      <c r="D2800" s="5" t="s">
        <v>17294</v>
      </c>
      <c r="E2800" s="32">
        <v>86</v>
      </c>
      <c r="F2800" s="27">
        <v>348.3</v>
      </c>
      <c r="G2800" s="32">
        <v>84</v>
      </c>
      <c r="H2800" s="27">
        <v>340.2</v>
      </c>
      <c r="I2800" s="27">
        <v>4.05</v>
      </c>
      <c r="J2800" s="27">
        <v>4.05</v>
      </c>
      <c r="K2800" s="29">
        <v>0</v>
      </c>
    </row>
    <row r="2801" spans="1:11" x14ac:dyDescent="0.25">
      <c r="A2801" s="5" t="s">
        <v>6</v>
      </c>
      <c r="B2801" s="5" t="s">
        <v>13950</v>
      </c>
      <c r="C2801" s="1" t="s">
        <v>13951</v>
      </c>
      <c r="D2801" s="5" t="s">
        <v>18166</v>
      </c>
      <c r="E2801" s="32">
        <v>3</v>
      </c>
      <c r="F2801" s="27">
        <v>21.99</v>
      </c>
      <c r="G2801" s="32">
        <v>10</v>
      </c>
      <c r="H2801" s="27">
        <v>73.3</v>
      </c>
      <c r="I2801" s="27">
        <v>7.3299999999999992</v>
      </c>
      <c r="J2801" s="27">
        <v>7.33</v>
      </c>
      <c r="K2801" s="29">
        <v>1.211703164665928E-16</v>
      </c>
    </row>
    <row r="2802" spans="1:11" x14ac:dyDescent="0.25">
      <c r="A2802" s="5" t="s">
        <v>6</v>
      </c>
      <c r="B2802" s="5" t="s">
        <v>13953</v>
      </c>
      <c r="C2802" s="1" t="s">
        <v>2674</v>
      </c>
      <c r="D2802" s="5" t="s">
        <v>18193</v>
      </c>
      <c r="E2802" s="32">
        <v>83</v>
      </c>
      <c r="F2802" s="27">
        <v>290.5</v>
      </c>
      <c r="G2802" s="32">
        <v>56</v>
      </c>
      <c r="H2802" s="27">
        <v>196</v>
      </c>
      <c r="I2802" s="27">
        <v>3.5</v>
      </c>
      <c r="J2802" s="27">
        <v>3.5</v>
      </c>
      <c r="K2802" s="29">
        <v>0</v>
      </c>
    </row>
    <row r="2803" spans="1:11" x14ac:dyDescent="0.25">
      <c r="A2803" s="5" t="s">
        <v>6</v>
      </c>
      <c r="B2803" s="5" t="s">
        <v>13960</v>
      </c>
      <c r="C2803" s="1" t="s">
        <v>3046</v>
      </c>
      <c r="D2803" s="5" t="s">
        <v>17382</v>
      </c>
      <c r="E2803" s="32">
        <v>3</v>
      </c>
      <c r="F2803" s="27">
        <v>33.840000000000003</v>
      </c>
      <c r="I2803" s="27">
        <v>11.280000000000001</v>
      </c>
    </row>
    <row r="2804" spans="1:11" x14ac:dyDescent="0.25">
      <c r="A2804" s="5" t="s">
        <v>6</v>
      </c>
      <c r="B2804" s="5" t="s">
        <v>13964</v>
      </c>
      <c r="C2804" s="1" t="s">
        <v>13965</v>
      </c>
      <c r="D2804" s="5" t="s">
        <v>18194</v>
      </c>
      <c r="E2804" s="32">
        <v>10</v>
      </c>
      <c r="F2804" s="27">
        <v>203.6</v>
      </c>
      <c r="G2804" s="32">
        <v>15</v>
      </c>
      <c r="H2804" s="27">
        <v>305.39999999999998</v>
      </c>
      <c r="I2804" s="27">
        <v>20.36</v>
      </c>
      <c r="J2804" s="27">
        <v>20.36</v>
      </c>
      <c r="K2804" s="29">
        <v>0</v>
      </c>
    </row>
    <row r="2805" spans="1:11" x14ac:dyDescent="0.25">
      <c r="A2805" s="5" t="s">
        <v>6</v>
      </c>
      <c r="B2805" s="5" t="s">
        <v>13967</v>
      </c>
      <c r="C2805" s="1" t="s">
        <v>13968</v>
      </c>
      <c r="D2805" s="5" t="s">
        <v>18194</v>
      </c>
      <c r="E2805" s="32">
        <v>3</v>
      </c>
      <c r="F2805" s="27">
        <v>48.27</v>
      </c>
      <c r="I2805" s="27">
        <v>16.09</v>
      </c>
    </row>
    <row r="2806" spans="1:11" x14ac:dyDescent="0.25">
      <c r="A2806" s="5" t="s">
        <v>6</v>
      </c>
      <c r="B2806" s="5" t="s">
        <v>13973</v>
      </c>
      <c r="C2806" s="1" t="s">
        <v>13974</v>
      </c>
      <c r="D2806" s="5" t="s">
        <v>18195</v>
      </c>
      <c r="E2806" s="32">
        <v>17</v>
      </c>
      <c r="F2806" s="27">
        <v>79.73</v>
      </c>
      <c r="G2806" s="32">
        <v>8</v>
      </c>
      <c r="H2806" s="27">
        <v>37.520000000000003</v>
      </c>
      <c r="I2806" s="27">
        <v>4.6900000000000004</v>
      </c>
      <c r="J2806" s="27">
        <v>4.6900000000000004</v>
      </c>
      <c r="K2806" s="29">
        <v>0</v>
      </c>
    </row>
    <row r="2807" spans="1:11" x14ac:dyDescent="0.25">
      <c r="A2807" s="5" t="s">
        <v>6</v>
      </c>
      <c r="B2807" s="5" t="s">
        <v>13981</v>
      </c>
      <c r="C2807" s="1" t="s">
        <v>13982</v>
      </c>
      <c r="D2807" s="5" t="s">
        <v>18141</v>
      </c>
      <c r="E2807" s="32">
        <v>2</v>
      </c>
      <c r="F2807" s="27">
        <v>56</v>
      </c>
      <c r="G2807" s="32">
        <v>2</v>
      </c>
      <c r="H2807" s="27">
        <v>56</v>
      </c>
      <c r="I2807" s="27">
        <v>28</v>
      </c>
      <c r="J2807" s="27">
        <v>28</v>
      </c>
      <c r="K2807" s="29">
        <v>0</v>
      </c>
    </row>
    <row r="2808" spans="1:11" x14ac:dyDescent="0.25">
      <c r="A2808" s="5" t="s">
        <v>6</v>
      </c>
      <c r="B2808" s="5" t="s">
        <v>13997</v>
      </c>
      <c r="C2808" s="1" t="s">
        <v>13998</v>
      </c>
      <c r="D2808" s="5" t="s">
        <v>18196</v>
      </c>
      <c r="E2808" s="32">
        <v>27</v>
      </c>
      <c r="F2808" s="27">
        <v>135</v>
      </c>
      <c r="G2808" s="32">
        <v>20</v>
      </c>
      <c r="H2808" s="27">
        <v>100</v>
      </c>
      <c r="I2808" s="27">
        <v>5</v>
      </c>
      <c r="J2808" s="27">
        <v>5</v>
      </c>
      <c r="K2808" s="29">
        <v>0</v>
      </c>
    </row>
    <row r="2809" spans="1:11" x14ac:dyDescent="0.25">
      <c r="A2809" s="5" t="s">
        <v>6</v>
      </c>
      <c r="B2809" s="5" t="s">
        <v>14001</v>
      </c>
      <c r="C2809" s="1" t="s">
        <v>14002</v>
      </c>
      <c r="D2809" s="5" t="s">
        <v>18197</v>
      </c>
      <c r="E2809" s="32">
        <v>360</v>
      </c>
      <c r="F2809" s="27">
        <v>820.8</v>
      </c>
      <c r="G2809" s="32">
        <v>390</v>
      </c>
      <c r="H2809" s="27">
        <v>889.2</v>
      </c>
      <c r="I2809" s="27">
        <v>2.2799999999999998</v>
      </c>
      <c r="J2809" s="27">
        <v>2.2800000000000002</v>
      </c>
      <c r="K2809" s="29">
        <v>1.9477596923248362E-16</v>
      </c>
    </row>
    <row r="2810" spans="1:11" x14ac:dyDescent="0.25">
      <c r="A2810" s="5" t="s">
        <v>6</v>
      </c>
      <c r="B2810" s="5" t="s">
        <v>14004</v>
      </c>
      <c r="C2810" s="1" t="s">
        <v>14005</v>
      </c>
      <c r="D2810" s="5" t="s">
        <v>18198</v>
      </c>
      <c r="E2810" s="32">
        <v>6</v>
      </c>
      <c r="F2810" s="27">
        <v>62.46</v>
      </c>
      <c r="G2810" s="32">
        <v>9</v>
      </c>
      <c r="H2810" s="27">
        <v>93.69</v>
      </c>
      <c r="I2810" s="27">
        <v>10.41</v>
      </c>
      <c r="J2810" s="27">
        <v>10.41</v>
      </c>
      <c r="K2810" s="29">
        <v>0</v>
      </c>
    </row>
    <row r="2811" spans="1:11" x14ac:dyDescent="0.25">
      <c r="A2811" s="5" t="s">
        <v>6</v>
      </c>
      <c r="B2811" s="5" t="s">
        <v>14011</v>
      </c>
      <c r="C2811" s="1" t="s">
        <v>14012</v>
      </c>
      <c r="D2811" s="5" t="s">
        <v>18199</v>
      </c>
      <c r="E2811" s="32">
        <v>7</v>
      </c>
      <c r="F2811" s="27">
        <v>672</v>
      </c>
      <c r="G2811" s="32">
        <v>9</v>
      </c>
      <c r="H2811" s="27">
        <v>864</v>
      </c>
      <c r="I2811" s="27">
        <v>96</v>
      </c>
      <c r="J2811" s="27">
        <v>96</v>
      </c>
      <c r="K2811" s="29">
        <v>0</v>
      </c>
    </row>
    <row r="2812" spans="1:11" x14ac:dyDescent="0.25">
      <c r="A2812" s="5" t="s">
        <v>6</v>
      </c>
      <c r="B2812" s="5" t="s">
        <v>14015</v>
      </c>
      <c r="C2812" s="1" t="s">
        <v>14016</v>
      </c>
      <c r="D2812" s="5" t="s">
        <v>17303</v>
      </c>
      <c r="E2812" s="32">
        <v>179</v>
      </c>
      <c r="F2812" s="27">
        <v>358</v>
      </c>
      <c r="G2812" s="32">
        <v>154</v>
      </c>
      <c r="H2812" s="27">
        <v>308</v>
      </c>
      <c r="I2812" s="27">
        <v>2</v>
      </c>
      <c r="J2812" s="27">
        <v>2</v>
      </c>
      <c r="K2812" s="29">
        <v>0</v>
      </c>
    </row>
    <row r="2813" spans="1:11" x14ac:dyDescent="0.25">
      <c r="A2813" s="5" t="s">
        <v>6</v>
      </c>
      <c r="B2813" s="5" t="s">
        <v>14024</v>
      </c>
      <c r="C2813" s="1" t="s">
        <v>14025</v>
      </c>
      <c r="D2813" s="5" t="s">
        <v>18200</v>
      </c>
      <c r="E2813" s="32">
        <v>5</v>
      </c>
      <c r="F2813" s="27">
        <v>24.45</v>
      </c>
      <c r="G2813" s="32">
        <v>5</v>
      </c>
      <c r="H2813" s="27">
        <v>24.45</v>
      </c>
      <c r="I2813" s="27">
        <v>4.8899999999999997</v>
      </c>
      <c r="J2813" s="27">
        <v>4.8899999999999997</v>
      </c>
      <c r="K2813" s="29">
        <v>0</v>
      </c>
    </row>
    <row r="2814" spans="1:11" x14ac:dyDescent="0.25">
      <c r="A2814" s="5" t="s">
        <v>6</v>
      </c>
      <c r="B2814" s="5" t="s">
        <v>14027</v>
      </c>
      <c r="C2814" s="1" t="s">
        <v>14028</v>
      </c>
      <c r="D2814" s="5" t="s">
        <v>18201</v>
      </c>
      <c r="E2814" s="32">
        <v>12</v>
      </c>
      <c r="F2814" s="27">
        <v>56.4</v>
      </c>
      <c r="G2814" s="32">
        <v>8</v>
      </c>
      <c r="H2814" s="27">
        <v>37.6</v>
      </c>
      <c r="I2814" s="27">
        <v>4.7</v>
      </c>
      <c r="J2814" s="27">
        <v>4.7</v>
      </c>
      <c r="K2814" s="29">
        <v>0</v>
      </c>
    </row>
    <row r="2815" spans="1:11" x14ac:dyDescent="0.25">
      <c r="A2815" s="5" t="s">
        <v>6</v>
      </c>
      <c r="B2815" s="5" t="s">
        <v>14029</v>
      </c>
      <c r="C2815" s="1" t="s">
        <v>14030</v>
      </c>
      <c r="D2815" s="5" t="s">
        <v>18202</v>
      </c>
      <c r="E2815" s="32">
        <v>0</v>
      </c>
      <c r="F2815" s="27">
        <v>0</v>
      </c>
      <c r="G2815" s="32">
        <v>4</v>
      </c>
      <c r="H2815" s="27">
        <v>660</v>
      </c>
      <c r="J2815" s="27">
        <v>165</v>
      </c>
    </row>
    <row r="2816" spans="1:11" x14ac:dyDescent="0.25">
      <c r="A2816" s="5" t="s">
        <v>6</v>
      </c>
      <c r="B2816" s="5" t="s">
        <v>14035</v>
      </c>
      <c r="C2816" s="1" t="s">
        <v>14036</v>
      </c>
      <c r="D2816" s="5" t="s">
        <v>18203</v>
      </c>
      <c r="E2816" s="32">
        <v>25</v>
      </c>
      <c r="F2816" s="27">
        <v>183.25</v>
      </c>
      <c r="G2816" s="32">
        <v>46</v>
      </c>
      <c r="H2816" s="27">
        <v>337.18</v>
      </c>
      <c r="I2816" s="27">
        <v>7.33</v>
      </c>
      <c r="J2816" s="27">
        <v>7.33</v>
      </c>
      <c r="K2816" s="29">
        <v>0</v>
      </c>
    </row>
    <row r="2817" spans="1:11" x14ac:dyDescent="0.25">
      <c r="A2817" s="5" t="s">
        <v>6</v>
      </c>
      <c r="B2817" s="5" t="s">
        <v>14037</v>
      </c>
      <c r="C2817" s="1" t="s">
        <v>14038</v>
      </c>
      <c r="D2817" s="5" t="s">
        <v>18204</v>
      </c>
      <c r="E2817" s="32">
        <v>10</v>
      </c>
      <c r="F2817" s="27">
        <v>50</v>
      </c>
      <c r="I2817" s="27">
        <v>5</v>
      </c>
    </row>
    <row r="2818" spans="1:11" x14ac:dyDescent="0.25">
      <c r="A2818" s="5" t="s">
        <v>6</v>
      </c>
      <c r="B2818" s="5" t="s">
        <v>14039</v>
      </c>
      <c r="C2818" s="1" t="s">
        <v>14040</v>
      </c>
      <c r="D2818" s="5" t="s">
        <v>18205</v>
      </c>
      <c r="E2818" s="32">
        <v>1</v>
      </c>
      <c r="F2818" s="27">
        <v>5.7</v>
      </c>
      <c r="I2818" s="27">
        <v>5.7</v>
      </c>
    </row>
    <row r="2819" spans="1:11" x14ac:dyDescent="0.25">
      <c r="A2819" s="5" t="s">
        <v>6</v>
      </c>
      <c r="B2819" s="5" t="s">
        <v>14043</v>
      </c>
      <c r="C2819" s="1" t="s">
        <v>14044</v>
      </c>
      <c r="D2819" s="5" t="s">
        <v>18206</v>
      </c>
      <c r="E2819" s="32">
        <v>4</v>
      </c>
      <c r="F2819" s="27">
        <v>20</v>
      </c>
      <c r="G2819" s="32">
        <v>9</v>
      </c>
      <c r="H2819" s="27">
        <v>45</v>
      </c>
      <c r="I2819" s="27">
        <v>5</v>
      </c>
      <c r="J2819" s="27">
        <v>5</v>
      </c>
      <c r="K2819" s="29">
        <v>0</v>
      </c>
    </row>
    <row r="2820" spans="1:11" x14ac:dyDescent="0.25">
      <c r="A2820" s="5" t="s">
        <v>6</v>
      </c>
      <c r="B2820" s="5" t="s">
        <v>14046</v>
      </c>
      <c r="C2820" s="1" t="s">
        <v>14047</v>
      </c>
      <c r="D2820" s="5" t="s">
        <v>17371</v>
      </c>
      <c r="E2820" s="32">
        <v>28</v>
      </c>
      <c r="F2820" s="27">
        <v>456.12</v>
      </c>
      <c r="G2820" s="32">
        <v>29</v>
      </c>
      <c r="H2820" s="27">
        <v>472.41</v>
      </c>
      <c r="I2820" s="27">
        <v>16.29</v>
      </c>
      <c r="J2820" s="27">
        <v>16.29</v>
      </c>
      <c r="K2820" s="29">
        <v>0</v>
      </c>
    </row>
    <row r="2821" spans="1:11" x14ac:dyDescent="0.25">
      <c r="A2821" s="5" t="s">
        <v>6</v>
      </c>
      <c r="B2821" s="5" t="s">
        <v>14049</v>
      </c>
      <c r="C2821" s="1" t="s">
        <v>14050</v>
      </c>
      <c r="D2821" s="5" t="s">
        <v>18207</v>
      </c>
      <c r="E2821" s="32">
        <v>11</v>
      </c>
      <c r="F2821" s="27">
        <v>34.1</v>
      </c>
      <c r="G2821" s="32">
        <v>8</v>
      </c>
      <c r="H2821" s="27">
        <v>24.8</v>
      </c>
      <c r="I2821" s="27">
        <v>3.1</v>
      </c>
      <c r="J2821" s="27">
        <v>3.1</v>
      </c>
      <c r="K2821" s="29">
        <v>0</v>
      </c>
    </row>
    <row r="2822" spans="1:11" x14ac:dyDescent="0.25">
      <c r="A2822" s="5" t="s">
        <v>6</v>
      </c>
      <c r="B2822" s="5" t="s">
        <v>14057</v>
      </c>
      <c r="C2822" s="1" t="s">
        <v>14058</v>
      </c>
      <c r="D2822" s="5" t="s">
        <v>18208</v>
      </c>
      <c r="E2822" s="32">
        <v>93</v>
      </c>
      <c r="F2822" s="27">
        <v>316.2</v>
      </c>
      <c r="G2822" s="32">
        <v>107</v>
      </c>
      <c r="H2822" s="27">
        <v>363.8</v>
      </c>
      <c r="I2822" s="27">
        <v>3.4</v>
      </c>
      <c r="J2822" s="27">
        <v>3.4</v>
      </c>
      <c r="K2822" s="29">
        <v>0</v>
      </c>
    </row>
    <row r="2823" spans="1:11" x14ac:dyDescent="0.25">
      <c r="A2823" s="5" t="s">
        <v>6</v>
      </c>
      <c r="B2823" s="5" t="s">
        <v>14060</v>
      </c>
      <c r="C2823" s="1" t="s">
        <v>14061</v>
      </c>
      <c r="D2823" s="5" t="s">
        <v>18209</v>
      </c>
      <c r="E2823" s="32">
        <v>5</v>
      </c>
      <c r="F2823" s="27">
        <v>23.75</v>
      </c>
      <c r="G2823" s="32">
        <v>7</v>
      </c>
      <c r="H2823" s="27">
        <v>33.25</v>
      </c>
      <c r="I2823" s="27">
        <v>4.75</v>
      </c>
      <c r="J2823" s="27">
        <v>4.75</v>
      </c>
      <c r="K2823" s="29">
        <v>0</v>
      </c>
    </row>
    <row r="2824" spans="1:11" x14ac:dyDescent="0.25">
      <c r="A2824" s="5" t="s">
        <v>6</v>
      </c>
      <c r="B2824" s="5" t="s">
        <v>14063</v>
      </c>
      <c r="C2824" s="1" t="s">
        <v>14064</v>
      </c>
      <c r="D2824" s="5" t="s">
        <v>18209</v>
      </c>
      <c r="E2824" s="32">
        <v>5</v>
      </c>
      <c r="F2824" s="27">
        <v>23.75</v>
      </c>
      <c r="G2824" s="32">
        <v>7</v>
      </c>
      <c r="H2824" s="27">
        <v>33.25</v>
      </c>
      <c r="I2824" s="27">
        <v>4.75</v>
      </c>
      <c r="J2824" s="27">
        <v>4.75</v>
      </c>
      <c r="K2824" s="29">
        <v>0</v>
      </c>
    </row>
    <row r="2825" spans="1:11" x14ac:dyDescent="0.25">
      <c r="A2825" s="5" t="s">
        <v>6</v>
      </c>
      <c r="B2825" s="5" t="s">
        <v>14065</v>
      </c>
      <c r="C2825" s="1" t="s">
        <v>14066</v>
      </c>
      <c r="D2825" s="5" t="s">
        <v>18209</v>
      </c>
      <c r="E2825" s="32">
        <v>5</v>
      </c>
      <c r="F2825" s="27">
        <v>23.75</v>
      </c>
      <c r="G2825" s="32">
        <v>7</v>
      </c>
      <c r="H2825" s="27">
        <v>33.25</v>
      </c>
      <c r="I2825" s="27">
        <v>4.75</v>
      </c>
      <c r="J2825" s="27">
        <v>4.75</v>
      </c>
      <c r="K2825" s="29">
        <v>0</v>
      </c>
    </row>
    <row r="2826" spans="1:11" x14ac:dyDescent="0.25">
      <c r="A2826" s="5" t="s">
        <v>6</v>
      </c>
      <c r="B2826" s="5" t="s">
        <v>14067</v>
      </c>
      <c r="C2826" s="1" t="s">
        <v>14068</v>
      </c>
      <c r="D2826" s="5" t="s">
        <v>18209</v>
      </c>
      <c r="E2826" s="32">
        <v>5</v>
      </c>
      <c r="F2826" s="27">
        <v>23.75</v>
      </c>
      <c r="G2826" s="32">
        <v>7</v>
      </c>
      <c r="H2826" s="27">
        <v>33.25</v>
      </c>
      <c r="I2826" s="27">
        <v>4.75</v>
      </c>
      <c r="J2826" s="27">
        <v>4.75</v>
      </c>
      <c r="K2826" s="29">
        <v>0</v>
      </c>
    </row>
    <row r="2827" spans="1:11" x14ac:dyDescent="0.25">
      <c r="A2827" s="5" t="s">
        <v>6</v>
      </c>
      <c r="B2827" s="5" t="s">
        <v>14069</v>
      </c>
      <c r="C2827" s="1" t="s">
        <v>14070</v>
      </c>
      <c r="D2827" s="5" t="s">
        <v>18210</v>
      </c>
      <c r="E2827" s="32">
        <v>12</v>
      </c>
      <c r="F2827" s="27">
        <v>97.8</v>
      </c>
      <c r="G2827" s="32">
        <v>18</v>
      </c>
      <c r="H2827" s="27">
        <v>146.69999999999999</v>
      </c>
      <c r="I2827" s="27">
        <v>8.15</v>
      </c>
      <c r="J2827" s="27">
        <v>8.1499999999999986</v>
      </c>
      <c r="K2827" s="29">
        <v>-2.1795789440493871E-16</v>
      </c>
    </row>
    <row r="2828" spans="1:11" x14ac:dyDescent="0.25">
      <c r="A2828" s="5" t="s">
        <v>6</v>
      </c>
      <c r="B2828" s="5" t="s">
        <v>14073</v>
      </c>
      <c r="C2828" s="1" t="s">
        <v>2736</v>
      </c>
      <c r="D2828" s="5" t="s">
        <v>17313</v>
      </c>
      <c r="E2828" s="32">
        <v>58</v>
      </c>
      <c r="F2828" s="27">
        <v>130.5</v>
      </c>
      <c r="G2828" s="32">
        <v>98</v>
      </c>
      <c r="H2828" s="27">
        <v>220.5</v>
      </c>
      <c r="I2828" s="27">
        <v>2.25</v>
      </c>
      <c r="J2828" s="27">
        <v>2.25</v>
      </c>
      <c r="K2828" s="29">
        <v>0</v>
      </c>
    </row>
    <row r="2829" spans="1:11" x14ac:dyDescent="0.25">
      <c r="A2829" s="5" t="s">
        <v>6</v>
      </c>
      <c r="B2829" s="5" t="s">
        <v>14078</v>
      </c>
      <c r="C2829" s="1" t="s">
        <v>14079</v>
      </c>
      <c r="D2829" s="5" t="s">
        <v>18211</v>
      </c>
      <c r="E2829" s="32">
        <v>15</v>
      </c>
      <c r="F2829" s="27">
        <v>86.1</v>
      </c>
      <c r="G2829" s="32">
        <v>6</v>
      </c>
      <c r="H2829" s="27">
        <v>34.44</v>
      </c>
      <c r="I2829" s="27">
        <v>5.7399999999999993</v>
      </c>
      <c r="J2829" s="27">
        <v>5.7399999999999993</v>
      </c>
      <c r="K2829" s="29">
        <v>0</v>
      </c>
    </row>
    <row r="2830" spans="1:11" x14ac:dyDescent="0.25">
      <c r="A2830" s="5" t="s">
        <v>6</v>
      </c>
      <c r="B2830" s="5" t="s">
        <v>14080</v>
      </c>
      <c r="C2830" s="1" t="s">
        <v>2758</v>
      </c>
      <c r="D2830" s="5" t="s">
        <v>17315</v>
      </c>
      <c r="E2830" s="32">
        <v>0</v>
      </c>
      <c r="F2830" s="27">
        <v>0</v>
      </c>
      <c r="G2830" s="32">
        <v>4</v>
      </c>
      <c r="H2830" s="27">
        <v>8</v>
      </c>
      <c r="J2830" s="27">
        <v>2</v>
      </c>
    </row>
    <row r="2831" spans="1:11" x14ac:dyDescent="0.25">
      <c r="A2831" s="5" t="s">
        <v>6</v>
      </c>
      <c r="B2831" s="5" t="s">
        <v>14083</v>
      </c>
      <c r="C2831" s="1" t="s">
        <v>14084</v>
      </c>
      <c r="D2831" s="5" t="s">
        <v>18212</v>
      </c>
      <c r="E2831" s="32">
        <v>1</v>
      </c>
      <c r="F2831" s="27">
        <v>4.5</v>
      </c>
      <c r="I2831" s="27">
        <v>4.5</v>
      </c>
    </row>
    <row r="2832" spans="1:11" x14ac:dyDescent="0.25">
      <c r="A2832" s="5" t="s">
        <v>6</v>
      </c>
      <c r="B2832" s="5" t="s">
        <v>14086</v>
      </c>
      <c r="C2832" s="1" t="s">
        <v>14087</v>
      </c>
      <c r="D2832" s="5" t="s">
        <v>18213</v>
      </c>
      <c r="E2832" s="32">
        <v>26</v>
      </c>
      <c r="F2832" s="27">
        <v>104</v>
      </c>
      <c r="G2832" s="32">
        <v>23</v>
      </c>
      <c r="H2832" s="27">
        <v>92</v>
      </c>
      <c r="I2832" s="27">
        <v>4</v>
      </c>
      <c r="J2832" s="27">
        <v>4</v>
      </c>
      <c r="K2832" s="29">
        <v>0</v>
      </c>
    </row>
    <row r="2833" spans="1:11" x14ac:dyDescent="0.25">
      <c r="A2833" s="5" t="s">
        <v>6</v>
      </c>
      <c r="B2833" s="5" t="s">
        <v>14089</v>
      </c>
      <c r="C2833" s="1" t="s">
        <v>14090</v>
      </c>
      <c r="D2833" s="5" t="s">
        <v>18214</v>
      </c>
      <c r="E2833" s="32">
        <v>19</v>
      </c>
      <c r="F2833" s="27">
        <v>61.94</v>
      </c>
      <c r="G2833" s="32">
        <v>20</v>
      </c>
      <c r="H2833" s="27">
        <v>65.2</v>
      </c>
      <c r="I2833" s="27">
        <v>3.26</v>
      </c>
      <c r="J2833" s="27">
        <v>3.2600000000000002</v>
      </c>
      <c r="K2833" s="29">
        <v>1.3622368400308669E-16</v>
      </c>
    </row>
    <row r="2834" spans="1:11" x14ac:dyDescent="0.25">
      <c r="A2834" s="5" t="s">
        <v>6</v>
      </c>
      <c r="B2834" s="5" t="s">
        <v>14092</v>
      </c>
      <c r="C2834" s="1" t="s">
        <v>14093</v>
      </c>
      <c r="D2834" s="5" t="s">
        <v>18215</v>
      </c>
      <c r="E2834" s="32">
        <v>5</v>
      </c>
      <c r="F2834" s="27">
        <v>39.700000000000003</v>
      </c>
      <c r="G2834" s="32">
        <v>1</v>
      </c>
      <c r="H2834" s="27">
        <v>7.94</v>
      </c>
      <c r="I2834" s="27">
        <v>7.94</v>
      </c>
      <c r="J2834" s="27">
        <v>7.94</v>
      </c>
      <c r="K2834" s="29">
        <v>0</v>
      </c>
    </row>
    <row r="2835" spans="1:11" x14ac:dyDescent="0.25">
      <c r="A2835" s="5" t="s">
        <v>6</v>
      </c>
      <c r="B2835" s="5" t="s">
        <v>14095</v>
      </c>
      <c r="C2835" s="1" t="s">
        <v>14096</v>
      </c>
      <c r="D2835" s="5" t="s">
        <v>18216</v>
      </c>
      <c r="E2835" s="32">
        <v>289</v>
      </c>
      <c r="F2835" s="27">
        <v>1060.6300000000001</v>
      </c>
      <c r="G2835" s="32">
        <v>201</v>
      </c>
      <c r="H2835" s="27">
        <v>737.67</v>
      </c>
      <c r="I2835" s="27">
        <v>3.6700000000000004</v>
      </c>
      <c r="J2835" s="27">
        <v>3.67</v>
      </c>
      <c r="K2835" s="29">
        <v>-1.2100523429157018E-16</v>
      </c>
    </row>
    <row r="2836" spans="1:11" x14ac:dyDescent="0.25">
      <c r="A2836" s="5" t="s">
        <v>6</v>
      </c>
      <c r="B2836" s="5" t="s">
        <v>14103</v>
      </c>
      <c r="C2836" s="1" t="s">
        <v>2772</v>
      </c>
      <c r="D2836" s="5" t="s">
        <v>17319</v>
      </c>
      <c r="E2836" s="32">
        <v>9</v>
      </c>
      <c r="F2836" s="27">
        <v>45</v>
      </c>
      <c r="G2836" s="32">
        <v>7</v>
      </c>
      <c r="H2836" s="27">
        <v>35</v>
      </c>
      <c r="I2836" s="27">
        <v>5</v>
      </c>
      <c r="J2836" s="27">
        <v>5</v>
      </c>
      <c r="K2836" s="29">
        <v>0</v>
      </c>
    </row>
    <row r="2837" spans="1:11" x14ac:dyDescent="0.25">
      <c r="A2837" s="5" t="s">
        <v>6</v>
      </c>
      <c r="B2837" s="5" t="s">
        <v>14104</v>
      </c>
      <c r="C2837" s="1" t="s">
        <v>14105</v>
      </c>
      <c r="D2837" s="5" t="s">
        <v>18217</v>
      </c>
      <c r="E2837" s="32">
        <v>7</v>
      </c>
      <c r="F2837" s="27">
        <v>57.54</v>
      </c>
      <c r="G2837" s="32">
        <v>4</v>
      </c>
      <c r="H2837" s="27">
        <v>32.880000000000003</v>
      </c>
      <c r="I2837" s="27">
        <v>8.2200000000000006</v>
      </c>
      <c r="J2837" s="27">
        <v>8.2200000000000006</v>
      </c>
      <c r="K2837" s="29">
        <v>0</v>
      </c>
    </row>
    <row r="2838" spans="1:11" x14ac:dyDescent="0.25">
      <c r="A2838" s="5" t="s">
        <v>6</v>
      </c>
      <c r="B2838" s="5" t="s">
        <v>14107</v>
      </c>
      <c r="C2838" s="1" t="s">
        <v>14108</v>
      </c>
      <c r="D2838" s="5" t="s">
        <v>18218</v>
      </c>
      <c r="E2838" s="32">
        <v>26</v>
      </c>
      <c r="F2838" s="27">
        <v>238.16</v>
      </c>
      <c r="G2838" s="32">
        <v>20</v>
      </c>
      <c r="H2838" s="27">
        <v>183.2</v>
      </c>
      <c r="I2838" s="27">
        <v>9.16</v>
      </c>
      <c r="J2838" s="27">
        <v>9.16</v>
      </c>
      <c r="K2838" s="29">
        <v>0</v>
      </c>
    </row>
    <row r="2839" spans="1:11" x14ac:dyDescent="0.25">
      <c r="A2839" s="5" t="s">
        <v>6</v>
      </c>
      <c r="B2839" s="5" t="s">
        <v>14119</v>
      </c>
      <c r="C2839" s="1" t="s">
        <v>14120</v>
      </c>
      <c r="D2839" s="5" t="s">
        <v>18219</v>
      </c>
      <c r="E2839" s="32">
        <v>135</v>
      </c>
      <c r="F2839" s="27">
        <v>1350</v>
      </c>
      <c r="G2839" s="32">
        <v>93</v>
      </c>
      <c r="H2839" s="27">
        <v>930</v>
      </c>
      <c r="I2839" s="27">
        <v>10</v>
      </c>
      <c r="J2839" s="27">
        <v>10</v>
      </c>
      <c r="K2839" s="29">
        <v>0</v>
      </c>
    </row>
    <row r="2840" spans="1:11" x14ac:dyDescent="0.25">
      <c r="A2840" s="5" t="s">
        <v>6</v>
      </c>
      <c r="B2840" s="5" t="s">
        <v>14129</v>
      </c>
      <c r="C2840" s="1" t="s">
        <v>14130</v>
      </c>
      <c r="D2840" s="5" t="s">
        <v>18220</v>
      </c>
      <c r="E2840" s="32">
        <v>1</v>
      </c>
      <c r="F2840" s="27">
        <v>8.15</v>
      </c>
      <c r="I2840" s="27">
        <v>8.15</v>
      </c>
    </row>
    <row r="2841" spans="1:11" x14ac:dyDescent="0.25">
      <c r="A2841" s="5" t="s">
        <v>6</v>
      </c>
      <c r="B2841" s="5" t="s">
        <v>14132</v>
      </c>
      <c r="C2841" s="1" t="s">
        <v>14133</v>
      </c>
      <c r="D2841" s="5" t="s">
        <v>18221</v>
      </c>
      <c r="E2841" s="32">
        <v>3</v>
      </c>
      <c r="F2841" s="27">
        <v>900</v>
      </c>
      <c r="I2841" s="27">
        <v>300</v>
      </c>
    </row>
    <row r="2842" spans="1:11" x14ac:dyDescent="0.25">
      <c r="A2842" s="5" t="s">
        <v>6</v>
      </c>
      <c r="B2842" s="5" t="s">
        <v>14138</v>
      </c>
      <c r="C2842" s="1" t="s">
        <v>14139</v>
      </c>
      <c r="D2842" s="5" t="s">
        <v>18222</v>
      </c>
      <c r="E2842" s="32">
        <v>15</v>
      </c>
      <c r="F2842" s="27">
        <v>1076.25</v>
      </c>
      <c r="G2842" s="32">
        <v>13</v>
      </c>
      <c r="H2842" s="27">
        <v>932.75</v>
      </c>
      <c r="I2842" s="27">
        <v>71.75</v>
      </c>
      <c r="J2842" s="27">
        <v>71.75</v>
      </c>
      <c r="K2842" s="29">
        <v>0</v>
      </c>
    </row>
    <row r="2843" spans="1:11" x14ac:dyDescent="0.25">
      <c r="A2843" s="5" t="s">
        <v>6</v>
      </c>
      <c r="B2843" s="5" t="s">
        <v>14141</v>
      </c>
      <c r="C2843" s="1" t="s">
        <v>14142</v>
      </c>
      <c r="D2843" s="5" t="s">
        <v>18223</v>
      </c>
      <c r="E2843" s="32">
        <v>1</v>
      </c>
      <c r="F2843" s="27">
        <v>3.67</v>
      </c>
      <c r="I2843" s="27">
        <v>3.67</v>
      </c>
    </row>
    <row r="2844" spans="1:11" x14ac:dyDescent="0.25">
      <c r="A2844" s="5" t="s">
        <v>6</v>
      </c>
      <c r="B2844" s="5" t="s">
        <v>14146</v>
      </c>
      <c r="C2844" s="1" t="s">
        <v>14147</v>
      </c>
      <c r="D2844" s="5" t="s">
        <v>18224</v>
      </c>
      <c r="E2844" s="32">
        <v>41</v>
      </c>
      <c r="F2844" s="27">
        <v>164</v>
      </c>
      <c r="G2844" s="32">
        <v>68</v>
      </c>
      <c r="H2844" s="27">
        <v>272</v>
      </c>
      <c r="I2844" s="27">
        <v>4</v>
      </c>
      <c r="J2844" s="27">
        <v>4</v>
      </c>
      <c r="K2844" s="29">
        <v>0</v>
      </c>
    </row>
    <row r="2845" spans="1:11" x14ac:dyDescent="0.25">
      <c r="A2845" s="5" t="s">
        <v>6</v>
      </c>
      <c r="B2845" s="5" t="s">
        <v>14149</v>
      </c>
      <c r="C2845" s="1" t="s">
        <v>14150</v>
      </c>
      <c r="D2845" s="5" t="s">
        <v>18225</v>
      </c>
      <c r="E2845" s="32">
        <v>16</v>
      </c>
      <c r="F2845" s="27">
        <v>68</v>
      </c>
      <c r="G2845" s="32">
        <v>58</v>
      </c>
      <c r="H2845" s="27">
        <v>246.5</v>
      </c>
      <c r="I2845" s="27">
        <v>4.25</v>
      </c>
      <c r="J2845" s="27">
        <v>4.25</v>
      </c>
      <c r="K2845" s="29">
        <v>0</v>
      </c>
    </row>
    <row r="2846" spans="1:11" x14ac:dyDescent="0.25">
      <c r="A2846" s="5" t="s">
        <v>6</v>
      </c>
      <c r="B2846" s="5" t="s">
        <v>14151</v>
      </c>
      <c r="C2846" s="1" t="s">
        <v>14152</v>
      </c>
      <c r="D2846" s="5" t="s">
        <v>18224</v>
      </c>
      <c r="E2846" s="32">
        <v>45</v>
      </c>
      <c r="F2846" s="27">
        <v>180</v>
      </c>
      <c r="G2846" s="32">
        <v>67</v>
      </c>
      <c r="H2846" s="27">
        <v>268</v>
      </c>
      <c r="I2846" s="27">
        <v>4</v>
      </c>
      <c r="J2846" s="27">
        <v>4</v>
      </c>
      <c r="K2846" s="29">
        <v>0</v>
      </c>
    </row>
    <row r="2847" spans="1:11" x14ac:dyDescent="0.25">
      <c r="A2847" s="5" t="s">
        <v>6</v>
      </c>
      <c r="B2847" s="5" t="s">
        <v>14154</v>
      </c>
      <c r="C2847" s="1" t="s">
        <v>14155</v>
      </c>
      <c r="D2847" s="5" t="s">
        <v>18224</v>
      </c>
      <c r="E2847" s="32">
        <v>35</v>
      </c>
      <c r="F2847" s="27">
        <v>140</v>
      </c>
      <c r="G2847" s="32">
        <v>61</v>
      </c>
      <c r="H2847" s="27">
        <v>244</v>
      </c>
      <c r="I2847" s="27">
        <v>4</v>
      </c>
      <c r="J2847" s="27">
        <v>4</v>
      </c>
      <c r="K2847" s="29">
        <v>0</v>
      </c>
    </row>
    <row r="2848" spans="1:11" x14ac:dyDescent="0.25">
      <c r="A2848" s="5" t="s">
        <v>6</v>
      </c>
      <c r="B2848" s="5" t="s">
        <v>14157</v>
      </c>
      <c r="C2848" s="1" t="s">
        <v>14158</v>
      </c>
      <c r="D2848" s="5" t="s">
        <v>18224</v>
      </c>
      <c r="E2848" s="32">
        <v>4</v>
      </c>
      <c r="F2848" s="27">
        <v>41.36</v>
      </c>
      <c r="G2848" s="32">
        <v>7</v>
      </c>
      <c r="H2848" s="27">
        <v>72.38</v>
      </c>
      <c r="I2848" s="27">
        <v>10.34</v>
      </c>
      <c r="J2848" s="27">
        <v>10.34</v>
      </c>
      <c r="K2848" s="29">
        <v>0</v>
      </c>
    </row>
    <row r="2849" spans="1:11" x14ac:dyDescent="0.25">
      <c r="A2849" s="5" t="s">
        <v>6</v>
      </c>
      <c r="B2849" s="5" t="s">
        <v>14160</v>
      </c>
      <c r="C2849" s="1" t="s">
        <v>14161</v>
      </c>
      <c r="D2849" s="5" t="s">
        <v>18226</v>
      </c>
      <c r="E2849" s="32">
        <v>26</v>
      </c>
      <c r="F2849" s="27">
        <v>154.69999999999999</v>
      </c>
      <c r="G2849" s="32">
        <v>26</v>
      </c>
      <c r="H2849" s="27">
        <v>154.69999999999999</v>
      </c>
      <c r="I2849" s="27">
        <v>5.9499999999999993</v>
      </c>
      <c r="J2849" s="27">
        <v>5.9499999999999993</v>
      </c>
      <c r="K2849" s="29">
        <v>0</v>
      </c>
    </row>
    <row r="2850" spans="1:11" x14ac:dyDescent="0.25">
      <c r="A2850" s="5" t="s">
        <v>6</v>
      </c>
      <c r="B2850" s="5" t="s">
        <v>14163</v>
      </c>
      <c r="C2850" s="1" t="s">
        <v>14164</v>
      </c>
      <c r="D2850" s="5" t="s">
        <v>18227</v>
      </c>
      <c r="E2850" s="32">
        <v>9</v>
      </c>
      <c r="F2850" s="27">
        <v>30.33</v>
      </c>
      <c r="I2850" s="27">
        <v>3.3699999999999997</v>
      </c>
    </row>
    <row r="2851" spans="1:11" x14ac:dyDescent="0.25">
      <c r="A2851" s="5" t="s">
        <v>6</v>
      </c>
      <c r="B2851" s="5" t="s">
        <v>14165</v>
      </c>
      <c r="C2851" s="1" t="s">
        <v>14166</v>
      </c>
      <c r="D2851" s="5" t="s">
        <v>18228</v>
      </c>
      <c r="E2851" s="32">
        <v>5</v>
      </c>
      <c r="F2851" s="27">
        <v>142.35</v>
      </c>
      <c r="G2851" s="32">
        <v>1</v>
      </c>
      <c r="H2851" s="27">
        <v>28.47</v>
      </c>
      <c r="I2851" s="27">
        <v>28.47</v>
      </c>
      <c r="J2851" s="27">
        <v>28.47</v>
      </c>
      <c r="K2851" s="29">
        <v>0</v>
      </c>
    </row>
    <row r="2852" spans="1:11" x14ac:dyDescent="0.25">
      <c r="A2852" s="5" t="s">
        <v>6</v>
      </c>
      <c r="B2852" s="5" t="s">
        <v>14167</v>
      </c>
      <c r="C2852" s="1" t="s">
        <v>14168</v>
      </c>
      <c r="D2852" s="5" t="s">
        <v>18221</v>
      </c>
      <c r="E2852" s="32">
        <v>12</v>
      </c>
      <c r="F2852" s="27">
        <v>166.2</v>
      </c>
      <c r="G2852" s="32">
        <v>28</v>
      </c>
      <c r="H2852" s="27">
        <v>387.8</v>
      </c>
      <c r="I2852" s="27">
        <v>13.85</v>
      </c>
      <c r="J2852" s="27">
        <v>13.85</v>
      </c>
      <c r="K2852" s="29">
        <v>0</v>
      </c>
    </row>
    <row r="2853" spans="1:11" x14ac:dyDescent="0.25">
      <c r="A2853" s="5" t="s">
        <v>6</v>
      </c>
      <c r="B2853" s="5" t="s">
        <v>14170</v>
      </c>
      <c r="C2853" s="1" t="s">
        <v>14171</v>
      </c>
      <c r="D2853" s="5" t="s">
        <v>18221</v>
      </c>
      <c r="E2853" s="32">
        <v>2</v>
      </c>
      <c r="F2853" s="27">
        <v>71.42</v>
      </c>
      <c r="I2853" s="27">
        <v>35.71</v>
      </c>
    </row>
    <row r="2854" spans="1:11" x14ac:dyDescent="0.25">
      <c r="A2854" s="5" t="s">
        <v>6</v>
      </c>
      <c r="B2854" s="5" t="s">
        <v>14175</v>
      </c>
      <c r="C2854" s="1" t="s">
        <v>2781</v>
      </c>
      <c r="D2854" s="5" t="s">
        <v>17321</v>
      </c>
      <c r="E2854" s="32">
        <v>77</v>
      </c>
      <c r="F2854" s="27">
        <v>169.4</v>
      </c>
      <c r="I2854" s="27">
        <v>2.2000000000000002</v>
      </c>
    </row>
    <row r="2855" spans="1:11" x14ac:dyDescent="0.25">
      <c r="A2855" s="5" t="s">
        <v>6</v>
      </c>
      <c r="B2855" s="5" t="s">
        <v>14179</v>
      </c>
      <c r="C2855" s="1" t="s">
        <v>14180</v>
      </c>
      <c r="D2855" s="5" t="s">
        <v>18229</v>
      </c>
      <c r="E2855" s="32">
        <v>75</v>
      </c>
      <c r="F2855" s="27">
        <v>275.25</v>
      </c>
      <c r="G2855" s="32">
        <v>63</v>
      </c>
      <c r="H2855" s="27">
        <v>231.21</v>
      </c>
      <c r="I2855" s="27">
        <v>3.67</v>
      </c>
      <c r="J2855" s="27">
        <v>3.67</v>
      </c>
      <c r="K2855" s="29">
        <v>0</v>
      </c>
    </row>
    <row r="2856" spans="1:11" x14ac:dyDescent="0.25">
      <c r="A2856" s="5" t="s">
        <v>6</v>
      </c>
      <c r="B2856" s="5" t="s">
        <v>14183</v>
      </c>
      <c r="C2856" s="1" t="s">
        <v>14184</v>
      </c>
      <c r="D2856" s="5" t="s">
        <v>18230</v>
      </c>
      <c r="E2856" s="32">
        <v>12</v>
      </c>
      <c r="F2856" s="27">
        <v>73.319999999999993</v>
      </c>
      <c r="G2856" s="32">
        <v>11</v>
      </c>
      <c r="H2856" s="27">
        <v>67.209999999999994</v>
      </c>
      <c r="I2856" s="27">
        <v>6.1099999999999994</v>
      </c>
      <c r="J2856" s="27">
        <v>6.1099999999999994</v>
      </c>
      <c r="K2856" s="29">
        <v>0</v>
      </c>
    </row>
    <row r="2857" spans="1:11" x14ac:dyDescent="0.25">
      <c r="A2857" s="5" t="s">
        <v>6</v>
      </c>
      <c r="B2857" s="5" t="s">
        <v>14194</v>
      </c>
      <c r="C2857" s="1" t="s">
        <v>14195</v>
      </c>
      <c r="D2857" s="5" t="s">
        <v>18231</v>
      </c>
      <c r="E2857" s="32">
        <v>301</v>
      </c>
      <c r="F2857" s="27">
        <v>1204</v>
      </c>
      <c r="G2857" s="32">
        <v>332</v>
      </c>
      <c r="H2857" s="27">
        <v>1328</v>
      </c>
      <c r="I2857" s="27">
        <v>4</v>
      </c>
      <c r="J2857" s="27">
        <v>4</v>
      </c>
      <c r="K2857" s="29">
        <v>0</v>
      </c>
    </row>
    <row r="2858" spans="1:11" x14ac:dyDescent="0.25">
      <c r="A2858" s="5" t="s">
        <v>6</v>
      </c>
      <c r="B2858" s="5" t="s">
        <v>14199</v>
      </c>
      <c r="C2858" s="1" t="s">
        <v>14200</v>
      </c>
      <c r="D2858" s="5" t="s">
        <v>18232</v>
      </c>
      <c r="E2858" s="32">
        <v>10</v>
      </c>
      <c r="F2858" s="27">
        <v>52.9</v>
      </c>
      <c r="G2858" s="32">
        <v>20</v>
      </c>
      <c r="H2858" s="27">
        <v>105.8</v>
      </c>
      <c r="I2858" s="27">
        <v>5.29</v>
      </c>
      <c r="J2858" s="27">
        <v>5.29</v>
      </c>
      <c r="K2858" s="29">
        <v>0</v>
      </c>
    </row>
    <row r="2859" spans="1:11" x14ac:dyDescent="0.25">
      <c r="A2859" s="5" t="s">
        <v>6</v>
      </c>
      <c r="B2859" s="5" t="s">
        <v>14202</v>
      </c>
      <c r="C2859" s="1" t="s">
        <v>14173</v>
      </c>
      <c r="D2859" s="5" t="s">
        <v>18221</v>
      </c>
      <c r="E2859" s="32">
        <v>32</v>
      </c>
      <c r="F2859" s="27">
        <v>192</v>
      </c>
      <c r="G2859" s="32">
        <v>49</v>
      </c>
      <c r="H2859" s="27">
        <v>294</v>
      </c>
      <c r="I2859" s="27">
        <v>6</v>
      </c>
      <c r="J2859" s="27">
        <v>6</v>
      </c>
      <c r="K2859" s="29">
        <v>0</v>
      </c>
    </row>
    <row r="2860" spans="1:11" x14ac:dyDescent="0.25">
      <c r="A2860" s="5" t="s">
        <v>6</v>
      </c>
      <c r="B2860" s="5" t="s">
        <v>14215</v>
      </c>
      <c r="C2860" s="1" t="s">
        <v>14216</v>
      </c>
      <c r="D2860" s="5" t="s">
        <v>18221</v>
      </c>
      <c r="E2860" s="32">
        <v>3</v>
      </c>
      <c r="F2860" s="27">
        <v>92.67</v>
      </c>
      <c r="I2860" s="27">
        <v>30.89</v>
      </c>
    </row>
    <row r="2861" spans="1:11" x14ac:dyDescent="0.25">
      <c r="A2861" s="5" t="s">
        <v>6</v>
      </c>
      <c r="B2861" s="5" t="s">
        <v>14218</v>
      </c>
      <c r="C2861" s="1" t="s">
        <v>14219</v>
      </c>
      <c r="D2861" s="5" t="s">
        <v>18233</v>
      </c>
      <c r="E2861" s="32">
        <v>107</v>
      </c>
      <c r="F2861" s="27">
        <v>1082.8399999999999</v>
      </c>
      <c r="G2861" s="32">
        <v>86</v>
      </c>
      <c r="H2861" s="27">
        <v>870.32</v>
      </c>
      <c r="I2861" s="27">
        <v>10.119999999999999</v>
      </c>
      <c r="J2861" s="27">
        <v>10.120000000000001</v>
      </c>
      <c r="K2861" s="29">
        <v>1.7552933195654651E-16</v>
      </c>
    </row>
    <row r="2862" spans="1:11" x14ac:dyDescent="0.25">
      <c r="A2862" s="5" t="s">
        <v>6</v>
      </c>
      <c r="B2862" s="5" t="s">
        <v>14224</v>
      </c>
      <c r="C2862" s="1" t="s">
        <v>14225</v>
      </c>
      <c r="D2862" s="5" t="s">
        <v>18234</v>
      </c>
      <c r="E2862" s="32">
        <v>1</v>
      </c>
      <c r="F2862" s="27">
        <v>13.19</v>
      </c>
      <c r="I2862" s="27">
        <v>13.19</v>
      </c>
    </row>
    <row r="2863" spans="1:11" x14ac:dyDescent="0.25">
      <c r="A2863" s="5" t="s">
        <v>6</v>
      </c>
      <c r="B2863" s="5" t="s">
        <v>14226</v>
      </c>
      <c r="C2863" s="1" t="s">
        <v>2794</v>
      </c>
      <c r="D2863" s="5" t="s">
        <v>17325</v>
      </c>
      <c r="E2863" s="32">
        <v>184</v>
      </c>
      <c r="F2863" s="27">
        <v>414</v>
      </c>
      <c r="G2863" s="32">
        <v>326</v>
      </c>
      <c r="H2863" s="27">
        <v>733.5</v>
      </c>
      <c r="I2863" s="27">
        <v>2.25</v>
      </c>
      <c r="J2863" s="27">
        <v>2.25</v>
      </c>
      <c r="K2863" s="29">
        <v>0</v>
      </c>
    </row>
    <row r="2864" spans="1:11" x14ac:dyDescent="0.25">
      <c r="A2864" s="5" t="s">
        <v>6</v>
      </c>
      <c r="B2864" s="5" t="s">
        <v>14227</v>
      </c>
      <c r="C2864" s="1" t="s">
        <v>14228</v>
      </c>
      <c r="D2864" s="5" t="s">
        <v>18235</v>
      </c>
      <c r="E2864" s="32">
        <v>3</v>
      </c>
      <c r="F2864" s="27">
        <v>9.7799999999999994</v>
      </c>
      <c r="I2864" s="27">
        <v>3.26</v>
      </c>
    </row>
    <row r="2865" spans="1:11" x14ac:dyDescent="0.25">
      <c r="A2865" s="5" t="s">
        <v>6</v>
      </c>
      <c r="B2865" s="5" t="s">
        <v>14230</v>
      </c>
      <c r="C2865" s="1" t="s">
        <v>14231</v>
      </c>
      <c r="D2865" s="5" t="s">
        <v>17326</v>
      </c>
      <c r="E2865" s="32">
        <v>22</v>
      </c>
      <c r="F2865" s="27">
        <v>259.5</v>
      </c>
      <c r="G2865" s="32">
        <v>20</v>
      </c>
      <c r="H2865" s="27">
        <v>240</v>
      </c>
      <c r="I2865" s="27">
        <v>11.795454545454545</v>
      </c>
      <c r="J2865" s="27">
        <v>12</v>
      </c>
      <c r="K2865" s="29">
        <v>1.7341040462427789E-2</v>
      </c>
    </row>
    <row r="2866" spans="1:11" x14ac:dyDescent="0.25">
      <c r="A2866" s="5" t="s">
        <v>6</v>
      </c>
      <c r="B2866" s="5" t="s">
        <v>14232</v>
      </c>
      <c r="C2866" s="1" t="s">
        <v>14233</v>
      </c>
      <c r="D2866" s="5" t="s">
        <v>18236</v>
      </c>
      <c r="E2866" s="32">
        <v>1</v>
      </c>
      <c r="F2866" s="27">
        <v>8.76</v>
      </c>
      <c r="G2866" s="32">
        <v>6</v>
      </c>
      <c r="H2866" s="27">
        <v>52.56</v>
      </c>
      <c r="I2866" s="27">
        <v>8.76</v>
      </c>
      <c r="J2866" s="27">
        <v>8.76</v>
      </c>
      <c r="K2866" s="29">
        <v>0</v>
      </c>
    </row>
    <row r="2867" spans="1:11" x14ac:dyDescent="0.25">
      <c r="A2867" s="5" t="s">
        <v>6</v>
      </c>
      <c r="B2867" s="5" t="s">
        <v>14235</v>
      </c>
      <c r="C2867" s="1" t="s">
        <v>14236</v>
      </c>
      <c r="D2867" s="5" t="s">
        <v>17269</v>
      </c>
      <c r="E2867" s="32">
        <v>0</v>
      </c>
      <c r="F2867" s="27">
        <v>0</v>
      </c>
      <c r="G2867" s="32">
        <v>1</v>
      </c>
      <c r="H2867" s="27">
        <v>6.46</v>
      </c>
      <c r="J2867" s="27">
        <v>6.46</v>
      </c>
    </row>
    <row r="2868" spans="1:11" x14ac:dyDescent="0.25">
      <c r="A2868" s="5" t="s">
        <v>6</v>
      </c>
      <c r="B2868" s="5" t="s">
        <v>14240</v>
      </c>
      <c r="C2868" s="1" t="s">
        <v>14241</v>
      </c>
      <c r="D2868" s="5" t="s">
        <v>18237</v>
      </c>
      <c r="E2868" s="32">
        <v>27</v>
      </c>
      <c r="F2868" s="27">
        <v>675</v>
      </c>
      <c r="G2868" s="32">
        <v>19</v>
      </c>
      <c r="H2868" s="27">
        <v>475</v>
      </c>
      <c r="I2868" s="27">
        <v>25</v>
      </c>
      <c r="J2868" s="27">
        <v>25</v>
      </c>
      <c r="K2868" s="29">
        <v>0</v>
      </c>
    </row>
    <row r="2869" spans="1:11" x14ac:dyDescent="0.25">
      <c r="A2869" s="5" t="s">
        <v>6</v>
      </c>
      <c r="B2869" s="5" t="s">
        <v>14242</v>
      </c>
      <c r="C2869" s="1" t="s">
        <v>14243</v>
      </c>
      <c r="D2869" s="5" t="s">
        <v>18237</v>
      </c>
      <c r="E2869" s="32">
        <v>10</v>
      </c>
      <c r="F2869" s="27">
        <v>122.2</v>
      </c>
      <c r="G2869" s="32">
        <v>14</v>
      </c>
      <c r="H2869" s="27">
        <v>171.08</v>
      </c>
      <c r="I2869" s="27">
        <v>12.22</v>
      </c>
      <c r="J2869" s="27">
        <v>12.22</v>
      </c>
      <c r="K2869" s="29">
        <v>0</v>
      </c>
    </row>
    <row r="2870" spans="1:11" x14ac:dyDescent="0.25">
      <c r="A2870" s="5" t="s">
        <v>6</v>
      </c>
      <c r="B2870" s="5" t="s">
        <v>14253</v>
      </c>
      <c r="C2870" s="1" t="s">
        <v>14254</v>
      </c>
      <c r="D2870" s="5" t="s">
        <v>17329</v>
      </c>
      <c r="E2870" s="32">
        <v>9</v>
      </c>
      <c r="F2870" s="27">
        <v>45</v>
      </c>
      <c r="G2870" s="32">
        <v>3</v>
      </c>
      <c r="H2870" s="27">
        <v>15</v>
      </c>
      <c r="I2870" s="27">
        <v>5</v>
      </c>
      <c r="J2870" s="27">
        <v>5</v>
      </c>
      <c r="K2870" s="29">
        <v>0</v>
      </c>
    </row>
    <row r="2871" spans="1:11" x14ac:dyDescent="0.25">
      <c r="A2871" s="5" t="s">
        <v>6</v>
      </c>
      <c r="B2871" s="5" t="s">
        <v>14256</v>
      </c>
      <c r="C2871" s="1" t="s">
        <v>14257</v>
      </c>
      <c r="D2871" s="5" t="s">
        <v>18238</v>
      </c>
      <c r="E2871" s="32">
        <v>224</v>
      </c>
      <c r="F2871" s="27">
        <v>3136</v>
      </c>
      <c r="G2871" s="32">
        <v>198</v>
      </c>
      <c r="H2871" s="27">
        <v>2772</v>
      </c>
      <c r="I2871" s="27">
        <v>14</v>
      </c>
      <c r="J2871" s="27">
        <v>14</v>
      </c>
      <c r="K2871" s="29">
        <v>0</v>
      </c>
    </row>
    <row r="2872" spans="1:11" x14ac:dyDescent="0.25">
      <c r="A2872" s="5" t="s">
        <v>6</v>
      </c>
      <c r="B2872" s="5" t="s">
        <v>14259</v>
      </c>
      <c r="C2872" s="1" t="s">
        <v>14260</v>
      </c>
      <c r="D2872" s="5" t="s">
        <v>18238</v>
      </c>
      <c r="E2872" s="32">
        <v>1</v>
      </c>
      <c r="F2872" s="27">
        <v>16.29</v>
      </c>
      <c r="G2872" s="32">
        <v>8</v>
      </c>
      <c r="H2872" s="27">
        <v>130.32</v>
      </c>
      <c r="I2872" s="27">
        <v>16.29</v>
      </c>
      <c r="J2872" s="27">
        <v>16.29</v>
      </c>
      <c r="K2872" s="29">
        <v>0</v>
      </c>
    </row>
    <row r="2873" spans="1:11" x14ac:dyDescent="0.25">
      <c r="A2873" s="5" t="s">
        <v>6</v>
      </c>
      <c r="B2873" s="5" t="s">
        <v>14261</v>
      </c>
      <c r="C2873" s="1" t="s">
        <v>14262</v>
      </c>
      <c r="D2873" s="5" t="s">
        <v>18238</v>
      </c>
      <c r="E2873" s="32">
        <v>1</v>
      </c>
      <c r="F2873" s="27">
        <v>16.29</v>
      </c>
      <c r="G2873" s="32">
        <v>8</v>
      </c>
      <c r="H2873" s="27">
        <v>130.32</v>
      </c>
      <c r="I2873" s="27">
        <v>16.29</v>
      </c>
      <c r="J2873" s="27">
        <v>16.29</v>
      </c>
      <c r="K2873" s="29">
        <v>0</v>
      </c>
    </row>
    <row r="2874" spans="1:11" x14ac:dyDescent="0.25">
      <c r="A2874" s="5" t="s">
        <v>6</v>
      </c>
      <c r="B2874" s="5" t="s">
        <v>14263</v>
      </c>
      <c r="C2874" s="1" t="s">
        <v>14264</v>
      </c>
      <c r="D2874" s="5" t="s">
        <v>18239</v>
      </c>
      <c r="E2874" s="32">
        <v>212</v>
      </c>
      <c r="F2874" s="27">
        <v>978.4</v>
      </c>
      <c r="G2874" s="32">
        <v>179</v>
      </c>
      <c r="H2874" s="27">
        <v>859.2</v>
      </c>
      <c r="I2874" s="27">
        <v>4.6150943396226412</v>
      </c>
      <c r="J2874" s="27">
        <v>4.8</v>
      </c>
      <c r="K2874" s="29">
        <v>4.0065412919051552E-2</v>
      </c>
    </row>
    <row r="2875" spans="1:11" x14ac:dyDescent="0.25">
      <c r="A2875" s="5" t="s">
        <v>6</v>
      </c>
      <c r="B2875" s="5" t="s">
        <v>14271</v>
      </c>
      <c r="C2875" s="1" t="s">
        <v>14272</v>
      </c>
      <c r="D2875" s="5" t="s">
        <v>18240</v>
      </c>
      <c r="E2875" s="32">
        <v>6</v>
      </c>
      <c r="F2875" s="27">
        <v>171.66</v>
      </c>
      <c r="G2875" s="32">
        <v>11</v>
      </c>
      <c r="H2875" s="27">
        <v>314.70999999999998</v>
      </c>
      <c r="I2875" s="27">
        <v>28.61</v>
      </c>
      <c r="J2875" s="27">
        <v>28.61</v>
      </c>
      <c r="K2875" s="29">
        <v>0</v>
      </c>
    </row>
    <row r="2876" spans="1:11" x14ac:dyDescent="0.25">
      <c r="A2876" s="5" t="s">
        <v>6</v>
      </c>
      <c r="B2876" s="5" t="s">
        <v>14276</v>
      </c>
      <c r="C2876" s="1" t="s">
        <v>14277</v>
      </c>
      <c r="D2876" s="5" t="s">
        <v>18241</v>
      </c>
      <c r="E2876" s="32">
        <v>12</v>
      </c>
      <c r="F2876" s="27">
        <v>2199.12</v>
      </c>
      <c r="G2876" s="32">
        <v>11</v>
      </c>
      <c r="H2876" s="27">
        <v>2015.86</v>
      </c>
      <c r="I2876" s="27">
        <v>183.26</v>
      </c>
      <c r="J2876" s="27">
        <v>183.26</v>
      </c>
      <c r="K2876" s="29">
        <v>0</v>
      </c>
    </row>
    <row r="2877" spans="1:11" x14ac:dyDescent="0.25">
      <c r="A2877" s="5" t="s">
        <v>6</v>
      </c>
      <c r="B2877" s="5" t="s">
        <v>14278</v>
      </c>
      <c r="C2877" s="1" t="s">
        <v>14279</v>
      </c>
      <c r="D2877" s="5" t="s">
        <v>18241</v>
      </c>
      <c r="E2877" s="32">
        <v>39</v>
      </c>
      <c r="F2877" s="27">
        <v>1950</v>
      </c>
      <c r="G2877" s="32">
        <v>66</v>
      </c>
      <c r="H2877" s="27">
        <v>3300</v>
      </c>
      <c r="I2877" s="27">
        <v>50</v>
      </c>
      <c r="J2877" s="27">
        <v>50</v>
      </c>
      <c r="K2877" s="29">
        <v>0</v>
      </c>
    </row>
    <row r="2878" spans="1:11" x14ac:dyDescent="0.25">
      <c r="A2878" s="5" t="s">
        <v>6</v>
      </c>
      <c r="B2878" s="5" t="s">
        <v>14283</v>
      </c>
      <c r="C2878" s="1" t="s">
        <v>14284</v>
      </c>
      <c r="D2878" s="5" t="s">
        <v>18242</v>
      </c>
      <c r="E2878" s="32">
        <v>186</v>
      </c>
      <c r="F2878" s="27">
        <v>656.8</v>
      </c>
      <c r="G2878" s="32">
        <v>214</v>
      </c>
      <c r="H2878" s="27">
        <v>781.1</v>
      </c>
      <c r="I2878" s="27">
        <v>3.5311827956989243</v>
      </c>
      <c r="J2878" s="27">
        <v>3.65</v>
      </c>
      <c r="K2878" s="29">
        <v>3.3647990255785715E-2</v>
      </c>
    </row>
    <row r="2879" spans="1:11" x14ac:dyDescent="0.25">
      <c r="A2879" s="5" t="s">
        <v>6</v>
      </c>
      <c r="B2879" s="5" t="s">
        <v>14285</v>
      </c>
      <c r="C2879" s="1" t="s">
        <v>14286</v>
      </c>
      <c r="D2879" s="5" t="s">
        <v>18232</v>
      </c>
      <c r="E2879" s="32">
        <v>2</v>
      </c>
      <c r="F2879" s="27">
        <v>10.58</v>
      </c>
      <c r="G2879" s="32">
        <v>12</v>
      </c>
      <c r="H2879" s="27">
        <v>63.48</v>
      </c>
      <c r="I2879" s="27">
        <v>5.29</v>
      </c>
      <c r="J2879" s="27">
        <v>5.29</v>
      </c>
      <c r="K2879" s="29">
        <v>0</v>
      </c>
    </row>
    <row r="2880" spans="1:11" x14ac:dyDescent="0.25">
      <c r="A2880" s="5" t="s">
        <v>6</v>
      </c>
      <c r="B2880" s="5" t="s">
        <v>14287</v>
      </c>
      <c r="C2880" s="1" t="s">
        <v>2817</v>
      </c>
      <c r="D2880" s="5" t="s">
        <v>18243</v>
      </c>
      <c r="E2880" s="32">
        <v>64</v>
      </c>
      <c r="F2880" s="27">
        <v>538.24</v>
      </c>
      <c r="G2880" s="32">
        <v>94</v>
      </c>
      <c r="H2880" s="27">
        <v>790.54</v>
      </c>
      <c r="I2880" s="27">
        <v>8.41</v>
      </c>
      <c r="J2880" s="27">
        <v>8.41</v>
      </c>
      <c r="K2880" s="29">
        <v>0</v>
      </c>
    </row>
    <row r="2881" spans="1:11" x14ac:dyDescent="0.25">
      <c r="A2881" s="5" t="s">
        <v>6</v>
      </c>
      <c r="B2881" s="5" t="s">
        <v>14288</v>
      </c>
      <c r="C2881" s="1" t="s">
        <v>14289</v>
      </c>
      <c r="D2881" s="5" t="s">
        <v>18244</v>
      </c>
      <c r="E2881" s="32">
        <v>9</v>
      </c>
      <c r="F2881" s="27">
        <v>821.25</v>
      </c>
      <c r="G2881" s="32">
        <v>10</v>
      </c>
      <c r="H2881" s="27">
        <v>912.5</v>
      </c>
      <c r="I2881" s="27">
        <v>91.25</v>
      </c>
      <c r="J2881" s="27">
        <v>91.25</v>
      </c>
      <c r="K2881" s="29">
        <v>0</v>
      </c>
    </row>
    <row r="2882" spans="1:11" x14ac:dyDescent="0.25">
      <c r="A2882" s="5" t="s">
        <v>6</v>
      </c>
      <c r="B2882" s="5" t="s">
        <v>14299</v>
      </c>
      <c r="C2882" s="1" t="s">
        <v>2822</v>
      </c>
      <c r="D2882" s="5" t="s">
        <v>17331</v>
      </c>
      <c r="E2882" s="32">
        <v>7</v>
      </c>
      <c r="F2882" s="27">
        <v>14</v>
      </c>
      <c r="G2882" s="32">
        <v>2</v>
      </c>
      <c r="H2882" s="27">
        <v>4</v>
      </c>
      <c r="I2882" s="27">
        <v>2</v>
      </c>
      <c r="J2882" s="27">
        <v>2</v>
      </c>
      <c r="K2882" s="29">
        <v>0</v>
      </c>
    </row>
    <row r="2883" spans="1:11" x14ac:dyDescent="0.25">
      <c r="A2883" s="5" t="s">
        <v>6</v>
      </c>
      <c r="B2883" s="5" t="s">
        <v>14300</v>
      </c>
      <c r="C2883" s="1" t="s">
        <v>14301</v>
      </c>
      <c r="D2883" s="5" t="s">
        <v>18245</v>
      </c>
      <c r="E2883" s="32">
        <v>7</v>
      </c>
      <c r="F2883" s="27">
        <v>35</v>
      </c>
      <c r="G2883" s="32">
        <v>2</v>
      </c>
      <c r="H2883" s="27">
        <v>10</v>
      </c>
      <c r="I2883" s="27">
        <v>5</v>
      </c>
      <c r="J2883" s="27">
        <v>5</v>
      </c>
      <c r="K2883" s="29">
        <v>0</v>
      </c>
    </row>
    <row r="2884" spans="1:11" x14ac:dyDescent="0.25">
      <c r="A2884" s="5" t="s">
        <v>6</v>
      </c>
      <c r="B2884" s="5" t="s">
        <v>14306</v>
      </c>
      <c r="C2884" s="1" t="s">
        <v>14307</v>
      </c>
      <c r="D2884" s="5" t="s">
        <v>18246</v>
      </c>
      <c r="E2884" s="32">
        <v>3</v>
      </c>
      <c r="F2884" s="27">
        <v>48</v>
      </c>
      <c r="I2884" s="27">
        <v>16</v>
      </c>
    </row>
    <row r="2885" spans="1:11" x14ac:dyDescent="0.25">
      <c r="A2885" s="5" t="s">
        <v>6</v>
      </c>
      <c r="B2885" s="5" t="s">
        <v>14310</v>
      </c>
      <c r="C2885" s="1" t="s">
        <v>14311</v>
      </c>
      <c r="D2885" s="5" t="s">
        <v>18247</v>
      </c>
      <c r="E2885" s="32">
        <v>4</v>
      </c>
      <c r="F2885" s="27">
        <v>13.48</v>
      </c>
      <c r="I2885" s="27">
        <v>3.37</v>
      </c>
    </row>
    <row r="2886" spans="1:11" x14ac:dyDescent="0.25">
      <c r="A2886" s="5" t="s">
        <v>6</v>
      </c>
      <c r="B2886" s="5" t="s">
        <v>14312</v>
      </c>
      <c r="C2886" s="1" t="s">
        <v>14313</v>
      </c>
      <c r="D2886" s="5" t="s">
        <v>18248</v>
      </c>
      <c r="E2886" s="32">
        <v>31</v>
      </c>
      <c r="F2886" s="27">
        <v>101.06</v>
      </c>
      <c r="G2886" s="32">
        <v>33</v>
      </c>
      <c r="H2886" s="27">
        <v>107.58</v>
      </c>
      <c r="I2886" s="27">
        <v>3.2600000000000002</v>
      </c>
      <c r="J2886" s="27">
        <v>3.26</v>
      </c>
      <c r="K2886" s="29">
        <v>-1.3622368400308669E-16</v>
      </c>
    </row>
    <row r="2887" spans="1:11" x14ac:dyDescent="0.25">
      <c r="A2887" s="5" t="s">
        <v>6</v>
      </c>
      <c r="B2887" s="5" t="s">
        <v>14314</v>
      </c>
      <c r="C2887" s="1" t="s">
        <v>14315</v>
      </c>
      <c r="D2887" s="5" t="s">
        <v>18174</v>
      </c>
      <c r="E2887" s="32">
        <v>2</v>
      </c>
      <c r="F2887" s="27">
        <v>58.44</v>
      </c>
      <c r="G2887" s="32">
        <v>3</v>
      </c>
      <c r="H2887" s="27">
        <v>87.66</v>
      </c>
      <c r="I2887" s="27">
        <v>29.22</v>
      </c>
      <c r="J2887" s="27">
        <v>29.22</v>
      </c>
      <c r="K2887" s="29">
        <v>0</v>
      </c>
    </row>
    <row r="2888" spans="1:11" x14ac:dyDescent="0.25">
      <c r="A2888" s="5" t="s">
        <v>6</v>
      </c>
      <c r="B2888" s="5" t="s">
        <v>14317</v>
      </c>
      <c r="C2888" s="1" t="s">
        <v>2845</v>
      </c>
      <c r="D2888" s="5" t="s">
        <v>17337</v>
      </c>
      <c r="E2888" s="32">
        <v>295</v>
      </c>
      <c r="F2888" s="27">
        <v>590</v>
      </c>
      <c r="G2888" s="32">
        <v>296</v>
      </c>
      <c r="H2888" s="27">
        <v>592</v>
      </c>
      <c r="I2888" s="27">
        <v>2</v>
      </c>
      <c r="J2888" s="27">
        <v>2</v>
      </c>
      <c r="K2888" s="29">
        <v>0</v>
      </c>
    </row>
    <row r="2889" spans="1:11" x14ac:dyDescent="0.25">
      <c r="A2889" s="5" t="s">
        <v>6</v>
      </c>
      <c r="B2889" s="5" t="s">
        <v>14318</v>
      </c>
      <c r="C2889" s="1" t="s">
        <v>14319</v>
      </c>
      <c r="D2889" s="5" t="s">
        <v>17338</v>
      </c>
      <c r="E2889" s="32">
        <v>100</v>
      </c>
      <c r="F2889" s="27">
        <v>208</v>
      </c>
      <c r="G2889" s="32">
        <v>60</v>
      </c>
      <c r="H2889" s="27">
        <v>124.8</v>
      </c>
      <c r="I2889" s="27">
        <v>2.08</v>
      </c>
      <c r="J2889" s="27">
        <v>2.08</v>
      </c>
      <c r="K2889" s="29">
        <v>0</v>
      </c>
    </row>
    <row r="2890" spans="1:11" x14ac:dyDescent="0.25">
      <c r="A2890" s="5" t="s">
        <v>6</v>
      </c>
      <c r="B2890" s="5" t="s">
        <v>14320</v>
      </c>
      <c r="C2890" s="1" t="s">
        <v>2851</v>
      </c>
      <c r="D2890" s="5" t="s">
        <v>17339</v>
      </c>
      <c r="E2890" s="32">
        <v>99</v>
      </c>
      <c r="F2890" s="27">
        <v>222.75</v>
      </c>
      <c r="G2890" s="32">
        <v>100</v>
      </c>
      <c r="H2890" s="27">
        <v>225</v>
      </c>
      <c r="I2890" s="27">
        <v>2.25</v>
      </c>
      <c r="J2890" s="27">
        <v>2.25</v>
      </c>
      <c r="K2890" s="29">
        <v>0</v>
      </c>
    </row>
    <row r="2891" spans="1:11" x14ac:dyDescent="0.25">
      <c r="A2891" s="5" t="s">
        <v>6</v>
      </c>
      <c r="B2891" s="5" t="s">
        <v>14321</v>
      </c>
      <c r="C2891" s="1" t="s">
        <v>14322</v>
      </c>
      <c r="D2891" s="5" t="s">
        <v>18249</v>
      </c>
      <c r="E2891" s="32">
        <v>295</v>
      </c>
      <c r="F2891" s="27">
        <v>970.55</v>
      </c>
      <c r="G2891" s="32">
        <v>296</v>
      </c>
      <c r="H2891" s="27">
        <v>973.84</v>
      </c>
      <c r="I2891" s="27">
        <v>3.29</v>
      </c>
      <c r="J2891" s="27">
        <v>3.29</v>
      </c>
      <c r="K2891" s="29">
        <v>0</v>
      </c>
    </row>
    <row r="2892" spans="1:11" x14ac:dyDescent="0.25">
      <c r="A2892" s="5" t="s">
        <v>6</v>
      </c>
      <c r="B2892" s="5" t="s">
        <v>14324</v>
      </c>
      <c r="C2892" s="1" t="s">
        <v>14325</v>
      </c>
      <c r="D2892" s="5" t="s">
        <v>18250</v>
      </c>
      <c r="E2892" s="32">
        <v>66</v>
      </c>
      <c r="F2892" s="27">
        <v>264</v>
      </c>
      <c r="G2892" s="32">
        <v>62</v>
      </c>
      <c r="H2892" s="27">
        <v>248</v>
      </c>
      <c r="I2892" s="27">
        <v>4</v>
      </c>
      <c r="J2892" s="27">
        <v>4</v>
      </c>
      <c r="K2892" s="29">
        <v>0</v>
      </c>
    </row>
    <row r="2893" spans="1:11" x14ac:dyDescent="0.25">
      <c r="A2893" s="5" t="s">
        <v>6</v>
      </c>
      <c r="B2893" s="5" t="s">
        <v>14326</v>
      </c>
      <c r="C2893" s="1" t="s">
        <v>14327</v>
      </c>
      <c r="D2893" s="5" t="s">
        <v>18251</v>
      </c>
      <c r="E2893" s="32">
        <v>117</v>
      </c>
      <c r="F2893" s="27">
        <v>526.5</v>
      </c>
      <c r="G2893" s="32">
        <v>83</v>
      </c>
      <c r="H2893" s="27">
        <v>373.5</v>
      </c>
      <c r="I2893" s="27">
        <v>4.5</v>
      </c>
      <c r="J2893" s="27">
        <v>4.5</v>
      </c>
      <c r="K2893" s="29">
        <v>0</v>
      </c>
    </row>
    <row r="2894" spans="1:11" x14ac:dyDescent="0.25">
      <c r="A2894" s="5" t="s">
        <v>6</v>
      </c>
      <c r="B2894" s="5" t="s">
        <v>14329</v>
      </c>
      <c r="C2894" s="1" t="s">
        <v>14330</v>
      </c>
      <c r="D2894" s="5" t="s">
        <v>17338</v>
      </c>
      <c r="E2894" s="32">
        <v>17</v>
      </c>
      <c r="F2894" s="27">
        <v>38.08</v>
      </c>
      <c r="G2894" s="32">
        <v>24</v>
      </c>
      <c r="H2894" s="27">
        <v>53.76</v>
      </c>
      <c r="I2894" s="27">
        <v>2.2399999999999998</v>
      </c>
      <c r="J2894" s="27">
        <v>2.2399999999999998</v>
      </c>
      <c r="K2894" s="29">
        <v>0</v>
      </c>
    </row>
    <row r="2895" spans="1:11" x14ac:dyDescent="0.25">
      <c r="A2895" s="5" t="s">
        <v>6</v>
      </c>
      <c r="B2895" s="5" t="s">
        <v>14344</v>
      </c>
      <c r="C2895" s="1" t="s">
        <v>14345</v>
      </c>
      <c r="D2895" s="5" t="s">
        <v>18252</v>
      </c>
      <c r="E2895" s="32">
        <v>11</v>
      </c>
      <c r="F2895" s="27">
        <v>79.75</v>
      </c>
      <c r="G2895" s="32">
        <v>11</v>
      </c>
      <c r="H2895" s="27">
        <v>79.75</v>
      </c>
      <c r="I2895" s="27">
        <v>7.25</v>
      </c>
      <c r="J2895" s="27">
        <v>7.25</v>
      </c>
      <c r="K2895" s="29">
        <v>0</v>
      </c>
    </row>
    <row r="2896" spans="1:11" x14ac:dyDescent="0.25">
      <c r="A2896" s="5" t="s">
        <v>6</v>
      </c>
      <c r="B2896" s="5" t="s">
        <v>14347</v>
      </c>
      <c r="C2896" s="1" t="s">
        <v>14348</v>
      </c>
      <c r="D2896" s="5" t="s">
        <v>18223</v>
      </c>
      <c r="E2896" s="32">
        <v>3</v>
      </c>
      <c r="F2896" s="27">
        <v>11.01</v>
      </c>
      <c r="I2896" s="27">
        <v>3.67</v>
      </c>
    </row>
    <row r="2897" spans="1:11" x14ac:dyDescent="0.25">
      <c r="A2897" s="5" t="s">
        <v>6</v>
      </c>
      <c r="B2897" s="5" t="s">
        <v>14354</v>
      </c>
      <c r="C2897" s="1" t="s">
        <v>14355</v>
      </c>
      <c r="D2897" s="5" t="s">
        <v>18253</v>
      </c>
      <c r="E2897" s="32">
        <v>1</v>
      </c>
      <c r="F2897" s="27">
        <v>7.75</v>
      </c>
      <c r="I2897" s="27">
        <v>7.75</v>
      </c>
    </row>
    <row r="2898" spans="1:11" x14ac:dyDescent="0.25">
      <c r="A2898" s="5" t="s">
        <v>6</v>
      </c>
      <c r="B2898" s="5" t="s">
        <v>14357</v>
      </c>
      <c r="C2898" s="1" t="s">
        <v>14358</v>
      </c>
      <c r="D2898" s="5" t="s">
        <v>18254</v>
      </c>
      <c r="E2898" s="32">
        <v>1</v>
      </c>
      <c r="F2898" s="27">
        <v>28.51</v>
      </c>
      <c r="I2898" s="27">
        <v>28.51</v>
      </c>
    </row>
    <row r="2899" spans="1:11" x14ac:dyDescent="0.25">
      <c r="A2899" s="5" t="s">
        <v>6</v>
      </c>
      <c r="B2899" s="5" t="s">
        <v>14361</v>
      </c>
      <c r="C2899" s="1" t="s">
        <v>14362</v>
      </c>
      <c r="D2899" s="5" t="s">
        <v>18255</v>
      </c>
      <c r="E2899" s="32">
        <v>2</v>
      </c>
      <c r="F2899" s="27">
        <v>16</v>
      </c>
      <c r="I2899" s="27">
        <v>8</v>
      </c>
    </row>
    <row r="2900" spans="1:11" x14ac:dyDescent="0.25">
      <c r="A2900" s="5" t="s">
        <v>6</v>
      </c>
      <c r="B2900" s="5" t="s">
        <v>14363</v>
      </c>
      <c r="C2900" s="1" t="s">
        <v>14364</v>
      </c>
      <c r="D2900" s="5" t="s">
        <v>18256</v>
      </c>
      <c r="E2900" s="32">
        <v>5</v>
      </c>
      <c r="F2900" s="27">
        <v>37.299999999999997</v>
      </c>
      <c r="I2900" s="27">
        <v>7.4599999999999991</v>
      </c>
    </row>
    <row r="2901" spans="1:11" x14ac:dyDescent="0.25">
      <c r="A2901" s="5" t="s">
        <v>6</v>
      </c>
      <c r="B2901" s="5" t="s">
        <v>14368</v>
      </c>
      <c r="C2901" s="1" t="s">
        <v>14369</v>
      </c>
      <c r="D2901" s="5" t="s">
        <v>18257</v>
      </c>
      <c r="E2901" s="32">
        <v>42</v>
      </c>
      <c r="F2901" s="27">
        <v>136.91999999999999</v>
      </c>
      <c r="G2901" s="32">
        <v>36</v>
      </c>
      <c r="H2901" s="27">
        <v>117.36</v>
      </c>
      <c r="I2901" s="27">
        <v>3.26</v>
      </c>
      <c r="J2901" s="27">
        <v>3.26</v>
      </c>
      <c r="K2901" s="29">
        <v>0</v>
      </c>
    </row>
    <row r="2902" spans="1:11" x14ac:dyDescent="0.25">
      <c r="A2902" s="5" t="s">
        <v>6</v>
      </c>
      <c r="B2902" s="5" t="s">
        <v>14380</v>
      </c>
      <c r="C2902" s="1" t="s">
        <v>14381</v>
      </c>
      <c r="D2902" s="5" t="s">
        <v>18258</v>
      </c>
      <c r="E2902" s="32">
        <v>49</v>
      </c>
      <c r="F2902" s="27">
        <v>594.86</v>
      </c>
      <c r="G2902" s="32">
        <v>59</v>
      </c>
      <c r="H2902" s="27">
        <v>716.26</v>
      </c>
      <c r="I2902" s="27">
        <v>12.14</v>
      </c>
      <c r="J2902" s="27">
        <v>12.14</v>
      </c>
      <c r="K2902" s="29">
        <v>0</v>
      </c>
    </row>
    <row r="2903" spans="1:11" x14ac:dyDescent="0.25">
      <c r="A2903" s="5" t="s">
        <v>6</v>
      </c>
      <c r="B2903" s="5" t="s">
        <v>14383</v>
      </c>
      <c r="C2903" s="1" t="s">
        <v>14384</v>
      </c>
      <c r="D2903" s="5" t="s">
        <v>18259</v>
      </c>
      <c r="E2903" s="32">
        <v>12</v>
      </c>
      <c r="F2903" s="27">
        <v>540</v>
      </c>
      <c r="I2903" s="27">
        <v>45</v>
      </c>
    </row>
    <row r="2904" spans="1:11" x14ac:dyDescent="0.25">
      <c r="A2904" s="5" t="s">
        <v>6</v>
      </c>
      <c r="B2904" s="5" t="s">
        <v>14385</v>
      </c>
      <c r="C2904" s="1" t="s">
        <v>2869</v>
      </c>
      <c r="D2904" s="5" t="s">
        <v>17344</v>
      </c>
      <c r="E2904" s="32">
        <v>25</v>
      </c>
      <c r="F2904" s="27">
        <v>56.25</v>
      </c>
      <c r="G2904" s="32">
        <v>26</v>
      </c>
      <c r="H2904" s="27">
        <v>58.5</v>
      </c>
      <c r="I2904" s="27">
        <v>2.25</v>
      </c>
      <c r="J2904" s="27">
        <v>2.25</v>
      </c>
      <c r="K2904" s="29">
        <v>0</v>
      </c>
    </row>
    <row r="2905" spans="1:11" x14ac:dyDescent="0.25">
      <c r="A2905" s="5" t="s">
        <v>6</v>
      </c>
      <c r="B2905" s="5" t="s">
        <v>14386</v>
      </c>
      <c r="C2905" s="1" t="s">
        <v>14387</v>
      </c>
      <c r="D2905" s="5" t="s">
        <v>18260</v>
      </c>
      <c r="E2905" s="32">
        <v>1</v>
      </c>
      <c r="F2905" s="27">
        <v>9.3699999999999992</v>
      </c>
      <c r="I2905" s="27">
        <v>9.3699999999999992</v>
      </c>
    </row>
    <row r="2906" spans="1:11" x14ac:dyDescent="0.25">
      <c r="A2906" s="5" t="s">
        <v>6</v>
      </c>
      <c r="B2906" s="5" t="s">
        <v>14389</v>
      </c>
      <c r="C2906" s="1" t="s">
        <v>2872</v>
      </c>
      <c r="D2906" s="5" t="s">
        <v>17076</v>
      </c>
      <c r="E2906" s="32">
        <v>1</v>
      </c>
      <c r="F2906" s="27">
        <v>3.71</v>
      </c>
      <c r="I2906" s="27">
        <v>3.71</v>
      </c>
    </row>
    <row r="2907" spans="1:11" x14ac:dyDescent="0.25">
      <c r="A2907" s="5" t="s">
        <v>6</v>
      </c>
      <c r="B2907" s="5" t="s">
        <v>14390</v>
      </c>
      <c r="C2907" s="1" t="s">
        <v>14391</v>
      </c>
      <c r="D2907" s="5" t="s">
        <v>18261</v>
      </c>
      <c r="E2907" s="32">
        <v>24</v>
      </c>
      <c r="F2907" s="27">
        <v>586.55999999999995</v>
      </c>
      <c r="G2907" s="32">
        <v>26</v>
      </c>
      <c r="H2907" s="27">
        <v>635.44000000000005</v>
      </c>
      <c r="I2907" s="27">
        <v>24.439999999999998</v>
      </c>
      <c r="J2907" s="27">
        <v>24.44</v>
      </c>
      <c r="K2907" s="29">
        <v>1.4536471680853115E-16</v>
      </c>
    </row>
    <row r="2908" spans="1:11" x14ac:dyDescent="0.25">
      <c r="A2908" s="5" t="s">
        <v>6</v>
      </c>
      <c r="B2908" s="5" t="s">
        <v>14393</v>
      </c>
      <c r="C2908" s="1" t="s">
        <v>14394</v>
      </c>
      <c r="D2908" s="5" t="s">
        <v>18262</v>
      </c>
      <c r="E2908" s="32">
        <v>3</v>
      </c>
      <c r="F2908" s="27">
        <v>25.95</v>
      </c>
      <c r="I2908" s="27">
        <v>8.65</v>
      </c>
    </row>
    <row r="2909" spans="1:11" x14ac:dyDescent="0.25">
      <c r="A2909" s="5" t="s">
        <v>6</v>
      </c>
      <c r="B2909" s="5" t="s">
        <v>14397</v>
      </c>
      <c r="C2909" s="1" t="s">
        <v>14398</v>
      </c>
      <c r="D2909" s="5" t="s">
        <v>18263</v>
      </c>
      <c r="E2909" s="32">
        <v>13</v>
      </c>
      <c r="F2909" s="27">
        <v>148.19999999999999</v>
      </c>
      <c r="G2909" s="32">
        <v>19</v>
      </c>
      <c r="H2909" s="27">
        <v>216.6</v>
      </c>
      <c r="I2909" s="27">
        <v>11.399999999999999</v>
      </c>
      <c r="J2909" s="27">
        <v>11.4</v>
      </c>
      <c r="K2909" s="29">
        <v>1.558207753859869E-16</v>
      </c>
    </row>
    <row r="2910" spans="1:11" x14ac:dyDescent="0.25">
      <c r="A2910" s="5" t="s">
        <v>6</v>
      </c>
      <c r="B2910" s="5" t="s">
        <v>14405</v>
      </c>
      <c r="C2910" s="1" t="s">
        <v>14406</v>
      </c>
      <c r="D2910" s="5" t="s">
        <v>18264</v>
      </c>
      <c r="E2910" s="32">
        <v>2</v>
      </c>
      <c r="F2910" s="27">
        <v>19.54</v>
      </c>
      <c r="I2910" s="27">
        <v>9.77</v>
      </c>
    </row>
    <row r="2911" spans="1:11" x14ac:dyDescent="0.25">
      <c r="A2911" s="5" t="s">
        <v>6</v>
      </c>
      <c r="B2911" s="5" t="s">
        <v>14410</v>
      </c>
      <c r="C2911" s="1" t="s">
        <v>14411</v>
      </c>
      <c r="D2911" s="5" t="s">
        <v>18265</v>
      </c>
      <c r="E2911" s="32">
        <v>1</v>
      </c>
      <c r="F2911" s="27">
        <v>7</v>
      </c>
      <c r="I2911" s="27">
        <v>7</v>
      </c>
    </row>
    <row r="2912" spans="1:11" x14ac:dyDescent="0.25">
      <c r="A2912" s="5" t="s">
        <v>6</v>
      </c>
      <c r="B2912" s="5" t="s">
        <v>14415</v>
      </c>
      <c r="C2912" s="1" t="s">
        <v>14416</v>
      </c>
      <c r="D2912" s="5" t="s">
        <v>18266</v>
      </c>
      <c r="E2912" s="32">
        <v>2</v>
      </c>
      <c r="F2912" s="27">
        <v>11.4</v>
      </c>
      <c r="G2912" s="32">
        <v>6</v>
      </c>
      <c r="H2912" s="27">
        <v>34.200000000000003</v>
      </c>
      <c r="I2912" s="27">
        <v>5.7</v>
      </c>
      <c r="J2912" s="27">
        <v>5.7</v>
      </c>
      <c r="K2912" s="29">
        <v>0</v>
      </c>
    </row>
    <row r="2913" spans="1:11" x14ac:dyDescent="0.25">
      <c r="A2913" s="5" t="s">
        <v>6</v>
      </c>
      <c r="B2913" s="5" t="s">
        <v>14417</v>
      </c>
      <c r="C2913" s="1" t="s">
        <v>14418</v>
      </c>
      <c r="D2913" s="5" t="s">
        <v>18267</v>
      </c>
      <c r="E2913" s="32">
        <v>9</v>
      </c>
      <c r="F2913" s="27">
        <v>219.96</v>
      </c>
      <c r="G2913" s="32">
        <v>21</v>
      </c>
      <c r="H2913" s="27">
        <v>513.24</v>
      </c>
      <c r="I2913" s="27">
        <v>24.44</v>
      </c>
      <c r="J2913" s="27">
        <v>24.44</v>
      </c>
      <c r="K2913" s="29">
        <v>0</v>
      </c>
    </row>
    <row r="2914" spans="1:11" x14ac:dyDescent="0.25">
      <c r="A2914" s="5" t="s">
        <v>6</v>
      </c>
      <c r="B2914" s="5" t="s">
        <v>14423</v>
      </c>
      <c r="C2914" s="1" t="s">
        <v>14424</v>
      </c>
      <c r="D2914" s="5" t="s">
        <v>18268</v>
      </c>
      <c r="E2914" s="32">
        <v>62</v>
      </c>
      <c r="F2914" s="27">
        <v>605.74</v>
      </c>
      <c r="G2914" s="32">
        <v>22</v>
      </c>
      <c r="H2914" s="27">
        <v>214.94</v>
      </c>
      <c r="I2914" s="27">
        <v>9.77</v>
      </c>
      <c r="J2914" s="27">
        <v>9.77</v>
      </c>
      <c r="K2914" s="29">
        <v>0</v>
      </c>
    </row>
    <row r="2915" spans="1:11" x14ac:dyDescent="0.25">
      <c r="A2915" s="5" t="s">
        <v>6</v>
      </c>
      <c r="B2915" s="5" t="s">
        <v>14426</v>
      </c>
      <c r="C2915" s="1" t="s">
        <v>14427</v>
      </c>
      <c r="D2915" s="5" t="s">
        <v>17356</v>
      </c>
      <c r="E2915" s="32">
        <v>5</v>
      </c>
      <c r="F2915" s="27">
        <v>39.75</v>
      </c>
      <c r="G2915" s="32">
        <v>3</v>
      </c>
      <c r="H2915" s="27">
        <v>23.85</v>
      </c>
      <c r="I2915" s="27">
        <v>7.95</v>
      </c>
      <c r="J2915" s="27">
        <v>7.95</v>
      </c>
      <c r="K2915" s="29">
        <v>0</v>
      </c>
    </row>
    <row r="2916" spans="1:11" x14ac:dyDescent="0.25">
      <c r="A2916" s="5" t="s">
        <v>6</v>
      </c>
      <c r="B2916" s="5" t="s">
        <v>14433</v>
      </c>
      <c r="C2916" s="1" t="s">
        <v>14434</v>
      </c>
      <c r="D2916" s="5" t="s">
        <v>18269</v>
      </c>
      <c r="E2916" s="32">
        <v>2</v>
      </c>
      <c r="F2916" s="27">
        <v>8.56</v>
      </c>
      <c r="G2916" s="32">
        <v>4</v>
      </c>
      <c r="H2916" s="27">
        <v>17.12</v>
      </c>
      <c r="I2916" s="27">
        <v>4.28</v>
      </c>
      <c r="J2916" s="27">
        <v>4.28</v>
      </c>
      <c r="K2916" s="29">
        <v>0</v>
      </c>
    </row>
    <row r="2917" spans="1:11" x14ac:dyDescent="0.25">
      <c r="A2917" s="5" t="s">
        <v>6</v>
      </c>
      <c r="B2917" s="5" t="s">
        <v>14435</v>
      </c>
      <c r="C2917" s="1" t="s">
        <v>2920</v>
      </c>
      <c r="D2917" s="5" t="s">
        <v>18270</v>
      </c>
      <c r="E2917" s="32">
        <v>13</v>
      </c>
      <c r="F2917" s="27">
        <v>52</v>
      </c>
      <c r="G2917" s="32">
        <v>32</v>
      </c>
      <c r="H2917" s="27">
        <v>128</v>
      </c>
      <c r="I2917" s="27">
        <v>4</v>
      </c>
      <c r="J2917" s="27">
        <v>4</v>
      </c>
      <c r="K2917" s="29">
        <v>0</v>
      </c>
    </row>
    <row r="2918" spans="1:11" x14ac:dyDescent="0.25">
      <c r="A2918" s="5" t="s">
        <v>6</v>
      </c>
      <c r="B2918" s="5" t="s">
        <v>14436</v>
      </c>
      <c r="C2918" s="1" t="s">
        <v>2917</v>
      </c>
      <c r="D2918" s="5" t="s">
        <v>17357</v>
      </c>
      <c r="E2918" s="32">
        <v>1</v>
      </c>
      <c r="F2918" s="27">
        <v>4</v>
      </c>
      <c r="I2918" s="27">
        <v>4</v>
      </c>
    </row>
    <row r="2919" spans="1:11" x14ac:dyDescent="0.25">
      <c r="A2919" s="5" t="s">
        <v>6</v>
      </c>
      <c r="B2919" s="5" t="s">
        <v>14437</v>
      </c>
      <c r="C2919" s="1" t="s">
        <v>14438</v>
      </c>
      <c r="D2919" s="5" t="s">
        <v>18271</v>
      </c>
      <c r="E2919" s="32">
        <v>2</v>
      </c>
      <c r="F2919" s="27">
        <v>11.4</v>
      </c>
      <c r="I2919" s="27">
        <v>5.7</v>
      </c>
    </row>
    <row r="2920" spans="1:11" x14ac:dyDescent="0.25">
      <c r="A2920" s="5" t="s">
        <v>6</v>
      </c>
      <c r="B2920" s="5" t="s">
        <v>14439</v>
      </c>
      <c r="C2920" s="1" t="s">
        <v>14440</v>
      </c>
      <c r="D2920" s="5" t="s">
        <v>18270</v>
      </c>
      <c r="E2920" s="32">
        <v>17</v>
      </c>
      <c r="F2920" s="27">
        <v>197.37</v>
      </c>
      <c r="G2920" s="32">
        <v>21</v>
      </c>
      <c r="H2920" s="27">
        <v>243.81</v>
      </c>
      <c r="I2920" s="27">
        <v>11.61</v>
      </c>
      <c r="J2920" s="27">
        <v>11.61</v>
      </c>
      <c r="K2920" s="29">
        <v>0</v>
      </c>
    </row>
    <row r="2921" spans="1:11" x14ac:dyDescent="0.25">
      <c r="A2921" s="5" t="s">
        <v>6</v>
      </c>
      <c r="B2921" s="5" t="s">
        <v>14442</v>
      </c>
      <c r="C2921" s="1" t="s">
        <v>2941</v>
      </c>
      <c r="D2921" s="5" t="s">
        <v>17362</v>
      </c>
      <c r="E2921" s="32">
        <v>10</v>
      </c>
      <c r="F2921" s="27">
        <v>20</v>
      </c>
      <c r="G2921" s="32">
        <v>5</v>
      </c>
      <c r="H2921" s="27">
        <v>10</v>
      </c>
      <c r="I2921" s="27">
        <v>2</v>
      </c>
      <c r="J2921" s="27">
        <v>2</v>
      </c>
      <c r="K2921" s="29">
        <v>0</v>
      </c>
    </row>
    <row r="2922" spans="1:11" x14ac:dyDescent="0.25">
      <c r="A2922" s="5" t="s">
        <v>6</v>
      </c>
      <c r="B2922" s="5" t="s">
        <v>14444</v>
      </c>
      <c r="C2922" s="1" t="s">
        <v>2934</v>
      </c>
      <c r="D2922" s="5" t="s">
        <v>17359</v>
      </c>
      <c r="E2922" s="32">
        <v>15</v>
      </c>
      <c r="F2922" s="27">
        <v>23.85</v>
      </c>
      <c r="G2922" s="32">
        <v>6</v>
      </c>
      <c r="H2922" s="27">
        <v>9.5399999999999991</v>
      </c>
      <c r="I2922" s="27">
        <v>1.59</v>
      </c>
      <c r="J2922" s="27">
        <v>1.5899999999999999</v>
      </c>
      <c r="K2922" s="29">
        <v>-1.3965069492140333E-16</v>
      </c>
    </row>
    <row r="2923" spans="1:11" x14ac:dyDescent="0.25">
      <c r="A2923" s="5" t="s">
        <v>6</v>
      </c>
      <c r="B2923" s="5" t="s">
        <v>14445</v>
      </c>
      <c r="C2923" s="1" t="s">
        <v>14446</v>
      </c>
      <c r="D2923" s="5" t="s">
        <v>18272</v>
      </c>
      <c r="E2923" s="32">
        <v>19</v>
      </c>
      <c r="F2923" s="27">
        <v>232.18</v>
      </c>
      <c r="G2923" s="32">
        <v>10</v>
      </c>
      <c r="H2923" s="27">
        <v>122.2</v>
      </c>
      <c r="I2923" s="27">
        <v>12.22</v>
      </c>
      <c r="J2923" s="27">
        <v>12.22</v>
      </c>
      <c r="K2923" s="29">
        <v>0</v>
      </c>
    </row>
    <row r="2924" spans="1:11" x14ac:dyDescent="0.25">
      <c r="A2924" s="5" t="s">
        <v>6</v>
      </c>
      <c r="B2924" s="5" t="s">
        <v>14448</v>
      </c>
      <c r="C2924" s="1" t="s">
        <v>14449</v>
      </c>
      <c r="D2924" s="5" t="s">
        <v>18273</v>
      </c>
      <c r="E2924" s="32">
        <v>3</v>
      </c>
      <c r="F2924" s="27">
        <v>122.19</v>
      </c>
      <c r="I2924" s="27">
        <v>40.729999999999997</v>
      </c>
    </row>
    <row r="2925" spans="1:11" x14ac:dyDescent="0.25">
      <c r="A2925" s="5" t="s">
        <v>6</v>
      </c>
      <c r="B2925" s="5" t="s">
        <v>14454</v>
      </c>
      <c r="C2925" s="1" t="s">
        <v>14455</v>
      </c>
      <c r="D2925" s="5" t="s">
        <v>18274</v>
      </c>
      <c r="E2925" s="32">
        <v>32</v>
      </c>
      <c r="F2925" s="27">
        <v>480</v>
      </c>
      <c r="G2925" s="32">
        <v>12</v>
      </c>
      <c r="H2925" s="27">
        <v>180</v>
      </c>
      <c r="I2925" s="27">
        <v>15</v>
      </c>
      <c r="J2925" s="27">
        <v>15</v>
      </c>
      <c r="K2925" s="29">
        <v>0</v>
      </c>
    </row>
    <row r="2926" spans="1:11" x14ac:dyDescent="0.25">
      <c r="A2926" s="5" t="s">
        <v>6</v>
      </c>
      <c r="B2926" s="5" t="s">
        <v>14459</v>
      </c>
      <c r="C2926" s="1" t="s">
        <v>14460</v>
      </c>
      <c r="D2926" s="5" t="s">
        <v>18275</v>
      </c>
      <c r="E2926" s="32">
        <v>3</v>
      </c>
      <c r="F2926" s="27">
        <v>171.06</v>
      </c>
      <c r="I2926" s="27">
        <v>57.02</v>
      </c>
    </row>
    <row r="2927" spans="1:11" x14ac:dyDescent="0.25">
      <c r="A2927" s="5" t="s">
        <v>6</v>
      </c>
      <c r="B2927" s="5" t="s">
        <v>14462</v>
      </c>
      <c r="C2927" s="1" t="s">
        <v>14463</v>
      </c>
      <c r="D2927" s="5" t="s">
        <v>18276</v>
      </c>
      <c r="E2927" s="32">
        <v>1</v>
      </c>
      <c r="F2927" s="27">
        <v>60.27</v>
      </c>
      <c r="I2927" s="27">
        <v>60.27</v>
      </c>
    </row>
    <row r="2928" spans="1:11" x14ac:dyDescent="0.25">
      <c r="A2928" s="5" t="s">
        <v>6</v>
      </c>
      <c r="B2928" s="5" t="s">
        <v>14465</v>
      </c>
      <c r="C2928" s="1" t="s">
        <v>14466</v>
      </c>
      <c r="D2928" s="5" t="s">
        <v>18277</v>
      </c>
      <c r="E2928" s="32">
        <v>6</v>
      </c>
      <c r="F2928" s="27">
        <v>268.8</v>
      </c>
      <c r="I2928" s="27">
        <v>44.800000000000004</v>
      </c>
    </row>
    <row r="2929" spans="1:11" x14ac:dyDescent="0.25">
      <c r="A2929" s="5" t="s">
        <v>6</v>
      </c>
      <c r="B2929" s="5" t="s">
        <v>14467</v>
      </c>
      <c r="C2929" s="1" t="s">
        <v>14468</v>
      </c>
      <c r="D2929" s="5" t="s">
        <v>18278</v>
      </c>
      <c r="E2929" s="32">
        <v>2</v>
      </c>
      <c r="F2929" s="27">
        <v>32.58</v>
      </c>
      <c r="I2929" s="27">
        <v>16.29</v>
      </c>
    </row>
    <row r="2930" spans="1:11" x14ac:dyDescent="0.25">
      <c r="A2930" s="5" t="s">
        <v>6</v>
      </c>
      <c r="B2930" s="5" t="s">
        <v>14470</v>
      </c>
      <c r="C2930" s="1" t="s">
        <v>14471</v>
      </c>
      <c r="D2930" s="5" t="s">
        <v>18279</v>
      </c>
      <c r="E2930" s="32">
        <v>2</v>
      </c>
      <c r="F2930" s="27">
        <v>40</v>
      </c>
      <c r="I2930" s="27">
        <v>20</v>
      </c>
    </row>
    <row r="2931" spans="1:11" x14ac:dyDescent="0.25">
      <c r="A2931" s="5" t="s">
        <v>6</v>
      </c>
      <c r="B2931" s="5" t="s">
        <v>14473</v>
      </c>
      <c r="C2931" s="1" t="s">
        <v>14474</v>
      </c>
      <c r="D2931" s="5" t="s">
        <v>18280</v>
      </c>
      <c r="E2931" s="32">
        <v>1</v>
      </c>
      <c r="F2931" s="27">
        <v>30</v>
      </c>
      <c r="I2931" s="27">
        <v>30</v>
      </c>
    </row>
    <row r="2932" spans="1:11" x14ac:dyDescent="0.25">
      <c r="A2932" s="5" t="s">
        <v>6</v>
      </c>
      <c r="B2932" s="5" t="s">
        <v>14476</v>
      </c>
      <c r="C2932" s="1" t="s">
        <v>14477</v>
      </c>
      <c r="D2932" s="5" t="s">
        <v>18281</v>
      </c>
      <c r="E2932" s="32">
        <v>2</v>
      </c>
      <c r="F2932" s="27">
        <v>114.04</v>
      </c>
      <c r="I2932" s="27">
        <v>57.02</v>
      </c>
    </row>
    <row r="2933" spans="1:11" x14ac:dyDescent="0.25">
      <c r="A2933" s="5" t="s">
        <v>6</v>
      </c>
      <c r="B2933" s="5" t="s">
        <v>14479</v>
      </c>
      <c r="C2933" s="1" t="s">
        <v>14480</v>
      </c>
      <c r="D2933" s="5" t="s">
        <v>18282</v>
      </c>
      <c r="E2933" s="32">
        <v>1</v>
      </c>
      <c r="F2933" s="27">
        <v>8.15</v>
      </c>
      <c r="G2933" s="32">
        <v>3</v>
      </c>
      <c r="H2933" s="27">
        <v>24.45</v>
      </c>
      <c r="I2933" s="27">
        <v>8.15</v>
      </c>
      <c r="J2933" s="27">
        <v>8.15</v>
      </c>
      <c r="K2933" s="29">
        <v>0</v>
      </c>
    </row>
    <row r="2934" spans="1:11" x14ac:dyDescent="0.25">
      <c r="A2934" s="5" t="s">
        <v>6</v>
      </c>
      <c r="B2934" s="5" t="s">
        <v>14482</v>
      </c>
      <c r="C2934" s="1" t="s">
        <v>14483</v>
      </c>
      <c r="D2934" s="5" t="s">
        <v>18283</v>
      </c>
      <c r="E2934" s="32">
        <v>19</v>
      </c>
      <c r="F2934" s="27">
        <v>133</v>
      </c>
      <c r="G2934" s="32">
        <v>12</v>
      </c>
      <c r="H2934" s="27">
        <v>84</v>
      </c>
      <c r="I2934" s="27">
        <v>7</v>
      </c>
      <c r="J2934" s="27">
        <v>7</v>
      </c>
      <c r="K2934" s="29">
        <v>0</v>
      </c>
    </row>
    <row r="2935" spans="1:11" x14ac:dyDescent="0.25">
      <c r="A2935" s="5" t="s">
        <v>6</v>
      </c>
      <c r="B2935" s="5" t="s">
        <v>14485</v>
      </c>
      <c r="C2935" s="1" t="s">
        <v>14486</v>
      </c>
      <c r="D2935" s="5" t="s">
        <v>18284</v>
      </c>
      <c r="E2935" s="32">
        <v>67</v>
      </c>
      <c r="F2935" s="27">
        <v>944.7</v>
      </c>
      <c r="G2935" s="32">
        <v>48</v>
      </c>
      <c r="H2935" s="27">
        <v>676.8</v>
      </c>
      <c r="I2935" s="27">
        <v>14.100000000000001</v>
      </c>
      <c r="J2935" s="27">
        <v>14.1</v>
      </c>
      <c r="K2935" s="29">
        <v>-1.2598275456739363E-16</v>
      </c>
    </row>
    <row r="2936" spans="1:11" x14ac:dyDescent="0.25">
      <c r="A2936" s="5" t="s">
        <v>6</v>
      </c>
      <c r="B2936" s="5" t="s">
        <v>14488</v>
      </c>
      <c r="C2936" s="1" t="s">
        <v>14489</v>
      </c>
      <c r="D2936" s="5" t="s">
        <v>18285</v>
      </c>
      <c r="E2936" s="32">
        <v>67</v>
      </c>
      <c r="F2936" s="27">
        <v>368.5</v>
      </c>
      <c r="G2936" s="32">
        <v>42</v>
      </c>
      <c r="H2936" s="27">
        <v>231</v>
      </c>
      <c r="I2936" s="27">
        <v>5.5</v>
      </c>
      <c r="J2936" s="27">
        <v>5.5</v>
      </c>
      <c r="K2936" s="29">
        <v>0</v>
      </c>
    </row>
    <row r="2937" spans="1:11" x14ac:dyDescent="0.25">
      <c r="A2937" s="5" t="s">
        <v>6</v>
      </c>
      <c r="B2937" s="5" t="s">
        <v>14495</v>
      </c>
      <c r="C2937" s="1" t="s">
        <v>14496</v>
      </c>
      <c r="D2937" s="5" t="s">
        <v>18286</v>
      </c>
      <c r="E2937" s="32">
        <v>57</v>
      </c>
      <c r="F2937" s="27">
        <v>826.5</v>
      </c>
      <c r="G2937" s="32">
        <v>44</v>
      </c>
      <c r="H2937" s="27">
        <v>638</v>
      </c>
      <c r="I2937" s="27">
        <v>14.5</v>
      </c>
      <c r="J2937" s="27">
        <v>14.5</v>
      </c>
      <c r="K2937" s="29">
        <v>0</v>
      </c>
    </row>
    <row r="2938" spans="1:11" x14ac:dyDescent="0.25">
      <c r="A2938" s="5" t="s">
        <v>6</v>
      </c>
      <c r="B2938" s="5" t="s">
        <v>14497</v>
      </c>
      <c r="C2938" s="1" t="s">
        <v>2964</v>
      </c>
      <c r="D2938" s="5" t="s">
        <v>18287</v>
      </c>
      <c r="E2938" s="32">
        <v>13</v>
      </c>
      <c r="F2938" s="27">
        <v>148.19999999999999</v>
      </c>
      <c r="G2938" s="32">
        <v>18</v>
      </c>
      <c r="H2938" s="27">
        <v>205.2</v>
      </c>
      <c r="I2938" s="27">
        <v>11.399999999999999</v>
      </c>
      <c r="J2938" s="27">
        <v>11.399999999999999</v>
      </c>
      <c r="K2938" s="29">
        <v>0</v>
      </c>
    </row>
    <row r="2939" spans="1:11" x14ac:dyDescent="0.25">
      <c r="A2939" s="5" t="s">
        <v>6</v>
      </c>
      <c r="B2939" s="5" t="s">
        <v>14501</v>
      </c>
      <c r="C2939" s="1" t="s">
        <v>14502</v>
      </c>
      <c r="D2939" s="5" t="s">
        <v>18288</v>
      </c>
      <c r="E2939" s="32">
        <v>65</v>
      </c>
      <c r="F2939" s="27">
        <v>325</v>
      </c>
      <c r="G2939" s="32">
        <v>54</v>
      </c>
      <c r="H2939" s="27">
        <v>270</v>
      </c>
      <c r="I2939" s="27">
        <v>5</v>
      </c>
      <c r="J2939" s="27">
        <v>5</v>
      </c>
      <c r="K2939" s="29">
        <v>0</v>
      </c>
    </row>
    <row r="2940" spans="1:11" x14ac:dyDescent="0.25">
      <c r="A2940" s="5" t="s">
        <v>6</v>
      </c>
      <c r="B2940" s="5" t="s">
        <v>14507</v>
      </c>
      <c r="C2940" s="1" t="s">
        <v>14508</v>
      </c>
      <c r="D2940" s="5" t="s">
        <v>18289</v>
      </c>
      <c r="E2940" s="32">
        <v>82</v>
      </c>
      <c r="F2940" s="27">
        <v>400.98</v>
      </c>
      <c r="G2940" s="32">
        <v>100</v>
      </c>
      <c r="H2940" s="27">
        <v>489</v>
      </c>
      <c r="I2940" s="27">
        <v>4.8900000000000006</v>
      </c>
      <c r="J2940" s="27">
        <v>4.8899999999999997</v>
      </c>
      <c r="K2940" s="29">
        <v>-1.8163157867078223E-16</v>
      </c>
    </row>
    <row r="2941" spans="1:11" x14ac:dyDescent="0.25">
      <c r="A2941" s="5" t="s">
        <v>6</v>
      </c>
      <c r="B2941" s="5" t="s">
        <v>14510</v>
      </c>
      <c r="C2941" s="1" t="s">
        <v>14511</v>
      </c>
      <c r="D2941" s="5" t="s">
        <v>18290</v>
      </c>
      <c r="E2941" s="32">
        <v>26</v>
      </c>
      <c r="F2941" s="27">
        <v>876.72</v>
      </c>
      <c r="G2941" s="32">
        <v>27</v>
      </c>
      <c r="H2941" s="27">
        <v>910.44</v>
      </c>
      <c r="I2941" s="27">
        <v>33.72</v>
      </c>
      <c r="J2941" s="27">
        <v>33.72</v>
      </c>
      <c r="K2941" s="29">
        <v>0</v>
      </c>
    </row>
    <row r="2942" spans="1:11" x14ac:dyDescent="0.25">
      <c r="A2942" s="5" t="s">
        <v>6</v>
      </c>
      <c r="B2942" s="5" t="s">
        <v>14515</v>
      </c>
      <c r="C2942" s="1" t="s">
        <v>14516</v>
      </c>
      <c r="D2942" s="5" t="s">
        <v>18291</v>
      </c>
      <c r="G2942" s="32">
        <v>1</v>
      </c>
      <c r="H2942" s="27">
        <v>10</v>
      </c>
      <c r="J2942" s="27">
        <v>10</v>
      </c>
    </row>
    <row r="2943" spans="1:11" x14ac:dyDescent="0.25">
      <c r="A2943" s="5" t="s">
        <v>6</v>
      </c>
      <c r="B2943" s="5" t="s">
        <v>14517</v>
      </c>
      <c r="C2943" s="1" t="s">
        <v>14518</v>
      </c>
      <c r="D2943" s="5" t="s">
        <v>18292</v>
      </c>
      <c r="E2943" s="32">
        <v>32</v>
      </c>
      <c r="F2943" s="27">
        <v>704.38</v>
      </c>
      <c r="G2943" s="32">
        <v>22</v>
      </c>
      <c r="H2943" s="27">
        <v>537.67999999999995</v>
      </c>
      <c r="I2943" s="27">
        <v>22.011875</v>
      </c>
      <c r="J2943" s="27">
        <v>24.439999999999998</v>
      </c>
      <c r="K2943" s="29">
        <v>0.11030977597319619</v>
      </c>
    </row>
    <row r="2944" spans="1:11" x14ac:dyDescent="0.25">
      <c r="A2944" s="5" t="s">
        <v>6</v>
      </c>
      <c r="B2944" s="5" t="s">
        <v>14520</v>
      </c>
      <c r="C2944" s="1" t="s">
        <v>14521</v>
      </c>
      <c r="D2944" s="5" t="s">
        <v>18292</v>
      </c>
      <c r="E2944" s="32">
        <v>141</v>
      </c>
      <c r="F2944" s="27">
        <v>1692</v>
      </c>
      <c r="G2944" s="32">
        <v>101</v>
      </c>
      <c r="H2944" s="27">
        <v>1212</v>
      </c>
      <c r="I2944" s="27">
        <v>12</v>
      </c>
      <c r="J2944" s="27">
        <v>12</v>
      </c>
      <c r="K2944" s="29">
        <v>0</v>
      </c>
    </row>
    <row r="2945" spans="1:11" x14ac:dyDescent="0.25">
      <c r="A2945" s="5" t="s">
        <v>6</v>
      </c>
      <c r="B2945" s="5" t="s">
        <v>14522</v>
      </c>
      <c r="C2945" s="1" t="s">
        <v>14523</v>
      </c>
      <c r="D2945" s="5" t="s">
        <v>17371</v>
      </c>
      <c r="E2945" s="32">
        <v>114</v>
      </c>
      <c r="F2945" s="27">
        <v>3591</v>
      </c>
      <c r="G2945" s="32">
        <v>79</v>
      </c>
      <c r="H2945" s="27">
        <v>2488.5</v>
      </c>
      <c r="I2945" s="27">
        <v>31.5</v>
      </c>
      <c r="J2945" s="27">
        <v>31.5</v>
      </c>
      <c r="K2945" s="29">
        <v>0</v>
      </c>
    </row>
    <row r="2946" spans="1:11" x14ac:dyDescent="0.25">
      <c r="A2946" s="5" t="s">
        <v>6</v>
      </c>
      <c r="B2946" s="5" t="s">
        <v>14530</v>
      </c>
      <c r="C2946" s="1" t="s">
        <v>14531</v>
      </c>
      <c r="D2946" s="5" t="s">
        <v>18293</v>
      </c>
      <c r="E2946" s="32">
        <v>10</v>
      </c>
      <c r="F2946" s="27">
        <v>33.700000000000003</v>
      </c>
      <c r="G2946" s="32">
        <v>6</v>
      </c>
      <c r="H2946" s="27">
        <v>20.22</v>
      </c>
      <c r="I2946" s="27">
        <v>3.37</v>
      </c>
      <c r="J2946" s="27">
        <v>3.3699999999999997</v>
      </c>
      <c r="K2946" s="29">
        <v>-1.3177721360535982E-16</v>
      </c>
    </row>
    <row r="2947" spans="1:11" x14ac:dyDescent="0.25">
      <c r="A2947" s="5" t="s">
        <v>6</v>
      </c>
      <c r="B2947" s="5" t="s">
        <v>14535</v>
      </c>
      <c r="C2947" s="1" t="s">
        <v>2988</v>
      </c>
      <c r="D2947" s="5" t="s">
        <v>17072</v>
      </c>
      <c r="E2947" s="32">
        <v>3</v>
      </c>
      <c r="F2947" s="27">
        <v>16.5</v>
      </c>
      <c r="I2947" s="27">
        <v>5.5</v>
      </c>
    </row>
    <row r="2948" spans="1:11" x14ac:dyDescent="0.25">
      <c r="A2948" s="5" t="s">
        <v>6</v>
      </c>
      <c r="B2948" s="5" t="s">
        <v>14543</v>
      </c>
      <c r="C2948" s="1" t="s">
        <v>3004</v>
      </c>
      <c r="D2948" s="5" t="s">
        <v>17374</v>
      </c>
      <c r="E2948" s="32">
        <v>1</v>
      </c>
      <c r="F2948" s="27">
        <v>3.18</v>
      </c>
      <c r="I2948" s="27">
        <v>3.18</v>
      </c>
    </row>
    <row r="2949" spans="1:11" x14ac:dyDescent="0.25">
      <c r="A2949" s="5" t="s">
        <v>6</v>
      </c>
      <c r="B2949" s="5" t="s">
        <v>14544</v>
      </c>
      <c r="C2949" s="1" t="s">
        <v>14545</v>
      </c>
      <c r="D2949" s="5" t="s">
        <v>18294</v>
      </c>
      <c r="E2949" s="32">
        <v>61</v>
      </c>
      <c r="F2949" s="27">
        <v>894.26</v>
      </c>
      <c r="G2949" s="32">
        <v>42</v>
      </c>
      <c r="H2949" s="27">
        <v>615.72</v>
      </c>
      <c r="I2949" s="27">
        <v>14.66</v>
      </c>
      <c r="J2949" s="27">
        <v>14.66</v>
      </c>
      <c r="K2949" s="29">
        <v>0</v>
      </c>
    </row>
    <row r="2950" spans="1:11" x14ac:dyDescent="0.25">
      <c r="A2950" s="5" t="s">
        <v>6</v>
      </c>
      <c r="B2950" s="5" t="s">
        <v>14546</v>
      </c>
      <c r="C2950" s="1" t="s">
        <v>14547</v>
      </c>
      <c r="D2950" s="5" t="s">
        <v>18294</v>
      </c>
      <c r="E2950" s="32">
        <v>11</v>
      </c>
      <c r="F2950" s="27">
        <v>453.31</v>
      </c>
      <c r="I2950" s="27">
        <v>41.21</v>
      </c>
    </row>
    <row r="2951" spans="1:11" x14ac:dyDescent="0.25">
      <c r="A2951" s="5" t="s">
        <v>6</v>
      </c>
      <c r="B2951" s="5" t="s">
        <v>14551</v>
      </c>
      <c r="C2951" s="1" t="s">
        <v>14552</v>
      </c>
      <c r="D2951" s="5" t="s">
        <v>18295</v>
      </c>
      <c r="E2951" s="32">
        <v>6</v>
      </c>
      <c r="F2951" s="27">
        <v>109.44</v>
      </c>
      <c r="G2951" s="32">
        <v>15</v>
      </c>
      <c r="H2951" s="27">
        <v>273.60000000000002</v>
      </c>
      <c r="I2951" s="27">
        <v>18.239999999999998</v>
      </c>
      <c r="J2951" s="27">
        <v>18.240000000000002</v>
      </c>
      <c r="K2951" s="29">
        <v>1.9477596923248362E-16</v>
      </c>
    </row>
    <row r="2952" spans="1:11" x14ac:dyDescent="0.25">
      <c r="A2952" s="5" t="s">
        <v>6</v>
      </c>
      <c r="B2952" s="5" t="s">
        <v>14554</v>
      </c>
      <c r="C2952" s="1" t="s">
        <v>14555</v>
      </c>
      <c r="D2952" s="5" t="s">
        <v>18296</v>
      </c>
      <c r="E2952" s="32">
        <v>412</v>
      </c>
      <c r="F2952" s="27">
        <v>1161.8399999999999</v>
      </c>
      <c r="G2952" s="32">
        <v>420</v>
      </c>
      <c r="H2952" s="27">
        <v>1184.4000000000001</v>
      </c>
      <c r="I2952" s="27">
        <v>2.82</v>
      </c>
      <c r="J2952" s="27">
        <v>2.8200000000000003</v>
      </c>
      <c r="K2952" s="29">
        <v>1.5747844320924207E-16</v>
      </c>
    </row>
    <row r="2953" spans="1:11" x14ac:dyDescent="0.25">
      <c r="A2953" s="5" t="s">
        <v>6</v>
      </c>
      <c r="B2953" s="5" t="s">
        <v>14556</v>
      </c>
      <c r="C2953" s="1" t="s">
        <v>14557</v>
      </c>
      <c r="D2953" s="5" t="s">
        <v>18297</v>
      </c>
      <c r="E2953" s="32">
        <v>63</v>
      </c>
      <c r="F2953" s="27">
        <v>205.38</v>
      </c>
      <c r="G2953" s="32">
        <v>150</v>
      </c>
      <c r="H2953" s="27">
        <v>489</v>
      </c>
      <c r="I2953" s="27">
        <v>3.26</v>
      </c>
      <c r="J2953" s="27">
        <v>3.26</v>
      </c>
      <c r="K2953" s="29">
        <v>0</v>
      </c>
    </row>
    <row r="2954" spans="1:11" x14ac:dyDescent="0.25">
      <c r="A2954" s="5" t="s">
        <v>6</v>
      </c>
      <c r="B2954" s="5" t="s">
        <v>14561</v>
      </c>
      <c r="C2954" s="1" t="s">
        <v>14562</v>
      </c>
      <c r="D2954" s="5" t="s">
        <v>18298</v>
      </c>
      <c r="E2954" s="32">
        <v>7</v>
      </c>
      <c r="F2954" s="27">
        <v>25.69</v>
      </c>
      <c r="G2954" s="32">
        <v>11</v>
      </c>
      <c r="H2954" s="27">
        <v>40.369999999999997</v>
      </c>
      <c r="I2954" s="27">
        <v>3.6700000000000004</v>
      </c>
      <c r="J2954" s="27">
        <v>3.67</v>
      </c>
      <c r="K2954" s="29">
        <v>-1.2100523429157018E-16</v>
      </c>
    </row>
    <row r="2955" spans="1:11" x14ac:dyDescent="0.25">
      <c r="A2955" s="5" t="s">
        <v>6</v>
      </c>
      <c r="B2955" s="5" t="s">
        <v>14567</v>
      </c>
      <c r="C2955" s="1" t="s">
        <v>14568</v>
      </c>
      <c r="D2955" s="5" t="s">
        <v>18299</v>
      </c>
      <c r="E2955" s="32">
        <v>15</v>
      </c>
      <c r="F2955" s="27">
        <v>67.5</v>
      </c>
      <c r="G2955" s="32">
        <v>14</v>
      </c>
      <c r="H2955" s="27">
        <v>63</v>
      </c>
      <c r="I2955" s="27">
        <v>4.5</v>
      </c>
      <c r="J2955" s="27">
        <v>4.5</v>
      </c>
      <c r="K2955" s="29">
        <v>0</v>
      </c>
    </row>
    <row r="2956" spans="1:11" x14ac:dyDescent="0.25">
      <c r="A2956" s="5" t="s">
        <v>6</v>
      </c>
      <c r="B2956" s="5" t="s">
        <v>14569</v>
      </c>
      <c r="C2956" s="1" t="s">
        <v>14570</v>
      </c>
      <c r="D2956" s="5" t="s">
        <v>18300</v>
      </c>
      <c r="E2956" s="32">
        <v>5</v>
      </c>
      <c r="F2956" s="27">
        <v>28.5</v>
      </c>
      <c r="I2956" s="27">
        <v>5.7</v>
      </c>
    </row>
    <row r="2957" spans="1:11" x14ac:dyDescent="0.25">
      <c r="A2957" s="5" t="s">
        <v>6</v>
      </c>
      <c r="B2957" s="5" t="s">
        <v>14572</v>
      </c>
      <c r="C2957" s="1" t="s">
        <v>14573</v>
      </c>
      <c r="D2957" s="5" t="s">
        <v>18300</v>
      </c>
      <c r="E2957" s="32">
        <v>7</v>
      </c>
      <c r="F2957" s="27">
        <v>39.9</v>
      </c>
      <c r="I2957" s="27">
        <v>5.7</v>
      </c>
    </row>
    <row r="2958" spans="1:11" x14ac:dyDescent="0.25">
      <c r="A2958" s="5" t="s">
        <v>6</v>
      </c>
      <c r="B2958" s="5" t="s">
        <v>14574</v>
      </c>
      <c r="C2958" s="1" t="s">
        <v>14575</v>
      </c>
      <c r="D2958" s="5" t="s">
        <v>18301</v>
      </c>
      <c r="E2958" s="32">
        <v>85</v>
      </c>
      <c r="F2958" s="27">
        <v>345.95</v>
      </c>
      <c r="G2958" s="32">
        <v>64</v>
      </c>
      <c r="H2958" s="27">
        <v>260.48</v>
      </c>
      <c r="I2958" s="27">
        <v>4.07</v>
      </c>
      <c r="J2958" s="27">
        <v>4.07</v>
      </c>
      <c r="K2958" s="29">
        <v>0</v>
      </c>
    </row>
    <row r="2959" spans="1:11" x14ac:dyDescent="0.25">
      <c r="A2959" s="5" t="s">
        <v>6</v>
      </c>
      <c r="B2959" s="5" t="s">
        <v>14577</v>
      </c>
      <c r="C2959" s="1" t="s">
        <v>14578</v>
      </c>
      <c r="D2959" s="5" t="s">
        <v>18301</v>
      </c>
      <c r="E2959" s="32">
        <v>17</v>
      </c>
      <c r="F2959" s="27">
        <v>69.19</v>
      </c>
      <c r="G2959" s="32">
        <v>10</v>
      </c>
      <c r="H2959" s="27">
        <v>40.700000000000003</v>
      </c>
      <c r="I2959" s="27">
        <v>4.07</v>
      </c>
      <c r="J2959" s="27">
        <v>4.07</v>
      </c>
      <c r="K2959" s="29">
        <v>0</v>
      </c>
    </row>
    <row r="2960" spans="1:11" x14ac:dyDescent="0.25">
      <c r="A2960" s="5" t="s">
        <v>6</v>
      </c>
      <c r="B2960" s="5" t="s">
        <v>14579</v>
      </c>
      <c r="C2960" s="1" t="s">
        <v>14580</v>
      </c>
      <c r="D2960" s="5" t="s">
        <v>18302</v>
      </c>
      <c r="E2960" s="32">
        <v>1</v>
      </c>
      <c r="F2960" s="27">
        <v>8.5500000000000007</v>
      </c>
      <c r="I2960" s="27">
        <v>8.5500000000000007</v>
      </c>
    </row>
    <row r="2961" spans="1:11" x14ac:dyDescent="0.25">
      <c r="A2961" s="5" t="s">
        <v>6</v>
      </c>
      <c r="B2961" s="5" t="s">
        <v>14582</v>
      </c>
      <c r="C2961" s="1" t="s">
        <v>14583</v>
      </c>
      <c r="D2961" s="5" t="s">
        <v>18303</v>
      </c>
      <c r="E2961" s="32">
        <v>19</v>
      </c>
      <c r="F2961" s="27">
        <v>123.88</v>
      </c>
      <c r="G2961" s="32">
        <v>13</v>
      </c>
      <c r="H2961" s="27">
        <v>84.76</v>
      </c>
      <c r="I2961" s="27">
        <v>6.52</v>
      </c>
      <c r="J2961" s="27">
        <v>6.5200000000000005</v>
      </c>
      <c r="K2961" s="29">
        <v>1.3622368400308669E-16</v>
      </c>
    </row>
    <row r="2962" spans="1:11" x14ac:dyDescent="0.25">
      <c r="A2962" s="5" t="s">
        <v>6</v>
      </c>
      <c r="B2962" s="5" t="s">
        <v>14585</v>
      </c>
      <c r="C2962" s="1" t="s">
        <v>14586</v>
      </c>
      <c r="D2962" s="5" t="s">
        <v>18303</v>
      </c>
      <c r="E2962" s="32">
        <v>19</v>
      </c>
      <c r="F2962" s="27">
        <v>123.88</v>
      </c>
      <c r="G2962" s="32">
        <v>13</v>
      </c>
      <c r="H2962" s="27">
        <v>84.76</v>
      </c>
      <c r="I2962" s="27">
        <v>6.52</v>
      </c>
      <c r="J2962" s="27">
        <v>6.5200000000000005</v>
      </c>
      <c r="K2962" s="29">
        <v>1.3622368400308669E-16</v>
      </c>
    </row>
    <row r="2963" spans="1:11" x14ac:dyDescent="0.25">
      <c r="A2963" s="5" t="s">
        <v>6</v>
      </c>
      <c r="B2963" s="5" t="s">
        <v>14587</v>
      </c>
      <c r="C2963" s="1" t="s">
        <v>14588</v>
      </c>
      <c r="D2963" s="5" t="s">
        <v>18303</v>
      </c>
      <c r="E2963" s="32">
        <v>1</v>
      </c>
      <c r="F2963" s="27">
        <v>6.52</v>
      </c>
      <c r="I2963" s="27">
        <v>6.52</v>
      </c>
    </row>
    <row r="2964" spans="1:11" x14ac:dyDescent="0.25">
      <c r="A2964" s="5" t="s">
        <v>6</v>
      </c>
      <c r="B2964" s="5" t="s">
        <v>14589</v>
      </c>
      <c r="C2964" s="1" t="s">
        <v>14590</v>
      </c>
      <c r="D2964" s="5" t="s">
        <v>18301</v>
      </c>
      <c r="E2964" s="32">
        <v>80</v>
      </c>
      <c r="F2964" s="27">
        <v>325.60000000000002</v>
      </c>
      <c r="G2964" s="32">
        <v>56</v>
      </c>
      <c r="H2964" s="27">
        <v>227.92</v>
      </c>
      <c r="I2964" s="27">
        <v>4.07</v>
      </c>
      <c r="J2964" s="27">
        <v>4.0699999999999994</v>
      </c>
      <c r="K2964" s="29">
        <v>-2.182256559459767E-16</v>
      </c>
    </row>
    <row r="2965" spans="1:11" x14ac:dyDescent="0.25">
      <c r="A2965" s="5" t="s">
        <v>6</v>
      </c>
      <c r="B2965" s="5" t="s">
        <v>14594</v>
      </c>
      <c r="C2965" s="1" t="s">
        <v>14595</v>
      </c>
      <c r="D2965" s="5" t="s">
        <v>18304</v>
      </c>
      <c r="E2965" s="32">
        <v>14</v>
      </c>
      <c r="F2965" s="27">
        <v>56</v>
      </c>
      <c r="G2965" s="32">
        <v>11</v>
      </c>
      <c r="H2965" s="27">
        <v>44</v>
      </c>
      <c r="I2965" s="27">
        <v>4</v>
      </c>
      <c r="J2965" s="27">
        <v>4</v>
      </c>
      <c r="K2965" s="29">
        <v>0</v>
      </c>
    </row>
    <row r="2966" spans="1:11" x14ac:dyDescent="0.25">
      <c r="A2966" s="5" t="s">
        <v>6</v>
      </c>
      <c r="B2966" s="5" t="s">
        <v>14601</v>
      </c>
      <c r="C2966" s="1" t="s">
        <v>14602</v>
      </c>
      <c r="D2966" s="5" t="s">
        <v>18305</v>
      </c>
      <c r="E2966" s="32">
        <v>0</v>
      </c>
      <c r="F2966" s="27">
        <v>0</v>
      </c>
      <c r="G2966" s="32">
        <v>4</v>
      </c>
      <c r="H2966" s="27">
        <v>74.92</v>
      </c>
      <c r="J2966" s="27">
        <v>18.73</v>
      </c>
    </row>
    <row r="2967" spans="1:11" x14ac:dyDescent="0.25">
      <c r="A2967" s="5" t="s">
        <v>6</v>
      </c>
      <c r="B2967" s="5" t="s">
        <v>14606</v>
      </c>
      <c r="C2967" s="1" t="s">
        <v>14607</v>
      </c>
      <c r="D2967" s="5" t="s">
        <v>18306</v>
      </c>
      <c r="E2967" s="32">
        <v>25</v>
      </c>
      <c r="F2967" s="27">
        <v>168.5</v>
      </c>
      <c r="G2967" s="32">
        <v>35</v>
      </c>
      <c r="H2967" s="27">
        <v>235.9</v>
      </c>
      <c r="I2967" s="27">
        <v>6.74</v>
      </c>
      <c r="J2967" s="27">
        <v>6.74</v>
      </c>
      <c r="K2967" s="29">
        <v>0</v>
      </c>
    </row>
    <row r="2968" spans="1:11" x14ac:dyDescent="0.25">
      <c r="A2968" s="5" t="s">
        <v>6</v>
      </c>
      <c r="B2968" s="5" t="s">
        <v>14609</v>
      </c>
      <c r="C2968" s="1" t="s">
        <v>14610</v>
      </c>
      <c r="D2968" s="5" t="s">
        <v>18307</v>
      </c>
      <c r="E2968" s="32">
        <v>4</v>
      </c>
      <c r="F2968" s="27">
        <v>59.12</v>
      </c>
      <c r="G2968" s="32">
        <v>3</v>
      </c>
      <c r="H2968" s="27">
        <v>44.34</v>
      </c>
      <c r="I2968" s="27">
        <v>14.78</v>
      </c>
      <c r="J2968" s="27">
        <v>14.780000000000001</v>
      </c>
      <c r="K2968" s="29">
        <v>1.2018652499325104E-16</v>
      </c>
    </row>
    <row r="2969" spans="1:11" x14ac:dyDescent="0.25">
      <c r="A2969" s="5" t="s">
        <v>6</v>
      </c>
      <c r="B2969" s="5" t="s">
        <v>14612</v>
      </c>
      <c r="C2969" s="1" t="s">
        <v>14613</v>
      </c>
      <c r="D2969" s="5" t="s">
        <v>18308</v>
      </c>
      <c r="E2969" s="32">
        <v>3</v>
      </c>
      <c r="F2969" s="27">
        <v>36.659999999999997</v>
      </c>
      <c r="I2969" s="27">
        <v>12.219999999999999</v>
      </c>
    </row>
    <row r="2970" spans="1:11" x14ac:dyDescent="0.25">
      <c r="A2970" s="5" t="s">
        <v>6</v>
      </c>
      <c r="B2970" s="5" t="s">
        <v>14614</v>
      </c>
      <c r="C2970" s="1" t="s">
        <v>14615</v>
      </c>
      <c r="D2970" s="5" t="s">
        <v>18309</v>
      </c>
      <c r="E2970" s="32">
        <v>11</v>
      </c>
      <c r="F2970" s="27">
        <v>108.79</v>
      </c>
      <c r="I2970" s="27">
        <v>9.89</v>
      </c>
    </row>
    <row r="2971" spans="1:11" x14ac:dyDescent="0.25">
      <c r="A2971" s="5" t="s">
        <v>6</v>
      </c>
      <c r="B2971" s="5" t="s">
        <v>14617</v>
      </c>
      <c r="C2971" s="1" t="s">
        <v>14618</v>
      </c>
      <c r="D2971" s="5" t="s">
        <v>18309</v>
      </c>
      <c r="E2971" s="32">
        <v>7</v>
      </c>
      <c r="F2971" s="27">
        <v>57.05</v>
      </c>
      <c r="I2971" s="27">
        <v>8.15</v>
      </c>
    </row>
    <row r="2972" spans="1:11" x14ac:dyDescent="0.25">
      <c r="A2972" s="5" t="s">
        <v>6</v>
      </c>
      <c r="B2972" s="5" t="s">
        <v>14619</v>
      </c>
      <c r="C2972" s="1" t="s">
        <v>14620</v>
      </c>
      <c r="D2972" s="5" t="s">
        <v>18310</v>
      </c>
      <c r="E2972" s="32">
        <v>1</v>
      </c>
      <c r="F2972" s="27">
        <v>14.66</v>
      </c>
      <c r="G2972" s="32">
        <v>1</v>
      </c>
      <c r="H2972" s="27">
        <v>14.66</v>
      </c>
      <c r="I2972" s="27">
        <v>14.66</v>
      </c>
      <c r="J2972" s="27">
        <v>14.66</v>
      </c>
      <c r="K2972" s="29">
        <v>0</v>
      </c>
    </row>
    <row r="2973" spans="1:11" x14ac:dyDescent="0.25">
      <c r="A2973" s="5" t="s">
        <v>6</v>
      </c>
      <c r="B2973" s="5" t="s">
        <v>14622</v>
      </c>
      <c r="C2973" s="1" t="s">
        <v>14623</v>
      </c>
      <c r="D2973" s="5" t="s">
        <v>18311</v>
      </c>
      <c r="E2973" s="32">
        <v>82</v>
      </c>
      <c r="F2973" s="27">
        <v>467.4</v>
      </c>
      <c r="G2973" s="32">
        <v>76</v>
      </c>
      <c r="H2973" s="27">
        <v>433.2</v>
      </c>
      <c r="I2973" s="27">
        <v>5.6999999999999993</v>
      </c>
      <c r="J2973" s="27">
        <v>5.7</v>
      </c>
      <c r="K2973" s="29">
        <v>1.558207753859869E-16</v>
      </c>
    </row>
    <row r="2974" spans="1:11" x14ac:dyDescent="0.25">
      <c r="A2974" s="5" t="s">
        <v>6</v>
      </c>
      <c r="B2974" s="5" t="s">
        <v>14625</v>
      </c>
      <c r="C2974" s="1" t="s">
        <v>14626</v>
      </c>
      <c r="D2974" s="5" t="s">
        <v>18312</v>
      </c>
      <c r="E2974" s="32">
        <v>19</v>
      </c>
      <c r="F2974" s="27">
        <v>152</v>
      </c>
      <c r="G2974" s="32">
        <v>29</v>
      </c>
      <c r="H2974" s="27">
        <v>232</v>
      </c>
      <c r="I2974" s="27">
        <v>8</v>
      </c>
      <c r="J2974" s="27">
        <v>8</v>
      </c>
      <c r="K2974" s="29">
        <v>0</v>
      </c>
    </row>
    <row r="2975" spans="1:11" x14ac:dyDescent="0.25">
      <c r="A2975" s="5" t="s">
        <v>6</v>
      </c>
      <c r="B2975" s="5" t="s">
        <v>14637</v>
      </c>
      <c r="C2975" s="1" t="s">
        <v>14638</v>
      </c>
      <c r="D2975" s="5" t="s">
        <v>18312</v>
      </c>
      <c r="E2975" s="32">
        <v>23</v>
      </c>
      <c r="F2975" s="27">
        <v>287.5</v>
      </c>
      <c r="G2975" s="32">
        <v>17</v>
      </c>
      <c r="H2975" s="27">
        <v>212.5</v>
      </c>
      <c r="I2975" s="27">
        <v>12.5</v>
      </c>
      <c r="J2975" s="27">
        <v>12.5</v>
      </c>
      <c r="K2975" s="29">
        <v>0</v>
      </c>
    </row>
    <row r="2976" spans="1:11" x14ac:dyDescent="0.25">
      <c r="A2976" s="5" t="s">
        <v>6</v>
      </c>
      <c r="B2976" s="5" t="s">
        <v>14643</v>
      </c>
      <c r="C2976" s="1" t="s">
        <v>14644</v>
      </c>
      <c r="D2976" s="5" t="s">
        <v>18312</v>
      </c>
      <c r="E2976" s="32">
        <v>22</v>
      </c>
      <c r="F2976" s="27">
        <v>104.94</v>
      </c>
      <c r="I2976" s="27">
        <v>4.7699999999999996</v>
      </c>
    </row>
    <row r="2977" spans="1:11" x14ac:dyDescent="0.25">
      <c r="A2977" s="5" t="s">
        <v>6</v>
      </c>
      <c r="B2977" s="5" t="s">
        <v>14646</v>
      </c>
      <c r="C2977" s="1" t="s">
        <v>14647</v>
      </c>
      <c r="D2977" s="5" t="s">
        <v>18312</v>
      </c>
      <c r="E2977" s="32">
        <v>12</v>
      </c>
      <c r="F2977" s="27">
        <v>175.92</v>
      </c>
      <c r="G2977" s="32">
        <v>15</v>
      </c>
      <c r="H2977" s="27">
        <v>219.9</v>
      </c>
      <c r="I2977" s="27">
        <v>14.659999999999998</v>
      </c>
      <c r="J2977" s="27">
        <v>14.66</v>
      </c>
      <c r="K2977" s="29">
        <v>1.211703164665928E-16</v>
      </c>
    </row>
    <row r="2978" spans="1:11" x14ac:dyDescent="0.25">
      <c r="A2978" s="5" t="s">
        <v>6</v>
      </c>
      <c r="B2978" s="5" t="s">
        <v>14655</v>
      </c>
      <c r="C2978" s="1" t="s">
        <v>14656</v>
      </c>
      <c r="D2978" s="5" t="s">
        <v>18313</v>
      </c>
      <c r="E2978" s="32">
        <v>0</v>
      </c>
      <c r="F2978" s="27">
        <v>0</v>
      </c>
      <c r="G2978" s="32">
        <v>5</v>
      </c>
      <c r="H2978" s="27">
        <v>57</v>
      </c>
      <c r="J2978" s="27">
        <v>11.4</v>
      </c>
    </row>
    <row r="2979" spans="1:11" x14ac:dyDescent="0.25">
      <c r="A2979" s="5" t="s">
        <v>6</v>
      </c>
      <c r="B2979" s="5" t="s">
        <v>14659</v>
      </c>
      <c r="C2979" s="1" t="s">
        <v>14660</v>
      </c>
      <c r="D2979" s="5" t="s">
        <v>18314</v>
      </c>
      <c r="E2979" s="32">
        <v>1</v>
      </c>
      <c r="F2979" s="27">
        <v>2.4700000000000002</v>
      </c>
      <c r="G2979" s="32">
        <v>3</v>
      </c>
      <c r="H2979" s="27">
        <v>7.41</v>
      </c>
      <c r="I2979" s="27">
        <v>2.4700000000000002</v>
      </c>
      <c r="J2979" s="27">
        <v>2.4700000000000002</v>
      </c>
      <c r="K2979" s="29">
        <v>0</v>
      </c>
    </row>
    <row r="2980" spans="1:11" x14ac:dyDescent="0.25">
      <c r="A2980" s="5" t="s">
        <v>6</v>
      </c>
      <c r="B2980" s="5" t="s">
        <v>14669</v>
      </c>
      <c r="C2980" s="1" t="s">
        <v>14670</v>
      </c>
      <c r="D2980" s="5" t="s">
        <v>18312</v>
      </c>
      <c r="E2980" s="32">
        <v>34</v>
      </c>
      <c r="F2980" s="27">
        <v>166.26</v>
      </c>
      <c r="G2980" s="32">
        <v>26</v>
      </c>
      <c r="H2980" s="27">
        <v>127.14</v>
      </c>
      <c r="I2980" s="27">
        <v>4.8899999999999997</v>
      </c>
      <c r="J2980" s="27">
        <v>4.8899999999999997</v>
      </c>
      <c r="K2980" s="29">
        <v>0</v>
      </c>
    </row>
    <row r="2981" spans="1:11" x14ac:dyDescent="0.25">
      <c r="A2981" s="5" t="s">
        <v>6</v>
      </c>
      <c r="B2981" s="5" t="s">
        <v>14671</v>
      </c>
      <c r="C2981" s="1" t="s">
        <v>14672</v>
      </c>
      <c r="D2981" s="5" t="s">
        <v>18315</v>
      </c>
      <c r="E2981" s="32">
        <v>3</v>
      </c>
      <c r="F2981" s="27">
        <v>40.47</v>
      </c>
      <c r="I2981" s="27">
        <v>13.49</v>
      </c>
    </row>
    <row r="2982" spans="1:11" x14ac:dyDescent="0.25">
      <c r="A2982" s="5" t="s">
        <v>6</v>
      </c>
      <c r="B2982" s="5" t="s">
        <v>14673</v>
      </c>
      <c r="C2982" s="1" t="s">
        <v>14674</v>
      </c>
      <c r="D2982" s="5" t="s">
        <v>18312</v>
      </c>
      <c r="E2982" s="32">
        <v>34</v>
      </c>
      <c r="F2982" s="27">
        <v>165.92</v>
      </c>
      <c r="G2982" s="32">
        <v>26</v>
      </c>
      <c r="H2982" s="27">
        <v>126.88</v>
      </c>
      <c r="I2982" s="27">
        <v>4.88</v>
      </c>
      <c r="J2982" s="27">
        <v>4.88</v>
      </c>
      <c r="K2982" s="29">
        <v>0</v>
      </c>
    </row>
    <row r="2983" spans="1:11" x14ac:dyDescent="0.25">
      <c r="A2983" s="5" t="s">
        <v>6</v>
      </c>
      <c r="B2983" s="5" t="s">
        <v>14676</v>
      </c>
      <c r="C2983" s="1" t="s">
        <v>14677</v>
      </c>
      <c r="D2983" s="5" t="s">
        <v>18316</v>
      </c>
      <c r="E2983" s="32">
        <v>3</v>
      </c>
      <c r="F2983" s="27">
        <v>702</v>
      </c>
      <c r="I2983" s="27">
        <v>234</v>
      </c>
    </row>
    <row r="2984" spans="1:11" x14ac:dyDescent="0.25">
      <c r="A2984" s="5" t="s">
        <v>6</v>
      </c>
      <c r="B2984" s="5" t="s">
        <v>14679</v>
      </c>
      <c r="C2984" s="1" t="s">
        <v>3058</v>
      </c>
      <c r="D2984" s="5" t="s">
        <v>17386</v>
      </c>
      <c r="E2984" s="32">
        <v>4</v>
      </c>
      <c r="F2984" s="27">
        <v>9.4</v>
      </c>
      <c r="I2984" s="27">
        <v>2.35</v>
      </c>
    </row>
    <row r="2985" spans="1:11" x14ac:dyDescent="0.25">
      <c r="A2985" s="5" t="s">
        <v>6</v>
      </c>
      <c r="B2985" s="5" t="s">
        <v>14683</v>
      </c>
      <c r="C2985" s="1" t="s">
        <v>14684</v>
      </c>
      <c r="D2985" s="5" t="s">
        <v>18317</v>
      </c>
      <c r="E2985" s="32">
        <v>146</v>
      </c>
      <c r="F2985" s="27">
        <v>730</v>
      </c>
      <c r="G2985" s="32">
        <v>170</v>
      </c>
      <c r="H2985" s="27">
        <v>850</v>
      </c>
      <c r="I2985" s="27">
        <v>5</v>
      </c>
      <c r="J2985" s="27">
        <v>5</v>
      </c>
      <c r="K2985" s="29">
        <v>0</v>
      </c>
    </row>
    <row r="2986" spans="1:11" x14ac:dyDescent="0.25">
      <c r="A2986" s="5" t="s">
        <v>6</v>
      </c>
      <c r="B2986" s="5" t="s">
        <v>14689</v>
      </c>
      <c r="C2986" s="1" t="s">
        <v>14690</v>
      </c>
      <c r="D2986" s="5" t="s">
        <v>18318</v>
      </c>
      <c r="E2986" s="32">
        <v>7</v>
      </c>
      <c r="F2986" s="27">
        <v>16.45</v>
      </c>
      <c r="G2986" s="32">
        <v>23</v>
      </c>
      <c r="H2986" s="27">
        <v>54.05</v>
      </c>
      <c r="I2986" s="27">
        <v>2.35</v>
      </c>
      <c r="J2986" s="27">
        <v>2.35</v>
      </c>
      <c r="K2986" s="29">
        <v>0</v>
      </c>
    </row>
    <row r="2987" spans="1:11" x14ac:dyDescent="0.25">
      <c r="A2987" s="5" t="s">
        <v>6</v>
      </c>
      <c r="B2987" s="5" t="s">
        <v>14693</v>
      </c>
      <c r="C2987" s="1" t="s">
        <v>14694</v>
      </c>
      <c r="D2987" s="5" t="s">
        <v>18319</v>
      </c>
      <c r="E2987" s="32">
        <v>6</v>
      </c>
      <c r="F2987" s="27">
        <v>16.920000000000002</v>
      </c>
      <c r="G2987" s="32">
        <v>10</v>
      </c>
      <c r="H2987" s="27">
        <v>28.2</v>
      </c>
      <c r="I2987" s="27">
        <v>2.8200000000000003</v>
      </c>
      <c r="J2987" s="27">
        <v>2.82</v>
      </c>
      <c r="K2987" s="29">
        <v>-1.5747844320924204E-16</v>
      </c>
    </row>
    <row r="2988" spans="1:11" x14ac:dyDescent="0.25">
      <c r="A2988" s="5" t="s">
        <v>6</v>
      </c>
      <c r="B2988" s="5" t="s">
        <v>14696</v>
      </c>
      <c r="C2988" s="1" t="s">
        <v>14697</v>
      </c>
      <c r="D2988" s="5" t="s">
        <v>18320</v>
      </c>
      <c r="E2988" s="32">
        <v>4</v>
      </c>
      <c r="F2988" s="27">
        <v>40</v>
      </c>
      <c r="G2988" s="32">
        <v>4</v>
      </c>
      <c r="H2988" s="27">
        <v>40</v>
      </c>
      <c r="I2988" s="27">
        <v>10</v>
      </c>
      <c r="J2988" s="27">
        <v>10</v>
      </c>
      <c r="K2988" s="29">
        <v>0</v>
      </c>
    </row>
    <row r="2989" spans="1:11" x14ac:dyDescent="0.25">
      <c r="A2989" s="5" t="s">
        <v>6</v>
      </c>
      <c r="B2989" s="5" t="s">
        <v>14702</v>
      </c>
      <c r="C2989" s="1" t="s">
        <v>3069</v>
      </c>
      <c r="D2989" s="5" t="s">
        <v>18321</v>
      </c>
      <c r="E2989" s="32">
        <v>98</v>
      </c>
      <c r="F2989" s="27">
        <v>460.6</v>
      </c>
      <c r="G2989" s="32">
        <v>127</v>
      </c>
      <c r="H2989" s="27">
        <v>596.9</v>
      </c>
      <c r="I2989" s="27">
        <v>4.7</v>
      </c>
      <c r="J2989" s="27">
        <v>4.7</v>
      </c>
      <c r="K2989" s="29">
        <v>0</v>
      </c>
    </row>
    <row r="2990" spans="1:11" x14ac:dyDescent="0.25">
      <c r="A2990" s="5" t="s">
        <v>6</v>
      </c>
      <c r="B2990" s="5" t="s">
        <v>14704</v>
      </c>
      <c r="C2990" s="1" t="s">
        <v>14705</v>
      </c>
      <c r="D2990" s="5" t="s">
        <v>18322</v>
      </c>
      <c r="E2990" s="32">
        <v>2</v>
      </c>
      <c r="F2990" s="27">
        <v>31.26</v>
      </c>
      <c r="I2990" s="27">
        <v>15.63</v>
      </c>
    </row>
    <row r="2991" spans="1:11" x14ac:dyDescent="0.25">
      <c r="A2991" s="5" t="s">
        <v>6</v>
      </c>
      <c r="B2991" s="5" t="s">
        <v>14707</v>
      </c>
      <c r="C2991" s="1" t="s">
        <v>14708</v>
      </c>
      <c r="D2991" s="5" t="s">
        <v>18174</v>
      </c>
      <c r="E2991" s="32">
        <v>12</v>
      </c>
      <c r="F2991" s="27">
        <v>29.28</v>
      </c>
      <c r="I2991" s="27">
        <v>2.44</v>
      </c>
    </row>
    <row r="2992" spans="1:11" x14ac:dyDescent="0.25">
      <c r="A2992" s="5" t="s">
        <v>6</v>
      </c>
      <c r="B2992" s="5" t="s">
        <v>14718</v>
      </c>
      <c r="C2992" s="1" t="s">
        <v>14719</v>
      </c>
      <c r="D2992" s="5" t="s">
        <v>18302</v>
      </c>
      <c r="E2992" s="32">
        <v>168</v>
      </c>
      <c r="F2992" s="27">
        <v>478.8</v>
      </c>
      <c r="G2992" s="32">
        <v>161</v>
      </c>
      <c r="H2992" s="27">
        <v>458.85</v>
      </c>
      <c r="I2992" s="27">
        <v>2.85</v>
      </c>
      <c r="J2992" s="27">
        <v>2.85</v>
      </c>
      <c r="K2992" s="29">
        <v>0</v>
      </c>
    </row>
    <row r="2993" spans="1:11" x14ac:dyDescent="0.25">
      <c r="A2993" s="5" t="s">
        <v>6</v>
      </c>
      <c r="B2993" s="5" t="s">
        <v>14720</v>
      </c>
      <c r="C2993" s="1" t="s">
        <v>14721</v>
      </c>
      <c r="D2993" s="5" t="s">
        <v>18302</v>
      </c>
      <c r="E2993" s="32">
        <v>171</v>
      </c>
      <c r="F2993" s="27">
        <v>487.35</v>
      </c>
      <c r="G2993" s="32">
        <v>163</v>
      </c>
      <c r="H2993" s="27">
        <v>464.55</v>
      </c>
      <c r="I2993" s="27">
        <v>2.85</v>
      </c>
      <c r="J2993" s="27">
        <v>2.85</v>
      </c>
      <c r="K2993" s="29">
        <v>0</v>
      </c>
    </row>
    <row r="2994" spans="1:11" x14ac:dyDescent="0.25">
      <c r="A2994" s="5" t="s">
        <v>6</v>
      </c>
      <c r="B2994" s="5" t="s">
        <v>14722</v>
      </c>
      <c r="C2994" s="1" t="s">
        <v>14723</v>
      </c>
      <c r="D2994" s="5" t="s">
        <v>18323</v>
      </c>
      <c r="E2994" s="32">
        <v>47</v>
      </c>
      <c r="F2994" s="27">
        <v>760.46</v>
      </c>
      <c r="G2994" s="32">
        <v>47</v>
      </c>
      <c r="H2994" s="27">
        <v>760.46</v>
      </c>
      <c r="I2994" s="27">
        <v>16.18</v>
      </c>
      <c r="J2994" s="27">
        <v>16.18</v>
      </c>
      <c r="K2994" s="29">
        <v>0</v>
      </c>
    </row>
    <row r="2995" spans="1:11" x14ac:dyDescent="0.25">
      <c r="A2995" s="5" t="s">
        <v>6</v>
      </c>
      <c r="B2995" s="5" t="s">
        <v>14725</v>
      </c>
      <c r="C2995" s="1" t="s">
        <v>14726</v>
      </c>
      <c r="D2995" s="5" t="s">
        <v>18324</v>
      </c>
      <c r="E2995" s="32">
        <v>36</v>
      </c>
      <c r="F2995" s="27">
        <v>586.44000000000005</v>
      </c>
      <c r="G2995" s="32">
        <v>35</v>
      </c>
      <c r="H2995" s="27">
        <v>570.15</v>
      </c>
      <c r="I2995" s="27">
        <v>16.290000000000003</v>
      </c>
      <c r="J2995" s="27">
        <v>16.29</v>
      </c>
      <c r="K2995" s="29">
        <v>-2.1809169298959486E-16</v>
      </c>
    </row>
    <row r="2996" spans="1:11" x14ac:dyDescent="0.25">
      <c r="A2996" s="5" t="s">
        <v>6</v>
      </c>
      <c r="B2996" s="5" t="s">
        <v>14731</v>
      </c>
      <c r="C2996" s="1" t="s">
        <v>14732</v>
      </c>
      <c r="D2996" s="5" t="s">
        <v>18325</v>
      </c>
      <c r="E2996" s="32">
        <v>8</v>
      </c>
      <c r="F2996" s="27">
        <v>55.36</v>
      </c>
      <c r="G2996" s="32">
        <v>12</v>
      </c>
      <c r="H2996" s="27">
        <v>83.04</v>
      </c>
      <c r="I2996" s="27">
        <v>6.92</v>
      </c>
      <c r="J2996" s="27">
        <v>6.9200000000000008</v>
      </c>
      <c r="K2996" s="29">
        <v>1.2834948261562504E-16</v>
      </c>
    </row>
    <row r="2997" spans="1:11" x14ac:dyDescent="0.25">
      <c r="A2997" s="5" t="s">
        <v>6</v>
      </c>
      <c r="B2997" s="5" t="s">
        <v>14734</v>
      </c>
      <c r="C2997" s="1" t="s">
        <v>14735</v>
      </c>
      <c r="D2997" s="5" t="s">
        <v>18256</v>
      </c>
      <c r="G2997" s="32">
        <v>2</v>
      </c>
      <c r="H2997" s="27">
        <v>90</v>
      </c>
      <c r="J2997" s="27">
        <v>45</v>
      </c>
    </row>
    <row r="2998" spans="1:11" x14ac:dyDescent="0.25">
      <c r="A2998" s="5" t="s">
        <v>6</v>
      </c>
      <c r="B2998" s="5" t="s">
        <v>14737</v>
      </c>
      <c r="C2998" s="1" t="s">
        <v>14738</v>
      </c>
      <c r="D2998" s="5" t="s">
        <v>18289</v>
      </c>
      <c r="E2998" s="32">
        <v>12</v>
      </c>
      <c r="F2998" s="27">
        <v>149.88</v>
      </c>
      <c r="G2998" s="32">
        <v>7</v>
      </c>
      <c r="H2998" s="27">
        <v>87.43</v>
      </c>
      <c r="I2998" s="27">
        <v>12.49</v>
      </c>
      <c r="J2998" s="27">
        <v>12.49</v>
      </c>
      <c r="K2998" s="29">
        <v>0</v>
      </c>
    </row>
    <row r="2999" spans="1:11" x14ac:dyDescent="0.25">
      <c r="A2999" s="5" t="s">
        <v>6</v>
      </c>
      <c r="B2999" s="5" t="s">
        <v>14744</v>
      </c>
      <c r="C2999" s="1" t="s">
        <v>14745</v>
      </c>
      <c r="D2999" s="5" t="s">
        <v>18326</v>
      </c>
      <c r="E2999" s="32">
        <v>129</v>
      </c>
      <c r="F2999" s="27">
        <v>363.78</v>
      </c>
      <c r="G2999" s="32">
        <v>82</v>
      </c>
      <c r="H2999" s="27">
        <v>231.24</v>
      </c>
      <c r="I2999" s="27">
        <v>2.82</v>
      </c>
      <c r="J2999" s="27">
        <v>2.8200000000000003</v>
      </c>
      <c r="K2999" s="29">
        <v>1.5747844320924207E-16</v>
      </c>
    </row>
    <row r="3000" spans="1:11" x14ac:dyDescent="0.25">
      <c r="A3000" s="5" t="s">
        <v>6</v>
      </c>
      <c r="B3000" s="5" t="s">
        <v>14747</v>
      </c>
      <c r="C3000" s="1" t="s">
        <v>14748</v>
      </c>
      <c r="D3000" s="5" t="s">
        <v>18326</v>
      </c>
      <c r="E3000" s="32">
        <v>55</v>
      </c>
      <c r="F3000" s="27">
        <v>155.1</v>
      </c>
      <c r="G3000" s="32">
        <v>33</v>
      </c>
      <c r="H3000" s="27">
        <v>93.06</v>
      </c>
      <c r="I3000" s="27">
        <v>2.82</v>
      </c>
      <c r="J3000" s="27">
        <v>2.8200000000000003</v>
      </c>
      <c r="K3000" s="29">
        <v>1.5747844320924207E-16</v>
      </c>
    </row>
    <row r="3001" spans="1:11" x14ac:dyDescent="0.25">
      <c r="A3001" s="5" t="s">
        <v>6</v>
      </c>
      <c r="B3001" s="5" t="s">
        <v>14749</v>
      </c>
      <c r="C3001" s="1" t="s">
        <v>14750</v>
      </c>
      <c r="D3001" s="5" t="s">
        <v>18326</v>
      </c>
      <c r="E3001" s="32">
        <v>122</v>
      </c>
      <c r="F3001" s="27">
        <v>344.04</v>
      </c>
      <c r="G3001" s="32">
        <v>78</v>
      </c>
      <c r="H3001" s="27">
        <v>219.96</v>
      </c>
      <c r="I3001" s="27">
        <v>2.8200000000000003</v>
      </c>
      <c r="J3001" s="27">
        <v>2.8200000000000003</v>
      </c>
      <c r="K3001" s="29">
        <v>0</v>
      </c>
    </row>
    <row r="3002" spans="1:11" x14ac:dyDescent="0.25">
      <c r="A3002" s="5" t="s">
        <v>6</v>
      </c>
      <c r="B3002" s="5" t="s">
        <v>14751</v>
      </c>
      <c r="C3002" s="1" t="s">
        <v>14752</v>
      </c>
      <c r="D3002" s="5" t="s">
        <v>18327</v>
      </c>
      <c r="E3002" s="32">
        <v>24</v>
      </c>
      <c r="F3002" s="27">
        <v>879.6</v>
      </c>
      <c r="G3002" s="32">
        <v>17</v>
      </c>
      <c r="H3002" s="27">
        <v>623.04999999999995</v>
      </c>
      <c r="I3002" s="27">
        <v>36.65</v>
      </c>
      <c r="J3002" s="27">
        <v>36.65</v>
      </c>
      <c r="K3002" s="29">
        <v>0</v>
      </c>
    </row>
    <row r="3003" spans="1:11" x14ac:dyDescent="0.25">
      <c r="A3003" s="5" t="s">
        <v>6</v>
      </c>
      <c r="B3003" s="5" t="s">
        <v>14754</v>
      </c>
      <c r="C3003" s="1" t="s">
        <v>14755</v>
      </c>
      <c r="D3003" s="5" t="s">
        <v>18328</v>
      </c>
      <c r="E3003" s="32">
        <v>94</v>
      </c>
      <c r="F3003" s="27">
        <v>282</v>
      </c>
      <c r="G3003" s="32">
        <v>176</v>
      </c>
      <c r="H3003" s="27">
        <v>528</v>
      </c>
      <c r="I3003" s="27">
        <v>3</v>
      </c>
      <c r="J3003" s="27">
        <v>3</v>
      </c>
      <c r="K3003" s="29">
        <v>0</v>
      </c>
    </row>
    <row r="3004" spans="1:11" x14ac:dyDescent="0.25">
      <c r="A3004" s="5" t="s">
        <v>6</v>
      </c>
      <c r="B3004" s="5" t="s">
        <v>14757</v>
      </c>
      <c r="C3004" s="1" t="s">
        <v>14758</v>
      </c>
      <c r="D3004" s="5" t="s">
        <v>18329</v>
      </c>
      <c r="E3004" s="32">
        <v>1</v>
      </c>
      <c r="F3004" s="27">
        <v>8.98</v>
      </c>
      <c r="I3004" s="27">
        <v>8.98</v>
      </c>
    </row>
    <row r="3005" spans="1:11" x14ac:dyDescent="0.25">
      <c r="A3005" s="5" t="s">
        <v>6</v>
      </c>
      <c r="B3005" s="5" t="s">
        <v>14759</v>
      </c>
      <c r="C3005" s="1" t="s">
        <v>14760</v>
      </c>
      <c r="D3005" s="5" t="s">
        <v>18329</v>
      </c>
      <c r="E3005" s="32">
        <v>2</v>
      </c>
      <c r="F3005" s="27">
        <v>29.32</v>
      </c>
      <c r="I3005" s="27">
        <v>14.66</v>
      </c>
    </row>
    <row r="3006" spans="1:11" x14ac:dyDescent="0.25">
      <c r="A3006" s="5" t="s">
        <v>6</v>
      </c>
      <c r="B3006" s="5" t="s">
        <v>14761</v>
      </c>
      <c r="C3006" s="1" t="s">
        <v>14762</v>
      </c>
      <c r="D3006" s="5" t="s">
        <v>18329</v>
      </c>
      <c r="E3006" s="32">
        <v>12</v>
      </c>
      <c r="F3006" s="27">
        <v>586.44000000000005</v>
      </c>
      <c r="G3006" s="32">
        <v>11</v>
      </c>
      <c r="H3006" s="27">
        <v>537.57000000000005</v>
      </c>
      <c r="I3006" s="27">
        <v>48.870000000000005</v>
      </c>
      <c r="J3006" s="27">
        <v>48.870000000000005</v>
      </c>
      <c r="K3006" s="29">
        <v>0</v>
      </c>
    </row>
    <row r="3007" spans="1:11" x14ac:dyDescent="0.25">
      <c r="A3007" s="5" t="s">
        <v>6</v>
      </c>
      <c r="B3007" s="5" t="s">
        <v>14769</v>
      </c>
      <c r="C3007" s="1" t="s">
        <v>14770</v>
      </c>
      <c r="D3007" s="5" t="s">
        <v>18330</v>
      </c>
      <c r="G3007" s="32">
        <v>18</v>
      </c>
      <c r="H3007" s="27">
        <v>106.38</v>
      </c>
      <c r="J3007" s="27">
        <v>5.91</v>
      </c>
    </row>
    <row r="3008" spans="1:11" x14ac:dyDescent="0.25">
      <c r="A3008" s="5" t="s">
        <v>6</v>
      </c>
      <c r="B3008" s="5" t="s">
        <v>14771</v>
      </c>
      <c r="C3008" s="1" t="s">
        <v>3090</v>
      </c>
      <c r="D3008" s="5" t="s">
        <v>17393</v>
      </c>
      <c r="E3008" s="32">
        <v>20</v>
      </c>
      <c r="F3008" s="27">
        <v>65.2</v>
      </c>
      <c r="G3008" s="32">
        <v>16</v>
      </c>
      <c r="H3008" s="27">
        <v>52.16</v>
      </c>
      <c r="I3008" s="27">
        <v>3.2600000000000002</v>
      </c>
      <c r="J3008" s="27">
        <v>3.26</v>
      </c>
      <c r="K3008" s="29">
        <v>-1.3622368400308669E-16</v>
      </c>
    </row>
    <row r="3009" spans="1:11" x14ac:dyDescent="0.25">
      <c r="A3009" s="5" t="s">
        <v>6</v>
      </c>
      <c r="B3009" s="5" t="s">
        <v>14774</v>
      </c>
      <c r="C3009" s="1" t="s">
        <v>14775</v>
      </c>
      <c r="D3009" s="5" t="s">
        <v>18331</v>
      </c>
      <c r="E3009" s="32">
        <v>21</v>
      </c>
      <c r="F3009" s="27">
        <v>95.13</v>
      </c>
      <c r="G3009" s="32">
        <v>48</v>
      </c>
      <c r="H3009" s="27">
        <v>217.44</v>
      </c>
      <c r="I3009" s="27">
        <v>4.5299999999999994</v>
      </c>
      <c r="J3009" s="27">
        <v>4.53</v>
      </c>
      <c r="K3009" s="29">
        <v>1.9606587631349347E-16</v>
      </c>
    </row>
    <row r="3010" spans="1:11" x14ac:dyDescent="0.25">
      <c r="A3010" s="5" t="s">
        <v>6</v>
      </c>
      <c r="B3010" s="5" t="s">
        <v>14776</v>
      </c>
      <c r="C3010" s="1" t="s">
        <v>14777</v>
      </c>
      <c r="D3010" s="5" t="s">
        <v>18331</v>
      </c>
      <c r="G3010" s="32">
        <v>1</v>
      </c>
      <c r="H3010" s="27">
        <v>21.86</v>
      </c>
      <c r="J3010" s="27">
        <v>21.86</v>
      </c>
    </row>
    <row r="3011" spans="1:11" x14ac:dyDescent="0.25">
      <c r="A3011" s="5" t="s">
        <v>6</v>
      </c>
      <c r="B3011" s="5" t="s">
        <v>14778</v>
      </c>
      <c r="C3011" s="1" t="s">
        <v>14779</v>
      </c>
      <c r="D3011" s="5" t="s">
        <v>18332</v>
      </c>
      <c r="E3011" s="32">
        <v>1</v>
      </c>
      <c r="F3011" s="27">
        <v>3.66</v>
      </c>
      <c r="G3011" s="32">
        <v>3</v>
      </c>
      <c r="H3011" s="27">
        <v>10.98</v>
      </c>
      <c r="I3011" s="27">
        <v>3.66</v>
      </c>
      <c r="J3011" s="27">
        <v>3.66</v>
      </c>
      <c r="K3011" s="29">
        <v>0</v>
      </c>
    </row>
    <row r="3012" spans="1:11" x14ac:dyDescent="0.25">
      <c r="A3012" s="5" t="s">
        <v>6</v>
      </c>
      <c r="B3012" s="5" t="s">
        <v>14780</v>
      </c>
      <c r="C3012" s="1" t="s">
        <v>14781</v>
      </c>
      <c r="D3012" s="5" t="s">
        <v>18332</v>
      </c>
      <c r="E3012" s="32">
        <v>1</v>
      </c>
      <c r="F3012" s="27">
        <v>3.66</v>
      </c>
      <c r="G3012" s="32">
        <v>3</v>
      </c>
      <c r="H3012" s="27">
        <v>10.98</v>
      </c>
      <c r="I3012" s="27">
        <v>3.66</v>
      </c>
      <c r="J3012" s="27">
        <v>3.66</v>
      </c>
      <c r="K3012" s="29">
        <v>0</v>
      </c>
    </row>
    <row r="3013" spans="1:11" x14ac:dyDescent="0.25">
      <c r="A3013" s="5" t="s">
        <v>6</v>
      </c>
      <c r="B3013" s="5" t="s">
        <v>14782</v>
      </c>
      <c r="C3013" s="1" t="s">
        <v>14783</v>
      </c>
      <c r="D3013" s="5" t="s">
        <v>18332</v>
      </c>
      <c r="E3013" s="32">
        <v>1</v>
      </c>
      <c r="F3013" s="27">
        <v>3.66</v>
      </c>
      <c r="G3013" s="32">
        <v>3</v>
      </c>
      <c r="H3013" s="27">
        <v>10.98</v>
      </c>
      <c r="I3013" s="27">
        <v>3.66</v>
      </c>
      <c r="J3013" s="27">
        <v>3.66</v>
      </c>
      <c r="K3013" s="29">
        <v>0</v>
      </c>
    </row>
    <row r="3014" spans="1:11" x14ac:dyDescent="0.25">
      <c r="A3014" s="5" t="s">
        <v>6</v>
      </c>
      <c r="B3014" s="5" t="s">
        <v>14784</v>
      </c>
      <c r="C3014" s="1" t="s">
        <v>14785</v>
      </c>
      <c r="D3014" s="5" t="s">
        <v>18332</v>
      </c>
      <c r="E3014" s="32">
        <v>1</v>
      </c>
      <c r="F3014" s="27">
        <v>3.68</v>
      </c>
      <c r="G3014" s="32">
        <v>3</v>
      </c>
      <c r="H3014" s="27">
        <v>11.04</v>
      </c>
      <c r="I3014" s="27">
        <v>3.68</v>
      </c>
      <c r="J3014" s="27">
        <v>3.6799999999999997</v>
      </c>
      <c r="K3014" s="29">
        <v>-1.206764157201257E-16</v>
      </c>
    </row>
    <row r="3015" spans="1:11" x14ac:dyDescent="0.25">
      <c r="A3015" s="5" t="s">
        <v>6</v>
      </c>
      <c r="B3015" s="5" t="s">
        <v>14788</v>
      </c>
      <c r="C3015" s="1" t="s">
        <v>14789</v>
      </c>
      <c r="D3015" s="5" t="s">
        <v>18333</v>
      </c>
      <c r="G3015" s="32">
        <v>2</v>
      </c>
      <c r="H3015" s="27">
        <v>29.32</v>
      </c>
      <c r="J3015" s="27">
        <v>14.66</v>
      </c>
    </row>
    <row r="3016" spans="1:11" x14ac:dyDescent="0.25">
      <c r="A3016" s="5" t="s">
        <v>6</v>
      </c>
      <c r="B3016" s="5" t="s">
        <v>14792</v>
      </c>
      <c r="C3016" s="1" t="s">
        <v>14793</v>
      </c>
      <c r="D3016" s="5" t="s">
        <v>18334</v>
      </c>
      <c r="E3016" s="32">
        <v>6</v>
      </c>
      <c r="F3016" s="27">
        <v>76.44</v>
      </c>
      <c r="G3016" s="32">
        <v>5</v>
      </c>
      <c r="H3016" s="27">
        <v>63.7</v>
      </c>
      <c r="I3016" s="27">
        <v>12.74</v>
      </c>
      <c r="J3016" s="27">
        <v>12.74</v>
      </c>
      <c r="K3016" s="29">
        <v>0</v>
      </c>
    </row>
    <row r="3017" spans="1:11" x14ac:dyDescent="0.25">
      <c r="A3017" s="5" t="s">
        <v>6</v>
      </c>
      <c r="B3017" s="5" t="s">
        <v>14800</v>
      </c>
      <c r="C3017" s="1" t="s">
        <v>14801</v>
      </c>
      <c r="D3017" s="5" t="s">
        <v>18335</v>
      </c>
      <c r="E3017" s="32">
        <v>2</v>
      </c>
      <c r="F3017" s="27">
        <v>8.56</v>
      </c>
      <c r="G3017" s="32">
        <v>14</v>
      </c>
      <c r="H3017" s="27">
        <v>59.92</v>
      </c>
      <c r="I3017" s="27">
        <v>4.28</v>
      </c>
      <c r="J3017" s="27">
        <v>4.28</v>
      </c>
      <c r="K3017" s="29">
        <v>0</v>
      </c>
    </row>
    <row r="3018" spans="1:11" x14ac:dyDescent="0.25">
      <c r="A3018" s="5" t="s">
        <v>6</v>
      </c>
      <c r="B3018" s="5" t="s">
        <v>14803</v>
      </c>
      <c r="C3018" s="1" t="s">
        <v>3101</v>
      </c>
      <c r="D3018" s="5" t="s">
        <v>18336</v>
      </c>
      <c r="E3018" s="32">
        <v>18</v>
      </c>
      <c r="F3018" s="27">
        <v>88.02</v>
      </c>
      <c r="G3018" s="32">
        <v>24</v>
      </c>
      <c r="H3018" s="27">
        <v>117.36</v>
      </c>
      <c r="I3018" s="27">
        <v>4.8899999999999997</v>
      </c>
      <c r="J3018" s="27">
        <v>4.8899999999999997</v>
      </c>
      <c r="K3018" s="29">
        <v>0</v>
      </c>
    </row>
    <row r="3019" spans="1:11" x14ac:dyDescent="0.25">
      <c r="A3019" s="5" t="s">
        <v>6</v>
      </c>
      <c r="B3019" s="5" t="s">
        <v>14804</v>
      </c>
      <c r="C3019" s="1" t="s">
        <v>14805</v>
      </c>
      <c r="D3019" s="5" t="s">
        <v>18330</v>
      </c>
      <c r="G3019" s="32">
        <v>2</v>
      </c>
      <c r="H3019" s="27">
        <v>44.32</v>
      </c>
      <c r="J3019" s="27">
        <v>22.16</v>
      </c>
    </row>
    <row r="3020" spans="1:11" x14ac:dyDescent="0.25">
      <c r="A3020" s="5" t="s">
        <v>6</v>
      </c>
      <c r="B3020" s="5" t="s">
        <v>14807</v>
      </c>
      <c r="C3020" s="1" t="s">
        <v>14808</v>
      </c>
      <c r="D3020" s="5" t="s">
        <v>18337</v>
      </c>
      <c r="E3020" s="32">
        <v>4</v>
      </c>
      <c r="F3020" s="27">
        <v>16</v>
      </c>
      <c r="I3020" s="27">
        <v>4</v>
      </c>
    </row>
    <row r="3021" spans="1:11" x14ac:dyDescent="0.25">
      <c r="A3021" s="5" t="s">
        <v>6</v>
      </c>
      <c r="B3021" s="5" t="s">
        <v>14810</v>
      </c>
      <c r="C3021" s="1" t="s">
        <v>14811</v>
      </c>
      <c r="D3021" s="5" t="s">
        <v>18330</v>
      </c>
      <c r="E3021" s="32">
        <v>3</v>
      </c>
      <c r="F3021" s="27">
        <v>12.63</v>
      </c>
      <c r="I3021" s="27">
        <v>4.21</v>
      </c>
    </row>
    <row r="3022" spans="1:11" x14ac:dyDescent="0.25">
      <c r="A3022" s="5" t="s">
        <v>6</v>
      </c>
      <c r="B3022" s="5" t="s">
        <v>14812</v>
      </c>
      <c r="C3022" s="1" t="s">
        <v>14813</v>
      </c>
      <c r="D3022" s="5" t="s">
        <v>18330</v>
      </c>
      <c r="G3022" s="32">
        <v>4</v>
      </c>
      <c r="H3022" s="27">
        <v>88.68</v>
      </c>
      <c r="J3022" s="27">
        <v>22.17</v>
      </c>
    </row>
    <row r="3023" spans="1:11" x14ac:dyDescent="0.25">
      <c r="A3023" s="5" t="s">
        <v>6</v>
      </c>
      <c r="B3023" s="5" t="s">
        <v>14814</v>
      </c>
      <c r="C3023" s="1" t="s">
        <v>14815</v>
      </c>
      <c r="D3023" s="5" t="s">
        <v>18330</v>
      </c>
      <c r="G3023" s="32">
        <v>2</v>
      </c>
      <c r="H3023" s="27">
        <v>44.34</v>
      </c>
      <c r="J3023" s="27">
        <v>22.17</v>
      </c>
    </row>
    <row r="3024" spans="1:11" x14ac:dyDescent="0.25">
      <c r="A3024" s="5" t="s">
        <v>6</v>
      </c>
      <c r="B3024" s="5" t="s">
        <v>14816</v>
      </c>
      <c r="C3024" s="1" t="s">
        <v>14817</v>
      </c>
      <c r="D3024" s="5" t="s">
        <v>18330</v>
      </c>
      <c r="E3024" s="32">
        <v>3</v>
      </c>
      <c r="F3024" s="27">
        <v>14.58</v>
      </c>
      <c r="I3024" s="27">
        <v>4.8600000000000003</v>
      </c>
    </row>
    <row r="3025" spans="1:11" x14ac:dyDescent="0.25">
      <c r="A3025" s="5" t="s">
        <v>6</v>
      </c>
      <c r="B3025" s="5" t="s">
        <v>14818</v>
      </c>
      <c r="C3025" s="1" t="s">
        <v>14819</v>
      </c>
      <c r="D3025" s="5" t="s">
        <v>18330</v>
      </c>
      <c r="G3025" s="32">
        <v>4</v>
      </c>
      <c r="H3025" s="27">
        <v>88.68</v>
      </c>
      <c r="J3025" s="27">
        <v>22.17</v>
      </c>
    </row>
    <row r="3026" spans="1:11" x14ac:dyDescent="0.25">
      <c r="A3026" s="5" t="s">
        <v>6</v>
      </c>
      <c r="B3026" s="5" t="s">
        <v>14820</v>
      </c>
      <c r="C3026" s="1" t="s">
        <v>14821</v>
      </c>
      <c r="D3026" s="5" t="s">
        <v>18338</v>
      </c>
      <c r="E3026" s="32">
        <v>5</v>
      </c>
      <c r="F3026" s="27">
        <v>50</v>
      </c>
      <c r="G3026" s="32">
        <v>14</v>
      </c>
      <c r="H3026" s="27">
        <v>140</v>
      </c>
      <c r="I3026" s="27">
        <v>10</v>
      </c>
      <c r="J3026" s="27">
        <v>10</v>
      </c>
      <c r="K3026" s="29">
        <v>0</v>
      </c>
    </row>
    <row r="3027" spans="1:11" x14ac:dyDescent="0.25">
      <c r="A3027" s="5" t="s">
        <v>6</v>
      </c>
      <c r="B3027" s="5" t="s">
        <v>14822</v>
      </c>
      <c r="C3027" s="1" t="s">
        <v>14823</v>
      </c>
      <c r="D3027" s="5" t="s">
        <v>18338</v>
      </c>
      <c r="E3027" s="32">
        <v>5</v>
      </c>
      <c r="F3027" s="27">
        <v>50</v>
      </c>
      <c r="G3027" s="32">
        <v>14</v>
      </c>
      <c r="H3027" s="27">
        <v>140</v>
      </c>
      <c r="I3027" s="27">
        <v>10</v>
      </c>
      <c r="J3027" s="27">
        <v>10</v>
      </c>
      <c r="K3027" s="29">
        <v>0</v>
      </c>
    </row>
    <row r="3028" spans="1:11" x14ac:dyDescent="0.25">
      <c r="A3028" s="5" t="s">
        <v>6</v>
      </c>
      <c r="B3028" s="5" t="s">
        <v>14824</v>
      </c>
      <c r="C3028" s="1" t="s">
        <v>14825</v>
      </c>
      <c r="D3028" s="5" t="s">
        <v>18330</v>
      </c>
      <c r="E3028" s="32">
        <v>3</v>
      </c>
      <c r="F3028" s="27">
        <v>14.58</v>
      </c>
      <c r="I3028" s="27">
        <v>4.8600000000000003</v>
      </c>
    </row>
    <row r="3029" spans="1:11" x14ac:dyDescent="0.25">
      <c r="A3029" s="5" t="s">
        <v>6</v>
      </c>
      <c r="B3029" s="5" t="s">
        <v>14826</v>
      </c>
      <c r="C3029" s="1" t="s">
        <v>14827</v>
      </c>
      <c r="D3029" s="5" t="s">
        <v>18330</v>
      </c>
      <c r="E3029" s="32">
        <v>3</v>
      </c>
      <c r="F3029" s="27">
        <v>14.58</v>
      </c>
      <c r="I3029" s="27">
        <v>4.8600000000000003</v>
      </c>
    </row>
    <row r="3030" spans="1:11" x14ac:dyDescent="0.25">
      <c r="A3030" s="5" t="s">
        <v>6</v>
      </c>
      <c r="B3030" s="5" t="s">
        <v>14828</v>
      </c>
      <c r="C3030" s="1" t="s">
        <v>14829</v>
      </c>
      <c r="D3030" s="5" t="s">
        <v>18330</v>
      </c>
      <c r="E3030" s="32">
        <v>3</v>
      </c>
      <c r="F3030" s="27">
        <v>14.58</v>
      </c>
      <c r="I3030" s="27">
        <v>4.8600000000000003</v>
      </c>
    </row>
    <row r="3031" spans="1:11" x14ac:dyDescent="0.25">
      <c r="A3031" s="5" t="s">
        <v>6</v>
      </c>
      <c r="B3031" s="5" t="s">
        <v>14830</v>
      </c>
      <c r="C3031" s="1" t="s">
        <v>14831</v>
      </c>
      <c r="D3031" s="5" t="s">
        <v>18330</v>
      </c>
      <c r="E3031" s="32">
        <v>3</v>
      </c>
      <c r="F3031" s="27">
        <v>14.58</v>
      </c>
      <c r="I3031" s="27">
        <v>4.8600000000000003</v>
      </c>
    </row>
    <row r="3032" spans="1:11" x14ac:dyDescent="0.25">
      <c r="A3032" s="5" t="s">
        <v>6</v>
      </c>
      <c r="B3032" s="5" t="s">
        <v>14834</v>
      </c>
      <c r="C3032" s="1" t="s">
        <v>14835</v>
      </c>
      <c r="D3032" s="5" t="s">
        <v>18339</v>
      </c>
      <c r="E3032" s="32">
        <v>4</v>
      </c>
      <c r="F3032" s="27">
        <v>22.8</v>
      </c>
      <c r="I3032" s="27">
        <v>5.7</v>
      </c>
    </row>
    <row r="3033" spans="1:11" x14ac:dyDescent="0.25">
      <c r="A3033" s="5" t="s">
        <v>6</v>
      </c>
      <c r="B3033" s="5" t="s">
        <v>14837</v>
      </c>
      <c r="C3033" s="1" t="s">
        <v>14838</v>
      </c>
      <c r="D3033" s="5" t="s">
        <v>18320</v>
      </c>
      <c r="E3033" s="32">
        <v>3</v>
      </c>
      <c r="F3033" s="27">
        <v>45</v>
      </c>
      <c r="G3033" s="32">
        <v>6</v>
      </c>
      <c r="H3033" s="27">
        <v>90</v>
      </c>
      <c r="I3033" s="27">
        <v>15</v>
      </c>
      <c r="J3033" s="27">
        <v>15</v>
      </c>
      <c r="K3033" s="29">
        <v>0</v>
      </c>
    </row>
    <row r="3034" spans="1:11" x14ac:dyDescent="0.25">
      <c r="A3034" s="5" t="s">
        <v>6</v>
      </c>
      <c r="B3034" s="5" t="s">
        <v>14841</v>
      </c>
      <c r="C3034" s="1" t="s">
        <v>14842</v>
      </c>
      <c r="D3034" s="5" t="s">
        <v>18340</v>
      </c>
      <c r="E3034" s="32">
        <v>16</v>
      </c>
      <c r="F3034" s="27">
        <v>260</v>
      </c>
      <c r="G3034" s="32">
        <v>5</v>
      </c>
      <c r="H3034" s="27">
        <v>81.25</v>
      </c>
      <c r="I3034" s="27">
        <v>16.25</v>
      </c>
      <c r="J3034" s="27">
        <v>16.25</v>
      </c>
      <c r="K3034" s="29">
        <v>0</v>
      </c>
    </row>
    <row r="3035" spans="1:11" x14ac:dyDescent="0.25">
      <c r="A3035" s="5" t="s">
        <v>6</v>
      </c>
      <c r="B3035" s="5" t="s">
        <v>14843</v>
      </c>
      <c r="C3035" s="1" t="s">
        <v>14844</v>
      </c>
      <c r="D3035" s="5" t="s">
        <v>18341</v>
      </c>
      <c r="E3035" s="32">
        <v>16</v>
      </c>
      <c r="F3035" s="27">
        <v>160</v>
      </c>
      <c r="G3035" s="32">
        <v>5</v>
      </c>
      <c r="H3035" s="27">
        <v>50</v>
      </c>
      <c r="I3035" s="27">
        <v>10</v>
      </c>
      <c r="J3035" s="27">
        <v>10</v>
      </c>
      <c r="K3035" s="29">
        <v>0</v>
      </c>
    </row>
    <row r="3036" spans="1:11" x14ac:dyDescent="0.25">
      <c r="A3036" s="5" t="s">
        <v>6</v>
      </c>
      <c r="B3036" s="5" t="s">
        <v>14846</v>
      </c>
      <c r="C3036" s="1" t="s">
        <v>14847</v>
      </c>
      <c r="D3036" s="5" t="s">
        <v>18342</v>
      </c>
      <c r="E3036" s="32">
        <v>244</v>
      </c>
      <c r="F3036" s="27">
        <v>1220</v>
      </c>
      <c r="G3036" s="32">
        <v>284</v>
      </c>
      <c r="H3036" s="27">
        <v>1420</v>
      </c>
      <c r="I3036" s="27">
        <v>5</v>
      </c>
      <c r="J3036" s="27">
        <v>5</v>
      </c>
      <c r="K3036" s="29">
        <v>0</v>
      </c>
    </row>
    <row r="3037" spans="1:11" x14ac:dyDescent="0.25">
      <c r="A3037" s="5" t="s">
        <v>6</v>
      </c>
      <c r="B3037" s="5" t="s">
        <v>14850</v>
      </c>
      <c r="C3037" s="1" t="s">
        <v>14851</v>
      </c>
      <c r="D3037" s="5" t="s">
        <v>18343</v>
      </c>
      <c r="E3037" s="32">
        <v>1</v>
      </c>
      <c r="F3037" s="27">
        <v>7.34</v>
      </c>
      <c r="I3037" s="27">
        <v>7.34</v>
      </c>
    </row>
    <row r="3038" spans="1:11" x14ac:dyDescent="0.25">
      <c r="A3038" s="5" t="s">
        <v>6</v>
      </c>
      <c r="B3038" s="5" t="s">
        <v>14852</v>
      </c>
      <c r="C3038" s="1" t="s">
        <v>14853</v>
      </c>
      <c r="D3038" s="5" t="s">
        <v>18344</v>
      </c>
      <c r="E3038" s="32">
        <v>3</v>
      </c>
      <c r="F3038" s="27">
        <v>8.5500000000000007</v>
      </c>
      <c r="G3038" s="32">
        <v>3</v>
      </c>
      <c r="H3038" s="27">
        <v>8.5500000000000007</v>
      </c>
      <c r="I3038" s="27">
        <v>2.85</v>
      </c>
      <c r="J3038" s="27">
        <v>2.85</v>
      </c>
      <c r="K3038" s="29">
        <v>0</v>
      </c>
    </row>
    <row r="3039" spans="1:11" x14ac:dyDescent="0.25">
      <c r="A3039" s="5" t="s">
        <v>6</v>
      </c>
      <c r="B3039" s="5" t="s">
        <v>14854</v>
      </c>
      <c r="C3039" s="1" t="s">
        <v>14855</v>
      </c>
      <c r="D3039" s="5" t="s">
        <v>18345</v>
      </c>
      <c r="E3039" s="32">
        <v>34</v>
      </c>
      <c r="F3039" s="27">
        <v>336.26</v>
      </c>
      <c r="G3039" s="32">
        <v>51</v>
      </c>
      <c r="H3039" s="27">
        <v>504.39</v>
      </c>
      <c r="I3039" s="27">
        <v>9.89</v>
      </c>
      <c r="J3039" s="27">
        <v>9.89</v>
      </c>
      <c r="K3039" s="29">
        <v>0</v>
      </c>
    </row>
    <row r="3040" spans="1:11" x14ac:dyDescent="0.25">
      <c r="A3040" s="5" t="s">
        <v>6</v>
      </c>
      <c r="B3040" s="5" t="s">
        <v>14856</v>
      </c>
      <c r="C3040" s="1" t="s">
        <v>14857</v>
      </c>
      <c r="D3040" s="5" t="s">
        <v>18345</v>
      </c>
      <c r="E3040" s="32">
        <v>34</v>
      </c>
      <c r="F3040" s="27">
        <v>336.26</v>
      </c>
      <c r="G3040" s="32">
        <v>51</v>
      </c>
      <c r="H3040" s="27">
        <v>504.39</v>
      </c>
      <c r="I3040" s="27">
        <v>9.89</v>
      </c>
      <c r="J3040" s="27">
        <v>9.89</v>
      </c>
      <c r="K3040" s="29">
        <v>0</v>
      </c>
    </row>
    <row r="3041" spans="1:11" x14ac:dyDescent="0.25">
      <c r="A3041" s="5" t="s">
        <v>6</v>
      </c>
      <c r="B3041" s="5" t="s">
        <v>14863</v>
      </c>
      <c r="C3041" s="1" t="s">
        <v>14864</v>
      </c>
      <c r="D3041" s="5" t="s">
        <v>18343</v>
      </c>
      <c r="E3041" s="32">
        <v>4</v>
      </c>
      <c r="F3041" s="27">
        <v>9.76</v>
      </c>
      <c r="I3041" s="27">
        <v>2.44</v>
      </c>
    </row>
    <row r="3042" spans="1:11" x14ac:dyDescent="0.25">
      <c r="A3042" s="5" t="s">
        <v>6</v>
      </c>
      <c r="B3042" s="5" t="s">
        <v>14865</v>
      </c>
      <c r="C3042" s="1" t="s">
        <v>14866</v>
      </c>
      <c r="D3042" s="5" t="s">
        <v>18346</v>
      </c>
      <c r="E3042" s="32">
        <v>37</v>
      </c>
      <c r="F3042" s="27">
        <v>210.9</v>
      </c>
      <c r="G3042" s="32">
        <v>70</v>
      </c>
      <c r="H3042" s="27">
        <v>399</v>
      </c>
      <c r="I3042" s="27">
        <v>5.7</v>
      </c>
      <c r="J3042" s="27">
        <v>5.7</v>
      </c>
      <c r="K3042" s="29">
        <v>0</v>
      </c>
    </row>
    <row r="3043" spans="1:11" x14ac:dyDescent="0.25">
      <c r="A3043" s="5" t="s">
        <v>6</v>
      </c>
      <c r="B3043" s="5" t="s">
        <v>14867</v>
      </c>
      <c r="C3043" s="1" t="s">
        <v>14868</v>
      </c>
      <c r="D3043" s="5" t="s">
        <v>18346</v>
      </c>
      <c r="E3043" s="32">
        <v>8</v>
      </c>
      <c r="F3043" s="27">
        <v>45.6</v>
      </c>
      <c r="G3043" s="32">
        <v>5</v>
      </c>
      <c r="H3043" s="27">
        <v>28.5</v>
      </c>
      <c r="I3043" s="27">
        <v>5.7</v>
      </c>
      <c r="J3043" s="27">
        <v>5.7</v>
      </c>
      <c r="K3043" s="29">
        <v>0</v>
      </c>
    </row>
    <row r="3044" spans="1:11" x14ac:dyDescent="0.25">
      <c r="A3044" s="5" t="s">
        <v>6</v>
      </c>
      <c r="B3044" s="5" t="s">
        <v>14869</v>
      </c>
      <c r="C3044" s="1" t="s">
        <v>14870</v>
      </c>
      <c r="D3044" s="5" t="s">
        <v>18313</v>
      </c>
      <c r="G3044" s="32">
        <v>4</v>
      </c>
      <c r="H3044" s="27">
        <v>45.6</v>
      </c>
      <c r="J3044" s="27">
        <v>11.4</v>
      </c>
    </row>
    <row r="3045" spans="1:11" x14ac:dyDescent="0.25">
      <c r="A3045" s="5" t="s">
        <v>6</v>
      </c>
      <c r="B3045" s="5" t="s">
        <v>14871</v>
      </c>
      <c r="C3045" s="1" t="s">
        <v>14872</v>
      </c>
      <c r="D3045" s="5" t="s">
        <v>18347</v>
      </c>
      <c r="E3045" s="32">
        <v>4</v>
      </c>
      <c r="F3045" s="27">
        <v>42.36</v>
      </c>
      <c r="I3045" s="27">
        <v>10.59</v>
      </c>
    </row>
    <row r="3046" spans="1:11" x14ac:dyDescent="0.25">
      <c r="A3046" s="5" t="s">
        <v>6</v>
      </c>
      <c r="B3046" s="5" t="s">
        <v>14876</v>
      </c>
      <c r="C3046" s="1" t="s">
        <v>14877</v>
      </c>
      <c r="D3046" s="5" t="s">
        <v>18348</v>
      </c>
      <c r="E3046" s="32">
        <v>4</v>
      </c>
      <c r="F3046" s="27">
        <v>9.76</v>
      </c>
      <c r="G3046" s="32">
        <v>4</v>
      </c>
      <c r="H3046" s="27">
        <v>9.76</v>
      </c>
      <c r="I3046" s="27">
        <v>2.44</v>
      </c>
      <c r="J3046" s="27">
        <v>2.44</v>
      </c>
      <c r="K3046" s="29">
        <v>0</v>
      </c>
    </row>
    <row r="3047" spans="1:11" x14ac:dyDescent="0.25">
      <c r="A3047" s="5" t="s">
        <v>6</v>
      </c>
      <c r="B3047" s="5" t="s">
        <v>14878</v>
      </c>
      <c r="C3047" s="1" t="s">
        <v>14879</v>
      </c>
      <c r="D3047" s="5" t="s">
        <v>18344</v>
      </c>
      <c r="E3047" s="32">
        <v>2</v>
      </c>
      <c r="F3047" s="27">
        <v>14.98</v>
      </c>
      <c r="I3047" s="27">
        <v>7.49</v>
      </c>
    </row>
    <row r="3048" spans="1:11" x14ac:dyDescent="0.25">
      <c r="A3048" s="5" t="s">
        <v>6</v>
      </c>
      <c r="B3048" s="5" t="s">
        <v>14880</v>
      </c>
      <c r="C3048" s="1" t="s">
        <v>14881</v>
      </c>
      <c r="D3048" s="5" t="s">
        <v>18349</v>
      </c>
      <c r="E3048" s="32">
        <v>1</v>
      </c>
      <c r="F3048" s="27">
        <v>5.29</v>
      </c>
      <c r="G3048" s="32">
        <v>5</v>
      </c>
      <c r="H3048" s="27">
        <v>26.45</v>
      </c>
      <c r="I3048" s="27">
        <v>5.29</v>
      </c>
      <c r="J3048" s="27">
        <v>5.29</v>
      </c>
      <c r="K3048" s="29">
        <v>0</v>
      </c>
    </row>
    <row r="3049" spans="1:11" x14ac:dyDescent="0.25">
      <c r="A3049" s="5" t="s">
        <v>6</v>
      </c>
      <c r="B3049" s="5" t="s">
        <v>14887</v>
      </c>
      <c r="C3049" s="1" t="s">
        <v>14888</v>
      </c>
      <c r="D3049" s="5" t="s">
        <v>18350</v>
      </c>
      <c r="E3049" s="32">
        <v>14</v>
      </c>
      <c r="F3049" s="27">
        <v>280</v>
      </c>
      <c r="G3049" s="32">
        <v>24</v>
      </c>
      <c r="H3049" s="27">
        <v>480</v>
      </c>
      <c r="I3049" s="27">
        <v>20</v>
      </c>
      <c r="J3049" s="27">
        <v>20</v>
      </c>
      <c r="K3049" s="29">
        <v>0</v>
      </c>
    </row>
    <row r="3050" spans="1:11" x14ac:dyDescent="0.25">
      <c r="A3050" s="5" t="s">
        <v>6</v>
      </c>
      <c r="B3050" s="5" t="s">
        <v>14890</v>
      </c>
      <c r="C3050" s="1" t="s">
        <v>14891</v>
      </c>
      <c r="D3050" s="5" t="s">
        <v>18351</v>
      </c>
      <c r="E3050" s="32">
        <v>17</v>
      </c>
      <c r="F3050" s="27">
        <v>340</v>
      </c>
      <c r="I3050" s="27">
        <v>20</v>
      </c>
    </row>
    <row r="3051" spans="1:11" x14ac:dyDescent="0.25">
      <c r="A3051" s="5" t="s">
        <v>6</v>
      </c>
      <c r="B3051" s="5" t="s">
        <v>14893</v>
      </c>
      <c r="C3051" s="1" t="s">
        <v>14894</v>
      </c>
      <c r="D3051" s="5" t="s">
        <v>18351</v>
      </c>
      <c r="E3051" s="32">
        <v>14</v>
      </c>
      <c r="F3051" s="27">
        <v>252</v>
      </c>
      <c r="G3051" s="32">
        <v>24</v>
      </c>
      <c r="H3051" s="27">
        <v>432</v>
      </c>
      <c r="I3051" s="27">
        <v>18</v>
      </c>
      <c r="J3051" s="27">
        <v>18</v>
      </c>
      <c r="K3051" s="29">
        <v>0</v>
      </c>
    </row>
    <row r="3052" spans="1:11" x14ac:dyDescent="0.25">
      <c r="A3052" s="5" t="s">
        <v>6</v>
      </c>
      <c r="B3052" s="5" t="s">
        <v>14896</v>
      </c>
      <c r="C3052" s="1" t="s">
        <v>14897</v>
      </c>
      <c r="D3052" s="5" t="s">
        <v>18315</v>
      </c>
      <c r="E3052" s="32">
        <v>3</v>
      </c>
      <c r="F3052" s="27">
        <v>10.38</v>
      </c>
      <c r="I3052" s="27">
        <v>3.4600000000000004</v>
      </c>
    </row>
    <row r="3053" spans="1:11" x14ac:dyDescent="0.25">
      <c r="A3053" s="5" t="s">
        <v>6</v>
      </c>
      <c r="B3053" s="5" t="s">
        <v>14900</v>
      </c>
      <c r="C3053" s="1" t="s">
        <v>14901</v>
      </c>
      <c r="D3053" s="5" t="s">
        <v>18350</v>
      </c>
      <c r="E3053" s="32">
        <v>17</v>
      </c>
      <c r="F3053" s="27">
        <v>352.41</v>
      </c>
      <c r="I3053" s="27">
        <v>20.73</v>
      </c>
    </row>
    <row r="3054" spans="1:11" x14ac:dyDescent="0.25">
      <c r="A3054" s="5" t="s">
        <v>6</v>
      </c>
      <c r="B3054" s="5" t="s">
        <v>14902</v>
      </c>
      <c r="C3054" s="1" t="s">
        <v>14903</v>
      </c>
      <c r="D3054" s="5" t="s">
        <v>18352</v>
      </c>
      <c r="E3054" s="32">
        <v>3</v>
      </c>
      <c r="F3054" s="27">
        <v>120.75</v>
      </c>
      <c r="G3054" s="32">
        <v>5</v>
      </c>
      <c r="H3054" s="27">
        <v>201.25</v>
      </c>
      <c r="I3054" s="27">
        <v>40.25</v>
      </c>
      <c r="J3054" s="27">
        <v>40.25</v>
      </c>
      <c r="K3054" s="29">
        <v>0</v>
      </c>
    </row>
    <row r="3055" spans="1:11" x14ac:dyDescent="0.25">
      <c r="A3055" s="5" t="s">
        <v>6</v>
      </c>
      <c r="B3055" s="5" t="s">
        <v>14905</v>
      </c>
      <c r="C3055" s="1" t="s">
        <v>14906</v>
      </c>
      <c r="D3055" s="5" t="s">
        <v>18352</v>
      </c>
      <c r="E3055" s="32">
        <v>9</v>
      </c>
      <c r="F3055" s="27">
        <v>124.65</v>
      </c>
      <c r="G3055" s="32">
        <v>2</v>
      </c>
      <c r="H3055" s="27">
        <v>27.7</v>
      </c>
      <c r="I3055" s="27">
        <v>13.850000000000001</v>
      </c>
      <c r="J3055" s="27">
        <v>13.85</v>
      </c>
      <c r="K3055" s="29">
        <v>-1.2825681150904335E-16</v>
      </c>
    </row>
    <row r="3056" spans="1:11" x14ac:dyDescent="0.25">
      <c r="A3056" s="5" t="s">
        <v>6</v>
      </c>
      <c r="B3056" s="5" t="s">
        <v>14914</v>
      </c>
      <c r="C3056" s="1" t="s">
        <v>14915</v>
      </c>
      <c r="D3056" s="5" t="s">
        <v>17389</v>
      </c>
      <c r="E3056" s="32">
        <v>57</v>
      </c>
      <c r="F3056" s="27">
        <v>295.83</v>
      </c>
      <c r="G3056" s="32">
        <v>64</v>
      </c>
      <c r="H3056" s="27">
        <v>332.16</v>
      </c>
      <c r="I3056" s="27">
        <v>5.1899999999999995</v>
      </c>
      <c r="J3056" s="27">
        <v>5.19</v>
      </c>
      <c r="K3056" s="29">
        <v>1.7113264348750005E-16</v>
      </c>
    </row>
    <row r="3057" spans="1:11" x14ac:dyDescent="0.25">
      <c r="A3057" s="5" t="s">
        <v>6</v>
      </c>
      <c r="B3057" s="5" t="s">
        <v>14922</v>
      </c>
      <c r="C3057" s="1" t="s">
        <v>14923</v>
      </c>
      <c r="D3057" s="5" t="s">
        <v>18353</v>
      </c>
      <c r="E3057" s="32">
        <v>67</v>
      </c>
      <c r="F3057" s="27">
        <v>150.08000000000001</v>
      </c>
      <c r="G3057" s="32">
        <v>42</v>
      </c>
      <c r="H3057" s="27">
        <v>94.08</v>
      </c>
      <c r="I3057" s="27">
        <v>2.2400000000000002</v>
      </c>
      <c r="J3057" s="27">
        <v>2.2399999999999998</v>
      </c>
      <c r="K3057" s="29">
        <v>-1.9825411154020651E-16</v>
      </c>
    </row>
    <row r="3058" spans="1:11" x14ac:dyDescent="0.25">
      <c r="A3058" s="5" t="s">
        <v>6</v>
      </c>
      <c r="B3058" s="5" t="s">
        <v>14924</v>
      </c>
      <c r="C3058" s="1" t="s">
        <v>2923</v>
      </c>
      <c r="D3058" s="5" t="s">
        <v>18354</v>
      </c>
      <c r="E3058" s="32">
        <v>66</v>
      </c>
      <c r="F3058" s="27">
        <v>310.2</v>
      </c>
      <c r="G3058" s="32">
        <v>64</v>
      </c>
      <c r="H3058" s="27">
        <v>300.8</v>
      </c>
      <c r="I3058" s="27">
        <v>4.7</v>
      </c>
      <c r="J3058" s="27">
        <v>4.7</v>
      </c>
      <c r="K3058" s="29">
        <v>0</v>
      </c>
    </row>
    <row r="3059" spans="1:11" x14ac:dyDescent="0.25">
      <c r="A3059" s="5" t="s">
        <v>6</v>
      </c>
      <c r="B3059" s="5" t="s">
        <v>14925</v>
      </c>
      <c r="C3059" s="1" t="s">
        <v>14926</v>
      </c>
      <c r="D3059" s="5" t="s">
        <v>18355</v>
      </c>
      <c r="E3059" s="32">
        <v>0</v>
      </c>
      <c r="F3059" s="27">
        <v>0</v>
      </c>
      <c r="G3059" s="32">
        <v>8</v>
      </c>
      <c r="H3059" s="27">
        <v>58.64</v>
      </c>
      <c r="J3059" s="27">
        <v>7.33</v>
      </c>
    </row>
    <row r="3060" spans="1:11" x14ac:dyDescent="0.25">
      <c r="A3060" s="5" t="s">
        <v>6</v>
      </c>
      <c r="B3060" s="5" t="s">
        <v>14933</v>
      </c>
      <c r="C3060" s="1" t="s">
        <v>14934</v>
      </c>
      <c r="D3060" s="5" t="s">
        <v>18356</v>
      </c>
      <c r="E3060" s="32">
        <v>12</v>
      </c>
      <c r="F3060" s="27">
        <v>179.88</v>
      </c>
      <c r="G3060" s="32">
        <v>4</v>
      </c>
      <c r="H3060" s="27">
        <v>59.96</v>
      </c>
      <c r="I3060" s="27">
        <v>14.99</v>
      </c>
      <c r="J3060" s="27">
        <v>14.99</v>
      </c>
      <c r="K3060" s="29">
        <v>0</v>
      </c>
    </row>
    <row r="3061" spans="1:11" x14ac:dyDescent="0.25">
      <c r="A3061" s="5" t="s">
        <v>6</v>
      </c>
      <c r="B3061" s="5" t="s">
        <v>14935</v>
      </c>
      <c r="C3061" s="1" t="s">
        <v>14936</v>
      </c>
      <c r="D3061" s="5" t="s">
        <v>18331</v>
      </c>
      <c r="E3061" s="32">
        <v>21</v>
      </c>
      <c r="F3061" s="27">
        <v>95.13</v>
      </c>
      <c r="G3061" s="32">
        <v>48</v>
      </c>
      <c r="H3061" s="27">
        <v>217.44</v>
      </c>
      <c r="I3061" s="27">
        <v>4.5299999999999994</v>
      </c>
      <c r="J3061" s="27">
        <v>4.53</v>
      </c>
      <c r="K3061" s="29">
        <v>1.9606587631349347E-16</v>
      </c>
    </row>
    <row r="3062" spans="1:11" x14ac:dyDescent="0.25">
      <c r="A3062" s="5" t="s">
        <v>6</v>
      </c>
      <c r="B3062" s="5" t="s">
        <v>14938</v>
      </c>
      <c r="C3062" s="1" t="s">
        <v>14939</v>
      </c>
      <c r="D3062" s="5" t="s">
        <v>18331</v>
      </c>
      <c r="E3062" s="32">
        <v>21</v>
      </c>
      <c r="F3062" s="27">
        <v>95.34</v>
      </c>
      <c r="G3062" s="32">
        <v>48</v>
      </c>
      <c r="H3062" s="27">
        <v>217.92</v>
      </c>
      <c r="I3062" s="27">
        <v>4.54</v>
      </c>
      <c r="J3062" s="27">
        <v>4.54</v>
      </c>
      <c r="K3062" s="29">
        <v>0</v>
      </c>
    </row>
    <row r="3063" spans="1:11" x14ac:dyDescent="0.25">
      <c r="A3063" s="5" t="s">
        <v>6</v>
      </c>
      <c r="B3063" s="5" t="s">
        <v>14940</v>
      </c>
      <c r="C3063" s="1" t="s">
        <v>14941</v>
      </c>
      <c r="D3063" s="5" t="s">
        <v>18334</v>
      </c>
      <c r="E3063" s="32">
        <v>1</v>
      </c>
      <c r="F3063" s="27">
        <v>12.74</v>
      </c>
      <c r="G3063" s="32">
        <v>4</v>
      </c>
      <c r="H3063" s="27">
        <v>50.96</v>
      </c>
      <c r="I3063" s="27">
        <v>12.74</v>
      </c>
      <c r="J3063" s="27">
        <v>12.74</v>
      </c>
      <c r="K3063" s="29">
        <v>0</v>
      </c>
    </row>
    <row r="3064" spans="1:11" x14ac:dyDescent="0.25">
      <c r="A3064" s="5" t="s">
        <v>6</v>
      </c>
      <c r="B3064" s="5" t="s">
        <v>14945</v>
      </c>
      <c r="C3064" s="1" t="s">
        <v>13548</v>
      </c>
      <c r="D3064" s="5" t="s">
        <v>18357</v>
      </c>
      <c r="E3064" s="32">
        <v>348</v>
      </c>
      <c r="F3064" s="27">
        <v>3267.72</v>
      </c>
      <c r="G3064" s="32">
        <v>527</v>
      </c>
      <c r="H3064" s="27">
        <v>4948.53</v>
      </c>
      <c r="I3064" s="27">
        <v>9.3899999999999988</v>
      </c>
      <c r="J3064" s="27">
        <v>9.3899999999999988</v>
      </c>
      <c r="K3064" s="29">
        <v>0</v>
      </c>
    </row>
    <row r="3065" spans="1:11" x14ac:dyDescent="0.25">
      <c r="A3065" s="5" t="s">
        <v>6</v>
      </c>
      <c r="B3065" s="5" t="s">
        <v>14951</v>
      </c>
      <c r="C3065" s="1" t="s">
        <v>14952</v>
      </c>
      <c r="D3065" s="5" t="s">
        <v>18358</v>
      </c>
      <c r="E3065" s="32">
        <v>1</v>
      </c>
      <c r="F3065" s="27">
        <v>5</v>
      </c>
      <c r="G3065" s="32">
        <v>7</v>
      </c>
      <c r="H3065" s="27">
        <v>35</v>
      </c>
      <c r="I3065" s="27">
        <v>5</v>
      </c>
      <c r="J3065" s="27">
        <v>5</v>
      </c>
      <c r="K3065" s="29">
        <v>0</v>
      </c>
    </row>
    <row r="3066" spans="1:11" x14ac:dyDescent="0.25">
      <c r="A3066" s="5" t="s">
        <v>6</v>
      </c>
      <c r="B3066" s="5" t="s">
        <v>14954</v>
      </c>
      <c r="C3066" s="1" t="s">
        <v>14955</v>
      </c>
      <c r="D3066" s="5" t="s">
        <v>18359</v>
      </c>
      <c r="E3066" s="32">
        <v>481</v>
      </c>
      <c r="F3066" s="27">
        <v>5541.12</v>
      </c>
      <c r="G3066" s="32">
        <v>809</v>
      </c>
      <c r="H3066" s="27">
        <v>9319.68</v>
      </c>
      <c r="I3066" s="27">
        <v>11.52</v>
      </c>
      <c r="J3066" s="27">
        <v>11.52</v>
      </c>
      <c r="K3066" s="29">
        <v>0</v>
      </c>
    </row>
    <row r="3067" spans="1:11" x14ac:dyDescent="0.25">
      <c r="A3067" s="5" t="s">
        <v>6</v>
      </c>
      <c r="B3067" s="5" t="s">
        <v>14960</v>
      </c>
      <c r="C3067" s="1" t="s">
        <v>14961</v>
      </c>
      <c r="D3067" s="5" t="s">
        <v>18360</v>
      </c>
      <c r="E3067" s="32">
        <v>1</v>
      </c>
      <c r="F3067" s="27">
        <v>3.96</v>
      </c>
      <c r="G3067" s="32">
        <v>7</v>
      </c>
      <c r="H3067" s="27">
        <v>27.72</v>
      </c>
      <c r="I3067" s="27">
        <v>3.96</v>
      </c>
      <c r="J3067" s="27">
        <v>3.96</v>
      </c>
      <c r="K3067" s="29">
        <v>0</v>
      </c>
    </row>
    <row r="3068" spans="1:11" x14ac:dyDescent="0.25">
      <c r="A3068" s="5" t="s">
        <v>6</v>
      </c>
      <c r="B3068" s="5" t="s">
        <v>14966</v>
      </c>
      <c r="C3068" s="1" t="s">
        <v>14967</v>
      </c>
      <c r="D3068" s="5" t="s">
        <v>18361</v>
      </c>
      <c r="E3068" s="32">
        <v>4</v>
      </c>
      <c r="F3068" s="27">
        <v>147.44</v>
      </c>
      <c r="G3068" s="32">
        <v>9</v>
      </c>
      <c r="H3068" s="27">
        <v>331.74</v>
      </c>
      <c r="I3068" s="27">
        <v>36.86</v>
      </c>
      <c r="J3068" s="27">
        <v>36.86</v>
      </c>
      <c r="K3068" s="29">
        <v>0</v>
      </c>
    </row>
    <row r="3069" spans="1:11" x14ac:dyDescent="0.25">
      <c r="A3069" s="5" t="s">
        <v>6</v>
      </c>
      <c r="B3069" s="5" t="s">
        <v>14972</v>
      </c>
      <c r="C3069" s="1" t="s">
        <v>14973</v>
      </c>
      <c r="D3069" s="5" t="s">
        <v>18362</v>
      </c>
      <c r="E3069" s="32">
        <v>42</v>
      </c>
      <c r="F3069" s="27">
        <v>168</v>
      </c>
      <c r="G3069" s="32">
        <v>65</v>
      </c>
      <c r="H3069" s="27">
        <v>260</v>
      </c>
      <c r="I3069" s="27">
        <v>4</v>
      </c>
      <c r="J3069" s="27">
        <v>4</v>
      </c>
      <c r="K3069" s="29">
        <v>0</v>
      </c>
    </row>
    <row r="3070" spans="1:11" x14ac:dyDescent="0.25">
      <c r="A3070" s="5" t="s">
        <v>6</v>
      </c>
      <c r="B3070" s="5" t="s">
        <v>14978</v>
      </c>
      <c r="C3070" s="1" t="s">
        <v>13596</v>
      </c>
      <c r="D3070" s="5" t="s">
        <v>17403</v>
      </c>
      <c r="E3070" s="32">
        <v>1</v>
      </c>
      <c r="F3070" s="27">
        <v>9.5</v>
      </c>
      <c r="I3070" s="27">
        <v>9.5</v>
      </c>
    </row>
    <row r="3071" spans="1:11" x14ac:dyDescent="0.25">
      <c r="A3071" s="5" t="s">
        <v>6</v>
      </c>
      <c r="B3071" s="5" t="s">
        <v>14979</v>
      </c>
      <c r="C3071" s="1" t="s">
        <v>14980</v>
      </c>
      <c r="D3071" s="5" t="s">
        <v>18363</v>
      </c>
      <c r="E3071" s="32">
        <v>4</v>
      </c>
      <c r="F3071" s="27">
        <v>41.96</v>
      </c>
      <c r="G3071" s="32">
        <v>6</v>
      </c>
      <c r="H3071" s="27">
        <v>62.94</v>
      </c>
      <c r="I3071" s="27">
        <v>10.49</v>
      </c>
      <c r="J3071" s="27">
        <v>10.49</v>
      </c>
      <c r="K3071" s="29">
        <v>0</v>
      </c>
    </row>
    <row r="3072" spans="1:11" x14ac:dyDescent="0.25">
      <c r="A3072" s="5" t="s">
        <v>6</v>
      </c>
      <c r="B3072" s="5" t="s">
        <v>14981</v>
      </c>
      <c r="C3072" s="1" t="s">
        <v>14982</v>
      </c>
      <c r="D3072" s="5" t="s">
        <v>18364</v>
      </c>
      <c r="E3072" s="32">
        <v>2</v>
      </c>
      <c r="F3072" s="27">
        <v>4.42</v>
      </c>
      <c r="I3072" s="27">
        <v>2.21</v>
      </c>
    </row>
    <row r="3073" spans="1:11" x14ac:dyDescent="0.25">
      <c r="A3073" s="5" t="s">
        <v>6</v>
      </c>
      <c r="B3073" s="5" t="s">
        <v>14984</v>
      </c>
      <c r="C3073" s="1" t="s">
        <v>14985</v>
      </c>
      <c r="D3073" s="5" t="s">
        <v>18364</v>
      </c>
      <c r="E3073" s="32">
        <v>461</v>
      </c>
      <c r="F3073" s="27">
        <v>2650.75</v>
      </c>
      <c r="G3073" s="32">
        <v>774</v>
      </c>
      <c r="H3073" s="27">
        <v>4450.5</v>
      </c>
      <c r="I3073" s="27">
        <v>5.75</v>
      </c>
      <c r="J3073" s="27">
        <v>5.75</v>
      </c>
      <c r="K3073" s="29">
        <v>0</v>
      </c>
    </row>
    <row r="3074" spans="1:11" x14ac:dyDescent="0.25">
      <c r="A3074" s="5" t="s">
        <v>6</v>
      </c>
      <c r="B3074" s="5" t="s">
        <v>14986</v>
      </c>
      <c r="C3074" s="1" t="s">
        <v>14987</v>
      </c>
      <c r="D3074" s="5" t="s">
        <v>18365</v>
      </c>
      <c r="E3074" s="32">
        <v>23</v>
      </c>
      <c r="F3074" s="27">
        <v>690</v>
      </c>
      <c r="G3074" s="32">
        <v>47</v>
      </c>
      <c r="H3074" s="27">
        <v>1410</v>
      </c>
      <c r="I3074" s="27">
        <v>30</v>
      </c>
      <c r="J3074" s="27">
        <v>30</v>
      </c>
      <c r="K3074" s="29">
        <v>0</v>
      </c>
    </row>
    <row r="3075" spans="1:11" x14ac:dyDescent="0.25">
      <c r="A3075" s="5" t="s">
        <v>6</v>
      </c>
      <c r="B3075" s="5" t="s">
        <v>14989</v>
      </c>
      <c r="C3075" s="1" t="s">
        <v>14990</v>
      </c>
      <c r="D3075" s="5" t="s">
        <v>18366</v>
      </c>
      <c r="E3075" s="32">
        <v>3</v>
      </c>
      <c r="F3075" s="27">
        <v>42</v>
      </c>
      <c r="I3075" s="27">
        <v>14</v>
      </c>
    </row>
    <row r="3076" spans="1:11" x14ac:dyDescent="0.25">
      <c r="A3076" s="5" t="s">
        <v>6</v>
      </c>
      <c r="B3076" s="5" t="s">
        <v>14992</v>
      </c>
      <c r="C3076" s="1" t="s">
        <v>14993</v>
      </c>
      <c r="D3076" s="5" t="s">
        <v>18367</v>
      </c>
      <c r="E3076" s="32">
        <v>7</v>
      </c>
      <c r="F3076" s="27">
        <v>230.3</v>
      </c>
      <c r="I3076" s="27">
        <v>32.9</v>
      </c>
    </row>
    <row r="3077" spans="1:11" x14ac:dyDescent="0.25">
      <c r="A3077" s="5" t="s">
        <v>6</v>
      </c>
      <c r="B3077" s="5" t="s">
        <v>14995</v>
      </c>
      <c r="C3077" s="1" t="s">
        <v>14996</v>
      </c>
      <c r="D3077" s="5" t="s">
        <v>18368</v>
      </c>
      <c r="E3077" s="32">
        <v>13</v>
      </c>
      <c r="F3077" s="27">
        <v>423.54</v>
      </c>
      <c r="G3077" s="32">
        <v>19</v>
      </c>
      <c r="H3077" s="27">
        <v>619.02</v>
      </c>
      <c r="I3077" s="27">
        <v>32.58</v>
      </c>
      <c r="J3077" s="27">
        <v>32.58</v>
      </c>
      <c r="K3077" s="29">
        <v>0</v>
      </c>
    </row>
    <row r="3078" spans="1:11" x14ac:dyDescent="0.25">
      <c r="A3078" s="5" t="s">
        <v>6</v>
      </c>
      <c r="B3078" s="5" t="s">
        <v>14998</v>
      </c>
      <c r="C3078" s="1" t="s">
        <v>14999</v>
      </c>
      <c r="D3078" s="5" t="s">
        <v>18369</v>
      </c>
      <c r="E3078" s="32">
        <v>19</v>
      </c>
      <c r="F3078" s="27">
        <v>532</v>
      </c>
      <c r="G3078" s="32">
        <v>8</v>
      </c>
      <c r="H3078" s="27">
        <v>224</v>
      </c>
      <c r="I3078" s="27">
        <v>28</v>
      </c>
      <c r="J3078" s="27">
        <v>28</v>
      </c>
      <c r="K3078" s="29">
        <v>0</v>
      </c>
    </row>
    <row r="3079" spans="1:11" x14ac:dyDescent="0.25">
      <c r="A3079" s="5" t="s">
        <v>6</v>
      </c>
      <c r="B3079" s="5" t="s">
        <v>15003</v>
      </c>
      <c r="C3079" s="1" t="s">
        <v>15004</v>
      </c>
      <c r="D3079" s="5" t="s">
        <v>18370</v>
      </c>
      <c r="E3079" s="32">
        <v>288</v>
      </c>
      <c r="F3079" s="27">
        <v>2001.6</v>
      </c>
      <c r="G3079" s="32">
        <v>318</v>
      </c>
      <c r="H3079" s="27">
        <v>2210.1</v>
      </c>
      <c r="I3079" s="27">
        <v>6.9499999999999993</v>
      </c>
      <c r="J3079" s="27">
        <v>6.9499999999999993</v>
      </c>
      <c r="K3079" s="29">
        <v>0</v>
      </c>
    </row>
    <row r="3080" spans="1:11" x14ac:dyDescent="0.25">
      <c r="A3080" s="5" t="s">
        <v>6</v>
      </c>
      <c r="B3080" s="5" t="s">
        <v>15011</v>
      </c>
      <c r="C3080" s="1" t="s">
        <v>15012</v>
      </c>
      <c r="D3080" s="5" t="s">
        <v>17411</v>
      </c>
      <c r="E3080" s="32">
        <v>2</v>
      </c>
      <c r="F3080" s="27">
        <v>1100</v>
      </c>
      <c r="I3080" s="27">
        <v>550</v>
      </c>
    </row>
    <row r="3081" spans="1:11" x14ac:dyDescent="0.25">
      <c r="A3081" s="5" t="s">
        <v>6</v>
      </c>
      <c r="B3081" s="5" t="s">
        <v>15013</v>
      </c>
      <c r="C3081" s="1" t="s">
        <v>15014</v>
      </c>
      <c r="D3081" s="5" t="s">
        <v>18371</v>
      </c>
      <c r="E3081" s="32">
        <v>428</v>
      </c>
      <c r="F3081" s="27">
        <v>3950</v>
      </c>
      <c r="G3081" s="32">
        <v>403</v>
      </c>
      <c r="H3081" s="27">
        <v>3627</v>
      </c>
      <c r="I3081" s="27">
        <v>9.2289719626168232</v>
      </c>
      <c r="J3081" s="27">
        <v>9</v>
      </c>
      <c r="K3081" s="29">
        <v>-2.481012658227856E-2</v>
      </c>
    </row>
    <row r="3082" spans="1:11" x14ac:dyDescent="0.25">
      <c r="A3082" s="5" t="s">
        <v>6</v>
      </c>
      <c r="B3082" s="5" t="s">
        <v>15018</v>
      </c>
      <c r="C3082" s="1" t="s">
        <v>15019</v>
      </c>
      <c r="D3082" s="5" t="s">
        <v>18372</v>
      </c>
      <c r="E3082" s="32">
        <v>6</v>
      </c>
      <c r="F3082" s="27">
        <v>378</v>
      </c>
      <c r="I3082" s="27">
        <v>63</v>
      </c>
    </row>
    <row r="3083" spans="1:11" x14ac:dyDescent="0.25">
      <c r="A3083" s="5" t="s">
        <v>6</v>
      </c>
      <c r="B3083" s="5" t="s">
        <v>15020</v>
      </c>
      <c r="C3083" s="1" t="s">
        <v>15021</v>
      </c>
      <c r="D3083" s="5" t="s">
        <v>18373</v>
      </c>
      <c r="E3083" s="32">
        <v>3</v>
      </c>
      <c r="F3083" s="27">
        <v>156</v>
      </c>
      <c r="G3083" s="32">
        <v>5</v>
      </c>
      <c r="H3083" s="27">
        <v>260</v>
      </c>
      <c r="I3083" s="27">
        <v>52</v>
      </c>
      <c r="J3083" s="27">
        <v>52</v>
      </c>
      <c r="K3083" s="29">
        <v>0</v>
      </c>
    </row>
    <row r="3084" spans="1:11" x14ac:dyDescent="0.25">
      <c r="A3084" s="5" t="s">
        <v>6</v>
      </c>
      <c r="B3084" s="5" t="s">
        <v>15036</v>
      </c>
      <c r="C3084" s="1" t="s">
        <v>15037</v>
      </c>
      <c r="D3084" s="5" t="s">
        <v>18374</v>
      </c>
      <c r="E3084" s="32">
        <v>3</v>
      </c>
      <c r="F3084" s="27">
        <v>237</v>
      </c>
      <c r="I3084" s="27">
        <v>79</v>
      </c>
    </row>
    <row r="3085" spans="1:11" x14ac:dyDescent="0.25">
      <c r="A3085" s="5" t="s">
        <v>6</v>
      </c>
      <c r="B3085" s="5" t="s">
        <v>15041</v>
      </c>
      <c r="C3085" s="1" t="s">
        <v>15042</v>
      </c>
      <c r="D3085" s="5" t="s">
        <v>18375</v>
      </c>
      <c r="E3085" s="32">
        <v>36</v>
      </c>
      <c r="F3085" s="27">
        <v>586.44000000000005</v>
      </c>
      <c r="G3085" s="32">
        <v>48</v>
      </c>
      <c r="H3085" s="27">
        <v>781.92</v>
      </c>
      <c r="I3085" s="27">
        <v>16.290000000000003</v>
      </c>
      <c r="J3085" s="27">
        <v>16.29</v>
      </c>
      <c r="K3085" s="29">
        <v>-2.1809169298959486E-16</v>
      </c>
    </row>
    <row r="3086" spans="1:11" x14ac:dyDescent="0.25">
      <c r="A3086" s="5" t="s">
        <v>6</v>
      </c>
      <c r="B3086" s="5" t="s">
        <v>15043</v>
      </c>
      <c r="C3086" s="1" t="s">
        <v>15044</v>
      </c>
      <c r="D3086" s="5" t="s">
        <v>18375</v>
      </c>
      <c r="E3086" s="32">
        <v>36</v>
      </c>
      <c r="F3086" s="27">
        <v>586.44000000000005</v>
      </c>
      <c r="G3086" s="32">
        <v>48</v>
      </c>
      <c r="H3086" s="27">
        <v>781.92</v>
      </c>
      <c r="I3086" s="27">
        <v>16.290000000000003</v>
      </c>
      <c r="J3086" s="27">
        <v>16.29</v>
      </c>
      <c r="K3086" s="29">
        <v>-2.1809169298959486E-16</v>
      </c>
    </row>
    <row r="3087" spans="1:11" x14ac:dyDescent="0.25">
      <c r="A3087" s="5" t="s">
        <v>6</v>
      </c>
      <c r="B3087" s="5" t="s">
        <v>15045</v>
      </c>
      <c r="C3087" s="1" t="s">
        <v>15046</v>
      </c>
      <c r="D3087" s="5" t="s">
        <v>18376</v>
      </c>
      <c r="E3087" s="32">
        <v>1</v>
      </c>
      <c r="F3087" s="27">
        <v>115</v>
      </c>
      <c r="G3087" s="32">
        <v>2</v>
      </c>
      <c r="H3087" s="27">
        <v>230</v>
      </c>
      <c r="I3087" s="27">
        <v>115</v>
      </c>
      <c r="J3087" s="27">
        <v>115</v>
      </c>
      <c r="K3087" s="29">
        <v>0</v>
      </c>
    </row>
    <row r="3088" spans="1:11" x14ac:dyDescent="0.25">
      <c r="A3088" s="5" t="s">
        <v>6</v>
      </c>
      <c r="B3088" s="5" t="s">
        <v>15050</v>
      </c>
      <c r="C3088" s="1" t="s">
        <v>15051</v>
      </c>
      <c r="D3088" s="5" t="s">
        <v>18377</v>
      </c>
      <c r="E3088" s="32">
        <v>53</v>
      </c>
      <c r="F3088" s="27">
        <v>2650</v>
      </c>
      <c r="G3088" s="32">
        <v>50</v>
      </c>
      <c r="H3088" s="27">
        <v>2500</v>
      </c>
      <c r="I3088" s="27">
        <v>50</v>
      </c>
      <c r="J3088" s="27">
        <v>50</v>
      </c>
      <c r="K3088" s="29">
        <v>0</v>
      </c>
    </row>
    <row r="3089" spans="1:11" x14ac:dyDescent="0.25">
      <c r="A3089" s="5" t="s">
        <v>6</v>
      </c>
      <c r="B3089" s="5" t="s">
        <v>15053</v>
      </c>
      <c r="C3089" s="1" t="s">
        <v>15054</v>
      </c>
      <c r="D3089" s="5" t="s">
        <v>18378</v>
      </c>
      <c r="E3089" s="32">
        <v>20</v>
      </c>
      <c r="F3089" s="27">
        <v>1080</v>
      </c>
      <c r="G3089" s="32">
        <v>35</v>
      </c>
      <c r="H3089" s="27">
        <v>1890</v>
      </c>
      <c r="I3089" s="27">
        <v>54</v>
      </c>
      <c r="J3089" s="27">
        <v>54</v>
      </c>
      <c r="K3089" s="29">
        <v>0</v>
      </c>
    </row>
    <row r="3090" spans="1:11" x14ac:dyDescent="0.25">
      <c r="A3090" s="5" t="s">
        <v>6</v>
      </c>
      <c r="B3090" s="5" t="s">
        <v>15056</v>
      </c>
      <c r="C3090" s="1" t="s">
        <v>15057</v>
      </c>
      <c r="D3090" s="5" t="s">
        <v>18379</v>
      </c>
      <c r="E3090" s="32">
        <v>433</v>
      </c>
      <c r="F3090" s="27">
        <v>3897</v>
      </c>
      <c r="G3090" s="32">
        <v>414</v>
      </c>
      <c r="H3090" s="27">
        <v>3726</v>
      </c>
      <c r="I3090" s="27">
        <v>9</v>
      </c>
      <c r="J3090" s="27">
        <v>9</v>
      </c>
      <c r="K3090" s="29">
        <v>0</v>
      </c>
    </row>
    <row r="3091" spans="1:11" x14ac:dyDescent="0.25">
      <c r="A3091" s="5" t="s">
        <v>6</v>
      </c>
      <c r="B3091" s="5" t="s">
        <v>15059</v>
      </c>
      <c r="C3091" s="1" t="s">
        <v>15060</v>
      </c>
      <c r="D3091" s="5" t="s">
        <v>18380</v>
      </c>
      <c r="E3091" s="32">
        <v>5</v>
      </c>
      <c r="F3091" s="27">
        <v>275</v>
      </c>
      <c r="G3091" s="32">
        <v>6</v>
      </c>
      <c r="H3091" s="27">
        <v>330</v>
      </c>
      <c r="I3091" s="27">
        <v>55</v>
      </c>
      <c r="J3091" s="27">
        <v>55</v>
      </c>
      <c r="K3091" s="29">
        <v>0</v>
      </c>
    </row>
    <row r="3092" spans="1:11" x14ac:dyDescent="0.25">
      <c r="A3092" s="5" t="s">
        <v>6</v>
      </c>
      <c r="B3092" s="5" t="s">
        <v>15062</v>
      </c>
      <c r="C3092" s="1" t="s">
        <v>15063</v>
      </c>
      <c r="D3092" s="5" t="s">
        <v>18381</v>
      </c>
      <c r="G3092" s="32">
        <v>120</v>
      </c>
      <c r="H3092" s="27">
        <v>5640</v>
      </c>
      <c r="J3092" s="27">
        <v>47</v>
      </c>
    </row>
    <row r="3093" spans="1:11" x14ac:dyDescent="0.25">
      <c r="A3093" s="5" t="s">
        <v>6</v>
      </c>
      <c r="B3093" s="5" t="s">
        <v>15069</v>
      </c>
      <c r="C3093" s="1" t="s">
        <v>15070</v>
      </c>
      <c r="D3093" s="5" t="s">
        <v>18382</v>
      </c>
      <c r="E3093" s="32">
        <v>1</v>
      </c>
      <c r="F3093" s="27">
        <v>50</v>
      </c>
      <c r="I3093" s="27">
        <v>50</v>
      </c>
    </row>
    <row r="3094" spans="1:11" x14ac:dyDescent="0.25">
      <c r="A3094" s="5" t="s">
        <v>6</v>
      </c>
      <c r="B3094" s="5" t="s">
        <v>15071</v>
      </c>
      <c r="C3094" s="1" t="s">
        <v>15072</v>
      </c>
      <c r="D3094" s="5" t="s">
        <v>18382</v>
      </c>
      <c r="E3094" s="32">
        <v>1</v>
      </c>
      <c r="F3094" s="27">
        <v>165</v>
      </c>
      <c r="I3094" s="27">
        <v>165</v>
      </c>
    </row>
    <row r="3095" spans="1:11" x14ac:dyDescent="0.25">
      <c r="A3095" s="5" t="s">
        <v>6</v>
      </c>
      <c r="B3095" s="5" t="s">
        <v>15077</v>
      </c>
      <c r="C3095" s="1" t="s">
        <v>15078</v>
      </c>
      <c r="D3095" s="5" t="s">
        <v>18382</v>
      </c>
      <c r="E3095" s="32">
        <v>1</v>
      </c>
      <c r="F3095" s="27">
        <v>40.5</v>
      </c>
      <c r="I3095" s="27">
        <v>40.5</v>
      </c>
    </row>
    <row r="3096" spans="1:11" x14ac:dyDescent="0.25">
      <c r="A3096" s="5" t="s">
        <v>6</v>
      </c>
      <c r="B3096" s="5" t="s">
        <v>15079</v>
      </c>
      <c r="C3096" s="1" t="s">
        <v>15080</v>
      </c>
      <c r="D3096" s="5" t="s">
        <v>18380</v>
      </c>
      <c r="G3096" s="32">
        <v>1</v>
      </c>
      <c r="H3096" s="27">
        <v>195</v>
      </c>
      <c r="J3096" s="27">
        <v>195</v>
      </c>
    </row>
    <row r="3097" spans="1:11" x14ac:dyDescent="0.25">
      <c r="A3097" s="5" t="s">
        <v>6</v>
      </c>
      <c r="B3097" s="5" t="s">
        <v>15082</v>
      </c>
      <c r="C3097" s="1" t="s">
        <v>15083</v>
      </c>
      <c r="D3097" s="5" t="s">
        <v>18383</v>
      </c>
      <c r="E3097" s="32">
        <v>37</v>
      </c>
      <c r="F3097" s="27">
        <v>686.5</v>
      </c>
      <c r="G3097" s="32">
        <v>116</v>
      </c>
      <c r="H3097" s="27">
        <v>2146</v>
      </c>
      <c r="I3097" s="27">
        <v>18.554054054054053</v>
      </c>
      <c r="J3097" s="27">
        <v>18.5</v>
      </c>
      <c r="K3097" s="29">
        <v>-2.9133284777857929E-3</v>
      </c>
    </row>
    <row r="3098" spans="1:11" x14ac:dyDescent="0.25">
      <c r="A3098" s="5" t="s">
        <v>6</v>
      </c>
      <c r="B3098" s="5" t="s">
        <v>15089</v>
      </c>
      <c r="C3098" s="1" t="s">
        <v>15090</v>
      </c>
      <c r="D3098" s="5" t="s">
        <v>17410</v>
      </c>
      <c r="E3098" s="32">
        <v>86</v>
      </c>
      <c r="F3098" s="27">
        <v>1260.76</v>
      </c>
      <c r="G3098" s="32">
        <v>138</v>
      </c>
      <c r="H3098" s="27">
        <v>2023.08</v>
      </c>
      <c r="I3098" s="27">
        <v>14.66</v>
      </c>
      <c r="J3098" s="27">
        <v>14.66</v>
      </c>
      <c r="K3098" s="29">
        <v>0</v>
      </c>
    </row>
    <row r="3099" spans="1:11" x14ac:dyDescent="0.25">
      <c r="A3099" s="5" t="s">
        <v>6</v>
      </c>
      <c r="B3099" s="5" t="s">
        <v>15092</v>
      </c>
      <c r="C3099" s="1" t="s">
        <v>15093</v>
      </c>
      <c r="D3099" s="5" t="s">
        <v>18383</v>
      </c>
      <c r="E3099" s="32">
        <v>62</v>
      </c>
      <c r="F3099" s="27">
        <v>593.34</v>
      </c>
      <c r="G3099" s="32">
        <v>57</v>
      </c>
      <c r="H3099" s="27">
        <v>545.49</v>
      </c>
      <c r="I3099" s="27">
        <v>9.57</v>
      </c>
      <c r="J3099" s="27">
        <v>9.57</v>
      </c>
      <c r="K3099" s="29">
        <v>0</v>
      </c>
    </row>
    <row r="3100" spans="1:11" x14ac:dyDescent="0.25">
      <c r="A3100" s="5" t="s">
        <v>6</v>
      </c>
      <c r="B3100" s="5" t="s">
        <v>15095</v>
      </c>
      <c r="C3100" s="1" t="s">
        <v>13551</v>
      </c>
      <c r="D3100" s="5" t="s">
        <v>18149</v>
      </c>
      <c r="E3100" s="32">
        <v>75</v>
      </c>
      <c r="F3100" s="27">
        <v>34125</v>
      </c>
      <c r="I3100" s="27">
        <v>455</v>
      </c>
    </row>
    <row r="3101" spans="1:11" x14ac:dyDescent="0.25">
      <c r="A3101" s="5" t="s">
        <v>6</v>
      </c>
      <c r="B3101" s="5" t="s">
        <v>15103</v>
      </c>
      <c r="C3101" s="1" t="s">
        <v>15104</v>
      </c>
      <c r="D3101" s="5" t="s">
        <v>18384</v>
      </c>
      <c r="G3101" s="32">
        <v>2</v>
      </c>
      <c r="H3101" s="27">
        <v>60</v>
      </c>
      <c r="J3101" s="27">
        <v>30</v>
      </c>
    </row>
    <row r="3102" spans="1:11" x14ac:dyDescent="0.25">
      <c r="A3102" s="5" t="s">
        <v>6</v>
      </c>
      <c r="B3102" s="5" t="s">
        <v>15107</v>
      </c>
      <c r="C3102" s="1" t="s">
        <v>15108</v>
      </c>
      <c r="D3102" s="5" t="s">
        <v>18224</v>
      </c>
      <c r="E3102" s="32">
        <v>279</v>
      </c>
      <c r="F3102" s="27">
        <v>558</v>
      </c>
      <c r="G3102" s="32">
        <v>321</v>
      </c>
      <c r="H3102" s="27">
        <v>642</v>
      </c>
      <c r="I3102" s="27">
        <v>2</v>
      </c>
      <c r="J3102" s="27">
        <v>2</v>
      </c>
      <c r="K3102" s="29">
        <v>0</v>
      </c>
    </row>
    <row r="3103" spans="1:11" x14ac:dyDescent="0.25">
      <c r="A3103" s="5" t="s">
        <v>6</v>
      </c>
      <c r="B3103" s="5" t="s">
        <v>15112</v>
      </c>
      <c r="C3103" s="1" t="s">
        <v>15113</v>
      </c>
      <c r="D3103" s="5" t="s">
        <v>18385</v>
      </c>
      <c r="E3103" s="32">
        <v>42</v>
      </c>
      <c r="F3103" s="27">
        <v>139.44</v>
      </c>
      <c r="G3103" s="32">
        <v>65</v>
      </c>
      <c r="H3103" s="27">
        <v>215.8</v>
      </c>
      <c r="I3103" s="27">
        <v>3.32</v>
      </c>
      <c r="J3103" s="27">
        <v>3.3200000000000003</v>
      </c>
      <c r="K3103" s="29">
        <v>1.33761810195802E-16</v>
      </c>
    </row>
    <row r="3104" spans="1:11" x14ac:dyDescent="0.25">
      <c r="A3104" s="5" t="s">
        <v>6</v>
      </c>
      <c r="B3104" s="5" t="s">
        <v>15118</v>
      </c>
      <c r="C3104" s="1" t="s">
        <v>15119</v>
      </c>
      <c r="D3104" s="5" t="s">
        <v>18386</v>
      </c>
      <c r="E3104" s="32">
        <v>6</v>
      </c>
      <c r="F3104" s="27">
        <v>1290</v>
      </c>
      <c r="G3104" s="32">
        <v>19</v>
      </c>
      <c r="H3104" s="27">
        <v>4085</v>
      </c>
      <c r="I3104" s="27">
        <v>215</v>
      </c>
      <c r="J3104" s="27">
        <v>215</v>
      </c>
      <c r="K3104" s="29">
        <v>0</v>
      </c>
    </row>
    <row r="3105" spans="1:11" x14ac:dyDescent="0.25">
      <c r="A3105" s="5" t="s">
        <v>6</v>
      </c>
      <c r="B3105" s="5" t="s">
        <v>15128</v>
      </c>
      <c r="C3105" s="1" t="s">
        <v>15129</v>
      </c>
      <c r="D3105" s="5" t="s">
        <v>18265</v>
      </c>
      <c r="E3105" s="32">
        <v>14</v>
      </c>
      <c r="F3105" s="27">
        <v>420</v>
      </c>
      <c r="G3105" s="32">
        <v>19</v>
      </c>
      <c r="H3105" s="27">
        <v>570</v>
      </c>
      <c r="I3105" s="27">
        <v>30</v>
      </c>
      <c r="J3105" s="27">
        <v>30</v>
      </c>
      <c r="K3105" s="29">
        <v>0</v>
      </c>
    </row>
    <row r="3106" spans="1:11" x14ac:dyDescent="0.25">
      <c r="A3106" s="5" t="s">
        <v>6</v>
      </c>
      <c r="B3106" s="5" t="s">
        <v>15133</v>
      </c>
      <c r="C3106" s="1" t="s">
        <v>15134</v>
      </c>
      <c r="D3106" s="5" t="s">
        <v>18387</v>
      </c>
      <c r="E3106" s="32">
        <v>31</v>
      </c>
      <c r="F3106" s="27">
        <v>155</v>
      </c>
      <c r="G3106" s="32">
        <v>35</v>
      </c>
      <c r="H3106" s="27">
        <v>175</v>
      </c>
      <c r="I3106" s="27">
        <v>5</v>
      </c>
      <c r="J3106" s="27">
        <v>5</v>
      </c>
      <c r="K3106" s="29">
        <v>0</v>
      </c>
    </row>
    <row r="3107" spans="1:11" x14ac:dyDescent="0.25">
      <c r="A3107" s="5" t="s">
        <v>6</v>
      </c>
      <c r="B3107" s="5" t="s">
        <v>15135</v>
      </c>
      <c r="C3107" s="1" t="s">
        <v>15136</v>
      </c>
      <c r="D3107" s="5" t="s">
        <v>18263</v>
      </c>
      <c r="E3107" s="32">
        <v>6</v>
      </c>
      <c r="F3107" s="27">
        <v>146.63999999999999</v>
      </c>
      <c r="I3107" s="27">
        <v>24.439999999999998</v>
      </c>
    </row>
    <row r="3108" spans="1:11" x14ac:dyDescent="0.25">
      <c r="A3108" s="5" t="s">
        <v>6</v>
      </c>
      <c r="B3108" s="5" t="s">
        <v>15140</v>
      </c>
      <c r="C3108" s="1" t="s">
        <v>15141</v>
      </c>
      <c r="D3108" s="5" t="s">
        <v>17320</v>
      </c>
      <c r="E3108" s="32">
        <v>5</v>
      </c>
      <c r="F3108" s="27">
        <v>225</v>
      </c>
      <c r="G3108" s="32">
        <v>7</v>
      </c>
      <c r="H3108" s="27">
        <v>315</v>
      </c>
      <c r="I3108" s="27">
        <v>45</v>
      </c>
      <c r="J3108" s="27">
        <v>45</v>
      </c>
      <c r="K3108" s="29">
        <v>0</v>
      </c>
    </row>
    <row r="3109" spans="1:11" x14ac:dyDescent="0.25">
      <c r="A3109" s="5" t="s">
        <v>6</v>
      </c>
      <c r="B3109" s="5" t="s">
        <v>15150</v>
      </c>
      <c r="C3109" s="1" t="s">
        <v>15151</v>
      </c>
      <c r="D3109" s="5" t="s">
        <v>18388</v>
      </c>
      <c r="E3109" s="32">
        <v>5</v>
      </c>
      <c r="F3109" s="27">
        <v>625</v>
      </c>
      <c r="G3109" s="32">
        <v>4</v>
      </c>
      <c r="H3109" s="27">
        <v>500</v>
      </c>
      <c r="I3109" s="27">
        <v>125</v>
      </c>
      <c r="J3109" s="27">
        <v>125</v>
      </c>
      <c r="K3109" s="29">
        <v>0</v>
      </c>
    </row>
    <row r="3110" spans="1:11" x14ac:dyDescent="0.25">
      <c r="A3110" s="5" t="s">
        <v>6</v>
      </c>
      <c r="B3110" s="5" t="s">
        <v>15156</v>
      </c>
      <c r="C3110" s="1" t="s">
        <v>15157</v>
      </c>
      <c r="D3110" s="5" t="s">
        <v>18316</v>
      </c>
      <c r="E3110" s="32">
        <v>1</v>
      </c>
      <c r="F3110" s="27">
        <v>285</v>
      </c>
      <c r="I3110" s="27">
        <v>285</v>
      </c>
    </row>
    <row r="3111" spans="1:11" x14ac:dyDescent="0.25">
      <c r="A3111" s="5" t="s">
        <v>6</v>
      </c>
      <c r="B3111" s="5" t="s">
        <v>15163</v>
      </c>
      <c r="C3111" s="1" t="s">
        <v>15164</v>
      </c>
      <c r="D3111" s="5" t="s">
        <v>18312</v>
      </c>
      <c r="E3111" s="32">
        <v>4</v>
      </c>
      <c r="F3111" s="27">
        <v>40</v>
      </c>
      <c r="I3111" s="27">
        <v>10</v>
      </c>
    </row>
    <row r="3112" spans="1:11" x14ac:dyDescent="0.25">
      <c r="A3112" s="5" t="s">
        <v>6</v>
      </c>
      <c r="B3112" s="5" t="s">
        <v>15174</v>
      </c>
      <c r="C3112" s="1" t="s">
        <v>15175</v>
      </c>
      <c r="D3112" s="5" t="s">
        <v>18314</v>
      </c>
      <c r="E3112" s="32">
        <v>366</v>
      </c>
      <c r="F3112" s="27">
        <v>904.02</v>
      </c>
      <c r="G3112" s="32">
        <v>411</v>
      </c>
      <c r="H3112" s="27">
        <v>1015.17</v>
      </c>
      <c r="I3112" s="27">
        <v>2.4699999999999998</v>
      </c>
      <c r="J3112" s="27">
        <v>2.4699999999999998</v>
      </c>
      <c r="K3112" s="29">
        <v>0</v>
      </c>
    </row>
    <row r="3113" spans="1:11" x14ac:dyDescent="0.25">
      <c r="A3113" s="5" t="s">
        <v>6</v>
      </c>
      <c r="B3113" s="5" t="s">
        <v>15181</v>
      </c>
      <c r="C3113" s="1" t="s">
        <v>15182</v>
      </c>
      <c r="D3113" s="5" t="s">
        <v>18389</v>
      </c>
      <c r="E3113" s="32">
        <v>80</v>
      </c>
      <c r="F3113" s="27">
        <v>3200</v>
      </c>
      <c r="G3113" s="32">
        <v>132</v>
      </c>
      <c r="H3113" s="27">
        <v>5280</v>
      </c>
      <c r="I3113" s="27">
        <v>40</v>
      </c>
      <c r="J3113" s="27">
        <v>40</v>
      </c>
      <c r="K3113" s="29">
        <v>0</v>
      </c>
    </row>
    <row r="3114" spans="1:11" x14ac:dyDescent="0.25">
      <c r="A3114" s="5" t="s">
        <v>6</v>
      </c>
      <c r="B3114" s="5" t="s">
        <v>15184</v>
      </c>
      <c r="C3114" s="1" t="s">
        <v>15185</v>
      </c>
      <c r="D3114" s="5" t="s">
        <v>18166</v>
      </c>
      <c r="E3114" s="32">
        <v>39</v>
      </c>
      <c r="F3114" s="27">
        <v>317.85000000000002</v>
      </c>
      <c r="G3114" s="32">
        <v>33</v>
      </c>
      <c r="H3114" s="27">
        <v>268.95</v>
      </c>
      <c r="I3114" s="27">
        <v>8.15</v>
      </c>
      <c r="J3114" s="27">
        <v>8.15</v>
      </c>
      <c r="K3114" s="29">
        <v>0</v>
      </c>
    </row>
    <row r="3115" spans="1:11" x14ac:dyDescent="0.25">
      <c r="A3115" s="5" t="s">
        <v>6</v>
      </c>
      <c r="B3115" s="5" t="s">
        <v>15187</v>
      </c>
      <c r="C3115" s="1" t="s">
        <v>15188</v>
      </c>
      <c r="D3115" s="5" t="s">
        <v>18316</v>
      </c>
      <c r="E3115" s="32">
        <v>1</v>
      </c>
      <c r="F3115" s="27">
        <v>24.44</v>
      </c>
      <c r="I3115" s="27">
        <v>24.44</v>
      </c>
    </row>
    <row r="3116" spans="1:11" x14ac:dyDescent="0.25">
      <c r="A3116" s="5" t="s">
        <v>6</v>
      </c>
      <c r="B3116" s="5" t="s">
        <v>15191</v>
      </c>
      <c r="C3116" s="1" t="s">
        <v>15192</v>
      </c>
      <c r="D3116" s="5" t="s">
        <v>18390</v>
      </c>
      <c r="E3116" s="32">
        <v>14</v>
      </c>
      <c r="F3116" s="27">
        <v>1026.3399999999999</v>
      </c>
      <c r="G3116" s="32">
        <v>20</v>
      </c>
      <c r="H3116" s="27">
        <v>1466.2</v>
      </c>
      <c r="I3116" s="27">
        <v>73.309999999999988</v>
      </c>
      <c r="J3116" s="27">
        <v>73.31</v>
      </c>
      <c r="K3116" s="29">
        <v>1.9384606077209121E-16</v>
      </c>
    </row>
    <row r="3117" spans="1:11" x14ac:dyDescent="0.25">
      <c r="A3117" s="5" t="s">
        <v>6</v>
      </c>
      <c r="B3117" s="5" t="s">
        <v>15194</v>
      </c>
      <c r="C3117" s="1" t="s">
        <v>15195</v>
      </c>
      <c r="D3117" s="5" t="s">
        <v>18391</v>
      </c>
      <c r="E3117" s="32">
        <v>9</v>
      </c>
      <c r="F3117" s="27">
        <v>47.7</v>
      </c>
      <c r="I3117" s="27">
        <v>5.3000000000000007</v>
      </c>
    </row>
    <row r="3118" spans="1:11" x14ac:dyDescent="0.25">
      <c r="A3118" s="5" t="s">
        <v>6</v>
      </c>
      <c r="B3118" s="5" t="s">
        <v>15200</v>
      </c>
      <c r="C3118" s="1" t="s">
        <v>15201</v>
      </c>
      <c r="D3118" s="5" t="s">
        <v>18392</v>
      </c>
      <c r="E3118" s="32">
        <v>6</v>
      </c>
      <c r="F3118" s="27">
        <v>66</v>
      </c>
      <c r="G3118" s="32">
        <v>12</v>
      </c>
      <c r="H3118" s="27">
        <v>132</v>
      </c>
      <c r="I3118" s="27">
        <v>11</v>
      </c>
      <c r="J3118" s="27">
        <v>11</v>
      </c>
      <c r="K3118" s="29">
        <v>0</v>
      </c>
    </row>
    <row r="3119" spans="1:11" x14ac:dyDescent="0.25">
      <c r="A3119" s="5" t="s">
        <v>6</v>
      </c>
      <c r="B3119" s="5" t="s">
        <v>15202</v>
      </c>
      <c r="C3119" s="1" t="s">
        <v>15203</v>
      </c>
      <c r="D3119" s="5" t="s">
        <v>18393</v>
      </c>
      <c r="E3119" s="32">
        <v>7</v>
      </c>
      <c r="F3119" s="27">
        <v>70</v>
      </c>
      <c r="G3119" s="32">
        <v>12</v>
      </c>
      <c r="H3119" s="27">
        <v>120</v>
      </c>
      <c r="I3119" s="27">
        <v>10</v>
      </c>
      <c r="J3119" s="27">
        <v>10</v>
      </c>
      <c r="K3119" s="29">
        <v>0</v>
      </c>
    </row>
    <row r="3120" spans="1:11" x14ac:dyDescent="0.25">
      <c r="A3120" s="5" t="s">
        <v>6</v>
      </c>
      <c r="B3120" s="5" t="s">
        <v>15206</v>
      </c>
      <c r="C3120" s="1" t="s">
        <v>15207</v>
      </c>
      <c r="D3120" s="5" t="s">
        <v>18345</v>
      </c>
      <c r="E3120" s="32">
        <v>43</v>
      </c>
      <c r="F3120" s="27">
        <v>774</v>
      </c>
      <c r="G3120" s="32">
        <v>43</v>
      </c>
      <c r="H3120" s="27">
        <v>774</v>
      </c>
      <c r="I3120" s="27">
        <v>18</v>
      </c>
      <c r="J3120" s="27">
        <v>18</v>
      </c>
      <c r="K3120" s="29">
        <v>0</v>
      </c>
    </row>
    <row r="3121" spans="1:11" x14ac:dyDescent="0.25">
      <c r="A3121" s="5" t="s">
        <v>6</v>
      </c>
      <c r="B3121" s="5" t="s">
        <v>15214</v>
      </c>
      <c r="C3121" s="1" t="s">
        <v>15215</v>
      </c>
      <c r="D3121" s="5" t="s">
        <v>18394</v>
      </c>
      <c r="E3121" s="32">
        <v>25</v>
      </c>
      <c r="F3121" s="27">
        <v>1500</v>
      </c>
      <c r="I3121" s="27">
        <v>60</v>
      </c>
    </row>
    <row r="3122" spans="1:11" x14ac:dyDescent="0.25">
      <c r="A3122" s="5" t="s">
        <v>6</v>
      </c>
      <c r="B3122" s="5" t="s">
        <v>15216</v>
      </c>
      <c r="C3122" s="1" t="s">
        <v>15217</v>
      </c>
      <c r="D3122" s="5" t="s">
        <v>18395</v>
      </c>
      <c r="E3122" s="32">
        <v>20</v>
      </c>
      <c r="F3122" s="27">
        <v>908</v>
      </c>
      <c r="I3122" s="27">
        <v>45.4</v>
      </c>
    </row>
    <row r="3123" spans="1:11" x14ac:dyDescent="0.25">
      <c r="A3123" s="5" t="s">
        <v>6</v>
      </c>
      <c r="B3123" s="5" t="s">
        <v>15222</v>
      </c>
      <c r="C3123" s="1" t="s">
        <v>15223</v>
      </c>
      <c r="D3123" s="5" t="s">
        <v>18330</v>
      </c>
      <c r="G3123" s="32">
        <v>4</v>
      </c>
      <c r="H3123" s="27">
        <v>88.68</v>
      </c>
      <c r="J3123" s="27">
        <v>22.17</v>
      </c>
    </row>
    <row r="3124" spans="1:11" x14ac:dyDescent="0.25">
      <c r="A3124" s="5" t="s">
        <v>6</v>
      </c>
      <c r="B3124" s="5" t="s">
        <v>15224</v>
      </c>
      <c r="C3124" s="1" t="s">
        <v>15225</v>
      </c>
      <c r="D3124" s="5" t="s">
        <v>18396</v>
      </c>
      <c r="E3124" s="32">
        <v>3</v>
      </c>
      <c r="F3124" s="27">
        <v>178.5</v>
      </c>
      <c r="G3124" s="32">
        <v>20</v>
      </c>
      <c r="H3124" s="27">
        <v>1190</v>
      </c>
      <c r="I3124" s="27">
        <v>59.5</v>
      </c>
      <c r="J3124" s="27">
        <v>59.5</v>
      </c>
      <c r="K3124" s="29">
        <v>0</v>
      </c>
    </row>
    <row r="3125" spans="1:11" x14ac:dyDescent="0.25">
      <c r="A3125" s="5" t="s">
        <v>6</v>
      </c>
      <c r="B3125" s="5" t="s">
        <v>15232</v>
      </c>
      <c r="C3125" s="1" t="s">
        <v>15233</v>
      </c>
      <c r="D3125" s="5" t="s">
        <v>18382</v>
      </c>
      <c r="E3125" s="32">
        <v>1</v>
      </c>
      <c r="F3125" s="27">
        <v>40.5</v>
      </c>
      <c r="I3125" s="27">
        <v>40.5</v>
      </c>
    </row>
    <row r="3126" spans="1:11" x14ac:dyDescent="0.25">
      <c r="A3126" s="5" t="s">
        <v>6</v>
      </c>
      <c r="B3126" s="5" t="s">
        <v>15238</v>
      </c>
      <c r="C3126" s="1" t="s">
        <v>15239</v>
      </c>
      <c r="D3126" s="5" t="s">
        <v>18383</v>
      </c>
      <c r="E3126" s="32">
        <v>12</v>
      </c>
      <c r="F3126" s="27">
        <v>147</v>
      </c>
      <c r="I3126" s="27">
        <v>12.25</v>
      </c>
    </row>
    <row r="3127" spans="1:11" x14ac:dyDescent="0.25">
      <c r="A3127" s="5" t="s">
        <v>6</v>
      </c>
      <c r="B3127" s="5" t="s">
        <v>18397</v>
      </c>
      <c r="C3127" s="1" t="s">
        <v>18148</v>
      </c>
      <c r="E3127" s="32">
        <v>13</v>
      </c>
      <c r="F3127" s="27">
        <v>1102.67</v>
      </c>
      <c r="I3127" s="27">
        <v>84.82076923076923</v>
      </c>
    </row>
    <row r="3128" spans="1:11" x14ac:dyDescent="0.25">
      <c r="A3128" s="5" t="s">
        <v>6</v>
      </c>
      <c r="B3128" s="5" t="s">
        <v>15248</v>
      </c>
      <c r="C3128" s="1" t="s">
        <v>15249</v>
      </c>
      <c r="D3128" s="5" t="s">
        <v>18398</v>
      </c>
      <c r="E3128" s="32">
        <v>2</v>
      </c>
      <c r="F3128" s="27">
        <v>37.5</v>
      </c>
      <c r="G3128" s="32">
        <v>3</v>
      </c>
      <c r="H3128" s="27">
        <v>56.25</v>
      </c>
      <c r="I3128" s="27">
        <v>18.75</v>
      </c>
      <c r="J3128" s="27">
        <v>18.75</v>
      </c>
      <c r="K3128" s="29">
        <v>0</v>
      </c>
    </row>
    <row r="3129" spans="1:11" x14ac:dyDescent="0.25">
      <c r="A3129" s="5" t="s">
        <v>6</v>
      </c>
      <c r="B3129" s="5" t="s">
        <v>15251</v>
      </c>
      <c r="C3129" s="1" t="s">
        <v>15252</v>
      </c>
      <c r="D3129" s="5" t="s">
        <v>18399</v>
      </c>
      <c r="E3129" s="32">
        <v>14</v>
      </c>
      <c r="F3129" s="27">
        <v>700</v>
      </c>
      <c r="G3129" s="32">
        <v>19</v>
      </c>
      <c r="H3129" s="27">
        <v>950</v>
      </c>
      <c r="I3129" s="27">
        <v>50</v>
      </c>
      <c r="J3129" s="27">
        <v>50</v>
      </c>
      <c r="K3129" s="29">
        <v>0</v>
      </c>
    </row>
    <row r="3130" spans="1:11" x14ac:dyDescent="0.25">
      <c r="A3130" s="5" t="s">
        <v>6</v>
      </c>
      <c r="B3130" s="5" t="s">
        <v>15254</v>
      </c>
      <c r="C3130" s="1" t="s">
        <v>15255</v>
      </c>
      <c r="D3130" s="5" t="s">
        <v>18400</v>
      </c>
      <c r="E3130" s="32">
        <v>14</v>
      </c>
      <c r="F3130" s="27">
        <v>700</v>
      </c>
      <c r="G3130" s="32">
        <v>19</v>
      </c>
      <c r="H3130" s="27">
        <v>950</v>
      </c>
      <c r="I3130" s="27">
        <v>50</v>
      </c>
      <c r="J3130" s="27">
        <v>50</v>
      </c>
      <c r="K3130" s="29">
        <v>0</v>
      </c>
    </row>
    <row r="3131" spans="1:11" x14ac:dyDescent="0.25">
      <c r="A3131" s="5" t="s">
        <v>6</v>
      </c>
      <c r="B3131" s="5" t="s">
        <v>15257</v>
      </c>
      <c r="C3131" s="1" t="s">
        <v>15258</v>
      </c>
      <c r="D3131" s="5" t="s">
        <v>18401</v>
      </c>
      <c r="E3131" s="32">
        <v>79</v>
      </c>
      <c r="F3131" s="27">
        <v>2708.12</v>
      </c>
      <c r="G3131" s="32">
        <v>53</v>
      </c>
      <c r="H3131" s="27">
        <v>1816.84</v>
      </c>
      <c r="I3131" s="27">
        <v>34.28</v>
      </c>
      <c r="J3131" s="27">
        <v>34.28</v>
      </c>
      <c r="K3131" s="29">
        <v>0</v>
      </c>
    </row>
    <row r="3132" spans="1:11" x14ac:dyDescent="0.25">
      <c r="A3132" s="5" t="s">
        <v>6</v>
      </c>
      <c r="B3132" s="5" t="s">
        <v>15260</v>
      </c>
      <c r="C3132" s="1" t="s">
        <v>15261</v>
      </c>
      <c r="D3132" s="5" t="s">
        <v>18402</v>
      </c>
      <c r="E3132" s="32">
        <v>74</v>
      </c>
      <c r="F3132" s="27">
        <v>6512</v>
      </c>
      <c r="G3132" s="32">
        <v>46</v>
      </c>
      <c r="H3132" s="27">
        <v>4048</v>
      </c>
      <c r="I3132" s="27">
        <v>88</v>
      </c>
      <c r="J3132" s="27">
        <v>88</v>
      </c>
      <c r="K3132" s="29">
        <v>0</v>
      </c>
    </row>
    <row r="3133" spans="1:11" x14ac:dyDescent="0.25">
      <c r="A3133" s="5" t="s">
        <v>6</v>
      </c>
      <c r="B3133" s="5" t="s">
        <v>15263</v>
      </c>
      <c r="C3133" s="1" t="s">
        <v>15264</v>
      </c>
      <c r="D3133" s="5" t="s">
        <v>18403</v>
      </c>
      <c r="E3133" s="32">
        <v>4</v>
      </c>
      <c r="F3133" s="27">
        <v>1140.32</v>
      </c>
      <c r="G3133" s="32">
        <v>14</v>
      </c>
      <c r="H3133" s="27">
        <v>3991.12</v>
      </c>
      <c r="I3133" s="27">
        <v>285.08</v>
      </c>
      <c r="J3133" s="27">
        <v>285.08</v>
      </c>
      <c r="K3133" s="29">
        <v>0</v>
      </c>
    </row>
    <row r="3134" spans="1:11" x14ac:dyDescent="0.25">
      <c r="A3134" s="5" t="s">
        <v>6</v>
      </c>
      <c r="B3134" s="5" t="s">
        <v>15266</v>
      </c>
      <c r="C3134" s="1" t="s">
        <v>15267</v>
      </c>
      <c r="D3134" s="5" t="s">
        <v>18404</v>
      </c>
      <c r="E3134" s="32">
        <v>2</v>
      </c>
      <c r="F3134" s="27">
        <v>110</v>
      </c>
      <c r="I3134" s="27">
        <v>55</v>
      </c>
    </row>
    <row r="3135" spans="1:11" x14ac:dyDescent="0.25">
      <c r="A3135" s="5" t="s">
        <v>6</v>
      </c>
      <c r="B3135" s="5" t="s">
        <v>15269</v>
      </c>
      <c r="C3135" s="1" t="s">
        <v>15270</v>
      </c>
      <c r="D3135" s="5" t="s">
        <v>18405</v>
      </c>
      <c r="E3135" s="32">
        <v>6</v>
      </c>
      <c r="F3135" s="27">
        <v>366.54</v>
      </c>
      <c r="I3135" s="27">
        <v>61.09</v>
      </c>
    </row>
    <row r="3136" spans="1:11" x14ac:dyDescent="0.25">
      <c r="A3136" s="5" t="s">
        <v>6</v>
      </c>
      <c r="B3136" s="5" t="s">
        <v>15272</v>
      </c>
      <c r="C3136" s="1" t="s">
        <v>15273</v>
      </c>
      <c r="D3136" s="5" t="s">
        <v>18406</v>
      </c>
      <c r="E3136" s="32">
        <v>16</v>
      </c>
      <c r="F3136" s="27">
        <v>3232</v>
      </c>
      <c r="G3136" s="32">
        <v>20</v>
      </c>
      <c r="H3136" s="27">
        <v>4040</v>
      </c>
      <c r="I3136" s="27">
        <v>202</v>
      </c>
      <c r="J3136" s="27">
        <v>202</v>
      </c>
      <c r="K3136" s="29">
        <v>0</v>
      </c>
    </row>
    <row r="3137" spans="1:11" x14ac:dyDescent="0.25">
      <c r="A3137" s="5" t="s">
        <v>6</v>
      </c>
      <c r="B3137" s="5" t="s">
        <v>15276</v>
      </c>
      <c r="C3137" s="1" t="s">
        <v>15277</v>
      </c>
      <c r="D3137" s="5" t="s">
        <v>18407</v>
      </c>
      <c r="E3137" s="32">
        <v>2</v>
      </c>
      <c r="F3137" s="27">
        <v>9.1999999999999993</v>
      </c>
      <c r="G3137" s="32">
        <v>7</v>
      </c>
      <c r="H3137" s="27">
        <v>32.200000000000003</v>
      </c>
      <c r="I3137" s="27">
        <v>4.5999999999999996</v>
      </c>
      <c r="J3137" s="27">
        <v>4.6000000000000005</v>
      </c>
      <c r="K3137" s="29">
        <v>1.9308226515220116E-16</v>
      </c>
    </row>
    <row r="3138" spans="1:11" x14ac:dyDescent="0.25">
      <c r="A3138" s="5" t="s">
        <v>6</v>
      </c>
      <c r="B3138" s="5" t="s">
        <v>15279</v>
      </c>
      <c r="C3138" s="1" t="s">
        <v>15280</v>
      </c>
      <c r="D3138" s="5" t="s">
        <v>18392</v>
      </c>
      <c r="E3138" s="32">
        <v>1</v>
      </c>
      <c r="F3138" s="27">
        <v>8.15</v>
      </c>
      <c r="G3138" s="32">
        <v>5</v>
      </c>
      <c r="H3138" s="27">
        <v>40.75</v>
      </c>
      <c r="I3138" s="27">
        <v>8.15</v>
      </c>
      <c r="J3138" s="27">
        <v>8.15</v>
      </c>
      <c r="K3138" s="29">
        <v>0</v>
      </c>
    </row>
    <row r="3139" spans="1:11" x14ac:dyDescent="0.25">
      <c r="A3139" s="5" t="s">
        <v>6</v>
      </c>
      <c r="B3139" s="5" t="s">
        <v>15281</v>
      </c>
      <c r="C3139" s="1" t="s">
        <v>14343</v>
      </c>
      <c r="D3139" s="5" t="s">
        <v>18172</v>
      </c>
      <c r="G3139" s="32">
        <v>1</v>
      </c>
      <c r="H3139" s="27">
        <v>7.93</v>
      </c>
      <c r="J3139" s="27">
        <v>7.93</v>
      </c>
    </row>
    <row r="3140" spans="1:11" x14ac:dyDescent="0.25">
      <c r="A3140" s="5" t="s">
        <v>6</v>
      </c>
      <c r="B3140" s="5" t="s">
        <v>15282</v>
      </c>
      <c r="C3140" s="1" t="s">
        <v>14789</v>
      </c>
      <c r="D3140" s="5" t="s">
        <v>18333</v>
      </c>
      <c r="G3140" s="32">
        <v>1</v>
      </c>
      <c r="H3140" s="27">
        <v>13.03</v>
      </c>
      <c r="J3140" s="27">
        <v>13.03</v>
      </c>
    </row>
    <row r="3141" spans="1:11" x14ac:dyDescent="0.25">
      <c r="A3141" s="5" t="s">
        <v>6</v>
      </c>
      <c r="B3141" s="5" t="s">
        <v>15283</v>
      </c>
      <c r="C3141" s="1" t="s">
        <v>15284</v>
      </c>
      <c r="D3141" s="5" t="s">
        <v>18408</v>
      </c>
      <c r="G3141" s="32">
        <v>1</v>
      </c>
      <c r="H3141" s="27">
        <v>203.63</v>
      </c>
      <c r="J3141" s="27">
        <v>203.63</v>
      </c>
    </row>
    <row r="3142" spans="1:11" x14ac:dyDescent="0.25">
      <c r="A3142" s="5" t="s">
        <v>6</v>
      </c>
      <c r="B3142" s="5" t="s">
        <v>15311</v>
      </c>
      <c r="C3142" s="1" t="s">
        <v>15312</v>
      </c>
      <c r="D3142" s="5" t="s">
        <v>18409</v>
      </c>
      <c r="E3142" s="32">
        <v>1</v>
      </c>
      <c r="F3142" s="27">
        <v>410</v>
      </c>
      <c r="I3142" s="27">
        <v>410</v>
      </c>
    </row>
    <row r="3143" spans="1:11" x14ac:dyDescent="0.25">
      <c r="A3143" s="5" t="s">
        <v>6</v>
      </c>
      <c r="B3143" s="5" t="s">
        <v>15319</v>
      </c>
      <c r="C3143" s="1" t="s">
        <v>15320</v>
      </c>
      <c r="D3143" s="5" t="s">
        <v>18410</v>
      </c>
      <c r="E3143" s="32">
        <v>1</v>
      </c>
      <c r="F3143" s="27">
        <v>258</v>
      </c>
      <c r="I3143" s="27">
        <v>258</v>
      </c>
    </row>
    <row r="3144" spans="1:11" x14ac:dyDescent="0.25">
      <c r="A3144" s="5" t="s">
        <v>6</v>
      </c>
      <c r="B3144" s="5" t="s">
        <v>15322</v>
      </c>
      <c r="C3144" s="1" t="s">
        <v>15323</v>
      </c>
      <c r="D3144" s="5" t="s">
        <v>18411</v>
      </c>
      <c r="E3144" s="32">
        <v>1</v>
      </c>
      <c r="F3144" s="27">
        <v>360</v>
      </c>
      <c r="I3144" s="27">
        <v>360</v>
      </c>
    </row>
    <row r="3145" spans="1:11" x14ac:dyDescent="0.25">
      <c r="A3145" s="5" t="s">
        <v>6</v>
      </c>
      <c r="B3145" s="5" t="s">
        <v>15334</v>
      </c>
      <c r="C3145" s="1" t="s">
        <v>15335</v>
      </c>
      <c r="D3145" s="5" t="s">
        <v>18412</v>
      </c>
      <c r="E3145" s="32">
        <v>2</v>
      </c>
      <c r="F3145" s="27">
        <v>500</v>
      </c>
      <c r="I3145" s="27">
        <v>250</v>
      </c>
    </row>
    <row r="3146" spans="1:11" x14ac:dyDescent="0.25">
      <c r="A3146" s="5" t="s">
        <v>6</v>
      </c>
      <c r="B3146" s="5" t="s">
        <v>15337</v>
      </c>
      <c r="C3146" s="1" t="s">
        <v>15338</v>
      </c>
      <c r="D3146" s="5" t="s">
        <v>18413</v>
      </c>
      <c r="E3146" s="32">
        <v>2</v>
      </c>
      <c r="F3146" s="27">
        <v>500</v>
      </c>
      <c r="I3146" s="27">
        <v>250</v>
      </c>
    </row>
    <row r="3147" spans="1:11" x14ac:dyDescent="0.25">
      <c r="A3147" s="5" t="s">
        <v>6</v>
      </c>
      <c r="B3147" s="5" t="s">
        <v>15344</v>
      </c>
      <c r="C3147" s="1" t="s">
        <v>13857</v>
      </c>
      <c r="D3147" s="5" t="s">
        <v>18182</v>
      </c>
      <c r="E3147" s="32">
        <v>3</v>
      </c>
      <c r="F3147" s="27">
        <v>6120</v>
      </c>
      <c r="G3147" s="32">
        <v>4</v>
      </c>
      <c r="H3147" s="27">
        <v>8160</v>
      </c>
      <c r="I3147" s="27">
        <v>2040</v>
      </c>
      <c r="J3147" s="27">
        <v>2040</v>
      </c>
      <c r="K3147" s="29">
        <v>0</v>
      </c>
    </row>
    <row r="3148" spans="1:11" x14ac:dyDescent="0.25">
      <c r="A3148" s="5" t="s">
        <v>6</v>
      </c>
      <c r="B3148" s="5" t="s">
        <v>15345</v>
      </c>
      <c r="C3148" s="1" t="s">
        <v>15346</v>
      </c>
      <c r="D3148" s="5" t="s">
        <v>18414</v>
      </c>
      <c r="E3148" s="32">
        <v>10</v>
      </c>
      <c r="F3148" s="27">
        <v>14630</v>
      </c>
      <c r="G3148" s="32">
        <v>19</v>
      </c>
      <c r="H3148" s="27">
        <v>27797</v>
      </c>
      <c r="I3148" s="27">
        <v>1463</v>
      </c>
      <c r="J3148" s="27">
        <v>1463</v>
      </c>
      <c r="K3148" s="29">
        <v>0</v>
      </c>
    </row>
    <row r="3149" spans="1:11" x14ac:dyDescent="0.25">
      <c r="A3149" s="5" t="s">
        <v>6</v>
      </c>
      <c r="B3149" s="5" t="s">
        <v>15351</v>
      </c>
      <c r="C3149" s="1" t="s">
        <v>3291</v>
      </c>
      <c r="D3149" s="5" t="s">
        <v>18154</v>
      </c>
      <c r="E3149" s="32">
        <v>2</v>
      </c>
      <c r="F3149" s="27">
        <v>280</v>
      </c>
      <c r="I3149" s="27">
        <v>140</v>
      </c>
    </row>
    <row r="3150" spans="1:11" x14ac:dyDescent="0.25">
      <c r="A3150" s="5" t="s">
        <v>6</v>
      </c>
      <c r="B3150" s="5" t="s">
        <v>15361</v>
      </c>
      <c r="C3150" s="1" t="s">
        <v>13672</v>
      </c>
      <c r="D3150" s="5" t="s">
        <v>18164</v>
      </c>
      <c r="E3150" s="32">
        <v>3</v>
      </c>
      <c r="F3150" s="27">
        <v>273</v>
      </c>
      <c r="I3150" s="27">
        <v>91</v>
      </c>
    </row>
    <row r="3151" spans="1:11" x14ac:dyDescent="0.25">
      <c r="A3151" s="5" t="s">
        <v>6</v>
      </c>
      <c r="B3151" s="5" t="s">
        <v>15362</v>
      </c>
      <c r="C3151" s="1" t="s">
        <v>13619</v>
      </c>
      <c r="D3151" s="5" t="s">
        <v>18415</v>
      </c>
      <c r="E3151" s="32">
        <v>943</v>
      </c>
      <c r="F3151" s="27">
        <v>14107.28</v>
      </c>
      <c r="G3151" s="32">
        <v>1863</v>
      </c>
      <c r="H3151" s="27">
        <v>27870.48</v>
      </c>
      <c r="I3151" s="27">
        <v>14.96</v>
      </c>
      <c r="J3151" s="27">
        <v>14.959999999999999</v>
      </c>
      <c r="K3151" s="29">
        <v>-1.1874043044119319E-16</v>
      </c>
    </row>
    <row r="3152" spans="1:11" x14ac:dyDescent="0.25">
      <c r="A3152" s="5" t="s">
        <v>6</v>
      </c>
      <c r="B3152" s="5" t="s">
        <v>15378</v>
      </c>
      <c r="C3152" s="1" t="s">
        <v>13622</v>
      </c>
      <c r="D3152" s="5" t="s">
        <v>18416</v>
      </c>
      <c r="E3152" s="32">
        <v>25</v>
      </c>
      <c r="F3152" s="27">
        <v>8250</v>
      </c>
      <c r="G3152" s="32">
        <v>43</v>
      </c>
      <c r="H3152" s="27">
        <v>14190</v>
      </c>
      <c r="I3152" s="27">
        <v>330</v>
      </c>
      <c r="J3152" s="27">
        <v>330</v>
      </c>
      <c r="K3152" s="29">
        <v>0</v>
      </c>
    </row>
    <row r="3153" spans="1:11" x14ac:dyDescent="0.25">
      <c r="A3153" s="5" t="s">
        <v>6</v>
      </c>
      <c r="B3153" s="5" t="s">
        <v>15388</v>
      </c>
      <c r="C3153" s="1" t="s">
        <v>13574</v>
      </c>
      <c r="D3153" s="5" t="s">
        <v>18144</v>
      </c>
      <c r="E3153" s="32">
        <v>13</v>
      </c>
      <c r="F3153" s="27">
        <v>585</v>
      </c>
      <c r="G3153" s="32">
        <v>25</v>
      </c>
      <c r="H3153" s="27">
        <v>1125</v>
      </c>
      <c r="I3153" s="27">
        <v>45</v>
      </c>
      <c r="J3153" s="27">
        <v>45</v>
      </c>
      <c r="K3153" s="29">
        <v>0</v>
      </c>
    </row>
    <row r="3154" spans="1:11" x14ac:dyDescent="0.25">
      <c r="A3154" s="5" t="s">
        <v>6</v>
      </c>
      <c r="B3154" s="5" t="s">
        <v>15393</v>
      </c>
      <c r="C3154" s="1" t="s">
        <v>13578</v>
      </c>
      <c r="D3154" s="5" t="s">
        <v>18145</v>
      </c>
      <c r="E3154" s="32">
        <v>510</v>
      </c>
      <c r="F3154" s="27">
        <v>22950</v>
      </c>
      <c r="G3154" s="32">
        <v>690</v>
      </c>
      <c r="H3154" s="27">
        <v>31050</v>
      </c>
      <c r="I3154" s="27">
        <v>45</v>
      </c>
      <c r="J3154" s="27">
        <v>45</v>
      </c>
      <c r="K3154" s="29">
        <v>0</v>
      </c>
    </row>
    <row r="3155" spans="1:11" x14ac:dyDescent="0.25">
      <c r="A3155" s="5" t="s">
        <v>6</v>
      </c>
      <c r="B3155" s="5" t="s">
        <v>15394</v>
      </c>
      <c r="C3155" s="1" t="s">
        <v>3325</v>
      </c>
      <c r="D3155" s="5" t="s">
        <v>17434</v>
      </c>
      <c r="E3155" s="32">
        <v>101</v>
      </c>
      <c r="F3155" s="27">
        <v>4545</v>
      </c>
      <c r="G3155" s="32">
        <v>174</v>
      </c>
      <c r="H3155" s="27">
        <v>7830</v>
      </c>
      <c r="I3155" s="27">
        <v>45</v>
      </c>
      <c r="J3155" s="27">
        <v>45</v>
      </c>
      <c r="K3155" s="29">
        <v>0</v>
      </c>
    </row>
    <row r="3156" spans="1:11" x14ac:dyDescent="0.25">
      <c r="A3156" s="5" t="s">
        <v>6</v>
      </c>
      <c r="B3156" s="5" t="s">
        <v>15396</v>
      </c>
      <c r="C3156" s="1" t="s">
        <v>13563</v>
      </c>
      <c r="D3156" s="5" t="s">
        <v>18157</v>
      </c>
      <c r="E3156" s="32">
        <v>26</v>
      </c>
      <c r="F3156" s="27">
        <v>3770</v>
      </c>
      <c r="G3156" s="32">
        <v>50</v>
      </c>
      <c r="H3156" s="27">
        <v>7250</v>
      </c>
      <c r="I3156" s="27">
        <v>145</v>
      </c>
      <c r="J3156" s="27">
        <v>145</v>
      </c>
      <c r="K3156" s="29">
        <v>0</v>
      </c>
    </row>
    <row r="3157" spans="1:11" x14ac:dyDescent="0.25">
      <c r="A3157" s="5" t="s">
        <v>6</v>
      </c>
      <c r="B3157" s="5" t="s">
        <v>15397</v>
      </c>
      <c r="C3157" s="1" t="s">
        <v>13627</v>
      </c>
      <c r="D3157" s="5" t="s">
        <v>18417</v>
      </c>
      <c r="E3157" s="32">
        <v>29</v>
      </c>
      <c r="F3157" s="27">
        <v>2262</v>
      </c>
      <c r="G3157" s="32">
        <v>34</v>
      </c>
      <c r="H3157" s="27">
        <v>2652</v>
      </c>
      <c r="I3157" s="27">
        <v>78</v>
      </c>
      <c r="J3157" s="27">
        <v>78</v>
      </c>
      <c r="K3157" s="29">
        <v>0</v>
      </c>
    </row>
    <row r="3158" spans="1:11" x14ac:dyDescent="0.25">
      <c r="A3158" s="5" t="s">
        <v>6</v>
      </c>
      <c r="B3158" s="5" t="s">
        <v>15398</v>
      </c>
      <c r="C3158" s="1" t="s">
        <v>13630</v>
      </c>
      <c r="D3158" s="5" t="s">
        <v>18158</v>
      </c>
      <c r="E3158" s="32">
        <v>31</v>
      </c>
      <c r="F3158" s="27">
        <v>3410</v>
      </c>
      <c r="G3158" s="32">
        <v>53</v>
      </c>
      <c r="H3158" s="27">
        <v>5830</v>
      </c>
      <c r="I3158" s="27">
        <v>110</v>
      </c>
      <c r="J3158" s="27">
        <v>110</v>
      </c>
      <c r="K3158" s="29">
        <v>0</v>
      </c>
    </row>
    <row r="3159" spans="1:11" x14ac:dyDescent="0.25">
      <c r="A3159" s="5" t="s">
        <v>6</v>
      </c>
      <c r="B3159" s="5" t="s">
        <v>15399</v>
      </c>
      <c r="C3159" s="1" t="s">
        <v>13581</v>
      </c>
      <c r="D3159" s="5" t="s">
        <v>18159</v>
      </c>
      <c r="E3159" s="32">
        <v>35</v>
      </c>
      <c r="F3159" s="27">
        <v>3850</v>
      </c>
      <c r="G3159" s="32">
        <v>59</v>
      </c>
      <c r="H3159" s="27">
        <v>6490</v>
      </c>
      <c r="I3159" s="27">
        <v>110</v>
      </c>
      <c r="J3159" s="27">
        <v>110</v>
      </c>
      <c r="K3159" s="29">
        <v>0</v>
      </c>
    </row>
    <row r="3160" spans="1:11" x14ac:dyDescent="0.25">
      <c r="A3160" s="5" t="s">
        <v>6</v>
      </c>
      <c r="B3160" s="5" t="s">
        <v>15412</v>
      </c>
      <c r="C3160" s="1" t="s">
        <v>13634</v>
      </c>
      <c r="D3160" s="5" t="s">
        <v>18418</v>
      </c>
      <c r="E3160" s="32">
        <v>89</v>
      </c>
      <c r="F3160" s="27">
        <v>21894</v>
      </c>
      <c r="G3160" s="32">
        <v>200</v>
      </c>
      <c r="H3160" s="27">
        <v>49200</v>
      </c>
      <c r="I3160" s="27">
        <v>246</v>
      </c>
      <c r="J3160" s="27">
        <v>246</v>
      </c>
      <c r="K3160" s="29">
        <v>0</v>
      </c>
    </row>
    <row r="3161" spans="1:11" x14ac:dyDescent="0.25">
      <c r="A3161" s="5" t="s">
        <v>6</v>
      </c>
      <c r="B3161" s="5" t="s">
        <v>15413</v>
      </c>
      <c r="C3161" s="1" t="s">
        <v>13637</v>
      </c>
      <c r="D3161" s="5" t="s">
        <v>18419</v>
      </c>
      <c r="E3161" s="32">
        <v>54</v>
      </c>
      <c r="F3161" s="27">
        <v>13284</v>
      </c>
      <c r="G3161" s="32">
        <v>70</v>
      </c>
      <c r="H3161" s="27">
        <v>17220</v>
      </c>
      <c r="I3161" s="27">
        <v>246</v>
      </c>
      <c r="J3161" s="27">
        <v>246</v>
      </c>
      <c r="K3161" s="29">
        <v>0</v>
      </c>
    </row>
    <row r="3162" spans="1:11" x14ac:dyDescent="0.25">
      <c r="A3162" s="5" t="s">
        <v>6</v>
      </c>
      <c r="B3162" s="5" t="s">
        <v>15414</v>
      </c>
      <c r="C3162" s="1" t="s">
        <v>13619</v>
      </c>
      <c r="D3162" s="5" t="s">
        <v>18415</v>
      </c>
      <c r="E3162" s="32">
        <v>27</v>
      </c>
      <c r="F3162" s="27">
        <v>1031.94</v>
      </c>
      <c r="G3162" s="32">
        <v>45</v>
      </c>
      <c r="H3162" s="27">
        <v>1719.9</v>
      </c>
      <c r="I3162" s="27">
        <v>38.22</v>
      </c>
      <c r="J3162" s="27">
        <v>38.22</v>
      </c>
      <c r="K3162" s="29">
        <v>0</v>
      </c>
    </row>
    <row r="3163" spans="1:11" x14ac:dyDescent="0.25">
      <c r="A3163" s="5" t="s">
        <v>6</v>
      </c>
      <c r="B3163" s="5" t="s">
        <v>15415</v>
      </c>
      <c r="C3163" s="1" t="s">
        <v>13619</v>
      </c>
      <c r="D3163" s="5" t="s">
        <v>18415</v>
      </c>
      <c r="E3163" s="32">
        <v>43</v>
      </c>
      <c r="F3163" s="27">
        <v>641</v>
      </c>
      <c r="G3163" s="32">
        <v>83</v>
      </c>
      <c r="H3163" s="27">
        <v>913</v>
      </c>
      <c r="I3163" s="27">
        <v>14.906976744186046</v>
      </c>
      <c r="J3163" s="27">
        <v>11</v>
      </c>
      <c r="K3163" s="29">
        <v>-0.26209048361934478</v>
      </c>
    </row>
    <row r="3164" spans="1:11" x14ac:dyDescent="0.25">
      <c r="A3164" s="5" t="s">
        <v>6</v>
      </c>
      <c r="B3164" s="5" t="s">
        <v>15416</v>
      </c>
      <c r="C3164" s="1" t="s">
        <v>15417</v>
      </c>
      <c r="D3164" s="5" t="s">
        <v>18416</v>
      </c>
      <c r="E3164" s="32">
        <v>8</v>
      </c>
      <c r="F3164" s="27">
        <v>720</v>
      </c>
      <c r="G3164" s="32">
        <v>18</v>
      </c>
      <c r="H3164" s="27">
        <v>1620</v>
      </c>
      <c r="I3164" s="27">
        <v>90</v>
      </c>
      <c r="J3164" s="27">
        <v>90</v>
      </c>
      <c r="K3164" s="29">
        <v>0</v>
      </c>
    </row>
    <row r="3165" spans="1:11" x14ac:dyDescent="0.25">
      <c r="A3165" s="5" t="s">
        <v>6</v>
      </c>
      <c r="B3165" s="5" t="s">
        <v>15425</v>
      </c>
      <c r="C3165" s="1" t="s">
        <v>15426</v>
      </c>
      <c r="D3165" s="5" t="s">
        <v>18182</v>
      </c>
      <c r="E3165" s="32">
        <v>1</v>
      </c>
      <c r="F3165" s="27">
        <v>2210</v>
      </c>
      <c r="I3165" s="27">
        <v>2210</v>
      </c>
    </row>
    <row r="3166" spans="1:11" x14ac:dyDescent="0.25">
      <c r="A3166" s="5" t="s">
        <v>6</v>
      </c>
      <c r="B3166" s="5" t="s">
        <v>15434</v>
      </c>
      <c r="C3166" s="1" t="s">
        <v>15435</v>
      </c>
      <c r="D3166" s="5" t="s">
        <v>18414</v>
      </c>
      <c r="E3166" s="32">
        <v>4</v>
      </c>
      <c r="F3166" s="27">
        <v>5200</v>
      </c>
      <c r="G3166" s="32">
        <v>9</v>
      </c>
      <c r="H3166" s="27">
        <v>11700</v>
      </c>
      <c r="I3166" s="27">
        <v>1300</v>
      </c>
      <c r="J3166" s="27">
        <v>1300</v>
      </c>
      <c r="K3166" s="29">
        <v>0</v>
      </c>
    </row>
    <row r="3167" spans="1:11" x14ac:dyDescent="0.25">
      <c r="A3167" s="5" t="s">
        <v>6</v>
      </c>
      <c r="B3167" s="5" t="s">
        <v>15449</v>
      </c>
      <c r="C3167" s="1" t="s">
        <v>15450</v>
      </c>
      <c r="D3167" s="5" t="s">
        <v>18414</v>
      </c>
      <c r="E3167" s="32">
        <v>2</v>
      </c>
      <c r="F3167" s="27">
        <v>984</v>
      </c>
      <c r="I3167" s="27">
        <v>492</v>
      </c>
    </row>
    <row r="3168" spans="1:11" x14ac:dyDescent="0.25">
      <c r="A3168" s="5" t="s">
        <v>6</v>
      </c>
      <c r="B3168" s="5" t="s">
        <v>15455</v>
      </c>
      <c r="C3168" s="1" t="s">
        <v>15456</v>
      </c>
      <c r="D3168" s="5" t="s">
        <v>18157</v>
      </c>
      <c r="E3168" s="32">
        <v>36</v>
      </c>
      <c r="F3168" s="27">
        <v>1728</v>
      </c>
      <c r="G3168" s="32">
        <v>82</v>
      </c>
      <c r="H3168" s="27">
        <v>3936</v>
      </c>
      <c r="I3168" s="27">
        <v>48</v>
      </c>
      <c r="J3168" s="27">
        <v>48</v>
      </c>
      <c r="K3168" s="29">
        <v>0</v>
      </c>
    </row>
    <row r="3169" spans="1:11" x14ac:dyDescent="0.25">
      <c r="A3169" s="5" t="s">
        <v>6</v>
      </c>
      <c r="B3169" s="5" t="s">
        <v>15464</v>
      </c>
      <c r="C3169" s="1" t="s">
        <v>15465</v>
      </c>
      <c r="D3169" s="5" t="s">
        <v>18415</v>
      </c>
      <c r="G3169" s="32">
        <v>28</v>
      </c>
      <c r="H3169" s="27">
        <v>687.96</v>
      </c>
      <c r="J3169" s="27">
        <v>24.57</v>
      </c>
    </row>
    <row r="3170" spans="1:11" x14ac:dyDescent="0.25">
      <c r="A3170" s="5" t="s">
        <v>6</v>
      </c>
      <c r="B3170" s="5" t="s">
        <v>15467</v>
      </c>
      <c r="C3170" s="1" t="s">
        <v>15468</v>
      </c>
      <c r="D3170" s="5" t="s">
        <v>18415</v>
      </c>
      <c r="G3170" s="32">
        <v>11</v>
      </c>
      <c r="H3170" s="27">
        <v>343.97</v>
      </c>
      <c r="J3170" s="27">
        <v>31.270000000000003</v>
      </c>
    </row>
    <row r="3171" spans="1:11" x14ac:dyDescent="0.25">
      <c r="A3171" s="5" t="s">
        <v>6</v>
      </c>
      <c r="B3171" s="5" t="s">
        <v>15470</v>
      </c>
      <c r="C3171" s="1" t="s">
        <v>15471</v>
      </c>
      <c r="D3171" s="5" t="s">
        <v>18420</v>
      </c>
      <c r="E3171" s="32">
        <v>0</v>
      </c>
      <c r="F3171" s="27">
        <v>0</v>
      </c>
      <c r="G3171" s="32">
        <v>3</v>
      </c>
      <c r="H3171" s="27">
        <v>2400</v>
      </c>
      <c r="J3171" s="27">
        <v>800</v>
      </c>
    </row>
    <row r="3172" spans="1:11" x14ac:dyDescent="0.25">
      <c r="A3172" s="5" t="s">
        <v>6</v>
      </c>
      <c r="B3172" s="5" t="s">
        <v>15494</v>
      </c>
      <c r="C3172" s="1" t="s">
        <v>15495</v>
      </c>
      <c r="D3172" s="5" t="s">
        <v>18414</v>
      </c>
      <c r="G3172" s="32">
        <v>1</v>
      </c>
      <c r="H3172" s="27">
        <v>1260</v>
      </c>
      <c r="J3172" s="27">
        <v>1260</v>
      </c>
    </row>
    <row r="3173" spans="1:11" x14ac:dyDescent="0.25">
      <c r="A3173" s="5" t="s">
        <v>6</v>
      </c>
      <c r="B3173" s="5" t="s">
        <v>15497</v>
      </c>
      <c r="C3173" s="1" t="s">
        <v>13619</v>
      </c>
      <c r="D3173" s="5" t="s">
        <v>18415</v>
      </c>
      <c r="G3173" s="32">
        <v>16</v>
      </c>
      <c r="H3173" s="27">
        <v>344</v>
      </c>
      <c r="J3173" s="27">
        <v>21.5</v>
      </c>
    </row>
    <row r="3174" spans="1:11" x14ac:dyDescent="0.25">
      <c r="A3174" s="5" t="s">
        <v>6</v>
      </c>
      <c r="B3174" s="5" t="s">
        <v>15499</v>
      </c>
      <c r="C3174" s="1" t="s">
        <v>15346</v>
      </c>
      <c r="D3174" s="5" t="s">
        <v>18414</v>
      </c>
      <c r="G3174" s="32">
        <v>1</v>
      </c>
      <c r="H3174" s="27">
        <v>3000</v>
      </c>
      <c r="J3174" s="27">
        <v>3000</v>
      </c>
    </row>
    <row r="3175" spans="1:11" x14ac:dyDescent="0.25">
      <c r="A3175" s="5" t="s">
        <v>6</v>
      </c>
      <c r="B3175" s="5" t="s">
        <v>15500</v>
      </c>
      <c r="C3175" s="1" t="s">
        <v>15501</v>
      </c>
      <c r="D3175" s="5" t="s">
        <v>17213</v>
      </c>
      <c r="E3175" s="32">
        <v>49</v>
      </c>
      <c r="F3175" s="27">
        <v>173314</v>
      </c>
      <c r="G3175" s="32">
        <v>38</v>
      </c>
      <c r="H3175" s="27">
        <v>144902</v>
      </c>
      <c r="I3175" s="27">
        <v>3537.0204081632655</v>
      </c>
      <c r="J3175" s="27">
        <v>3813.2105263157896</v>
      </c>
      <c r="K3175" s="29">
        <v>7.8085531402389177E-2</v>
      </c>
    </row>
    <row r="3176" spans="1:11" x14ac:dyDescent="0.25">
      <c r="A3176" s="5" t="s">
        <v>6</v>
      </c>
      <c r="B3176" s="5" t="s">
        <v>15507</v>
      </c>
      <c r="C3176" s="1" t="s">
        <v>15508</v>
      </c>
      <c r="D3176" s="5" t="s">
        <v>17213</v>
      </c>
      <c r="E3176" s="32">
        <v>1</v>
      </c>
      <c r="F3176" s="27">
        <v>7673</v>
      </c>
      <c r="I3176" s="27">
        <v>7673</v>
      </c>
    </row>
    <row r="3177" spans="1:11" x14ac:dyDescent="0.25">
      <c r="A3177" s="5" t="s">
        <v>6</v>
      </c>
      <c r="B3177" s="5" t="s">
        <v>15510</v>
      </c>
      <c r="C3177" s="1" t="s">
        <v>15511</v>
      </c>
      <c r="D3177" s="5" t="s">
        <v>17213</v>
      </c>
      <c r="E3177" s="32">
        <v>1</v>
      </c>
      <c r="F3177" s="27">
        <v>13440</v>
      </c>
      <c r="I3177" s="27">
        <v>13440</v>
      </c>
    </row>
    <row r="3178" spans="1:11" x14ac:dyDescent="0.25">
      <c r="A3178" s="5" t="s">
        <v>6</v>
      </c>
      <c r="B3178" s="5" t="s">
        <v>15515</v>
      </c>
      <c r="C3178" s="1" t="s">
        <v>15516</v>
      </c>
      <c r="D3178" s="5" t="s">
        <v>17213</v>
      </c>
      <c r="E3178" s="32">
        <v>27</v>
      </c>
      <c r="F3178" s="27">
        <v>338706.15</v>
      </c>
      <c r="G3178" s="32">
        <v>69</v>
      </c>
      <c r="H3178" s="27">
        <v>429243.3</v>
      </c>
      <c r="I3178" s="27">
        <v>12544.672222222223</v>
      </c>
      <c r="J3178" s="27">
        <v>6220.9173913043478</v>
      </c>
      <c r="K3178" s="29">
        <v>-0.50409884920832593</v>
      </c>
    </row>
    <row r="3179" spans="1:11" x14ac:dyDescent="0.25">
      <c r="A3179" s="5" t="s">
        <v>6</v>
      </c>
      <c r="B3179" s="5" t="s">
        <v>15519</v>
      </c>
      <c r="C3179" s="1" t="s">
        <v>15520</v>
      </c>
      <c r="D3179" s="5" t="s">
        <v>17215</v>
      </c>
      <c r="E3179" s="32">
        <v>2</v>
      </c>
      <c r="F3179" s="27">
        <v>4678</v>
      </c>
      <c r="I3179" s="27">
        <v>2339</v>
      </c>
    </row>
    <row r="3180" spans="1:11" x14ac:dyDescent="0.25">
      <c r="A3180" s="5" t="s">
        <v>6</v>
      </c>
      <c r="B3180" s="5" t="s">
        <v>15529</v>
      </c>
      <c r="C3180" s="1" t="s">
        <v>15530</v>
      </c>
      <c r="D3180" s="5" t="s">
        <v>18421</v>
      </c>
      <c r="E3180" s="32">
        <v>14</v>
      </c>
      <c r="F3180" s="27">
        <v>57764</v>
      </c>
      <c r="I3180" s="27">
        <v>4126</v>
      </c>
    </row>
    <row r="3181" spans="1:11" x14ac:dyDescent="0.25">
      <c r="A3181" s="5" t="s">
        <v>6</v>
      </c>
      <c r="B3181" s="5" t="s">
        <v>15534</v>
      </c>
      <c r="C3181" s="1" t="s">
        <v>15535</v>
      </c>
      <c r="D3181" s="5" t="s">
        <v>17213</v>
      </c>
      <c r="E3181" s="32">
        <v>2</v>
      </c>
      <c r="F3181" s="27">
        <v>5780</v>
      </c>
      <c r="I3181" s="27">
        <v>2890</v>
      </c>
    </row>
    <row r="3182" spans="1:11" x14ac:dyDescent="0.25">
      <c r="A3182" s="5" t="s">
        <v>6</v>
      </c>
      <c r="B3182" s="5" t="s">
        <v>15542</v>
      </c>
      <c r="C3182" s="1" t="s">
        <v>15543</v>
      </c>
      <c r="D3182" s="5" t="s">
        <v>17260</v>
      </c>
      <c r="E3182" s="32">
        <v>2</v>
      </c>
      <c r="F3182" s="27">
        <v>39402</v>
      </c>
      <c r="I3182" s="27">
        <v>19701</v>
      </c>
    </row>
    <row r="3183" spans="1:11" x14ac:dyDescent="0.25">
      <c r="A3183" s="5" t="s">
        <v>6</v>
      </c>
      <c r="B3183" s="5" t="s">
        <v>15548</v>
      </c>
      <c r="C3183" s="1" t="s">
        <v>15549</v>
      </c>
      <c r="D3183" s="5" t="s">
        <v>18422</v>
      </c>
      <c r="E3183" s="32">
        <v>90</v>
      </c>
      <c r="F3183" s="27">
        <v>813297</v>
      </c>
      <c r="G3183" s="32">
        <v>113</v>
      </c>
      <c r="H3183" s="27">
        <v>1088065</v>
      </c>
      <c r="I3183" s="27">
        <v>9036.6333333333332</v>
      </c>
      <c r="J3183" s="27">
        <v>9628.8938053097354</v>
      </c>
      <c r="K3183" s="29">
        <v>6.5539947249130634E-2</v>
      </c>
    </row>
    <row r="3184" spans="1:11" x14ac:dyDescent="0.25">
      <c r="A3184" s="5" t="s">
        <v>6</v>
      </c>
      <c r="B3184" s="5" t="s">
        <v>15551</v>
      </c>
      <c r="C3184" s="1" t="s">
        <v>15552</v>
      </c>
      <c r="D3184" s="5" t="s">
        <v>18423</v>
      </c>
      <c r="E3184" s="32">
        <v>14</v>
      </c>
      <c r="F3184" s="27">
        <v>28301</v>
      </c>
      <c r="I3184" s="27">
        <v>2021.5</v>
      </c>
    </row>
    <row r="3185" spans="1:11" x14ac:dyDescent="0.25">
      <c r="A3185" s="5" t="s">
        <v>6</v>
      </c>
      <c r="B3185" s="5" t="s">
        <v>15557</v>
      </c>
      <c r="C3185" s="1" t="s">
        <v>15558</v>
      </c>
      <c r="D3185" s="5" t="s">
        <v>17237</v>
      </c>
      <c r="E3185" s="32">
        <v>52</v>
      </c>
      <c r="F3185" s="27">
        <v>58864</v>
      </c>
      <c r="G3185" s="32">
        <v>64</v>
      </c>
      <c r="H3185" s="27">
        <v>77656</v>
      </c>
      <c r="I3185" s="27">
        <v>1132</v>
      </c>
      <c r="J3185" s="27">
        <v>1213.375</v>
      </c>
      <c r="K3185" s="29">
        <v>7.1886042402826852E-2</v>
      </c>
    </row>
    <row r="3186" spans="1:11" x14ac:dyDescent="0.25">
      <c r="A3186" s="5" t="s">
        <v>6</v>
      </c>
      <c r="B3186" s="5" t="s">
        <v>15566</v>
      </c>
      <c r="C3186" s="1" t="s">
        <v>15567</v>
      </c>
      <c r="D3186" s="5" t="s">
        <v>18424</v>
      </c>
      <c r="E3186" s="32">
        <v>2</v>
      </c>
      <c r="F3186" s="27">
        <v>35098</v>
      </c>
      <c r="I3186" s="27">
        <v>17549</v>
      </c>
    </row>
    <row r="3187" spans="1:11" x14ac:dyDescent="0.25">
      <c r="A3187" s="5" t="s">
        <v>6</v>
      </c>
      <c r="B3187" s="5" t="s">
        <v>15569</v>
      </c>
      <c r="C3187" s="1" t="s">
        <v>15570</v>
      </c>
      <c r="D3187" s="5" t="s">
        <v>18422</v>
      </c>
      <c r="E3187" s="32">
        <v>78</v>
      </c>
      <c r="F3187" s="27">
        <v>390169</v>
      </c>
      <c r="G3187" s="32">
        <v>120</v>
      </c>
      <c r="H3187" s="27">
        <v>639948</v>
      </c>
      <c r="I3187" s="27">
        <v>5002.166666666667</v>
      </c>
      <c r="J3187" s="27">
        <v>5332.9</v>
      </c>
      <c r="K3187" s="29">
        <v>6.6118015526604998E-2</v>
      </c>
    </row>
    <row r="3188" spans="1:11" x14ac:dyDescent="0.25">
      <c r="A3188" s="5" t="s">
        <v>6</v>
      </c>
      <c r="B3188" s="5" t="s">
        <v>15575</v>
      </c>
      <c r="C3188" s="1" t="s">
        <v>15576</v>
      </c>
      <c r="D3188" s="5" t="s">
        <v>18425</v>
      </c>
      <c r="E3188" s="32">
        <v>22</v>
      </c>
      <c r="F3188" s="27">
        <v>73610</v>
      </c>
      <c r="G3188" s="32">
        <v>16</v>
      </c>
      <c r="H3188" s="27">
        <v>56687</v>
      </c>
      <c r="I3188" s="27">
        <v>3345.909090909091</v>
      </c>
      <c r="J3188" s="27">
        <v>3542.9375</v>
      </c>
      <c r="K3188" s="29">
        <v>5.8886360548838446E-2</v>
      </c>
    </row>
    <row r="3189" spans="1:11" x14ac:dyDescent="0.25">
      <c r="A3189" s="5" t="s">
        <v>6</v>
      </c>
      <c r="B3189" s="5" t="s">
        <v>15578</v>
      </c>
      <c r="C3189" s="1" t="s">
        <v>15579</v>
      </c>
      <c r="D3189" s="5" t="s">
        <v>17237</v>
      </c>
      <c r="E3189" s="32">
        <v>16</v>
      </c>
      <c r="F3189" s="27">
        <v>9441</v>
      </c>
      <c r="G3189" s="32">
        <v>39</v>
      </c>
      <c r="H3189" s="27">
        <v>24396</v>
      </c>
      <c r="I3189" s="27">
        <v>590.0625</v>
      </c>
      <c r="J3189" s="27">
        <v>625.53846153846155</v>
      </c>
      <c r="K3189" s="29">
        <v>6.0122379474143076E-2</v>
      </c>
    </row>
    <row r="3190" spans="1:11" x14ac:dyDescent="0.25">
      <c r="A3190" s="5" t="s">
        <v>6</v>
      </c>
      <c r="B3190" s="5" t="s">
        <v>15586</v>
      </c>
      <c r="C3190" s="1" t="s">
        <v>15587</v>
      </c>
      <c r="D3190" s="5" t="s">
        <v>18426</v>
      </c>
      <c r="E3190" s="32">
        <v>86</v>
      </c>
      <c r="F3190" s="27">
        <v>24601</v>
      </c>
      <c r="G3190" s="32">
        <v>60</v>
      </c>
      <c r="H3190" s="27">
        <v>18168</v>
      </c>
      <c r="I3190" s="27">
        <v>286.05813953488371</v>
      </c>
      <c r="J3190" s="27">
        <v>302.8</v>
      </c>
      <c r="K3190" s="29">
        <v>5.8526076175765301E-2</v>
      </c>
    </row>
    <row r="3191" spans="1:11" x14ac:dyDescent="0.25">
      <c r="A3191" s="5" t="s">
        <v>6</v>
      </c>
      <c r="B3191" s="5" t="s">
        <v>15589</v>
      </c>
      <c r="C3191" s="1" t="s">
        <v>15590</v>
      </c>
      <c r="D3191" s="5" t="s">
        <v>18427</v>
      </c>
      <c r="E3191" s="32">
        <v>18</v>
      </c>
      <c r="F3191" s="27">
        <v>716574</v>
      </c>
      <c r="G3191" s="32">
        <v>32</v>
      </c>
      <c r="H3191" s="27">
        <v>1377139</v>
      </c>
      <c r="I3191" s="27">
        <v>39809.666666666664</v>
      </c>
      <c r="J3191" s="27">
        <v>43035.59375</v>
      </c>
      <c r="K3191" s="29">
        <v>8.1033762737693596E-2</v>
      </c>
    </row>
    <row r="3192" spans="1:11" x14ac:dyDescent="0.25">
      <c r="A3192" s="5" t="s">
        <v>6</v>
      </c>
      <c r="B3192" s="5" t="s">
        <v>15601</v>
      </c>
      <c r="C3192" s="1" t="s">
        <v>15602</v>
      </c>
      <c r="D3192" s="5" t="s">
        <v>17263</v>
      </c>
      <c r="E3192" s="32">
        <v>30</v>
      </c>
      <c r="F3192" s="27">
        <v>47739</v>
      </c>
      <c r="G3192" s="32">
        <v>38</v>
      </c>
      <c r="H3192" s="27">
        <v>65048</v>
      </c>
      <c r="I3192" s="27">
        <v>1591.3</v>
      </c>
      <c r="J3192" s="27">
        <v>1711.7894736842106</v>
      </c>
      <c r="K3192" s="29">
        <v>7.5717635696732663E-2</v>
      </c>
    </row>
    <row r="3193" spans="1:11" x14ac:dyDescent="0.25">
      <c r="A3193" s="5" t="s">
        <v>6</v>
      </c>
      <c r="B3193" s="5" t="s">
        <v>15606</v>
      </c>
      <c r="C3193" s="1" t="s">
        <v>15605</v>
      </c>
      <c r="D3193" s="5" t="s">
        <v>18428</v>
      </c>
      <c r="E3193" s="32">
        <v>3</v>
      </c>
      <c r="F3193" s="27">
        <v>11181</v>
      </c>
      <c r="I3193" s="27">
        <v>3727</v>
      </c>
    </row>
    <row r="3194" spans="1:11" x14ac:dyDescent="0.25">
      <c r="A3194" s="5" t="s">
        <v>6</v>
      </c>
      <c r="B3194" s="5" t="s">
        <v>15613</v>
      </c>
      <c r="C3194" s="1" t="s">
        <v>15614</v>
      </c>
      <c r="D3194" s="5" t="s">
        <v>18429</v>
      </c>
      <c r="E3194" s="32">
        <v>95</v>
      </c>
      <c r="F3194" s="27">
        <v>316445</v>
      </c>
      <c r="G3194" s="32">
        <v>149</v>
      </c>
      <c r="H3194" s="27">
        <v>527391</v>
      </c>
      <c r="I3194" s="27">
        <v>3331</v>
      </c>
      <c r="J3194" s="27">
        <v>3539.5369127516778</v>
      </c>
      <c r="K3194" s="29">
        <v>6.2604897253580857E-2</v>
      </c>
    </row>
    <row r="3195" spans="1:11" x14ac:dyDescent="0.25">
      <c r="A3195" s="5" t="s">
        <v>6</v>
      </c>
      <c r="B3195" s="5" t="s">
        <v>15615</v>
      </c>
      <c r="C3195" s="1" t="s">
        <v>15616</v>
      </c>
      <c r="D3195" s="5" t="s">
        <v>18428</v>
      </c>
      <c r="E3195" s="32">
        <v>1</v>
      </c>
      <c r="F3195" s="27">
        <v>1979</v>
      </c>
      <c r="I3195" s="27">
        <v>1979</v>
      </c>
    </row>
    <row r="3196" spans="1:11" x14ac:dyDescent="0.25">
      <c r="A3196" s="5" t="s">
        <v>6</v>
      </c>
      <c r="B3196" s="5" t="s">
        <v>15623</v>
      </c>
      <c r="C3196" s="1" t="s">
        <v>15624</v>
      </c>
      <c r="D3196" s="5" t="s">
        <v>18425</v>
      </c>
      <c r="E3196" s="32">
        <v>6</v>
      </c>
      <c r="F3196" s="27">
        <v>98370</v>
      </c>
      <c r="I3196" s="27">
        <v>16395</v>
      </c>
    </row>
    <row r="3197" spans="1:11" x14ac:dyDescent="0.25">
      <c r="A3197" s="5" t="s">
        <v>6</v>
      </c>
      <c r="B3197" s="5" t="s">
        <v>15638</v>
      </c>
      <c r="C3197" s="1" t="s">
        <v>15639</v>
      </c>
      <c r="D3197" s="5" t="s">
        <v>17260</v>
      </c>
      <c r="E3197" s="32">
        <v>10</v>
      </c>
      <c r="F3197" s="27">
        <v>54972</v>
      </c>
      <c r="I3197" s="27">
        <v>5497.2</v>
      </c>
    </row>
    <row r="3198" spans="1:11" x14ac:dyDescent="0.25">
      <c r="A3198" s="5" t="s">
        <v>6</v>
      </c>
      <c r="B3198" s="5" t="s">
        <v>15641</v>
      </c>
      <c r="C3198" s="1" t="s">
        <v>15642</v>
      </c>
      <c r="D3198" s="5" t="s">
        <v>17260</v>
      </c>
      <c r="E3198" s="32">
        <v>64</v>
      </c>
      <c r="F3198" s="27">
        <v>89168</v>
      </c>
      <c r="G3198" s="32">
        <v>78</v>
      </c>
      <c r="H3198" s="27">
        <v>114648</v>
      </c>
      <c r="I3198" s="27">
        <v>1393.25</v>
      </c>
      <c r="J3198" s="27">
        <v>1469.8461538461538</v>
      </c>
      <c r="K3198" s="29">
        <v>5.4976604231942443E-2</v>
      </c>
    </row>
    <row r="3199" spans="1:11" x14ac:dyDescent="0.25">
      <c r="A3199" s="5" t="s">
        <v>6</v>
      </c>
      <c r="B3199" s="5" t="s">
        <v>15647</v>
      </c>
      <c r="C3199" s="1" t="s">
        <v>15648</v>
      </c>
      <c r="D3199" s="5" t="s">
        <v>17260</v>
      </c>
      <c r="E3199" s="32">
        <v>20</v>
      </c>
      <c r="F3199" s="27">
        <v>131660</v>
      </c>
      <c r="G3199" s="32">
        <v>18</v>
      </c>
      <c r="H3199" s="27">
        <v>126258</v>
      </c>
      <c r="I3199" s="27">
        <v>6583</v>
      </c>
      <c r="J3199" s="27">
        <v>7014.333333333333</v>
      </c>
      <c r="K3199" s="29">
        <v>6.5522304926831698E-2</v>
      </c>
    </row>
    <row r="3200" spans="1:11" x14ac:dyDescent="0.25">
      <c r="A3200" s="5" t="s">
        <v>6</v>
      </c>
      <c r="B3200" s="5" t="s">
        <v>15656</v>
      </c>
      <c r="C3200" s="1" t="s">
        <v>15657</v>
      </c>
      <c r="D3200" s="5" t="s">
        <v>18428</v>
      </c>
      <c r="E3200" s="32">
        <v>50</v>
      </c>
      <c r="F3200" s="27">
        <v>54177.5</v>
      </c>
      <c r="G3200" s="32">
        <v>111</v>
      </c>
      <c r="H3200" s="27">
        <v>124942.35</v>
      </c>
      <c r="I3200" s="27">
        <v>1083.55</v>
      </c>
      <c r="J3200" s="27">
        <v>1125.6067567567568</v>
      </c>
      <c r="K3200" s="29">
        <v>3.881385884985173E-2</v>
      </c>
    </row>
    <row r="3201" spans="1:11" x14ac:dyDescent="0.25">
      <c r="A3201" s="5" t="s">
        <v>6</v>
      </c>
      <c r="B3201" s="5" t="s">
        <v>15658</v>
      </c>
      <c r="C3201" s="1" t="s">
        <v>15659</v>
      </c>
      <c r="D3201" s="5" t="s">
        <v>17237</v>
      </c>
      <c r="E3201" s="32">
        <v>16</v>
      </c>
      <c r="F3201" s="27">
        <v>40327</v>
      </c>
      <c r="G3201" s="32">
        <v>15</v>
      </c>
      <c r="H3201" s="27">
        <v>39619</v>
      </c>
      <c r="I3201" s="27">
        <v>2520.4375</v>
      </c>
      <c r="J3201" s="27">
        <v>2641.2666666666669</v>
      </c>
      <c r="K3201" s="29">
        <v>4.7939759135732139E-2</v>
      </c>
    </row>
    <row r="3202" spans="1:11" x14ac:dyDescent="0.25">
      <c r="A3202" s="5" t="s">
        <v>6</v>
      </c>
      <c r="B3202" s="5" t="s">
        <v>15661</v>
      </c>
      <c r="C3202" s="1" t="s">
        <v>15662</v>
      </c>
      <c r="D3202" s="5" t="s">
        <v>17237</v>
      </c>
      <c r="E3202" s="32">
        <v>1</v>
      </c>
      <c r="F3202" s="27">
        <v>5300</v>
      </c>
      <c r="G3202" s="32">
        <v>6</v>
      </c>
      <c r="H3202" s="27">
        <v>37296</v>
      </c>
      <c r="I3202" s="27">
        <v>5300</v>
      </c>
      <c r="J3202" s="27">
        <v>6216</v>
      </c>
      <c r="K3202" s="29">
        <v>0.17283018867924529</v>
      </c>
    </row>
    <row r="3203" spans="1:11" x14ac:dyDescent="0.25">
      <c r="A3203" s="5" t="s">
        <v>6</v>
      </c>
      <c r="B3203" s="5" t="s">
        <v>15664</v>
      </c>
      <c r="C3203" s="1" t="s">
        <v>15665</v>
      </c>
      <c r="D3203" s="5" t="s">
        <v>18430</v>
      </c>
      <c r="E3203" s="32">
        <v>33</v>
      </c>
      <c r="F3203" s="27">
        <v>123807</v>
      </c>
      <c r="G3203" s="32">
        <v>46</v>
      </c>
      <c r="H3203" s="27">
        <v>187586</v>
      </c>
      <c r="I3203" s="27">
        <v>3751.7272727272725</v>
      </c>
      <c r="J3203" s="27">
        <v>4077.9565217391305</v>
      </c>
      <c r="K3203" s="29">
        <v>8.6954414672767405E-2</v>
      </c>
    </row>
    <row r="3204" spans="1:11" x14ac:dyDescent="0.25">
      <c r="A3204" s="5" t="s">
        <v>6</v>
      </c>
      <c r="B3204" s="5" t="s">
        <v>15670</v>
      </c>
      <c r="C3204" s="1" t="s">
        <v>15671</v>
      </c>
      <c r="D3204" s="5" t="s">
        <v>17260</v>
      </c>
      <c r="E3204" s="32">
        <v>22</v>
      </c>
      <c r="F3204" s="27">
        <v>108544</v>
      </c>
      <c r="G3204" s="32">
        <v>17</v>
      </c>
      <c r="H3204" s="27">
        <v>90420</v>
      </c>
      <c r="I3204" s="27">
        <v>4933.818181818182</v>
      </c>
      <c r="J3204" s="27">
        <v>5318.8235294117649</v>
      </c>
      <c r="K3204" s="29">
        <v>7.8033955327413987E-2</v>
      </c>
    </row>
    <row r="3205" spans="1:11" x14ac:dyDescent="0.25">
      <c r="A3205" s="5" t="s">
        <v>6</v>
      </c>
      <c r="B3205" s="5" t="s">
        <v>15673</v>
      </c>
      <c r="C3205" s="1" t="s">
        <v>15674</v>
      </c>
      <c r="D3205" s="5" t="s">
        <v>18431</v>
      </c>
      <c r="E3205" s="32">
        <v>5</v>
      </c>
      <c r="F3205" s="27">
        <v>186507.9</v>
      </c>
      <c r="G3205" s="32">
        <v>25</v>
      </c>
      <c r="H3205" s="27">
        <v>992227.9</v>
      </c>
      <c r="I3205" s="27">
        <v>37301.58</v>
      </c>
      <c r="J3205" s="27">
        <v>39689.116000000002</v>
      </c>
      <c r="K3205" s="29">
        <v>6.4006296784211283E-2</v>
      </c>
    </row>
    <row r="3206" spans="1:11" x14ac:dyDescent="0.25">
      <c r="A3206" s="5" t="s">
        <v>6</v>
      </c>
      <c r="B3206" s="5" t="s">
        <v>15675</v>
      </c>
      <c r="C3206" s="1" t="s">
        <v>15676</v>
      </c>
      <c r="D3206" s="5" t="s">
        <v>17237</v>
      </c>
      <c r="E3206" s="32">
        <v>0</v>
      </c>
      <c r="F3206" s="27">
        <v>0</v>
      </c>
      <c r="G3206" s="32">
        <v>17</v>
      </c>
      <c r="H3206" s="27">
        <v>160809.20000000001</v>
      </c>
      <c r="J3206" s="27">
        <v>9459.3647058823535</v>
      </c>
    </row>
    <row r="3207" spans="1:11" x14ac:dyDescent="0.25">
      <c r="A3207" s="5" t="s">
        <v>6</v>
      </c>
      <c r="B3207" s="5" t="s">
        <v>15677</v>
      </c>
      <c r="C3207" s="1" t="s">
        <v>15678</v>
      </c>
      <c r="D3207" s="5" t="s">
        <v>17260</v>
      </c>
      <c r="E3207" s="32">
        <v>11</v>
      </c>
      <c r="F3207" s="27">
        <v>107668</v>
      </c>
      <c r="G3207" s="32">
        <v>16</v>
      </c>
      <c r="H3207" s="27">
        <v>171264</v>
      </c>
      <c r="I3207" s="27">
        <v>9788</v>
      </c>
      <c r="J3207" s="27">
        <v>10704</v>
      </c>
      <c r="K3207" s="29">
        <v>9.3583980384143853E-2</v>
      </c>
    </row>
    <row r="3208" spans="1:11" x14ac:dyDescent="0.25">
      <c r="A3208" s="5" t="s">
        <v>6</v>
      </c>
      <c r="B3208" s="5" t="s">
        <v>15689</v>
      </c>
      <c r="C3208" s="1" t="s">
        <v>15690</v>
      </c>
      <c r="D3208" s="5" t="s">
        <v>18432</v>
      </c>
      <c r="E3208" s="32">
        <v>19</v>
      </c>
      <c r="F3208" s="27">
        <v>134674</v>
      </c>
      <c r="G3208" s="32">
        <v>31</v>
      </c>
      <c r="H3208" s="27">
        <v>237010</v>
      </c>
      <c r="I3208" s="27">
        <v>7088.105263157895</v>
      </c>
      <c r="J3208" s="27">
        <v>7645.4838709677415</v>
      </c>
      <c r="K3208" s="29">
        <v>7.8635768956050039E-2</v>
      </c>
    </row>
    <row r="3209" spans="1:11" x14ac:dyDescent="0.25">
      <c r="A3209" s="5" t="s">
        <v>6</v>
      </c>
      <c r="B3209" s="5" t="s">
        <v>15692</v>
      </c>
      <c r="C3209" s="1" t="s">
        <v>15693</v>
      </c>
      <c r="D3209" s="5" t="s">
        <v>18430</v>
      </c>
      <c r="E3209" s="32">
        <v>4</v>
      </c>
      <c r="F3209" s="27">
        <v>13304</v>
      </c>
      <c r="G3209" s="32">
        <v>14</v>
      </c>
      <c r="H3209" s="27">
        <v>50022</v>
      </c>
      <c r="I3209" s="27">
        <v>3326</v>
      </c>
      <c r="J3209" s="27">
        <v>3573</v>
      </c>
      <c r="K3209" s="29">
        <v>7.4263379434756457E-2</v>
      </c>
    </row>
    <row r="3210" spans="1:11" x14ac:dyDescent="0.25">
      <c r="A3210" s="5" t="s">
        <v>6</v>
      </c>
      <c r="B3210" s="5" t="s">
        <v>15695</v>
      </c>
      <c r="C3210" s="1" t="s">
        <v>15696</v>
      </c>
      <c r="D3210" s="5" t="s">
        <v>17260</v>
      </c>
      <c r="E3210" s="32">
        <v>15</v>
      </c>
      <c r="F3210" s="27">
        <v>88185</v>
      </c>
      <c r="G3210" s="32">
        <v>10</v>
      </c>
      <c r="H3210" s="27">
        <v>60670</v>
      </c>
      <c r="I3210" s="27">
        <v>5879</v>
      </c>
      <c r="J3210" s="27">
        <v>6067</v>
      </c>
      <c r="K3210" s="29">
        <v>3.1978227589726141E-2</v>
      </c>
    </row>
    <row r="3211" spans="1:11" x14ac:dyDescent="0.25">
      <c r="A3211" s="5" t="s">
        <v>6</v>
      </c>
      <c r="B3211" s="5" t="s">
        <v>15698</v>
      </c>
      <c r="C3211" s="1" t="s">
        <v>15699</v>
      </c>
      <c r="D3211" s="5" t="s">
        <v>17259</v>
      </c>
      <c r="E3211" s="32">
        <v>33</v>
      </c>
      <c r="F3211" s="27">
        <v>535810</v>
      </c>
      <c r="G3211" s="32">
        <v>43</v>
      </c>
      <c r="H3211" s="27">
        <v>731182</v>
      </c>
      <c r="I3211" s="27">
        <v>16236.666666666666</v>
      </c>
      <c r="J3211" s="27">
        <v>17004.232558139534</v>
      </c>
      <c r="K3211" s="29">
        <v>4.7273612695927017E-2</v>
      </c>
    </row>
    <row r="3212" spans="1:11" x14ac:dyDescent="0.25">
      <c r="A3212" s="5" t="s">
        <v>6</v>
      </c>
      <c r="B3212" s="5" t="s">
        <v>15707</v>
      </c>
      <c r="C3212" s="1" t="s">
        <v>15708</v>
      </c>
      <c r="E3212" s="32">
        <v>14</v>
      </c>
      <c r="F3212" s="27">
        <v>134484</v>
      </c>
      <c r="I3212" s="27">
        <v>9606</v>
      </c>
    </row>
    <row r="3213" spans="1:11" x14ac:dyDescent="0.25">
      <c r="A3213" s="5" t="s">
        <v>6</v>
      </c>
      <c r="B3213" s="5" t="s">
        <v>15710</v>
      </c>
      <c r="C3213" s="1" t="s">
        <v>15711</v>
      </c>
      <c r="E3213" s="32">
        <v>35</v>
      </c>
      <c r="F3213" s="27">
        <v>408800</v>
      </c>
      <c r="I3213" s="27">
        <v>11680</v>
      </c>
    </row>
    <row r="3214" spans="1:11" x14ac:dyDescent="0.25">
      <c r="A3214" s="5" t="s">
        <v>6</v>
      </c>
      <c r="B3214" s="5" t="s">
        <v>15721</v>
      </c>
      <c r="C3214" s="1" t="s">
        <v>15722</v>
      </c>
      <c r="D3214" s="5" t="s">
        <v>17248</v>
      </c>
      <c r="E3214" s="32">
        <v>5</v>
      </c>
      <c r="F3214" s="27">
        <v>23564</v>
      </c>
      <c r="I3214" s="27">
        <v>4712.8</v>
      </c>
    </row>
    <row r="3215" spans="1:11" x14ac:dyDescent="0.25">
      <c r="A3215" s="5" t="s">
        <v>6</v>
      </c>
      <c r="B3215" s="5" t="s">
        <v>15724</v>
      </c>
      <c r="C3215" s="1" t="s">
        <v>15725</v>
      </c>
      <c r="D3215" s="5" t="s">
        <v>17239</v>
      </c>
      <c r="E3215" s="32">
        <v>2</v>
      </c>
      <c r="F3215" s="27">
        <v>16458</v>
      </c>
      <c r="I3215" s="27">
        <v>8229</v>
      </c>
    </row>
    <row r="3216" spans="1:11" x14ac:dyDescent="0.25">
      <c r="A3216" s="5" t="s">
        <v>6</v>
      </c>
      <c r="B3216" s="5" t="s">
        <v>15726</v>
      </c>
      <c r="C3216" s="1" t="s">
        <v>15727</v>
      </c>
      <c r="D3216" s="5" t="s">
        <v>17248</v>
      </c>
      <c r="E3216" s="32">
        <v>3</v>
      </c>
      <c r="F3216" s="27">
        <v>81327</v>
      </c>
      <c r="G3216" s="32">
        <v>3</v>
      </c>
      <c r="H3216" s="27">
        <v>87834</v>
      </c>
      <c r="I3216" s="27">
        <v>27109</v>
      </c>
      <c r="J3216" s="27">
        <v>29278</v>
      </c>
      <c r="K3216" s="29">
        <v>8.0010328673134387E-2</v>
      </c>
    </row>
    <row r="3217" spans="1:11" x14ac:dyDescent="0.25">
      <c r="A3217" s="5" t="s">
        <v>6</v>
      </c>
      <c r="B3217" s="5" t="s">
        <v>15732</v>
      </c>
      <c r="C3217" s="1" t="s">
        <v>15733</v>
      </c>
      <c r="D3217" s="5" t="s">
        <v>17239</v>
      </c>
      <c r="E3217" s="32">
        <v>190</v>
      </c>
      <c r="F3217" s="27">
        <v>1781052</v>
      </c>
      <c r="G3217" s="32">
        <v>276</v>
      </c>
      <c r="H3217" s="27">
        <v>2759990</v>
      </c>
      <c r="I3217" s="27">
        <v>9373.9578947368427</v>
      </c>
      <c r="J3217" s="27">
        <v>9999.963768115942</v>
      </c>
      <c r="K3217" s="29">
        <v>6.678138310505749E-2</v>
      </c>
    </row>
    <row r="3218" spans="1:11" x14ac:dyDescent="0.25">
      <c r="A3218" s="5" t="s">
        <v>6</v>
      </c>
      <c r="B3218" s="5" t="s">
        <v>15749</v>
      </c>
      <c r="C3218" s="1" t="s">
        <v>15750</v>
      </c>
      <c r="D3218" s="5" t="s">
        <v>17249</v>
      </c>
      <c r="G3218" s="32">
        <v>82</v>
      </c>
      <c r="H3218" s="27">
        <v>105533.28</v>
      </c>
      <c r="J3218" s="27">
        <v>1286.9912195121951</v>
      </c>
    </row>
    <row r="3219" spans="1:11" x14ac:dyDescent="0.25">
      <c r="A3219" s="5" t="s">
        <v>6</v>
      </c>
      <c r="B3219" s="5" t="s">
        <v>15757</v>
      </c>
      <c r="C3219" s="1" t="s">
        <v>15758</v>
      </c>
      <c r="D3219" s="5" t="s">
        <v>17239</v>
      </c>
      <c r="E3219" s="32">
        <v>1</v>
      </c>
      <c r="F3219" s="27">
        <v>19590</v>
      </c>
      <c r="I3219" s="27">
        <v>19590</v>
      </c>
    </row>
    <row r="3220" spans="1:11" x14ac:dyDescent="0.25">
      <c r="A3220" s="5" t="s">
        <v>6</v>
      </c>
      <c r="B3220" s="5" t="s">
        <v>15760</v>
      </c>
      <c r="C3220" s="1" t="s">
        <v>15761</v>
      </c>
      <c r="E3220" s="32">
        <v>3</v>
      </c>
      <c r="F3220" s="27">
        <v>196368</v>
      </c>
      <c r="I3220" s="27">
        <v>65456</v>
      </c>
    </row>
    <row r="3221" spans="1:11" x14ac:dyDescent="0.25">
      <c r="A3221" s="5" t="s">
        <v>6</v>
      </c>
      <c r="B3221" s="5" t="s">
        <v>15763</v>
      </c>
      <c r="C3221" s="1" t="s">
        <v>15764</v>
      </c>
      <c r="D3221" s="5" t="s">
        <v>17239</v>
      </c>
      <c r="E3221" s="32">
        <v>4</v>
      </c>
      <c r="F3221" s="27">
        <v>99952</v>
      </c>
      <c r="G3221" s="32">
        <v>9</v>
      </c>
      <c r="H3221" s="27">
        <v>234887</v>
      </c>
      <c r="I3221" s="27">
        <v>24988</v>
      </c>
      <c r="J3221" s="27">
        <v>26098.555555555555</v>
      </c>
      <c r="K3221" s="29">
        <v>4.4443555128683955E-2</v>
      </c>
    </row>
    <row r="3222" spans="1:11" x14ac:dyDescent="0.25">
      <c r="A3222" s="5" t="s">
        <v>6</v>
      </c>
      <c r="B3222" s="5" t="s">
        <v>15772</v>
      </c>
      <c r="C3222" s="1" t="s">
        <v>15773</v>
      </c>
      <c r="D3222" s="5" t="s">
        <v>17239</v>
      </c>
      <c r="E3222" s="32">
        <v>309</v>
      </c>
      <c r="F3222" s="27">
        <v>3740896</v>
      </c>
      <c r="G3222" s="32">
        <v>290</v>
      </c>
      <c r="H3222" s="27">
        <v>3723200</v>
      </c>
      <c r="I3222" s="27">
        <v>12106.459546925566</v>
      </c>
      <c r="J3222" s="27">
        <v>12838.620689655172</v>
      </c>
      <c r="K3222" s="29">
        <v>6.0476899946817139E-2</v>
      </c>
    </row>
    <row r="3223" spans="1:11" x14ac:dyDescent="0.25">
      <c r="A3223" s="5" t="s">
        <v>6</v>
      </c>
      <c r="B3223" s="5" t="s">
        <v>15783</v>
      </c>
      <c r="C3223" s="1" t="s">
        <v>15784</v>
      </c>
      <c r="D3223" s="5" t="s">
        <v>17239</v>
      </c>
      <c r="E3223" s="32">
        <v>3</v>
      </c>
      <c r="F3223" s="27">
        <v>36233</v>
      </c>
      <c r="I3223" s="27">
        <v>12077.666666666666</v>
      </c>
    </row>
    <row r="3224" spans="1:11" x14ac:dyDescent="0.25">
      <c r="A3224" s="5" t="s">
        <v>6</v>
      </c>
      <c r="B3224" s="5" t="s">
        <v>15789</v>
      </c>
      <c r="C3224" s="1" t="s">
        <v>15790</v>
      </c>
      <c r="D3224" s="5" t="s">
        <v>17239</v>
      </c>
      <c r="E3224" s="32">
        <v>1</v>
      </c>
      <c r="F3224" s="27">
        <v>24939</v>
      </c>
      <c r="I3224" s="27">
        <v>24939</v>
      </c>
    </row>
    <row r="3225" spans="1:11" x14ac:dyDescent="0.25">
      <c r="A3225" s="5" t="s">
        <v>6</v>
      </c>
      <c r="B3225" s="5" t="s">
        <v>15792</v>
      </c>
      <c r="C3225" s="1" t="s">
        <v>15793</v>
      </c>
      <c r="D3225" s="5" t="s">
        <v>17248</v>
      </c>
      <c r="E3225" s="32">
        <v>1</v>
      </c>
      <c r="F3225" s="27">
        <v>12757</v>
      </c>
      <c r="G3225" s="32">
        <v>4</v>
      </c>
      <c r="H3225" s="27">
        <v>52049</v>
      </c>
      <c r="I3225" s="27">
        <v>12757</v>
      </c>
      <c r="J3225" s="27">
        <v>13012.25</v>
      </c>
      <c r="K3225" s="29">
        <v>2.000862271693972E-2</v>
      </c>
    </row>
    <row r="3226" spans="1:11" x14ac:dyDescent="0.25">
      <c r="A3226" s="5" t="s">
        <v>6</v>
      </c>
      <c r="B3226" s="5" t="s">
        <v>15795</v>
      </c>
      <c r="C3226" s="1" t="s">
        <v>15796</v>
      </c>
      <c r="D3226" s="5" t="s">
        <v>17263</v>
      </c>
      <c r="E3226" s="32">
        <v>555</v>
      </c>
      <c r="F3226" s="27">
        <v>538146</v>
      </c>
      <c r="G3226" s="32">
        <v>470</v>
      </c>
      <c r="H3226" s="27">
        <v>487215</v>
      </c>
      <c r="I3226" s="27">
        <v>969.63243243243244</v>
      </c>
      <c r="J3226" s="27">
        <v>1036.627659574468</v>
      </c>
      <c r="K3226" s="29">
        <v>6.9093426437862093E-2</v>
      </c>
    </row>
    <row r="3227" spans="1:11" x14ac:dyDescent="0.25">
      <c r="A3227" s="5" t="s">
        <v>6</v>
      </c>
      <c r="B3227" s="5" t="s">
        <v>15797</v>
      </c>
      <c r="C3227" s="1" t="s">
        <v>15796</v>
      </c>
      <c r="D3227" s="5" t="s">
        <v>17263</v>
      </c>
      <c r="E3227" s="32">
        <v>2</v>
      </c>
      <c r="F3227" s="27">
        <v>4000</v>
      </c>
      <c r="I3227" s="27">
        <v>2000</v>
      </c>
    </row>
    <row r="3228" spans="1:11" x14ac:dyDescent="0.25">
      <c r="A3228" s="5" t="s">
        <v>6</v>
      </c>
      <c r="B3228" s="5" t="s">
        <v>15798</v>
      </c>
      <c r="C3228" s="1" t="s">
        <v>15796</v>
      </c>
      <c r="D3228" s="5" t="s">
        <v>17263</v>
      </c>
      <c r="E3228" s="32">
        <v>245</v>
      </c>
      <c r="F3228" s="27">
        <v>249025</v>
      </c>
      <c r="G3228" s="32">
        <v>319</v>
      </c>
      <c r="H3228" s="27">
        <v>345890</v>
      </c>
      <c r="I3228" s="27">
        <v>1016.4285714285714</v>
      </c>
      <c r="J3228" s="27">
        <v>1084.2946708463951</v>
      </c>
      <c r="K3228" s="29">
        <v>6.6769177220627626E-2</v>
      </c>
    </row>
    <row r="3229" spans="1:11" x14ac:dyDescent="0.25">
      <c r="A3229" s="5" t="s">
        <v>6</v>
      </c>
      <c r="B3229" s="5" t="s">
        <v>15805</v>
      </c>
      <c r="C3229" s="1" t="s">
        <v>15806</v>
      </c>
      <c r="D3229" s="5" t="s">
        <v>17263</v>
      </c>
      <c r="E3229" s="32">
        <v>52</v>
      </c>
      <c r="F3229" s="27">
        <v>76352</v>
      </c>
      <c r="G3229" s="32">
        <v>54</v>
      </c>
      <c r="H3229" s="27">
        <v>85036</v>
      </c>
      <c r="I3229" s="27">
        <v>1468.3076923076924</v>
      </c>
      <c r="J3229" s="27">
        <v>1574.7407407407406</v>
      </c>
      <c r="K3229" s="29">
        <v>7.2486883362826243E-2</v>
      </c>
    </row>
    <row r="3230" spans="1:11" x14ac:dyDescent="0.25">
      <c r="A3230" s="5" t="s">
        <v>6</v>
      </c>
      <c r="B3230" s="5" t="s">
        <v>15807</v>
      </c>
      <c r="C3230" s="1" t="s">
        <v>15808</v>
      </c>
      <c r="D3230" s="5" t="s">
        <v>17263</v>
      </c>
      <c r="E3230" s="32">
        <v>6</v>
      </c>
      <c r="F3230" s="27">
        <v>5754</v>
      </c>
      <c r="I3230" s="27">
        <v>959</v>
      </c>
    </row>
    <row r="3231" spans="1:11" x14ac:dyDescent="0.25">
      <c r="A3231" s="5" t="s">
        <v>6</v>
      </c>
      <c r="B3231" s="5" t="s">
        <v>15813</v>
      </c>
      <c r="C3231" s="1" t="s">
        <v>15814</v>
      </c>
      <c r="D3231" s="5" t="s">
        <v>17263</v>
      </c>
      <c r="E3231" s="32">
        <v>38</v>
      </c>
      <c r="F3231" s="27">
        <v>87912</v>
      </c>
      <c r="G3231" s="32">
        <v>35</v>
      </c>
      <c r="H3231" s="27">
        <v>86316</v>
      </c>
      <c r="I3231" s="27">
        <v>2313.4736842105262</v>
      </c>
      <c r="J3231" s="27">
        <v>2466.1714285714284</v>
      </c>
      <c r="K3231" s="29">
        <v>6.6003666003665945E-2</v>
      </c>
    </row>
    <row r="3232" spans="1:11" x14ac:dyDescent="0.25">
      <c r="A3232" s="5" t="s">
        <v>6</v>
      </c>
      <c r="B3232" s="5" t="s">
        <v>15815</v>
      </c>
      <c r="C3232" s="1" t="s">
        <v>15816</v>
      </c>
      <c r="D3232" s="5" t="s">
        <v>17263</v>
      </c>
      <c r="E3232" s="32">
        <v>399</v>
      </c>
      <c r="F3232" s="27">
        <v>265082</v>
      </c>
      <c r="G3232" s="32">
        <v>528</v>
      </c>
      <c r="H3232" s="27">
        <v>375270</v>
      </c>
      <c r="I3232" s="27">
        <v>664.36591478696744</v>
      </c>
      <c r="J3232" s="27">
        <v>710.73863636363637</v>
      </c>
      <c r="K3232" s="29">
        <v>6.9799970986679241E-2</v>
      </c>
    </row>
    <row r="3233" spans="1:11" x14ac:dyDescent="0.25">
      <c r="A3233" s="5" t="s">
        <v>6</v>
      </c>
      <c r="B3233" s="5" t="s">
        <v>15817</v>
      </c>
      <c r="C3233" s="1" t="s">
        <v>15818</v>
      </c>
      <c r="D3233" s="5" t="s">
        <v>17265</v>
      </c>
      <c r="E3233" s="32">
        <v>1</v>
      </c>
      <c r="F3233" s="27">
        <v>433</v>
      </c>
      <c r="I3233" s="27">
        <v>433</v>
      </c>
    </row>
    <row r="3234" spans="1:11" x14ac:dyDescent="0.25">
      <c r="A3234" s="5" t="s">
        <v>6</v>
      </c>
      <c r="B3234" s="5" t="s">
        <v>15820</v>
      </c>
      <c r="C3234" s="1" t="s">
        <v>15821</v>
      </c>
      <c r="D3234" s="5" t="s">
        <v>17263</v>
      </c>
      <c r="E3234" s="32">
        <v>3</v>
      </c>
      <c r="F3234" s="27">
        <v>6279</v>
      </c>
      <c r="I3234" s="27">
        <v>2093</v>
      </c>
    </row>
    <row r="3235" spans="1:11" x14ac:dyDescent="0.25">
      <c r="A3235" s="5" t="s">
        <v>6</v>
      </c>
      <c r="B3235" s="5" t="s">
        <v>15826</v>
      </c>
      <c r="C3235" s="1" t="s">
        <v>15827</v>
      </c>
      <c r="D3235" s="5" t="s">
        <v>18433</v>
      </c>
      <c r="E3235" s="32">
        <v>29</v>
      </c>
      <c r="F3235" s="27">
        <v>54338</v>
      </c>
      <c r="G3235" s="32">
        <v>26</v>
      </c>
      <c r="H3235" s="27">
        <v>51400</v>
      </c>
      <c r="I3235" s="27">
        <v>1873.7241379310344</v>
      </c>
      <c r="J3235" s="27">
        <v>1976.9230769230769</v>
      </c>
      <c r="K3235" s="29">
        <v>5.5076911751798595E-2</v>
      </c>
    </row>
    <row r="3236" spans="1:11" x14ac:dyDescent="0.25">
      <c r="A3236" s="5" t="s">
        <v>6</v>
      </c>
      <c r="B3236" s="5" t="s">
        <v>15829</v>
      </c>
      <c r="C3236" s="1" t="s">
        <v>15830</v>
      </c>
      <c r="D3236" s="5" t="s">
        <v>17260</v>
      </c>
      <c r="E3236" s="32">
        <v>13</v>
      </c>
      <c r="F3236" s="27">
        <v>242142</v>
      </c>
      <c r="G3236" s="32">
        <v>21</v>
      </c>
      <c r="H3236" s="27">
        <v>412564</v>
      </c>
      <c r="I3236" s="27">
        <v>18626.307692307691</v>
      </c>
      <c r="J3236" s="27">
        <v>19645.904761904763</v>
      </c>
      <c r="K3236" s="29">
        <v>5.4739623463760663E-2</v>
      </c>
    </row>
    <row r="3237" spans="1:11" x14ac:dyDescent="0.25">
      <c r="A3237" s="5" t="s">
        <v>6</v>
      </c>
      <c r="B3237" s="5" t="s">
        <v>15857</v>
      </c>
      <c r="C3237" s="1" t="s">
        <v>15858</v>
      </c>
      <c r="D3237" s="5" t="s">
        <v>18421</v>
      </c>
      <c r="E3237" s="32">
        <v>2</v>
      </c>
      <c r="F3237" s="27">
        <v>9621</v>
      </c>
      <c r="I3237" s="27">
        <v>4810.5</v>
      </c>
    </row>
    <row r="3238" spans="1:11" x14ac:dyDescent="0.25">
      <c r="A3238" s="5" t="s">
        <v>6</v>
      </c>
      <c r="B3238" s="5" t="s">
        <v>15860</v>
      </c>
      <c r="C3238" s="1" t="s">
        <v>15861</v>
      </c>
      <c r="D3238" s="5" t="s">
        <v>17263</v>
      </c>
      <c r="E3238" s="32">
        <v>2</v>
      </c>
      <c r="F3238" s="27">
        <v>1297</v>
      </c>
      <c r="I3238" s="27">
        <v>648.5</v>
      </c>
    </row>
    <row r="3239" spans="1:11" x14ac:dyDescent="0.25">
      <c r="A3239" s="5" t="s">
        <v>6</v>
      </c>
      <c r="B3239" s="5" t="s">
        <v>15863</v>
      </c>
      <c r="C3239" s="1" t="s">
        <v>15864</v>
      </c>
      <c r="D3239" s="5" t="s">
        <v>18428</v>
      </c>
      <c r="E3239" s="32">
        <v>169</v>
      </c>
      <c r="F3239" s="27">
        <v>99747</v>
      </c>
      <c r="G3239" s="32">
        <v>145</v>
      </c>
      <c r="H3239" s="27">
        <v>91803</v>
      </c>
      <c r="I3239" s="27">
        <v>590.21893491124263</v>
      </c>
      <c r="J3239" s="27">
        <v>633.12413793103451</v>
      </c>
      <c r="K3239" s="29">
        <v>7.2693708185156733E-2</v>
      </c>
    </row>
    <row r="3240" spans="1:11" x14ac:dyDescent="0.25">
      <c r="A3240" s="5" t="s">
        <v>6</v>
      </c>
      <c r="B3240" s="5" t="s">
        <v>15865</v>
      </c>
      <c r="C3240" s="1" t="s">
        <v>15866</v>
      </c>
      <c r="E3240" s="32">
        <v>6</v>
      </c>
      <c r="F3240" s="27">
        <v>3270</v>
      </c>
      <c r="I3240" s="27">
        <v>545</v>
      </c>
    </row>
    <row r="3241" spans="1:11" x14ac:dyDescent="0.25">
      <c r="A3241" s="5" t="s">
        <v>6</v>
      </c>
      <c r="B3241" s="5" t="s">
        <v>15867</v>
      </c>
      <c r="C3241" s="1" t="s">
        <v>15868</v>
      </c>
      <c r="D3241" s="5" t="s">
        <v>18434</v>
      </c>
      <c r="E3241" s="32">
        <v>3</v>
      </c>
      <c r="F3241" s="27">
        <v>3585</v>
      </c>
      <c r="I3241" s="27">
        <v>1195</v>
      </c>
    </row>
    <row r="3242" spans="1:11" x14ac:dyDescent="0.25">
      <c r="A3242" s="5" t="s">
        <v>6</v>
      </c>
      <c r="B3242" s="5" t="s">
        <v>15910</v>
      </c>
      <c r="C3242" s="1" t="s">
        <v>15911</v>
      </c>
      <c r="D3242" s="5" t="s">
        <v>17218</v>
      </c>
      <c r="E3242" s="32">
        <v>3</v>
      </c>
      <c r="F3242" s="27">
        <v>56274.16</v>
      </c>
      <c r="I3242" s="27">
        <v>18758.053333333333</v>
      </c>
    </row>
    <row r="3243" spans="1:11" x14ac:dyDescent="0.25">
      <c r="A3243" s="5" t="s">
        <v>6</v>
      </c>
      <c r="B3243" s="5" t="s">
        <v>15921</v>
      </c>
      <c r="C3243" s="1" t="s">
        <v>15922</v>
      </c>
      <c r="D3243" s="5" t="s">
        <v>17213</v>
      </c>
      <c r="E3243" s="32">
        <v>1</v>
      </c>
      <c r="F3243" s="27">
        <v>4388.6000000000004</v>
      </c>
      <c r="I3243" s="27">
        <v>4388.6000000000004</v>
      </c>
    </row>
    <row r="3244" spans="1:11" x14ac:dyDescent="0.25">
      <c r="A3244" s="5" t="s">
        <v>6</v>
      </c>
      <c r="B3244" s="5" t="s">
        <v>15925</v>
      </c>
      <c r="C3244" s="1" t="s">
        <v>15926</v>
      </c>
      <c r="D3244" s="5" t="s">
        <v>17213</v>
      </c>
      <c r="E3244" s="32">
        <v>27</v>
      </c>
      <c r="F3244" s="27">
        <v>80869.62</v>
      </c>
      <c r="G3244" s="32">
        <v>21</v>
      </c>
      <c r="H3244" s="27">
        <v>56266.76</v>
      </c>
      <c r="I3244" s="27">
        <v>2995.1711111111108</v>
      </c>
      <c r="J3244" s="27">
        <v>2679.3695238095238</v>
      </c>
      <c r="K3244" s="29">
        <v>-0.10543691014181654</v>
      </c>
    </row>
    <row r="3245" spans="1:11" x14ac:dyDescent="0.25">
      <c r="A3245" s="5" t="s">
        <v>6</v>
      </c>
      <c r="B3245" s="5" t="s">
        <v>15927</v>
      </c>
      <c r="C3245" s="1" t="s">
        <v>15928</v>
      </c>
      <c r="D3245" s="5" t="s">
        <v>17213</v>
      </c>
      <c r="E3245" s="32">
        <v>60</v>
      </c>
      <c r="F3245" s="27">
        <v>1018125.43</v>
      </c>
      <c r="G3245" s="32">
        <v>54</v>
      </c>
      <c r="H3245" s="27">
        <v>804253.77</v>
      </c>
      <c r="I3245" s="27">
        <v>16968.757166666666</v>
      </c>
      <c r="J3245" s="27">
        <v>14893.588333333333</v>
      </c>
      <c r="K3245" s="29">
        <v>-0.12229350758874571</v>
      </c>
    </row>
    <row r="3246" spans="1:11" x14ac:dyDescent="0.25">
      <c r="A3246" s="5" t="s">
        <v>6</v>
      </c>
      <c r="B3246" s="5" t="s">
        <v>15938</v>
      </c>
      <c r="C3246" s="1" t="s">
        <v>15939</v>
      </c>
      <c r="D3246" s="5" t="s">
        <v>17213</v>
      </c>
      <c r="E3246" s="32">
        <v>2</v>
      </c>
      <c r="F3246" s="27">
        <v>50663.42</v>
      </c>
      <c r="G3246" s="32">
        <v>6</v>
      </c>
      <c r="H3246" s="27">
        <v>166325.51999999999</v>
      </c>
      <c r="I3246" s="27">
        <v>25331.71</v>
      </c>
      <c r="J3246" s="27">
        <v>27720.92</v>
      </c>
      <c r="K3246" s="29">
        <v>9.4316964784453922E-2</v>
      </c>
    </row>
    <row r="3247" spans="1:11" x14ac:dyDescent="0.25">
      <c r="A3247" s="5" t="s">
        <v>6</v>
      </c>
      <c r="B3247" s="5" t="s">
        <v>15945</v>
      </c>
      <c r="C3247" s="1" t="s">
        <v>15946</v>
      </c>
      <c r="D3247" s="5" t="s">
        <v>17213</v>
      </c>
      <c r="E3247" s="32">
        <v>3</v>
      </c>
      <c r="F3247" s="27">
        <v>8571.42</v>
      </c>
      <c r="I3247" s="27">
        <v>2857.14</v>
      </c>
    </row>
    <row r="3248" spans="1:11" x14ac:dyDescent="0.25">
      <c r="A3248" s="5" t="s">
        <v>6</v>
      </c>
      <c r="B3248" s="5" t="s">
        <v>15948</v>
      </c>
      <c r="C3248" s="1" t="s">
        <v>15949</v>
      </c>
      <c r="D3248" s="5" t="s">
        <v>17213</v>
      </c>
      <c r="E3248" s="32">
        <v>15</v>
      </c>
      <c r="F3248" s="27">
        <v>50460.639999999999</v>
      </c>
      <c r="G3248" s="32">
        <v>14</v>
      </c>
      <c r="H3248" s="27">
        <v>33557.120000000003</v>
      </c>
      <c r="I3248" s="27">
        <v>3364.0426666666667</v>
      </c>
      <c r="J3248" s="27">
        <v>2396.937142857143</v>
      </c>
      <c r="K3248" s="29">
        <v>-0.28748313253939811</v>
      </c>
    </row>
    <row r="3249" spans="1:11" x14ac:dyDescent="0.25">
      <c r="A3249" s="5" t="s">
        <v>6</v>
      </c>
      <c r="B3249" s="5" t="s">
        <v>15956</v>
      </c>
      <c r="C3249" s="1" t="s">
        <v>15957</v>
      </c>
      <c r="D3249" s="5" t="s">
        <v>17213</v>
      </c>
      <c r="E3249" s="32">
        <v>0</v>
      </c>
      <c r="F3249" s="27">
        <v>0</v>
      </c>
      <c r="G3249" s="32">
        <v>2</v>
      </c>
      <c r="H3249" s="27">
        <v>2192</v>
      </c>
      <c r="J3249" s="27">
        <v>1096</v>
      </c>
    </row>
    <row r="3250" spans="1:11" x14ac:dyDescent="0.25">
      <c r="A3250" s="5" t="s">
        <v>6</v>
      </c>
      <c r="B3250" s="5" t="s">
        <v>15958</v>
      </c>
      <c r="C3250" s="1" t="s">
        <v>15959</v>
      </c>
      <c r="D3250" s="5" t="s">
        <v>17213</v>
      </c>
      <c r="E3250" s="32">
        <v>3</v>
      </c>
      <c r="F3250" s="27">
        <v>6969</v>
      </c>
      <c r="I3250" s="27">
        <v>2323</v>
      </c>
    </row>
    <row r="3251" spans="1:11" x14ac:dyDescent="0.25">
      <c r="A3251" s="5" t="s">
        <v>6</v>
      </c>
      <c r="B3251" s="5" t="s">
        <v>15961</v>
      </c>
      <c r="C3251" s="1" t="s">
        <v>15962</v>
      </c>
      <c r="D3251" s="5" t="s">
        <v>17213</v>
      </c>
      <c r="G3251" s="32">
        <v>121</v>
      </c>
      <c r="H3251" s="27">
        <v>302500</v>
      </c>
      <c r="J3251" s="27">
        <v>2500</v>
      </c>
    </row>
    <row r="3252" spans="1:11" x14ac:dyDescent="0.25">
      <c r="A3252" s="5" t="s">
        <v>6</v>
      </c>
      <c r="B3252" s="5" t="s">
        <v>15970</v>
      </c>
      <c r="C3252" s="1" t="s">
        <v>15971</v>
      </c>
      <c r="D3252" s="5" t="s">
        <v>17213</v>
      </c>
      <c r="E3252" s="32">
        <v>14</v>
      </c>
      <c r="F3252" s="27">
        <v>233212.14</v>
      </c>
      <c r="G3252" s="32">
        <v>16</v>
      </c>
      <c r="H3252" s="27">
        <v>1082752.25</v>
      </c>
      <c r="I3252" s="27">
        <v>16658.010000000002</v>
      </c>
      <c r="J3252" s="27">
        <v>67672.015625</v>
      </c>
      <c r="K3252" s="29">
        <v>3.0624309641427754</v>
      </c>
    </row>
    <row r="3253" spans="1:11" x14ac:dyDescent="0.25">
      <c r="A3253" s="5" t="s">
        <v>6</v>
      </c>
      <c r="B3253" s="5" t="s">
        <v>15984</v>
      </c>
      <c r="C3253" s="1" t="s">
        <v>15985</v>
      </c>
      <c r="D3253" s="5" t="s">
        <v>17233</v>
      </c>
      <c r="E3253" s="32">
        <v>4</v>
      </c>
      <c r="F3253" s="27">
        <v>85708.800000000003</v>
      </c>
      <c r="I3253" s="27">
        <v>21427.200000000001</v>
      </c>
    </row>
    <row r="3254" spans="1:11" x14ac:dyDescent="0.25">
      <c r="A3254" s="5" t="s">
        <v>6</v>
      </c>
      <c r="B3254" s="5" t="s">
        <v>15989</v>
      </c>
      <c r="C3254" s="1" t="s">
        <v>15990</v>
      </c>
      <c r="D3254" s="5" t="s">
        <v>18435</v>
      </c>
      <c r="E3254" s="32">
        <v>1</v>
      </c>
      <c r="F3254" s="27">
        <v>19014</v>
      </c>
      <c r="I3254" s="27">
        <v>19014</v>
      </c>
    </row>
    <row r="3255" spans="1:11" x14ac:dyDescent="0.25">
      <c r="A3255" s="5" t="s">
        <v>6</v>
      </c>
      <c r="B3255" s="5" t="s">
        <v>15991</v>
      </c>
      <c r="C3255" s="1" t="s">
        <v>15992</v>
      </c>
      <c r="D3255" s="5" t="s">
        <v>17213</v>
      </c>
      <c r="G3255" s="32">
        <v>8</v>
      </c>
      <c r="H3255" s="27">
        <v>52087.44</v>
      </c>
      <c r="J3255" s="27">
        <v>6510.93</v>
      </c>
    </row>
    <row r="3256" spans="1:11" x14ac:dyDescent="0.25">
      <c r="A3256" s="5" t="s">
        <v>6</v>
      </c>
      <c r="B3256" s="5" t="s">
        <v>16003</v>
      </c>
      <c r="C3256" s="1" t="s">
        <v>16004</v>
      </c>
      <c r="D3256" s="5" t="s">
        <v>17213</v>
      </c>
      <c r="E3256" s="32">
        <v>1</v>
      </c>
      <c r="F3256" s="27">
        <v>1507</v>
      </c>
      <c r="I3256" s="27">
        <v>1507</v>
      </c>
    </row>
    <row r="3257" spans="1:11" x14ac:dyDescent="0.25">
      <c r="A3257" s="5" t="s">
        <v>6</v>
      </c>
      <c r="B3257" s="5" t="s">
        <v>16006</v>
      </c>
      <c r="C3257" s="1" t="s">
        <v>16007</v>
      </c>
      <c r="D3257" s="5" t="s">
        <v>17233</v>
      </c>
      <c r="E3257" s="32">
        <v>2</v>
      </c>
      <c r="F3257" s="27">
        <v>35238.839999999997</v>
      </c>
      <c r="I3257" s="27">
        <v>17619.419999999998</v>
      </c>
    </row>
    <row r="3258" spans="1:11" x14ac:dyDescent="0.25">
      <c r="A3258" s="5" t="s">
        <v>6</v>
      </c>
      <c r="B3258" s="5" t="s">
        <v>16009</v>
      </c>
      <c r="C3258" s="1" t="s">
        <v>16010</v>
      </c>
      <c r="D3258" s="5" t="s">
        <v>17213</v>
      </c>
      <c r="E3258" s="32">
        <v>5</v>
      </c>
      <c r="F3258" s="27">
        <v>11333</v>
      </c>
      <c r="G3258" s="32">
        <v>4</v>
      </c>
      <c r="H3258" s="27">
        <v>9948</v>
      </c>
      <c r="I3258" s="27">
        <v>2266.6</v>
      </c>
      <c r="J3258" s="27">
        <v>2487</v>
      </c>
      <c r="K3258" s="29">
        <v>9.7238154063354842E-2</v>
      </c>
    </row>
    <row r="3259" spans="1:11" x14ac:dyDescent="0.25">
      <c r="A3259" s="5" t="s">
        <v>6</v>
      </c>
      <c r="B3259" s="5" t="s">
        <v>16012</v>
      </c>
      <c r="C3259" s="1" t="s">
        <v>16013</v>
      </c>
      <c r="D3259" s="5" t="s">
        <v>17213</v>
      </c>
      <c r="E3259" s="32">
        <v>5</v>
      </c>
      <c r="F3259" s="27">
        <v>38012.230000000003</v>
      </c>
      <c r="G3259" s="32">
        <v>3</v>
      </c>
      <c r="H3259" s="27">
        <v>31853.88</v>
      </c>
      <c r="I3259" s="27">
        <v>7602.4460000000008</v>
      </c>
      <c r="J3259" s="27">
        <v>10617.960000000001</v>
      </c>
      <c r="K3259" s="29">
        <v>0.39665049906306465</v>
      </c>
    </row>
    <row r="3260" spans="1:11" x14ac:dyDescent="0.25">
      <c r="A3260" s="5" t="s">
        <v>6</v>
      </c>
      <c r="B3260" s="5" t="s">
        <v>16015</v>
      </c>
      <c r="C3260" s="1" t="s">
        <v>16016</v>
      </c>
      <c r="D3260" s="5" t="s">
        <v>17213</v>
      </c>
      <c r="E3260" s="32">
        <v>51</v>
      </c>
      <c r="F3260" s="27">
        <v>853440</v>
      </c>
      <c r="G3260" s="32">
        <v>70</v>
      </c>
      <c r="H3260" s="27">
        <v>1138562.28</v>
      </c>
      <c r="I3260" s="27">
        <v>16734.117647058825</v>
      </c>
      <c r="J3260" s="27">
        <v>16265.175428571429</v>
      </c>
      <c r="K3260" s="29">
        <v>-2.8023121886549988E-2</v>
      </c>
    </row>
    <row r="3261" spans="1:11" x14ac:dyDescent="0.25">
      <c r="A3261" s="5" t="s">
        <v>6</v>
      </c>
      <c r="B3261" s="5" t="s">
        <v>16059</v>
      </c>
      <c r="C3261" s="1" t="s">
        <v>16060</v>
      </c>
      <c r="D3261" s="5" t="s">
        <v>17218</v>
      </c>
      <c r="E3261" s="32">
        <v>0</v>
      </c>
      <c r="F3261" s="27">
        <v>0</v>
      </c>
      <c r="G3261" s="32">
        <v>1</v>
      </c>
      <c r="H3261" s="27">
        <v>3453</v>
      </c>
      <c r="J3261" s="27">
        <v>3453</v>
      </c>
    </row>
    <row r="3262" spans="1:11" x14ac:dyDescent="0.25">
      <c r="A3262" s="5" t="s">
        <v>6</v>
      </c>
      <c r="B3262" s="5" t="s">
        <v>16069</v>
      </c>
      <c r="C3262" s="1" t="s">
        <v>16070</v>
      </c>
      <c r="D3262" s="5" t="s">
        <v>17218</v>
      </c>
      <c r="G3262" s="32">
        <v>1</v>
      </c>
      <c r="H3262" s="27">
        <v>5896.22</v>
      </c>
      <c r="J3262" s="27">
        <v>5896.22</v>
      </c>
    </row>
    <row r="3263" spans="1:11" x14ac:dyDescent="0.25">
      <c r="A3263" s="5" t="s">
        <v>6</v>
      </c>
      <c r="B3263" s="5" t="s">
        <v>16076</v>
      </c>
      <c r="C3263" s="1" t="s">
        <v>16077</v>
      </c>
      <c r="D3263" s="5" t="s">
        <v>17218</v>
      </c>
      <c r="E3263" s="32">
        <v>3</v>
      </c>
      <c r="F3263" s="27">
        <v>53925.1</v>
      </c>
      <c r="G3263" s="32">
        <v>1</v>
      </c>
      <c r="H3263" s="27">
        <v>22639.200000000001</v>
      </c>
      <c r="I3263" s="27">
        <v>17975.033333333333</v>
      </c>
      <c r="J3263" s="27">
        <v>22639.200000000001</v>
      </c>
      <c r="K3263" s="29">
        <v>0.25948027912790156</v>
      </c>
    </row>
    <row r="3264" spans="1:11" x14ac:dyDescent="0.25">
      <c r="A3264" s="5" t="s">
        <v>6</v>
      </c>
      <c r="B3264" s="5" t="s">
        <v>16092</v>
      </c>
      <c r="C3264" s="1" t="s">
        <v>16093</v>
      </c>
      <c r="D3264" s="5" t="s">
        <v>18436</v>
      </c>
      <c r="E3264" s="32">
        <v>2</v>
      </c>
      <c r="F3264" s="27">
        <v>13054.71</v>
      </c>
      <c r="G3264" s="32">
        <v>3</v>
      </c>
      <c r="H3264" s="27">
        <v>30106.54</v>
      </c>
      <c r="I3264" s="27">
        <v>6527.3549999999996</v>
      </c>
      <c r="J3264" s="27">
        <v>10035.513333333334</v>
      </c>
      <c r="K3264" s="29">
        <v>0.53745480877527496</v>
      </c>
    </row>
    <row r="3265" spans="1:11" x14ac:dyDescent="0.25">
      <c r="A3265" s="5" t="s">
        <v>6</v>
      </c>
      <c r="B3265" s="5" t="s">
        <v>16097</v>
      </c>
      <c r="C3265" s="1" t="s">
        <v>16098</v>
      </c>
      <c r="D3265" s="5" t="s">
        <v>17213</v>
      </c>
      <c r="E3265" s="32">
        <v>2405</v>
      </c>
      <c r="F3265" s="27">
        <v>2518673.79</v>
      </c>
      <c r="G3265" s="32">
        <v>1890</v>
      </c>
      <c r="H3265" s="27">
        <v>1973360.22</v>
      </c>
      <c r="I3265" s="27">
        <v>1047.2656091476092</v>
      </c>
      <c r="J3265" s="27">
        <v>1044.1059365079366</v>
      </c>
      <c r="K3265" s="29">
        <v>-3.0170690339429338E-3</v>
      </c>
    </row>
    <row r="3266" spans="1:11" x14ac:dyDescent="0.25">
      <c r="A3266" s="5" t="s">
        <v>6</v>
      </c>
      <c r="B3266" s="5" t="s">
        <v>16101</v>
      </c>
      <c r="C3266" s="1" t="s">
        <v>16102</v>
      </c>
      <c r="D3266" s="5" t="s">
        <v>17213</v>
      </c>
      <c r="E3266" s="32">
        <v>18</v>
      </c>
      <c r="F3266" s="27">
        <v>42107.76</v>
      </c>
      <c r="I3266" s="27">
        <v>2339.3200000000002</v>
      </c>
    </row>
    <row r="3267" spans="1:11" x14ac:dyDescent="0.25">
      <c r="A3267" s="5" t="s">
        <v>6</v>
      </c>
      <c r="B3267" s="5" t="s">
        <v>16105</v>
      </c>
      <c r="C3267" s="1" t="s">
        <v>16106</v>
      </c>
      <c r="D3267" s="5" t="s">
        <v>17213</v>
      </c>
      <c r="E3267" s="32">
        <v>18</v>
      </c>
      <c r="F3267" s="27">
        <v>7084</v>
      </c>
      <c r="I3267" s="27">
        <v>393.55555555555554</v>
      </c>
    </row>
    <row r="3268" spans="1:11" x14ac:dyDescent="0.25">
      <c r="A3268" s="5" t="s">
        <v>6</v>
      </c>
      <c r="B3268" s="5" t="s">
        <v>16112</v>
      </c>
      <c r="C3268" s="1" t="s">
        <v>16113</v>
      </c>
      <c r="D3268" s="5" t="s">
        <v>17213</v>
      </c>
      <c r="G3268" s="32">
        <v>1</v>
      </c>
      <c r="H3268" s="27">
        <v>1047.1600000000001</v>
      </c>
      <c r="J3268" s="27">
        <v>1047.1600000000001</v>
      </c>
    </row>
    <row r="3269" spans="1:11" x14ac:dyDescent="0.25">
      <c r="A3269" s="5" t="s">
        <v>6</v>
      </c>
      <c r="B3269" s="5" t="s">
        <v>16138</v>
      </c>
      <c r="C3269" s="1" t="s">
        <v>16139</v>
      </c>
      <c r="D3269" s="5" t="s">
        <v>17213</v>
      </c>
      <c r="E3269" s="32">
        <v>1</v>
      </c>
      <c r="F3269" s="27">
        <v>336.01</v>
      </c>
      <c r="G3269" s="32">
        <v>2</v>
      </c>
      <c r="H3269" s="27">
        <v>474</v>
      </c>
      <c r="I3269" s="27">
        <v>336.01</v>
      </c>
      <c r="J3269" s="27">
        <v>237</v>
      </c>
      <c r="K3269" s="29">
        <v>-0.29466384929019968</v>
      </c>
    </row>
    <row r="3270" spans="1:11" x14ac:dyDescent="0.25">
      <c r="A3270" s="5" t="s">
        <v>6</v>
      </c>
      <c r="B3270" s="5" t="s">
        <v>16143</v>
      </c>
      <c r="C3270" s="1" t="s">
        <v>16144</v>
      </c>
      <c r="D3270" s="5" t="s">
        <v>17213</v>
      </c>
      <c r="E3270" s="32">
        <v>363</v>
      </c>
      <c r="F3270" s="27">
        <v>139493</v>
      </c>
      <c r="G3270" s="32">
        <v>320</v>
      </c>
      <c r="H3270" s="27">
        <v>133090.79999999999</v>
      </c>
      <c r="I3270" s="27">
        <v>384.27823691460054</v>
      </c>
      <c r="J3270" s="27">
        <v>415.90874999999994</v>
      </c>
      <c r="K3270" s="29">
        <v>8.2311486956334598E-2</v>
      </c>
    </row>
    <row r="3271" spans="1:11" x14ac:dyDescent="0.25">
      <c r="A3271" s="5" t="s">
        <v>6</v>
      </c>
      <c r="B3271" s="5" t="s">
        <v>16146</v>
      </c>
      <c r="C3271" s="1" t="s">
        <v>16147</v>
      </c>
      <c r="D3271" s="5" t="s">
        <v>17213</v>
      </c>
      <c r="E3271" s="32">
        <v>39</v>
      </c>
      <c r="F3271" s="27">
        <v>16342</v>
      </c>
      <c r="G3271" s="32">
        <v>51</v>
      </c>
      <c r="H3271" s="27">
        <v>23120</v>
      </c>
      <c r="I3271" s="27">
        <v>419.02564102564105</v>
      </c>
      <c r="J3271" s="27">
        <v>453.33333333333331</v>
      </c>
      <c r="K3271" s="29">
        <v>8.187492350997419E-2</v>
      </c>
    </row>
    <row r="3272" spans="1:11" x14ac:dyDescent="0.25">
      <c r="A3272" s="5" t="s">
        <v>6</v>
      </c>
      <c r="B3272" s="5" t="s">
        <v>16152</v>
      </c>
      <c r="C3272" s="1" t="s">
        <v>16153</v>
      </c>
      <c r="D3272" s="5" t="s">
        <v>17213</v>
      </c>
      <c r="G3272" s="32">
        <v>1</v>
      </c>
      <c r="H3272" s="27">
        <v>15512.56</v>
      </c>
      <c r="J3272" s="27">
        <v>15512.56</v>
      </c>
    </row>
    <row r="3273" spans="1:11" x14ac:dyDescent="0.25">
      <c r="A3273" s="5" t="s">
        <v>6</v>
      </c>
      <c r="B3273" s="5" t="s">
        <v>16161</v>
      </c>
      <c r="C3273" s="1" t="s">
        <v>16162</v>
      </c>
      <c r="D3273" s="5" t="s">
        <v>17233</v>
      </c>
      <c r="E3273" s="32">
        <v>1</v>
      </c>
      <c r="F3273" s="27">
        <v>10713.6</v>
      </c>
      <c r="I3273" s="27">
        <v>10713.6</v>
      </c>
    </row>
    <row r="3274" spans="1:11" x14ac:dyDescent="0.25">
      <c r="A3274" s="5" t="s">
        <v>6</v>
      </c>
      <c r="B3274" s="5" t="s">
        <v>16178</v>
      </c>
      <c r="C3274" s="1" t="s">
        <v>16179</v>
      </c>
      <c r="D3274" s="5" t="s">
        <v>17213</v>
      </c>
      <c r="E3274" s="32">
        <v>1</v>
      </c>
      <c r="F3274" s="27">
        <v>104</v>
      </c>
      <c r="I3274" s="27">
        <v>104</v>
      </c>
    </row>
    <row r="3275" spans="1:11" x14ac:dyDescent="0.25">
      <c r="A3275" s="5" t="s">
        <v>6</v>
      </c>
      <c r="B3275" s="5" t="s">
        <v>16184</v>
      </c>
      <c r="C3275" s="1" t="s">
        <v>16185</v>
      </c>
      <c r="D3275" s="5" t="s">
        <v>18421</v>
      </c>
      <c r="E3275" s="32">
        <v>32</v>
      </c>
      <c r="F3275" s="27">
        <v>38762.53</v>
      </c>
      <c r="G3275" s="32">
        <v>17</v>
      </c>
      <c r="H3275" s="27">
        <v>23246.37</v>
      </c>
      <c r="I3275" s="27">
        <v>1211.3290625</v>
      </c>
      <c r="J3275" s="27">
        <v>1367.4335294117645</v>
      </c>
      <c r="K3275" s="29">
        <v>0.12887040503229449</v>
      </c>
    </row>
    <row r="3276" spans="1:11" x14ac:dyDescent="0.25">
      <c r="A3276" s="5" t="s">
        <v>6</v>
      </c>
      <c r="B3276" s="5" t="s">
        <v>16197</v>
      </c>
      <c r="C3276" s="1" t="s">
        <v>16198</v>
      </c>
      <c r="D3276" s="5" t="s">
        <v>17241</v>
      </c>
      <c r="E3276" s="32">
        <v>13</v>
      </c>
      <c r="F3276" s="27">
        <v>21965</v>
      </c>
      <c r="G3276" s="32">
        <v>8</v>
      </c>
      <c r="H3276" s="27">
        <v>14552</v>
      </c>
      <c r="I3276" s="27">
        <v>1689.6153846153845</v>
      </c>
      <c r="J3276" s="27">
        <v>1819</v>
      </c>
      <c r="K3276" s="29">
        <v>7.6576371500113871E-2</v>
      </c>
    </row>
    <row r="3277" spans="1:11" x14ac:dyDescent="0.25">
      <c r="A3277" s="5" t="s">
        <v>6</v>
      </c>
      <c r="B3277" s="5" t="s">
        <v>16200</v>
      </c>
      <c r="C3277" s="1" t="s">
        <v>16201</v>
      </c>
      <c r="D3277" s="5" t="s">
        <v>17241</v>
      </c>
      <c r="E3277" s="32">
        <v>134</v>
      </c>
      <c r="F3277" s="27">
        <v>8898</v>
      </c>
      <c r="G3277" s="32">
        <v>137</v>
      </c>
      <c r="H3277" s="27">
        <v>9614</v>
      </c>
      <c r="I3277" s="27">
        <v>66.402985074626869</v>
      </c>
      <c r="J3277" s="27">
        <v>70.175182481751818</v>
      </c>
      <c r="K3277" s="29">
        <v>5.680764807313364E-2</v>
      </c>
    </row>
    <row r="3278" spans="1:11" x14ac:dyDescent="0.25">
      <c r="A3278" s="5" t="s">
        <v>6</v>
      </c>
      <c r="B3278" s="5" t="s">
        <v>16206</v>
      </c>
      <c r="C3278" s="1" t="s">
        <v>16207</v>
      </c>
      <c r="D3278" s="5" t="s">
        <v>17242</v>
      </c>
      <c r="E3278" s="32">
        <v>0</v>
      </c>
      <c r="F3278" s="27">
        <v>0</v>
      </c>
      <c r="G3278" s="32">
        <v>3</v>
      </c>
      <c r="H3278" s="27">
        <v>2808</v>
      </c>
      <c r="J3278" s="27">
        <v>936</v>
      </c>
    </row>
    <row r="3279" spans="1:11" x14ac:dyDescent="0.25">
      <c r="A3279" s="5" t="s">
        <v>6</v>
      </c>
      <c r="B3279" s="5" t="s">
        <v>16216</v>
      </c>
      <c r="C3279" s="1" t="s">
        <v>16217</v>
      </c>
      <c r="D3279" s="5" t="s">
        <v>17241</v>
      </c>
      <c r="E3279" s="32">
        <v>14</v>
      </c>
      <c r="F3279" s="27">
        <v>13764.6</v>
      </c>
      <c r="G3279" s="32">
        <v>9</v>
      </c>
      <c r="H3279" s="27">
        <v>12342.44</v>
      </c>
      <c r="I3279" s="27">
        <v>983.18571428571431</v>
      </c>
      <c r="J3279" s="27">
        <v>1371.3822222222223</v>
      </c>
      <c r="K3279" s="29">
        <v>0.39483538287426523</v>
      </c>
    </row>
    <row r="3280" spans="1:11" x14ac:dyDescent="0.25">
      <c r="A3280" s="5" t="s">
        <v>6</v>
      </c>
      <c r="B3280" s="5" t="s">
        <v>16222</v>
      </c>
      <c r="C3280" s="1" t="s">
        <v>16223</v>
      </c>
      <c r="D3280" s="5" t="s">
        <v>17241</v>
      </c>
      <c r="E3280" s="32">
        <v>1</v>
      </c>
      <c r="F3280" s="27">
        <v>4457</v>
      </c>
      <c r="I3280" s="27">
        <v>4457</v>
      </c>
    </row>
    <row r="3281" spans="1:11" x14ac:dyDescent="0.25">
      <c r="A3281" s="5" t="s">
        <v>6</v>
      </c>
      <c r="B3281" s="5" t="s">
        <v>16224</v>
      </c>
      <c r="C3281" s="1" t="s">
        <v>16225</v>
      </c>
      <c r="D3281" s="5" t="s">
        <v>17241</v>
      </c>
      <c r="E3281" s="32">
        <v>4</v>
      </c>
      <c r="F3281" s="27">
        <v>11098.73</v>
      </c>
      <c r="G3281" s="32">
        <v>4</v>
      </c>
      <c r="H3281" s="27">
        <v>15790.63</v>
      </c>
      <c r="I3281" s="27">
        <v>2774.6824999999999</v>
      </c>
      <c r="J3281" s="27">
        <v>3947.6574999999998</v>
      </c>
      <c r="K3281" s="29">
        <v>0.42274206147910615</v>
      </c>
    </row>
    <row r="3282" spans="1:11" x14ac:dyDescent="0.25">
      <c r="A3282" s="5" t="s">
        <v>6</v>
      </c>
      <c r="B3282" s="5" t="s">
        <v>16227</v>
      </c>
      <c r="C3282" s="1" t="s">
        <v>16228</v>
      </c>
      <c r="E3282" s="32">
        <v>35</v>
      </c>
      <c r="F3282" s="27">
        <v>10242275</v>
      </c>
      <c r="G3282" s="32">
        <v>29</v>
      </c>
      <c r="H3282" s="27">
        <v>9012836</v>
      </c>
      <c r="I3282" s="27">
        <v>292636.42857142858</v>
      </c>
      <c r="J3282" s="27">
        <v>310787.44827586209</v>
      </c>
      <c r="K3282" s="29">
        <v>6.2025837975954831E-2</v>
      </c>
    </row>
    <row r="3283" spans="1:11" x14ac:dyDescent="0.25">
      <c r="A3283" s="5" t="s">
        <v>6</v>
      </c>
      <c r="B3283" s="5" t="s">
        <v>16230</v>
      </c>
      <c r="C3283" s="1" t="s">
        <v>16231</v>
      </c>
      <c r="E3283" s="32">
        <v>0</v>
      </c>
      <c r="F3283" s="27">
        <v>0</v>
      </c>
      <c r="G3283" s="32">
        <v>3</v>
      </c>
      <c r="H3283" s="27">
        <v>77604.399999999994</v>
      </c>
      <c r="J3283" s="27">
        <v>25868.133333333331</v>
      </c>
    </row>
    <row r="3284" spans="1:11" x14ac:dyDescent="0.25">
      <c r="A3284" s="5" t="s">
        <v>6</v>
      </c>
      <c r="B3284" s="5" t="s">
        <v>16235</v>
      </c>
      <c r="C3284" s="1" t="s">
        <v>16236</v>
      </c>
      <c r="E3284" s="32">
        <v>22</v>
      </c>
      <c r="F3284" s="27">
        <v>1420355.6</v>
      </c>
      <c r="G3284" s="32">
        <v>11</v>
      </c>
      <c r="H3284" s="27">
        <v>827995.2</v>
      </c>
      <c r="I3284" s="27">
        <v>64561.618181818187</v>
      </c>
      <c r="J3284" s="27">
        <v>75272.290909090909</v>
      </c>
      <c r="K3284" s="29">
        <v>0.16589845528823899</v>
      </c>
    </row>
    <row r="3285" spans="1:11" x14ac:dyDescent="0.25">
      <c r="A3285" s="5" t="s">
        <v>6</v>
      </c>
      <c r="B3285" s="5" t="s">
        <v>16238</v>
      </c>
      <c r="C3285" s="1" t="s">
        <v>16239</v>
      </c>
      <c r="E3285" s="32">
        <v>34</v>
      </c>
      <c r="F3285" s="27">
        <v>37273.06</v>
      </c>
      <c r="G3285" s="32">
        <v>12</v>
      </c>
      <c r="H3285" s="27">
        <v>11232</v>
      </c>
      <c r="I3285" s="27">
        <v>1096.2664705882353</v>
      </c>
      <c r="J3285" s="27">
        <v>936</v>
      </c>
      <c r="K3285" s="29">
        <v>-0.14619298764308591</v>
      </c>
    </row>
    <row r="3286" spans="1:11" x14ac:dyDescent="0.25">
      <c r="A3286" s="5" t="s">
        <v>6</v>
      </c>
      <c r="B3286" s="5" t="s">
        <v>16240</v>
      </c>
      <c r="C3286" s="1" t="s">
        <v>16241</v>
      </c>
      <c r="E3286" s="32">
        <v>4</v>
      </c>
      <c r="F3286" s="27">
        <v>86120.83</v>
      </c>
      <c r="G3286" s="32">
        <v>3</v>
      </c>
      <c r="H3286" s="27">
        <v>117808.72</v>
      </c>
      <c r="I3286" s="27">
        <v>21530.2075</v>
      </c>
      <c r="J3286" s="27">
        <v>39269.573333333334</v>
      </c>
      <c r="K3286" s="29">
        <v>0.82392916247246262</v>
      </c>
    </row>
    <row r="3287" spans="1:11" x14ac:dyDescent="0.25">
      <c r="A3287" s="5" t="s">
        <v>6</v>
      </c>
      <c r="B3287" s="5" t="s">
        <v>16244</v>
      </c>
      <c r="C3287" s="1" t="s">
        <v>16245</v>
      </c>
      <c r="E3287" s="32">
        <v>1</v>
      </c>
      <c r="F3287" s="27">
        <v>545</v>
      </c>
      <c r="I3287" s="27">
        <v>545</v>
      </c>
    </row>
    <row r="3288" spans="1:11" x14ac:dyDescent="0.25">
      <c r="A3288" s="5" t="s">
        <v>6</v>
      </c>
      <c r="B3288" s="5" t="s">
        <v>16246</v>
      </c>
      <c r="C3288" s="1" t="s">
        <v>16247</v>
      </c>
      <c r="D3288" s="5" t="s">
        <v>17215</v>
      </c>
      <c r="E3288" s="32">
        <v>19</v>
      </c>
      <c r="F3288" s="27">
        <v>4892806</v>
      </c>
      <c r="G3288" s="32">
        <v>16</v>
      </c>
      <c r="H3288" s="27">
        <v>4357720</v>
      </c>
      <c r="I3288" s="27">
        <v>257516.10526315789</v>
      </c>
      <c r="J3288" s="27">
        <v>272357.5</v>
      </c>
      <c r="K3288" s="29">
        <v>5.7632879783093796E-2</v>
      </c>
    </row>
    <row r="3289" spans="1:11" x14ac:dyDescent="0.25">
      <c r="A3289" s="5" t="s">
        <v>6</v>
      </c>
      <c r="B3289" s="5" t="s">
        <v>16249</v>
      </c>
      <c r="C3289" s="1" t="s">
        <v>16250</v>
      </c>
      <c r="E3289" s="32">
        <v>1</v>
      </c>
      <c r="F3289" s="27">
        <v>142742</v>
      </c>
      <c r="I3289" s="27">
        <v>142742</v>
      </c>
    </row>
    <row r="3290" spans="1:11" x14ac:dyDescent="0.25">
      <c r="A3290" s="5" t="s">
        <v>6</v>
      </c>
      <c r="B3290" s="5" t="s">
        <v>16252</v>
      </c>
      <c r="C3290" s="1" t="s">
        <v>16253</v>
      </c>
      <c r="D3290" s="5" t="s">
        <v>18437</v>
      </c>
      <c r="E3290" s="32">
        <v>29</v>
      </c>
      <c r="F3290" s="27">
        <v>365739</v>
      </c>
      <c r="I3290" s="27">
        <v>12611.689655172413</v>
      </c>
    </row>
    <row r="3291" spans="1:11" x14ac:dyDescent="0.25">
      <c r="A3291" s="5" t="s">
        <v>6</v>
      </c>
      <c r="B3291" s="5" t="s">
        <v>16279</v>
      </c>
      <c r="C3291" s="1" t="s">
        <v>16280</v>
      </c>
      <c r="D3291" s="5" t="s">
        <v>17218</v>
      </c>
      <c r="E3291" s="32">
        <v>2</v>
      </c>
      <c r="F3291" s="27">
        <v>33251.839999999997</v>
      </c>
      <c r="I3291" s="27">
        <v>16625.919999999998</v>
      </c>
    </row>
    <row r="3292" spans="1:11" x14ac:dyDescent="0.25">
      <c r="A3292" s="5" t="s">
        <v>6</v>
      </c>
      <c r="B3292" s="5" t="s">
        <v>16286</v>
      </c>
      <c r="C3292" s="1" t="s">
        <v>16287</v>
      </c>
      <c r="D3292" s="5" t="s">
        <v>17213</v>
      </c>
      <c r="E3292" s="32">
        <v>66</v>
      </c>
      <c r="F3292" s="27">
        <v>199798.79</v>
      </c>
      <c r="G3292" s="32">
        <v>61</v>
      </c>
      <c r="H3292" s="27">
        <v>262734.87</v>
      </c>
      <c r="I3292" s="27">
        <v>3027.254393939394</v>
      </c>
      <c r="J3292" s="27">
        <v>4307.1290163934427</v>
      </c>
      <c r="K3292" s="29">
        <v>0.42278396722005779</v>
      </c>
    </row>
    <row r="3293" spans="1:11" x14ac:dyDescent="0.25">
      <c r="A3293" s="5" t="s">
        <v>6</v>
      </c>
      <c r="B3293" s="5" t="s">
        <v>16292</v>
      </c>
      <c r="C3293" s="1" t="s">
        <v>16293</v>
      </c>
      <c r="D3293" s="5" t="s">
        <v>17242</v>
      </c>
      <c r="E3293" s="32">
        <v>4</v>
      </c>
      <c r="F3293" s="27">
        <v>27557.68</v>
      </c>
      <c r="I3293" s="27">
        <v>6889.42</v>
      </c>
    </row>
    <row r="3294" spans="1:11" x14ac:dyDescent="0.25">
      <c r="A3294" s="5" t="s">
        <v>6</v>
      </c>
      <c r="B3294" s="5" t="s">
        <v>16304</v>
      </c>
      <c r="C3294" s="1" t="s">
        <v>16305</v>
      </c>
      <c r="D3294" s="5" t="s">
        <v>18438</v>
      </c>
      <c r="E3294" s="32">
        <v>135</v>
      </c>
      <c r="F3294" s="27">
        <v>41435</v>
      </c>
      <c r="G3294" s="32">
        <v>143</v>
      </c>
      <c r="H3294" s="27">
        <v>46773</v>
      </c>
      <c r="I3294" s="27">
        <v>306.92592592592592</v>
      </c>
      <c r="J3294" s="27">
        <v>327.08391608391611</v>
      </c>
      <c r="K3294" s="29">
        <v>6.5677052523921198E-2</v>
      </c>
    </row>
    <row r="3295" spans="1:11" x14ac:dyDescent="0.25">
      <c r="A3295" s="5" t="s">
        <v>6</v>
      </c>
      <c r="B3295" s="5" t="s">
        <v>16306</v>
      </c>
      <c r="C3295" s="1" t="s">
        <v>16307</v>
      </c>
      <c r="D3295" s="5" t="s">
        <v>18439</v>
      </c>
      <c r="E3295" s="32">
        <v>3</v>
      </c>
      <c r="F3295" s="27">
        <v>5114</v>
      </c>
      <c r="I3295" s="27">
        <v>1704.6666666666667</v>
      </c>
    </row>
    <row r="3296" spans="1:11" x14ac:dyDescent="0.25">
      <c r="A3296" s="5" t="s">
        <v>6</v>
      </c>
      <c r="B3296" s="5" t="s">
        <v>16315</v>
      </c>
      <c r="C3296" s="1" t="s">
        <v>16316</v>
      </c>
      <c r="D3296" s="5" t="s">
        <v>17213</v>
      </c>
      <c r="E3296" s="32">
        <v>0</v>
      </c>
      <c r="F3296" s="27">
        <v>0</v>
      </c>
      <c r="G3296" s="32">
        <v>5</v>
      </c>
      <c r="H3296" s="27">
        <v>1565</v>
      </c>
      <c r="J3296" s="27">
        <v>313</v>
      </c>
    </row>
    <row r="3297" spans="1:11" x14ac:dyDescent="0.25">
      <c r="A3297" s="5" t="s">
        <v>6</v>
      </c>
      <c r="B3297" s="5" t="s">
        <v>16317</v>
      </c>
      <c r="C3297" s="1" t="s">
        <v>16318</v>
      </c>
      <c r="D3297" s="5" t="s">
        <v>17213</v>
      </c>
      <c r="E3297" s="32">
        <v>10</v>
      </c>
      <c r="F3297" s="27">
        <v>28426.73</v>
      </c>
      <c r="I3297" s="27">
        <v>2842.6729999999998</v>
      </c>
    </row>
    <row r="3298" spans="1:11" x14ac:dyDescent="0.25">
      <c r="A3298" s="5" t="s">
        <v>6</v>
      </c>
      <c r="B3298" s="5" t="s">
        <v>16322</v>
      </c>
      <c r="C3298" s="1" t="s">
        <v>16323</v>
      </c>
      <c r="D3298" s="5" t="s">
        <v>18440</v>
      </c>
      <c r="E3298" s="32">
        <v>1</v>
      </c>
      <c r="F3298" s="27">
        <v>4442</v>
      </c>
      <c r="G3298" s="32">
        <v>6</v>
      </c>
      <c r="H3298" s="27">
        <v>28072</v>
      </c>
      <c r="I3298" s="27">
        <v>4442</v>
      </c>
      <c r="J3298" s="27">
        <v>4678.666666666667</v>
      </c>
      <c r="K3298" s="29">
        <v>5.3279303616989411E-2</v>
      </c>
    </row>
    <row r="3299" spans="1:11" x14ac:dyDescent="0.25">
      <c r="A3299" s="5" t="s">
        <v>6</v>
      </c>
      <c r="B3299" s="5" t="s">
        <v>16325</v>
      </c>
      <c r="C3299" s="1" t="s">
        <v>16326</v>
      </c>
      <c r="D3299" s="5" t="s">
        <v>17213</v>
      </c>
      <c r="E3299" s="32">
        <v>249</v>
      </c>
      <c r="F3299" s="27">
        <v>155168</v>
      </c>
      <c r="G3299" s="32">
        <v>184</v>
      </c>
      <c r="H3299" s="27">
        <v>121949</v>
      </c>
      <c r="I3299" s="27">
        <v>623.16465863453811</v>
      </c>
      <c r="J3299" s="27">
        <v>662.76630434782612</v>
      </c>
      <c r="K3299" s="29">
        <v>6.3549248444323025E-2</v>
      </c>
    </row>
    <row r="3300" spans="1:11" x14ac:dyDescent="0.25">
      <c r="A3300" s="5" t="s">
        <v>6</v>
      </c>
      <c r="B3300" s="5" t="s">
        <v>16329</v>
      </c>
      <c r="C3300" s="1" t="s">
        <v>16330</v>
      </c>
      <c r="D3300" s="5" t="s">
        <v>17213</v>
      </c>
      <c r="E3300" s="32">
        <v>0</v>
      </c>
      <c r="F3300" s="27">
        <v>0</v>
      </c>
      <c r="G3300" s="32">
        <v>85</v>
      </c>
      <c r="H3300" s="27">
        <v>83324</v>
      </c>
      <c r="J3300" s="27">
        <v>980.28235294117644</v>
      </c>
    </row>
    <row r="3301" spans="1:11" x14ac:dyDescent="0.25">
      <c r="A3301" s="5" t="s">
        <v>6</v>
      </c>
      <c r="B3301" s="5" t="s">
        <v>16331</v>
      </c>
      <c r="C3301" s="1" t="s">
        <v>16332</v>
      </c>
      <c r="E3301" s="32">
        <v>2</v>
      </c>
      <c r="F3301" s="27">
        <v>1020</v>
      </c>
      <c r="I3301" s="27">
        <v>510</v>
      </c>
    </row>
    <row r="3302" spans="1:11" x14ac:dyDescent="0.25">
      <c r="A3302" s="5" t="s">
        <v>6</v>
      </c>
      <c r="B3302" s="5" t="s">
        <v>16334</v>
      </c>
      <c r="C3302" s="1" t="s">
        <v>16335</v>
      </c>
      <c r="E3302" s="32">
        <v>40</v>
      </c>
      <c r="F3302" s="27">
        <v>888359</v>
      </c>
      <c r="G3302" s="32">
        <v>40</v>
      </c>
      <c r="H3302" s="27">
        <v>945890</v>
      </c>
      <c r="I3302" s="27">
        <v>22208.974999999999</v>
      </c>
      <c r="J3302" s="27">
        <v>23647.25</v>
      </c>
      <c r="K3302" s="29">
        <v>6.476098063958384E-2</v>
      </c>
    </row>
    <row r="3303" spans="1:11" x14ac:dyDescent="0.25">
      <c r="A3303" s="5" t="s">
        <v>6</v>
      </c>
      <c r="B3303" s="5" t="s">
        <v>16337</v>
      </c>
      <c r="C3303" s="1" t="s">
        <v>16338</v>
      </c>
      <c r="E3303" s="32">
        <v>8</v>
      </c>
      <c r="F3303" s="27">
        <v>124460</v>
      </c>
      <c r="G3303" s="32">
        <v>10</v>
      </c>
      <c r="H3303" s="27">
        <v>165929</v>
      </c>
      <c r="I3303" s="27">
        <v>15557.5</v>
      </c>
      <c r="J3303" s="27">
        <v>16592.900000000001</v>
      </c>
      <c r="K3303" s="29">
        <v>6.6553109432749571E-2</v>
      </c>
    </row>
    <row r="3304" spans="1:11" x14ac:dyDescent="0.25">
      <c r="A3304" s="5" t="s">
        <v>6</v>
      </c>
      <c r="B3304" s="5" t="s">
        <v>16340</v>
      </c>
      <c r="C3304" s="1" t="s">
        <v>16341</v>
      </c>
      <c r="E3304" s="32">
        <v>15</v>
      </c>
      <c r="F3304" s="27">
        <v>11917</v>
      </c>
      <c r="G3304" s="32">
        <v>16</v>
      </c>
      <c r="H3304" s="27">
        <v>13360</v>
      </c>
      <c r="I3304" s="27">
        <v>794.4666666666667</v>
      </c>
      <c r="J3304" s="27">
        <v>835</v>
      </c>
      <c r="K3304" s="29">
        <v>5.1019551900646096E-2</v>
      </c>
    </row>
    <row r="3305" spans="1:11" x14ac:dyDescent="0.25">
      <c r="A3305" s="5" t="s">
        <v>6</v>
      </c>
      <c r="B3305" s="5" t="s">
        <v>16352</v>
      </c>
      <c r="C3305" s="1" t="s">
        <v>16353</v>
      </c>
      <c r="D3305" s="5" t="s">
        <v>17247</v>
      </c>
      <c r="E3305" s="32">
        <v>1</v>
      </c>
      <c r="F3305" s="27">
        <v>143963</v>
      </c>
      <c r="I3305" s="27">
        <v>143963</v>
      </c>
    </row>
    <row r="3306" spans="1:11" x14ac:dyDescent="0.25">
      <c r="A3306" s="5" t="s">
        <v>6</v>
      </c>
      <c r="B3306" s="5" t="s">
        <v>16355</v>
      </c>
      <c r="C3306" s="1" t="s">
        <v>16356</v>
      </c>
      <c r="D3306" s="5" t="s">
        <v>18435</v>
      </c>
      <c r="E3306" s="32">
        <v>10</v>
      </c>
      <c r="F3306" s="27">
        <v>107248</v>
      </c>
      <c r="I3306" s="27">
        <v>10724.8</v>
      </c>
    </row>
    <row r="3307" spans="1:11" x14ac:dyDescent="0.25">
      <c r="A3307" s="5" t="s">
        <v>6</v>
      </c>
      <c r="B3307" s="5" t="s">
        <v>16358</v>
      </c>
      <c r="C3307" s="1" t="s">
        <v>16359</v>
      </c>
      <c r="D3307" s="5" t="s">
        <v>18441</v>
      </c>
      <c r="E3307" s="32">
        <v>12</v>
      </c>
      <c r="F3307" s="27">
        <v>27263</v>
      </c>
      <c r="I3307" s="27">
        <v>2271.9166666666665</v>
      </c>
    </row>
    <row r="3308" spans="1:11" x14ac:dyDescent="0.25">
      <c r="A3308" s="5" t="s">
        <v>6</v>
      </c>
      <c r="B3308" s="5" t="s">
        <v>16361</v>
      </c>
      <c r="C3308" s="1" t="s">
        <v>16362</v>
      </c>
      <c r="E3308" s="32">
        <v>10</v>
      </c>
      <c r="F3308" s="27">
        <v>555803.30000000005</v>
      </c>
      <c r="G3308" s="32">
        <v>10</v>
      </c>
      <c r="H3308" s="27">
        <v>600578</v>
      </c>
      <c r="I3308" s="27">
        <v>55580.33</v>
      </c>
      <c r="J3308" s="27">
        <v>60057.8</v>
      </c>
      <c r="K3308" s="29">
        <v>8.0558535726578104E-2</v>
      </c>
    </row>
    <row r="3309" spans="1:11" x14ac:dyDescent="0.25">
      <c r="A3309" s="5" t="s">
        <v>6</v>
      </c>
      <c r="B3309" s="5" t="s">
        <v>16367</v>
      </c>
      <c r="C3309" s="1" t="s">
        <v>16368</v>
      </c>
      <c r="D3309" s="5" t="s">
        <v>18426</v>
      </c>
      <c r="E3309" s="32">
        <v>12</v>
      </c>
      <c r="F3309" s="27">
        <v>1130865</v>
      </c>
      <c r="G3309" s="32">
        <v>8</v>
      </c>
      <c r="H3309" s="27">
        <v>807591</v>
      </c>
      <c r="I3309" s="27">
        <v>94238.75</v>
      </c>
      <c r="J3309" s="27">
        <v>100948.875</v>
      </c>
      <c r="K3309" s="29">
        <v>7.1203459298855298E-2</v>
      </c>
    </row>
    <row r="3310" spans="1:11" x14ac:dyDescent="0.25">
      <c r="A3310" s="5" t="s">
        <v>6</v>
      </c>
      <c r="B3310" s="5" t="s">
        <v>16370</v>
      </c>
      <c r="C3310" s="1" t="s">
        <v>16371</v>
      </c>
      <c r="D3310" s="5" t="s">
        <v>18426</v>
      </c>
      <c r="E3310" s="32">
        <v>1</v>
      </c>
      <c r="F3310" s="27">
        <v>50512</v>
      </c>
      <c r="I3310" s="27">
        <v>50512</v>
      </c>
    </row>
    <row r="3311" spans="1:11" x14ac:dyDescent="0.25">
      <c r="A3311" s="5" t="s">
        <v>6</v>
      </c>
      <c r="B3311" s="5" t="s">
        <v>16373</v>
      </c>
      <c r="C3311" s="1" t="s">
        <v>16374</v>
      </c>
      <c r="D3311" s="5" t="s">
        <v>18442</v>
      </c>
      <c r="E3311" s="32">
        <v>1</v>
      </c>
      <c r="F3311" s="27">
        <v>196268</v>
      </c>
      <c r="I3311" s="27">
        <v>196268</v>
      </c>
    </row>
    <row r="3312" spans="1:11" x14ac:dyDescent="0.25">
      <c r="A3312" s="5" t="s">
        <v>6</v>
      </c>
      <c r="B3312" s="5" t="s">
        <v>16378</v>
      </c>
      <c r="C3312" s="1" t="s">
        <v>16379</v>
      </c>
      <c r="D3312" s="5" t="s">
        <v>17215</v>
      </c>
      <c r="E3312" s="32">
        <v>6</v>
      </c>
      <c r="F3312" s="27">
        <v>228244</v>
      </c>
      <c r="G3312" s="32">
        <v>3</v>
      </c>
      <c r="H3312" s="27">
        <v>123468</v>
      </c>
      <c r="I3312" s="27">
        <v>38040.666666666664</v>
      </c>
      <c r="J3312" s="27">
        <v>41156</v>
      </c>
      <c r="K3312" s="29">
        <v>8.1894814321515644E-2</v>
      </c>
    </row>
    <row r="3313" spans="1:11" x14ac:dyDescent="0.25">
      <c r="A3313" s="5" t="s">
        <v>6</v>
      </c>
      <c r="B3313" s="5" t="s">
        <v>16383</v>
      </c>
      <c r="C3313" s="1" t="s">
        <v>16384</v>
      </c>
      <c r="E3313" s="32">
        <v>4</v>
      </c>
      <c r="F3313" s="27">
        <v>15024.37</v>
      </c>
      <c r="I3313" s="27">
        <v>3756.0925000000002</v>
      </c>
    </row>
    <row r="3314" spans="1:11" x14ac:dyDescent="0.25">
      <c r="A3314" s="5" t="s">
        <v>6</v>
      </c>
      <c r="B3314" s="5" t="s">
        <v>16398</v>
      </c>
      <c r="C3314" s="1" t="s">
        <v>16399</v>
      </c>
      <c r="E3314" s="32">
        <v>174</v>
      </c>
      <c r="F3314" s="27">
        <v>0</v>
      </c>
      <c r="G3314" s="32">
        <v>273</v>
      </c>
      <c r="H3314" s="27">
        <v>0</v>
      </c>
      <c r="I3314" s="27">
        <v>0</v>
      </c>
      <c r="J3314" s="27">
        <v>0</v>
      </c>
    </row>
    <row r="3315" spans="1:11" x14ac:dyDescent="0.25">
      <c r="A3315" s="5" t="s">
        <v>6</v>
      </c>
      <c r="B3315" s="5" t="s">
        <v>16400</v>
      </c>
      <c r="C3315" s="1" t="s">
        <v>16401</v>
      </c>
      <c r="D3315" s="5" t="s">
        <v>18426</v>
      </c>
      <c r="E3315" s="32">
        <v>2</v>
      </c>
      <c r="F3315" s="27">
        <v>6873</v>
      </c>
      <c r="I3315" s="27">
        <v>3436.5</v>
      </c>
    </row>
    <row r="3316" spans="1:11" x14ac:dyDescent="0.25">
      <c r="A3316" s="5" t="s">
        <v>6</v>
      </c>
      <c r="B3316" s="5" t="s">
        <v>16403</v>
      </c>
      <c r="C3316" s="1" t="s">
        <v>16404</v>
      </c>
      <c r="D3316" s="5" t="s">
        <v>18426</v>
      </c>
      <c r="E3316" s="32">
        <v>2</v>
      </c>
      <c r="F3316" s="27">
        <v>115322</v>
      </c>
      <c r="I3316" s="27">
        <v>57661</v>
      </c>
    </row>
    <row r="3317" spans="1:11" x14ac:dyDescent="0.25">
      <c r="A3317" s="5" t="s">
        <v>6</v>
      </c>
      <c r="B3317" s="5" t="s">
        <v>16412</v>
      </c>
      <c r="C3317" s="1" t="s">
        <v>16413</v>
      </c>
      <c r="D3317" s="5" t="s">
        <v>17265</v>
      </c>
      <c r="E3317" s="32">
        <v>12</v>
      </c>
      <c r="F3317" s="27">
        <v>14862</v>
      </c>
      <c r="G3317" s="32">
        <v>10</v>
      </c>
      <c r="H3317" s="27">
        <v>13250</v>
      </c>
      <c r="I3317" s="27">
        <v>1238.5</v>
      </c>
      <c r="J3317" s="27">
        <v>1325</v>
      </c>
      <c r="K3317" s="29">
        <v>6.9842551473556724E-2</v>
      </c>
    </row>
    <row r="3318" spans="1:11" x14ac:dyDescent="0.25">
      <c r="A3318" s="5" t="s">
        <v>6</v>
      </c>
      <c r="B3318" s="5" t="s">
        <v>16415</v>
      </c>
      <c r="C3318" s="1" t="s">
        <v>16416</v>
      </c>
      <c r="D3318" s="5" t="s">
        <v>17257</v>
      </c>
      <c r="E3318" s="32">
        <v>1</v>
      </c>
      <c r="F3318" s="27">
        <v>946</v>
      </c>
      <c r="I3318" s="27">
        <v>946</v>
      </c>
    </row>
    <row r="3319" spans="1:11" x14ac:dyDescent="0.25">
      <c r="A3319" s="5" t="s">
        <v>6</v>
      </c>
      <c r="B3319" s="5" t="s">
        <v>16429</v>
      </c>
      <c r="C3319" s="1" t="s">
        <v>16430</v>
      </c>
      <c r="D3319" s="5" t="s">
        <v>17213</v>
      </c>
      <c r="E3319" s="32">
        <v>52</v>
      </c>
      <c r="F3319" s="27">
        <v>165194</v>
      </c>
      <c r="I3319" s="27">
        <v>3176.8076923076924</v>
      </c>
    </row>
    <row r="3320" spans="1:11" x14ac:dyDescent="0.25">
      <c r="A3320" s="5" t="s">
        <v>6</v>
      </c>
      <c r="B3320" s="5" t="s">
        <v>16438</v>
      </c>
      <c r="C3320" s="1" t="s">
        <v>16439</v>
      </c>
      <c r="D3320" s="5" t="s">
        <v>18441</v>
      </c>
      <c r="E3320" s="32">
        <v>470</v>
      </c>
      <c r="F3320" s="27">
        <v>912632</v>
      </c>
      <c r="G3320" s="32">
        <v>550</v>
      </c>
      <c r="H3320" s="27">
        <v>1136878</v>
      </c>
      <c r="I3320" s="27">
        <v>1941.7702127659575</v>
      </c>
      <c r="J3320" s="27">
        <v>2067.050909090909</v>
      </c>
      <c r="K3320" s="29">
        <v>6.4518806345522886E-2</v>
      </c>
    </row>
    <row r="3321" spans="1:11" x14ac:dyDescent="0.25">
      <c r="A3321" s="5" t="s">
        <v>6</v>
      </c>
      <c r="B3321" s="5" t="s">
        <v>16443</v>
      </c>
      <c r="C3321" s="1" t="s">
        <v>16444</v>
      </c>
      <c r="D3321" s="5" t="s">
        <v>17213</v>
      </c>
      <c r="E3321" s="32">
        <v>4</v>
      </c>
      <c r="F3321" s="27">
        <v>2356</v>
      </c>
      <c r="I3321" s="27">
        <v>589</v>
      </c>
    </row>
    <row r="3322" spans="1:11" x14ac:dyDescent="0.25">
      <c r="A3322" s="5" t="s">
        <v>6</v>
      </c>
      <c r="B3322" s="5" t="s">
        <v>16445</v>
      </c>
      <c r="C3322" s="1" t="s">
        <v>16446</v>
      </c>
      <c r="D3322" s="5" t="s">
        <v>17263</v>
      </c>
      <c r="E3322" s="32">
        <v>66</v>
      </c>
      <c r="F3322" s="27">
        <v>17169</v>
      </c>
      <c r="G3322" s="32">
        <v>77</v>
      </c>
      <c r="H3322" s="27">
        <v>21259</v>
      </c>
      <c r="I3322" s="27">
        <v>260.13636363636363</v>
      </c>
      <c r="J3322" s="27">
        <v>276.09090909090907</v>
      </c>
      <c r="K3322" s="29">
        <v>6.1331469508998718E-2</v>
      </c>
    </row>
    <row r="3323" spans="1:11" x14ac:dyDescent="0.25">
      <c r="A3323" s="5" t="s">
        <v>6</v>
      </c>
      <c r="B3323" s="5" t="s">
        <v>16461</v>
      </c>
      <c r="C3323" s="1" t="s">
        <v>16462</v>
      </c>
      <c r="E3323" s="32">
        <v>1</v>
      </c>
      <c r="F3323" s="27">
        <v>33392</v>
      </c>
      <c r="G3323" s="32">
        <v>8</v>
      </c>
      <c r="H3323" s="27">
        <v>288504</v>
      </c>
      <c r="I3323" s="27">
        <v>33392</v>
      </c>
      <c r="J3323" s="27">
        <v>36063</v>
      </c>
      <c r="K3323" s="29">
        <v>7.9989218974604689E-2</v>
      </c>
    </row>
    <row r="3324" spans="1:11" x14ac:dyDescent="0.25">
      <c r="A3324" s="5" t="s">
        <v>6</v>
      </c>
      <c r="B3324" s="5" t="s">
        <v>16464</v>
      </c>
      <c r="C3324" s="1" t="s">
        <v>16465</v>
      </c>
      <c r="D3324" s="5" t="s">
        <v>18426</v>
      </c>
      <c r="G3324" s="32">
        <v>3</v>
      </c>
      <c r="H3324" s="27">
        <v>254716.98</v>
      </c>
      <c r="J3324" s="27">
        <v>84905.66</v>
      </c>
    </row>
    <row r="3325" spans="1:11" x14ac:dyDescent="0.25">
      <c r="A3325" s="5" t="s">
        <v>6</v>
      </c>
      <c r="B3325" s="5" t="s">
        <v>16472</v>
      </c>
      <c r="C3325" s="1" t="s">
        <v>16473</v>
      </c>
      <c r="D3325" s="5" t="s">
        <v>18443</v>
      </c>
      <c r="E3325" s="32">
        <v>21</v>
      </c>
      <c r="F3325" s="27">
        <v>21926</v>
      </c>
      <c r="G3325" s="32">
        <v>19</v>
      </c>
      <c r="H3325" s="27">
        <v>20660</v>
      </c>
      <c r="I3325" s="27">
        <v>1044.0952380952381</v>
      </c>
      <c r="J3325" s="27">
        <v>1087.3684210526317</v>
      </c>
      <c r="K3325" s="29">
        <v>4.1445628117543813E-2</v>
      </c>
    </row>
    <row r="3326" spans="1:11" x14ac:dyDescent="0.25">
      <c r="A3326" s="5" t="s">
        <v>6</v>
      </c>
      <c r="B3326" s="5" t="s">
        <v>16475</v>
      </c>
      <c r="C3326" s="1" t="s">
        <v>16476</v>
      </c>
      <c r="D3326" s="5" t="s">
        <v>18444</v>
      </c>
      <c r="E3326" s="32">
        <v>32</v>
      </c>
      <c r="F3326" s="27">
        <v>115072</v>
      </c>
      <c r="G3326" s="32">
        <v>72</v>
      </c>
      <c r="H3326" s="27">
        <v>277114.40000000002</v>
      </c>
      <c r="I3326" s="27">
        <v>3596</v>
      </c>
      <c r="J3326" s="27">
        <v>3848.8111111111116</v>
      </c>
      <c r="K3326" s="29">
        <v>7.0303423557038822E-2</v>
      </c>
    </row>
    <row r="3327" spans="1:11" x14ac:dyDescent="0.25">
      <c r="A3327" s="5" t="s">
        <v>6</v>
      </c>
      <c r="B3327" s="5" t="s">
        <v>16478</v>
      </c>
      <c r="C3327" s="1" t="s">
        <v>16479</v>
      </c>
      <c r="D3327" s="5" t="s">
        <v>18444</v>
      </c>
      <c r="E3327" s="32">
        <v>1</v>
      </c>
      <c r="F3327" s="27">
        <v>1912</v>
      </c>
      <c r="G3327" s="32">
        <v>5</v>
      </c>
      <c r="H3327" s="27">
        <v>10172</v>
      </c>
      <c r="I3327" s="27">
        <v>1912</v>
      </c>
      <c r="J3327" s="27">
        <v>2034.4</v>
      </c>
      <c r="K3327" s="29">
        <v>6.4016736401673685E-2</v>
      </c>
    </row>
    <row r="3328" spans="1:11" x14ac:dyDescent="0.25">
      <c r="A3328" s="5" t="s">
        <v>6</v>
      </c>
      <c r="B3328" s="5" t="s">
        <v>16481</v>
      </c>
      <c r="C3328" s="1" t="s">
        <v>16482</v>
      </c>
      <c r="E3328" s="32">
        <v>14</v>
      </c>
      <c r="F3328" s="27">
        <v>47096</v>
      </c>
      <c r="I3328" s="27">
        <v>3364</v>
      </c>
    </row>
    <row r="3329" spans="1:11" x14ac:dyDescent="0.25">
      <c r="A3329" s="5" t="s">
        <v>6</v>
      </c>
      <c r="B3329" s="5" t="s">
        <v>16483</v>
      </c>
      <c r="C3329" s="1" t="s">
        <v>16484</v>
      </c>
      <c r="D3329" s="5" t="s">
        <v>17242</v>
      </c>
      <c r="E3329" s="32">
        <v>17</v>
      </c>
      <c r="F3329" s="27">
        <v>16609</v>
      </c>
      <c r="G3329" s="32">
        <v>15</v>
      </c>
      <c r="H3329" s="27">
        <v>15513</v>
      </c>
      <c r="I3329" s="27">
        <v>977</v>
      </c>
      <c r="J3329" s="27">
        <v>1034.2</v>
      </c>
      <c r="K3329" s="29">
        <v>5.8546571136131056E-2</v>
      </c>
    </row>
    <row r="3330" spans="1:11" x14ac:dyDescent="0.25">
      <c r="A3330" s="5" t="s">
        <v>6</v>
      </c>
      <c r="B3330" s="5" t="s">
        <v>16491</v>
      </c>
      <c r="C3330" s="1" t="s">
        <v>16492</v>
      </c>
      <c r="E3330" s="32">
        <v>64</v>
      </c>
      <c r="F3330" s="27">
        <v>650793</v>
      </c>
      <c r="G3330" s="32">
        <v>56</v>
      </c>
      <c r="H3330" s="27">
        <v>606706.9</v>
      </c>
      <c r="I3330" s="27">
        <v>10168.640625</v>
      </c>
      <c r="J3330" s="27">
        <v>10834.051785714286</v>
      </c>
      <c r="K3330" s="29">
        <v>6.5437572754645942E-2</v>
      </c>
    </row>
    <row r="3331" spans="1:11" x14ac:dyDescent="0.25">
      <c r="A3331" s="5" t="s">
        <v>6</v>
      </c>
      <c r="B3331" s="5" t="s">
        <v>16497</v>
      </c>
      <c r="C3331" s="1" t="s">
        <v>16498</v>
      </c>
      <c r="E3331" s="32">
        <v>62</v>
      </c>
      <c r="F3331" s="27">
        <v>17943</v>
      </c>
      <c r="G3331" s="32">
        <v>61</v>
      </c>
      <c r="H3331" s="27">
        <v>18847</v>
      </c>
      <c r="I3331" s="27">
        <v>289.40322580645159</v>
      </c>
      <c r="J3331" s="27">
        <v>308.96721311475409</v>
      </c>
      <c r="K3331" s="29">
        <v>6.760113766453521E-2</v>
      </c>
    </row>
    <row r="3332" spans="1:11" x14ac:dyDescent="0.25">
      <c r="A3332" s="5" t="s">
        <v>6</v>
      </c>
      <c r="B3332" s="5" t="s">
        <v>16509</v>
      </c>
      <c r="C3332" s="1" t="s">
        <v>16510</v>
      </c>
      <c r="D3332" s="5" t="s">
        <v>18439</v>
      </c>
      <c r="E3332" s="32">
        <v>13</v>
      </c>
      <c r="F3332" s="27">
        <v>112483.68</v>
      </c>
      <c r="I3332" s="27">
        <v>8652.5907692307683</v>
      </c>
    </row>
    <row r="3333" spans="1:11" x14ac:dyDescent="0.25">
      <c r="A3333" s="5" t="s">
        <v>6</v>
      </c>
      <c r="B3333" s="5" t="s">
        <v>16515</v>
      </c>
      <c r="C3333" s="1" t="s">
        <v>16516</v>
      </c>
      <c r="D3333" s="5" t="s">
        <v>18445</v>
      </c>
      <c r="E3333" s="32">
        <v>71</v>
      </c>
      <c r="F3333" s="27">
        <v>164658</v>
      </c>
      <c r="G3333" s="32">
        <v>125</v>
      </c>
      <c r="H3333" s="27">
        <v>309728</v>
      </c>
      <c r="I3333" s="27">
        <v>2319.1267605633802</v>
      </c>
      <c r="J3333" s="27">
        <v>2477.8240000000001</v>
      </c>
      <c r="K3333" s="29">
        <v>6.8429739217043872E-2</v>
      </c>
    </row>
    <row r="3334" spans="1:11" x14ac:dyDescent="0.25">
      <c r="A3334" s="5" t="s">
        <v>6</v>
      </c>
      <c r="B3334" s="5" t="s">
        <v>16518</v>
      </c>
      <c r="C3334" s="1" t="s">
        <v>16519</v>
      </c>
      <c r="D3334" s="5" t="s">
        <v>18426</v>
      </c>
      <c r="E3334" s="32">
        <v>1</v>
      </c>
      <c r="F3334" s="27">
        <v>5101</v>
      </c>
      <c r="I3334" s="27">
        <v>5101</v>
      </c>
    </row>
    <row r="3335" spans="1:11" x14ac:dyDescent="0.25">
      <c r="A3335" s="5" t="s">
        <v>6</v>
      </c>
      <c r="B3335" s="5" t="s">
        <v>16524</v>
      </c>
      <c r="C3335" s="1" t="s">
        <v>16525</v>
      </c>
      <c r="D3335" s="5" t="s">
        <v>18426</v>
      </c>
      <c r="E3335" s="32">
        <v>17</v>
      </c>
      <c r="F3335" s="27">
        <v>45561</v>
      </c>
      <c r="G3335" s="32">
        <v>20</v>
      </c>
      <c r="H3335" s="27">
        <v>56964</v>
      </c>
      <c r="I3335" s="27">
        <v>2680.0588235294117</v>
      </c>
      <c r="J3335" s="27">
        <v>2848.2</v>
      </c>
      <c r="K3335" s="29">
        <v>6.2737867913346901E-2</v>
      </c>
    </row>
    <row r="3336" spans="1:11" x14ac:dyDescent="0.25">
      <c r="A3336" s="5" t="s">
        <v>6</v>
      </c>
      <c r="B3336" s="5" t="s">
        <v>16533</v>
      </c>
      <c r="C3336" s="1" t="s">
        <v>16534</v>
      </c>
      <c r="D3336" s="5" t="s">
        <v>18446</v>
      </c>
      <c r="E3336" s="32">
        <v>3</v>
      </c>
      <c r="F3336" s="27">
        <v>5337</v>
      </c>
      <c r="I3336" s="27">
        <v>1779</v>
      </c>
    </row>
    <row r="3337" spans="1:11" x14ac:dyDescent="0.25">
      <c r="A3337" s="5" t="s">
        <v>6</v>
      </c>
      <c r="B3337" s="5" t="s">
        <v>16539</v>
      </c>
      <c r="C3337" s="1" t="s">
        <v>16540</v>
      </c>
      <c r="D3337" s="5" t="s">
        <v>18421</v>
      </c>
      <c r="E3337" s="32">
        <v>167</v>
      </c>
      <c r="F3337" s="27">
        <v>323910</v>
      </c>
      <c r="G3337" s="32">
        <v>229</v>
      </c>
      <c r="H3337" s="27">
        <v>471762</v>
      </c>
      <c r="I3337" s="27">
        <v>1939.5808383233532</v>
      </c>
      <c r="J3337" s="27">
        <v>2060.0960698689955</v>
      </c>
      <c r="K3337" s="29">
        <v>6.213467836165068E-2</v>
      </c>
    </row>
    <row r="3338" spans="1:11" x14ac:dyDescent="0.25">
      <c r="A3338" s="5" t="s">
        <v>6</v>
      </c>
      <c r="B3338" s="5" t="s">
        <v>16541</v>
      </c>
      <c r="C3338" s="1" t="s">
        <v>16542</v>
      </c>
      <c r="D3338" s="5" t="s">
        <v>18422</v>
      </c>
      <c r="E3338" s="32">
        <v>6</v>
      </c>
      <c r="F3338" s="27">
        <v>36906</v>
      </c>
      <c r="G3338" s="32">
        <v>7</v>
      </c>
      <c r="H3338" s="27">
        <v>45517</v>
      </c>
      <c r="I3338" s="27">
        <v>6151</v>
      </c>
      <c r="J3338" s="27">
        <v>6502.4285714285716</v>
      </c>
      <c r="K3338" s="29">
        <v>5.7133567131941398E-2</v>
      </c>
    </row>
    <row r="3339" spans="1:11" x14ac:dyDescent="0.25">
      <c r="A3339" s="5" t="s">
        <v>6</v>
      </c>
      <c r="B3339" s="5" t="s">
        <v>16544</v>
      </c>
      <c r="C3339" s="1" t="s">
        <v>16545</v>
      </c>
      <c r="D3339" s="5" t="s">
        <v>17237</v>
      </c>
      <c r="E3339" s="32">
        <v>3</v>
      </c>
      <c r="F3339" s="27">
        <v>3105</v>
      </c>
      <c r="G3339" s="32">
        <v>4</v>
      </c>
      <c r="H3339" s="27">
        <v>4389</v>
      </c>
      <c r="I3339" s="27">
        <v>1035</v>
      </c>
      <c r="J3339" s="27">
        <v>1097.25</v>
      </c>
      <c r="K3339" s="29">
        <v>6.0144927536231886E-2</v>
      </c>
    </row>
    <row r="3340" spans="1:11" x14ac:dyDescent="0.25">
      <c r="A3340" s="5" t="s">
        <v>6</v>
      </c>
      <c r="B3340" s="5" t="s">
        <v>16547</v>
      </c>
      <c r="C3340" s="1" t="s">
        <v>16548</v>
      </c>
      <c r="D3340" s="5" t="s">
        <v>17260</v>
      </c>
      <c r="E3340" s="32">
        <v>2469</v>
      </c>
      <c r="F3340" s="27">
        <v>1565616</v>
      </c>
      <c r="G3340" s="32">
        <v>2731</v>
      </c>
      <c r="H3340" s="27">
        <v>1846326</v>
      </c>
      <c r="I3340" s="27">
        <v>634.10935601458084</v>
      </c>
      <c r="J3340" s="27">
        <v>676.06224826071036</v>
      </c>
      <c r="K3340" s="29">
        <v>6.6160342609997466E-2</v>
      </c>
    </row>
    <row r="3341" spans="1:11" x14ac:dyDescent="0.25">
      <c r="A3341" s="5" t="s">
        <v>6</v>
      </c>
      <c r="B3341" s="5" t="s">
        <v>16549</v>
      </c>
      <c r="C3341" s="1" t="s">
        <v>16550</v>
      </c>
      <c r="D3341" s="5" t="s">
        <v>18447</v>
      </c>
      <c r="E3341" s="32">
        <v>60</v>
      </c>
      <c r="F3341" s="27">
        <v>159952</v>
      </c>
      <c r="G3341" s="32">
        <v>47</v>
      </c>
      <c r="H3341" s="27">
        <v>131096</v>
      </c>
      <c r="I3341" s="27">
        <v>2665.8666666666668</v>
      </c>
      <c r="J3341" s="27">
        <v>2789.2765957446809</v>
      </c>
      <c r="K3341" s="29">
        <v>4.629261118761157E-2</v>
      </c>
    </row>
    <row r="3342" spans="1:11" x14ac:dyDescent="0.25">
      <c r="A3342" s="5" t="s">
        <v>6</v>
      </c>
      <c r="B3342" s="5" t="s">
        <v>16552</v>
      </c>
      <c r="C3342" s="1" t="s">
        <v>16553</v>
      </c>
      <c r="D3342" s="5" t="s">
        <v>17258</v>
      </c>
      <c r="E3342" s="32">
        <v>159</v>
      </c>
      <c r="F3342" s="27">
        <v>352259</v>
      </c>
      <c r="G3342" s="32">
        <v>18</v>
      </c>
      <c r="H3342" s="27">
        <v>43485</v>
      </c>
      <c r="I3342" s="27">
        <v>2215.4654088050315</v>
      </c>
      <c r="J3342" s="27">
        <v>2415.8333333333335</v>
      </c>
      <c r="K3342" s="29">
        <v>9.0440556522331614E-2</v>
      </c>
    </row>
    <row r="3343" spans="1:11" x14ac:dyDescent="0.25">
      <c r="A3343" s="5" t="s">
        <v>6</v>
      </c>
      <c r="B3343" s="5" t="s">
        <v>16564</v>
      </c>
      <c r="C3343" s="1" t="s">
        <v>16565</v>
      </c>
      <c r="D3343" s="5" t="s">
        <v>17237</v>
      </c>
      <c r="E3343" s="32">
        <v>35</v>
      </c>
      <c r="F3343" s="27">
        <v>169372</v>
      </c>
      <c r="G3343" s="32">
        <v>35</v>
      </c>
      <c r="H3343" s="27">
        <v>182313</v>
      </c>
      <c r="I3343" s="27">
        <v>4839.2</v>
      </c>
      <c r="J3343" s="27">
        <v>5208.9428571428571</v>
      </c>
      <c r="K3343" s="29">
        <v>7.6405781357012995E-2</v>
      </c>
    </row>
    <row r="3344" spans="1:11" x14ac:dyDescent="0.25">
      <c r="A3344" s="5" t="s">
        <v>6</v>
      </c>
      <c r="B3344" s="5" t="s">
        <v>16567</v>
      </c>
      <c r="C3344" s="1" t="s">
        <v>16568</v>
      </c>
      <c r="D3344" s="5" t="s">
        <v>18441</v>
      </c>
      <c r="E3344" s="32">
        <v>552</v>
      </c>
      <c r="F3344" s="27">
        <v>995904</v>
      </c>
      <c r="G3344" s="32">
        <v>566</v>
      </c>
      <c r="H3344" s="27">
        <v>1089324</v>
      </c>
      <c r="I3344" s="27">
        <v>1804.1739130434783</v>
      </c>
      <c r="J3344" s="27">
        <v>1924.6007067137809</v>
      </c>
      <c r="K3344" s="29">
        <v>6.6748993985371166E-2</v>
      </c>
    </row>
    <row r="3345" spans="1:11" x14ac:dyDescent="0.25">
      <c r="A3345" s="5" t="s">
        <v>6</v>
      </c>
      <c r="B3345" s="5" t="s">
        <v>16573</v>
      </c>
      <c r="C3345" s="1" t="s">
        <v>16574</v>
      </c>
      <c r="D3345" s="5" t="s">
        <v>18437</v>
      </c>
      <c r="E3345" s="32">
        <v>1</v>
      </c>
      <c r="F3345" s="27">
        <v>4987</v>
      </c>
      <c r="I3345" s="27">
        <v>4987</v>
      </c>
    </row>
    <row r="3346" spans="1:11" x14ac:dyDescent="0.25">
      <c r="A3346" s="5" t="s">
        <v>6</v>
      </c>
      <c r="B3346" s="5" t="s">
        <v>16576</v>
      </c>
      <c r="C3346" s="1" t="s">
        <v>16577</v>
      </c>
      <c r="D3346" s="5" t="s">
        <v>17218</v>
      </c>
      <c r="E3346" s="32">
        <v>0</v>
      </c>
      <c r="F3346" s="27">
        <v>0</v>
      </c>
      <c r="G3346" s="32">
        <v>2</v>
      </c>
      <c r="H3346" s="27">
        <v>17721.32</v>
      </c>
      <c r="J3346" s="27">
        <v>8860.66</v>
      </c>
    </row>
    <row r="3347" spans="1:11" x14ac:dyDescent="0.25">
      <c r="A3347" s="5" t="s">
        <v>6</v>
      </c>
      <c r="B3347" s="5" t="s">
        <v>16578</v>
      </c>
      <c r="C3347" s="1" t="s">
        <v>16579</v>
      </c>
      <c r="D3347" s="5" t="s">
        <v>17241</v>
      </c>
      <c r="E3347" s="32">
        <v>2</v>
      </c>
      <c r="F3347" s="27">
        <v>43550.93</v>
      </c>
      <c r="I3347" s="27">
        <v>21775.465</v>
      </c>
    </row>
    <row r="3348" spans="1:11" x14ac:dyDescent="0.25">
      <c r="A3348" s="5" t="s">
        <v>6</v>
      </c>
      <c r="B3348" s="5" t="s">
        <v>16580</v>
      </c>
      <c r="C3348" s="1" t="s">
        <v>16581</v>
      </c>
      <c r="D3348" s="5" t="s">
        <v>17263</v>
      </c>
      <c r="E3348" s="32">
        <v>47</v>
      </c>
      <c r="F3348" s="27">
        <v>115483</v>
      </c>
      <c r="G3348" s="32">
        <v>30</v>
      </c>
      <c r="H3348" s="27">
        <v>79850</v>
      </c>
      <c r="I3348" s="27">
        <v>2457.0851063829787</v>
      </c>
      <c r="J3348" s="27">
        <v>2661.6666666666665</v>
      </c>
      <c r="K3348" s="29">
        <v>8.3261894247060861E-2</v>
      </c>
    </row>
    <row r="3349" spans="1:11" x14ac:dyDescent="0.25">
      <c r="A3349" s="5" t="s">
        <v>6</v>
      </c>
      <c r="B3349" s="5" t="s">
        <v>16582</v>
      </c>
      <c r="C3349" s="1" t="s">
        <v>16583</v>
      </c>
      <c r="D3349" s="5" t="s">
        <v>17241</v>
      </c>
      <c r="E3349" s="32">
        <v>18</v>
      </c>
      <c r="F3349" s="27">
        <v>216493.78</v>
      </c>
      <c r="G3349" s="32">
        <v>10</v>
      </c>
      <c r="H3349" s="27">
        <v>144019.01999999999</v>
      </c>
      <c r="I3349" s="27">
        <v>12027.432222222222</v>
      </c>
      <c r="J3349" s="27">
        <v>14401.901999999998</v>
      </c>
      <c r="K3349" s="29">
        <v>0.19742117302400086</v>
      </c>
    </row>
    <row r="3350" spans="1:11" x14ac:dyDescent="0.25">
      <c r="A3350" s="5" t="s">
        <v>6</v>
      </c>
      <c r="B3350" s="5" t="s">
        <v>16584</v>
      </c>
      <c r="C3350" s="1" t="s">
        <v>16585</v>
      </c>
      <c r="D3350" s="5" t="s">
        <v>17263</v>
      </c>
      <c r="E3350" s="32">
        <v>453</v>
      </c>
      <c r="F3350" s="27">
        <v>387870</v>
      </c>
      <c r="G3350" s="32">
        <v>534</v>
      </c>
      <c r="H3350" s="27">
        <v>490314</v>
      </c>
      <c r="I3350" s="27">
        <v>856.22516556291396</v>
      </c>
      <c r="J3350" s="27">
        <v>918.1910112359551</v>
      </c>
      <c r="K3350" s="29">
        <v>7.2370969886528053E-2</v>
      </c>
    </row>
    <row r="3351" spans="1:11" x14ac:dyDescent="0.25">
      <c r="A3351" s="5" t="s">
        <v>6</v>
      </c>
      <c r="B3351" s="5" t="s">
        <v>16594</v>
      </c>
      <c r="C3351" s="1" t="s">
        <v>16595</v>
      </c>
      <c r="D3351" s="5" t="s">
        <v>17240</v>
      </c>
      <c r="E3351" s="32">
        <v>4</v>
      </c>
      <c r="F3351" s="27">
        <v>462454.52</v>
      </c>
      <c r="I3351" s="27">
        <v>115613.63</v>
      </c>
    </row>
    <row r="3352" spans="1:11" x14ac:dyDescent="0.25">
      <c r="A3352" s="5" t="s">
        <v>6</v>
      </c>
      <c r="B3352" s="5" t="s">
        <v>16599</v>
      </c>
      <c r="C3352" s="1" t="s">
        <v>16600</v>
      </c>
      <c r="D3352" s="5" t="s">
        <v>17210</v>
      </c>
      <c r="E3352" s="32">
        <v>1</v>
      </c>
      <c r="F3352" s="27">
        <v>24546.04</v>
      </c>
      <c r="I3352" s="27">
        <v>24546.04</v>
      </c>
    </row>
    <row r="3353" spans="1:11" x14ac:dyDescent="0.25">
      <c r="A3353" s="5" t="s">
        <v>6</v>
      </c>
      <c r="B3353" s="5" t="s">
        <v>16601</v>
      </c>
      <c r="C3353" s="1" t="s">
        <v>16602</v>
      </c>
      <c r="D3353" s="5" t="s">
        <v>18448</v>
      </c>
      <c r="E3353" s="32">
        <v>2</v>
      </c>
      <c r="F3353" s="27">
        <v>21766</v>
      </c>
      <c r="I3353" s="27">
        <v>10883</v>
      </c>
    </row>
    <row r="3354" spans="1:11" x14ac:dyDescent="0.25">
      <c r="A3354" s="5" t="s">
        <v>6</v>
      </c>
      <c r="B3354" s="5" t="s">
        <v>16607</v>
      </c>
      <c r="C3354" s="1" t="s">
        <v>16608</v>
      </c>
      <c r="D3354" s="5" t="s">
        <v>17242</v>
      </c>
      <c r="E3354" s="32">
        <v>5</v>
      </c>
      <c r="F3354" s="27">
        <v>122025.52</v>
      </c>
      <c r="I3354" s="27">
        <v>24405.103999999999</v>
      </c>
    </row>
    <row r="3355" spans="1:11" x14ac:dyDescent="0.25">
      <c r="A3355" s="5" t="s">
        <v>6</v>
      </c>
      <c r="B3355" s="5" t="s">
        <v>16609</v>
      </c>
      <c r="C3355" s="1" t="s">
        <v>16610</v>
      </c>
      <c r="D3355" s="5" t="s">
        <v>18448</v>
      </c>
      <c r="E3355" s="32">
        <v>2</v>
      </c>
      <c r="F3355" s="27">
        <v>6477</v>
      </c>
      <c r="I3355" s="27">
        <v>3238.5</v>
      </c>
    </row>
    <row r="3356" spans="1:11" x14ac:dyDescent="0.25">
      <c r="A3356" s="5" t="s">
        <v>6</v>
      </c>
      <c r="B3356" s="5" t="s">
        <v>16612</v>
      </c>
      <c r="C3356" s="1" t="s">
        <v>16613</v>
      </c>
      <c r="D3356" s="5" t="s">
        <v>18449</v>
      </c>
      <c r="E3356" s="32">
        <v>72</v>
      </c>
      <c r="F3356" s="27">
        <v>242480</v>
      </c>
      <c r="G3356" s="32">
        <v>79</v>
      </c>
      <c r="H3356" s="27">
        <v>287078</v>
      </c>
      <c r="I3356" s="27">
        <v>3367.7777777777778</v>
      </c>
      <c r="J3356" s="27">
        <v>3633.8987341772154</v>
      </c>
      <c r="K3356" s="29">
        <v>7.9019749508246057E-2</v>
      </c>
    </row>
    <row r="3357" spans="1:11" x14ac:dyDescent="0.25">
      <c r="A3357" s="5" t="s">
        <v>6</v>
      </c>
      <c r="B3357" s="5" t="s">
        <v>16615</v>
      </c>
      <c r="C3357" s="1" t="s">
        <v>16616</v>
      </c>
      <c r="D3357" s="5" t="s">
        <v>18450</v>
      </c>
      <c r="E3357" s="32">
        <v>3</v>
      </c>
      <c r="F3357" s="27">
        <v>11308.8</v>
      </c>
      <c r="I3357" s="27">
        <v>3769.6</v>
      </c>
    </row>
    <row r="3358" spans="1:11" x14ac:dyDescent="0.25">
      <c r="A3358" s="5" t="s">
        <v>6</v>
      </c>
      <c r="B3358" s="5" t="s">
        <v>16618</v>
      </c>
      <c r="C3358" s="1" t="s">
        <v>16619</v>
      </c>
      <c r="D3358" s="5" t="s">
        <v>17218</v>
      </c>
      <c r="E3358" s="32">
        <v>6</v>
      </c>
      <c r="F3358" s="27">
        <v>40733.26</v>
      </c>
      <c r="I3358" s="27">
        <v>6788.876666666667</v>
      </c>
    </row>
    <row r="3359" spans="1:11" x14ac:dyDescent="0.25">
      <c r="A3359" s="5" t="s">
        <v>6</v>
      </c>
      <c r="B3359" s="5" t="s">
        <v>16624</v>
      </c>
      <c r="C3359" s="1" t="s">
        <v>16625</v>
      </c>
      <c r="D3359" s="5" t="s">
        <v>17213</v>
      </c>
      <c r="E3359" s="32">
        <v>307</v>
      </c>
      <c r="F3359" s="27">
        <v>2033765.67</v>
      </c>
      <c r="G3359" s="32">
        <v>256</v>
      </c>
      <c r="H3359" s="27">
        <v>1923857.23</v>
      </c>
      <c r="I3359" s="27">
        <v>6624.6438762214984</v>
      </c>
      <c r="J3359" s="27">
        <v>7515.0673046874999</v>
      </c>
      <c r="K3359" s="29">
        <v>0.13441076155989123</v>
      </c>
    </row>
    <row r="3360" spans="1:11" x14ac:dyDescent="0.25">
      <c r="A3360" s="5" t="s">
        <v>6</v>
      </c>
      <c r="B3360" s="5" t="s">
        <v>16626</v>
      </c>
      <c r="C3360" s="1" t="s">
        <v>16627</v>
      </c>
      <c r="D3360" s="5" t="s">
        <v>17213</v>
      </c>
      <c r="E3360" s="32">
        <v>0</v>
      </c>
      <c r="F3360" s="27">
        <v>0</v>
      </c>
      <c r="G3360" s="32">
        <v>2</v>
      </c>
      <c r="H3360" s="27">
        <v>5974.93</v>
      </c>
      <c r="J3360" s="27">
        <v>2987.4650000000001</v>
      </c>
    </row>
    <row r="3361" spans="1:11" x14ac:dyDescent="0.25">
      <c r="A3361" s="5" t="s">
        <v>6</v>
      </c>
      <c r="B3361" s="5" t="s">
        <v>16643</v>
      </c>
      <c r="C3361" s="1" t="s">
        <v>16644</v>
      </c>
      <c r="D3361" s="5" t="s">
        <v>17211</v>
      </c>
      <c r="E3361" s="32">
        <v>1</v>
      </c>
      <c r="F3361" s="27">
        <v>32317</v>
      </c>
      <c r="I3361" s="27">
        <v>32317</v>
      </c>
    </row>
    <row r="3362" spans="1:11" x14ac:dyDescent="0.25">
      <c r="A3362" s="5" t="s">
        <v>6</v>
      </c>
      <c r="B3362" s="5" t="s">
        <v>16653</v>
      </c>
      <c r="C3362" s="1" t="s">
        <v>16654</v>
      </c>
      <c r="D3362" s="5" t="s">
        <v>18451</v>
      </c>
      <c r="E3362" s="32">
        <v>5</v>
      </c>
      <c r="F3362" s="27">
        <v>47445.2</v>
      </c>
      <c r="I3362" s="27">
        <v>9489.0399999999991</v>
      </c>
    </row>
    <row r="3363" spans="1:11" x14ac:dyDescent="0.25">
      <c r="A3363" s="5" t="s">
        <v>6</v>
      </c>
      <c r="B3363" s="5" t="s">
        <v>16658</v>
      </c>
      <c r="C3363" s="1" t="s">
        <v>16659</v>
      </c>
      <c r="D3363" s="5" t="s">
        <v>18452</v>
      </c>
      <c r="E3363" s="32">
        <v>3</v>
      </c>
      <c r="F3363" s="27">
        <v>16853</v>
      </c>
      <c r="I3363" s="27">
        <v>5617.666666666667</v>
      </c>
    </row>
    <row r="3364" spans="1:11" x14ac:dyDescent="0.25">
      <c r="A3364" s="5" t="s">
        <v>6</v>
      </c>
      <c r="B3364" s="5" t="s">
        <v>16667</v>
      </c>
      <c r="C3364" s="1" t="s">
        <v>16668</v>
      </c>
      <c r="D3364" s="5" t="s">
        <v>18453</v>
      </c>
      <c r="E3364" s="32">
        <v>1</v>
      </c>
      <c r="F3364" s="27">
        <v>85392.15</v>
      </c>
      <c r="I3364" s="27">
        <v>85392.15</v>
      </c>
    </row>
    <row r="3365" spans="1:11" x14ac:dyDescent="0.25">
      <c r="A3365" s="5" t="s">
        <v>6</v>
      </c>
      <c r="B3365" s="5" t="s">
        <v>16676</v>
      </c>
      <c r="C3365" s="1" t="s">
        <v>16677</v>
      </c>
      <c r="D3365" s="5" t="s">
        <v>17259</v>
      </c>
      <c r="E3365" s="32">
        <v>8</v>
      </c>
      <c r="F3365" s="27">
        <v>77456</v>
      </c>
      <c r="G3365" s="32">
        <v>5</v>
      </c>
      <c r="H3365" s="27">
        <v>49960</v>
      </c>
      <c r="I3365" s="27">
        <v>9682</v>
      </c>
      <c r="J3365" s="27">
        <v>9992</v>
      </c>
      <c r="K3365" s="29">
        <v>3.2018178062383808E-2</v>
      </c>
    </row>
    <row r="3366" spans="1:11" x14ac:dyDescent="0.25">
      <c r="A3366" s="5" t="s">
        <v>6</v>
      </c>
      <c r="B3366" s="5" t="s">
        <v>16691</v>
      </c>
      <c r="C3366" s="1" t="s">
        <v>16692</v>
      </c>
      <c r="D3366" s="5" t="s">
        <v>17239</v>
      </c>
      <c r="E3366" s="32">
        <v>0</v>
      </c>
      <c r="F3366" s="27">
        <v>0</v>
      </c>
      <c r="G3366" s="32">
        <v>1</v>
      </c>
      <c r="H3366" s="27">
        <v>32634</v>
      </c>
      <c r="J3366" s="27">
        <v>32634</v>
      </c>
    </row>
    <row r="3367" spans="1:11" x14ac:dyDescent="0.25">
      <c r="A3367" s="5" t="s">
        <v>6</v>
      </c>
      <c r="B3367" s="5" t="s">
        <v>16712</v>
      </c>
      <c r="C3367" s="1" t="s">
        <v>16713</v>
      </c>
      <c r="D3367" s="5" t="s">
        <v>18422</v>
      </c>
      <c r="E3367" s="32">
        <v>1</v>
      </c>
      <c r="F3367" s="27">
        <v>8514</v>
      </c>
      <c r="G3367" s="32">
        <v>1</v>
      </c>
      <c r="H3367" s="27">
        <v>9195</v>
      </c>
      <c r="I3367" s="27">
        <v>8514</v>
      </c>
      <c r="J3367" s="27">
        <v>9195</v>
      </c>
      <c r="K3367" s="29">
        <v>7.9985905567300911E-2</v>
      </c>
    </row>
    <row r="3368" spans="1:11" x14ac:dyDescent="0.25">
      <c r="A3368" s="5" t="s">
        <v>6</v>
      </c>
      <c r="B3368" s="5" t="s">
        <v>16724</v>
      </c>
      <c r="C3368" s="1" t="s">
        <v>16725</v>
      </c>
      <c r="D3368" s="5" t="s">
        <v>18432</v>
      </c>
      <c r="E3368" s="32">
        <v>122</v>
      </c>
      <c r="F3368" s="27">
        <v>126084</v>
      </c>
      <c r="G3368" s="32">
        <v>133</v>
      </c>
      <c r="H3368" s="27">
        <v>146687</v>
      </c>
      <c r="I3368" s="27">
        <v>1033.4754098360656</v>
      </c>
      <c r="J3368" s="27">
        <v>1102.9097744360902</v>
      </c>
      <c r="K3368" s="29">
        <v>6.7185308851265765E-2</v>
      </c>
    </row>
    <row r="3369" spans="1:11" x14ac:dyDescent="0.25">
      <c r="A3369" s="5" t="s">
        <v>6</v>
      </c>
      <c r="B3369" s="5" t="s">
        <v>16727</v>
      </c>
      <c r="C3369" s="1" t="s">
        <v>16728</v>
      </c>
      <c r="D3369" s="5" t="s">
        <v>18454</v>
      </c>
      <c r="E3369" s="32">
        <v>19</v>
      </c>
      <c r="F3369" s="27">
        <v>93226</v>
      </c>
      <c r="G3369" s="32">
        <v>22</v>
      </c>
      <c r="H3369" s="27">
        <v>118684</v>
      </c>
      <c r="I3369" s="27">
        <v>4906.6315789473683</v>
      </c>
      <c r="J3369" s="27">
        <v>5394.727272727273</v>
      </c>
      <c r="K3369" s="29">
        <v>9.9476735908632666E-2</v>
      </c>
    </row>
    <row r="3370" spans="1:11" x14ac:dyDescent="0.25">
      <c r="A3370" s="5" t="s">
        <v>6</v>
      </c>
      <c r="B3370" s="5" t="s">
        <v>16733</v>
      </c>
      <c r="C3370" s="1" t="s">
        <v>16734</v>
      </c>
      <c r="D3370" s="5" t="s">
        <v>18455</v>
      </c>
      <c r="E3370" s="32">
        <v>1</v>
      </c>
      <c r="F3370" s="27">
        <v>1235</v>
      </c>
      <c r="G3370" s="32">
        <v>6</v>
      </c>
      <c r="H3370" s="27">
        <v>7806</v>
      </c>
      <c r="I3370" s="27">
        <v>1235</v>
      </c>
      <c r="J3370" s="27">
        <v>1301</v>
      </c>
      <c r="K3370" s="29">
        <v>5.3441295546558708E-2</v>
      </c>
    </row>
    <row r="3371" spans="1:11" x14ac:dyDescent="0.25">
      <c r="A3371" s="5" t="s">
        <v>6</v>
      </c>
      <c r="B3371" s="5" t="s">
        <v>16742</v>
      </c>
      <c r="C3371" s="1" t="s">
        <v>16743</v>
      </c>
      <c r="D3371" s="5" t="s">
        <v>17260</v>
      </c>
      <c r="E3371" s="32">
        <v>487</v>
      </c>
      <c r="F3371" s="27">
        <v>309237</v>
      </c>
      <c r="G3371" s="32">
        <v>541</v>
      </c>
      <c r="H3371" s="27">
        <v>366396</v>
      </c>
      <c r="I3371" s="27">
        <v>634.98357289527723</v>
      </c>
      <c r="J3371" s="27">
        <v>677.25693160813307</v>
      </c>
      <c r="K3371" s="29">
        <v>6.6573940677088425E-2</v>
      </c>
    </row>
    <row r="3372" spans="1:11" x14ac:dyDescent="0.25">
      <c r="A3372" s="5" t="s">
        <v>6</v>
      </c>
      <c r="B3372" s="5" t="s">
        <v>16745</v>
      </c>
      <c r="C3372" s="1" t="s">
        <v>16746</v>
      </c>
      <c r="D3372" s="5" t="s">
        <v>18433</v>
      </c>
      <c r="E3372" s="32">
        <v>58</v>
      </c>
      <c r="F3372" s="27">
        <v>192998</v>
      </c>
      <c r="G3372" s="32">
        <v>97</v>
      </c>
      <c r="H3372" s="27">
        <v>345495</v>
      </c>
      <c r="I3372" s="27">
        <v>3327.5517241379312</v>
      </c>
      <c r="J3372" s="27">
        <v>3561.8041237113403</v>
      </c>
      <c r="K3372" s="29">
        <v>7.0397823683446076E-2</v>
      </c>
    </row>
    <row r="3373" spans="1:11" x14ac:dyDescent="0.25">
      <c r="A3373" s="5" t="s">
        <v>6</v>
      </c>
      <c r="B3373" s="5" t="s">
        <v>16748</v>
      </c>
      <c r="C3373" s="1" t="s">
        <v>16749</v>
      </c>
      <c r="D3373" s="5" t="s">
        <v>18456</v>
      </c>
      <c r="E3373" s="32">
        <v>52</v>
      </c>
      <c r="F3373" s="27">
        <v>44326</v>
      </c>
      <c r="G3373" s="32">
        <v>53</v>
      </c>
      <c r="H3373" s="27">
        <v>49103</v>
      </c>
      <c r="I3373" s="27">
        <v>852.42307692307691</v>
      </c>
      <c r="J3373" s="27">
        <v>926.47169811320759</v>
      </c>
      <c r="K3373" s="29">
        <v>8.6868391054613456E-2</v>
      </c>
    </row>
    <row r="3374" spans="1:11" x14ac:dyDescent="0.25">
      <c r="A3374" s="5" t="s">
        <v>6</v>
      </c>
      <c r="B3374" s="5" t="s">
        <v>16756</v>
      </c>
      <c r="C3374" s="1" t="s">
        <v>16757</v>
      </c>
      <c r="D3374" s="5" t="s">
        <v>17263</v>
      </c>
      <c r="E3374" s="32">
        <v>675</v>
      </c>
      <c r="F3374" s="27">
        <v>675295</v>
      </c>
      <c r="G3374" s="32">
        <v>810</v>
      </c>
      <c r="H3374" s="27">
        <v>861921</v>
      </c>
      <c r="I3374" s="27">
        <v>1000.437037037037</v>
      </c>
      <c r="J3374" s="27">
        <v>1064.0999999999999</v>
      </c>
      <c r="K3374" s="29">
        <v>6.3635152044661858E-2</v>
      </c>
    </row>
    <row r="3375" spans="1:11" x14ac:dyDescent="0.25">
      <c r="A3375" s="5" t="s">
        <v>6</v>
      </c>
      <c r="B3375" s="5" t="s">
        <v>16759</v>
      </c>
      <c r="C3375" s="1" t="s">
        <v>16760</v>
      </c>
      <c r="D3375" s="5" t="s">
        <v>17263</v>
      </c>
      <c r="E3375" s="32">
        <v>0</v>
      </c>
      <c r="F3375" s="27">
        <v>0</v>
      </c>
      <c r="G3375" s="32">
        <v>4</v>
      </c>
      <c r="H3375" s="27">
        <v>5288</v>
      </c>
      <c r="J3375" s="27">
        <v>1322</v>
      </c>
    </row>
    <row r="3376" spans="1:11" x14ac:dyDescent="0.25">
      <c r="A3376" s="5" t="s">
        <v>6</v>
      </c>
      <c r="B3376" s="5" t="s">
        <v>16770</v>
      </c>
      <c r="C3376" s="1" t="s">
        <v>16771</v>
      </c>
      <c r="D3376" s="5" t="s">
        <v>18457</v>
      </c>
      <c r="E3376" s="32">
        <v>4</v>
      </c>
      <c r="F3376" s="27">
        <v>352155</v>
      </c>
      <c r="G3376" s="32">
        <v>5</v>
      </c>
      <c r="H3376" s="27">
        <v>517019.6</v>
      </c>
      <c r="I3376" s="27">
        <v>88038.75</v>
      </c>
      <c r="J3376" s="27">
        <v>103403.92</v>
      </c>
      <c r="K3376" s="29">
        <v>0.17452735301216793</v>
      </c>
    </row>
    <row r="3377" spans="1:11" x14ac:dyDescent="0.25">
      <c r="A3377" s="5" t="s">
        <v>6</v>
      </c>
      <c r="B3377" s="5" t="s">
        <v>16773</v>
      </c>
      <c r="C3377" s="1" t="s">
        <v>16774</v>
      </c>
      <c r="D3377" s="5" t="s">
        <v>18457</v>
      </c>
      <c r="E3377" s="32">
        <v>1</v>
      </c>
      <c r="F3377" s="27">
        <v>80947.199999999997</v>
      </c>
      <c r="I3377" s="27">
        <v>80947.199999999997</v>
      </c>
    </row>
    <row r="3378" spans="1:11" x14ac:dyDescent="0.25">
      <c r="A3378" s="5" t="s">
        <v>6</v>
      </c>
      <c r="B3378" s="5" t="s">
        <v>16808</v>
      </c>
      <c r="C3378" s="1" t="s">
        <v>16809</v>
      </c>
      <c r="D3378" s="5" t="s">
        <v>17210</v>
      </c>
      <c r="E3378" s="32">
        <v>3</v>
      </c>
      <c r="F3378" s="27">
        <v>51187.199999999997</v>
      </c>
      <c r="I3378" s="27">
        <v>17062.399999999998</v>
      </c>
    </row>
    <row r="3379" spans="1:11" x14ac:dyDescent="0.25">
      <c r="A3379" s="5" t="s">
        <v>6</v>
      </c>
      <c r="B3379" s="5" t="s">
        <v>16820</v>
      </c>
      <c r="C3379" s="1" t="s">
        <v>16821</v>
      </c>
      <c r="D3379" s="5" t="s">
        <v>17204</v>
      </c>
      <c r="E3379" s="32">
        <v>1</v>
      </c>
      <c r="F3379" s="27">
        <v>3444</v>
      </c>
      <c r="I3379" s="27">
        <v>3444</v>
      </c>
    </row>
    <row r="3380" spans="1:11" x14ac:dyDescent="0.25">
      <c r="A3380" s="5" t="s">
        <v>6</v>
      </c>
      <c r="B3380" s="5" t="s">
        <v>16822</v>
      </c>
      <c r="C3380" s="1" t="s">
        <v>16823</v>
      </c>
      <c r="D3380" s="5" t="s">
        <v>17204</v>
      </c>
      <c r="E3380" s="32">
        <v>7</v>
      </c>
      <c r="F3380" s="27">
        <v>51176</v>
      </c>
      <c r="G3380" s="32">
        <v>14</v>
      </c>
      <c r="H3380" s="27">
        <v>111896</v>
      </c>
      <c r="I3380" s="27">
        <v>7310.8571428571431</v>
      </c>
      <c r="J3380" s="27">
        <v>7992.5714285714284</v>
      </c>
      <c r="K3380" s="29">
        <v>9.324683445365009E-2</v>
      </c>
    </row>
    <row r="3381" spans="1:11" x14ac:dyDescent="0.25">
      <c r="A3381" s="5" t="s">
        <v>6</v>
      </c>
      <c r="B3381" s="5" t="s">
        <v>16825</v>
      </c>
      <c r="C3381" s="1" t="s">
        <v>16826</v>
      </c>
      <c r="D3381" s="5" t="s">
        <v>17204</v>
      </c>
      <c r="E3381" s="32">
        <v>13</v>
      </c>
      <c r="F3381" s="27">
        <v>48412</v>
      </c>
      <c r="G3381" s="32">
        <v>36</v>
      </c>
      <c r="H3381" s="27">
        <v>142364</v>
      </c>
      <c r="I3381" s="27">
        <v>3724</v>
      </c>
      <c r="J3381" s="27">
        <v>3954.5555555555557</v>
      </c>
      <c r="K3381" s="29">
        <v>6.1910729203962317E-2</v>
      </c>
    </row>
    <row r="3382" spans="1:11" x14ac:dyDescent="0.25">
      <c r="A3382" s="5" t="s">
        <v>6</v>
      </c>
      <c r="B3382" s="5" t="s">
        <v>16838</v>
      </c>
      <c r="C3382" s="1" t="s">
        <v>16839</v>
      </c>
      <c r="D3382" s="5" t="s">
        <v>17204</v>
      </c>
      <c r="E3382" s="32">
        <v>2</v>
      </c>
      <c r="F3382" s="27">
        <v>7050</v>
      </c>
      <c r="G3382" s="32">
        <v>25</v>
      </c>
      <c r="H3382" s="27">
        <v>92637</v>
      </c>
      <c r="I3382" s="27">
        <v>3525</v>
      </c>
      <c r="J3382" s="27">
        <v>3705.48</v>
      </c>
      <c r="K3382" s="29">
        <v>5.1200000000000002E-2</v>
      </c>
    </row>
    <row r="3383" spans="1:11" x14ac:dyDescent="0.25">
      <c r="A3383" s="5" t="s">
        <v>6</v>
      </c>
      <c r="B3383" s="5" t="s">
        <v>16866</v>
      </c>
      <c r="C3383" s="1" t="s">
        <v>16867</v>
      </c>
      <c r="D3383" s="5" t="s">
        <v>17242</v>
      </c>
      <c r="E3383" s="32">
        <v>13</v>
      </c>
      <c r="F3383" s="27">
        <v>24073.439999999999</v>
      </c>
      <c r="G3383" s="32">
        <v>14</v>
      </c>
      <c r="H3383" s="27">
        <v>24170</v>
      </c>
      <c r="I3383" s="27">
        <v>1851.8030769230768</v>
      </c>
      <c r="J3383" s="27">
        <v>1726.4285714285713</v>
      </c>
      <c r="K3383" s="29">
        <v>-6.7704016186659277E-2</v>
      </c>
    </row>
    <row r="3384" spans="1:11" x14ac:dyDescent="0.25">
      <c r="A3384" s="5" t="s">
        <v>6</v>
      </c>
      <c r="B3384" s="5" t="s">
        <v>16898</v>
      </c>
      <c r="C3384" s="1" t="s">
        <v>16899</v>
      </c>
      <c r="D3384" s="5" t="s">
        <v>17242</v>
      </c>
      <c r="E3384" s="32">
        <v>11</v>
      </c>
      <c r="F3384" s="27">
        <v>11550</v>
      </c>
      <c r="G3384" s="32">
        <v>13</v>
      </c>
      <c r="H3384" s="27">
        <v>14406</v>
      </c>
      <c r="I3384" s="27">
        <v>1050</v>
      </c>
      <c r="J3384" s="27">
        <v>1108.1538461538462</v>
      </c>
      <c r="K3384" s="29">
        <v>5.5384615384615421E-2</v>
      </c>
    </row>
    <row r="3385" spans="1:11" x14ac:dyDescent="0.25">
      <c r="A3385" s="5" t="s">
        <v>6</v>
      </c>
      <c r="B3385" s="5" t="s">
        <v>16909</v>
      </c>
      <c r="C3385" s="1" t="s">
        <v>16910</v>
      </c>
      <c r="D3385" s="5" t="s">
        <v>17248</v>
      </c>
      <c r="E3385" s="32">
        <v>1</v>
      </c>
      <c r="F3385" s="27">
        <v>5909</v>
      </c>
      <c r="I3385" s="27">
        <v>5909</v>
      </c>
    </row>
    <row r="3386" spans="1:11" x14ac:dyDescent="0.25">
      <c r="A3386" s="5" t="s">
        <v>6</v>
      </c>
      <c r="B3386" s="5" t="s">
        <v>16915</v>
      </c>
      <c r="C3386" s="1" t="s">
        <v>16916</v>
      </c>
      <c r="D3386" s="5" t="s">
        <v>17247</v>
      </c>
      <c r="E3386" s="32">
        <v>10</v>
      </c>
      <c r="F3386" s="27">
        <v>14276</v>
      </c>
      <c r="I3386" s="27">
        <v>1427.6</v>
      </c>
    </row>
    <row r="3387" spans="1:11" x14ac:dyDescent="0.25">
      <c r="A3387" s="5" t="s">
        <v>6</v>
      </c>
      <c r="B3387" s="5" t="s">
        <v>16918</v>
      </c>
      <c r="C3387" s="1" t="s">
        <v>16919</v>
      </c>
      <c r="D3387" s="5" t="s">
        <v>18458</v>
      </c>
      <c r="E3387" s="32">
        <v>56</v>
      </c>
      <c r="F3387" s="27">
        <v>509271</v>
      </c>
      <c r="G3387" s="32">
        <v>62</v>
      </c>
      <c r="H3387" s="27">
        <v>599605</v>
      </c>
      <c r="I3387" s="27">
        <v>9094.125</v>
      </c>
      <c r="J3387" s="27">
        <v>9671.0483870967746</v>
      </c>
      <c r="K3387" s="29">
        <v>6.3439130988058187E-2</v>
      </c>
    </row>
    <row r="3388" spans="1:11" x14ac:dyDescent="0.25">
      <c r="A3388" s="5" t="s">
        <v>6</v>
      </c>
      <c r="B3388" s="5" t="s">
        <v>16927</v>
      </c>
      <c r="C3388" s="1" t="s">
        <v>16928</v>
      </c>
      <c r="D3388" s="5" t="s">
        <v>17237</v>
      </c>
      <c r="E3388" s="32">
        <v>7</v>
      </c>
      <c r="F3388" s="27">
        <v>58506</v>
      </c>
      <c r="G3388" s="32">
        <v>10</v>
      </c>
      <c r="H3388" s="27">
        <v>86925</v>
      </c>
      <c r="I3388" s="27">
        <v>8358</v>
      </c>
      <c r="J3388" s="27">
        <v>8692.5</v>
      </c>
      <c r="K3388" s="29">
        <v>4.002153625269203E-2</v>
      </c>
    </row>
    <row r="3389" spans="1:11" x14ac:dyDescent="0.25">
      <c r="A3389" s="5" t="s">
        <v>6</v>
      </c>
      <c r="B3389" s="5" t="s">
        <v>16930</v>
      </c>
      <c r="C3389" s="1" t="s">
        <v>16931</v>
      </c>
      <c r="D3389" s="5" t="s">
        <v>17237</v>
      </c>
      <c r="E3389" s="32">
        <v>754</v>
      </c>
      <c r="F3389" s="27">
        <v>901218</v>
      </c>
      <c r="G3389" s="32">
        <v>896</v>
      </c>
      <c r="H3389" s="27">
        <v>1141949</v>
      </c>
      <c r="I3389" s="27">
        <v>1195.2493368700266</v>
      </c>
      <c r="J3389" s="27">
        <v>1274.4966517857142</v>
      </c>
      <c r="K3389" s="29">
        <v>6.6301910798972588E-2</v>
      </c>
    </row>
    <row r="3390" spans="1:11" x14ac:dyDescent="0.25">
      <c r="A3390" s="5" t="s">
        <v>6</v>
      </c>
      <c r="B3390" s="5" t="s">
        <v>16933</v>
      </c>
      <c r="C3390" s="1" t="s">
        <v>16934</v>
      </c>
      <c r="D3390" s="5" t="s">
        <v>18421</v>
      </c>
      <c r="E3390" s="32">
        <v>4</v>
      </c>
      <c r="F3390" s="27">
        <v>2020</v>
      </c>
      <c r="G3390" s="32">
        <v>6</v>
      </c>
      <c r="H3390" s="27">
        <v>3366</v>
      </c>
      <c r="I3390" s="27">
        <v>505</v>
      </c>
      <c r="J3390" s="27">
        <v>561</v>
      </c>
      <c r="K3390" s="29">
        <v>0.11089108910891089</v>
      </c>
    </row>
    <row r="3391" spans="1:11" x14ac:dyDescent="0.25">
      <c r="A3391" s="5" t="s">
        <v>6</v>
      </c>
      <c r="B3391" s="5" t="s">
        <v>16936</v>
      </c>
      <c r="C3391" s="1" t="s">
        <v>16937</v>
      </c>
      <c r="D3391" s="5" t="s">
        <v>18432</v>
      </c>
      <c r="E3391" s="32">
        <v>123</v>
      </c>
      <c r="F3391" s="27">
        <v>274344</v>
      </c>
      <c r="G3391" s="32">
        <v>164</v>
      </c>
      <c r="H3391" s="27">
        <v>391981</v>
      </c>
      <c r="I3391" s="27">
        <v>2230.439024390244</v>
      </c>
      <c r="J3391" s="27">
        <v>2390.1280487804879</v>
      </c>
      <c r="K3391" s="29">
        <v>7.1595332866765837E-2</v>
      </c>
    </row>
    <row r="3392" spans="1:11" x14ac:dyDescent="0.25">
      <c r="A3392" s="5" t="s">
        <v>6</v>
      </c>
      <c r="B3392" s="5" t="s">
        <v>16939</v>
      </c>
      <c r="C3392" s="1" t="s">
        <v>16940</v>
      </c>
      <c r="D3392" s="5" t="s">
        <v>18428</v>
      </c>
      <c r="E3392" s="32">
        <v>26</v>
      </c>
      <c r="F3392" s="27">
        <v>258210</v>
      </c>
      <c r="G3392" s="32">
        <v>40</v>
      </c>
      <c r="H3392" s="27">
        <v>427292</v>
      </c>
      <c r="I3392" s="27">
        <v>9931.1538461538457</v>
      </c>
      <c r="J3392" s="27">
        <v>10682.3</v>
      </c>
      <c r="K3392" s="29">
        <v>7.563533557956699E-2</v>
      </c>
    </row>
    <row r="3393" spans="1:11" x14ac:dyDescent="0.25">
      <c r="A3393" s="5" t="s">
        <v>6</v>
      </c>
      <c r="B3393" s="5" t="s">
        <v>16941</v>
      </c>
      <c r="C3393" s="1" t="s">
        <v>16942</v>
      </c>
      <c r="D3393" s="5" t="s">
        <v>18428</v>
      </c>
      <c r="E3393" s="32">
        <v>27</v>
      </c>
      <c r="F3393" s="27">
        <v>59745</v>
      </c>
      <c r="G3393" s="32">
        <v>12</v>
      </c>
      <c r="H3393" s="27">
        <v>28121</v>
      </c>
      <c r="I3393" s="27">
        <v>2212.7777777777778</v>
      </c>
      <c r="J3393" s="27">
        <v>2343.4166666666665</v>
      </c>
      <c r="K3393" s="29">
        <v>5.903841325633935E-2</v>
      </c>
    </row>
    <row r="3394" spans="1:11" x14ac:dyDescent="0.25">
      <c r="A3394" s="5" t="s">
        <v>6</v>
      </c>
      <c r="B3394" s="5" t="s">
        <v>16952</v>
      </c>
      <c r="C3394" s="1" t="s">
        <v>16953</v>
      </c>
      <c r="D3394" s="5" t="s">
        <v>17260</v>
      </c>
      <c r="E3394" s="32">
        <v>1</v>
      </c>
      <c r="F3394" s="27">
        <v>1990</v>
      </c>
      <c r="I3394" s="27">
        <v>1990</v>
      </c>
    </row>
    <row r="3395" spans="1:11" x14ac:dyDescent="0.25">
      <c r="A3395" s="5" t="s">
        <v>6</v>
      </c>
      <c r="B3395" s="5" t="s">
        <v>16959</v>
      </c>
      <c r="C3395" s="1" t="s">
        <v>16960</v>
      </c>
      <c r="D3395" s="5" t="s">
        <v>17241</v>
      </c>
      <c r="E3395" s="32">
        <v>9</v>
      </c>
      <c r="F3395" s="27">
        <v>40316.78</v>
      </c>
      <c r="I3395" s="27">
        <v>4479.6422222222218</v>
      </c>
    </row>
    <row r="3396" spans="1:11" x14ac:dyDescent="0.25">
      <c r="A3396" s="5" t="s">
        <v>6</v>
      </c>
      <c r="B3396" s="5" t="s">
        <v>16970</v>
      </c>
      <c r="C3396" s="1" t="s">
        <v>16971</v>
      </c>
      <c r="D3396" s="5" t="s">
        <v>18449</v>
      </c>
      <c r="E3396" s="32">
        <v>3</v>
      </c>
      <c r="F3396" s="27">
        <v>4866</v>
      </c>
      <c r="I3396" s="27">
        <v>1622</v>
      </c>
    </row>
    <row r="3397" spans="1:11" x14ac:dyDescent="0.25">
      <c r="A3397" s="5" t="s">
        <v>6</v>
      </c>
      <c r="B3397" s="5" t="s">
        <v>16997</v>
      </c>
      <c r="C3397" s="1" t="s">
        <v>16998</v>
      </c>
      <c r="D3397" s="5" t="s">
        <v>17204</v>
      </c>
      <c r="E3397" s="32">
        <v>1</v>
      </c>
      <c r="F3397" s="27">
        <v>6178</v>
      </c>
      <c r="I3397" s="27">
        <v>6178</v>
      </c>
    </row>
    <row r="3398" spans="1:11" x14ac:dyDescent="0.25">
      <c r="A3398" s="5" t="s">
        <v>6</v>
      </c>
      <c r="B3398" s="5" t="s">
        <v>17016</v>
      </c>
      <c r="C3398" s="1" t="s">
        <v>17017</v>
      </c>
      <c r="D3398" s="5" t="s">
        <v>17242</v>
      </c>
      <c r="E3398" s="32">
        <v>54</v>
      </c>
      <c r="F3398" s="27">
        <v>93820</v>
      </c>
      <c r="G3398" s="32">
        <v>44</v>
      </c>
      <c r="H3398" s="27">
        <v>91791.23</v>
      </c>
      <c r="I3398" s="27">
        <v>1737.4074074074074</v>
      </c>
      <c r="J3398" s="27">
        <v>2086.1643181818181</v>
      </c>
      <c r="K3398" s="29">
        <v>0.20073409914536536</v>
      </c>
    </row>
    <row r="3399" spans="1:11" x14ac:dyDescent="0.25">
      <c r="A3399" s="5" t="s">
        <v>6</v>
      </c>
      <c r="B3399" s="5" t="s">
        <v>17031</v>
      </c>
      <c r="C3399" s="1" t="s">
        <v>17032</v>
      </c>
      <c r="D3399" s="5" t="s">
        <v>17213</v>
      </c>
      <c r="E3399" s="32">
        <v>10</v>
      </c>
      <c r="F3399" s="27">
        <v>18728.900000000001</v>
      </c>
      <c r="I3399" s="27">
        <v>1872.89</v>
      </c>
    </row>
    <row r="3400" spans="1:11" x14ac:dyDescent="0.25">
      <c r="A3400" s="5" t="s">
        <v>6</v>
      </c>
      <c r="B3400" s="5" t="s">
        <v>17037</v>
      </c>
      <c r="C3400" s="1" t="s">
        <v>17038</v>
      </c>
      <c r="D3400" s="5" t="s">
        <v>17249</v>
      </c>
      <c r="E3400" s="32">
        <v>23</v>
      </c>
      <c r="F3400" s="27">
        <v>20228</v>
      </c>
      <c r="G3400" s="32">
        <v>13</v>
      </c>
      <c r="H3400" s="27">
        <v>12250</v>
      </c>
      <c r="I3400" s="27">
        <v>879.47826086956525</v>
      </c>
      <c r="J3400" s="27">
        <v>942.30769230769226</v>
      </c>
      <c r="K3400" s="29">
        <v>7.1439436576869755E-2</v>
      </c>
    </row>
    <row r="3401" spans="1:11" x14ac:dyDescent="0.25">
      <c r="A3401" s="5" t="s">
        <v>6</v>
      </c>
      <c r="B3401" s="5" t="s">
        <v>17040</v>
      </c>
      <c r="C3401" s="1" t="s">
        <v>17041</v>
      </c>
      <c r="D3401" s="5" t="s">
        <v>17213</v>
      </c>
      <c r="E3401" s="32">
        <v>14</v>
      </c>
      <c r="F3401" s="27">
        <v>185642.22</v>
      </c>
      <c r="G3401" s="32">
        <v>8</v>
      </c>
      <c r="H3401" s="27">
        <v>97788.1</v>
      </c>
      <c r="I3401" s="27">
        <v>13260.158571428572</v>
      </c>
      <c r="J3401" s="27">
        <v>12223.512500000001</v>
      </c>
      <c r="K3401" s="29">
        <v>-7.8177501863530813E-2</v>
      </c>
    </row>
    <row r="3402" spans="1:11" x14ac:dyDescent="0.25">
      <c r="E3402" s="32">
        <f>SUM(E5:E3401)</f>
        <v>6313102</v>
      </c>
      <c r="F3402" s="27">
        <f>SUM(F5:F3401)</f>
        <v>2408234241.3700023</v>
      </c>
      <c r="G3402" s="32">
        <f>SUM(G5:G3401)</f>
        <v>8859076</v>
      </c>
      <c r="H3402" s="27">
        <f>SUM(H5:H3401)</f>
        <v>2631309889.4599977</v>
      </c>
      <c r="I3402" s="27">
        <f>F3402/E3402</f>
        <v>381.46607505628805</v>
      </c>
    </row>
    <row r="3404" spans="1:11" x14ac:dyDescent="0.25">
      <c r="A3404" s="37" t="s">
        <v>18461</v>
      </c>
      <c r="B3404" s="27">
        <f>F3402</f>
        <v>2408234241.3700023</v>
      </c>
    </row>
    <row r="3405" spans="1:11" x14ac:dyDescent="0.25">
      <c r="A3405" s="37" t="s">
        <v>18462</v>
      </c>
      <c r="B3405" s="27">
        <f>H3402</f>
        <v>2631309889.4599977</v>
      </c>
    </row>
    <row r="3406" spans="1:11" x14ac:dyDescent="0.25">
      <c r="A3406" s="38" t="s">
        <v>18463</v>
      </c>
      <c r="B3406" s="29">
        <f>((B3405-B3404)/B3404)</f>
        <v>9.2630377999729605E-2</v>
      </c>
    </row>
  </sheetData>
  <printOptions horizontalCentered="1"/>
  <pageMargins left="0.25" right="0.25" top="0.5" bottom="0.75" header="0.3" footer="0.3"/>
  <pageSetup scale="77" fitToHeight="999" orientation="landscape" r:id="rId1"/>
  <headerFooter>
    <oddFooter>&amp;L&amp;9ULK 106190240_PCT_CHG&amp;R&amp;9Page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106190240_CDM</vt:lpstr>
      <vt:lpstr>106190240_Common 25</vt:lpstr>
      <vt:lpstr>106190240_PCT_CHG</vt:lpstr>
      <vt:lpstr>'106190240_CDM'!Print_Area</vt:lpstr>
      <vt:lpstr>'106190240_Common 25'!Print_Area</vt:lpstr>
      <vt:lpstr>'106190240_PCT_CHG'!Print_Area</vt:lpstr>
      <vt:lpstr>'106190240_CDM'!Print_Titles</vt:lpstr>
      <vt:lpstr>'106190240_Common 25'!Print_Titles</vt:lpstr>
      <vt:lpstr>'106190240_PCT_CHG'!Print_Titles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2024-06-28T11:38:04Z</cp:lastPrinted>
  <dcterms:created xsi:type="dcterms:W3CDTF">2024-06-28T01:16:43Z</dcterms:created>
  <dcterms:modified xsi:type="dcterms:W3CDTF">2024-06-28T23:23:43Z</dcterms:modified>
</cp:coreProperties>
</file>