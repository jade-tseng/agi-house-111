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1D1ABF31-751A-409E-ADE2-ECDF962E243C}" xr6:coauthVersionLast="47" xr6:coauthVersionMax="47" xr10:uidLastSave="{00000000-0000-0000-0000-000000000000}"/>
  <bookViews>
    <workbookView xWindow="-110" yWindow="-110" windowWidth="19420" windowHeight="10420" xr2:uid="{B1406DD5-9290-4407-812C-743A2401155E}"/>
  </bookViews>
  <sheets>
    <sheet name="Norwalk 5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<sst xmlns="http://schemas.openxmlformats.org/spreadsheetml/2006/main" count="43" uniqueCount="42">
  <si>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OSHPD ID NO:  106190570</t>
  </si>
  <si>
    <t>FACILITY NAME:   Norwalk Community Hospital</t>
  </si>
  <si>
    <t>GROSS REVENUE SUMMARY 2023 - 2024 REPORTING PERIOD</t>
  </si>
  <si>
    <t>Gross Revenue</t>
  </si>
  <si>
    <t>Month</t>
  </si>
  <si>
    <t>Norwalk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</si>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</sst>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5231-96FC-4928-B762-4C106FE53138}">
  <sheetPr>
    <pageSetUpPr fitToPage="1"/>
  </sheetPr>
  <dimension ref="A1:D42"/>
  <sheetViews>
    <sheetView tabSelected="1" workbookViewId="0">
      <selection activeCell="B6" sqref="B6"/>
    </sheetView>
  </sheetViews>
  <sheetFormatPr defaultRowHeight="14.5" x14ac:dyDescent="0.35"/>
  <cols>
    <col min="2" max="2" width="43.453125" customWidth="1"/>
    <col min="3" max="3" width="25.7265625" style="2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  <c r="C3" s="3"/>
    </row>
    <row r="7" spans="1:4" x14ac:dyDescent="0.35">
      <c r="B7" t="s">
        <v>3</v>
      </c>
      <c r="C7" s="4"/>
    </row>
    <row r="8" spans="1:4" s="5" customFormat="1" x14ac:dyDescent="0.35">
      <c r="B8" s="5" t="s">
        <v>4</v>
      </c>
      <c r="C8" s="6" t="s">
        <v>5</v>
      </c>
    </row>
    <row r="9" spans="1:4" x14ac:dyDescent="0.35">
      <c r="B9" t="s">
        <v>6</v>
      </c>
      <c r="C9" s="2">
        <v>16410967.630000001</v>
      </c>
      <c r="D9" s="2"/>
    </row>
    <row r="10" spans="1:4" x14ac:dyDescent="0.35">
      <c r="B10" t="s">
        <v>7</v>
      </c>
      <c r="C10" s="2">
        <v>17479467.420000002</v>
      </c>
      <c r="D10" s="2"/>
    </row>
    <row r="11" spans="1:4" x14ac:dyDescent="0.35">
      <c r="B11" t="s">
        <v>8</v>
      </c>
      <c r="C11" s="2">
        <v>17058188</v>
      </c>
      <c r="D11" s="2"/>
    </row>
    <row r="12" spans="1:4" x14ac:dyDescent="0.35">
      <c r="B12" t="s">
        <v>9</v>
      </c>
      <c r="C12" s="2">
        <v>16477074.24</v>
      </c>
      <c r="D12" s="2"/>
    </row>
    <row r="13" spans="1:4" x14ac:dyDescent="0.35">
      <c r="B13" t="s">
        <v>10</v>
      </c>
      <c r="C13" s="2">
        <v>16977177.420000002</v>
      </c>
      <c r="D13" s="2"/>
    </row>
    <row r="14" spans="1:4" x14ac:dyDescent="0.35">
      <c r="B14" t="s">
        <v>11</v>
      </c>
      <c r="C14" s="2">
        <v>16938723.91</v>
      </c>
      <c r="D14" s="2"/>
    </row>
    <row r="15" spans="1:4" x14ac:dyDescent="0.35">
      <c r="B15" t="s">
        <v>12</v>
      </c>
      <c r="C15" s="2">
        <v>17570414.109999999</v>
      </c>
      <c r="D15" s="2"/>
    </row>
    <row r="16" spans="1:4" x14ac:dyDescent="0.35">
      <c r="B16" t="s">
        <v>13</v>
      </c>
      <c r="C16" s="2">
        <v>18499194.859999999</v>
      </c>
      <c r="D16" s="2"/>
    </row>
    <row r="17" spans="2:4" x14ac:dyDescent="0.35">
      <c r="B17" t="s">
        <v>14</v>
      </c>
      <c r="C17" s="2">
        <v>16314285.93</v>
      </c>
      <c r="D17" s="2"/>
    </row>
    <row r="18" spans="2:4" x14ac:dyDescent="0.35">
      <c r="B18" t="s">
        <v>15</v>
      </c>
      <c r="C18" s="2">
        <v>17769730.07</v>
      </c>
      <c r="D18" s="2"/>
    </row>
    <row r="19" spans="2:4" x14ac:dyDescent="0.35">
      <c r="B19" t="s">
        <v>16</v>
      </c>
      <c r="C19" s="2">
        <v>16500282.869999999</v>
      </c>
      <c r="D19" s="2"/>
    </row>
    <row r="20" spans="2:4" x14ac:dyDescent="0.35">
      <c r="B20" t="s">
        <v>17</v>
      </c>
      <c r="C20" s="2">
        <v>16161788.65</v>
      </c>
      <c r="D20" s="2"/>
    </row>
    <row r="21" spans="2:4" x14ac:dyDescent="0.35">
      <c r="B21" s="1" t="s">
        <v>18</v>
      </c>
      <c r="C21" s="7">
        <f>SUM(C9:C20)</f>
        <v>204157295.11000001</v>
      </c>
      <c r="D21" s="3"/>
    </row>
    <row r="23" spans="2:4" x14ac:dyDescent="0.35">
      <c r="B23" t="s">
        <v>19</v>
      </c>
      <c r="C23" s="2">
        <v>17492261.469999999</v>
      </c>
    </row>
    <row r="24" spans="2:4" x14ac:dyDescent="0.35">
      <c r="B24" t="s">
        <v>20</v>
      </c>
      <c r="C24" s="2">
        <v>16390868.630000001</v>
      </c>
    </row>
    <row r="25" spans="2:4" x14ac:dyDescent="0.35">
      <c r="B25" t="s">
        <v>21</v>
      </c>
      <c r="C25" s="2">
        <v>587977.64</v>
      </c>
    </row>
    <row r="26" spans="2:4" x14ac:dyDescent="0.35">
      <c r="B26" t="s">
        <v>22</v>
      </c>
      <c r="C26" s="2">
        <v>7805135.7699999996</v>
      </c>
    </row>
    <row r="27" spans="2:4" x14ac:dyDescent="0.35">
      <c r="B27" t="s">
        <v>23</v>
      </c>
      <c r="C27" s="2">
        <v>24901835.640000001</v>
      </c>
    </row>
    <row r="28" spans="2:4" x14ac:dyDescent="0.35">
      <c r="B28" t="s">
        <v>24</v>
      </c>
      <c r="C28" s="2">
        <v>23748967.82</v>
      </c>
    </row>
    <row r="29" spans="2:4" x14ac:dyDescent="0.35">
      <c r="B29" t="s">
        <v>25</v>
      </c>
      <c r="C29" s="2">
        <v>23692386.52</v>
      </c>
    </row>
    <row r="30" spans="2:4" x14ac:dyDescent="0.35">
      <c r="B30" t="s">
        <v>26</v>
      </c>
      <c r="C30" s="2">
        <v>24569722.129999999</v>
      </c>
    </row>
    <row r="31" spans="2:4" x14ac:dyDescent="0.35">
      <c r="B31" t="s">
        <v>27</v>
      </c>
      <c r="C31" s="2">
        <v>45771821.969999999</v>
      </c>
    </row>
    <row r="32" spans="2:4" x14ac:dyDescent="0.35">
      <c r="B32" t="s">
        <v>28</v>
      </c>
      <c r="C32" s="2">
        <v>24298609.960000001</v>
      </c>
    </row>
    <row r="33" spans="1:3" x14ac:dyDescent="0.35">
      <c r="B33" t="s">
        <v>29</v>
      </c>
      <c r="C33" s="2">
        <v>22925870.449999999</v>
      </c>
    </row>
    <row r="34" spans="1:3" x14ac:dyDescent="0.35">
      <c r="B34" t="s">
        <v>30</v>
      </c>
      <c r="C34" s="2">
        <v>24242614.489999998</v>
      </c>
    </row>
    <row r="35" spans="1:3" ht="25.5" customHeight="1" x14ac:dyDescent="0.35">
      <c r="A35" s="5" t="s">
        <v>31</v>
      </c>
      <c r="B35" s="1" t="s">
        <v>18</v>
      </c>
      <c r="C35" s="7">
        <f>SUM(C23:C34)</f>
        <v>256428072.49000001</v>
      </c>
    </row>
    <row r="36" spans="1:3" x14ac:dyDescent="0.35">
      <c r="A36" s="5"/>
      <c r="C36" s="3"/>
    </row>
    <row r="37" spans="1:3" x14ac:dyDescent="0.35">
      <c r="A37" s="5" t="s">
        <v>32</v>
      </c>
      <c r="B37" s="1" t="s">
        <v>33</v>
      </c>
      <c r="C37" s="2">
        <v>204157295.11000001</v>
      </c>
    </row>
    <row r="38" spans="1:3" x14ac:dyDescent="0.35">
      <c r="A38" s="5" t="s">
        <v>34</v>
      </c>
      <c r="B38" s="1" t="s">
        <v>35</v>
      </c>
      <c r="C38" s="2">
        <v>256428072.49000001</v>
      </c>
    </row>
    <row r="39" spans="1:3" s="1" customFormat="1" x14ac:dyDescent="0.35">
      <c r="A39" s="5" t="s">
        <v>36</v>
      </c>
      <c r="B39" s="1" t="s">
        <v>37</v>
      </c>
      <c r="C39" s="7">
        <f>+C38-C37</f>
        <v>52270777.379999995</v>
      </c>
    </row>
    <row r="40" spans="1:3" s="1" customFormat="1" ht="29.25" customHeight="1" x14ac:dyDescent="0.35">
      <c r="A40" s="8" t="s">
        <v>38</v>
      </c>
      <c r="B40" s="9" t="s">
        <v>39</v>
      </c>
      <c r="C40" s="10">
        <f>+C39/C35</f>
        <v>0.20384186829637543</v>
      </c>
    </row>
    <row r="41" spans="1:3" x14ac:dyDescent="0.35">
      <c r="A41" s="5"/>
    </row>
    <row r="42" spans="1:3" x14ac:dyDescent="0.35">
      <c r="A42" s="5" t="s">
        <v>40</v>
      </c>
      <c r="B42" t="s">
        <v>41</v>
      </c>
      <c r="C42" s="3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Norwalk 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2024-06-29T00:32:20Z</dcterms:created>
  <dcterms:modified xsi:type="dcterms:W3CDTF">2024-06-29T14:28:57Z</dcterms:modified>
</cp:coreProperties>
</file>