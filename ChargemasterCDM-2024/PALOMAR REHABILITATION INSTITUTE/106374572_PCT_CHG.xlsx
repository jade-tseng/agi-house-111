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inance\HCAi\2024\Chargemaster\"/>
    </mc:Choice>
  </mc:AlternateContent>
  <xr:revisionPtr revIDLastSave="0" documentId="13_ncr:1_{73B134A4-8FD4-440F-BFB2-C976DE5CC590}" xr6:coauthVersionLast="47" xr6:coauthVersionMax="47" xr10:uidLastSave="{00000000-0000-0000-0000-000000000000}"/>
  <bookViews>
    <workbookView xWindow="-19310" yWindow="-110" windowWidth="19420" windowHeight="10420" xr2:uid="{00000000-000D-0000-FFFF-FFFF00000000}"/>
  </bookViews>
  <sheets>
    <sheet name="Price change comparison- 384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4" i="2" l="1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<sst xmlns="http://schemas.openxmlformats.org/spreadsheetml/2006/main" count="1505" uniqueCount="330">
  <si>
    <t>H</t>
  </si>
  <si>
    <t>ID</t>
  </si>
  <si>
    <t xml:space="preserve">Facility  </t>
  </si>
  <si>
    <t xml:space="preserve">Facility Name                 </t>
  </si>
  <si>
    <t xml:space="preserve">Procedure </t>
  </si>
  <si>
    <t xml:space="preserve">Description                   </t>
  </si>
  <si>
    <t>Current Price</t>
  </si>
  <si>
    <t>Eff Date</t>
  </si>
  <si>
    <t>Previous Price</t>
  </si>
  <si>
    <t>Change Amt</t>
  </si>
  <si>
    <t>Change Pct</t>
  </si>
  <si>
    <t>D</t>
  </si>
  <si>
    <t xml:space="preserve">INTERMEDIATE REHAB PRIVATE    </t>
  </si>
  <si>
    <t xml:space="preserve">PT EVALUATION LOW COMPLEXITY  </t>
  </si>
  <si>
    <t xml:space="preserve">PT EVALUATION MOD COMPLEXITY  </t>
  </si>
  <si>
    <t>PT EVAL HIGH COMPLEXITY 45 MIN</t>
  </si>
  <si>
    <t xml:space="preserve">GAIT TRAINING 15 MIN          </t>
  </si>
  <si>
    <t xml:space="preserve">THERAPEUTIC PROCEDURE-GROUP   </t>
  </si>
  <si>
    <t xml:space="preserve">THERAPEUTIC PROC-GROUP 15 MIN </t>
  </si>
  <si>
    <t xml:space="preserve">PROSTHETIC TRAIN - INITIAL    </t>
  </si>
  <si>
    <t xml:space="preserve">NEUROMUSCULAR RE-ED 15 MIN    </t>
  </si>
  <si>
    <t xml:space="preserve">MANUAL THERAPY 15 MIN         </t>
  </si>
  <si>
    <t xml:space="preserve">THERAPEUTIC EXERCISE 15 MIN   </t>
  </si>
  <si>
    <t xml:space="preserve">WHEELCHAIR TRAINING 15 MIN    </t>
  </si>
  <si>
    <t xml:space="preserve">PT EDUCAT/TRAINING 30/MIN     </t>
  </si>
  <si>
    <t xml:space="preserve">ELEC STIM ATTENDED 15 MIN     </t>
  </si>
  <si>
    <t xml:space="preserve">HOME MGT TRAINING 15 MIN      </t>
  </si>
  <si>
    <t xml:space="preserve">ORTHOTIC FIT/TRAIN -INITIAL   </t>
  </si>
  <si>
    <t xml:space="preserve">THER ACT DIRECT 15 MIN        </t>
  </si>
  <si>
    <t xml:space="preserve">APPLY SPLINT SHORT LEG        </t>
  </si>
  <si>
    <t xml:space="preserve">COMM/WORK REINTEG 15 MIN      </t>
  </si>
  <si>
    <t xml:space="preserve">BIOFEEDBACK TRAINING          </t>
  </si>
  <si>
    <t xml:space="preserve">AQUATIC THERAPY W/EXER 15 MIN </t>
  </si>
  <si>
    <t xml:space="preserve">THER PROCEDURE-GROUP 30 MIN   </t>
  </si>
  <si>
    <t xml:space="preserve">THER PROCEDURE-GROUP 45 MIN   </t>
  </si>
  <si>
    <t xml:space="preserve">THER PROCEDURE-GROUP 60 MIN   </t>
  </si>
  <si>
    <t xml:space="preserve">THER PROCEDURE-GROUP 15 MIN   </t>
  </si>
  <si>
    <t xml:space="preserve">MASSAGE 15 MIN                </t>
  </si>
  <si>
    <t xml:space="preserve">IONTOPHORESIS 15 MIN          </t>
  </si>
  <si>
    <t xml:space="preserve">THER INT COG FUNC 1ST 15 MIN  </t>
  </si>
  <si>
    <t xml:space="preserve">SELF CARE/HOME MGT 15 MIN     </t>
  </si>
  <si>
    <t xml:space="preserve">SELF CARE MGT TRAINING 15 MIN </t>
  </si>
  <si>
    <t xml:space="preserve">APPLY SPLINT SHORT ARM STATIC </t>
  </si>
  <si>
    <t xml:space="preserve">APPLY SPLINT SHORT ARM DYNAM  </t>
  </si>
  <si>
    <t xml:space="preserve">APPLY SPLINT FINGER STATIC    </t>
  </si>
  <si>
    <t xml:space="preserve">APPLY SPLINT FINGER DYNAM     </t>
  </si>
  <si>
    <t xml:space="preserve">STRAPPING SHOULDER            </t>
  </si>
  <si>
    <t xml:space="preserve">OT EVALUATION LOW COMPLEXITY  </t>
  </si>
  <si>
    <t xml:space="preserve">OT EVALUATION MOD COMPLEXITY  </t>
  </si>
  <si>
    <t xml:space="preserve">OT EVALUATION HIGH COMPLEXITY </t>
  </si>
  <si>
    <t xml:space="preserve">PT/FAMILY TRAINING EA 30 MIN  </t>
  </si>
  <si>
    <t xml:space="preserve">SENSORY STIMULATION 15 MIN    </t>
  </si>
  <si>
    <t xml:space="preserve">EVAL SPEECH SOUND PRODUCTION  </t>
  </si>
  <si>
    <t xml:space="preserve">EVAL SOUND PROD/LANG CMP EXP  </t>
  </si>
  <si>
    <t xml:space="preserve">TX SWALLOWING/ORAL DYSFUN     </t>
  </si>
  <si>
    <t xml:space="preserve">SPEECH GROUP TRTMT 30 MIN     </t>
  </si>
  <si>
    <t xml:space="preserve">SPEECH GROUP TRTMT 45 MIN     </t>
  </si>
  <si>
    <t xml:space="preserve">SPEECH GROUP TRTMT 60 MIN     </t>
  </si>
  <si>
    <t xml:space="preserve">SPEECH/HEARING EVAL 15 MIN    </t>
  </si>
  <si>
    <t xml:space="preserve">SPEECH/HEARING EVAL 30 MIN    </t>
  </si>
  <si>
    <t xml:space="preserve">SPEECH/HEARING EVAL 45 MIN    </t>
  </si>
  <si>
    <t xml:space="preserve">SPEECH/HEARING EVAL 60 MIN    </t>
  </si>
  <si>
    <t xml:space="preserve">SPEECH LANGUAGE TREATMENT     </t>
  </si>
  <si>
    <t xml:space="preserve">EVAL SWALLOW/ORAL FUNC 15 MIN </t>
  </si>
  <si>
    <t xml:space="preserve">EVAL SWALLOW/ORAL FUNC 30 MIN </t>
  </si>
  <si>
    <t xml:space="preserve">EVAL SWALLOW/ORAL FUNC 45 MIN </t>
  </si>
  <si>
    <t xml:space="preserve">EVAL SWALLOW/ORAL FUNC 60 MIN </t>
  </si>
  <si>
    <t xml:space="preserve">THERAPY SPEECH GEN DEVICE     </t>
  </si>
  <si>
    <t xml:space="preserve">DEVELOPMENT TESTING LIMITED   </t>
  </si>
  <si>
    <t>STANDARD COGNITIVE TEST PER HR</t>
  </si>
  <si>
    <t xml:space="preserve">EVAL APHASIA PER HR           </t>
  </si>
  <si>
    <t xml:space="preserve">AURAL REHAB INDIVIDUAL        </t>
  </si>
  <si>
    <t xml:space="preserve">FOLATE SERUM                  </t>
  </si>
  <si>
    <t xml:space="preserve">RENAL PANEL                   </t>
  </si>
  <si>
    <t xml:space="preserve">THYROXINE FREE (FREE T4)      </t>
  </si>
  <si>
    <t xml:space="preserve">BLOOD CULTURE                 </t>
  </si>
  <si>
    <t xml:space="preserve">CORTISOL TOTAL                </t>
  </si>
  <si>
    <t>Average</t>
  </si>
  <si>
    <t>jp</t>
  </si>
  <si>
    <t xml:space="preserve">PALOMAR HEALTH REHAB          </t>
  </si>
  <si>
    <t xml:space="preserve">INTERMEDIATE REHAB SEMI-PRIV  </t>
  </si>
  <si>
    <t xml:space="preserve">3/4 BED REHAB SEMI-PRIVATE    </t>
  </si>
  <si>
    <t xml:space="preserve">DELUXE REHAB PRIVATE          </t>
  </si>
  <si>
    <t xml:space="preserve">WARD REHAB SEMI-PRIVATE       </t>
  </si>
  <si>
    <t xml:space="preserve">NON-SELECTIVE DEBRIDEMENT     </t>
  </si>
  <si>
    <t xml:space="preserve">STRAPPING UNNA BOOT           </t>
  </si>
  <si>
    <t xml:space="preserve">PHYSICAL THERAPY EVAL         </t>
  </si>
  <si>
    <t>PT EVAL HIGH COMPLEXITY 60 MIN</t>
  </si>
  <si>
    <t xml:space="preserve">PT INITIAL EVAL 15 MINUTE     </t>
  </si>
  <si>
    <t xml:space="preserve">PT INITIAL EVAL 30 MIN        </t>
  </si>
  <si>
    <t xml:space="preserve">PT INITIAL EVAL 45 MIN        </t>
  </si>
  <si>
    <t xml:space="preserve">PT EVAL 60 MIN                </t>
  </si>
  <si>
    <t xml:space="preserve">VASOPNEUMATIC DEVICES         </t>
  </si>
  <si>
    <t xml:space="preserve">PARAFFIN BATH                 </t>
  </si>
  <si>
    <t>PHYSICAL THERAPY RE-EVALUATION</t>
  </si>
  <si>
    <t xml:space="preserve">WHIRLPOOL                     </t>
  </si>
  <si>
    <t xml:space="preserve">CONTRAST BATH 15 MIN          </t>
  </si>
  <si>
    <t xml:space="preserve">DIATHERMY                     </t>
  </si>
  <si>
    <t xml:space="preserve">ORTHOTIC PROSTH CHECK 15 MIN  </t>
  </si>
  <si>
    <t xml:space="preserve">TRACTION                      </t>
  </si>
  <si>
    <t xml:space="preserve">ULTRAVIOLET                   </t>
  </si>
  <si>
    <t xml:space="preserve">TEST PHYSICAL PERFORM 15 MIN  </t>
  </si>
  <si>
    <t xml:space="preserve">MUSCLE TEST EXTREMITY/TRUNK   </t>
  </si>
  <si>
    <t xml:space="preserve">MUSCLE TEST HAND              </t>
  </si>
  <si>
    <t xml:space="preserve">MUSCLE TEST BODY W/O HANDS    </t>
  </si>
  <si>
    <t xml:space="preserve">MUSCLE TEST BODY W/HANDS      </t>
  </si>
  <si>
    <t xml:space="preserve">ROM TESTING EXTREMITY/TRUNK   </t>
  </si>
  <si>
    <t xml:space="preserve">ROM TESTING HAND              </t>
  </si>
  <si>
    <t xml:space="preserve">ULTRASOUND 15 MIN             </t>
  </si>
  <si>
    <t xml:space="preserve">ASSISTIVE TECH ASSESS 15 MIN  </t>
  </si>
  <si>
    <t xml:space="preserve">WHIRLPOOL HUBBARD TANK 15MIN  </t>
  </si>
  <si>
    <t xml:space="preserve">STRAPPING THORAX              </t>
  </si>
  <si>
    <t xml:space="preserve">STRAPPING ELBOW OR WRIST      </t>
  </si>
  <si>
    <t xml:space="preserve">STRAPPING HIP                 </t>
  </si>
  <si>
    <t xml:space="preserve">STRAPPING KNEE                </t>
  </si>
  <si>
    <t xml:space="preserve">STRAPPING ANKLE AND/OR FOOT   </t>
  </si>
  <si>
    <t xml:space="preserve">STRAPPING TOES                </t>
  </si>
  <si>
    <t xml:space="preserve">ELEC STIM WOUND UNATTENDED    </t>
  </si>
  <si>
    <t xml:space="preserve">NEG PRESS WOUND THER&lt;=50SQCM  </t>
  </si>
  <si>
    <t xml:space="preserve">NPWT DISP EQUIP &gt;50 SQ CM     </t>
  </si>
  <si>
    <t xml:space="preserve">NPWT DISP EQUIP &lt;=50 SQ CM    </t>
  </si>
  <si>
    <t xml:space="preserve">NEG PRESS WOUND THER &gt;50SQCM  </t>
  </si>
  <si>
    <t xml:space="preserve">SELECTIV DEBRIDE 1ST 20 SQ CM </t>
  </si>
  <si>
    <t>SELECTIV DEBRIDE EA AD 20SQ CM</t>
  </si>
  <si>
    <t xml:space="preserve">VESTIBULAR REHAB              </t>
  </si>
  <si>
    <t xml:space="preserve">1 EXT W/ OR W/O PARASPINA     </t>
  </si>
  <si>
    <t xml:space="preserve">2 EXT W/ OR W/O PARASPINA     </t>
  </si>
  <si>
    <t xml:space="preserve">NERVE COND SENSORY            </t>
  </si>
  <si>
    <t xml:space="preserve">HOME EVALUATION 15 MIN        </t>
  </si>
  <si>
    <t xml:space="preserve">PHYSICAL PERFORM TEST 15      </t>
  </si>
  <si>
    <t xml:space="preserve">PT ADL/FUNCTINAL ACT 15 MIN   </t>
  </si>
  <si>
    <t xml:space="preserve">PT GAIT TRAINING II 15 MIN    </t>
  </si>
  <si>
    <t>PT MUSCLE RE-ED BAL TRAIN I 15</t>
  </si>
  <si>
    <t xml:space="preserve">PT MUSCLE RE-ED/BAL TR II 15  </t>
  </si>
  <si>
    <t xml:space="preserve">PT PHONOPHORESIS 15MIN        </t>
  </si>
  <si>
    <t xml:space="preserve">PT THERAPEUTIC ACT I 15 MIN   </t>
  </si>
  <si>
    <t xml:space="preserve">PT THERAPEUTIC ACT II 15 MIN  </t>
  </si>
  <si>
    <t xml:space="preserve">PT THERAPEUTIC EXER II 15 MIN </t>
  </si>
  <si>
    <t>PT EVAL - HIGH COMPLEX - 90 MI</t>
  </si>
  <si>
    <t>PT EVAL - HIGH COMPLEX - 75MIN</t>
  </si>
  <si>
    <t>PT EVAL - LOW COMPLEX - 15 MIN</t>
  </si>
  <si>
    <t>PT EVAL - MOD COMPLEX - 30 MIN</t>
  </si>
  <si>
    <t>PT EVAL - HIGH COMPLEX - 45 MI</t>
  </si>
  <si>
    <t xml:space="preserve">PT EVAL - HIGH COMPLEX 60 MIN </t>
  </si>
  <si>
    <t>PT EVAL - HIGH COMPLEX - 75 MI</t>
  </si>
  <si>
    <t xml:space="preserve">PT MASSAGE 15 MIN             </t>
  </si>
  <si>
    <t xml:space="preserve">PT REEVALUATION 15 MIN        </t>
  </si>
  <si>
    <t xml:space="preserve">PT REEVALUATION 60 MIN        </t>
  </si>
  <si>
    <t xml:space="preserve">VACUUM ASSIST WOUND &gt; 50      </t>
  </si>
  <si>
    <t xml:space="preserve">NON SEL TISSUE DEBRIDEMNT     </t>
  </si>
  <si>
    <t xml:space="preserve">GAIT TRAINING LITE 15 MIN     </t>
  </si>
  <si>
    <t xml:space="preserve">MANUAL THERAPY 15 MIN EA      </t>
  </si>
  <si>
    <t xml:space="preserve">PT PROSTHETIC TRAINING 15     </t>
  </si>
  <si>
    <t xml:space="preserve">PT DEBRIDE WOUND NON          </t>
  </si>
  <si>
    <t xml:space="preserve">PT ORTHO/PROSTH CHECK 15      </t>
  </si>
  <si>
    <t xml:space="preserve">SELECT DEBRIDEMENT &lt; 20       </t>
  </si>
  <si>
    <t xml:space="preserve">SELECT DEBRIDEMENT &gt; 20       </t>
  </si>
  <si>
    <t xml:space="preserve">VACUUM ASSIST WOUND &lt; 50      </t>
  </si>
  <si>
    <t xml:space="preserve">PT ORTHOTIC FITTING 15 MIN    </t>
  </si>
  <si>
    <t xml:space="preserve">PATIENT CONFERENCE            </t>
  </si>
  <si>
    <t xml:space="preserve">GROUP THERAPY VISIT           </t>
  </si>
  <si>
    <t xml:space="preserve">HCHG ED PHYS CARE LEVEL 4     </t>
  </si>
  <si>
    <t xml:space="preserve">ORTHOTIC/PROS USE - SUBSE/ENC </t>
  </si>
  <si>
    <t xml:space="preserve">THERAPEUTIC EXERCISES         </t>
  </si>
  <si>
    <t xml:space="preserve">GAIT TRAINING THERAPY         </t>
  </si>
  <si>
    <t>PT EVAL - HIGH COMPLEX - 60 MI</t>
  </si>
  <si>
    <t xml:space="preserve">INFRARED                      </t>
  </si>
  <si>
    <t xml:space="preserve">UNLISTED MOD ATTENDED 15MIN   </t>
  </si>
  <si>
    <t xml:space="preserve">WORK HARDENING EA ADDL HR     </t>
  </si>
  <si>
    <t xml:space="preserve">WORK HARD/COND INIT 2 HRS     </t>
  </si>
  <si>
    <t xml:space="preserve">STRAPPING HAND OR FINGER      </t>
  </si>
  <si>
    <t xml:space="preserve">APPLY CYLNDR CAST THIGH-ANKLE </t>
  </si>
  <si>
    <t>ELEC STIM NOT WOUND UNATTENDED</t>
  </si>
  <si>
    <t xml:space="preserve">MIST THERAPY                  </t>
  </si>
  <si>
    <t xml:space="preserve">TENS APPLY/EDUCATE            </t>
  </si>
  <si>
    <t xml:space="preserve">REC THERAPY EVALUATION        </t>
  </si>
  <si>
    <t xml:space="preserve">PHYSICAL THER UNLISTED 15 MIN </t>
  </si>
  <si>
    <t xml:space="preserve">HOT/COLD PACKS APPLICATION    </t>
  </si>
  <si>
    <t xml:space="preserve">APPLY SPLINT LONG ARM         </t>
  </si>
  <si>
    <t xml:space="preserve">APPLY SPLINT LONG LEG         </t>
  </si>
  <si>
    <t xml:space="preserve">SENSORY INTEGRATION TECH      </t>
  </si>
  <si>
    <t xml:space="preserve">ADL FUNCTIONAL ACT 15 MIN     </t>
  </si>
  <si>
    <t xml:space="preserve">ADL SELF CAR MGT TR 15 MIN    </t>
  </si>
  <si>
    <t xml:space="preserve">COGNITIVE SKILLS DEV 15 MIN   </t>
  </si>
  <si>
    <t xml:space="preserve">MUSCLE RE-ED BAL TR 15 MIN    </t>
  </si>
  <si>
    <t xml:space="preserve">OT ORTHOTIC FITTING 15 MIN    </t>
  </si>
  <si>
    <t xml:space="preserve">THERAPEUTIC ACT II 15 MIN     </t>
  </si>
  <si>
    <t xml:space="preserve">THERAPY EXERCISE II 15 MIN    </t>
  </si>
  <si>
    <t>OT EVAL - HIGH COMPLEX - 90 MI</t>
  </si>
  <si>
    <t>OT EVAL - HIGH COMPLEX - 75 MI</t>
  </si>
  <si>
    <t>OT EVAL - HIGH COMPLEX - 60 MI</t>
  </si>
  <si>
    <t>OT EVAL - MOD COMPLEX - 45 MIN</t>
  </si>
  <si>
    <t>OT EVAL - LOW COMPLEX - 15 MIN</t>
  </si>
  <si>
    <t>OT EVAL - LOW COMPLEX - 30 MIN</t>
  </si>
  <si>
    <t xml:space="preserve">ELECTRICAL STIMULATION AT     </t>
  </si>
  <si>
    <t xml:space="preserve">THERAPEUTIC EXERCISES 15      </t>
  </si>
  <si>
    <t xml:space="preserve">GROUP THERAPEUTIC 15 min      </t>
  </si>
  <si>
    <t xml:space="preserve">OT ORTHOTIC FITTING 15 MI     </t>
  </si>
  <si>
    <t xml:space="preserve">OT THERAPEUTIC ACTIV          </t>
  </si>
  <si>
    <t xml:space="preserve">SENSORY INTEGRATION TECHN     </t>
  </si>
  <si>
    <t xml:space="preserve">OT EQUIPMENT EVAL 15 MIN      </t>
  </si>
  <si>
    <t xml:space="preserve">OT ED/TRAIN SELF MGM          </t>
  </si>
  <si>
    <t xml:space="preserve">THERAPEUTIC ACTIVITIES 15     </t>
  </si>
  <si>
    <t xml:space="preserve">OT ORTHO/PROSTH CHECK 15      </t>
  </si>
  <si>
    <t xml:space="preserve">OT PATIENT CONFERENCE         </t>
  </si>
  <si>
    <t xml:space="preserve">COGNITIVE SKILLS DEVELOPMENT  </t>
  </si>
  <si>
    <t>ORTH/PROSTH MGT/TRAIN SBSQ ENC</t>
  </si>
  <si>
    <t xml:space="preserve">COGNITIVE TRAINING 15 MIN     </t>
  </si>
  <si>
    <t xml:space="preserve">ELEC STIM UNATTENDED          </t>
  </si>
  <si>
    <t xml:space="preserve">PHYSICAL PERFORM TEST 15MIN   </t>
  </si>
  <si>
    <t xml:space="preserve">EVAL OF SWALLOWING BLUE DYE   </t>
  </si>
  <si>
    <t xml:space="preserve">EVAL OF SWALLOWIN-RADIO-OPA   </t>
  </si>
  <si>
    <t xml:space="preserve">STRAPPING-SHOULDER            </t>
  </si>
  <si>
    <t xml:space="preserve">BIOFEEDBACK INCONT TRAINING   </t>
  </si>
  <si>
    <t xml:space="preserve">OCCUPAT THERAPY RE-EVAL       </t>
  </si>
  <si>
    <t>OT EVAL HIGH COMPLEXITY 60 MIN</t>
  </si>
  <si>
    <t xml:space="preserve">OCCUPAT THERAPY EVAL 15 MIN   </t>
  </si>
  <si>
    <t xml:space="preserve">OCCUPAT THERAPY EVAL 60 MIN   </t>
  </si>
  <si>
    <t xml:space="preserve">OCCUPAT THERAPY EVAL 30 MIN   </t>
  </si>
  <si>
    <t xml:space="preserve">OCCUPAT THERAPY EVAL 45 MIN   </t>
  </si>
  <si>
    <t xml:space="preserve">WORK HARDENING INIT 2 HRS     </t>
  </si>
  <si>
    <t xml:space="preserve">WORK HARDENING EA AD 30MIN    </t>
  </si>
  <si>
    <t xml:space="preserve">OCCUP THER UNLISTED 15 MIN    </t>
  </si>
  <si>
    <t xml:space="preserve">EVAL SPEECH FLUENCY           </t>
  </si>
  <si>
    <t xml:space="preserve">BEH QUAL ANALYSIS VOICE/RESON </t>
  </si>
  <si>
    <t xml:space="preserve">SPEECH GROUP TRTMT 15 MIN     </t>
  </si>
  <si>
    <t xml:space="preserve">SPEECH/LANGUAGE THER 60 MIN   </t>
  </si>
  <si>
    <t xml:space="preserve">DYSPHAGIA THERAPY 30 MIN      </t>
  </si>
  <si>
    <t xml:space="preserve">DYSPHAGIA THERAPY 45 MIN      </t>
  </si>
  <si>
    <t xml:space="preserve">DYSPHAGIA THERAPY 60 MIN      </t>
  </si>
  <si>
    <t xml:space="preserve">SPEECH/LANGUAGE THER 15 MIN   </t>
  </si>
  <si>
    <t xml:space="preserve">CLIN SWALL/DYSPH EVAL 15 MIN  </t>
  </si>
  <si>
    <t xml:space="preserve">SPEECH/LANG THERAPY 30 MIN    </t>
  </si>
  <si>
    <t xml:space="preserve">SPEECH/LANGUAGE THER 45 MIN   </t>
  </si>
  <si>
    <t xml:space="preserve">BEDSIDE SWALLOW/FUNCTION EVAL </t>
  </si>
  <si>
    <t xml:space="preserve">EVAL SPEECH PRODUCTION 60 MIN </t>
  </si>
  <si>
    <t xml:space="preserve">SPEECH SOUND LANG COMP 75 MIN </t>
  </si>
  <si>
    <t xml:space="preserve">SPEECH SOUND LANG COMP 60 MIN </t>
  </si>
  <si>
    <t xml:space="preserve">SPEECH SOUND LANG COMP 45 MIN </t>
  </si>
  <si>
    <t xml:space="preserve">SPEECH SOUND LANG COMP 30 MIN </t>
  </si>
  <si>
    <t xml:space="preserve">ST EVALUATION 30 MIN          </t>
  </si>
  <si>
    <t xml:space="preserve">ST EVALUATION 45 MIN          </t>
  </si>
  <si>
    <t xml:space="preserve">ST EVALUATION 60 MIN          </t>
  </si>
  <si>
    <t>SPEECH DEVICE ADAPTATION/TRAIN</t>
  </si>
  <si>
    <t xml:space="preserve">ELECTRICAL MUSCLE STIMULATION </t>
  </si>
  <si>
    <t xml:space="preserve">ELECTRODES                    </t>
  </si>
  <si>
    <t xml:space="preserve">SPL PATIENT CONFERENCE        </t>
  </si>
  <si>
    <t xml:space="preserve">SPEEH/HEARING THERAPHY 15 MIN </t>
  </si>
  <si>
    <t xml:space="preserve">COGNITIVE INITIAL 15 MIN      </t>
  </si>
  <si>
    <t xml:space="preserve">EVAL OF SWALLOWING-RADIO-OPA  </t>
  </si>
  <si>
    <t xml:space="preserve">COGNITIVE ADDITIONAL 15 MIN   </t>
  </si>
  <si>
    <t xml:space="preserve">MOD OF PROSTH COMMUN DEVICE   </t>
  </si>
  <si>
    <t xml:space="preserve">FIBEROPTIC EVAL SWALLOWING    </t>
  </si>
  <si>
    <t>FIBEROPTIC LARYNG SENSORY TEST</t>
  </si>
  <si>
    <t xml:space="preserve">EVAL SPEECH DEVICE 1ST HR     </t>
  </si>
  <si>
    <t>EVAL SPEECH DEVICE ADDL 30 MIN</t>
  </si>
  <si>
    <t xml:space="preserve">EVAL SWALLOW/LARYN SENSORY    </t>
  </si>
  <si>
    <t xml:space="preserve">DEVELOPMENT TESTING EXTEND    </t>
  </si>
  <si>
    <t xml:space="preserve">EVAL OF PROSTH COMM DEVICE    </t>
  </si>
  <si>
    <t xml:space="preserve">MBS EVAL                      </t>
  </si>
  <si>
    <t xml:space="preserve">SWALLOWING TREATMENT          </t>
  </si>
  <si>
    <t xml:space="preserve">DYS TXT W/E-STIM ATTEND 15MIN </t>
  </si>
  <si>
    <t xml:space="preserve">E-STIM ATTENDED 15MIN         </t>
  </si>
  <si>
    <t xml:space="preserve">URINALYSIS MACRO ONLY         </t>
  </si>
  <si>
    <t xml:space="preserve">CRP HIGH SENSITIVITY RISK     </t>
  </si>
  <si>
    <t xml:space="preserve">URINE CULTURE                 </t>
  </si>
  <si>
    <t>HEPATITIS B SURFACE AG (HBSAG)</t>
  </si>
  <si>
    <t xml:space="preserve">HEPATITIS PANEL (ACUTE)       </t>
  </si>
  <si>
    <t xml:space="preserve">PROGESTERONE                  </t>
  </si>
  <si>
    <t xml:space="preserve">SPERM COUNT - COMPLETE        </t>
  </si>
  <si>
    <t xml:space="preserve">VALPROIC ACID                 </t>
  </si>
  <si>
    <t xml:space="preserve">ALPRAZOLAM 0.25MG TAB         </t>
  </si>
  <si>
    <t xml:space="preserve">ENOXAPARIN NA 40MG/0.4ML INJ  </t>
  </si>
  <si>
    <t>CEFPODOXIME PROXETIL 100MG TAB</t>
  </si>
  <si>
    <t xml:space="preserve">AMLODIPINE BESYLATE 10MG TAB  </t>
  </si>
  <si>
    <t xml:space="preserve">ALBUMIN HUMAN 25% INJ         </t>
  </si>
  <si>
    <t xml:space="preserve">TIMOLOL MALEATE 0.5% SOL      </t>
  </si>
  <si>
    <t>PIPERACIL TAZOBACT 4.5/0.5GM I</t>
  </si>
  <si>
    <t xml:space="preserve">QUETIAPINE FUMARATE 25MG TAB  </t>
  </si>
  <si>
    <t xml:space="preserve">TACROLIMUS 1MG CAP            </t>
  </si>
  <si>
    <t xml:space="preserve">SERTRALINE HCL 50MG TAB       </t>
  </si>
  <si>
    <t xml:space="preserve">AMIODARONE HCL 200MG TAB      </t>
  </si>
  <si>
    <t xml:space="preserve">OLANZAPINE 2.5MG TAB          </t>
  </si>
  <si>
    <t xml:space="preserve">CEFTRIAXONE NA 1GM INJ        </t>
  </si>
  <si>
    <t xml:space="preserve">METFORMIN HCL 1000MG TAB      </t>
  </si>
  <si>
    <t xml:space="preserve">CEFTRIAXONE NA 2GM INJ        </t>
  </si>
  <si>
    <t xml:space="preserve">VALGANCICLOVIR HCL 450MG TAB  </t>
  </si>
  <si>
    <t xml:space="preserve">ENOXAPARIN NA 30MG/0.3ML INJ  </t>
  </si>
  <si>
    <t xml:space="preserve">ERTAPENEM                     </t>
  </si>
  <si>
    <t xml:space="preserve">NITROFURAN MONO/MCR 100MG CAP </t>
  </si>
  <si>
    <t xml:space="preserve">CELECOXIB 100MG CAP           </t>
  </si>
  <si>
    <t xml:space="preserve">MIRTAZAPINE 15MG TAB          </t>
  </si>
  <si>
    <t xml:space="preserve">SODIUM CL 0.9% IVS            </t>
  </si>
  <si>
    <t xml:space="preserve">ENOXAPARIN NA 100MG/ML INJ    </t>
  </si>
  <si>
    <t xml:space="preserve">CLOPIDOGREL HSO4 75MG TAB     </t>
  </si>
  <si>
    <t xml:space="preserve">ENOXAPARIN NA 80MG/0.8ML INJ  </t>
  </si>
  <si>
    <t xml:space="preserve">EZETIMIBE 10MG TAB            </t>
  </si>
  <si>
    <t xml:space="preserve">OXYCODONE APAP 10-325MG TAB   </t>
  </si>
  <si>
    <t xml:space="preserve">SERTRALINE HCL 100MG TAB      </t>
  </si>
  <si>
    <t xml:space="preserve">ATORVASTATIN CALCIUM 10MG TAB </t>
  </si>
  <si>
    <t xml:space="preserve">CEFEPIME HCL 2GM INJ          </t>
  </si>
  <si>
    <t xml:space="preserve">ROSUVASTATIN CA 5MG TAB       </t>
  </si>
  <si>
    <t xml:space="preserve">CINACALCET HYDROCHLORIDE      </t>
  </si>
  <si>
    <t xml:space="preserve">SOLIFENACIN SUCC 5MG TAB      </t>
  </si>
  <si>
    <t xml:space="preserve">ARIPIPRAZOLE 2MG TAB          </t>
  </si>
  <si>
    <t xml:space="preserve">MIDODRINE HCL 5MG TAB         </t>
  </si>
  <si>
    <t>SITAGLIPTIN PHOSPHATE 100MG TA</t>
  </si>
  <si>
    <t xml:space="preserve">CARVEDILOL 3.125MG TAB        </t>
  </si>
  <si>
    <t xml:space="preserve">ATORVASTATIN CALCIUM 40MG TAB </t>
  </si>
  <si>
    <t xml:space="preserve">SEVELAMER CARBONATE 800MG TAB </t>
  </si>
  <si>
    <t xml:space="preserve">DICLOFENAC NA 0.1%  GEL       </t>
  </si>
  <si>
    <t>AZELASTINE HCL 137MCG NASAL SP</t>
  </si>
  <si>
    <t xml:space="preserve">MYCOPHENOLATE 500MG TAB       </t>
  </si>
  <si>
    <t xml:space="preserve">RIFAXIN 550MG TAB             </t>
  </si>
  <si>
    <t xml:space="preserve">RIVAROXABAN 20MG TAB          </t>
  </si>
  <si>
    <t xml:space="preserve">DULERA INHALER                </t>
  </si>
  <si>
    <t xml:space="preserve">LACOSAMIDE 50 MG TAB          </t>
  </si>
  <si>
    <t xml:space="preserve">APIXABAN 2.5 MG% TAB          </t>
  </si>
  <si>
    <t xml:space="preserve">SACUBITRIL/VALSART24MG26MGTAB </t>
  </si>
  <si>
    <t xml:space="preserve">DICLOFENAC SODIUM 0.03 GEL    </t>
  </si>
  <si>
    <t xml:space="preserve">LACOSAMIDE 100 MG TAB         </t>
  </si>
  <si>
    <t xml:space="preserve">METHYLPHENIDATE HCl 5 MG TAB  </t>
  </si>
  <si>
    <t xml:space="preserve">APIXABAN 5 MG TAB             </t>
  </si>
  <si>
    <t xml:space="preserve">VANCOMYCIN HCL 125 MG CAP     </t>
  </si>
  <si>
    <t xml:space="preserve">ESTRADIOL 0.01% CREAM         </t>
  </si>
  <si>
    <t xml:space="preserve">PANTOPRAZOLE DR 40 MG TAB     </t>
  </si>
  <si>
    <t xml:space="preserve">PANTOPRAZOLE DR 20 MG TAB     </t>
  </si>
  <si>
    <t xml:space="preserve">EMPAGLIFLOZIN 10 MG TAB       </t>
  </si>
  <si>
    <t xml:space="preserve">BACLOFEN 5 MG TAB             </t>
  </si>
  <si>
    <t xml:space="preserve">EMPAGLIFLOZIN 25 MG TAB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</si>
</sst>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9" fontId="16" fillId="0" borderId="0" xfId="0" applyNumberFormat="1" applyFont="1"/>
    <xf numFmtId="0" fontId="16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AE1B-E07C-4DB7-858E-6FCAE3E3DE80}">
  <dimension ref="A1:N376"/>
  <sheetViews>
    <sheetView tabSelected="1" topLeftCell="A367" workbookViewId="0">
      <selection activeCell="D381" sqref="D381"/>
    </sheetView>
  </sheetViews>
  <sheetFormatPr defaultRowHeight="15" x14ac:dyDescent="0.25"/>
  <cols>
    <col min="4" max="4" width="27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</v>
      </c>
      <c r="K1" t="s">
        <v>9</v>
      </c>
      <c r="L1" t="s">
        <v>10</v>
      </c>
    </row>
    <row r="2" spans="1:13" x14ac:dyDescent="0.25">
      <c r="A2" t="s">
        <v>11</v>
      </c>
      <c r="B2" t="s">
        <v>78</v>
      </c>
      <c r="C2">
        <v>3844</v>
      </c>
      <c r="D2" t="s">
        <v>79</v>
      </c>
      <c r="E2">
        <v>10600400</v>
      </c>
      <c r="F2" t="s">
        <v>12</v>
      </c>
      <c r="G2">
        <v>4253.8100000000004</v>
      </c>
      <c r="H2" s="1">
        <v>45292</v>
      </c>
      <c r="I2">
        <v>4051.25</v>
      </c>
      <c r="J2" s="1">
        <v>44927</v>
      </c>
      <c r="K2">
        <v>202.56</v>
      </c>
      <c r="L2">
        <v>4.99</v>
      </c>
      <c r="M2" s="2">
        <f>K2/I2</f>
        <v>4.9999382906510334E-2</v>
      </c>
    </row>
    <row r="3" spans="1:13" x14ac:dyDescent="0.25">
      <c r="A3" t="s">
        <v>11</v>
      </c>
      <c r="B3" t="s">
        <v>78</v>
      </c>
      <c r="C3">
        <v>3844</v>
      </c>
      <c r="D3" t="s">
        <v>79</v>
      </c>
      <c r="E3">
        <v>10600450</v>
      </c>
      <c r="F3" t="s">
        <v>80</v>
      </c>
      <c r="G3">
        <v>4253.8100000000004</v>
      </c>
      <c r="H3" s="1">
        <v>45292</v>
      </c>
      <c r="I3">
        <v>4051.25</v>
      </c>
      <c r="J3" s="1">
        <v>44927</v>
      </c>
      <c r="K3">
        <v>202.56</v>
      </c>
      <c r="L3">
        <v>4.99</v>
      </c>
      <c r="M3" s="2">
        <f t="shared" ref="M3:M66" si="0">K3/I3</f>
        <v>4.9999382906510334E-2</v>
      </c>
    </row>
    <row r="4" spans="1:13" x14ac:dyDescent="0.25">
      <c r="A4" t="s">
        <v>11</v>
      </c>
      <c r="B4" t="s">
        <v>78</v>
      </c>
      <c r="C4">
        <v>3844</v>
      </c>
      <c r="D4" t="s">
        <v>79</v>
      </c>
      <c r="E4">
        <v>10600460</v>
      </c>
      <c r="F4" t="s">
        <v>81</v>
      </c>
      <c r="G4">
        <v>4253.8100000000004</v>
      </c>
      <c r="H4" s="1">
        <v>45292</v>
      </c>
      <c r="I4">
        <v>4051.25</v>
      </c>
      <c r="J4" s="1">
        <v>44927</v>
      </c>
      <c r="K4">
        <v>202.56</v>
      </c>
      <c r="L4">
        <v>4.99</v>
      </c>
      <c r="M4" s="2">
        <f t="shared" si="0"/>
        <v>4.9999382906510334E-2</v>
      </c>
    </row>
    <row r="5" spans="1:13" x14ac:dyDescent="0.25">
      <c r="A5" t="s">
        <v>11</v>
      </c>
      <c r="B5" t="s">
        <v>78</v>
      </c>
      <c r="C5">
        <v>3844</v>
      </c>
      <c r="D5" t="s">
        <v>79</v>
      </c>
      <c r="E5">
        <v>10600470</v>
      </c>
      <c r="F5" t="s">
        <v>82</v>
      </c>
      <c r="G5">
        <v>4056.15</v>
      </c>
      <c r="H5" s="1">
        <v>45292</v>
      </c>
      <c r="I5">
        <v>3863</v>
      </c>
      <c r="J5" s="1">
        <v>44927</v>
      </c>
      <c r="K5">
        <v>193.15</v>
      </c>
      <c r="L5">
        <v>5</v>
      </c>
      <c r="M5" s="2">
        <f t="shared" si="0"/>
        <v>0.05</v>
      </c>
    </row>
    <row r="6" spans="1:13" x14ac:dyDescent="0.25">
      <c r="A6" t="s">
        <v>11</v>
      </c>
      <c r="B6" t="s">
        <v>78</v>
      </c>
      <c r="C6">
        <v>3844</v>
      </c>
      <c r="D6" t="s">
        <v>79</v>
      </c>
      <c r="E6">
        <v>10600480</v>
      </c>
      <c r="F6" t="s">
        <v>83</v>
      </c>
      <c r="G6">
        <v>4056.15</v>
      </c>
      <c r="H6" s="1">
        <v>45292</v>
      </c>
      <c r="I6">
        <v>3863</v>
      </c>
      <c r="J6" s="1">
        <v>44927</v>
      </c>
      <c r="K6">
        <v>193.15</v>
      </c>
      <c r="L6">
        <v>5</v>
      </c>
      <c r="M6" s="2">
        <f t="shared" si="0"/>
        <v>0.05</v>
      </c>
    </row>
    <row r="7" spans="1:13" x14ac:dyDescent="0.25">
      <c r="A7" t="s">
        <v>11</v>
      </c>
      <c r="B7" t="s">
        <v>78</v>
      </c>
      <c r="C7">
        <v>3844</v>
      </c>
      <c r="D7" t="s">
        <v>79</v>
      </c>
      <c r="E7">
        <v>10700400</v>
      </c>
      <c r="F7" t="s">
        <v>12</v>
      </c>
      <c r="G7">
        <v>958.65</v>
      </c>
      <c r="H7" s="1">
        <v>45292</v>
      </c>
      <c r="I7">
        <v>913</v>
      </c>
      <c r="J7" s="1">
        <v>44927</v>
      </c>
      <c r="K7">
        <v>45.65</v>
      </c>
      <c r="L7">
        <v>5</v>
      </c>
      <c r="M7" s="2">
        <f t="shared" si="0"/>
        <v>4.9999999999999996E-2</v>
      </c>
    </row>
    <row r="8" spans="1:13" x14ac:dyDescent="0.25">
      <c r="A8" t="s">
        <v>11</v>
      </c>
      <c r="B8" t="s">
        <v>78</v>
      </c>
      <c r="C8">
        <v>3844</v>
      </c>
      <c r="D8" t="s">
        <v>79</v>
      </c>
      <c r="E8">
        <v>10700450</v>
      </c>
      <c r="F8" t="s">
        <v>80</v>
      </c>
      <c r="G8">
        <v>952.35</v>
      </c>
      <c r="H8" s="1">
        <v>45292</v>
      </c>
      <c r="I8">
        <v>907</v>
      </c>
      <c r="J8" s="1">
        <v>44927</v>
      </c>
      <c r="K8">
        <v>45.35</v>
      </c>
      <c r="L8">
        <v>5</v>
      </c>
      <c r="M8" s="2">
        <f t="shared" si="0"/>
        <v>0.05</v>
      </c>
    </row>
    <row r="9" spans="1:13" x14ac:dyDescent="0.25">
      <c r="A9" t="s">
        <v>11</v>
      </c>
      <c r="B9" t="s">
        <v>78</v>
      </c>
      <c r="C9">
        <v>3844</v>
      </c>
      <c r="D9" t="s">
        <v>79</v>
      </c>
      <c r="E9">
        <v>34000030</v>
      </c>
      <c r="F9" t="s">
        <v>84</v>
      </c>
      <c r="G9">
        <v>159.03</v>
      </c>
      <c r="H9" s="1">
        <v>45292</v>
      </c>
      <c r="I9">
        <v>151.46</v>
      </c>
      <c r="J9" s="1">
        <v>44927</v>
      </c>
      <c r="K9">
        <v>7.57</v>
      </c>
      <c r="L9">
        <v>4.99</v>
      </c>
      <c r="M9" s="2">
        <f t="shared" si="0"/>
        <v>4.9980192790175626E-2</v>
      </c>
    </row>
    <row r="10" spans="1:13" x14ac:dyDescent="0.25">
      <c r="A10" t="s">
        <v>11</v>
      </c>
      <c r="B10" t="s">
        <v>78</v>
      </c>
      <c r="C10">
        <v>3844</v>
      </c>
      <c r="D10" t="s">
        <v>79</v>
      </c>
      <c r="E10">
        <v>34000031</v>
      </c>
      <c r="F10" t="s">
        <v>85</v>
      </c>
      <c r="G10">
        <v>146.19</v>
      </c>
      <c r="H10" s="1">
        <v>45292</v>
      </c>
      <c r="I10">
        <v>139.22999999999999</v>
      </c>
      <c r="J10" s="1">
        <v>44927</v>
      </c>
      <c r="K10">
        <v>6.96</v>
      </c>
      <c r="L10">
        <v>4.99</v>
      </c>
      <c r="M10" s="2">
        <f t="shared" si="0"/>
        <v>4.9989226459814698E-2</v>
      </c>
    </row>
    <row r="11" spans="1:13" x14ac:dyDescent="0.25">
      <c r="A11" t="s">
        <v>11</v>
      </c>
      <c r="B11" t="s">
        <v>78</v>
      </c>
      <c r="C11">
        <v>3844</v>
      </c>
      <c r="D11" t="s">
        <v>79</v>
      </c>
      <c r="E11">
        <v>34000041</v>
      </c>
      <c r="F11" t="s">
        <v>86</v>
      </c>
      <c r="G11">
        <v>306.44</v>
      </c>
      <c r="H11" s="1">
        <v>45292</v>
      </c>
      <c r="I11">
        <v>291.85000000000002</v>
      </c>
      <c r="J11" s="1">
        <v>44927</v>
      </c>
      <c r="K11">
        <v>14.59</v>
      </c>
      <c r="L11">
        <v>4.99</v>
      </c>
      <c r="M11" s="2">
        <f t="shared" si="0"/>
        <v>4.9991433955799205E-2</v>
      </c>
    </row>
    <row r="12" spans="1:13" x14ac:dyDescent="0.25">
      <c r="A12" t="s">
        <v>11</v>
      </c>
      <c r="B12" t="s">
        <v>78</v>
      </c>
      <c r="C12">
        <v>3844</v>
      </c>
      <c r="D12" t="s">
        <v>79</v>
      </c>
      <c r="E12">
        <v>34000042</v>
      </c>
      <c r="F12" t="s">
        <v>13</v>
      </c>
      <c r="G12">
        <v>607.75</v>
      </c>
      <c r="H12" s="1">
        <v>45292</v>
      </c>
      <c r="I12">
        <v>578.80999999999995</v>
      </c>
      <c r="J12" s="1">
        <v>44927</v>
      </c>
      <c r="K12">
        <v>28.94</v>
      </c>
      <c r="L12">
        <v>4.99</v>
      </c>
      <c r="M12" s="2">
        <f t="shared" si="0"/>
        <v>4.9999136158670382E-2</v>
      </c>
    </row>
    <row r="13" spans="1:13" x14ac:dyDescent="0.25">
      <c r="A13" t="s">
        <v>11</v>
      </c>
      <c r="B13" t="s">
        <v>78</v>
      </c>
      <c r="C13">
        <v>3844</v>
      </c>
      <c r="D13" t="s">
        <v>79</v>
      </c>
      <c r="E13">
        <v>34000043</v>
      </c>
      <c r="F13" t="s">
        <v>14</v>
      </c>
      <c r="G13">
        <v>607.75</v>
      </c>
      <c r="H13" s="1">
        <v>45292</v>
      </c>
      <c r="I13">
        <v>578.80999999999995</v>
      </c>
      <c r="J13" s="1">
        <v>44927</v>
      </c>
      <c r="K13">
        <v>28.94</v>
      </c>
      <c r="L13">
        <v>4.99</v>
      </c>
      <c r="M13" s="2">
        <f t="shared" si="0"/>
        <v>4.9999136158670382E-2</v>
      </c>
    </row>
    <row r="14" spans="1:13" x14ac:dyDescent="0.25">
      <c r="A14" t="s">
        <v>11</v>
      </c>
      <c r="B14" t="s">
        <v>78</v>
      </c>
      <c r="C14">
        <v>3844</v>
      </c>
      <c r="D14" t="s">
        <v>79</v>
      </c>
      <c r="E14">
        <v>34000044</v>
      </c>
      <c r="F14" t="s">
        <v>15</v>
      </c>
      <c r="G14">
        <v>607.75</v>
      </c>
      <c r="H14" s="1">
        <v>45292</v>
      </c>
      <c r="I14">
        <v>578.80999999999995</v>
      </c>
      <c r="J14" s="1">
        <v>44927</v>
      </c>
      <c r="K14">
        <v>28.94</v>
      </c>
      <c r="L14">
        <v>4.99</v>
      </c>
      <c r="M14" s="2">
        <f t="shared" si="0"/>
        <v>4.9999136158670382E-2</v>
      </c>
    </row>
    <row r="15" spans="1:13" x14ac:dyDescent="0.25">
      <c r="A15" t="s">
        <v>11</v>
      </c>
      <c r="B15" t="s">
        <v>78</v>
      </c>
      <c r="C15">
        <v>3844</v>
      </c>
      <c r="D15" t="s">
        <v>79</v>
      </c>
      <c r="E15">
        <v>34000045</v>
      </c>
      <c r="F15" t="s">
        <v>87</v>
      </c>
      <c r="G15">
        <v>202.57</v>
      </c>
      <c r="H15" s="1">
        <v>45292</v>
      </c>
      <c r="I15">
        <v>192.92</v>
      </c>
      <c r="J15" s="1">
        <v>44927</v>
      </c>
      <c r="K15">
        <v>9.65</v>
      </c>
      <c r="L15">
        <v>5</v>
      </c>
      <c r="M15" s="2">
        <f t="shared" si="0"/>
        <v>5.0020733982998139E-2</v>
      </c>
    </row>
    <row r="16" spans="1:13" x14ac:dyDescent="0.25">
      <c r="A16" t="s">
        <v>11</v>
      </c>
      <c r="B16" t="s">
        <v>78</v>
      </c>
      <c r="C16">
        <v>3844</v>
      </c>
      <c r="D16" t="s">
        <v>79</v>
      </c>
      <c r="E16">
        <v>34000046</v>
      </c>
      <c r="F16" t="s">
        <v>88</v>
      </c>
      <c r="G16">
        <v>578.80999999999995</v>
      </c>
      <c r="H16" s="1">
        <v>45292</v>
      </c>
      <c r="I16">
        <v>551.25</v>
      </c>
      <c r="J16" s="1">
        <v>44927</v>
      </c>
      <c r="K16">
        <v>27.56</v>
      </c>
      <c r="L16">
        <v>4.99</v>
      </c>
      <c r="M16" s="2">
        <f t="shared" si="0"/>
        <v>4.999546485260771E-2</v>
      </c>
    </row>
    <row r="17" spans="1:13" x14ac:dyDescent="0.25">
      <c r="A17" t="s">
        <v>11</v>
      </c>
      <c r="B17" t="s">
        <v>78</v>
      </c>
      <c r="C17">
        <v>3844</v>
      </c>
      <c r="D17" t="s">
        <v>79</v>
      </c>
      <c r="E17">
        <v>34000047</v>
      </c>
      <c r="F17" t="s">
        <v>89</v>
      </c>
      <c r="G17">
        <v>578.80999999999995</v>
      </c>
      <c r="H17" s="1">
        <v>45292</v>
      </c>
      <c r="I17">
        <v>551.25</v>
      </c>
      <c r="J17" s="1">
        <v>44927</v>
      </c>
      <c r="K17">
        <v>27.56</v>
      </c>
      <c r="L17">
        <v>4.99</v>
      </c>
      <c r="M17" s="2">
        <f t="shared" si="0"/>
        <v>4.999546485260771E-2</v>
      </c>
    </row>
    <row r="18" spans="1:13" x14ac:dyDescent="0.25">
      <c r="A18" t="s">
        <v>11</v>
      </c>
      <c r="B18" t="s">
        <v>78</v>
      </c>
      <c r="C18">
        <v>3844</v>
      </c>
      <c r="D18" t="s">
        <v>79</v>
      </c>
      <c r="E18">
        <v>34000048</v>
      </c>
      <c r="F18" t="s">
        <v>90</v>
      </c>
      <c r="G18">
        <v>578.80999999999995</v>
      </c>
      <c r="H18" s="1">
        <v>45292</v>
      </c>
      <c r="I18">
        <v>551.25</v>
      </c>
      <c r="J18" s="1">
        <v>44927</v>
      </c>
      <c r="K18">
        <v>27.56</v>
      </c>
      <c r="L18">
        <v>4.99</v>
      </c>
      <c r="M18" s="2">
        <f t="shared" si="0"/>
        <v>4.999546485260771E-2</v>
      </c>
    </row>
    <row r="19" spans="1:13" x14ac:dyDescent="0.25">
      <c r="A19" t="s">
        <v>11</v>
      </c>
      <c r="B19" t="s">
        <v>78</v>
      </c>
      <c r="C19">
        <v>3844</v>
      </c>
      <c r="D19" t="s">
        <v>79</v>
      </c>
      <c r="E19">
        <v>34000049</v>
      </c>
      <c r="F19" t="s">
        <v>91</v>
      </c>
      <c r="G19">
        <v>578.80999999999995</v>
      </c>
      <c r="H19" s="1">
        <v>45292</v>
      </c>
      <c r="I19">
        <v>551.25</v>
      </c>
      <c r="J19" s="1">
        <v>44927</v>
      </c>
      <c r="K19">
        <v>27.56</v>
      </c>
      <c r="L19">
        <v>4.99</v>
      </c>
      <c r="M19" s="2">
        <f t="shared" si="0"/>
        <v>4.999546485260771E-2</v>
      </c>
    </row>
    <row r="20" spans="1:13" x14ac:dyDescent="0.25">
      <c r="A20" t="s">
        <v>11</v>
      </c>
      <c r="B20" t="s">
        <v>78</v>
      </c>
      <c r="C20">
        <v>3844</v>
      </c>
      <c r="D20" t="s">
        <v>79</v>
      </c>
      <c r="E20">
        <v>34000050</v>
      </c>
      <c r="F20" t="s">
        <v>16</v>
      </c>
      <c r="G20">
        <v>225.74</v>
      </c>
      <c r="H20" s="1">
        <v>45292</v>
      </c>
      <c r="I20">
        <v>214.99</v>
      </c>
      <c r="J20" s="1">
        <v>44927</v>
      </c>
      <c r="K20">
        <v>10.75</v>
      </c>
      <c r="L20">
        <v>5</v>
      </c>
      <c r="M20" s="2">
        <f t="shared" si="0"/>
        <v>5.0002325689566952E-2</v>
      </c>
    </row>
    <row r="21" spans="1:13" x14ac:dyDescent="0.25">
      <c r="A21" t="s">
        <v>11</v>
      </c>
      <c r="B21" t="s">
        <v>78</v>
      </c>
      <c r="C21">
        <v>3844</v>
      </c>
      <c r="D21" t="s">
        <v>79</v>
      </c>
      <c r="E21">
        <v>34000090</v>
      </c>
      <c r="F21" t="s">
        <v>92</v>
      </c>
      <c r="G21">
        <v>39.32</v>
      </c>
      <c r="H21" s="1">
        <v>45292</v>
      </c>
      <c r="I21">
        <v>37.450000000000003</v>
      </c>
      <c r="J21" s="1">
        <v>44927</v>
      </c>
      <c r="K21">
        <v>1.87</v>
      </c>
      <c r="L21">
        <v>4.99</v>
      </c>
      <c r="M21" s="2">
        <f t="shared" si="0"/>
        <v>4.9933244325767692E-2</v>
      </c>
    </row>
    <row r="22" spans="1:13" x14ac:dyDescent="0.25">
      <c r="A22" t="s">
        <v>11</v>
      </c>
      <c r="B22" t="s">
        <v>78</v>
      </c>
      <c r="C22">
        <v>3844</v>
      </c>
      <c r="D22" t="s">
        <v>79</v>
      </c>
      <c r="E22">
        <v>34000100</v>
      </c>
      <c r="F22" t="s">
        <v>37</v>
      </c>
      <c r="G22">
        <v>99.67</v>
      </c>
      <c r="H22" s="1">
        <v>45292</v>
      </c>
      <c r="I22">
        <v>94.92</v>
      </c>
      <c r="J22" s="1">
        <v>44927</v>
      </c>
      <c r="K22">
        <v>4.75</v>
      </c>
      <c r="L22">
        <v>5</v>
      </c>
      <c r="M22" s="2">
        <f t="shared" si="0"/>
        <v>5.0042140750105352E-2</v>
      </c>
    </row>
    <row r="23" spans="1:13" x14ac:dyDescent="0.25">
      <c r="A23" t="s">
        <v>11</v>
      </c>
      <c r="B23" t="s">
        <v>78</v>
      </c>
      <c r="C23">
        <v>3844</v>
      </c>
      <c r="D23" t="s">
        <v>79</v>
      </c>
      <c r="E23">
        <v>34000120</v>
      </c>
      <c r="F23" t="s">
        <v>93</v>
      </c>
      <c r="G23">
        <v>77.37</v>
      </c>
      <c r="H23" s="1">
        <v>45292</v>
      </c>
      <c r="I23">
        <v>73.69</v>
      </c>
      <c r="J23" s="1">
        <v>44927</v>
      </c>
      <c r="K23">
        <v>3.68</v>
      </c>
      <c r="L23">
        <v>4.99</v>
      </c>
      <c r="M23" s="2">
        <f t="shared" si="0"/>
        <v>4.9938933369520967E-2</v>
      </c>
    </row>
    <row r="24" spans="1:13" x14ac:dyDescent="0.25">
      <c r="A24" t="s">
        <v>11</v>
      </c>
      <c r="B24" t="s">
        <v>78</v>
      </c>
      <c r="C24">
        <v>3844</v>
      </c>
      <c r="D24" t="s">
        <v>79</v>
      </c>
      <c r="E24">
        <v>34000140</v>
      </c>
      <c r="F24" t="s">
        <v>94</v>
      </c>
      <c r="G24">
        <v>167.58</v>
      </c>
      <c r="H24" s="1">
        <v>45292</v>
      </c>
      <c r="I24">
        <v>159.6</v>
      </c>
      <c r="J24" s="1">
        <v>44927</v>
      </c>
      <c r="K24">
        <v>7.98</v>
      </c>
      <c r="L24">
        <v>5</v>
      </c>
      <c r="M24" s="2">
        <f t="shared" si="0"/>
        <v>0.05</v>
      </c>
    </row>
    <row r="25" spans="1:13" x14ac:dyDescent="0.25">
      <c r="A25" t="s">
        <v>11</v>
      </c>
      <c r="B25" t="s">
        <v>78</v>
      </c>
      <c r="C25">
        <v>3844</v>
      </c>
      <c r="D25" t="s">
        <v>79</v>
      </c>
      <c r="E25">
        <v>34000155</v>
      </c>
      <c r="F25" t="s">
        <v>17</v>
      </c>
      <c r="G25">
        <v>156.51</v>
      </c>
      <c r="H25" s="1">
        <v>45292</v>
      </c>
      <c r="I25">
        <v>149.06</v>
      </c>
      <c r="J25" s="1">
        <v>44927</v>
      </c>
      <c r="K25">
        <v>7.45</v>
      </c>
      <c r="L25">
        <v>4.99</v>
      </c>
      <c r="M25" s="2">
        <f t="shared" si="0"/>
        <v>4.9979873876291429E-2</v>
      </c>
    </row>
    <row r="26" spans="1:13" x14ac:dyDescent="0.25">
      <c r="A26" t="s">
        <v>11</v>
      </c>
      <c r="B26" t="s">
        <v>78</v>
      </c>
      <c r="C26">
        <v>3844</v>
      </c>
      <c r="D26" t="s">
        <v>79</v>
      </c>
      <c r="E26">
        <v>34000156</v>
      </c>
      <c r="F26" t="s">
        <v>17</v>
      </c>
      <c r="G26">
        <v>28.94</v>
      </c>
      <c r="H26" s="1">
        <v>45292</v>
      </c>
      <c r="I26">
        <v>27.56</v>
      </c>
      <c r="J26" s="1">
        <v>44927</v>
      </c>
      <c r="K26">
        <v>1.38</v>
      </c>
      <c r="L26">
        <v>5</v>
      </c>
      <c r="M26" s="2">
        <f t="shared" si="0"/>
        <v>5.0072568940493466E-2</v>
      </c>
    </row>
    <row r="27" spans="1:13" x14ac:dyDescent="0.25">
      <c r="A27" t="s">
        <v>11</v>
      </c>
      <c r="B27" t="s">
        <v>78</v>
      </c>
      <c r="C27">
        <v>3844</v>
      </c>
      <c r="D27" t="s">
        <v>79</v>
      </c>
      <c r="E27">
        <v>34000157</v>
      </c>
      <c r="F27" t="s">
        <v>17</v>
      </c>
      <c r="G27">
        <v>156.51</v>
      </c>
      <c r="H27" s="1">
        <v>45292</v>
      </c>
      <c r="I27">
        <v>149.06</v>
      </c>
      <c r="J27" s="1">
        <v>44927</v>
      </c>
      <c r="K27">
        <v>7.45</v>
      </c>
      <c r="L27">
        <v>4.99</v>
      </c>
      <c r="M27" s="2">
        <f t="shared" si="0"/>
        <v>4.9979873876291429E-2</v>
      </c>
    </row>
    <row r="28" spans="1:13" x14ac:dyDescent="0.25">
      <c r="A28" t="s">
        <v>11</v>
      </c>
      <c r="B28" t="s">
        <v>78</v>
      </c>
      <c r="C28">
        <v>3844</v>
      </c>
      <c r="D28" t="s">
        <v>79</v>
      </c>
      <c r="E28">
        <v>34000158</v>
      </c>
      <c r="F28" t="s">
        <v>18</v>
      </c>
      <c r="G28">
        <v>28.94</v>
      </c>
      <c r="H28" s="1">
        <v>45292</v>
      </c>
      <c r="I28">
        <v>27.56</v>
      </c>
      <c r="J28" s="1">
        <v>44927</v>
      </c>
      <c r="K28">
        <v>1.38</v>
      </c>
      <c r="L28">
        <v>5</v>
      </c>
      <c r="M28" s="2">
        <f t="shared" si="0"/>
        <v>5.0072568940493466E-2</v>
      </c>
    </row>
    <row r="29" spans="1:13" x14ac:dyDescent="0.25">
      <c r="A29" t="s">
        <v>11</v>
      </c>
      <c r="B29" t="s">
        <v>78</v>
      </c>
      <c r="C29">
        <v>3844</v>
      </c>
      <c r="D29" t="s">
        <v>79</v>
      </c>
      <c r="E29">
        <v>34000176</v>
      </c>
      <c r="F29" t="s">
        <v>51</v>
      </c>
      <c r="G29">
        <v>87.3</v>
      </c>
      <c r="H29" s="1">
        <v>45292</v>
      </c>
      <c r="I29">
        <v>83.14</v>
      </c>
      <c r="J29" s="1">
        <v>44927</v>
      </c>
      <c r="K29">
        <v>4.16</v>
      </c>
      <c r="L29">
        <v>5</v>
      </c>
      <c r="M29" s="2">
        <f t="shared" si="0"/>
        <v>5.0036083714216986E-2</v>
      </c>
    </row>
    <row r="30" spans="1:13" x14ac:dyDescent="0.25">
      <c r="A30" t="s">
        <v>11</v>
      </c>
      <c r="B30" t="s">
        <v>78</v>
      </c>
      <c r="C30">
        <v>3844</v>
      </c>
      <c r="D30" t="s">
        <v>79</v>
      </c>
      <c r="E30">
        <v>34000270</v>
      </c>
      <c r="F30" t="s">
        <v>95</v>
      </c>
      <c r="G30">
        <v>76.66</v>
      </c>
      <c r="H30" s="1">
        <v>45292</v>
      </c>
      <c r="I30">
        <v>73.010000000000005</v>
      </c>
      <c r="J30" s="1">
        <v>44927</v>
      </c>
      <c r="K30">
        <v>3.65</v>
      </c>
      <c r="L30">
        <v>4.99</v>
      </c>
      <c r="M30" s="2">
        <f t="shared" si="0"/>
        <v>4.9993151623065328E-2</v>
      </c>
    </row>
    <row r="31" spans="1:13" x14ac:dyDescent="0.25">
      <c r="A31" t="s">
        <v>11</v>
      </c>
      <c r="B31" t="s">
        <v>78</v>
      </c>
      <c r="C31">
        <v>3844</v>
      </c>
      <c r="D31" t="s">
        <v>79</v>
      </c>
      <c r="E31">
        <v>34000290</v>
      </c>
      <c r="F31" t="s">
        <v>96</v>
      </c>
      <c r="G31">
        <v>78.5</v>
      </c>
      <c r="H31" s="1">
        <v>45292</v>
      </c>
      <c r="I31">
        <v>74.760000000000005</v>
      </c>
      <c r="J31" s="1">
        <v>44927</v>
      </c>
      <c r="K31">
        <v>3.74</v>
      </c>
      <c r="L31">
        <v>5</v>
      </c>
      <c r="M31" s="2">
        <f t="shared" si="0"/>
        <v>5.0026752273943285E-2</v>
      </c>
    </row>
    <row r="32" spans="1:13" x14ac:dyDescent="0.25">
      <c r="A32" t="s">
        <v>11</v>
      </c>
      <c r="B32" t="s">
        <v>78</v>
      </c>
      <c r="C32">
        <v>3844</v>
      </c>
      <c r="D32" t="s">
        <v>79</v>
      </c>
      <c r="E32">
        <v>34000305</v>
      </c>
      <c r="F32" t="s">
        <v>97</v>
      </c>
      <c r="G32">
        <v>73.099999999999994</v>
      </c>
      <c r="H32" s="1">
        <v>45292</v>
      </c>
      <c r="I32">
        <v>69.62</v>
      </c>
      <c r="J32" s="1">
        <v>44927</v>
      </c>
      <c r="K32">
        <v>3.48</v>
      </c>
      <c r="L32">
        <v>4.99</v>
      </c>
      <c r="M32" s="2">
        <f t="shared" si="0"/>
        <v>4.9985636311404763E-2</v>
      </c>
    </row>
    <row r="33" spans="1:13" x14ac:dyDescent="0.25">
      <c r="A33" t="s">
        <v>11</v>
      </c>
      <c r="B33" t="s">
        <v>78</v>
      </c>
      <c r="C33">
        <v>3844</v>
      </c>
      <c r="D33" t="s">
        <v>79</v>
      </c>
      <c r="E33">
        <v>34000465</v>
      </c>
      <c r="F33" t="s">
        <v>38</v>
      </c>
      <c r="G33">
        <v>100.98</v>
      </c>
      <c r="H33" s="1">
        <v>45292</v>
      </c>
      <c r="I33">
        <v>96.17</v>
      </c>
      <c r="J33" s="1">
        <v>44927</v>
      </c>
      <c r="K33">
        <v>4.8099999999999996</v>
      </c>
      <c r="L33">
        <v>5</v>
      </c>
      <c r="M33" s="2">
        <f t="shared" si="0"/>
        <v>5.0015597379640217E-2</v>
      </c>
    </row>
    <row r="34" spans="1:13" x14ac:dyDescent="0.25">
      <c r="A34" t="s">
        <v>11</v>
      </c>
      <c r="B34" t="s">
        <v>78</v>
      </c>
      <c r="C34">
        <v>3844</v>
      </c>
      <c r="D34" t="s">
        <v>79</v>
      </c>
      <c r="E34">
        <v>34000470</v>
      </c>
      <c r="F34" t="s">
        <v>98</v>
      </c>
      <c r="G34">
        <v>214.99</v>
      </c>
      <c r="H34" s="1">
        <v>45292</v>
      </c>
      <c r="I34">
        <v>204.75</v>
      </c>
      <c r="J34" s="1">
        <v>44927</v>
      </c>
      <c r="K34">
        <v>10.24</v>
      </c>
      <c r="L34">
        <v>5</v>
      </c>
      <c r="M34" s="2">
        <f t="shared" si="0"/>
        <v>5.0012210012210012E-2</v>
      </c>
    </row>
    <row r="35" spans="1:13" x14ac:dyDescent="0.25">
      <c r="A35" t="s">
        <v>11</v>
      </c>
      <c r="B35" t="s">
        <v>78</v>
      </c>
      <c r="C35">
        <v>3844</v>
      </c>
      <c r="D35" t="s">
        <v>79</v>
      </c>
      <c r="E35">
        <v>34000560</v>
      </c>
      <c r="F35" t="s">
        <v>99</v>
      </c>
      <c r="G35">
        <v>78.28</v>
      </c>
      <c r="H35" s="1">
        <v>45292</v>
      </c>
      <c r="I35">
        <v>74.55</v>
      </c>
      <c r="J35" s="1">
        <v>44927</v>
      </c>
      <c r="K35">
        <v>3.73</v>
      </c>
      <c r="L35">
        <v>5</v>
      </c>
      <c r="M35" s="2">
        <f t="shared" si="0"/>
        <v>5.0033534540576796E-2</v>
      </c>
    </row>
    <row r="36" spans="1:13" x14ac:dyDescent="0.25">
      <c r="A36" t="s">
        <v>11</v>
      </c>
      <c r="B36" t="s">
        <v>78</v>
      </c>
      <c r="C36">
        <v>3844</v>
      </c>
      <c r="D36" t="s">
        <v>79</v>
      </c>
      <c r="E36">
        <v>34000565</v>
      </c>
      <c r="F36" t="s">
        <v>100</v>
      </c>
      <c r="G36">
        <v>73.099999999999994</v>
      </c>
      <c r="H36" s="1">
        <v>45292</v>
      </c>
      <c r="I36">
        <v>69.62</v>
      </c>
      <c r="J36" s="1">
        <v>44927</v>
      </c>
      <c r="K36">
        <v>3.48</v>
      </c>
      <c r="L36">
        <v>4.99</v>
      </c>
      <c r="M36" s="2">
        <f t="shared" si="0"/>
        <v>4.9985636311404763E-2</v>
      </c>
    </row>
    <row r="37" spans="1:13" x14ac:dyDescent="0.25">
      <c r="A37" t="s">
        <v>11</v>
      </c>
      <c r="B37" t="s">
        <v>78</v>
      </c>
      <c r="C37">
        <v>3844</v>
      </c>
      <c r="D37" t="s">
        <v>79</v>
      </c>
      <c r="E37">
        <v>34000650</v>
      </c>
      <c r="F37" t="s">
        <v>101</v>
      </c>
      <c r="G37">
        <v>120.37</v>
      </c>
      <c r="H37" s="1">
        <v>45292</v>
      </c>
      <c r="I37">
        <v>114.64</v>
      </c>
      <c r="J37" s="1">
        <v>44927</v>
      </c>
      <c r="K37">
        <v>5.73</v>
      </c>
      <c r="L37">
        <v>4.99</v>
      </c>
      <c r="M37" s="2">
        <f t="shared" si="0"/>
        <v>4.9982554082344734E-2</v>
      </c>
    </row>
    <row r="38" spans="1:13" x14ac:dyDescent="0.25">
      <c r="A38" t="s">
        <v>11</v>
      </c>
      <c r="B38" t="s">
        <v>78</v>
      </c>
      <c r="C38">
        <v>3844</v>
      </c>
      <c r="D38" t="s">
        <v>79</v>
      </c>
      <c r="E38">
        <v>34000702</v>
      </c>
      <c r="F38" t="s">
        <v>19</v>
      </c>
      <c r="G38">
        <v>225.74</v>
      </c>
      <c r="H38" s="1">
        <v>45292</v>
      </c>
      <c r="I38">
        <v>214.99</v>
      </c>
      <c r="J38" s="1">
        <v>44927</v>
      </c>
      <c r="K38">
        <v>10.75</v>
      </c>
      <c r="L38">
        <v>5</v>
      </c>
      <c r="M38" s="2">
        <f t="shared" si="0"/>
        <v>5.0002325689566952E-2</v>
      </c>
    </row>
    <row r="39" spans="1:13" x14ac:dyDescent="0.25">
      <c r="A39" t="s">
        <v>11</v>
      </c>
      <c r="B39" t="s">
        <v>78</v>
      </c>
      <c r="C39">
        <v>3844</v>
      </c>
      <c r="D39" t="s">
        <v>79</v>
      </c>
      <c r="E39">
        <v>34000790</v>
      </c>
      <c r="F39" t="s">
        <v>20</v>
      </c>
      <c r="G39">
        <v>225.74</v>
      </c>
      <c r="H39" s="1">
        <v>45292</v>
      </c>
      <c r="I39">
        <v>214.99</v>
      </c>
      <c r="J39" s="1">
        <v>44927</v>
      </c>
      <c r="K39">
        <v>10.75</v>
      </c>
      <c r="L39">
        <v>5</v>
      </c>
      <c r="M39" s="2">
        <f t="shared" si="0"/>
        <v>5.0002325689566952E-2</v>
      </c>
    </row>
    <row r="40" spans="1:13" x14ac:dyDescent="0.25">
      <c r="A40" t="s">
        <v>11</v>
      </c>
      <c r="B40" t="s">
        <v>78</v>
      </c>
      <c r="C40">
        <v>3844</v>
      </c>
      <c r="D40" t="s">
        <v>79</v>
      </c>
      <c r="E40">
        <v>34010000</v>
      </c>
      <c r="F40" t="s">
        <v>102</v>
      </c>
      <c r="G40">
        <v>82.17</v>
      </c>
      <c r="H40" s="1">
        <v>45292</v>
      </c>
      <c r="I40">
        <v>78.260000000000005</v>
      </c>
      <c r="J40" s="1">
        <v>44927</v>
      </c>
      <c r="K40">
        <v>3.91</v>
      </c>
      <c r="L40">
        <v>4.99</v>
      </c>
      <c r="M40" s="2">
        <f t="shared" si="0"/>
        <v>4.9961666240736009E-2</v>
      </c>
    </row>
    <row r="41" spans="1:13" x14ac:dyDescent="0.25">
      <c r="A41" t="s">
        <v>11</v>
      </c>
      <c r="B41" t="s">
        <v>78</v>
      </c>
      <c r="C41">
        <v>3844</v>
      </c>
      <c r="D41" t="s">
        <v>79</v>
      </c>
      <c r="E41">
        <v>34010001</v>
      </c>
      <c r="F41" t="s">
        <v>103</v>
      </c>
      <c r="G41">
        <v>78.17</v>
      </c>
      <c r="H41" s="1">
        <v>45292</v>
      </c>
      <c r="I41">
        <v>74.45</v>
      </c>
      <c r="J41" s="1">
        <v>44927</v>
      </c>
      <c r="K41">
        <v>3.72</v>
      </c>
      <c r="L41">
        <v>4.99</v>
      </c>
      <c r="M41" s="2">
        <f t="shared" si="0"/>
        <v>4.9966420416386839E-2</v>
      </c>
    </row>
    <row r="42" spans="1:13" x14ac:dyDescent="0.25">
      <c r="A42" t="s">
        <v>11</v>
      </c>
      <c r="B42" t="s">
        <v>78</v>
      </c>
      <c r="C42">
        <v>3844</v>
      </c>
      <c r="D42" t="s">
        <v>79</v>
      </c>
      <c r="E42">
        <v>34010002</v>
      </c>
      <c r="F42" t="s">
        <v>104</v>
      </c>
      <c r="G42">
        <v>95.4</v>
      </c>
      <c r="H42" s="1">
        <v>45292</v>
      </c>
      <c r="I42">
        <v>90.86</v>
      </c>
      <c r="J42" s="1">
        <v>44927</v>
      </c>
      <c r="K42">
        <v>4.54</v>
      </c>
      <c r="L42">
        <v>4.99</v>
      </c>
      <c r="M42" s="2">
        <f t="shared" si="0"/>
        <v>4.9966982170372001E-2</v>
      </c>
    </row>
    <row r="43" spans="1:13" x14ac:dyDescent="0.25">
      <c r="A43" t="s">
        <v>11</v>
      </c>
      <c r="B43" t="s">
        <v>78</v>
      </c>
      <c r="C43">
        <v>3844</v>
      </c>
      <c r="D43" t="s">
        <v>79</v>
      </c>
      <c r="E43">
        <v>34010003</v>
      </c>
      <c r="F43" t="s">
        <v>105</v>
      </c>
      <c r="G43">
        <v>104.59</v>
      </c>
      <c r="H43" s="1">
        <v>45292</v>
      </c>
      <c r="I43">
        <v>99.61</v>
      </c>
      <c r="J43" s="1">
        <v>44927</v>
      </c>
      <c r="K43">
        <v>4.9800000000000004</v>
      </c>
      <c r="L43">
        <v>4.99</v>
      </c>
      <c r="M43" s="2">
        <f t="shared" si="0"/>
        <v>4.9994980423652247E-2</v>
      </c>
    </row>
    <row r="44" spans="1:13" x14ac:dyDescent="0.25">
      <c r="A44" t="s">
        <v>11</v>
      </c>
      <c r="B44" t="s">
        <v>78</v>
      </c>
      <c r="C44">
        <v>3844</v>
      </c>
      <c r="D44" t="s">
        <v>79</v>
      </c>
      <c r="E44">
        <v>34010006</v>
      </c>
      <c r="F44" t="s">
        <v>106</v>
      </c>
      <c r="G44">
        <v>76.66</v>
      </c>
      <c r="H44" s="1">
        <v>45292</v>
      </c>
      <c r="I44">
        <v>73.010000000000005</v>
      </c>
      <c r="J44" s="1">
        <v>44927</v>
      </c>
      <c r="K44">
        <v>3.65</v>
      </c>
      <c r="L44">
        <v>4.99</v>
      </c>
      <c r="M44" s="2">
        <f t="shared" si="0"/>
        <v>4.9993151623065328E-2</v>
      </c>
    </row>
    <row r="45" spans="1:13" x14ac:dyDescent="0.25">
      <c r="A45" t="s">
        <v>11</v>
      </c>
      <c r="B45" t="s">
        <v>78</v>
      </c>
      <c r="C45">
        <v>3844</v>
      </c>
      <c r="D45" t="s">
        <v>79</v>
      </c>
      <c r="E45">
        <v>34010007</v>
      </c>
      <c r="F45" t="s">
        <v>107</v>
      </c>
      <c r="G45">
        <v>65.27</v>
      </c>
      <c r="H45" s="1">
        <v>45292</v>
      </c>
      <c r="I45">
        <v>62.16</v>
      </c>
      <c r="J45" s="1">
        <v>44927</v>
      </c>
      <c r="K45">
        <v>3.11</v>
      </c>
      <c r="L45">
        <v>5</v>
      </c>
      <c r="M45" s="2">
        <f t="shared" si="0"/>
        <v>5.0032175032175032E-2</v>
      </c>
    </row>
    <row r="46" spans="1:13" x14ac:dyDescent="0.25">
      <c r="A46" t="s">
        <v>11</v>
      </c>
      <c r="B46" t="s">
        <v>78</v>
      </c>
      <c r="C46">
        <v>3844</v>
      </c>
      <c r="D46" t="s">
        <v>79</v>
      </c>
      <c r="E46">
        <v>34010020</v>
      </c>
      <c r="F46" t="s">
        <v>21</v>
      </c>
      <c r="G46">
        <v>225.74</v>
      </c>
      <c r="H46" s="1">
        <v>45292</v>
      </c>
      <c r="I46">
        <v>214.99</v>
      </c>
      <c r="J46" s="1">
        <v>44927</v>
      </c>
      <c r="K46">
        <v>10.75</v>
      </c>
      <c r="L46">
        <v>5</v>
      </c>
      <c r="M46" s="2">
        <f t="shared" si="0"/>
        <v>5.0002325689566952E-2</v>
      </c>
    </row>
    <row r="47" spans="1:13" x14ac:dyDescent="0.25">
      <c r="A47" t="s">
        <v>11</v>
      </c>
      <c r="B47" t="s">
        <v>78</v>
      </c>
      <c r="C47">
        <v>3844</v>
      </c>
      <c r="D47" t="s">
        <v>79</v>
      </c>
      <c r="E47">
        <v>34010040</v>
      </c>
      <c r="F47" t="s">
        <v>22</v>
      </c>
      <c r="G47">
        <v>225.74</v>
      </c>
      <c r="H47" s="1">
        <v>45292</v>
      </c>
      <c r="I47">
        <v>214.99</v>
      </c>
      <c r="J47" s="1">
        <v>44927</v>
      </c>
      <c r="K47">
        <v>10.75</v>
      </c>
      <c r="L47">
        <v>5</v>
      </c>
      <c r="M47" s="2">
        <f t="shared" si="0"/>
        <v>5.0002325689566952E-2</v>
      </c>
    </row>
    <row r="48" spans="1:13" x14ac:dyDescent="0.25">
      <c r="A48" t="s">
        <v>11</v>
      </c>
      <c r="B48" t="s">
        <v>78</v>
      </c>
      <c r="C48">
        <v>3844</v>
      </c>
      <c r="D48" t="s">
        <v>79</v>
      </c>
      <c r="E48">
        <v>34010075</v>
      </c>
      <c r="F48" t="s">
        <v>23</v>
      </c>
      <c r="G48">
        <v>225.74</v>
      </c>
      <c r="H48" s="1">
        <v>45292</v>
      </c>
      <c r="I48">
        <v>214.99</v>
      </c>
      <c r="J48" s="1">
        <v>44927</v>
      </c>
      <c r="K48">
        <v>10.75</v>
      </c>
      <c r="L48">
        <v>5</v>
      </c>
      <c r="M48" s="2">
        <f t="shared" si="0"/>
        <v>5.0002325689566952E-2</v>
      </c>
    </row>
    <row r="49" spans="1:13" x14ac:dyDescent="0.25">
      <c r="A49" t="s">
        <v>11</v>
      </c>
      <c r="B49" t="s">
        <v>78</v>
      </c>
      <c r="C49">
        <v>3844</v>
      </c>
      <c r="D49" t="s">
        <v>79</v>
      </c>
      <c r="E49">
        <v>34010076</v>
      </c>
      <c r="F49" t="s">
        <v>24</v>
      </c>
      <c r="G49">
        <v>93.77</v>
      </c>
      <c r="H49" s="1">
        <v>45292</v>
      </c>
      <c r="I49">
        <v>89.3</v>
      </c>
      <c r="J49" s="1">
        <v>44927</v>
      </c>
      <c r="K49">
        <v>4.47</v>
      </c>
      <c r="L49">
        <v>5</v>
      </c>
      <c r="M49" s="2">
        <f t="shared" si="0"/>
        <v>5.0055991041433372E-2</v>
      </c>
    </row>
    <row r="50" spans="1:13" x14ac:dyDescent="0.25">
      <c r="A50" t="s">
        <v>11</v>
      </c>
      <c r="B50" t="s">
        <v>78</v>
      </c>
      <c r="C50">
        <v>3844</v>
      </c>
      <c r="D50" t="s">
        <v>79</v>
      </c>
      <c r="E50">
        <v>34010090</v>
      </c>
      <c r="F50" t="s">
        <v>108</v>
      </c>
      <c r="G50">
        <v>86.77</v>
      </c>
      <c r="H50" s="1">
        <v>45292</v>
      </c>
      <c r="I50">
        <v>82.64</v>
      </c>
      <c r="J50" s="1">
        <v>44927</v>
      </c>
      <c r="K50">
        <v>4.13</v>
      </c>
      <c r="L50">
        <v>4.99</v>
      </c>
      <c r="M50" s="2">
        <f t="shared" si="0"/>
        <v>4.9975798644724102E-2</v>
      </c>
    </row>
    <row r="51" spans="1:13" x14ac:dyDescent="0.25">
      <c r="A51" t="s">
        <v>11</v>
      </c>
      <c r="B51" t="s">
        <v>78</v>
      </c>
      <c r="C51">
        <v>3844</v>
      </c>
      <c r="D51" t="s">
        <v>79</v>
      </c>
      <c r="E51">
        <v>34010105</v>
      </c>
      <c r="F51" t="s">
        <v>25</v>
      </c>
      <c r="G51">
        <v>225.74</v>
      </c>
      <c r="H51" s="1">
        <v>45292</v>
      </c>
      <c r="I51">
        <v>214.99</v>
      </c>
      <c r="J51" s="1">
        <v>44927</v>
      </c>
      <c r="K51">
        <v>10.75</v>
      </c>
      <c r="L51">
        <v>5</v>
      </c>
      <c r="M51" s="2">
        <f t="shared" si="0"/>
        <v>5.0002325689566952E-2</v>
      </c>
    </row>
    <row r="52" spans="1:13" x14ac:dyDescent="0.25">
      <c r="A52" t="s">
        <v>11</v>
      </c>
      <c r="B52" t="s">
        <v>78</v>
      </c>
      <c r="C52">
        <v>3844</v>
      </c>
      <c r="D52" t="s">
        <v>79</v>
      </c>
      <c r="E52">
        <v>34010130</v>
      </c>
      <c r="F52" t="s">
        <v>26</v>
      </c>
      <c r="G52">
        <v>93.77</v>
      </c>
      <c r="H52" s="1">
        <v>45292</v>
      </c>
      <c r="I52">
        <v>89.3</v>
      </c>
      <c r="J52" s="1">
        <v>44927</v>
      </c>
      <c r="K52">
        <v>4.47</v>
      </c>
      <c r="L52">
        <v>5</v>
      </c>
      <c r="M52" s="2">
        <f t="shared" si="0"/>
        <v>5.0055991041433372E-2</v>
      </c>
    </row>
    <row r="53" spans="1:13" x14ac:dyDescent="0.25">
      <c r="A53" t="s">
        <v>11</v>
      </c>
      <c r="B53" t="s">
        <v>78</v>
      </c>
      <c r="C53">
        <v>3844</v>
      </c>
      <c r="D53" t="s">
        <v>79</v>
      </c>
      <c r="E53">
        <v>34010155</v>
      </c>
      <c r="F53" t="s">
        <v>27</v>
      </c>
      <c r="G53">
        <v>225.74</v>
      </c>
      <c r="H53" s="1">
        <v>45292</v>
      </c>
      <c r="I53">
        <v>214.99</v>
      </c>
      <c r="J53" s="1">
        <v>44927</v>
      </c>
      <c r="K53">
        <v>10.75</v>
      </c>
      <c r="L53">
        <v>5</v>
      </c>
      <c r="M53" s="2">
        <f t="shared" si="0"/>
        <v>5.0002325689566952E-2</v>
      </c>
    </row>
    <row r="54" spans="1:13" x14ac:dyDescent="0.25">
      <c r="A54" t="s">
        <v>11</v>
      </c>
      <c r="B54" t="s">
        <v>78</v>
      </c>
      <c r="C54">
        <v>3844</v>
      </c>
      <c r="D54" t="s">
        <v>79</v>
      </c>
      <c r="E54">
        <v>34010160</v>
      </c>
      <c r="F54" t="s">
        <v>28</v>
      </c>
      <c r="G54">
        <v>225.74</v>
      </c>
      <c r="H54" s="1">
        <v>45292</v>
      </c>
      <c r="I54">
        <v>214.99</v>
      </c>
      <c r="J54" s="1">
        <v>44927</v>
      </c>
      <c r="K54">
        <v>10.75</v>
      </c>
      <c r="L54">
        <v>5</v>
      </c>
      <c r="M54" s="2">
        <f t="shared" si="0"/>
        <v>5.0002325689566952E-2</v>
      </c>
    </row>
    <row r="55" spans="1:13" x14ac:dyDescent="0.25">
      <c r="A55" t="s">
        <v>11</v>
      </c>
      <c r="B55" t="s">
        <v>78</v>
      </c>
      <c r="C55">
        <v>3844</v>
      </c>
      <c r="D55" t="s">
        <v>79</v>
      </c>
      <c r="E55">
        <v>34010185</v>
      </c>
      <c r="F55" t="s">
        <v>109</v>
      </c>
      <c r="G55">
        <v>71.66</v>
      </c>
      <c r="H55" s="1">
        <v>45292</v>
      </c>
      <c r="I55">
        <v>68.25</v>
      </c>
      <c r="J55" s="1">
        <v>44927</v>
      </c>
      <c r="K55">
        <v>3.41</v>
      </c>
      <c r="L55">
        <v>4.99</v>
      </c>
      <c r="M55" s="2">
        <f t="shared" si="0"/>
        <v>4.9963369963369968E-2</v>
      </c>
    </row>
    <row r="56" spans="1:13" x14ac:dyDescent="0.25">
      <c r="A56" t="s">
        <v>11</v>
      </c>
      <c r="B56" t="s">
        <v>78</v>
      </c>
      <c r="C56">
        <v>3844</v>
      </c>
      <c r="D56" t="s">
        <v>79</v>
      </c>
      <c r="E56">
        <v>34010195</v>
      </c>
      <c r="F56" t="s">
        <v>110</v>
      </c>
      <c r="G56">
        <v>73.099999999999994</v>
      </c>
      <c r="H56" s="1">
        <v>45292</v>
      </c>
      <c r="I56">
        <v>69.62</v>
      </c>
      <c r="J56" s="1">
        <v>44927</v>
      </c>
      <c r="K56">
        <v>3.48</v>
      </c>
      <c r="L56">
        <v>4.99</v>
      </c>
      <c r="M56" s="2">
        <f t="shared" si="0"/>
        <v>4.9985636311404763E-2</v>
      </c>
    </row>
    <row r="57" spans="1:13" x14ac:dyDescent="0.25">
      <c r="A57" t="s">
        <v>11</v>
      </c>
      <c r="B57" t="s">
        <v>78</v>
      </c>
      <c r="C57">
        <v>3844</v>
      </c>
      <c r="D57" t="s">
        <v>79</v>
      </c>
      <c r="E57">
        <v>34010200</v>
      </c>
      <c r="F57" t="s">
        <v>42</v>
      </c>
      <c r="G57">
        <v>153.32</v>
      </c>
      <c r="H57" s="1">
        <v>45292</v>
      </c>
      <c r="I57">
        <v>146.02000000000001</v>
      </c>
      <c r="J57" s="1">
        <v>44927</v>
      </c>
      <c r="K57">
        <v>7.3</v>
      </c>
      <c r="L57">
        <v>4.99</v>
      </c>
      <c r="M57" s="2">
        <f t="shared" si="0"/>
        <v>4.9993151623065328E-2</v>
      </c>
    </row>
    <row r="58" spans="1:13" x14ac:dyDescent="0.25">
      <c r="A58" t="s">
        <v>11</v>
      </c>
      <c r="B58" t="s">
        <v>78</v>
      </c>
      <c r="C58">
        <v>3844</v>
      </c>
      <c r="D58" t="s">
        <v>79</v>
      </c>
      <c r="E58">
        <v>34010205</v>
      </c>
      <c r="F58" t="s">
        <v>43</v>
      </c>
      <c r="G58">
        <v>159.37</v>
      </c>
      <c r="H58" s="1">
        <v>45292</v>
      </c>
      <c r="I58">
        <v>151.78</v>
      </c>
      <c r="J58" s="1">
        <v>44927</v>
      </c>
      <c r="K58">
        <v>7.59</v>
      </c>
      <c r="L58">
        <v>5</v>
      </c>
      <c r="M58" s="2">
        <f t="shared" si="0"/>
        <v>5.0006588483331137E-2</v>
      </c>
    </row>
    <row r="59" spans="1:13" x14ac:dyDescent="0.25">
      <c r="A59" t="s">
        <v>11</v>
      </c>
      <c r="B59" t="s">
        <v>78</v>
      </c>
      <c r="C59">
        <v>3844</v>
      </c>
      <c r="D59" t="s">
        <v>79</v>
      </c>
      <c r="E59">
        <v>34010210</v>
      </c>
      <c r="F59" t="s">
        <v>44</v>
      </c>
      <c r="G59">
        <v>198.45</v>
      </c>
      <c r="H59" s="1">
        <v>45292</v>
      </c>
      <c r="I59">
        <v>189</v>
      </c>
      <c r="J59" s="1">
        <v>44927</v>
      </c>
      <c r="K59">
        <v>9.4499999999999993</v>
      </c>
      <c r="L59">
        <v>5</v>
      </c>
      <c r="M59" s="2">
        <f t="shared" si="0"/>
        <v>4.9999999999999996E-2</v>
      </c>
    </row>
    <row r="60" spans="1:13" x14ac:dyDescent="0.25">
      <c r="A60" t="s">
        <v>11</v>
      </c>
      <c r="B60" t="s">
        <v>78</v>
      </c>
      <c r="C60">
        <v>3844</v>
      </c>
      <c r="D60" t="s">
        <v>79</v>
      </c>
      <c r="E60">
        <v>34010215</v>
      </c>
      <c r="F60" t="s">
        <v>45</v>
      </c>
      <c r="G60">
        <v>118.67</v>
      </c>
      <c r="H60" s="1">
        <v>45292</v>
      </c>
      <c r="I60">
        <v>113.02</v>
      </c>
      <c r="J60" s="1">
        <v>44927</v>
      </c>
      <c r="K60">
        <v>5.65</v>
      </c>
      <c r="L60">
        <v>4.99</v>
      </c>
      <c r="M60" s="2">
        <f t="shared" si="0"/>
        <v>4.9991152008494077E-2</v>
      </c>
    </row>
    <row r="61" spans="1:13" x14ac:dyDescent="0.25">
      <c r="A61" t="s">
        <v>11</v>
      </c>
      <c r="B61" t="s">
        <v>78</v>
      </c>
      <c r="C61">
        <v>3844</v>
      </c>
      <c r="D61" t="s">
        <v>79</v>
      </c>
      <c r="E61">
        <v>34010220</v>
      </c>
      <c r="F61" t="s">
        <v>111</v>
      </c>
      <c r="G61">
        <v>146.19</v>
      </c>
      <c r="H61" s="1">
        <v>45292</v>
      </c>
      <c r="I61">
        <v>139.22999999999999</v>
      </c>
      <c r="J61" s="1">
        <v>44927</v>
      </c>
      <c r="K61">
        <v>6.96</v>
      </c>
      <c r="L61">
        <v>4.99</v>
      </c>
      <c r="M61" s="2">
        <f t="shared" si="0"/>
        <v>4.9989226459814698E-2</v>
      </c>
    </row>
    <row r="62" spans="1:13" x14ac:dyDescent="0.25">
      <c r="A62" t="s">
        <v>11</v>
      </c>
      <c r="B62" t="s">
        <v>78</v>
      </c>
      <c r="C62">
        <v>3844</v>
      </c>
      <c r="D62" t="s">
        <v>79</v>
      </c>
      <c r="E62">
        <v>34010230</v>
      </c>
      <c r="F62" t="s">
        <v>46</v>
      </c>
      <c r="G62">
        <v>167.85</v>
      </c>
      <c r="H62" s="1">
        <v>45292</v>
      </c>
      <c r="I62">
        <v>159.86000000000001</v>
      </c>
      <c r="J62" s="1">
        <v>44927</v>
      </c>
      <c r="K62">
        <v>7.99</v>
      </c>
      <c r="L62">
        <v>4.99</v>
      </c>
      <c r="M62" s="2">
        <f t="shared" si="0"/>
        <v>4.9981233579381959E-2</v>
      </c>
    </row>
    <row r="63" spans="1:13" x14ac:dyDescent="0.25">
      <c r="A63" t="s">
        <v>11</v>
      </c>
      <c r="B63" t="s">
        <v>78</v>
      </c>
      <c r="C63">
        <v>3844</v>
      </c>
      <c r="D63" t="s">
        <v>79</v>
      </c>
      <c r="E63">
        <v>34010235</v>
      </c>
      <c r="F63" t="s">
        <v>112</v>
      </c>
      <c r="G63">
        <v>146.19</v>
      </c>
      <c r="H63" s="1">
        <v>45292</v>
      </c>
      <c r="I63">
        <v>139.22999999999999</v>
      </c>
      <c r="J63" s="1">
        <v>44927</v>
      </c>
      <c r="K63">
        <v>6.96</v>
      </c>
      <c r="L63">
        <v>4.99</v>
      </c>
      <c r="M63" s="2">
        <f t="shared" si="0"/>
        <v>4.9989226459814698E-2</v>
      </c>
    </row>
    <row r="64" spans="1:13" x14ac:dyDescent="0.25">
      <c r="A64" t="s">
        <v>11</v>
      </c>
      <c r="B64" t="s">
        <v>78</v>
      </c>
      <c r="C64">
        <v>3844</v>
      </c>
      <c r="D64" t="s">
        <v>79</v>
      </c>
      <c r="E64">
        <v>34010240</v>
      </c>
      <c r="F64" t="s">
        <v>29</v>
      </c>
      <c r="G64">
        <v>170.96</v>
      </c>
      <c r="H64" s="1">
        <v>45292</v>
      </c>
      <c r="I64">
        <v>162.82</v>
      </c>
      <c r="J64" s="1">
        <v>44927</v>
      </c>
      <c r="K64">
        <v>8.14</v>
      </c>
      <c r="L64">
        <v>4.99</v>
      </c>
      <c r="M64" s="2">
        <f t="shared" si="0"/>
        <v>4.9993858248372443E-2</v>
      </c>
    </row>
    <row r="65" spans="1:13" x14ac:dyDescent="0.25">
      <c r="A65" t="s">
        <v>11</v>
      </c>
      <c r="B65" t="s">
        <v>78</v>
      </c>
      <c r="C65">
        <v>3844</v>
      </c>
      <c r="D65" t="s">
        <v>79</v>
      </c>
      <c r="E65">
        <v>34010245</v>
      </c>
      <c r="F65" t="s">
        <v>113</v>
      </c>
      <c r="G65">
        <v>146.19</v>
      </c>
      <c r="H65" s="1">
        <v>45292</v>
      </c>
      <c r="I65">
        <v>139.22999999999999</v>
      </c>
      <c r="J65" s="1">
        <v>44927</v>
      </c>
      <c r="K65">
        <v>6.96</v>
      </c>
      <c r="L65">
        <v>4.99</v>
      </c>
      <c r="M65" s="2">
        <f t="shared" si="0"/>
        <v>4.9989226459814698E-2</v>
      </c>
    </row>
    <row r="66" spans="1:13" x14ac:dyDescent="0.25">
      <c r="A66" t="s">
        <v>11</v>
      </c>
      <c r="B66" t="s">
        <v>78</v>
      </c>
      <c r="C66">
        <v>3844</v>
      </c>
      <c r="D66" t="s">
        <v>79</v>
      </c>
      <c r="E66">
        <v>34010250</v>
      </c>
      <c r="F66" t="s">
        <v>114</v>
      </c>
      <c r="G66">
        <v>147.07</v>
      </c>
      <c r="H66" s="1">
        <v>45292</v>
      </c>
      <c r="I66">
        <v>140.07</v>
      </c>
      <c r="J66" s="1">
        <v>44927</v>
      </c>
      <c r="K66">
        <v>7</v>
      </c>
      <c r="L66">
        <v>4.99</v>
      </c>
      <c r="M66" s="2">
        <f t="shared" si="0"/>
        <v>4.9975012493753128E-2</v>
      </c>
    </row>
    <row r="67" spans="1:13" x14ac:dyDescent="0.25">
      <c r="A67" t="s">
        <v>11</v>
      </c>
      <c r="B67" t="s">
        <v>78</v>
      </c>
      <c r="C67">
        <v>3844</v>
      </c>
      <c r="D67" t="s">
        <v>79</v>
      </c>
      <c r="E67">
        <v>34010255</v>
      </c>
      <c r="F67" t="s">
        <v>115</v>
      </c>
      <c r="G67">
        <v>144.13</v>
      </c>
      <c r="H67" s="1">
        <v>45292</v>
      </c>
      <c r="I67">
        <v>137.27000000000001</v>
      </c>
      <c r="J67" s="1">
        <v>44927</v>
      </c>
      <c r="K67">
        <v>6.86</v>
      </c>
      <c r="L67">
        <v>4.99</v>
      </c>
      <c r="M67" s="2">
        <f t="shared" ref="M67:M130" si="1">K67/I67</f>
        <v>4.9974502804691484E-2</v>
      </c>
    </row>
    <row r="68" spans="1:13" x14ac:dyDescent="0.25">
      <c r="A68" t="s">
        <v>11</v>
      </c>
      <c r="B68" t="s">
        <v>78</v>
      </c>
      <c r="C68">
        <v>3844</v>
      </c>
      <c r="D68" t="s">
        <v>79</v>
      </c>
      <c r="E68">
        <v>34010260</v>
      </c>
      <c r="F68" t="s">
        <v>116</v>
      </c>
      <c r="G68">
        <v>146.19</v>
      </c>
      <c r="H68" s="1">
        <v>45292</v>
      </c>
      <c r="I68">
        <v>139.22999999999999</v>
      </c>
      <c r="J68" s="1">
        <v>44927</v>
      </c>
      <c r="K68">
        <v>6.96</v>
      </c>
      <c r="L68">
        <v>4.99</v>
      </c>
      <c r="M68" s="2">
        <f t="shared" si="1"/>
        <v>4.9989226459814698E-2</v>
      </c>
    </row>
    <row r="69" spans="1:13" x14ac:dyDescent="0.25">
      <c r="A69" t="s">
        <v>11</v>
      </c>
      <c r="B69" t="s">
        <v>78</v>
      </c>
      <c r="C69">
        <v>3844</v>
      </c>
      <c r="D69" t="s">
        <v>79</v>
      </c>
      <c r="E69">
        <v>34010270</v>
      </c>
      <c r="F69" t="s">
        <v>117</v>
      </c>
      <c r="G69">
        <v>68.87</v>
      </c>
      <c r="H69" s="1">
        <v>45292</v>
      </c>
      <c r="I69">
        <v>65.59</v>
      </c>
      <c r="J69" s="1">
        <v>44927</v>
      </c>
      <c r="K69">
        <v>3.28</v>
      </c>
      <c r="L69">
        <v>5</v>
      </c>
      <c r="M69" s="2">
        <f t="shared" si="1"/>
        <v>5.0007623113279456E-2</v>
      </c>
    </row>
    <row r="70" spans="1:13" x14ac:dyDescent="0.25">
      <c r="A70" t="s">
        <v>11</v>
      </c>
      <c r="B70" t="s">
        <v>78</v>
      </c>
      <c r="C70">
        <v>3844</v>
      </c>
      <c r="D70" t="s">
        <v>79</v>
      </c>
      <c r="E70">
        <v>34010280</v>
      </c>
      <c r="F70" t="s">
        <v>30</v>
      </c>
      <c r="G70">
        <v>225.74</v>
      </c>
      <c r="H70" s="1">
        <v>45292</v>
      </c>
      <c r="I70">
        <v>214.99</v>
      </c>
      <c r="J70" s="1">
        <v>44927</v>
      </c>
      <c r="K70">
        <v>10.75</v>
      </c>
      <c r="L70">
        <v>5</v>
      </c>
      <c r="M70" s="2">
        <f t="shared" si="1"/>
        <v>5.0002325689566952E-2</v>
      </c>
    </row>
    <row r="71" spans="1:13" x14ac:dyDescent="0.25">
      <c r="A71" t="s">
        <v>11</v>
      </c>
      <c r="B71" t="s">
        <v>78</v>
      </c>
      <c r="C71">
        <v>3844</v>
      </c>
      <c r="D71" t="s">
        <v>79</v>
      </c>
      <c r="E71">
        <v>34010285</v>
      </c>
      <c r="F71" t="s">
        <v>118</v>
      </c>
      <c r="G71">
        <v>197.9</v>
      </c>
      <c r="H71" s="1">
        <v>45292</v>
      </c>
      <c r="I71">
        <v>188.48</v>
      </c>
      <c r="J71" s="1">
        <v>44927</v>
      </c>
      <c r="K71">
        <v>9.42</v>
      </c>
      <c r="L71">
        <v>4.99</v>
      </c>
      <c r="M71" s="2">
        <f t="shared" si="1"/>
        <v>4.9978777589134125E-2</v>
      </c>
    </row>
    <row r="72" spans="1:13" x14ac:dyDescent="0.25">
      <c r="A72" t="s">
        <v>11</v>
      </c>
      <c r="B72" t="s">
        <v>78</v>
      </c>
      <c r="C72">
        <v>3844</v>
      </c>
      <c r="D72" t="s">
        <v>79</v>
      </c>
      <c r="E72">
        <v>34010286</v>
      </c>
      <c r="F72" t="s">
        <v>119</v>
      </c>
      <c r="G72">
        <v>73.099999999999994</v>
      </c>
      <c r="H72" s="1">
        <v>45292</v>
      </c>
      <c r="I72">
        <v>69.62</v>
      </c>
      <c r="J72" s="1">
        <v>44927</v>
      </c>
      <c r="K72">
        <v>3.48</v>
      </c>
      <c r="L72">
        <v>4.99</v>
      </c>
      <c r="M72" s="2">
        <f t="shared" si="1"/>
        <v>4.9985636311404763E-2</v>
      </c>
    </row>
    <row r="73" spans="1:13" x14ac:dyDescent="0.25">
      <c r="A73" t="s">
        <v>11</v>
      </c>
      <c r="B73" t="s">
        <v>78</v>
      </c>
      <c r="C73">
        <v>3844</v>
      </c>
      <c r="D73" t="s">
        <v>79</v>
      </c>
      <c r="E73">
        <v>34010287</v>
      </c>
      <c r="F73" t="s">
        <v>120</v>
      </c>
      <c r="G73">
        <v>221.58</v>
      </c>
      <c r="H73" s="1">
        <v>45292</v>
      </c>
      <c r="I73">
        <v>211.03</v>
      </c>
      <c r="J73" s="1">
        <v>44927</v>
      </c>
      <c r="K73">
        <v>10.55</v>
      </c>
      <c r="L73">
        <v>4.99</v>
      </c>
      <c r="M73" s="2">
        <f t="shared" si="1"/>
        <v>4.9992892005875943E-2</v>
      </c>
    </row>
    <row r="74" spans="1:13" x14ac:dyDescent="0.25">
      <c r="A74" t="s">
        <v>11</v>
      </c>
      <c r="B74" t="s">
        <v>78</v>
      </c>
      <c r="C74">
        <v>3844</v>
      </c>
      <c r="D74" t="s">
        <v>79</v>
      </c>
      <c r="E74">
        <v>34010290</v>
      </c>
      <c r="F74" t="s">
        <v>121</v>
      </c>
      <c r="G74">
        <v>150.19</v>
      </c>
      <c r="H74" s="1">
        <v>45292</v>
      </c>
      <c r="I74">
        <v>143.04</v>
      </c>
      <c r="J74" s="1">
        <v>44927</v>
      </c>
      <c r="K74">
        <v>7.15</v>
      </c>
      <c r="L74">
        <v>4.99</v>
      </c>
      <c r="M74" s="2">
        <f t="shared" si="1"/>
        <v>4.9986017897091728E-2</v>
      </c>
    </row>
    <row r="75" spans="1:13" x14ac:dyDescent="0.25">
      <c r="A75" t="s">
        <v>11</v>
      </c>
      <c r="B75" t="s">
        <v>78</v>
      </c>
      <c r="C75">
        <v>3844</v>
      </c>
      <c r="D75" t="s">
        <v>79</v>
      </c>
      <c r="E75">
        <v>34010295</v>
      </c>
      <c r="F75" t="s">
        <v>31</v>
      </c>
      <c r="G75">
        <v>71.88</v>
      </c>
      <c r="H75" s="1">
        <v>45292</v>
      </c>
      <c r="I75">
        <v>68.459999999999994</v>
      </c>
      <c r="J75" s="1">
        <v>44927</v>
      </c>
      <c r="K75">
        <v>3.42</v>
      </c>
      <c r="L75">
        <v>4.99</v>
      </c>
      <c r="M75" s="2">
        <f t="shared" si="1"/>
        <v>4.9956178790534621E-2</v>
      </c>
    </row>
    <row r="76" spans="1:13" x14ac:dyDescent="0.25">
      <c r="A76" t="s">
        <v>11</v>
      </c>
      <c r="B76" t="s">
        <v>78</v>
      </c>
      <c r="C76">
        <v>3844</v>
      </c>
      <c r="D76" t="s">
        <v>79</v>
      </c>
      <c r="E76">
        <v>34020001</v>
      </c>
      <c r="F76" t="s">
        <v>122</v>
      </c>
      <c r="G76">
        <v>219.1</v>
      </c>
      <c r="H76" s="1">
        <v>45292</v>
      </c>
      <c r="I76">
        <v>208.67</v>
      </c>
      <c r="J76" s="1">
        <v>44927</v>
      </c>
      <c r="K76">
        <v>10.43</v>
      </c>
      <c r="L76">
        <v>4.99</v>
      </c>
      <c r="M76" s="2">
        <f t="shared" si="1"/>
        <v>4.9983227104998328E-2</v>
      </c>
    </row>
    <row r="77" spans="1:13" x14ac:dyDescent="0.25">
      <c r="A77" t="s">
        <v>11</v>
      </c>
      <c r="B77" t="s">
        <v>78</v>
      </c>
      <c r="C77">
        <v>3844</v>
      </c>
      <c r="D77" t="s">
        <v>79</v>
      </c>
      <c r="E77">
        <v>34020002</v>
      </c>
      <c r="F77" t="s">
        <v>123</v>
      </c>
      <c r="G77">
        <v>193.45</v>
      </c>
      <c r="H77" s="1">
        <v>45292</v>
      </c>
      <c r="I77">
        <v>184.24</v>
      </c>
      <c r="J77" s="1">
        <v>44927</v>
      </c>
      <c r="K77">
        <v>9.2100000000000009</v>
      </c>
      <c r="L77">
        <v>4.99</v>
      </c>
      <c r="M77" s="2">
        <f t="shared" si="1"/>
        <v>4.9989144594007821E-2</v>
      </c>
    </row>
    <row r="78" spans="1:13" x14ac:dyDescent="0.25">
      <c r="A78" t="s">
        <v>11</v>
      </c>
      <c r="B78" t="s">
        <v>78</v>
      </c>
      <c r="C78">
        <v>3844</v>
      </c>
      <c r="D78" t="s">
        <v>79</v>
      </c>
      <c r="E78">
        <v>34020003</v>
      </c>
      <c r="F78" t="s">
        <v>124</v>
      </c>
      <c r="G78">
        <v>225.74</v>
      </c>
      <c r="H78" s="1">
        <v>45292</v>
      </c>
      <c r="I78">
        <v>214.99</v>
      </c>
      <c r="J78" s="1">
        <v>44927</v>
      </c>
      <c r="K78">
        <v>10.75</v>
      </c>
      <c r="L78">
        <v>5</v>
      </c>
      <c r="M78" s="2">
        <f t="shared" si="1"/>
        <v>5.0002325689566952E-2</v>
      </c>
    </row>
    <row r="79" spans="1:13" x14ac:dyDescent="0.25">
      <c r="A79" t="s">
        <v>11</v>
      </c>
      <c r="B79" t="s">
        <v>78</v>
      </c>
      <c r="C79">
        <v>3844</v>
      </c>
      <c r="D79" t="s">
        <v>79</v>
      </c>
      <c r="E79">
        <v>34020005</v>
      </c>
      <c r="F79" t="s">
        <v>125</v>
      </c>
      <c r="G79">
        <v>201.8</v>
      </c>
      <c r="H79" s="1">
        <v>45292</v>
      </c>
      <c r="I79">
        <v>192.19</v>
      </c>
      <c r="J79" s="1">
        <v>44927</v>
      </c>
      <c r="K79">
        <v>9.61</v>
      </c>
      <c r="L79">
        <v>5</v>
      </c>
      <c r="M79" s="2">
        <f t="shared" si="1"/>
        <v>5.0002601592174407E-2</v>
      </c>
    </row>
    <row r="80" spans="1:13" x14ac:dyDescent="0.25">
      <c r="A80" t="s">
        <v>11</v>
      </c>
      <c r="B80" t="s">
        <v>78</v>
      </c>
      <c r="C80">
        <v>3844</v>
      </c>
      <c r="D80" t="s">
        <v>79</v>
      </c>
      <c r="E80">
        <v>34020006</v>
      </c>
      <c r="F80" t="s">
        <v>126</v>
      </c>
      <c r="G80">
        <v>201.8</v>
      </c>
      <c r="H80" s="1">
        <v>45292</v>
      </c>
      <c r="I80">
        <v>192.19</v>
      </c>
      <c r="J80" s="1">
        <v>44927</v>
      </c>
      <c r="K80">
        <v>9.61</v>
      </c>
      <c r="L80">
        <v>5</v>
      </c>
      <c r="M80" s="2">
        <f t="shared" si="1"/>
        <v>5.0002601592174407E-2</v>
      </c>
    </row>
    <row r="81" spans="1:13" x14ac:dyDescent="0.25">
      <c r="A81" t="s">
        <v>11</v>
      </c>
      <c r="B81" t="s">
        <v>78</v>
      </c>
      <c r="C81">
        <v>3844</v>
      </c>
      <c r="D81" t="s">
        <v>79</v>
      </c>
      <c r="E81">
        <v>34020007</v>
      </c>
      <c r="F81" t="s">
        <v>127</v>
      </c>
      <c r="G81">
        <v>116.4</v>
      </c>
      <c r="H81" s="1">
        <v>45292</v>
      </c>
      <c r="I81">
        <v>110.86</v>
      </c>
      <c r="J81" s="1">
        <v>44927</v>
      </c>
      <c r="K81">
        <v>5.54</v>
      </c>
      <c r="L81">
        <v>4.99</v>
      </c>
      <c r="M81" s="2">
        <f t="shared" si="1"/>
        <v>4.997293884178243E-2</v>
      </c>
    </row>
    <row r="82" spans="1:13" x14ac:dyDescent="0.25">
      <c r="A82" t="s">
        <v>11</v>
      </c>
      <c r="B82" t="s">
        <v>78</v>
      </c>
      <c r="C82">
        <v>3844</v>
      </c>
      <c r="D82" t="s">
        <v>79</v>
      </c>
      <c r="E82">
        <v>34020008</v>
      </c>
      <c r="F82" t="s">
        <v>128</v>
      </c>
      <c r="G82">
        <v>214.99</v>
      </c>
      <c r="H82" s="1">
        <v>45292</v>
      </c>
      <c r="I82">
        <v>204.75</v>
      </c>
      <c r="J82" s="1">
        <v>44927</v>
      </c>
      <c r="K82">
        <v>10.24</v>
      </c>
      <c r="L82">
        <v>5</v>
      </c>
      <c r="M82" s="2">
        <f t="shared" si="1"/>
        <v>5.0012210012210012E-2</v>
      </c>
    </row>
    <row r="83" spans="1:13" x14ac:dyDescent="0.25">
      <c r="A83" t="s">
        <v>11</v>
      </c>
      <c r="B83" t="s">
        <v>78</v>
      </c>
      <c r="C83">
        <v>3844</v>
      </c>
      <c r="D83" t="s">
        <v>79</v>
      </c>
      <c r="E83">
        <v>34020009</v>
      </c>
      <c r="F83" t="s">
        <v>129</v>
      </c>
      <c r="G83">
        <v>143.66999999999999</v>
      </c>
      <c r="H83" s="1">
        <v>45292</v>
      </c>
      <c r="I83">
        <v>136.83000000000001</v>
      </c>
      <c r="J83" s="1">
        <v>44927</v>
      </c>
      <c r="K83">
        <v>6.84</v>
      </c>
      <c r="L83">
        <v>4.99</v>
      </c>
      <c r="M83" s="2">
        <f t="shared" si="1"/>
        <v>4.9989037491778111E-2</v>
      </c>
    </row>
    <row r="84" spans="1:13" x14ac:dyDescent="0.25">
      <c r="A84" t="s">
        <v>11</v>
      </c>
      <c r="B84" t="s">
        <v>78</v>
      </c>
      <c r="C84">
        <v>3844</v>
      </c>
      <c r="D84" t="s">
        <v>79</v>
      </c>
      <c r="E84">
        <v>34020010</v>
      </c>
      <c r="F84" t="s">
        <v>130</v>
      </c>
      <c r="G84">
        <v>166.54</v>
      </c>
      <c r="H84" s="1">
        <v>45292</v>
      </c>
      <c r="I84">
        <v>158.61000000000001</v>
      </c>
      <c r="J84" s="1">
        <v>44927</v>
      </c>
      <c r="K84">
        <v>7.93</v>
      </c>
      <c r="L84">
        <v>4.99</v>
      </c>
      <c r="M84" s="2">
        <f t="shared" si="1"/>
        <v>4.9996847613643522E-2</v>
      </c>
    </row>
    <row r="85" spans="1:13" x14ac:dyDescent="0.25">
      <c r="A85" t="s">
        <v>11</v>
      </c>
      <c r="B85" t="s">
        <v>78</v>
      </c>
      <c r="C85">
        <v>3844</v>
      </c>
      <c r="D85" t="s">
        <v>79</v>
      </c>
      <c r="E85">
        <v>34020011</v>
      </c>
      <c r="F85" t="s">
        <v>131</v>
      </c>
      <c r="G85">
        <v>210.69</v>
      </c>
      <c r="H85" s="1">
        <v>45292</v>
      </c>
      <c r="I85">
        <v>200.66</v>
      </c>
      <c r="J85" s="1">
        <v>44927</v>
      </c>
      <c r="K85">
        <v>10.029999999999999</v>
      </c>
      <c r="L85">
        <v>4.99</v>
      </c>
      <c r="M85" s="2">
        <f t="shared" si="1"/>
        <v>4.9985049337187282E-2</v>
      </c>
    </row>
    <row r="86" spans="1:13" x14ac:dyDescent="0.25">
      <c r="A86" t="s">
        <v>11</v>
      </c>
      <c r="B86" t="s">
        <v>78</v>
      </c>
      <c r="C86">
        <v>3844</v>
      </c>
      <c r="D86" t="s">
        <v>79</v>
      </c>
      <c r="E86">
        <v>34020012</v>
      </c>
      <c r="F86" t="s">
        <v>132</v>
      </c>
      <c r="G86">
        <v>188.04</v>
      </c>
      <c r="H86" s="1">
        <v>45292</v>
      </c>
      <c r="I86">
        <v>179.09</v>
      </c>
      <c r="J86" s="1">
        <v>44927</v>
      </c>
      <c r="K86">
        <v>8.9499999999999993</v>
      </c>
      <c r="L86">
        <v>4.99</v>
      </c>
      <c r="M86" s="2">
        <f t="shared" si="1"/>
        <v>4.9974872968898312E-2</v>
      </c>
    </row>
    <row r="87" spans="1:13" x14ac:dyDescent="0.25">
      <c r="A87" t="s">
        <v>11</v>
      </c>
      <c r="B87" t="s">
        <v>78</v>
      </c>
      <c r="C87">
        <v>3844</v>
      </c>
      <c r="D87" t="s">
        <v>79</v>
      </c>
      <c r="E87">
        <v>34020013</v>
      </c>
      <c r="F87" t="s">
        <v>133</v>
      </c>
      <c r="G87">
        <v>205.53</v>
      </c>
      <c r="H87" s="1">
        <v>45292</v>
      </c>
      <c r="I87">
        <v>195.74</v>
      </c>
      <c r="J87" s="1">
        <v>44927</v>
      </c>
      <c r="K87">
        <v>9.7899999999999991</v>
      </c>
      <c r="L87">
        <v>5</v>
      </c>
      <c r="M87" s="2">
        <f t="shared" si="1"/>
        <v>5.0015326453458665E-2</v>
      </c>
    </row>
    <row r="88" spans="1:13" x14ac:dyDescent="0.25">
      <c r="A88" t="s">
        <v>11</v>
      </c>
      <c r="B88" t="s">
        <v>78</v>
      </c>
      <c r="C88">
        <v>3844</v>
      </c>
      <c r="D88" t="s">
        <v>79</v>
      </c>
      <c r="E88">
        <v>34020014</v>
      </c>
      <c r="F88" t="s">
        <v>134</v>
      </c>
      <c r="G88">
        <v>170.27</v>
      </c>
      <c r="H88" s="1">
        <v>45292</v>
      </c>
      <c r="I88">
        <v>162.16</v>
      </c>
      <c r="J88" s="1">
        <v>44927</v>
      </c>
      <c r="K88">
        <v>8.11</v>
      </c>
      <c r="L88">
        <v>5</v>
      </c>
      <c r="M88" s="2">
        <f t="shared" si="1"/>
        <v>5.0012333497779969E-2</v>
      </c>
    </row>
    <row r="89" spans="1:13" x14ac:dyDescent="0.25">
      <c r="A89" t="s">
        <v>11</v>
      </c>
      <c r="B89" t="s">
        <v>78</v>
      </c>
      <c r="C89">
        <v>3844</v>
      </c>
      <c r="D89" t="s">
        <v>79</v>
      </c>
      <c r="E89">
        <v>34020015</v>
      </c>
      <c r="F89" t="s">
        <v>135</v>
      </c>
      <c r="G89">
        <v>170.27</v>
      </c>
      <c r="H89" s="1">
        <v>45292</v>
      </c>
      <c r="I89">
        <v>162.16</v>
      </c>
      <c r="J89" s="1">
        <v>44927</v>
      </c>
      <c r="K89">
        <v>8.11</v>
      </c>
      <c r="L89">
        <v>5</v>
      </c>
      <c r="M89" s="2">
        <f t="shared" si="1"/>
        <v>5.0012333497779969E-2</v>
      </c>
    </row>
    <row r="90" spans="1:13" x14ac:dyDescent="0.25">
      <c r="A90" t="s">
        <v>11</v>
      </c>
      <c r="B90" t="s">
        <v>78</v>
      </c>
      <c r="C90">
        <v>3844</v>
      </c>
      <c r="D90" t="s">
        <v>79</v>
      </c>
      <c r="E90">
        <v>34020016</v>
      </c>
      <c r="F90" t="s">
        <v>136</v>
      </c>
      <c r="G90">
        <v>210.69</v>
      </c>
      <c r="H90" s="1">
        <v>45292</v>
      </c>
      <c r="I90">
        <v>200.66</v>
      </c>
      <c r="J90" s="1">
        <v>44927</v>
      </c>
      <c r="K90">
        <v>10.029999999999999</v>
      </c>
      <c r="L90">
        <v>4.99</v>
      </c>
      <c r="M90" s="2">
        <f t="shared" si="1"/>
        <v>4.9985049337187282E-2</v>
      </c>
    </row>
    <row r="91" spans="1:13" x14ac:dyDescent="0.25">
      <c r="A91" t="s">
        <v>11</v>
      </c>
      <c r="B91" t="s">
        <v>78</v>
      </c>
      <c r="C91">
        <v>3844</v>
      </c>
      <c r="D91" t="s">
        <v>79</v>
      </c>
      <c r="E91">
        <v>34020017</v>
      </c>
      <c r="F91" t="s">
        <v>137</v>
      </c>
      <c r="G91">
        <v>210.69</v>
      </c>
      <c r="H91" s="1">
        <v>45292</v>
      </c>
      <c r="I91">
        <v>200.66</v>
      </c>
      <c r="J91" s="1">
        <v>44927</v>
      </c>
      <c r="K91">
        <v>10.029999999999999</v>
      </c>
      <c r="L91">
        <v>4.99</v>
      </c>
      <c r="M91" s="2">
        <f t="shared" si="1"/>
        <v>4.9985049337187282E-2</v>
      </c>
    </row>
    <row r="92" spans="1:13" x14ac:dyDescent="0.25">
      <c r="A92" t="s">
        <v>11</v>
      </c>
      <c r="B92" t="s">
        <v>78</v>
      </c>
      <c r="C92">
        <v>3844</v>
      </c>
      <c r="D92" t="s">
        <v>79</v>
      </c>
      <c r="E92">
        <v>34020018</v>
      </c>
      <c r="F92" t="s">
        <v>138</v>
      </c>
      <c r="G92">
        <v>302.88</v>
      </c>
      <c r="H92" s="1">
        <v>45292</v>
      </c>
      <c r="I92">
        <v>288.45999999999998</v>
      </c>
      <c r="J92" s="1">
        <v>44927</v>
      </c>
      <c r="K92">
        <v>14.42</v>
      </c>
      <c r="L92">
        <v>4.99</v>
      </c>
      <c r="M92" s="2">
        <f t="shared" si="1"/>
        <v>4.9989599944533038E-2</v>
      </c>
    </row>
    <row r="93" spans="1:13" x14ac:dyDescent="0.25">
      <c r="A93" t="s">
        <v>11</v>
      </c>
      <c r="B93" t="s">
        <v>78</v>
      </c>
      <c r="C93">
        <v>3844</v>
      </c>
      <c r="D93" t="s">
        <v>79</v>
      </c>
      <c r="E93">
        <v>34020019</v>
      </c>
      <c r="F93" t="s">
        <v>139</v>
      </c>
      <c r="G93">
        <v>252.41</v>
      </c>
      <c r="H93" s="1">
        <v>45292</v>
      </c>
      <c r="I93">
        <v>240.39</v>
      </c>
      <c r="J93" s="1">
        <v>44927</v>
      </c>
      <c r="K93">
        <v>12.02</v>
      </c>
      <c r="L93">
        <v>5</v>
      </c>
      <c r="M93" s="2">
        <f t="shared" si="1"/>
        <v>5.0002079953409044E-2</v>
      </c>
    </row>
    <row r="94" spans="1:13" x14ac:dyDescent="0.25">
      <c r="A94" t="s">
        <v>11</v>
      </c>
      <c r="B94" t="s">
        <v>78</v>
      </c>
      <c r="C94">
        <v>3844</v>
      </c>
      <c r="D94" t="s">
        <v>79</v>
      </c>
      <c r="E94">
        <v>34020020</v>
      </c>
      <c r="F94" t="s">
        <v>140</v>
      </c>
      <c r="G94">
        <v>50.48</v>
      </c>
      <c r="H94" s="1">
        <v>45292</v>
      </c>
      <c r="I94">
        <v>48.08</v>
      </c>
      <c r="J94" s="1">
        <v>44927</v>
      </c>
      <c r="K94">
        <v>2.4</v>
      </c>
      <c r="L94">
        <v>4.99</v>
      </c>
      <c r="M94" s="2">
        <f t="shared" si="1"/>
        <v>4.9916805324459232E-2</v>
      </c>
    </row>
    <row r="95" spans="1:13" x14ac:dyDescent="0.25">
      <c r="A95" t="s">
        <v>11</v>
      </c>
      <c r="B95" t="s">
        <v>78</v>
      </c>
      <c r="C95">
        <v>3844</v>
      </c>
      <c r="D95" t="s">
        <v>79</v>
      </c>
      <c r="E95">
        <v>34020021</v>
      </c>
      <c r="F95" t="s">
        <v>141</v>
      </c>
      <c r="G95">
        <v>167.52</v>
      </c>
      <c r="H95" s="1">
        <v>45292</v>
      </c>
      <c r="I95">
        <v>159.54</v>
      </c>
      <c r="J95" s="1">
        <v>44927</v>
      </c>
      <c r="K95">
        <v>7.98</v>
      </c>
      <c r="L95">
        <v>5</v>
      </c>
      <c r="M95" s="2">
        <f t="shared" si="1"/>
        <v>5.001880406167733E-2</v>
      </c>
    </row>
    <row r="96" spans="1:13" x14ac:dyDescent="0.25">
      <c r="A96" t="s">
        <v>11</v>
      </c>
      <c r="B96" t="s">
        <v>78</v>
      </c>
      <c r="C96">
        <v>3844</v>
      </c>
      <c r="D96" t="s">
        <v>79</v>
      </c>
      <c r="E96">
        <v>34020022</v>
      </c>
      <c r="F96" t="s">
        <v>142</v>
      </c>
      <c r="G96">
        <v>151.44</v>
      </c>
      <c r="H96" s="1">
        <v>45292</v>
      </c>
      <c r="I96">
        <v>144.22999999999999</v>
      </c>
      <c r="J96" s="1">
        <v>44927</v>
      </c>
      <c r="K96">
        <v>7.21</v>
      </c>
      <c r="L96">
        <v>4.99</v>
      </c>
      <c r="M96" s="2">
        <f t="shared" si="1"/>
        <v>4.9989599944533038E-2</v>
      </c>
    </row>
    <row r="97" spans="1:13" x14ac:dyDescent="0.25">
      <c r="A97" t="s">
        <v>11</v>
      </c>
      <c r="B97" t="s">
        <v>78</v>
      </c>
      <c r="C97">
        <v>3844</v>
      </c>
      <c r="D97" t="s">
        <v>79</v>
      </c>
      <c r="E97">
        <v>34020023</v>
      </c>
      <c r="F97" t="s">
        <v>143</v>
      </c>
      <c r="G97">
        <v>285.3</v>
      </c>
      <c r="H97" s="1">
        <v>45292</v>
      </c>
      <c r="I97">
        <v>271.70999999999998</v>
      </c>
      <c r="J97" s="1">
        <v>44927</v>
      </c>
      <c r="K97">
        <v>13.59</v>
      </c>
      <c r="L97">
        <v>5</v>
      </c>
      <c r="M97" s="2">
        <f t="shared" si="1"/>
        <v>5.0016561775422332E-2</v>
      </c>
    </row>
    <row r="98" spans="1:13" x14ac:dyDescent="0.25">
      <c r="A98" t="s">
        <v>11</v>
      </c>
      <c r="B98" t="s">
        <v>78</v>
      </c>
      <c r="C98">
        <v>3844</v>
      </c>
      <c r="D98" t="s">
        <v>79</v>
      </c>
      <c r="E98">
        <v>34020024</v>
      </c>
      <c r="F98" t="s">
        <v>144</v>
      </c>
      <c r="G98">
        <v>348.75</v>
      </c>
      <c r="H98" s="1">
        <v>45292</v>
      </c>
      <c r="I98">
        <v>332.14</v>
      </c>
      <c r="J98" s="1">
        <v>44927</v>
      </c>
      <c r="K98">
        <v>16.61</v>
      </c>
      <c r="L98">
        <v>5</v>
      </c>
      <c r="M98" s="2">
        <f t="shared" si="1"/>
        <v>5.0009032335762031E-2</v>
      </c>
    </row>
    <row r="99" spans="1:13" x14ac:dyDescent="0.25">
      <c r="A99" t="s">
        <v>11</v>
      </c>
      <c r="B99" t="s">
        <v>78</v>
      </c>
      <c r="C99">
        <v>3844</v>
      </c>
      <c r="D99" t="s">
        <v>79</v>
      </c>
      <c r="E99">
        <v>34020025</v>
      </c>
      <c r="F99" t="s">
        <v>138</v>
      </c>
      <c r="G99">
        <v>412.18</v>
      </c>
      <c r="H99" s="1">
        <v>45292</v>
      </c>
      <c r="I99">
        <v>392.55</v>
      </c>
      <c r="J99" s="1">
        <v>44927</v>
      </c>
      <c r="K99">
        <v>19.63</v>
      </c>
      <c r="L99">
        <v>5</v>
      </c>
      <c r="M99" s="2">
        <f t="shared" si="1"/>
        <v>5.0006368615462995E-2</v>
      </c>
    </row>
    <row r="100" spans="1:13" x14ac:dyDescent="0.25">
      <c r="A100" t="s">
        <v>11</v>
      </c>
      <c r="B100" t="s">
        <v>78</v>
      </c>
      <c r="C100">
        <v>3844</v>
      </c>
      <c r="D100" t="s">
        <v>79</v>
      </c>
      <c r="E100">
        <v>34020026</v>
      </c>
      <c r="F100" t="s">
        <v>145</v>
      </c>
      <c r="G100">
        <v>158.80000000000001</v>
      </c>
      <c r="H100" s="1">
        <v>45292</v>
      </c>
      <c r="I100">
        <v>151.24</v>
      </c>
      <c r="J100" s="1">
        <v>44927</v>
      </c>
      <c r="K100">
        <v>7.56</v>
      </c>
      <c r="L100">
        <v>4.99</v>
      </c>
      <c r="M100" s="2">
        <f t="shared" si="1"/>
        <v>4.9986775985189101E-2</v>
      </c>
    </row>
    <row r="101" spans="1:13" x14ac:dyDescent="0.25">
      <c r="A101" t="s">
        <v>11</v>
      </c>
      <c r="B101" t="s">
        <v>78</v>
      </c>
      <c r="C101">
        <v>3844</v>
      </c>
      <c r="D101" t="s">
        <v>79</v>
      </c>
      <c r="E101">
        <v>34020027</v>
      </c>
      <c r="F101" t="s">
        <v>146</v>
      </c>
      <c r="G101">
        <v>372.07</v>
      </c>
      <c r="H101" s="1">
        <v>45292</v>
      </c>
      <c r="I101">
        <v>354.35</v>
      </c>
      <c r="J101" s="1">
        <v>44927</v>
      </c>
      <c r="K101">
        <v>17.72</v>
      </c>
      <c r="L101">
        <v>5</v>
      </c>
      <c r="M101" s="2">
        <f t="shared" si="1"/>
        <v>5.0007055171440662E-2</v>
      </c>
    </row>
    <row r="102" spans="1:13" x14ac:dyDescent="0.25">
      <c r="A102" t="s">
        <v>11</v>
      </c>
      <c r="B102" t="s">
        <v>78</v>
      </c>
      <c r="C102">
        <v>3844</v>
      </c>
      <c r="D102" t="s">
        <v>79</v>
      </c>
      <c r="E102">
        <v>34020028</v>
      </c>
      <c r="F102" t="s">
        <v>147</v>
      </c>
      <c r="G102">
        <v>372.07</v>
      </c>
      <c r="H102" s="1">
        <v>45292</v>
      </c>
      <c r="I102">
        <v>354.35</v>
      </c>
      <c r="J102" s="1">
        <v>44927</v>
      </c>
      <c r="K102">
        <v>17.72</v>
      </c>
      <c r="L102">
        <v>5</v>
      </c>
      <c r="M102" s="2">
        <f t="shared" si="1"/>
        <v>5.0007055171440662E-2</v>
      </c>
    </row>
    <row r="103" spans="1:13" x14ac:dyDescent="0.25">
      <c r="A103" t="s">
        <v>11</v>
      </c>
      <c r="B103" t="s">
        <v>78</v>
      </c>
      <c r="C103">
        <v>3844</v>
      </c>
      <c r="D103" t="s">
        <v>79</v>
      </c>
      <c r="E103">
        <v>34020029</v>
      </c>
      <c r="F103" t="s">
        <v>148</v>
      </c>
      <c r="G103">
        <v>347.58</v>
      </c>
      <c r="H103" s="1">
        <v>45292</v>
      </c>
      <c r="I103">
        <v>331.03</v>
      </c>
      <c r="J103" s="1">
        <v>44927</v>
      </c>
      <c r="K103">
        <v>16.55</v>
      </c>
      <c r="L103">
        <v>4.99</v>
      </c>
      <c r="M103" s="2">
        <f t="shared" si="1"/>
        <v>4.9995468688638502E-2</v>
      </c>
    </row>
    <row r="104" spans="1:13" x14ac:dyDescent="0.25">
      <c r="A104" t="s">
        <v>11</v>
      </c>
      <c r="B104" t="s">
        <v>78</v>
      </c>
      <c r="C104">
        <v>3844</v>
      </c>
      <c r="D104" t="s">
        <v>79</v>
      </c>
      <c r="E104">
        <v>34020030</v>
      </c>
      <c r="F104" t="s">
        <v>149</v>
      </c>
      <c r="G104">
        <v>255.2</v>
      </c>
      <c r="H104" s="1">
        <v>45292</v>
      </c>
      <c r="I104">
        <v>243.05</v>
      </c>
      <c r="J104" s="1">
        <v>44927</v>
      </c>
      <c r="K104">
        <v>12.15</v>
      </c>
      <c r="L104">
        <v>4.99</v>
      </c>
      <c r="M104" s="2">
        <f t="shared" si="1"/>
        <v>4.998971405060687E-2</v>
      </c>
    </row>
    <row r="105" spans="1:13" x14ac:dyDescent="0.25">
      <c r="A105" t="s">
        <v>11</v>
      </c>
      <c r="B105" t="s">
        <v>78</v>
      </c>
      <c r="C105">
        <v>3844</v>
      </c>
      <c r="D105" t="s">
        <v>79</v>
      </c>
      <c r="E105">
        <v>34020031</v>
      </c>
      <c r="F105" t="s">
        <v>150</v>
      </c>
      <c r="G105">
        <v>154.80000000000001</v>
      </c>
      <c r="H105" s="1">
        <v>45292</v>
      </c>
      <c r="I105">
        <v>147.43</v>
      </c>
      <c r="J105" s="1">
        <v>44927</v>
      </c>
      <c r="K105">
        <v>7.37</v>
      </c>
      <c r="L105">
        <v>4.99</v>
      </c>
      <c r="M105" s="2">
        <f t="shared" si="1"/>
        <v>4.9989825679983717E-2</v>
      </c>
    </row>
    <row r="106" spans="1:13" x14ac:dyDescent="0.25">
      <c r="A106" t="s">
        <v>11</v>
      </c>
      <c r="B106" t="s">
        <v>78</v>
      </c>
      <c r="C106">
        <v>3844</v>
      </c>
      <c r="D106" t="s">
        <v>79</v>
      </c>
      <c r="E106">
        <v>34020032</v>
      </c>
      <c r="F106" t="s">
        <v>151</v>
      </c>
      <c r="G106">
        <v>120.59</v>
      </c>
      <c r="H106" s="1">
        <v>45292</v>
      </c>
      <c r="I106">
        <v>114.85</v>
      </c>
      <c r="J106" s="1">
        <v>44927</v>
      </c>
      <c r="K106">
        <v>5.74</v>
      </c>
      <c r="L106">
        <v>4.99</v>
      </c>
      <c r="M106" s="2">
        <f t="shared" si="1"/>
        <v>4.9978232477144106E-2</v>
      </c>
    </row>
    <row r="107" spans="1:13" x14ac:dyDescent="0.25">
      <c r="A107" t="s">
        <v>11</v>
      </c>
      <c r="B107" t="s">
        <v>78</v>
      </c>
      <c r="C107">
        <v>3844</v>
      </c>
      <c r="D107" t="s">
        <v>79</v>
      </c>
      <c r="E107">
        <v>34020033</v>
      </c>
      <c r="F107" t="s">
        <v>152</v>
      </c>
      <c r="G107">
        <v>115.94</v>
      </c>
      <c r="H107" s="1">
        <v>45292</v>
      </c>
      <c r="I107">
        <v>110.42</v>
      </c>
      <c r="J107" s="1">
        <v>44927</v>
      </c>
      <c r="K107">
        <v>5.52</v>
      </c>
      <c r="L107">
        <v>4.99</v>
      </c>
      <c r="M107" s="2">
        <f t="shared" si="1"/>
        <v>4.9990943669625067E-2</v>
      </c>
    </row>
    <row r="108" spans="1:13" x14ac:dyDescent="0.25">
      <c r="A108" t="s">
        <v>11</v>
      </c>
      <c r="B108" t="s">
        <v>78</v>
      </c>
      <c r="C108">
        <v>3844</v>
      </c>
      <c r="D108" t="s">
        <v>79</v>
      </c>
      <c r="E108">
        <v>34020034</v>
      </c>
      <c r="F108" t="s">
        <v>153</v>
      </c>
      <c r="G108">
        <v>496.62</v>
      </c>
      <c r="H108" s="1">
        <v>45292</v>
      </c>
      <c r="I108">
        <v>472.97</v>
      </c>
      <c r="J108" s="1">
        <v>44927</v>
      </c>
      <c r="K108">
        <v>23.65</v>
      </c>
      <c r="L108">
        <v>5</v>
      </c>
      <c r="M108" s="2">
        <f t="shared" si="1"/>
        <v>5.0003171448506245E-2</v>
      </c>
    </row>
    <row r="109" spans="1:13" x14ac:dyDescent="0.25">
      <c r="A109" t="s">
        <v>11</v>
      </c>
      <c r="B109" t="s">
        <v>78</v>
      </c>
      <c r="C109">
        <v>3844</v>
      </c>
      <c r="D109" t="s">
        <v>79</v>
      </c>
      <c r="E109">
        <v>34020035</v>
      </c>
      <c r="F109" t="s">
        <v>154</v>
      </c>
      <c r="G109">
        <v>111.8</v>
      </c>
      <c r="H109" s="1">
        <v>45292</v>
      </c>
      <c r="I109">
        <v>106.48</v>
      </c>
      <c r="J109" s="1">
        <v>44927</v>
      </c>
      <c r="K109">
        <v>5.32</v>
      </c>
      <c r="L109">
        <v>4.99</v>
      </c>
      <c r="M109" s="2">
        <f t="shared" si="1"/>
        <v>4.9962434259954919E-2</v>
      </c>
    </row>
    <row r="110" spans="1:13" x14ac:dyDescent="0.25">
      <c r="A110" t="s">
        <v>11</v>
      </c>
      <c r="B110" t="s">
        <v>78</v>
      </c>
      <c r="C110">
        <v>3844</v>
      </c>
      <c r="D110" t="s">
        <v>79</v>
      </c>
      <c r="E110">
        <v>34020036</v>
      </c>
      <c r="F110" t="s">
        <v>155</v>
      </c>
      <c r="G110">
        <v>337.45</v>
      </c>
      <c r="H110" s="1">
        <v>45292</v>
      </c>
      <c r="I110">
        <v>321.38</v>
      </c>
      <c r="J110" s="1">
        <v>44927</v>
      </c>
      <c r="K110">
        <v>16.07</v>
      </c>
      <c r="L110">
        <v>5</v>
      </c>
      <c r="M110" s="2">
        <f t="shared" si="1"/>
        <v>5.0003111581305625E-2</v>
      </c>
    </row>
    <row r="111" spans="1:13" x14ac:dyDescent="0.25">
      <c r="A111" t="s">
        <v>11</v>
      </c>
      <c r="B111" t="s">
        <v>78</v>
      </c>
      <c r="C111">
        <v>3844</v>
      </c>
      <c r="D111" t="s">
        <v>79</v>
      </c>
      <c r="E111">
        <v>34020037</v>
      </c>
      <c r="F111" t="s">
        <v>156</v>
      </c>
      <c r="G111">
        <v>337.45</v>
      </c>
      <c r="H111" s="1">
        <v>45292</v>
      </c>
      <c r="I111">
        <v>321.38</v>
      </c>
      <c r="J111" s="1">
        <v>44927</v>
      </c>
      <c r="K111">
        <v>16.07</v>
      </c>
      <c r="L111">
        <v>5</v>
      </c>
      <c r="M111" s="2">
        <f t="shared" si="1"/>
        <v>5.0003111581305625E-2</v>
      </c>
    </row>
    <row r="112" spans="1:13" x14ac:dyDescent="0.25">
      <c r="A112" t="s">
        <v>11</v>
      </c>
      <c r="B112" t="s">
        <v>78</v>
      </c>
      <c r="C112">
        <v>3844</v>
      </c>
      <c r="D112" t="s">
        <v>79</v>
      </c>
      <c r="E112">
        <v>34020038</v>
      </c>
      <c r="F112" t="s">
        <v>157</v>
      </c>
      <c r="G112">
        <v>337.45</v>
      </c>
      <c r="H112" s="1">
        <v>45292</v>
      </c>
      <c r="I112">
        <v>321.38</v>
      </c>
      <c r="J112" s="1">
        <v>44927</v>
      </c>
      <c r="K112">
        <v>16.07</v>
      </c>
      <c r="L112">
        <v>5</v>
      </c>
      <c r="M112" s="2">
        <f t="shared" si="1"/>
        <v>5.0003111581305625E-2</v>
      </c>
    </row>
    <row r="113" spans="1:13" x14ac:dyDescent="0.25">
      <c r="A113" t="s">
        <v>11</v>
      </c>
      <c r="B113" t="s">
        <v>78</v>
      </c>
      <c r="C113">
        <v>3844</v>
      </c>
      <c r="D113" t="s">
        <v>79</v>
      </c>
      <c r="E113">
        <v>34020039</v>
      </c>
      <c r="F113" t="s">
        <v>158</v>
      </c>
      <c r="G113">
        <v>104.31</v>
      </c>
      <c r="H113" s="1">
        <v>45292</v>
      </c>
      <c r="I113">
        <v>99.34</v>
      </c>
      <c r="J113" s="1">
        <v>44927</v>
      </c>
      <c r="K113">
        <v>4.97</v>
      </c>
      <c r="L113">
        <v>5</v>
      </c>
      <c r="M113" s="2">
        <f t="shared" si="1"/>
        <v>5.0030199315482179E-2</v>
      </c>
    </row>
    <row r="114" spans="1:13" x14ac:dyDescent="0.25">
      <c r="A114" t="s">
        <v>11</v>
      </c>
      <c r="B114" t="s">
        <v>78</v>
      </c>
      <c r="C114">
        <v>3844</v>
      </c>
      <c r="D114" t="s">
        <v>79</v>
      </c>
      <c r="E114">
        <v>34020040</v>
      </c>
      <c r="F114" t="s">
        <v>159</v>
      </c>
      <c r="G114">
        <v>89.3</v>
      </c>
      <c r="H114" s="1">
        <v>45292</v>
      </c>
      <c r="I114">
        <v>85.05</v>
      </c>
      <c r="J114" s="1">
        <v>44927</v>
      </c>
      <c r="K114">
        <v>4.25</v>
      </c>
      <c r="L114">
        <v>4.99</v>
      </c>
      <c r="M114" s="2">
        <f t="shared" si="1"/>
        <v>4.9970605526161081E-2</v>
      </c>
    </row>
    <row r="115" spans="1:13" x14ac:dyDescent="0.25">
      <c r="A115" t="s">
        <v>11</v>
      </c>
      <c r="B115" t="s">
        <v>78</v>
      </c>
      <c r="C115">
        <v>3844</v>
      </c>
      <c r="D115" t="s">
        <v>79</v>
      </c>
      <c r="E115">
        <v>34020043</v>
      </c>
      <c r="F115" t="s">
        <v>160</v>
      </c>
      <c r="G115">
        <v>27.56</v>
      </c>
      <c r="H115" s="1">
        <v>45292</v>
      </c>
      <c r="I115">
        <v>26.25</v>
      </c>
      <c r="J115" s="1">
        <v>44927</v>
      </c>
      <c r="K115">
        <v>1.31</v>
      </c>
      <c r="L115">
        <v>4.99</v>
      </c>
      <c r="M115" s="2">
        <f t="shared" si="1"/>
        <v>4.990476190476191E-2</v>
      </c>
    </row>
    <row r="116" spans="1:13" x14ac:dyDescent="0.25">
      <c r="A116" t="s">
        <v>11</v>
      </c>
      <c r="B116" t="s">
        <v>78</v>
      </c>
      <c r="C116">
        <v>3844</v>
      </c>
      <c r="D116" t="s">
        <v>79</v>
      </c>
      <c r="E116">
        <v>34020047</v>
      </c>
      <c r="F116" t="s">
        <v>161</v>
      </c>
      <c r="G116">
        <v>965.79</v>
      </c>
      <c r="H116" s="1">
        <v>45292</v>
      </c>
      <c r="I116">
        <v>919.8</v>
      </c>
      <c r="J116" s="1">
        <v>44927</v>
      </c>
      <c r="K116">
        <v>45.99</v>
      </c>
      <c r="L116">
        <v>5</v>
      </c>
      <c r="M116" s="2">
        <f t="shared" si="1"/>
        <v>0.05</v>
      </c>
    </row>
    <row r="117" spans="1:13" x14ac:dyDescent="0.25">
      <c r="A117" t="s">
        <v>11</v>
      </c>
      <c r="B117" t="s">
        <v>78</v>
      </c>
      <c r="C117">
        <v>3844</v>
      </c>
      <c r="D117" t="s">
        <v>79</v>
      </c>
      <c r="E117">
        <v>34020048</v>
      </c>
      <c r="F117" t="s">
        <v>162</v>
      </c>
      <c r="G117">
        <v>131.9</v>
      </c>
      <c r="H117" s="1">
        <v>45292</v>
      </c>
      <c r="I117">
        <v>125.62</v>
      </c>
      <c r="J117" s="1">
        <v>44927</v>
      </c>
      <c r="K117">
        <v>6.28</v>
      </c>
      <c r="L117">
        <v>4.99</v>
      </c>
      <c r="M117" s="2">
        <f t="shared" si="1"/>
        <v>4.9992039484158576E-2</v>
      </c>
    </row>
    <row r="118" spans="1:13" x14ac:dyDescent="0.25">
      <c r="A118" t="s">
        <v>11</v>
      </c>
      <c r="B118" t="s">
        <v>78</v>
      </c>
      <c r="C118">
        <v>3844</v>
      </c>
      <c r="D118" t="s">
        <v>79</v>
      </c>
      <c r="E118">
        <v>34020049</v>
      </c>
      <c r="F118" t="s">
        <v>163</v>
      </c>
      <c r="G118">
        <v>107.3</v>
      </c>
      <c r="H118" s="1">
        <v>45292</v>
      </c>
      <c r="I118">
        <v>102.19</v>
      </c>
      <c r="J118" s="1">
        <v>44927</v>
      </c>
      <c r="K118">
        <v>5.1100000000000003</v>
      </c>
      <c r="L118">
        <v>5</v>
      </c>
      <c r="M118" s="2">
        <f t="shared" si="1"/>
        <v>5.000489284665819E-2</v>
      </c>
    </row>
    <row r="119" spans="1:13" x14ac:dyDescent="0.25">
      <c r="A119" t="s">
        <v>11</v>
      </c>
      <c r="B119" t="s">
        <v>78</v>
      </c>
      <c r="C119">
        <v>3844</v>
      </c>
      <c r="D119" t="s">
        <v>79</v>
      </c>
      <c r="E119">
        <v>34020050</v>
      </c>
      <c r="F119" t="s">
        <v>164</v>
      </c>
      <c r="G119">
        <v>143.66999999999999</v>
      </c>
      <c r="H119" s="1">
        <v>45292</v>
      </c>
      <c r="I119">
        <v>136.83000000000001</v>
      </c>
      <c r="J119" s="1">
        <v>44927</v>
      </c>
      <c r="K119">
        <v>6.84</v>
      </c>
      <c r="L119">
        <v>4.99</v>
      </c>
      <c r="M119" s="2">
        <f t="shared" si="1"/>
        <v>4.9989037491778111E-2</v>
      </c>
    </row>
    <row r="120" spans="1:13" x14ac:dyDescent="0.25">
      <c r="A120" t="s">
        <v>11</v>
      </c>
      <c r="B120" t="s">
        <v>78</v>
      </c>
      <c r="C120">
        <v>3844</v>
      </c>
      <c r="D120" t="s">
        <v>79</v>
      </c>
      <c r="E120">
        <v>34020053</v>
      </c>
      <c r="F120" t="s">
        <v>165</v>
      </c>
      <c r="G120">
        <v>467.46</v>
      </c>
      <c r="H120" s="1">
        <v>45292</v>
      </c>
      <c r="I120">
        <v>445.2</v>
      </c>
      <c r="J120" s="1">
        <v>44927</v>
      </c>
      <c r="K120">
        <v>22.26</v>
      </c>
      <c r="L120">
        <v>5</v>
      </c>
      <c r="M120" s="2">
        <f t="shared" si="1"/>
        <v>0.05</v>
      </c>
    </row>
    <row r="121" spans="1:13" x14ac:dyDescent="0.25">
      <c r="A121" t="s">
        <v>11</v>
      </c>
      <c r="B121" t="s">
        <v>78</v>
      </c>
      <c r="C121">
        <v>3844</v>
      </c>
      <c r="D121" t="s">
        <v>79</v>
      </c>
      <c r="E121">
        <v>34050015</v>
      </c>
      <c r="F121" t="s">
        <v>166</v>
      </c>
      <c r="G121">
        <v>76.66</v>
      </c>
      <c r="H121" s="1">
        <v>45292</v>
      </c>
      <c r="I121">
        <v>73.010000000000005</v>
      </c>
      <c r="J121" s="1">
        <v>44927</v>
      </c>
      <c r="K121">
        <v>3.65</v>
      </c>
      <c r="L121">
        <v>4.99</v>
      </c>
      <c r="M121" s="2">
        <f t="shared" si="1"/>
        <v>4.9993151623065328E-2</v>
      </c>
    </row>
    <row r="122" spans="1:13" x14ac:dyDescent="0.25">
      <c r="A122" t="s">
        <v>11</v>
      </c>
      <c r="B122" t="s">
        <v>78</v>
      </c>
      <c r="C122">
        <v>3844</v>
      </c>
      <c r="D122" t="s">
        <v>79</v>
      </c>
      <c r="E122">
        <v>34050040</v>
      </c>
      <c r="F122" t="s">
        <v>167</v>
      </c>
      <c r="G122">
        <v>73.099999999999994</v>
      </c>
      <c r="H122" s="1">
        <v>45292</v>
      </c>
      <c r="I122">
        <v>69.62</v>
      </c>
      <c r="J122" s="1">
        <v>44927</v>
      </c>
      <c r="K122">
        <v>3.48</v>
      </c>
      <c r="L122">
        <v>4.99</v>
      </c>
      <c r="M122" s="2">
        <f t="shared" si="1"/>
        <v>4.9985636311404763E-2</v>
      </c>
    </row>
    <row r="123" spans="1:13" x14ac:dyDescent="0.25">
      <c r="A123" t="s">
        <v>11</v>
      </c>
      <c r="B123" t="s">
        <v>78</v>
      </c>
      <c r="C123">
        <v>3844</v>
      </c>
      <c r="D123" t="s">
        <v>79</v>
      </c>
      <c r="E123">
        <v>34050065</v>
      </c>
      <c r="F123" t="s">
        <v>168</v>
      </c>
      <c r="G123">
        <v>254.31</v>
      </c>
      <c r="H123" s="1">
        <v>45292</v>
      </c>
      <c r="I123">
        <v>242.2</v>
      </c>
      <c r="J123" s="1">
        <v>44927</v>
      </c>
      <c r="K123">
        <v>12.11</v>
      </c>
      <c r="L123">
        <v>5</v>
      </c>
      <c r="M123" s="2">
        <f t="shared" si="1"/>
        <v>0.05</v>
      </c>
    </row>
    <row r="124" spans="1:13" x14ac:dyDescent="0.25">
      <c r="A124" t="s">
        <v>11</v>
      </c>
      <c r="B124" t="s">
        <v>78</v>
      </c>
      <c r="C124">
        <v>3844</v>
      </c>
      <c r="D124" t="s">
        <v>79</v>
      </c>
      <c r="E124">
        <v>34050105</v>
      </c>
      <c r="F124" t="s">
        <v>169</v>
      </c>
      <c r="G124">
        <v>507.93</v>
      </c>
      <c r="H124" s="1">
        <v>45292</v>
      </c>
      <c r="I124">
        <v>483.74</v>
      </c>
      <c r="J124" s="1">
        <v>44927</v>
      </c>
      <c r="K124">
        <v>24.19</v>
      </c>
      <c r="L124">
        <v>5</v>
      </c>
      <c r="M124" s="2">
        <f t="shared" si="1"/>
        <v>5.0006201678587672E-2</v>
      </c>
    </row>
    <row r="125" spans="1:13" x14ac:dyDescent="0.25">
      <c r="A125" t="s">
        <v>11</v>
      </c>
      <c r="B125" t="s">
        <v>78</v>
      </c>
      <c r="C125">
        <v>3844</v>
      </c>
      <c r="D125" t="s">
        <v>79</v>
      </c>
      <c r="E125">
        <v>34050140</v>
      </c>
      <c r="F125" t="s">
        <v>32</v>
      </c>
      <c r="G125">
        <v>98.19</v>
      </c>
      <c r="H125" s="1">
        <v>45292</v>
      </c>
      <c r="I125">
        <v>93.51</v>
      </c>
      <c r="J125" s="1">
        <v>44927</v>
      </c>
      <c r="K125">
        <v>4.68</v>
      </c>
      <c r="L125">
        <v>5</v>
      </c>
      <c r="M125" s="2">
        <f t="shared" si="1"/>
        <v>5.004812319538017E-2</v>
      </c>
    </row>
    <row r="126" spans="1:13" x14ac:dyDescent="0.25">
      <c r="A126" t="s">
        <v>11</v>
      </c>
      <c r="B126" t="s">
        <v>78</v>
      </c>
      <c r="C126">
        <v>3844</v>
      </c>
      <c r="D126" t="s">
        <v>79</v>
      </c>
      <c r="E126">
        <v>34050180</v>
      </c>
      <c r="F126" t="s">
        <v>170</v>
      </c>
      <c r="G126">
        <v>146.19</v>
      </c>
      <c r="H126" s="1">
        <v>45292</v>
      </c>
      <c r="I126">
        <v>139.22999999999999</v>
      </c>
      <c r="J126" s="1">
        <v>44927</v>
      </c>
      <c r="K126">
        <v>6.96</v>
      </c>
      <c r="L126">
        <v>4.99</v>
      </c>
      <c r="M126" s="2">
        <f t="shared" si="1"/>
        <v>4.9989226459814698E-2</v>
      </c>
    </row>
    <row r="127" spans="1:13" x14ac:dyDescent="0.25">
      <c r="A127" t="s">
        <v>11</v>
      </c>
      <c r="B127" t="s">
        <v>78</v>
      </c>
      <c r="C127">
        <v>3844</v>
      </c>
      <c r="D127" t="s">
        <v>79</v>
      </c>
      <c r="E127">
        <v>34050200</v>
      </c>
      <c r="F127" t="s">
        <v>171</v>
      </c>
      <c r="G127">
        <v>146.19</v>
      </c>
      <c r="H127" s="1">
        <v>45292</v>
      </c>
      <c r="I127">
        <v>139.22999999999999</v>
      </c>
      <c r="J127" s="1">
        <v>44927</v>
      </c>
      <c r="K127">
        <v>6.96</v>
      </c>
      <c r="L127">
        <v>4.99</v>
      </c>
      <c r="M127" s="2">
        <f t="shared" si="1"/>
        <v>4.9989226459814698E-2</v>
      </c>
    </row>
    <row r="128" spans="1:13" x14ac:dyDescent="0.25">
      <c r="A128" t="s">
        <v>11</v>
      </c>
      <c r="B128" t="s">
        <v>78</v>
      </c>
      <c r="C128">
        <v>3844</v>
      </c>
      <c r="D128" t="s">
        <v>79</v>
      </c>
      <c r="E128">
        <v>34050220</v>
      </c>
      <c r="F128" t="s">
        <v>172</v>
      </c>
      <c r="G128">
        <v>114.31</v>
      </c>
      <c r="H128" s="1">
        <v>45292</v>
      </c>
      <c r="I128">
        <v>108.87</v>
      </c>
      <c r="J128" s="1">
        <v>44927</v>
      </c>
      <c r="K128">
        <v>5.44</v>
      </c>
      <c r="L128">
        <v>4.99</v>
      </c>
      <c r="M128" s="2">
        <f t="shared" si="1"/>
        <v>4.9967851566087997E-2</v>
      </c>
    </row>
    <row r="129" spans="1:13" x14ac:dyDescent="0.25">
      <c r="A129" t="s">
        <v>11</v>
      </c>
      <c r="B129" t="s">
        <v>78</v>
      </c>
      <c r="C129">
        <v>3844</v>
      </c>
      <c r="D129" t="s">
        <v>79</v>
      </c>
      <c r="E129">
        <v>34099979</v>
      </c>
      <c r="F129" t="s">
        <v>173</v>
      </c>
      <c r="G129">
        <v>73.099999999999994</v>
      </c>
      <c r="H129" s="1">
        <v>45292</v>
      </c>
      <c r="I129">
        <v>69.62</v>
      </c>
      <c r="J129" s="1">
        <v>44927</v>
      </c>
      <c r="K129">
        <v>3.48</v>
      </c>
      <c r="L129">
        <v>4.99</v>
      </c>
      <c r="M129" s="2">
        <f t="shared" si="1"/>
        <v>4.9985636311404763E-2</v>
      </c>
    </row>
    <row r="130" spans="1:13" x14ac:dyDescent="0.25">
      <c r="A130" t="s">
        <v>11</v>
      </c>
      <c r="B130" t="s">
        <v>78</v>
      </c>
      <c r="C130">
        <v>3844</v>
      </c>
      <c r="D130" t="s">
        <v>79</v>
      </c>
      <c r="E130">
        <v>34099980</v>
      </c>
      <c r="F130" t="s">
        <v>174</v>
      </c>
      <c r="G130">
        <v>89.01</v>
      </c>
      <c r="H130" s="1">
        <v>45292</v>
      </c>
      <c r="I130">
        <v>84.77</v>
      </c>
      <c r="J130" s="1">
        <v>44927</v>
      </c>
      <c r="K130">
        <v>4.24</v>
      </c>
      <c r="L130">
        <v>5</v>
      </c>
      <c r="M130" s="2">
        <f t="shared" si="1"/>
        <v>5.0017694939247383E-2</v>
      </c>
    </row>
    <row r="131" spans="1:13" x14ac:dyDescent="0.25">
      <c r="A131" t="s">
        <v>11</v>
      </c>
      <c r="B131" t="s">
        <v>78</v>
      </c>
      <c r="C131">
        <v>3844</v>
      </c>
      <c r="D131" t="s">
        <v>79</v>
      </c>
      <c r="E131">
        <v>34099993</v>
      </c>
      <c r="F131" t="s">
        <v>175</v>
      </c>
      <c r="G131">
        <v>151.19999999999999</v>
      </c>
      <c r="H131" s="1">
        <v>45292</v>
      </c>
      <c r="I131">
        <v>144</v>
      </c>
      <c r="J131" s="1">
        <v>44927</v>
      </c>
      <c r="K131">
        <v>7.2</v>
      </c>
      <c r="L131">
        <v>5</v>
      </c>
      <c r="M131" s="2">
        <f t="shared" ref="M131:M194" si="2">K131/I131</f>
        <v>0.05</v>
      </c>
    </row>
    <row r="132" spans="1:13" x14ac:dyDescent="0.25">
      <c r="A132" t="s">
        <v>11</v>
      </c>
      <c r="B132" t="s">
        <v>78</v>
      </c>
      <c r="C132">
        <v>3844</v>
      </c>
      <c r="D132" t="s">
        <v>79</v>
      </c>
      <c r="E132">
        <v>34099999</v>
      </c>
      <c r="F132" t="s">
        <v>176</v>
      </c>
      <c r="G132">
        <v>131.41999999999999</v>
      </c>
      <c r="H132" s="1">
        <v>45292</v>
      </c>
      <c r="I132">
        <v>125.16</v>
      </c>
      <c r="J132" s="1">
        <v>44927</v>
      </c>
      <c r="K132">
        <v>6.26</v>
      </c>
      <c r="L132">
        <v>5</v>
      </c>
      <c r="M132" s="2">
        <f t="shared" si="2"/>
        <v>5.0015979546180887E-2</v>
      </c>
    </row>
    <row r="133" spans="1:13" x14ac:dyDescent="0.25">
      <c r="A133" t="s">
        <v>11</v>
      </c>
      <c r="B133" t="s">
        <v>78</v>
      </c>
      <c r="C133">
        <v>3844</v>
      </c>
      <c r="D133" t="s">
        <v>79</v>
      </c>
      <c r="E133">
        <v>34200011</v>
      </c>
      <c r="F133" t="s">
        <v>51</v>
      </c>
      <c r="G133">
        <v>71.66</v>
      </c>
      <c r="H133" s="1">
        <v>45292</v>
      </c>
      <c r="I133">
        <v>68.25</v>
      </c>
      <c r="J133" s="1">
        <v>44927</v>
      </c>
      <c r="K133">
        <v>3.41</v>
      </c>
      <c r="L133">
        <v>4.99</v>
      </c>
      <c r="M133" s="2">
        <f t="shared" si="2"/>
        <v>4.9963369963369968E-2</v>
      </c>
    </row>
    <row r="134" spans="1:13" x14ac:dyDescent="0.25">
      <c r="A134" t="s">
        <v>11</v>
      </c>
      <c r="B134" t="s">
        <v>78</v>
      </c>
      <c r="C134">
        <v>3844</v>
      </c>
      <c r="D134" t="s">
        <v>79</v>
      </c>
      <c r="E134">
        <v>34200030</v>
      </c>
      <c r="F134" t="s">
        <v>20</v>
      </c>
      <c r="G134">
        <v>225.74</v>
      </c>
      <c r="H134" s="1">
        <v>45292</v>
      </c>
      <c r="I134">
        <v>214.99</v>
      </c>
      <c r="J134" s="1">
        <v>44927</v>
      </c>
      <c r="K134">
        <v>10.75</v>
      </c>
      <c r="L134">
        <v>5</v>
      </c>
      <c r="M134" s="2">
        <f t="shared" si="2"/>
        <v>5.0002325689566952E-2</v>
      </c>
    </row>
    <row r="135" spans="1:13" x14ac:dyDescent="0.25">
      <c r="A135" t="s">
        <v>11</v>
      </c>
      <c r="B135" t="s">
        <v>78</v>
      </c>
      <c r="C135">
        <v>3844</v>
      </c>
      <c r="D135" t="s">
        <v>79</v>
      </c>
      <c r="E135">
        <v>34200043</v>
      </c>
      <c r="F135" t="s">
        <v>172</v>
      </c>
      <c r="G135">
        <v>134.96</v>
      </c>
      <c r="H135" s="1">
        <v>45292</v>
      </c>
      <c r="I135">
        <v>128.53</v>
      </c>
      <c r="J135" s="1">
        <v>44927</v>
      </c>
      <c r="K135">
        <v>6.43</v>
      </c>
      <c r="L135">
        <v>5</v>
      </c>
      <c r="M135" s="2">
        <f t="shared" si="2"/>
        <v>5.0027230996654473E-2</v>
      </c>
    </row>
    <row r="136" spans="1:13" x14ac:dyDescent="0.25">
      <c r="A136" t="s">
        <v>11</v>
      </c>
      <c r="B136" t="s">
        <v>78</v>
      </c>
      <c r="C136">
        <v>3844</v>
      </c>
      <c r="D136" t="s">
        <v>79</v>
      </c>
      <c r="E136">
        <v>34200050</v>
      </c>
      <c r="F136" t="s">
        <v>33</v>
      </c>
      <c r="G136">
        <v>28.94</v>
      </c>
      <c r="H136" s="1">
        <v>45292</v>
      </c>
      <c r="I136">
        <v>27.56</v>
      </c>
      <c r="J136" s="1">
        <v>44927</v>
      </c>
      <c r="K136">
        <v>1.38</v>
      </c>
      <c r="L136">
        <v>5</v>
      </c>
      <c r="M136" s="2">
        <f t="shared" si="2"/>
        <v>5.0072568940493466E-2</v>
      </c>
    </row>
    <row r="137" spans="1:13" x14ac:dyDescent="0.25">
      <c r="A137" t="s">
        <v>11</v>
      </c>
      <c r="B137" t="s">
        <v>78</v>
      </c>
      <c r="C137">
        <v>3844</v>
      </c>
      <c r="D137" t="s">
        <v>79</v>
      </c>
      <c r="E137">
        <v>34200051</v>
      </c>
      <c r="F137" t="s">
        <v>34</v>
      </c>
      <c r="G137">
        <v>28.94</v>
      </c>
      <c r="H137" s="1">
        <v>45292</v>
      </c>
      <c r="I137">
        <v>27.56</v>
      </c>
      <c r="J137" s="1">
        <v>44927</v>
      </c>
      <c r="K137">
        <v>1.38</v>
      </c>
      <c r="L137">
        <v>5</v>
      </c>
      <c r="M137" s="2">
        <f t="shared" si="2"/>
        <v>5.0072568940493466E-2</v>
      </c>
    </row>
    <row r="138" spans="1:13" x14ac:dyDescent="0.25">
      <c r="A138" t="s">
        <v>11</v>
      </c>
      <c r="B138" t="s">
        <v>78</v>
      </c>
      <c r="C138">
        <v>3844</v>
      </c>
      <c r="D138" t="s">
        <v>79</v>
      </c>
      <c r="E138">
        <v>34200052</v>
      </c>
      <c r="F138" t="s">
        <v>35</v>
      </c>
      <c r="G138">
        <v>28.94</v>
      </c>
      <c r="H138" s="1">
        <v>45292</v>
      </c>
      <c r="I138">
        <v>27.56</v>
      </c>
      <c r="J138" s="1">
        <v>44927</v>
      </c>
      <c r="K138">
        <v>1.38</v>
      </c>
      <c r="L138">
        <v>5</v>
      </c>
      <c r="M138" s="2">
        <f t="shared" si="2"/>
        <v>5.0072568940493466E-2</v>
      </c>
    </row>
    <row r="139" spans="1:13" x14ac:dyDescent="0.25">
      <c r="A139" t="s">
        <v>11</v>
      </c>
      <c r="B139" t="s">
        <v>78</v>
      </c>
      <c r="C139">
        <v>3844</v>
      </c>
      <c r="D139" t="s">
        <v>79</v>
      </c>
      <c r="E139">
        <v>34200053</v>
      </c>
      <c r="F139" t="s">
        <v>36</v>
      </c>
      <c r="G139">
        <v>28.94</v>
      </c>
      <c r="H139" s="1">
        <v>45292</v>
      </c>
      <c r="I139">
        <v>27.56</v>
      </c>
      <c r="J139" s="1">
        <v>44927</v>
      </c>
      <c r="K139">
        <v>1.38</v>
      </c>
      <c r="L139">
        <v>5</v>
      </c>
      <c r="M139" s="2">
        <f t="shared" si="2"/>
        <v>5.0072568940493466E-2</v>
      </c>
    </row>
    <row r="140" spans="1:13" x14ac:dyDescent="0.25">
      <c r="A140" t="s">
        <v>11</v>
      </c>
      <c r="B140" t="s">
        <v>78</v>
      </c>
      <c r="C140">
        <v>3844</v>
      </c>
      <c r="D140" t="s">
        <v>79</v>
      </c>
      <c r="E140">
        <v>34200055</v>
      </c>
      <c r="F140" t="s">
        <v>177</v>
      </c>
      <c r="G140">
        <v>26.46</v>
      </c>
      <c r="H140" s="1">
        <v>45292</v>
      </c>
      <c r="I140">
        <v>25.2</v>
      </c>
      <c r="J140" s="1">
        <v>44927</v>
      </c>
      <c r="K140">
        <v>1.26</v>
      </c>
      <c r="L140">
        <v>5</v>
      </c>
      <c r="M140" s="2">
        <f t="shared" si="2"/>
        <v>0.05</v>
      </c>
    </row>
    <row r="141" spans="1:13" x14ac:dyDescent="0.25">
      <c r="A141" t="s">
        <v>11</v>
      </c>
      <c r="B141" t="s">
        <v>78</v>
      </c>
      <c r="C141">
        <v>3844</v>
      </c>
      <c r="D141" t="s">
        <v>79</v>
      </c>
      <c r="E141">
        <v>34200061</v>
      </c>
      <c r="F141" t="s">
        <v>21</v>
      </c>
      <c r="G141">
        <v>225.74</v>
      </c>
      <c r="H141" s="1">
        <v>45292</v>
      </c>
      <c r="I141">
        <v>214.99</v>
      </c>
      <c r="J141" s="1">
        <v>44927</v>
      </c>
      <c r="K141">
        <v>10.75</v>
      </c>
      <c r="L141">
        <v>5</v>
      </c>
      <c r="M141" s="2">
        <f t="shared" si="2"/>
        <v>5.0002325689566952E-2</v>
      </c>
    </row>
    <row r="142" spans="1:13" x14ac:dyDescent="0.25">
      <c r="A142" t="s">
        <v>11</v>
      </c>
      <c r="B142" t="s">
        <v>78</v>
      </c>
      <c r="C142">
        <v>3844</v>
      </c>
      <c r="D142" t="s">
        <v>79</v>
      </c>
      <c r="E142">
        <v>34200070</v>
      </c>
      <c r="F142" t="s">
        <v>37</v>
      </c>
      <c r="G142">
        <v>109.98</v>
      </c>
      <c r="H142" s="1">
        <v>45292</v>
      </c>
      <c r="I142">
        <v>104.74</v>
      </c>
      <c r="J142" s="1">
        <v>44927</v>
      </c>
      <c r="K142">
        <v>5.24</v>
      </c>
      <c r="L142">
        <v>5</v>
      </c>
      <c r="M142" s="2">
        <f t="shared" si="2"/>
        <v>5.0028642352491888E-2</v>
      </c>
    </row>
    <row r="143" spans="1:13" x14ac:dyDescent="0.25">
      <c r="A143" t="s">
        <v>11</v>
      </c>
      <c r="B143" t="s">
        <v>78</v>
      </c>
      <c r="C143">
        <v>3844</v>
      </c>
      <c r="D143" t="s">
        <v>79</v>
      </c>
      <c r="E143">
        <v>34200083</v>
      </c>
      <c r="F143" t="s">
        <v>93</v>
      </c>
      <c r="G143">
        <v>80.73</v>
      </c>
      <c r="H143" s="1">
        <v>45292</v>
      </c>
      <c r="I143">
        <v>76.89</v>
      </c>
      <c r="J143" s="1">
        <v>44927</v>
      </c>
      <c r="K143">
        <v>3.84</v>
      </c>
      <c r="L143">
        <v>4.99</v>
      </c>
      <c r="M143" s="2">
        <f t="shared" si="2"/>
        <v>4.9941474834178698E-2</v>
      </c>
    </row>
    <row r="144" spans="1:13" x14ac:dyDescent="0.25">
      <c r="A144" t="s">
        <v>11</v>
      </c>
      <c r="B144" t="s">
        <v>78</v>
      </c>
      <c r="C144">
        <v>3844</v>
      </c>
      <c r="D144" t="s">
        <v>79</v>
      </c>
      <c r="E144">
        <v>34200110</v>
      </c>
      <c r="F144" t="s">
        <v>22</v>
      </c>
      <c r="G144">
        <v>225.74</v>
      </c>
      <c r="H144" s="1">
        <v>45292</v>
      </c>
      <c r="I144">
        <v>214.99</v>
      </c>
      <c r="J144" s="1">
        <v>44927</v>
      </c>
      <c r="K144">
        <v>10.75</v>
      </c>
      <c r="L144">
        <v>5</v>
      </c>
      <c r="M144" s="2">
        <f t="shared" si="2"/>
        <v>5.0002325689566952E-2</v>
      </c>
    </row>
    <row r="145" spans="1:13" x14ac:dyDescent="0.25">
      <c r="A145" t="s">
        <v>11</v>
      </c>
      <c r="B145" t="s">
        <v>78</v>
      </c>
      <c r="C145">
        <v>3844</v>
      </c>
      <c r="D145" t="s">
        <v>79</v>
      </c>
      <c r="E145">
        <v>34200134</v>
      </c>
      <c r="F145" t="s">
        <v>178</v>
      </c>
      <c r="G145">
        <v>178.51</v>
      </c>
      <c r="H145" s="1">
        <v>45292</v>
      </c>
      <c r="I145">
        <v>170.01</v>
      </c>
      <c r="J145" s="1">
        <v>44927</v>
      </c>
      <c r="K145">
        <v>8.5</v>
      </c>
      <c r="L145">
        <v>4.99</v>
      </c>
      <c r="M145" s="2">
        <f t="shared" si="2"/>
        <v>4.999705899652962E-2</v>
      </c>
    </row>
    <row r="146" spans="1:13" x14ac:dyDescent="0.25">
      <c r="A146" t="s">
        <v>11</v>
      </c>
      <c r="B146" t="s">
        <v>78</v>
      </c>
      <c r="C146">
        <v>3844</v>
      </c>
      <c r="D146" t="s">
        <v>79</v>
      </c>
      <c r="E146">
        <v>34200135</v>
      </c>
      <c r="F146" t="s">
        <v>179</v>
      </c>
      <c r="G146">
        <v>146.19</v>
      </c>
      <c r="H146" s="1">
        <v>45292</v>
      </c>
      <c r="I146">
        <v>139.22999999999999</v>
      </c>
      <c r="J146" s="1">
        <v>44927</v>
      </c>
      <c r="K146">
        <v>6.96</v>
      </c>
      <c r="L146">
        <v>4.99</v>
      </c>
      <c r="M146" s="2">
        <f t="shared" si="2"/>
        <v>4.9989226459814698E-2</v>
      </c>
    </row>
    <row r="147" spans="1:13" x14ac:dyDescent="0.25">
      <c r="A147" t="s">
        <v>11</v>
      </c>
      <c r="B147" t="s">
        <v>78</v>
      </c>
      <c r="C147">
        <v>3844</v>
      </c>
      <c r="D147" t="s">
        <v>79</v>
      </c>
      <c r="E147">
        <v>34200136</v>
      </c>
      <c r="F147" t="s">
        <v>98</v>
      </c>
      <c r="G147">
        <v>77.73</v>
      </c>
      <c r="H147" s="1">
        <v>45292</v>
      </c>
      <c r="I147">
        <v>74.03</v>
      </c>
      <c r="J147" s="1">
        <v>44927</v>
      </c>
      <c r="K147">
        <v>3.7</v>
      </c>
      <c r="L147">
        <v>4.99</v>
      </c>
      <c r="M147" s="2">
        <f t="shared" si="2"/>
        <v>4.997973794407673E-2</v>
      </c>
    </row>
    <row r="148" spans="1:13" x14ac:dyDescent="0.25">
      <c r="A148" t="s">
        <v>11</v>
      </c>
      <c r="B148" t="s">
        <v>78</v>
      </c>
      <c r="C148">
        <v>3844</v>
      </c>
      <c r="D148" t="s">
        <v>79</v>
      </c>
      <c r="E148">
        <v>34200137</v>
      </c>
      <c r="F148" t="s">
        <v>180</v>
      </c>
      <c r="G148">
        <v>68.91</v>
      </c>
      <c r="H148" s="1">
        <v>45292</v>
      </c>
      <c r="I148">
        <v>65.63</v>
      </c>
      <c r="J148" s="1">
        <v>44927</v>
      </c>
      <c r="K148">
        <v>3.28</v>
      </c>
      <c r="L148">
        <v>4.99</v>
      </c>
      <c r="M148" s="2">
        <f t="shared" si="2"/>
        <v>4.997714459850678E-2</v>
      </c>
    </row>
    <row r="149" spans="1:13" x14ac:dyDescent="0.25">
      <c r="A149" t="s">
        <v>11</v>
      </c>
      <c r="B149" t="s">
        <v>78</v>
      </c>
      <c r="C149">
        <v>3844</v>
      </c>
      <c r="D149" t="s">
        <v>79</v>
      </c>
      <c r="E149">
        <v>34200138</v>
      </c>
      <c r="F149" t="s">
        <v>181</v>
      </c>
      <c r="G149">
        <v>180.31</v>
      </c>
      <c r="H149" s="1">
        <v>45292</v>
      </c>
      <c r="I149">
        <v>171.72</v>
      </c>
      <c r="J149" s="1">
        <v>44927</v>
      </c>
      <c r="K149">
        <v>8.59</v>
      </c>
      <c r="L149">
        <v>5</v>
      </c>
      <c r="M149" s="2">
        <f t="shared" si="2"/>
        <v>5.0023293733985556E-2</v>
      </c>
    </row>
    <row r="150" spans="1:13" x14ac:dyDescent="0.25">
      <c r="A150" t="s">
        <v>11</v>
      </c>
      <c r="B150" t="s">
        <v>78</v>
      </c>
      <c r="C150">
        <v>3844</v>
      </c>
      <c r="D150" t="s">
        <v>79</v>
      </c>
      <c r="E150">
        <v>34200139</v>
      </c>
      <c r="F150" t="s">
        <v>182</v>
      </c>
      <c r="G150">
        <v>166.54</v>
      </c>
      <c r="H150" s="1">
        <v>45292</v>
      </c>
      <c r="I150">
        <v>158.61000000000001</v>
      </c>
      <c r="J150" s="1">
        <v>44927</v>
      </c>
      <c r="K150">
        <v>7.93</v>
      </c>
      <c r="L150">
        <v>4.99</v>
      </c>
      <c r="M150" s="2">
        <f t="shared" si="2"/>
        <v>4.9996847613643522E-2</v>
      </c>
    </row>
    <row r="151" spans="1:13" x14ac:dyDescent="0.25">
      <c r="A151" t="s">
        <v>11</v>
      </c>
      <c r="B151" t="s">
        <v>78</v>
      </c>
      <c r="C151">
        <v>3844</v>
      </c>
      <c r="D151" t="s">
        <v>79</v>
      </c>
      <c r="E151">
        <v>34200140</v>
      </c>
      <c r="F151" t="s">
        <v>183</v>
      </c>
      <c r="G151">
        <v>158.80000000000001</v>
      </c>
      <c r="H151" s="1">
        <v>45292</v>
      </c>
      <c r="I151">
        <v>151.24</v>
      </c>
      <c r="J151" s="1">
        <v>44927</v>
      </c>
      <c r="K151">
        <v>7.56</v>
      </c>
      <c r="L151">
        <v>4.99</v>
      </c>
      <c r="M151" s="2">
        <f t="shared" si="2"/>
        <v>4.9986775985189101E-2</v>
      </c>
    </row>
    <row r="152" spans="1:13" x14ac:dyDescent="0.25">
      <c r="A152" t="s">
        <v>11</v>
      </c>
      <c r="B152" t="s">
        <v>78</v>
      </c>
      <c r="C152">
        <v>3844</v>
      </c>
      <c r="D152" t="s">
        <v>79</v>
      </c>
      <c r="E152">
        <v>34200141</v>
      </c>
      <c r="F152" t="s">
        <v>184</v>
      </c>
      <c r="G152">
        <v>179.16</v>
      </c>
      <c r="H152" s="1">
        <v>45292</v>
      </c>
      <c r="I152">
        <v>170.63</v>
      </c>
      <c r="J152" s="1">
        <v>44927</v>
      </c>
      <c r="K152">
        <v>8.5299999999999994</v>
      </c>
      <c r="L152">
        <v>4.99</v>
      </c>
      <c r="M152" s="2">
        <f t="shared" si="2"/>
        <v>4.9991209048819082E-2</v>
      </c>
    </row>
    <row r="153" spans="1:13" x14ac:dyDescent="0.25">
      <c r="A153" t="s">
        <v>11</v>
      </c>
      <c r="B153" t="s">
        <v>78</v>
      </c>
      <c r="C153">
        <v>3844</v>
      </c>
      <c r="D153" t="s">
        <v>79</v>
      </c>
      <c r="E153">
        <v>34200142</v>
      </c>
      <c r="F153" t="s">
        <v>185</v>
      </c>
      <c r="G153">
        <v>200.66</v>
      </c>
      <c r="H153" s="1">
        <v>45292</v>
      </c>
      <c r="I153">
        <v>191.1</v>
      </c>
      <c r="J153" s="1">
        <v>44927</v>
      </c>
      <c r="K153">
        <v>9.56</v>
      </c>
      <c r="L153">
        <v>5</v>
      </c>
      <c r="M153" s="2">
        <f t="shared" si="2"/>
        <v>5.0026164311878604E-2</v>
      </c>
    </row>
    <row r="154" spans="1:13" x14ac:dyDescent="0.25">
      <c r="A154" t="s">
        <v>11</v>
      </c>
      <c r="B154" t="s">
        <v>78</v>
      </c>
      <c r="C154">
        <v>3844</v>
      </c>
      <c r="D154" t="s">
        <v>79</v>
      </c>
      <c r="E154">
        <v>34200143</v>
      </c>
      <c r="F154" t="s">
        <v>186</v>
      </c>
      <c r="G154">
        <v>200.66</v>
      </c>
      <c r="H154" s="1">
        <v>45292</v>
      </c>
      <c r="I154">
        <v>191.1</v>
      </c>
      <c r="J154" s="1">
        <v>44927</v>
      </c>
      <c r="K154">
        <v>9.56</v>
      </c>
      <c r="L154">
        <v>5</v>
      </c>
      <c r="M154" s="2">
        <f t="shared" si="2"/>
        <v>5.0026164311878604E-2</v>
      </c>
    </row>
    <row r="155" spans="1:13" x14ac:dyDescent="0.25">
      <c r="A155" t="s">
        <v>11</v>
      </c>
      <c r="B155" t="s">
        <v>78</v>
      </c>
      <c r="C155">
        <v>3844</v>
      </c>
      <c r="D155" t="s">
        <v>79</v>
      </c>
      <c r="E155">
        <v>34200144</v>
      </c>
      <c r="F155" t="s">
        <v>187</v>
      </c>
      <c r="G155">
        <v>200.66</v>
      </c>
      <c r="H155" s="1">
        <v>45292</v>
      </c>
      <c r="I155">
        <v>191.1</v>
      </c>
      <c r="J155" s="1">
        <v>44927</v>
      </c>
      <c r="K155">
        <v>9.56</v>
      </c>
      <c r="L155">
        <v>5</v>
      </c>
      <c r="M155" s="2">
        <f t="shared" si="2"/>
        <v>5.0026164311878604E-2</v>
      </c>
    </row>
    <row r="156" spans="1:13" x14ac:dyDescent="0.25">
      <c r="A156" t="s">
        <v>11</v>
      </c>
      <c r="B156" t="s">
        <v>78</v>
      </c>
      <c r="C156">
        <v>3844</v>
      </c>
      <c r="D156" t="s">
        <v>79</v>
      </c>
      <c r="E156">
        <v>34200145</v>
      </c>
      <c r="F156" t="s">
        <v>188</v>
      </c>
      <c r="G156">
        <v>494.67</v>
      </c>
      <c r="H156" s="1">
        <v>45292</v>
      </c>
      <c r="I156">
        <v>471.11</v>
      </c>
      <c r="J156" s="1">
        <v>44927</v>
      </c>
      <c r="K156">
        <v>23.56</v>
      </c>
      <c r="L156">
        <v>5</v>
      </c>
      <c r="M156" s="2">
        <f t="shared" si="2"/>
        <v>5.0009551909320535E-2</v>
      </c>
    </row>
    <row r="157" spans="1:13" x14ac:dyDescent="0.25">
      <c r="A157" t="s">
        <v>11</v>
      </c>
      <c r="B157" t="s">
        <v>78</v>
      </c>
      <c r="C157">
        <v>3844</v>
      </c>
      <c r="D157" t="s">
        <v>79</v>
      </c>
      <c r="E157">
        <v>34200146</v>
      </c>
      <c r="F157" t="s">
        <v>189</v>
      </c>
      <c r="G157">
        <v>560.55999999999995</v>
      </c>
      <c r="H157" s="1">
        <v>45292</v>
      </c>
      <c r="I157">
        <v>533.87</v>
      </c>
      <c r="J157" s="1">
        <v>44927</v>
      </c>
      <c r="K157">
        <v>26.69</v>
      </c>
      <c r="L157">
        <v>4.99</v>
      </c>
      <c r="M157" s="2">
        <f t="shared" si="2"/>
        <v>4.9993444096877518E-2</v>
      </c>
    </row>
    <row r="158" spans="1:13" x14ac:dyDescent="0.25">
      <c r="A158" t="s">
        <v>11</v>
      </c>
      <c r="B158" t="s">
        <v>78</v>
      </c>
      <c r="C158">
        <v>3844</v>
      </c>
      <c r="D158" t="s">
        <v>79</v>
      </c>
      <c r="E158">
        <v>34200147</v>
      </c>
      <c r="F158" t="s">
        <v>190</v>
      </c>
      <c r="G158">
        <v>578.80999999999995</v>
      </c>
      <c r="H158" s="1">
        <v>45292</v>
      </c>
      <c r="I158">
        <v>551.25</v>
      </c>
      <c r="J158" s="1">
        <v>44927</v>
      </c>
      <c r="K158">
        <v>27.56</v>
      </c>
      <c r="L158">
        <v>4.99</v>
      </c>
      <c r="M158" s="2">
        <f t="shared" si="2"/>
        <v>4.999546485260771E-2</v>
      </c>
    </row>
    <row r="159" spans="1:13" x14ac:dyDescent="0.25">
      <c r="A159" t="s">
        <v>11</v>
      </c>
      <c r="B159" t="s">
        <v>78</v>
      </c>
      <c r="C159">
        <v>3844</v>
      </c>
      <c r="D159" t="s">
        <v>79</v>
      </c>
      <c r="E159">
        <v>34200148</v>
      </c>
      <c r="F159" t="s">
        <v>191</v>
      </c>
      <c r="G159">
        <v>578.80999999999995</v>
      </c>
      <c r="H159" s="1">
        <v>45292</v>
      </c>
      <c r="I159">
        <v>551.25</v>
      </c>
      <c r="J159" s="1">
        <v>44927</v>
      </c>
      <c r="K159">
        <v>27.56</v>
      </c>
      <c r="L159">
        <v>4.99</v>
      </c>
      <c r="M159" s="2">
        <f t="shared" si="2"/>
        <v>4.999546485260771E-2</v>
      </c>
    </row>
    <row r="160" spans="1:13" x14ac:dyDescent="0.25">
      <c r="A160" t="s">
        <v>11</v>
      </c>
      <c r="B160" t="s">
        <v>78</v>
      </c>
      <c r="C160">
        <v>3844</v>
      </c>
      <c r="D160" t="s">
        <v>79</v>
      </c>
      <c r="E160">
        <v>34200149</v>
      </c>
      <c r="F160" t="s">
        <v>192</v>
      </c>
      <c r="G160">
        <v>578.80999999999995</v>
      </c>
      <c r="H160" s="1">
        <v>45292</v>
      </c>
      <c r="I160">
        <v>551.25</v>
      </c>
      <c r="J160" s="1">
        <v>44927</v>
      </c>
      <c r="K160">
        <v>27.56</v>
      </c>
      <c r="L160">
        <v>4.99</v>
      </c>
      <c r="M160" s="2">
        <f t="shared" si="2"/>
        <v>4.999546485260771E-2</v>
      </c>
    </row>
    <row r="161" spans="1:13" x14ac:dyDescent="0.25">
      <c r="A161" t="s">
        <v>11</v>
      </c>
      <c r="B161" t="s">
        <v>78</v>
      </c>
      <c r="C161">
        <v>3844</v>
      </c>
      <c r="D161" t="s">
        <v>79</v>
      </c>
      <c r="E161">
        <v>34200150</v>
      </c>
      <c r="F161" t="s">
        <v>193</v>
      </c>
      <c r="G161">
        <v>578.80999999999995</v>
      </c>
      <c r="H161" s="1">
        <v>45292</v>
      </c>
      <c r="I161">
        <v>551.25</v>
      </c>
      <c r="J161" s="1">
        <v>44927</v>
      </c>
      <c r="K161">
        <v>27.56</v>
      </c>
      <c r="L161">
        <v>4.99</v>
      </c>
      <c r="M161" s="2">
        <f t="shared" si="2"/>
        <v>4.999546485260771E-2</v>
      </c>
    </row>
    <row r="162" spans="1:13" x14ac:dyDescent="0.25">
      <c r="A162" t="s">
        <v>11</v>
      </c>
      <c r="B162" t="s">
        <v>78</v>
      </c>
      <c r="C162">
        <v>3844</v>
      </c>
      <c r="D162" t="s">
        <v>79</v>
      </c>
      <c r="E162">
        <v>34200151</v>
      </c>
      <c r="F162" t="s">
        <v>194</v>
      </c>
      <c r="G162">
        <v>117.21</v>
      </c>
      <c r="H162" s="1">
        <v>45292</v>
      </c>
      <c r="I162">
        <v>111.63</v>
      </c>
      <c r="J162" s="1">
        <v>44927</v>
      </c>
      <c r="K162">
        <v>5.58</v>
      </c>
      <c r="L162">
        <v>4.99</v>
      </c>
      <c r="M162" s="2">
        <f t="shared" si="2"/>
        <v>4.9986562751948405E-2</v>
      </c>
    </row>
    <row r="163" spans="1:13" x14ac:dyDescent="0.25">
      <c r="A163" t="s">
        <v>11</v>
      </c>
      <c r="B163" t="s">
        <v>78</v>
      </c>
      <c r="C163">
        <v>3844</v>
      </c>
      <c r="D163" t="s">
        <v>79</v>
      </c>
      <c r="E163">
        <v>34200152</v>
      </c>
      <c r="F163" t="s">
        <v>195</v>
      </c>
      <c r="G163">
        <v>39.65</v>
      </c>
      <c r="H163" s="1">
        <v>45292</v>
      </c>
      <c r="I163">
        <v>37.76</v>
      </c>
      <c r="J163" s="1">
        <v>44927</v>
      </c>
      <c r="K163">
        <v>1.89</v>
      </c>
      <c r="L163">
        <v>5</v>
      </c>
      <c r="M163" s="2">
        <f t="shared" si="2"/>
        <v>5.0052966101694914E-2</v>
      </c>
    </row>
    <row r="164" spans="1:13" x14ac:dyDescent="0.25">
      <c r="A164" t="s">
        <v>11</v>
      </c>
      <c r="B164" t="s">
        <v>78</v>
      </c>
      <c r="C164">
        <v>3844</v>
      </c>
      <c r="D164" t="s">
        <v>79</v>
      </c>
      <c r="E164">
        <v>34200153</v>
      </c>
      <c r="F164" t="s">
        <v>196</v>
      </c>
      <c r="G164">
        <v>27.56</v>
      </c>
      <c r="H164" s="1">
        <v>45292</v>
      </c>
      <c r="I164">
        <v>26.25</v>
      </c>
      <c r="J164" s="1">
        <v>44927</v>
      </c>
      <c r="K164">
        <v>1.31</v>
      </c>
      <c r="L164">
        <v>4.99</v>
      </c>
      <c r="M164" s="2">
        <f t="shared" si="2"/>
        <v>4.990476190476191E-2</v>
      </c>
    </row>
    <row r="165" spans="1:13" x14ac:dyDescent="0.25">
      <c r="A165" t="s">
        <v>11</v>
      </c>
      <c r="B165" t="s">
        <v>78</v>
      </c>
      <c r="C165">
        <v>3844</v>
      </c>
      <c r="D165" t="s">
        <v>79</v>
      </c>
      <c r="E165">
        <v>34200154</v>
      </c>
      <c r="F165" t="s">
        <v>197</v>
      </c>
      <c r="G165">
        <v>334.87</v>
      </c>
      <c r="H165" s="1">
        <v>45292</v>
      </c>
      <c r="I165">
        <v>318.92</v>
      </c>
      <c r="J165" s="1">
        <v>44927</v>
      </c>
      <c r="K165">
        <v>15.95</v>
      </c>
      <c r="L165">
        <v>5</v>
      </c>
      <c r="M165" s="2">
        <f t="shared" si="2"/>
        <v>5.0012542330364979E-2</v>
      </c>
    </row>
    <row r="166" spans="1:13" x14ac:dyDescent="0.25">
      <c r="A166" t="s">
        <v>11</v>
      </c>
      <c r="B166" t="s">
        <v>78</v>
      </c>
      <c r="C166">
        <v>3844</v>
      </c>
      <c r="D166" t="s">
        <v>79</v>
      </c>
      <c r="E166">
        <v>34200155</v>
      </c>
      <c r="F166" t="s">
        <v>198</v>
      </c>
      <c r="G166">
        <v>364.65</v>
      </c>
      <c r="H166" s="1">
        <v>45292</v>
      </c>
      <c r="I166">
        <v>347.29</v>
      </c>
      <c r="J166" s="1">
        <v>44927</v>
      </c>
      <c r="K166">
        <v>17.36</v>
      </c>
      <c r="L166">
        <v>4.99</v>
      </c>
      <c r="M166" s="2">
        <f t="shared" si="2"/>
        <v>4.9987042529298274E-2</v>
      </c>
    </row>
    <row r="167" spans="1:13" x14ac:dyDescent="0.25">
      <c r="A167" t="s">
        <v>11</v>
      </c>
      <c r="B167" t="s">
        <v>78</v>
      </c>
      <c r="C167">
        <v>3844</v>
      </c>
      <c r="D167" t="s">
        <v>79</v>
      </c>
      <c r="E167">
        <v>34200156</v>
      </c>
      <c r="F167" t="s">
        <v>199</v>
      </c>
      <c r="G167">
        <v>103.32</v>
      </c>
      <c r="H167" s="1">
        <v>45292</v>
      </c>
      <c r="I167">
        <v>98.4</v>
      </c>
      <c r="J167" s="1">
        <v>44927</v>
      </c>
      <c r="K167">
        <v>4.92</v>
      </c>
      <c r="L167">
        <v>5</v>
      </c>
      <c r="M167" s="2">
        <f t="shared" si="2"/>
        <v>4.9999999999999996E-2</v>
      </c>
    </row>
    <row r="168" spans="1:13" x14ac:dyDescent="0.25">
      <c r="A168" t="s">
        <v>11</v>
      </c>
      <c r="B168" t="s">
        <v>78</v>
      </c>
      <c r="C168">
        <v>3844</v>
      </c>
      <c r="D168" t="s">
        <v>79</v>
      </c>
      <c r="E168">
        <v>34200157</v>
      </c>
      <c r="F168" t="s">
        <v>200</v>
      </c>
      <c r="G168">
        <v>104.48</v>
      </c>
      <c r="H168" s="1">
        <v>45292</v>
      </c>
      <c r="I168">
        <v>99.5</v>
      </c>
      <c r="J168" s="1">
        <v>44927</v>
      </c>
      <c r="K168">
        <v>4.9800000000000004</v>
      </c>
      <c r="L168">
        <v>5</v>
      </c>
      <c r="M168" s="2">
        <f t="shared" si="2"/>
        <v>5.005025125628141E-2</v>
      </c>
    </row>
    <row r="169" spans="1:13" x14ac:dyDescent="0.25">
      <c r="A169" t="s">
        <v>11</v>
      </c>
      <c r="B169" t="s">
        <v>78</v>
      </c>
      <c r="C169">
        <v>3844</v>
      </c>
      <c r="D169" t="s">
        <v>79</v>
      </c>
      <c r="E169">
        <v>34200158</v>
      </c>
      <c r="F169" t="s">
        <v>201</v>
      </c>
      <c r="G169">
        <v>214.99</v>
      </c>
      <c r="H169" s="1">
        <v>45292</v>
      </c>
      <c r="I169">
        <v>204.75</v>
      </c>
      <c r="J169" s="1">
        <v>44927</v>
      </c>
      <c r="K169">
        <v>10.24</v>
      </c>
      <c r="L169">
        <v>5</v>
      </c>
      <c r="M169" s="2">
        <f t="shared" si="2"/>
        <v>5.0012210012210012E-2</v>
      </c>
    </row>
    <row r="170" spans="1:13" x14ac:dyDescent="0.25">
      <c r="A170" t="s">
        <v>11</v>
      </c>
      <c r="B170" t="s">
        <v>78</v>
      </c>
      <c r="C170">
        <v>3844</v>
      </c>
      <c r="D170" t="s">
        <v>79</v>
      </c>
      <c r="E170">
        <v>34200159</v>
      </c>
      <c r="F170" t="s">
        <v>195</v>
      </c>
      <c r="G170">
        <v>39.65</v>
      </c>
      <c r="H170" s="1">
        <v>45292</v>
      </c>
      <c r="I170">
        <v>37.76</v>
      </c>
      <c r="J170" s="1">
        <v>44927</v>
      </c>
      <c r="K170">
        <v>1.89</v>
      </c>
      <c r="L170">
        <v>5</v>
      </c>
      <c r="M170" s="2">
        <f t="shared" si="2"/>
        <v>5.0052966101694914E-2</v>
      </c>
    </row>
    <row r="171" spans="1:13" x14ac:dyDescent="0.25">
      <c r="A171" t="s">
        <v>11</v>
      </c>
      <c r="B171" t="s">
        <v>78</v>
      </c>
      <c r="C171">
        <v>3844</v>
      </c>
      <c r="D171" t="s">
        <v>79</v>
      </c>
      <c r="E171">
        <v>34200160</v>
      </c>
      <c r="F171" t="s">
        <v>202</v>
      </c>
      <c r="G171">
        <v>214.99</v>
      </c>
      <c r="H171" s="1">
        <v>45292</v>
      </c>
      <c r="I171">
        <v>204.75</v>
      </c>
      <c r="J171" s="1">
        <v>44927</v>
      </c>
      <c r="K171">
        <v>10.24</v>
      </c>
      <c r="L171">
        <v>5</v>
      </c>
      <c r="M171" s="2">
        <f t="shared" si="2"/>
        <v>5.0012210012210012E-2</v>
      </c>
    </row>
    <row r="172" spans="1:13" x14ac:dyDescent="0.25">
      <c r="A172" t="s">
        <v>11</v>
      </c>
      <c r="B172" t="s">
        <v>78</v>
      </c>
      <c r="C172">
        <v>3844</v>
      </c>
      <c r="D172" t="s">
        <v>79</v>
      </c>
      <c r="E172">
        <v>34200161</v>
      </c>
      <c r="F172" t="s">
        <v>200</v>
      </c>
      <c r="G172">
        <v>218.7</v>
      </c>
      <c r="H172" s="1">
        <v>45292</v>
      </c>
      <c r="I172">
        <v>208.29</v>
      </c>
      <c r="J172" s="1">
        <v>44927</v>
      </c>
      <c r="K172">
        <v>10.41</v>
      </c>
      <c r="L172">
        <v>4.99</v>
      </c>
      <c r="M172" s="2">
        <f t="shared" si="2"/>
        <v>4.9978395506265302E-2</v>
      </c>
    </row>
    <row r="173" spans="1:13" x14ac:dyDescent="0.25">
      <c r="A173" t="s">
        <v>11</v>
      </c>
      <c r="B173" t="s">
        <v>78</v>
      </c>
      <c r="C173">
        <v>3844</v>
      </c>
      <c r="D173" t="s">
        <v>79</v>
      </c>
      <c r="E173">
        <v>34200162</v>
      </c>
      <c r="F173" t="s">
        <v>203</v>
      </c>
      <c r="G173">
        <v>92.06</v>
      </c>
      <c r="H173" s="1">
        <v>45292</v>
      </c>
      <c r="I173">
        <v>87.68</v>
      </c>
      <c r="J173" s="1">
        <v>44927</v>
      </c>
      <c r="K173">
        <v>4.38</v>
      </c>
      <c r="L173">
        <v>4.99</v>
      </c>
      <c r="M173" s="2">
        <f t="shared" si="2"/>
        <v>4.9954379562043794E-2</v>
      </c>
    </row>
    <row r="174" spans="1:13" x14ac:dyDescent="0.25">
      <c r="A174" t="s">
        <v>11</v>
      </c>
      <c r="B174" t="s">
        <v>78</v>
      </c>
      <c r="C174">
        <v>3844</v>
      </c>
      <c r="D174" t="s">
        <v>79</v>
      </c>
      <c r="E174">
        <v>34200163</v>
      </c>
      <c r="F174" t="s">
        <v>204</v>
      </c>
      <c r="G174">
        <v>96.47</v>
      </c>
      <c r="H174" s="1">
        <v>45292</v>
      </c>
      <c r="I174">
        <v>91.88</v>
      </c>
      <c r="J174" s="1">
        <v>44927</v>
      </c>
      <c r="K174">
        <v>4.59</v>
      </c>
      <c r="L174">
        <v>4.99</v>
      </c>
      <c r="M174" s="2">
        <f t="shared" si="2"/>
        <v>4.9956464954288203E-2</v>
      </c>
    </row>
    <row r="175" spans="1:13" x14ac:dyDescent="0.25">
      <c r="A175" t="s">
        <v>11</v>
      </c>
      <c r="B175" t="s">
        <v>78</v>
      </c>
      <c r="C175">
        <v>3844</v>
      </c>
      <c r="D175" t="s">
        <v>79</v>
      </c>
      <c r="E175">
        <v>34200171</v>
      </c>
      <c r="F175" t="s">
        <v>205</v>
      </c>
      <c r="G175">
        <v>86.93</v>
      </c>
      <c r="H175" s="1">
        <v>45292</v>
      </c>
      <c r="I175">
        <v>82.79</v>
      </c>
      <c r="J175" s="1">
        <v>44927</v>
      </c>
      <c r="K175">
        <v>4.1399999999999997</v>
      </c>
      <c r="L175">
        <v>5</v>
      </c>
      <c r="M175" s="2">
        <f t="shared" si="2"/>
        <v>5.0006039376736311E-2</v>
      </c>
    </row>
    <row r="176" spans="1:13" x14ac:dyDescent="0.25">
      <c r="A176" t="s">
        <v>11</v>
      </c>
      <c r="B176" t="s">
        <v>78</v>
      </c>
      <c r="C176">
        <v>3844</v>
      </c>
      <c r="D176" t="s">
        <v>79</v>
      </c>
      <c r="E176">
        <v>34200172</v>
      </c>
      <c r="F176" t="s">
        <v>206</v>
      </c>
      <c r="G176">
        <v>131.9</v>
      </c>
      <c r="H176" s="1">
        <v>45292</v>
      </c>
      <c r="I176">
        <v>125.62</v>
      </c>
      <c r="J176" s="1">
        <v>44927</v>
      </c>
      <c r="K176">
        <v>6.28</v>
      </c>
      <c r="L176">
        <v>4.99</v>
      </c>
      <c r="M176" s="2">
        <f t="shared" si="2"/>
        <v>4.9992039484158576E-2</v>
      </c>
    </row>
    <row r="177" spans="1:13" x14ac:dyDescent="0.25">
      <c r="A177" t="s">
        <v>11</v>
      </c>
      <c r="B177" t="s">
        <v>78</v>
      </c>
      <c r="C177">
        <v>3844</v>
      </c>
      <c r="D177" t="s">
        <v>79</v>
      </c>
      <c r="E177">
        <v>34210000</v>
      </c>
      <c r="F177" t="s">
        <v>109</v>
      </c>
      <c r="G177">
        <v>90.02</v>
      </c>
      <c r="H177" s="1">
        <v>45292</v>
      </c>
      <c r="I177">
        <v>85.73</v>
      </c>
      <c r="J177" s="1">
        <v>44927</v>
      </c>
      <c r="K177">
        <v>4.29</v>
      </c>
      <c r="L177">
        <v>5</v>
      </c>
      <c r="M177" s="2">
        <f t="shared" si="2"/>
        <v>5.0040825848594421E-2</v>
      </c>
    </row>
    <row r="178" spans="1:13" x14ac:dyDescent="0.25">
      <c r="A178" t="s">
        <v>11</v>
      </c>
      <c r="B178" t="s">
        <v>78</v>
      </c>
      <c r="C178">
        <v>3844</v>
      </c>
      <c r="D178" t="s">
        <v>79</v>
      </c>
      <c r="E178">
        <v>34210005</v>
      </c>
      <c r="F178" t="s">
        <v>95</v>
      </c>
      <c r="G178">
        <v>76.66</v>
      </c>
      <c r="H178" s="1">
        <v>45292</v>
      </c>
      <c r="I178">
        <v>73.010000000000005</v>
      </c>
      <c r="J178" s="1">
        <v>44927</v>
      </c>
      <c r="K178">
        <v>3.65</v>
      </c>
      <c r="L178">
        <v>4.99</v>
      </c>
      <c r="M178" s="2">
        <f t="shared" si="2"/>
        <v>4.9993151623065328E-2</v>
      </c>
    </row>
    <row r="179" spans="1:13" x14ac:dyDescent="0.25">
      <c r="A179" t="s">
        <v>11</v>
      </c>
      <c r="B179" t="s">
        <v>78</v>
      </c>
      <c r="C179">
        <v>3844</v>
      </c>
      <c r="D179" t="s">
        <v>79</v>
      </c>
      <c r="E179">
        <v>34210035</v>
      </c>
      <c r="F179" t="s">
        <v>38</v>
      </c>
      <c r="G179">
        <v>111.44</v>
      </c>
      <c r="H179" s="1">
        <v>45292</v>
      </c>
      <c r="I179">
        <v>106.13</v>
      </c>
      <c r="J179" s="1">
        <v>44927</v>
      </c>
      <c r="K179">
        <v>5.31</v>
      </c>
      <c r="L179">
        <v>5</v>
      </c>
      <c r="M179" s="2">
        <f t="shared" si="2"/>
        <v>5.0032978422689153E-2</v>
      </c>
    </row>
    <row r="180" spans="1:13" x14ac:dyDescent="0.25">
      <c r="A180" t="s">
        <v>11</v>
      </c>
      <c r="B180" t="s">
        <v>78</v>
      </c>
      <c r="C180">
        <v>3844</v>
      </c>
      <c r="D180" t="s">
        <v>79</v>
      </c>
      <c r="E180">
        <v>34210040</v>
      </c>
      <c r="F180" t="s">
        <v>108</v>
      </c>
      <c r="G180">
        <v>91.74</v>
      </c>
      <c r="H180" s="1">
        <v>45292</v>
      </c>
      <c r="I180">
        <v>87.37</v>
      </c>
      <c r="J180" s="1">
        <v>44927</v>
      </c>
      <c r="K180">
        <v>4.37</v>
      </c>
      <c r="L180">
        <v>5</v>
      </c>
      <c r="M180" s="2">
        <f t="shared" si="2"/>
        <v>5.0017168364427149E-2</v>
      </c>
    </row>
    <row r="181" spans="1:13" x14ac:dyDescent="0.25">
      <c r="A181" t="s">
        <v>11</v>
      </c>
      <c r="B181" t="s">
        <v>78</v>
      </c>
      <c r="C181">
        <v>3844</v>
      </c>
      <c r="D181" t="s">
        <v>79</v>
      </c>
      <c r="E181">
        <v>34210053</v>
      </c>
      <c r="F181" t="s">
        <v>39</v>
      </c>
      <c r="G181">
        <v>83.35</v>
      </c>
      <c r="H181" s="1">
        <v>45292</v>
      </c>
      <c r="I181">
        <v>79.38</v>
      </c>
      <c r="J181" s="1">
        <v>44927</v>
      </c>
      <c r="K181">
        <v>3.97</v>
      </c>
      <c r="L181">
        <v>5</v>
      </c>
      <c r="M181" s="2">
        <f t="shared" si="2"/>
        <v>5.0012597631645256E-2</v>
      </c>
    </row>
    <row r="182" spans="1:13" x14ac:dyDescent="0.25">
      <c r="A182" t="s">
        <v>11</v>
      </c>
      <c r="B182" t="s">
        <v>78</v>
      </c>
      <c r="C182">
        <v>3844</v>
      </c>
      <c r="D182" t="s">
        <v>79</v>
      </c>
      <c r="E182">
        <v>34210055</v>
      </c>
      <c r="F182" t="s">
        <v>207</v>
      </c>
      <c r="G182">
        <v>72.36</v>
      </c>
      <c r="H182" s="1">
        <v>45292</v>
      </c>
      <c r="I182">
        <v>68.91</v>
      </c>
      <c r="J182" s="1">
        <v>44927</v>
      </c>
      <c r="K182">
        <v>3.45</v>
      </c>
      <c r="L182">
        <v>5</v>
      </c>
      <c r="M182" s="2">
        <f t="shared" si="2"/>
        <v>5.0065302568567699E-2</v>
      </c>
    </row>
    <row r="183" spans="1:13" x14ac:dyDescent="0.25">
      <c r="A183" t="s">
        <v>11</v>
      </c>
      <c r="B183" t="s">
        <v>78</v>
      </c>
      <c r="C183">
        <v>3844</v>
      </c>
      <c r="D183" t="s">
        <v>79</v>
      </c>
      <c r="E183">
        <v>34210075</v>
      </c>
      <c r="F183" t="s">
        <v>23</v>
      </c>
      <c r="G183">
        <v>225.74</v>
      </c>
      <c r="H183" s="1">
        <v>45292</v>
      </c>
      <c r="I183">
        <v>214.99</v>
      </c>
      <c r="J183" s="1">
        <v>44927</v>
      </c>
      <c r="K183">
        <v>10.75</v>
      </c>
      <c r="L183">
        <v>5</v>
      </c>
      <c r="M183" s="2">
        <f t="shared" si="2"/>
        <v>5.0002325689566952E-2</v>
      </c>
    </row>
    <row r="184" spans="1:13" x14ac:dyDescent="0.25">
      <c r="A184" t="s">
        <v>11</v>
      </c>
      <c r="B184" t="s">
        <v>78</v>
      </c>
      <c r="C184">
        <v>3844</v>
      </c>
      <c r="D184" t="s">
        <v>79</v>
      </c>
      <c r="E184">
        <v>34210090</v>
      </c>
      <c r="F184" t="s">
        <v>30</v>
      </c>
      <c r="G184">
        <v>214.99</v>
      </c>
      <c r="H184" s="1">
        <v>45292</v>
      </c>
      <c r="I184">
        <v>204.75</v>
      </c>
      <c r="J184" s="1">
        <v>44927</v>
      </c>
      <c r="K184">
        <v>10.24</v>
      </c>
      <c r="L184">
        <v>5</v>
      </c>
      <c r="M184" s="2">
        <f t="shared" si="2"/>
        <v>5.0012210012210012E-2</v>
      </c>
    </row>
    <row r="185" spans="1:13" x14ac:dyDescent="0.25">
      <c r="A185" t="s">
        <v>11</v>
      </c>
      <c r="B185" t="s">
        <v>78</v>
      </c>
      <c r="C185">
        <v>3844</v>
      </c>
      <c r="D185" t="s">
        <v>79</v>
      </c>
      <c r="E185">
        <v>34210130</v>
      </c>
      <c r="F185" t="s">
        <v>40</v>
      </c>
      <c r="G185">
        <v>81.62</v>
      </c>
      <c r="H185" s="1">
        <v>45292</v>
      </c>
      <c r="I185">
        <v>77.73</v>
      </c>
      <c r="J185" s="1">
        <v>44927</v>
      </c>
      <c r="K185">
        <v>3.89</v>
      </c>
      <c r="L185">
        <v>5</v>
      </c>
      <c r="M185" s="2">
        <f t="shared" si="2"/>
        <v>5.0045027659848189E-2</v>
      </c>
    </row>
    <row r="186" spans="1:13" x14ac:dyDescent="0.25">
      <c r="A186" t="s">
        <v>11</v>
      </c>
      <c r="B186" t="s">
        <v>78</v>
      </c>
      <c r="C186">
        <v>3844</v>
      </c>
      <c r="D186" t="s">
        <v>79</v>
      </c>
      <c r="E186">
        <v>34210131</v>
      </c>
      <c r="F186" t="s">
        <v>41</v>
      </c>
      <c r="G186">
        <v>81.62</v>
      </c>
      <c r="H186" s="1">
        <v>45292</v>
      </c>
      <c r="I186">
        <v>77.73</v>
      </c>
      <c r="J186" s="1">
        <v>44927</v>
      </c>
      <c r="K186">
        <v>3.89</v>
      </c>
      <c r="L186">
        <v>5</v>
      </c>
      <c r="M186" s="2">
        <f t="shared" si="2"/>
        <v>5.0045027659848189E-2</v>
      </c>
    </row>
    <row r="187" spans="1:13" x14ac:dyDescent="0.25">
      <c r="A187" t="s">
        <v>11</v>
      </c>
      <c r="B187" t="s">
        <v>78</v>
      </c>
      <c r="C187">
        <v>3844</v>
      </c>
      <c r="D187" t="s">
        <v>79</v>
      </c>
      <c r="E187">
        <v>34210150</v>
      </c>
      <c r="F187" t="s">
        <v>28</v>
      </c>
      <c r="G187">
        <v>225.74</v>
      </c>
      <c r="H187" s="1">
        <v>45292</v>
      </c>
      <c r="I187">
        <v>214.99</v>
      </c>
      <c r="J187" s="1">
        <v>44927</v>
      </c>
      <c r="K187">
        <v>10.75</v>
      </c>
      <c r="L187">
        <v>5</v>
      </c>
      <c r="M187" s="2">
        <f t="shared" si="2"/>
        <v>5.0002325689566952E-2</v>
      </c>
    </row>
    <row r="188" spans="1:13" x14ac:dyDescent="0.25">
      <c r="A188" t="s">
        <v>11</v>
      </c>
      <c r="B188" t="s">
        <v>78</v>
      </c>
      <c r="C188">
        <v>3844</v>
      </c>
      <c r="D188" t="s">
        <v>79</v>
      </c>
      <c r="E188">
        <v>34210195</v>
      </c>
      <c r="F188" t="s">
        <v>208</v>
      </c>
      <c r="G188">
        <v>46.67</v>
      </c>
      <c r="H188" s="1">
        <v>45292</v>
      </c>
      <c r="I188">
        <v>44.45</v>
      </c>
      <c r="J188" s="1">
        <v>44927</v>
      </c>
      <c r="K188">
        <v>2.2200000000000002</v>
      </c>
      <c r="L188">
        <v>4.99</v>
      </c>
      <c r="M188" s="2">
        <f t="shared" si="2"/>
        <v>4.9943757030371204E-2</v>
      </c>
    </row>
    <row r="189" spans="1:13" x14ac:dyDescent="0.25">
      <c r="A189" t="s">
        <v>11</v>
      </c>
      <c r="B189" t="s">
        <v>78</v>
      </c>
      <c r="C189">
        <v>3844</v>
      </c>
      <c r="D189" t="s">
        <v>79</v>
      </c>
      <c r="E189">
        <v>34210215</v>
      </c>
      <c r="F189" t="s">
        <v>25</v>
      </c>
      <c r="G189">
        <v>225.74</v>
      </c>
      <c r="H189" s="1">
        <v>45292</v>
      </c>
      <c r="I189">
        <v>214.99</v>
      </c>
      <c r="J189" s="1">
        <v>44927</v>
      </c>
      <c r="K189">
        <v>10.75</v>
      </c>
      <c r="L189">
        <v>5</v>
      </c>
      <c r="M189" s="2">
        <f t="shared" si="2"/>
        <v>5.0002325689566952E-2</v>
      </c>
    </row>
    <row r="190" spans="1:13" x14ac:dyDescent="0.25">
      <c r="A190" t="s">
        <v>11</v>
      </c>
      <c r="B190" t="s">
        <v>78</v>
      </c>
      <c r="C190">
        <v>3844</v>
      </c>
      <c r="D190" t="s">
        <v>79</v>
      </c>
      <c r="E190">
        <v>34210260</v>
      </c>
      <c r="F190" t="s">
        <v>110</v>
      </c>
      <c r="G190">
        <v>73.099999999999994</v>
      </c>
      <c r="H190" s="1">
        <v>45292</v>
      </c>
      <c r="I190">
        <v>69.62</v>
      </c>
      <c r="J190" s="1">
        <v>44927</v>
      </c>
      <c r="K190">
        <v>3.48</v>
      </c>
      <c r="L190">
        <v>4.99</v>
      </c>
      <c r="M190" s="2">
        <f t="shared" si="2"/>
        <v>4.9985636311404763E-2</v>
      </c>
    </row>
    <row r="191" spans="1:13" x14ac:dyDescent="0.25">
      <c r="A191" t="s">
        <v>11</v>
      </c>
      <c r="B191" t="s">
        <v>78</v>
      </c>
      <c r="C191">
        <v>3844</v>
      </c>
      <c r="D191" t="s">
        <v>79</v>
      </c>
      <c r="E191">
        <v>34210265</v>
      </c>
      <c r="F191" t="s">
        <v>42</v>
      </c>
      <c r="G191">
        <v>148.53</v>
      </c>
      <c r="H191" s="1">
        <v>45292</v>
      </c>
      <c r="I191">
        <v>141.46</v>
      </c>
      <c r="J191" s="1">
        <v>44927</v>
      </c>
      <c r="K191">
        <v>7.07</v>
      </c>
      <c r="L191">
        <v>4.99</v>
      </c>
      <c r="M191" s="2">
        <f t="shared" si="2"/>
        <v>4.9978792591545314E-2</v>
      </c>
    </row>
    <row r="192" spans="1:13" x14ac:dyDescent="0.25">
      <c r="A192" t="s">
        <v>11</v>
      </c>
      <c r="B192" t="s">
        <v>78</v>
      </c>
      <c r="C192">
        <v>3844</v>
      </c>
      <c r="D192" t="s">
        <v>79</v>
      </c>
      <c r="E192">
        <v>34210270</v>
      </c>
      <c r="F192" t="s">
        <v>43</v>
      </c>
      <c r="G192">
        <v>159.37</v>
      </c>
      <c r="H192" s="1">
        <v>45292</v>
      </c>
      <c r="I192">
        <v>151.78</v>
      </c>
      <c r="J192" s="1">
        <v>44927</v>
      </c>
      <c r="K192">
        <v>7.59</v>
      </c>
      <c r="L192">
        <v>5</v>
      </c>
      <c r="M192" s="2">
        <f t="shared" si="2"/>
        <v>5.0006588483331137E-2</v>
      </c>
    </row>
    <row r="193" spans="1:13" x14ac:dyDescent="0.25">
      <c r="A193" t="s">
        <v>11</v>
      </c>
      <c r="B193" t="s">
        <v>78</v>
      </c>
      <c r="C193">
        <v>3844</v>
      </c>
      <c r="D193" t="s">
        <v>79</v>
      </c>
      <c r="E193">
        <v>34210275</v>
      </c>
      <c r="F193" t="s">
        <v>44</v>
      </c>
      <c r="G193">
        <v>117.06</v>
      </c>
      <c r="H193" s="1">
        <v>45292</v>
      </c>
      <c r="I193">
        <v>111.49</v>
      </c>
      <c r="J193" s="1">
        <v>44927</v>
      </c>
      <c r="K193">
        <v>5.57</v>
      </c>
      <c r="L193">
        <v>4.99</v>
      </c>
      <c r="M193" s="2">
        <f t="shared" si="2"/>
        <v>4.9959637635662399E-2</v>
      </c>
    </row>
    <row r="194" spans="1:13" x14ac:dyDescent="0.25">
      <c r="A194" t="s">
        <v>11</v>
      </c>
      <c r="B194" t="s">
        <v>78</v>
      </c>
      <c r="C194">
        <v>3844</v>
      </c>
      <c r="D194" t="s">
        <v>79</v>
      </c>
      <c r="E194">
        <v>34210280</v>
      </c>
      <c r="F194" t="s">
        <v>45</v>
      </c>
      <c r="G194">
        <v>123.07</v>
      </c>
      <c r="H194" s="1">
        <v>45292</v>
      </c>
      <c r="I194">
        <v>117.21</v>
      </c>
      <c r="J194" s="1">
        <v>44927</v>
      </c>
      <c r="K194">
        <v>5.86</v>
      </c>
      <c r="L194">
        <v>4.99</v>
      </c>
      <c r="M194" s="2">
        <f t="shared" si="2"/>
        <v>4.9995734152376084E-2</v>
      </c>
    </row>
    <row r="195" spans="1:13" x14ac:dyDescent="0.25">
      <c r="A195" t="s">
        <v>11</v>
      </c>
      <c r="B195" t="s">
        <v>78</v>
      </c>
      <c r="C195">
        <v>3844</v>
      </c>
      <c r="D195" t="s">
        <v>79</v>
      </c>
      <c r="E195">
        <v>34210285</v>
      </c>
      <c r="F195" t="s">
        <v>46</v>
      </c>
      <c r="G195">
        <v>150.5</v>
      </c>
      <c r="H195" s="1">
        <v>45292</v>
      </c>
      <c r="I195">
        <v>143.33000000000001</v>
      </c>
      <c r="J195" s="1">
        <v>44927</v>
      </c>
      <c r="K195">
        <v>7.17</v>
      </c>
      <c r="L195">
        <v>5</v>
      </c>
      <c r="M195" s="2">
        <f t="shared" ref="M195:M258" si="3">K195/I195</f>
        <v>5.0024419172538893E-2</v>
      </c>
    </row>
    <row r="196" spans="1:13" x14ac:dyDescent="0.25">
      <c r="A196" t="s">
        <v>11</v>
      </c>
      <c r="B196" t="s">
        <v>78</v>
      </c>
      <c r="C196">
        <v>3844</v>
      </c>
      <c r="D196" t="s">
        <v>79</v>
      </c>
      <c r="E196">
        <v>34210290</v>
      </c>
      <c r="F196" t="s">
        <v>112</v>
      </c>
      <c r="G196">
        <v>146.19</v>
      </c>
      <c r="H196" s="1">
        <v>45292</v>
      </c>
      <c r="I196">
        <v>139.22999999999999</v>
      </c>
      <c r="J196" s="1">
        <v>44927</v>
      </c>
      <c r="K196">
        <v>6.96</v>
      </c>
      <c r="L196">
        <v>4.99</v>
      </c>
      <c r="M196" s="2">
        <f t="shared" si="3"/>
        <v>4.9989226459814698E-2</v>
      </c>
    </row>
    <row r="197" spans="1:13" x14ac:dyDescent="0.25">
      <c r="A197" t="s">
        <v>11</v>
      </c>
      <c r="B197" t="s">
        <v>78</v>
      </c>
      <c r="C197">
        <v>3844</v>
      </c>
      <c r="D197" t="s">
        <v>79</v>
      </c>
      <c r="E197">
        <v>34210300</v>
      </c>
      <c r="F197" t="s">
        <v>102</v>
      </c>
      <c r="G197">
        <v>127.25</v>
      </c>
      <c r="H197" s="1">
        <v>45292</v>
      </c>
      <c r="I197">
        <v>121.19</v>
      </c>
      <c r="J197" s="1">
        <v>44927</v>
      </c>
      <c r="K197">
        <v>6.06</v>
      </c>
      <c r="L197">
        <v>5</v>
      </c>
      <c r="M197" s="2">
        <f t="shared" si="3"/>
        <v>5.0004125752949914E-2</v>
      </c>
    </row>
    <row r="198" spans="1:13" x14ac:dyDescent="0.25">
      <c r="A198" t="s">
        <v>11</v>
      </c>
      <c r="B198" t="s">
        <v>78</v>
      </c>
      <c r="C198">
        <v>3844</v>
      </c>
      <c r="D198" t="s">
        <v>79</v>
      </c>
      <c r="E198">
        <v>34210305</v>
      </c>
      <c r="F198" t="s">
        <v>104</v>
      </c>
      <c r="G198">
        <v>144.13</v>
      </c>
      <c r="H198" s="1">
        <v>45292</v>
      </c>
      <c r="I198">
        <v>137.27000000000001</v>
      </c>
      <c r="J198" s="1">
        <v>44927</v>
      </c>
      <c r="K198">
        <v>6.86</v>
      </c>
      <c r="L198">
        <v>4.99</v>
      </c>
      <c r="M198" s="2">
        <f t="shared" si="3"/>
        <v>4.9974502804691484E-2</v>
      </c>
    </row>
    <row r="199" spans="1:13" x14ac:dyDescent="0.25">
      <c r="A199" t="s">
        <v>11</v>
      </c>
      <c r="B199" t="s">
        <v>78</v>
      </c>
      <c r="C199">
        <v>3844</v>
      </c>
      <c r="D199" t="s">
        <v>79</v>
      </c>
      <c r="E199">
        <v>34210310</v>
      </c>
      <c r="F199" t="s">
        <v>105</v>
      </c>
      <c r="G199">
        <v>156.15</v>
      </c>
      <c r="H199" s="1">
        <v>45292</v>
      </c>
      <c r="I199">
        <v>148.71</v>
      </c>
      <c r="J199" s="1">
        <v>44927</v>
      </c>
      <c r="K199">
        <v>7.44</v>
      </c>
      <c r="L199">
        <v>5</v>
      </c>
      <c r="M199" s="2">
        <f t="shared" si="3"/>
        <v>5.0030260238047207E-2</v>
      </c>
    </row>
    <row r="200" spans="1:13" x14ac:dyDescent="0.25">
      <c r="A200" t="s">
        <v>11</v>
      </c>
      <c r="B200" t="s">
        <v>78</v>
      </c>
      <c r="C200">
        <v>3844</v>
      </c>
      <c r="D200" t="s">
        <v>79</v>
      </c>
      <c r="E200">
        <v>34210315</v>
      </c>
      <c r="F200" t="s">
        <v>106</v>
      </c>
      <c r="G200">
        <v>64.900000000000006</v>
      </c>
      <c r="H200" s="1">
        <v>45292</v>
      </c>
      <c r="I200">
        <v>61.81</v>
      </c>
      <c r="J200" s="1">
        <v>44927</v>
      </c>
      <c r="K200">
        <v>3.09</v>
      </c>
      <c r="L200">
        <v>4.99</v>
      </c>
      <c r="M200" s="2">
        <f t="shared" si="3"/>
        <v>4.9991910694062447E-2</v>
      </c>
    </row>
    <row r="201" spans="1:13" x14ac:dyDescent="0.25">
      <c r="A201" t="s">
        <v>11</v>
      </c>
      <c r="B201" t="s">
        <v>78</v>
      </c>
      <c r="C201">
        <v>3844</v>
      </c>
      <c r="D201" t="s">
        <v>79</v>
      </c>
      <c r="E201">
        <v>34210320</v>
      </c>
      <c r="F201" t="s">
        <v>107</v>
      </c>
      <c r="G201">
        <v>59.19</v>
      </c>
      <c r="H201" s="1">
        <v>45292</v>
      </c>
      <c r="I201">
        <v>56.37</v>
      </c>
      <c r="J201" s="1">
        <v>44927</v>
      </c>
      <c r="K201">
        <v>2.82</v>
      </c>
      <c r="L201">
        <v>5</v>
      </c>
      <c r="M201" s="2">
        <f t="shared" si="3"/>
        <v>5.0026609898882385E-2</v>
      </c>
    </row>
    <row r="202" spans="1:13" x14ac:dyDescent="0.25">
      <c r="A202" t="s">
        <v>11</v>
      </c>
      <c r="B202" t="s">
        <v>78</v>
      </c>
      <c r="C202">
        <v>3844</v>
      </c>
      <c r="D202" t="s">
        <v>79</v>
      </c>
      <c r="E202">
        <v>34210325</v>
      </c>
      <c r="F202" t="s">
        <v>103</v>
      </c>
      <c r="G202">
        <v>77.23</v>
      </c>
      <c r="H202" s="1">
        <v>45292</v>
      </c>
      <c r="I202">
        <v>73.55</v>
      </c>
      <c r="J202" s="1">
        <v>44927</v>
      </c>
      <c r="K202">
        <v>3.68</v>
      </c>
      <c r="L202">
        <v>5</v>
      </c>
      <c r="M202" s="2">
        <f t="shared" si="3"/>
        <v>5.003399048266486E-2</v>
      </c>
    </row>
    <row r="203" spans="1:13" x14ac:dyDescent="0.25">
      <c r="A203" t="s">
        <v>11</v>
      </c>
      <c r="B203" t="s">
        <v>78</v>
      </c>
      <c r="C203">
        <v>3844</v>
      </c>
      <c r="D203" t="s">
        <v>79</v>
      </c>
      <c r="E203">
        <v>34210330</v>
      </c>
      <c r="F203" t="s">
        <v>166</v>
      </c>
      <c r="G203">
        <v>76.66</v>
      </c>
      <c r="H203" s="1">
        <v>45292</v>
      </c>
      <c r="I203">
        <v>73.010000000000005</v>
      </c>
      <c r="J203" s="1">
        <v>44927</v>
      </c>
      <c r="K203">
        <v>3.65</v>
      </c>
      <c r="L203">
        <v>4.99</v>
      </c>
      <c r="M203" s="2">
        <f t="shared" si="3"/>
        <v>4.9993151623065328E-2</v>
      </c>
    </row>
    <row r="204" spans="1:13" x14ac:dyDescent="0.25">
      <c r="A204" t="s">
        <v>11</v>
      </c>
      <c r="B204" t="s">
        <v>78</v>
      </c>
      <c r="C204">
        <v>3844</v>
      </c>
      <c r="D204" t="s">
        <v>79</v>
      </c>
      <c r="E204">
        <v>34210335</v>
      </c>
      <c r="F204" t="s">
        <v>97</v>
      </c>
      <c r="G204">
        <v>72.37</v>
      </c>
      <c r="H204" s="1">
        <v>45292</v>
      </c>
      <c r="I204">
        <v>68.92</v>
      </c>
      <c r="J204" s="1">
        <v>44927</v>
      </c>
      <c r="K204">
        <v>3.45</v>
      </c>
      <c r="L204">
        <v>5</v>
      </c>
      <c r="M204" s="2">
        <f t="shared" si="3"/>
        <v>5.0058038305281487E-2</v>
      </c>
    </row>
    <row r="205" spans="1:13" x14ac:dyDescent="0.25">
      <c r="A205" t="s">
        <v>11</v>
      </c>
      <c r="B205" t="s">
        <v>78</v>
      </c>
      <c r="C205">
        <v>3844</v>
      </c>
      <c r="D205" t="s">
        <v>79</v>
      </c>
      <c r="E205">
        <v>34210340</v>
      </c>
      <c r="F205" t="s">
        <v>69</v>
      </c>
      <c r="G205">
        <v>292.38</v>
      </c>
      <c r="H205" s="1">
        <v>45292</v>
      </c>
      <c r="I205">
        <v>278.45999999999998</v>
      </c>
      <c r="J205" s="1">
        <v>44927</v>
      </c>
      <c r="K205">
        <v>13.92</v>
      </c>
      <c r="L205">
        <v>4.99</v>
      </c>
      <c r="M205" s="2">
        <f t="shared" si="3"/>
        <v>4.9989226459814698E-2</v>
      </c>
    </row>
    <row r="206" spans="1:13" x14ac:dyDescent="0.25">
      <c r="A206" t="s">
        <v>11</v>
      </c>
      <c r="B206" t="s">
        <v>78</v>
      </c>
      <c r="C206">
        <v>3844</v>
      </c>
      <c r="D206" t="s">
        <v>79</v>
      </c>
      <c r="E206">
        <v>34210345</v>
      </c>
      <c r="F206" t="s">
        <v>32</v>
      </c>
      <c r="G206">
        <v>76.66</v>
      </c>
      <c r="H206" s="1">
        <v>45292</v>
      </c>
      <c r="I206">
        <v>73.010000000000005</v>
      </c>
      <c r="J206" s="1">
        <v>44927</v>
      </c>
      <c r="K206">
        <v>3.65</v>
      </c>
      <c r="L206">
        <v>4.99</v>
      </c>
      <c r="M206" s="2">
        <f t="shared" si="3"/>
        <v>4.9993151623065328E-2</v>
      </c>
    </row>
    <row r="207" spans="1:13" x14ac:dyDescent="0.25">
      <c r="A207" t="s">
        <v>11</v>
      </c>
      <c r="B207" t="s">
        <v>78</v>
      </c>
      <c r="C207">
        <v>3844</v>
      </c>
      <c r="D207" t="s">
        <v>79</v>
      </c>
      <c r="E207">
        <v>34210355</v>
      </c>
      <c r="F207" t="s">
        <v>209</v>
      </c>
      <c r="G207">
        <v>94.05</v>
      </c>
      <c r="H207" s="1">
        <v>45292</v>
      </c>
      <c r="I207">
        <v>89.57</v>
      </c>
      <c r="J207" s="1">
        <v>44927</v>
      </c>
      <c r="K207">
        <v>4.4800000000000004</v>
      </c>
      <c r="L207">
        <v>5</v>
      </c>
      <c r="M207" s="2">
        <f t="shared" si="3"/>
        <v>5.0016746678575426E-2</v>
      </c>
    </row>
    <row r="208" spans="1:13" x14ac:dyDescent="0.25">
      <c r="A208" t="s">
        <v>11</v>
      </c>
      <c r="B208" t="s">
        <v>78</v>
      </c>
      <c r="C208">
        <v>3844</v>
      </c>
      <c r="D208" t="s">
        <v>79</v>
      </c>
      <c r="E208">
        <v>34210360</v>
      </c>
      <c r="F208" t="s">
        <v>19</v>
      </c>
      <c r="G208">
        <v>73.430000000000007</v>
      </c>
      <c r="H208" s="1">
        <v>45292</v>
      </c>
      <c r="I208">
        <v>69.930000000000007</v>
      </c>
      <c r="J208" s="1">
        <v>44927</v>
      </c>
      <c r="K208">
        <v>3.5</v>
      </c>
      <c r="L208">
        <v>5</v>
      </c>
      <c r="M208" s="2">
        <f t="shared" si="3"/>
        <v>5.0050050050050046E-2</v>
      </c>
    </row>
    <row r="209" spans="1:13" x14ac:dyDescent="0.25">
      <c r="A209" t="s">
        <v>11</v>
      </c>
      <c r="B209" t="s">
        <v>78</v>
      </c>
      <c r="C209">
        <v>3844</v>
      </c>
      <c r="D209" t="s">
        <v>79</v>
      </c>
      <c r="E209">
        <v>34210365</v>
      </c>
      <c r="F209" t="s">
        <v>210</v>
      </c>
      <c r="G209">
        <v>292.38</v>
      </c>
      <c r="H209" s="1">
        <v>45292</v>
      </c>
      <c r="I209">
        <v>278.45999999999998</v>
      </c>
      <c r="J209" s="1">
        <v>44927</v>
      </c>
      <c r="K209">
        <v>13.92</v>
      </c>
      <c r="L209">
        <v>4.99</v>
      </c>
      <c r="M209" s="2">
        <f t="shared" si="3"/>
        <v>4.9989226459814698E-2</v>
      </c>
    </row>
    <row r="210" spans="1:13" x14ac:dyDescent="0.25">
      <c r="A210" t="s">
        <v>11</v>
      </c>
      <c r="B210" t="s">
        <v>78</v>
      </c>
      <c r="C210">
        <v>3844</v>
      </c>
      <c r="D210" t="s">
        <v>79</v>
      </c>
      <c r="E210">
        <v>34210370</v>
      </c>
      <c r="F210" t="s">
        <v>211</v>
      </c>
      <c r="G210">
        <v>558.78</v>
      </c>
      <c r="H210" s="1">
        <v>45292</v>
      </c>
      <c r="I210">
        <v>532.16999999999996</v>
      </c>
      <c r="J210" s="1">
        <v>44927</v>
      </c>
      <c r="K210">
        <v>26.61</v>
      </c>
      <c r="L210">
        <v>5</v>
      </c>
      <c r="M210" s="2">
        <f t="shared" si="3"/>
        <v>5.0002818648176336E-2</v>
      </c>
    </row>
    <row r="211" spans="1:13" x14ac:dyDescent="0.25">
      <c r="A211" t="s">
        <v>11</v>
      </c>
      <c r="B211" t="s">
        <v>78</v>
      </c>
      <c r="C211">
        <v>3844</v>
      </c>
      <c r="D211" t="s">
        <v>79</v>
      </c>
      <c r="E211">
        <v>34210375</v>
      </c>
      <c r="F211" t="s">
        <v>54</v>
      </c>
      <c r="G211">
        <v>292.38</v>
      </c>
      <c r="H211" s="1">
        <v>45292</v>
      </c>
      <c r="I211">
        <v>278.45999999999998</v>
      </c>
      <c r="J211" s="1">
        <v>44927</v>
      </c>
      <c r="K211">
        <v>13.92</v>
      </c>
      <c r="L211">
        <v>4.99</v>
      </c>
      <c r="M211" s="2">
        <f t="shared" si="3"/>
        <v>4.9989226459814698E-2</v>
      </c>
    </row>
    <row r="212" spans="1:13" x14ac:dyDescent="0.25">
      <c r="A212" t="s">
        <v>11</v>
      </c>
      <c r="B212" t="s">
        <v>78</v>
      </c>
      <c r="C212">
        <v>3844</v>
      </c>
      <c r="D212" t="s">
        <v>79</v>
      </c>
      <c r="E212">
        <v>34210380</v>
      </c>
      <c r="F212" t="s">
        <v>92</v>
      </c>
      <c r="G212">
        <v>69.680000000000007</v>
      </c>
      <c r="H212" s="1">
        <v>45292</v>
      </c>
      <c r="I212">
        <v>66.36</v>
      </c>
      <c r="J212" s="1">
        <v>44927</v>
      </c>
      <c r="K212">
        <v>3.32</v>
      </c>
      <c r="L212">
        <v>5</v>
      </c>
      <c r="M212" s="2">
        <f t="shared" si="3"/>
        <v>5.0030138637733569E-2</v>
      </c>
    </row>
    <row r="213" spans="1:13" x14ac:dyDescent="0.25">
      <c r="A213" t="s">
        <v>11</v>
      </c>
      <c r="B213" t="s">
        <v>78</v>
      </c>
      <c r="C213">
        <v>3844</v>
      </c>
      <c r="D213" t="s">
        <v>79</v>
      </c>
      <c r="E213">
        <v>34210385</v>
      </c>
      <c r="F213" t="s">
        <v>96</v>
      </c>
      <c r="G213">
        <v>77.56</v>
      </c>
      <c r="H213" s="1">
        <v>45292</v>
      </c>
      <c r="I213">
        <v>73.87</v>
      </c>
      <c r="J213" s="1">
        <v>44927</v>
      </c>
      <c r="K213">
        <v>3.69</v>
      </c>
      <c r="L213">
        <v>4.99</v>
      </c>
      <c r="M213" s="2">
        <f t="shared" si="3"/>
        <v>4.9952619466630564E-2</v>
      </c>
    </row>
    <row r="214" spans="1:13" x14ac:dyDescent="0.25">
      <c r="A214" t="s">
        <v>11</v>
      </c>
      <c r="B214" t="s">
        <v>78</v>
      </c>
      <c r="C214">
        <v>3844</v>
      </c>
      <c r="D214" t="s">
        <v>79</v>
      </c>
      <c r="E214">
        <v>34220001</v>
      </c>
      <c r="F214" t="s">
        <v>122</v>
      </c>
      <c r="G214">
        <v>79.23</v>
      </c>
      <c r="H214" s="1">
        <v>45292</v>
      </c>
      <c r="I214">
        <v>75.459999999999994</v>
      </c>
      <c r="J214" s="1">
        <v>44927</v>
      </c>
      <c r="K214">
        <v>3.77</v>
      </c>
      <c r="L214">
        <v>4.99</v>
      </c>
      <c r="M214" s="2">
        <f t="shared" si="3"/>
        <v>4.9960243837794863E-2</v>
      </c>
    </row>
    <row r="215" spans="1:13" x14ac:dyDescent="0.25">
      <c r="A215" t="s">
        <v>11</v>
      </c>
      <c r="B215" t="s">
        <v>78</v>
      </c>
      <c r="C215">
        <v>3844</v>
      </c>
      <c r="D215" t="s">
        <v>79</v>
      </c>
      <c r="E215">
        <v>34220002</v>
      </c>
      <c r="F215" t="s">
        <v>123</v>
      </c>
      <c r="G215">
        <v>201.38</v>
      </c>
      <c r="H215" s="1">
        <v>45292</v>
      </c>
      <c r="I215">
        <v>191.79</v>
      </c>
      <c r="J215" s="1">
        <v>44927</v>
      </c>
      <c r="K215">
        <v>9.59</v>
      </c>
      <c r="L215">
        <v>5</v>
      </c>
      <c r="M215" s="2">
        <f t="shared" si="3"/>
        <v>5.0002607018092705E-2</v>
      </c>
    </row>
    <row r="216" spans="1:13" x14ac:dyDescent="0.25">
      <c r="A216" t="s">
        <v>11</v>
      </c>
      <c r="B216" t="s">
        <v>78</v>
      </c>
      <c r="C216">
        <v>3844</v>
      </c>
      <c r="D216" t="s">
        <v>79</v>
      </c>
      <c r="E216">
        <v>34250050</v>
      </c>
      <c r="F216" t="s">
        <v>27</v>
      </c>
      <c r="G216">
        <v>214.99</v>
      </c>
      <c r="H216" s="1">
        <v>45292</v>
      </c>
      <c r="I216">
        <v>204.75</v>
      </c>
      <c r="J216" s="1">
        <v>44927</v>
      </c>
      <c r="K216">
        <v>10.24</v>
      </c>
      <c r="L216">
        <v>5</v>
      </c>
      <c r="M216" s="2">
        <f t="shared" si="3"/>
        <v>5.0012210012210012E-2</v>
      </c>
    </row>
    <row r="217" spans="1:13" x14ac:dyDescent="0.25">
      <c r="A217" t="s">
        <v>11</v>
      </c>
      <c r="B217" t="s">
        <v>78</v>
      </c>
      <c r="C217">
        <v>3844</v>
      </c>
      <c r="D217" t="s">
        <v>79</v>
      </c>
      <c r="E217">
        <v>34250065</v>
      </c>
      <c r="F217" t="s">
        <v>212</v>
      </c>
      <c r="G217">
        <v>146.19</v>
      </c>
      <c r="H217" s="1">
        <v>45292</v>
      </c>
      <c r="I217">
        <v>139.22999999999999</v>
      </c>
      <c r="J217" s="1">
        <v>44927</v>
      </c>
      <c r="K217">
        <v>6.96</v>
      </c>
      <c r="L217">
        <v>4.99</v>
      </c>
      <c r="M217" s="2">
        <f t="shared" si="3"/>
        <v>4.9989226459814698E-2</v>
      </c>
    </row>
    <row r="218" spans="1:13" x14ac:dyDescent="0.25">
      <c r="A218" t="s">
        <v>11</v>
      </c>
      <c r="B218" t="s">
        <v>78</v>
      </c>
      <c r="C218">
        <v>3844</v>
      </c>
      <c r="D218" t="s">
        <v>79</v>
      </c>
      <c r="E218">
        <v>34250084</v>
      </c>
      <c r="F218" t="s">
        <v>213</v>
      </c>
      <c r="G218">
        <v>73.099999999999994</v>
      </c>
      <c r="H218" s="1">
        <v>45292</v>
      </c>
      <c r="I218">
        <v>69.62</v>
      </c>
      <c r="J218" s="1">
        <v>44927</v>
      </c>
      <c r="K218">
        <v>3.48</v>
      </c>
      <c r="L218">
        <v>4.99</v>
      </c>
      <c r="M218" s="2">
        <f t="shared" si="3"/>
        <v>4.9985636311404763E-2</v>
      </c>
    </row>
    <row r="219" spans="1:13" x14ac:dyDescent="0.25">
      <c r="A219" t="s">
        <v>11</v>
      </c>
      <c r="B219" t="s">
        <v>78</v>
      </c>
      <c r="C219">
        <v>3844</v>
      </c>
      <c r="D219" t="s">
        <v>79</v>
      </c>
      <c r="E219">
        <v>34250085</v>
      </c>
      <c r="F219" t="s">
        <v>31</v>
      </c>
      <c r="G219">
        <v>100.83</v>
      </c>
      <c r="H219" s="1">
        <v>45292</v>
      </c>
      <c r="I219">
        <v>96.03</v>
      </c>
      <c r="J219" s="1">
        <v>44927</v>
      </c>
      <c r="K219">
        <v>4.8</v>
      </c>
      <c r="L219">
        <v>4.99</v>
      </c>
      <c r="M219" s="2">
        <f t="shared" si="3"/>
        <v>4.9984379881287094E-2</v>
      </c>
    </row>
    <row r="220" spans="1:13" x14ac:dyDescent="0.25">
      <c r="A220" t="s">
        <v>11</v>
      </c>
      <c r="B220" t="s">
        <v>78</v>
      </c>
      <c r="C220">
        <v>3844</v>
      </c>
      <c r="D220" t="s">
        <v>79</v>
      </c>
      <c r="E220">
        <v>34250127</v>
      </c>
      <c r="F220" t="s">
        <v>47</v>
      </c>
      <c r="G220">
        <v>607.75</v>
      </c>
      <c r="H220" s="1">
        <v>45292</v>
      </c>
      <c r="I220">
        <v>578.80999999999995</v>
      </c>
      <c r="J220" s="1">
        <v>44927</v>
      </c>
      <c r="K220">
        <v>28.94</v>
      </c>
      <c r="L220">
        <v>4.99</v>
      </c>
      <c r="M220" s="2">
        <f t="shared" si="3"/>
        <v>4.9999136158670382E-2</v>
      </c>
    </row>
    <row r="221" spans="1:13" x14ac:dyDescent="0.25">
      <c r="A221" t="s">
        <v>11</v>
      </c>
      <c r="B221" t="s">
        <v>78</v>
      </c>
      <c r="C221">
        <v>3844</v>
      </c>
      <c r="D221" t="s">
        <v>79</v>
      </c>
      <c r="E221">
        <v>34250128</v>
      </c>
      <c r="F221" t="s">
        <v>48</v>
      </c>
      <c r="G221">
        <v>607.75</v>
      </c>
      <c r="H221" s="1">
        <v>45292</v>
      </c>
      <c r="I221">
        <v>578.80999999999995</v>
      </c>
      <c r="J221" s="1">
        <v>44927</v>
      </c>
      <c r="K221">
        <v>28.94</v>
      </c>
      <c r="L221">
        <v>4.99</v>
      </c>
      <c r="M221" s="2">
        <f t="shared" si="3"/>
        <v>4.9999136158670382E-2</v>
      </c>
    </row>
    <row r="222" spans="1:13" x14ac:dyDescent="0.25">
      <c r="A222" t="s">
        <v>11</v>
      </c>
      <c r="B222" t="s">
        <v>78</v>
      </c>
      <c r="C222">
        <v>3844</v>
      </c>
      <c r="D222" t="s">
        <v>79</v>
      </c>
      <c r="E222">
        <v>34250129</v>
      </c>
      <c r="F222" t="s">
        <v>49</v>
      </c>
      <c r="G222">
        <v>607.75</v>
      </c>
      <c r="H222" s="1">
        <v>45292</v>
      </c>
      <c r="I222">
        <v>578.80999999999995</v>
      </c>
      <c r="J222" s="1">
        <v>44927</v>
      </c>
      <c r="K222">
        <v>28.94</v>
      </c>
      <c r="L222">
        <v>4.99</v>
      </c>
      <c r="M222" s="2">
        <f t="shared" si="3"/>
        <v>4.9999136158670382E-2</v>
      </c>
    </row>
    <row r="223" spans="1:13" x14ac:dyDescent="0.25">
      <c r="A223" t="s">
        <v>11</v>
      </c>
      <c r="B223" t="s">
        <v>78</v>
      </c>
      <c r="C223">
        <v>3844</v>
      </c>
      <c r="D223" t="s">
        <v>79</v>
      </c>
      <c r="E223">
        <v>34250130</v>
      </c>
      <c r="F223" t="s">
        <v>214</v>
      </c>
      <c r="G223">
        <v>288.25</v>
      </c>
      <c r="H223" s="1">
        <v>45292</v>
      </c>
      <c r="I223">
        <v>274.52</v>
      </c>
      <c r="J223" s="1">
        <v>44927</v>
      </c>
      <c r="K223">
        <v>13.73</v>
      </c>
      <c r="L223">
        <v>5</v>
      </c>
      <c r="M223" s="2">
        <f t="shared" si="3"/>
        <v>5.0014570887367042E-2</v>
      </c>
    </row>
    <row r="224" spans="1:13" x14ac:dyDescent="0.25">
      <c r="A224" t="s">
        <v>11</v>
      </c>
      <c r="B224" t="s">
        <v>78</v>
      </c>
      <c r="C224">
        <v>3844</v>
      </c>
      <c r="D224" t="s">
        <v>79</v>
      </c>
      <c r="E224">
        <v>34250131</v>
      </c>
      <c r="F224" t="s">
        <v>215</v>
      </c>
      <c r="G224">
        <v>326.13</v>
      </c>
      <c r="H224" s="1">
        <v>45292</v>
      </c>
      <c r="I224">
        <v>310.60000000000002</v>
      </c>
      <c r="J224" s="1">
        <v>44927</v>
      </c>
      <c r="K224">
        <v>15.53</v>
      </c>
      <c r="L224">
        <v>5</v>
      </c>
      <c r="M224" s="2">
        <f t="shared" si="3"/>
        <v>4.9999999999999996E-2</v>
      </c>
    </row>
    <row r="225" spans="1:13" x14ac:dyDescent="0.25">
      <c r="A225" t="s">
        <v>11</v>
      </c>
      <c r="B225" t="s">
        <v>78</v>
      </c>
      <c r="C225">
        <v>3844</v>
      </c>
      <c r="D225" t="s">
        <v>79</v>
      </c>
      <c r="E225">
        <v>34250135</v>
      </c>
      <c r="F225" t="s">
        <v>216</v>
      </c>
      <c r="G225">
        <v>286.8</v>
      </c>
      <c r="H225" s="1">
        <v>45292</v>
      </c>
      <c r="I225">
        <v>273.14</v>
      </c>
      <c r="J225" s="1">
        <v>44927</v>
      </c>
      <c r="K225">
        <v>13.66</v>
      </c>
      <c r="L225">
        <v>5</v>
      </c>
      <c r="M225" s="2">
        <f t="shared" si="3"/>
        <v>5.0010983378487223E-2</v>
      </c>
    </row>
    <row r="226" spans="1:13" x14ac:dyDescent="0.25">
      <c r="A226" t="s">
        <v>11</v>
      </c>
      <c r="B226" t="s">
        <v>78</v>
      </c>
      <c r="C226">
        <v>3844</v>
      </c>
      <c r="D226" t="s">
        <v>79</v>
      </c>
      <c r="E226">
        <v>34250136</v>
      </c>
      <c r="F226" t="s">
        <v>217</v>
      </c>
      <c r="G226">
        <v>290.86</v>
      </c>
      <c r="H226" s="1">
        <v>45292</v>
      </c>
      <c r="I226">
        <v>277.01</v>
      </c>
      <c r="J226" s="1">
        <v>44927</v>
      </c>
      <c r="K226">
        <v>13.85</v>
      </c>
      <c r="L226">
        <v>4.99</v>
      </c>
      <c r="M226" s="2">
        <f t="shared" si="3"/>
        <v>4.9998195011010431E-2</v>
      </c>
    </row>
    <row r="227" spans="1:13" x14ac:dyDescent="0.25">
      <c r="A227" t="s">
        <v>11</v>
      </c>
      <c r="B227" t="s">
        <v>78</v>
      </c>
      <c r="C227">
        <v>3844</v>
      </c>
      <c r="D227" t="s">
        <v>79</v>
      </c>
      <c r="E227">
        <v>34250137</v>
      </c>
      <c r="F227" t="s">
        <v>218</v>
      </c>
      <c r="G227">
        <v>335.61</v>
      </c>
      <c r="H227" s="1">
        <v>45292</v>
      </c>
      <c r="I227">
        <v>319.63</v>
      </c>
      <c r="J227" s="1">
        <v>44927</v>
      </c>
      <c r="K227">
        <v>15.98</v>
      </c>
      <c r="L227">
        <v>4.99</v>
      </c>
      <c r="M227" s="2">
        <f t="shared" si="3"/>
        <v>4.9995307073804091E-2</v>
      </c>
    </row>
    <row r="228" spans="1:13" x14ac:dyDescent="0.25">
      <c r="A228" t="s">
        <v>11</v>
      </c>
      <c r="B228" t="s">
        <v>78</v>
      </c>
      <c r="C228">
        <v>3844</v>
      </c>
      <c r="D228" t="s">
        <v>79</v>
      </c>
      <c r="E228">
        <v>34250138</v>
      </c>
      <c r="F228" t="s">
        <v>219</v>
      </c>
      <c r="G228">
        <v>283.45999999999998</v>
      </c>
      <c r="H228" s="1">
        <v>45292</v>
      </c>
      <c r="I228">
        <v>269.95999999999998</v>
      </c>
      <c r="J228" s="1">
        <v>44927</v>
      </c>
      <c r="K228">
        <v>13.5</v>
      </c>
      <c r="L228">
        <v>5</v>
      </c>
      <c r="M228" s="2">
        <f t="shared" si="3"/>
        <v>5.0007408504963699E-2</v>
      </c>
    </row>
    <row r="229" spans="1:13" x14ac:dyDescent="0.25">
      <c r="A229" t="s">
        <v>11</v>
      </c>
      <c r="B229" t="s">
        <v>78</v>
      </c>
      <c r="C229">
        <v>3844</v>
      </c>
      <c r="D229" t="s">
        <v>79</v>
      </c>
      <c r="E229">
        <v>34299980</v>
      </c>
      <c r="F229" t="s">
        <v>174</v>
      </c>
      <c r="G229">
        <v>107.44</v>
      </c>
      <c r="H229" s="1">
        <v>45292</v>
      </c>
      <c r="I229">
        <v>102.32</v>
      </c>
      <c r="J229" s="1">
        <v>44927</v>
      </c>
      <c r="K229">
        <v>5.12</v>
      </c>
      <c r="L229">
        <v>5</v>
      </c>
      <c r="M229" s="2">
        <f t="shared" si="3"/>
        <v>5.003909304143863E-2</v>
      </c>
    </row>
    <row r="230" spans="1:13" x14ac:dyDescent="0.25">
      <c r="A230" t="s">
        <v>11</v>
      </c>
      <c r="B230" t="s">
        <v>78</v>
      </c>
      <c r="C230">
        <v>3844</v>
      </c>
      <c r="D230" t="s">
        <v>79</v>
      </c>
      <c r="E230">
        <v>34299985</v>
      </c>
      <c r="F230" t="s">
        <v>50</v>
      </c>
      <c r="G230">
        <v>93.77</v>
      </c>
      <c r="H230" s="1">
        <v>45292</v>
      </c>
      <c r="I230">
        <v>89.3</v>
      </c>
      <c r="J230" s="1">
        <v>44927</v>
      </c>
      <c r="K230">
        <v>4.47</v>
      </c>
      <c r="L230">
        <v>5</v>
      </c>
      <c r="M230" s="2">
        <f t="shared" si="3"/>
        <v>5.0055991041433372E-2</v>
      </c>
    </row>
    <row r="231" spans="1:13" x14ac:dyDescent="0.25">
      <c r="A231" t="s">
        <v>11</v>
      </c>
      <c r="B231" t="s">
        <v>78</v>
      </c>
      <c r="C231">
        <v>3844</v>
      </c>
      <c r="D231" t="s">
        <v>79</v>
      </c>
      <c r="E231">
        <v>34299986</v>
      </c>
      <c r="F231" t="s">
        <v>220</v>
      </c>
      <c r="G231">
        <v>486.5</v>
      </c>
      <c r="H231" s="1">
        <v>45292</v>
      </c>
      <c r="I231">
        <v>463.33</v>
      </c>
      <c r="J231" s="1">
        <v>44927</v>
      </c>
      <c r="K231">
        <v>23.17</v>
      </c>
      <c r="L231">
        <v>5</v>
      </c>
      <c r="M231" s="2">
        <f t="shared" si="3"/>
        <v>5.0007554011179942E-2</v>
      </c>
    </row>
    <row r="232" spans="1:13" x14ac:dyDescent="0.25">
      <c r="A232" t="s">
        <v>11</v>
      </c>
      <c r="B232" t="s">
        <v>78</v>
      </c>
      <c r="C232">
        <v>3844</v>
      </c>
      <c r="D232" t="s">
        <v>79</v>
      </c>
      <c r="E232">
        <v>34299987</v>
      </c>
      <c r="F232" t="s">
        <v>221</v>
      </c>
      <c r="G232">
        <v>145.6</v>
      </c>
      <c r="H232" s="1">
        <v>45292</v>
      </c>
      <c r="I232">
        <v>138.66999999999999</v>
      </c>
      <c r="J232" s="1">
        <v>44927</v>
      </c>
      <c r="K232">
        <v>6.93</v>
      </c>
      <c r="L232">
        <v>4.99</v>
      </c>
      <c r="M232" s="2">
        <f t="shared" si="3"/>
        <v>4.9974760222110046E-2</v>
      </c>
    </row>
    <row r="233" spans="1:13" x14ac:dyDescent="0.25">
      <c r="A233" t="s">
        <v>11</v>
      </c>
      <c r="B233" t="s">
        <v>78</v>
      </c>
      <c r="C233">
        <v>3844</v>
      </c>
      <c r="D233" t="s">
        <v>79</v>
      </c>
      <c r="E233">
        <v>34299999</v>
      </c>
      <c r="F233" t="s">
        <v>222</v>
      </c>
      <c r="G233">
        <v>77.760000000000005</v>
      </c>
      <c r="H233" s="1">
        <v>45292</v>
      </c>
      <c r="I233">
        <v>74.06</v>
      </c>
      <c r="J233" s="1">
        <v>44927</v>
      </c>
      <c r="K233">
        <v>3.7</v>
      </c>
      <c r="L233">
        <v>4.99</v>
      </c>
      <c r="M233" s="2">
        <f t="shared" si="3"/>
        <v>4.9959492303537675E-2</v>
      </c>
    </row>
    <row r="234" spans="1:13" x14ac:dyDescent="0.25">
      <c r="A234" t="s">
        <v>11</v>
      </c>
      <c r="B234" t="s">
        <v>78</v>
      </c>
      <c r="C234">
        <v>3844</v>
      </c>
      <c r="D234" t="s">
        <v>79</v>
      </c>
      <c r="E234">
        <v>34600016</v>
      </c>
      <c r="F234" t="s">
        <v>207</v>
      </c>
      <c r="G234">
        <v>68.91</v>
      </c>
      <c r="H234" s="1">
        <v>45292</v>
      </c>
      <c r="I234">
        <v>65.63</v>
      </c>
      <c r="J234" s="1">
        <v>44927</v>
      </c>
      <c r="K234">
        <v>3.28</v>
      </c>
      <c r="L234">
        <v>4.99</v>
      </c>
      <c r="M234" s="2">
        <f t="shared" si="3"/>
        <v>4.997714459850678E-2</v>
      </c>
    </row>
    <row r="235" spans="1:13" x14ac:dyDescent="0.25">
      <c r="A235" t="s">
        <v>11</v>
      </c>
      <c r="B235" t="s">
        <v>78</v>
      </c>
      <c r="C235">
        <v>3844</v>
      </c>
      <c r="D235" t="s">
        <v>79</v>
      </c>
      <c r="E235">
        <v>34600019</v>
      </c>
      <c r="F235" t="s">
        <v>51</v>
      </c>
      <c r="G235">
        <v>85.41</v>
      </c>
      <c r="H235" s="1">
        <v>45292</v>
      </c>
      <c r="I235">
        <v>81.34</v>
      </c>
      <c r="J235" s="1">
        <v>44927</v>
      </c>
      <c r="K235">
        <v>4.07</v>
      </c>
      <c r="L235">
        <v>5</v>
      </c>
      <c r="M235" s="2">
        <f t="shared" si="3"/>
        <v>5.0036882222768628E-2</v>
      </c>
    </row>
    <row r="236" spans="1:13" x14ac:dyDescent="0.25">
      <c r="A236" t="s">
        <v>11</v>
      </c>
      <c r="B236" t="s">
        <v>78</v>
      </c>
      <c r="C236">
        <v>3844</v>
      </c>
      <c r="D236" t="s">
        <v>79</v>
      </c>
      <c r="E236">
        <v>34600030</v>
      </c>
      <c r="F236" t="s">
        <v>223</v>
      </c>
      <c r="G236">
        <v>306.72000000000003</v>
      </c>
      <c r="H236" s="1">
        <v>45292</v>
      </c>
      <c r="I236">
        <v>292.11</v>
      </c>
      <c r="J236" s="1">
        <v>44927</v>
      </c>
      <c r="K236">
        <v>14.61</v>
      </c>
      <c r="L236">
        <v>5</v>
      </c>
      <c r="M236" s="2">
        <f t="shared" si="3"/>
        <v>5.0015405155592066E-2</v>
      </c>
    </row>
    <row r="237" spans="1:13" x14ac:dyDescent="0.25">
      <c r="A237" t="s">
        <v>11</v>
      </c>
      <c r="B237" t="s">
        <v>78</v>
      </c>
      <c r="C237">
        <v>3844</v>
      </c>
      <c r="D237" t="s">
        <v>79</v>
      </c>
      <c r="E237">
        <v>34600031</v>
      </c>
      <c r="F237" t="s">
        <v>52</v>
      </c>
      <c r="G237">
        <v>578.80999999999995</v>
      </c>
      <c r="H237" s="1">
        <v>45292</v>
      </c>
      <c r="I237">
        <v>551.25</v>
      </c>
      <c r="J237" s="1">
        <v>44927</v>
      </c>
      <c r="K237">
        <v>27.56</v>
      </c>
      <c r="L237">
        <v>4.99</v>
      </c>
      <c r="M237" s="2">
        <f t="shared" si="3"/>
        <v>4.999546485260771E-2</v>
      </c>
    </row>
    <row r="238" spans="1:13" x14ac:dyDescent="0.25">
      <c r="A238" t="s">
        <v>11</v>
      </c>
      <c r="B238" t="s">
        <v>78</v>
      </c>
      <c r="C238">
        <v>3844</v>
      </c>
      <c r="D238" t="s">
        <v>79</v>
      </c>
      <c r="E238">
        <v>34600032</v>
      </c>
      <c r="F238" t="s">
        <v>53</v>
      </c>
      <c r="G238">
        <v>607.75</v>
      </c>
      <c r="H238" s="1">
        <v>45292</v>
      </c>
      <c r="I238">
        <v>578.80999999999995</v>
      </c>
      <c r="J238" s="1">
        <v>44927</v>
      </c>
      <c r="K238">
        <v>28.94</v>
      </c>
      <c r="L238">
        <v>4.99</v>
      </c>
      <c r="M238" s="2">
        <f t="shared" si="3"/>
        <v>4.9999136158670382E-2</v>
      </c>
    </row>
    <row r="239" spans="1:13" x14ac:dyDescent="0.25">
      <c r="A239" t="s">
        <v>11</v>
      </c>
      <c r="B239" t="s">
        <v>78</v>
      </c>
      <c r="C239">
        <v>3844</v>
      </c>
      <c r="D239" t="s">
        <v>79</v>
      </c>
      <c r="E239">
        <v>34600034</v>
      </c>
      <c r="F239" t="s">
        <v>224</v>
      </c>
      <c r="G239">
        <v>314.39</v>
      </c>
      <c r="H239" s="1">
        <v>45292</v>
      </c>
      <c r="I239">
        <v>299.42</v>
      </c>
      <c r="J239" s="1">
        <v>44927</v>
      </c>
      <c r="K239">
        <v>14.97</v>
      </c>
      <c r="L239">
        <v>4.99</v>
      </c>
      <c r="M239" s="2">
        <f t="shared" si="3"/>
        <v>4.9996660209738829E-2</v>
      </c>
    </row>
    <row r="240" spans="1:13" x14ac:dyDescent="0.25">
      <c r="A240" t="s">
        <v>11</v>
      </c>
      <c r="B240" t="s">
        <v>78</v>
      </c>
      <c r="C240">
        <v>3844</v>
      </c>
      <c r="D240" t="s">
        <v>79</v>
      </c>
      <c r="E240">
        <v>34600120</v>
      </c>
      <c r="F240" t="s">
        <v>54</v>
      </c>
      <c r="G240">
        <v>493.15</v>
      </c>
      <c r="H240" s="1">
        <v>45292</v>
      </c>
      <c r="I240">
        <v>469.67</v>
      </c>
      <c r="J240" s="1">
        <v>44927</v>
      </c>
      <c r="K240">
        <v>23.48</v>
      </c>
      <c r="L240">
        <v>4.99</v>
      </c>
      <c r="M240" s="2">
        <f t="shared" si="3"/>
        <v>4.9992547959205401E-2</v>
      </c>
    </row>
    <row r="241" spans="1:13" x14ac:dyDescent="0.25">
      <c r="A241" t="s">
        <v>11</v>
      </c>
      <c r="B241" t="s">
        <v>78</v>
      </c>
      <c r="C241">
        <v>3844</v>
      </c>
      <c r="D241" t="s">
        <v>79</v>
      </c>
      <c r="E241">
        <v>34600134</v>
      </c>
      <c r="F241" t="s">
        <v>225</v>
      </c>
      <c r="G241">
        <v>99.23</v>
      </c>
      <c r="H241" s="1">
        <v>45292</v>
      </c>
      <c r="I241">
        <v>94.5</v>
      </c>
      <c r="J241" s="1">
        <v>44927</v>
      </c>
      <c r="K241">
        <v>4.7300000000000004</v>
      </c>
      <c r="L241">
        <v>5</v>
      </c>
      <c r="M241" s="2">
        <f t="shared" si="3"/>
        <v>5.0052910052910057E-2</v>
      </c>
    </row>
    <row r="242" spans="1:13" x14ac:dyDescent="0.25">
      <c r="A242" t="s">
        <v>11</v>
      </c>
      <c r="B242" t="s">
        <v>78</v>
      </c>
      <c r="C242">
        <v>3844</v>
      </c>
      <c r="D242" t="s">
        <v>79</v>
      </c>
      <c r="E242">
        <v>34600135</v>
      </c>
      <c r="F242" t="s">
        <v>55</v>
      </c>
      <c r="G242">
        <v>27.56</v>
      </c>
      <c r="H242" s="1">
        <v>45292</v>
      </c>
      <c r="I242">
        <v>26.25</v>
      </c>
      <c r="J242" s="1">
        <v>44927</v>
      </c>
      <c r="K242">
        <v>1.31</v>
      </c>
      <c r="L242">
        <v>4.99</v>
      </c>
      <c r="M242" s="2">
        <f t="shared" si="3"/>
        <v>4.990476190476191E-2</v>
      </c>
    </row>
    <row r="243" spans="1:13" x14ac:dyDescent="0.25">
      <c r="A243" t="s">
        <v>11</v>
      </c>
      <c r="B243" t="s">
        <v>78</v>
      </c>
      <c r="C243">
        <v>3844</v>
      </c>
      <c r="D243" t="s">
        <v>79</v>
      </c>
      <c r="E243">
        <v>34600136</v>
      </c>
      <c r="F243" t="s">
        <v>56</v>
      </c>
      <c r="G243">
        <v>27.56</v>
      </c>
      <c r="H243" s="1">
        <v>45292</v>
      </c>
      <c r="I243">
        <v>26.25</v>
      </c>
      <c r="J243" s="1">
        <v>44927</v>
      </c>
      <c r="K243">
        <v>1.31</v>
      </c>
      <c r="L243">
        <v>4.99</v>
      </c>
      <c r="M243" s="2">
        <f t="shared" si="3"/>
        <v>4.990476190476191E-2</v>
      </c>
    </row>
    <row r="244" spans="1:13" x14ac:dyDescent="0.25">
      <c r="A244" t="s">
        <v>11</v>
      </c>
      <c r="B244" t="s">
        <v>78</v>
      </c>
      <c r="C244">
        <v>3844</v>
      </c>
      <c r="D244" t="s">
        <v>79</v>
      </c>
      <c r="E244">
        <v>34600137</v>
      </c>
      <c r="F244" t="s">
        <v>57</v>
      </c>
      <c r="G244">
        <v>27.56</v>
      </c>
      <c r="H244" s="1">
        <v>45292</v>
      </c>
      <c r="I244">
        <v>26.25</v>
      </c>
      <c r="J244" s="1">
        <v>44927</v>
      </c>
      <c r="K244">
        <v>1.31</v>
      </c>
      <c r="L244">
        <v>4.99</v>
      </c>
      <c r="M244" s="2">
        <f t="shared" si="3"/>
        <v>4.990476190476191E-2</v>
      </c>
    </row>
    <row r="245" spans="1:13" x14ac:dyDescent="0.25">
      <c r="A245" t="s">
        <v>11</v>
      </c>
      <c r="B245" t="s">
        <v>78</v>
      </c>
      <c r="C245">
        <v>3844</v>
      </c>
      <c r="D245" t="s">
        <v>79</v>
      </c>
      <c r="E245">
        <v>34600141</v>
      </c>
      <c r="F245" t="s">
        <v>40</v>
      </c>
      <c r="G245">
        <v>72.25</v>
      </c>
      <c r="H245" s="1">
        <v>45292</v>
      </c>
      <c r="I245">
        <v>68.81</v>
      </c>
      <c r="J245" s="1">
        <v>44927</v>
      </c>
      <c r="K245">
        <v>3.44</v>
      </c>
      <c r="L245">
        <v>4.99</v>
      </c>
      <c r="M245" s="2">
        <f t="shared" si="3"/>
        <v>4.9992733614300247E-2</v>
      </c>
    </row>
    <row r="246" spans="1:13" x14ac:dyDescent="0.25">
      <c r="A246" t="s">
        <v>11</v>
      </c>
      <c r="B246" t="s">
        <v>78</v>
      </c>
      <c r="C246">
        <v>3844</v>
      </c>
      <c r="D246" t="s">
        <v>79</v>
      </c>
      <c r="E246">
        <v>34600145</v>
      </c>
      <c r="F246" t="s">
        <v>58</v>
      </c>
      <c r="G246">
        <v>607.75</v>
      </c>
      <c r="H246" s="1">
        <v>45292</v>
      </c>
      <c r="I246">
        <v>578.80999999999995</v>
      </c>
      <c r="J246" s="1">
        <v>44927</v>
      </c>
      <c r="K246">
        <v>28.94</v>
      </c>
      <c r="L246">
        <v>4.99</v>
      </c>
      <c r="M246" s="2">
        <f t="shared" si="3"/>
        <v>4.9999136158670382E-2</v>
      </c>
    </row>
    <row r="247" spans="1:13" x14ac:dyDescent="0.25">
      <c r="A247" t="s">
        <v>11</v>
      </c>
      <c r="B247" t="s">
        <v>78</v>
      </c>
      <c r="C247">
        <v>3844</v>
      </c>
      <c r="D247" t="s">
        <v>79</v>
      </c>
      <c r="E247">
        <v>34600146</v>
      </c>
      <c r="F247" t="s">
        <v>59</v>
      </c>
      <c r="G247">
        <v>607.75</v>
      </c>
      <c r="H247" s="1">
        <v>45292</v>
      </c>
      <c r="I247">
        <v>578.80999999999995</v>
      </c>
      <c r="J247" s="1">
        <v>44927</v>
      </c>
      <c r="K247">
        <v>28.94</v>
      </c>
      <c r="L247">
        <v>4.99</v>
      </c>
      <c r="M247" s="2">
        <f t="shared" si="3"/>
        <v>4.9999136158670382E-2</v>
      </c>
    </row>
    <row r="248" spans="1:13" x14ac:dyDescent="0.25">
      <c r="A248" t="s">
        <v>11</v>
      </c>
      <c r="B248" t="s">
        <v>78</v>
      </c>
      <c r="C248">
        <v>3844</v>
      </c>
      <c r="D248" t="s">
        <v>79</v>
      </c>
      <c r="E248">
        <v>34600147</v>
      </c>
      <c r="F248" t="s">
        <v>60</v>
      </c>
      <c r="G248">
        <v>607.75</v>
      </c>
      <c r="H248" s="1">
        <v>45292</v>
      </c>
      <c r="I248">
        <v>578.80999999999995</v>
      </c>
      <c r="J248" s="1">
        <v>44927</v>
      </c>
      <c r="K248">
        <v>28.94</v>
      </c>
      <c r="L248">
        <v>4.99</v>
      </c>
      <c r="M248" s="2">
        <f t="shared" si="3"/>
        <v>4.9999136158670382E-2</v>
      </c>
    </row>
    <row r="249" spans="1:13" x14ac:dyDescent="0.25">
      <c r="A249" t="s">
        <v>11</v>
      </c>
      <c r="B249" t="s">
        <v>78</v>
      </c>
      <c r="C249">
        <v>3844</v>
      </c>
      <c r="D249" t="s">
        <v>79</v>
      </c>
      <c r="E249">
        <v>34600148</v>
      </c>
      <c r="F249" t="s">
        <v>61</v>
      </c>
      <c r="G249">
        <v>607.75</v>
      </c>
      <c r="H249" s="1">
        <v>45292</v>
      </c>
      <c r="I249">
        <v>578.80999999999995</v>
      </c>
      <c r="J249" s="1">
        <v>44927</v>
      </c>
      <c r="K249">
        <v>28.94</v>
      </c>
      <c r="L249">
        <v>4.99</v>
      </c>
      <c r="M249" s="2">
        <f t="shared" si="3"/>
        <v>4.9999136158670382E-2</v>
      </c>
    </row>
    <row r="250" spans="1:13" x14ac:dyDescent="0.25">
      <c r="A250" t="s">
        <v>11</v>
      </c>
      <c r="B250" t="s">
        <v>78</v>
      </c>
      <c r="C250">
        <v>3844</v>
      </c>
      <c r="D250" t="s">
        <v>79</v>
      </c>
      <c r="E250">
        <v>34600149</v>
      </c>
      <c r="F250" t="s">
        <v>226</v>
      </c>
      <c r="G250">
        <v>218.77</v>
      </c>
      <c r="H250" s="1">
        <v>45292</v>
      </c>
      <c r="I250">
        <v>208.35</v>
      </c>
      <c r="J250" s="1">
        <v>44927</v>
      </c>
      <c r="K250">
        <v>10.42</v>
      </c>
      <c r="L250">
        <v>5</v>
      </c>
      <c r="M250" s="2">
        <f t="shared" si="3"/>
        <v>5.0011999040076797E-2</v>
      </c>
    </row>
    <row r="251" spans="1:13" x14ac:dyDescent="0.25">
      <c r="A251" t="s">
        <v>11</v>
      </c>
      <c r="B251" t="s">
        <v>78</v>
      </c>
      <c r="C251">
        <v>3844</v>
      </c>
      <c r="D251" t="s">
        <v>79</v>
      </c>
      <c r="E251">
        <v>34600150</v>
      </c>
      <c r="F251" t="s">
        <v>227</v>
      </c>
      <c r="G251">
        <v>160.02000000000001</v>
      </c>
      <c r="H251" s="1">
        <v>45292</v>
      </c>
      <c r="I251">
        <v>152.4</v>
      </c>
      <c r="J251" s="1">
        <v>44927</v>
      </c>
      <c r="K251">
        <v>7.62</v>
      </c>
      <c r="L251">
        <v>5</v>
      </c>
      <c r="M251" s="2">
        <f t="shared" si="3"/>
        <v>4.9999999999999996E-2</v>
      </c>
    </row>
    <row r="252" spans="1:13" x14ac:dyDescent="0.25">
      <c r="A252" t="s">
        <v>11</v>
      </c>
      <c r="B252" t="s">
        <v>78</v>
      </c>
      <c r="C252">
        <v>3844</v>
      </c>
      <c r="D252" t="s">
        <v>79</v>
      </c>
      <c r="E252">
        <v>34600151</v>
      </c>
      <c r="F252" t="s">
        <v>228</v>
      </c>
      <c r="G252">
        <v>254.61</v>
      </c>
      <c r="H252" s="1">
        <v>45292</v>
      </c>
      <c r="I252">
        <v>242.49</v>
      </c>
      <c r="J252" s="1">
        <v>44927</v>
      </c>
      <c r="K252">
        <v>12.12</v>
      </c>
      <c r="L252">
        <v>4.99</v>
      </c>
      <c r="M252" s="2">
        <f t="shared" si="3"/>
        <v>4.9981442533712728E-2</v>
      </c>
    </row>
    <row r="253" spans="1:13" x14ac:dyDescent="0.25">
      <c r="A253" t="s">
        <v>11</v>
      </c>
      <c r="B253" t="s">
        <v>78</v>
      </c>
      <c r="C253">
        <v>3844</v>
      </c>
      <c r="D253" t="s">
        <v>79</v>
      </c>
      <c r="E253">
        <v>34600152</v>
      </c>
      <c r="F253" t="s">
        <v>229</v>
      </c>
      <c r="G253">
        <v>269.02999999999997</v>
      </c>
      <c r="H253" s="1">
        <v>45292</v>
      </c>
      <c r="I253">
        <v>256.22000000000003</v>
      </c>
      <c r="J253" s="1">
        <v>44927</v>
      </c>
      <c r="K253">
        <v>12.81</v>
      </c>
      <c r="L253">
        <v>4.99</v>
      </c>
      <c r="M253" s="2">
        <f t="shared" si="3"/>
        <v>4.9996097104051201E-2</v>
      </c>
    </row>
    <row r="254" spans="1:13" x14ac:dyDescent="0.25">
      <c r="A254" t="s">
        <v>11</v>
      </c>
      <c r="B254" t="s">
        <v>78</v>
      </c>
      <c r="C254">
        <v>3844</v>
      </c>
      <c r="D254" t="s">
        <v>79</v>
      </c>
      <c r="E254">
        <v>34600153</v>
      </c>
      <c r="F254" t="s">
        <v>230</v>
      </c>
      <c r="G254">
        <v>433.28</v>
      </c>
      <c r="H254" s="1">
        <v>45292</v>
      </c>
      <c r="I254">
        <v>412.65</v>
      </c>
      <c r="J254" s="1">
        <v>44927</v>
      </c>
      <c r="K254">
        <v>20.63</v>
      </c>
      <c r="L254">
        <v>4.99</v>
      </c>
      <c r="M254" s="2">
        <f t="shared" si="3"/>
        <v>4.999394159699503E-2</v>
      </c>
    </row>
    <row r="255" spans="1:13" x14ac:dyDescent="0.25">
      <c r="A255" t="s">
        <v>11</v>
      </c>
      <c r="B255" t="s">
        <v>78</v>
      </c>
      <c r="C255">
        <v>3844</v>
      </c>
      <c r="D255" t="s">
        <v>79</v>
      </c>
      <c r="E255">
        <v>34600154</v>
      </c>
      <c r="F255" t="s">
        <v>231</v>
      </c>
      <c r="G255">
        <v>426.67</v>
      </c>
      <c r="H255" s="1">
        <v>45292</v>
      </c>
      <c r="I255">
        <v>406.35</v>
      </c>
      <c r="J255" s="1">
        <v>44927</v>
      </c>
      <c r="K255">
        <v>20.32</v>
      </c>
      <c r="L255">
        <v>5</v>
      </c>
      <c r="M255" s="2">
        <f t="shared" si="3"/>
        <v>5.0006152331733722E-2</v>
      </c>
    </row>
    <row r="256" spans="1:13" x14ac:dyDescent="0.25">
      <c r="A256" t="s">
        <v>11</v>
      </c>
      <c r="B256" t="s">
        <v>78</v>
      </c>
      <c r="C256">
        <v>3844</v>
      </c>
      <c r="D256" t="s">
        <v>79</v>
      </c>
      <c r="E256">
        <v>34600155</v>
      </c>
      <c r="F256" t="s">
        <v>163</v>
      </c>
      <c r="G256">
        <v>130.38999999999999</v>
      </c>
      <c r="H256" s="1">
        <v>45292</v>
      </c>
      <c r="I256">
        <v>124.18</v>
      </c>
      <c r="J256" s="1">
        <v>44927</v>
      </c>
      <c r="K256">
        <v>6.21</v>
      </c>
      <c r="L256">
        <v>5</v>
      </c>
      <c r="M256" s="2">
        <f t="shared" si="3"/>
        <v>5.000805282654211E-2</v>
      </c>
    </row>
    <row r="257" spans="1:13" x14ac:dyDescent="0.25">
      <c r="A257" t="s">
        <v>11</v>
      </c>
      <c r="B257" t="s">
        <v>78</v>
      </c>
      <c r="C257">
        <v>3844</v>
      </c>
      <c r="D257" t="s">
        <v>79</v>
      </c>
      <c r="E257">
        <v>34600156</v>
      </c>
      <c r="F257" t="s">
        <v>232</v>
      </c>
      <c r="G257">
        <v>147.75</v>
      </c>
      <c r="H257" s="1">
        <v>45292</v>
      </c>
      <c r="I257">
        <v>140.71</v>
      </c>
      <c r="J257" s="1">
        <v>44927</v>
      </c>
      <c r="K257">
        <v>7.04</v>
      </c>
      <c r="L257">
        <v>5</v>
      </c>
      <c r="M257" s="2">
        <f t="shared" si="3"/>
        <v>5.003198066946201E-2</v>
      </c>
    </row>
    <row r="258" spans="1:13" x14ac:dyDescent="0.25">
      <c r="A258" t="s">
        <v>11</v>
      </c>
      <c r="B258" t="s">
        <v>78</v>
      </c>
      <c r="C258">
        <v>3844</v>
      </c>
      <c r="D258" t="s">
        <v>79</v>
      </c>
      <c r="E258">
        <v>34600157</v>
      </c>
      <c r="F258" t="s">
        <v>233</v>
      </c>
      <c r="G258">
        <v>297.17</v>
      </c>
      <c r="H258" s="1">
        <v>45292</v>
      </c>
      <c r="I258">
        <v>283.02</v>
      </c>
      <c r="J258" s="1">
        <v>44927</v>
      </c>
      <c r="K258">
        <v>14.15</v>
      </c>
      <c r="L258">
        <v>4.99</v>
      </c>
      <c r="M258" s="2">
        <f t="shared" si="3"/>
        <v>4.9996466680799947E-2</v>
      </c>
    </row>
    <row r="259" spans="1:13" x14ac:dyDescent="0.25">
      <c r="A259" t="s">
        <v>11</v>
      </c>
      <c r="B259" t="s">
        <v>78</v>
      </c>
      <c r="C259">
        <v>3844</v>
      </c>
      <c r="D259" t="s">
        <v>79</v>
      </c>
      <c r="E259">
        <v>34600158</v>
      </c>
      <c r="F259" t="s">
        <v>226</v>
      </c>
      <c r="G259">
        <v>278.72000000000003</v>
      </c>
      <c r="H259" s="1">
        <v>45292</v>
      </c>
      <c r="I259">
        <v>265.45</v>
      </c>
      <c r="J259" s="1">
        <v>44927</v>
      </c>
      <c r="K259">
        <v>13.27</v>
      </c>
      <c r="L259">
        <v>4.99</v>
      </c>
      <c r="M259" s="2">
        <f t="shared" ref="M259:M322" si="4">K259/I259</f>
        <v>4.9990582030514222E-2</v>
      </c>
    </row>
    <row r="260" spans="1:13" x14ac:dyDescent="0.25">
      <c r="A260" t="s">
        <v>11</v>
      </c>
      <c r="B260" t="s">
        <v>78</v>
      </c>
      <c r="C260">
        <v>3844</v>
      </c>
      <c r="D260" t="s">
        <v>79</v>
      </c>
      <c r="E260">
        <v>34600159</v>
      </c>
      <c r="F260" t="s">
        <v>234</v>
      </c>
      <c r="G260">
        <v>439.66</v>
      </c>
      <c r="H260" s="1">
        <v>45292</v>
      </c>
      <c r="I260">
        <v>418.72</v>
      </c>
      <c r="J260" s="1">
        <v>44927</v>
      </c>
      <c r="K260">
        <v>20.94</v>
      </c>
      <c r="L260">
        <v>5</v>
      </c>
      <c r="M260" s="2">
        <f t="shared" si="4"/>
        <v>5.0009552923194499E-2</v>
      </c>
    </row>
    <row r="261" spans="1:13" x14ac:dyDescent="0.25">
      <c r="A261" t="s">
        <v>11</v>
      </c>
      <c r="B261" t="s">
        <v>78</v>
      </c>
      <c r="C261">
        <v>3844</v>
      </c>
      <c r="D261" t="s">
        <v>79</v>
      </c>
      <c r="E261">
        <v>34600160</v>
      </c>
      <c r="F261" t="s">
        <v>235</v>
      </c>
      <c r="G261">
        <v>234.48</v>
      </c>
      <c r="H261" s="1">
        <v>45292</v>
      </c>
      <c r="I261">
        <v>223.31</v>
      </c>
      <c r="J261" s="1">
        <v>44927</v>
      </c>
      <c r="K261">
        <v>11.17</v>
      </c>
      <c r="L261">
        <v>5</v>
      </c>
      <c r="M261" s="2">
        <f t="shared" si="4"/>
        <v>5.0020151359097216E-2</v>
      </c>
    </row>
    <row r="262" spans="1:13" x14ac:dyDescent="0.25">
      <c r="A262" t="s">
        <v>11</v>
      </c>
      <c r="B262" t="s">
        <v>78</v>
      </c>
      <c r="C262">
        <v>3844</v>
      </c>
      <c r="D262" t="s">
        <v>79</v>
      </c>
      <c r="E262">
        <v>34600161</v>
      </c>
      <c r="F262" t="s">
        <v>236</v>
      </c>
      <c r="G262">
        <v>484.44</v>
      </c>
      <c r="H262" s="1">
        <v>45292</v>
      </c>
      <c r="I262">
        <v>461.37</v>
      </c>
      <c r="J262" s="1">
        <v>44927</v>
      </c>
      <c r="K262">
        <v>23.07</v>
      </c>
      <c r="L262">
        <v>5</v>
      </c>
      <c r="M262" s="2">
        <f t="shared" si="4"/>
        <v>5.000325118668314E-2</v>
      </c>
    </row>
    <row r="263" spans="1:13" x14ac:dyDescent="0.25">
      <c r="A263" t="s">
        <v>11</v>
      </c>
      <c r="B263" t="s">
        <v>78</v>
      </c>
      <c r="C263">
        <v>3844</v>
      </c>
      <c r="D263" t="s">
        <v>79</v>
      </c>
      <c r="E263">
        <v>34600162</v>
      </c>
      <c r="F263" t="s">
        <v>237</v>
      </c>
      <c r="G263">
        <v>484.44</v>
      </c>
      <c r="H263" s="1">
        <v>45292</v>
      </c>
      <c r="I263">
        <v>461.37</v>
      </c>
      <c r="J263" s="1">
        <v>44927</v>
      </c>
      <c r="K263">
        <v>23.07</v>
      </c>
      <c r="L263">
        <v>5</v>
      </c>
      <c r="M263" s="2">
        <f t="shared" si="4"/>
        <v>5.000325118668314E-2</v>
      </c>
    </row>
    <row r="264" spans="1:13" x14ac:dyDescent="0.25">
      <c r="A264" t="s">
        <v>11</v>
      </c>
      <c r="B264" t="s">
        <v>78</v>
      </c>
      <c r="C264">
        <v>3844</v>
      </c>
      <c r="D264" t="s">
        <v>79</v>
      </c>
      <c r="E264">
        <v>34600163</v>
      </c>
      <c r="F264" t="s">
        <v>238</v>
      </c>
      <c r="G264">
        <v>484.44</v>
      </c>
      <c r="H264" s="1">
        <v>45292</v>
      </c>
      <c r="I264">
        <v>461.37</v>
      </c>
      <c r="J264" s="1">
        <v>44927</v>
      </c>
      <c r="K264">
        <v>23.07</v>
      </c>
      <c r="L264">
        <v>5</v>
      </c>
      <c r="M264" s="2">
        <f t="shared" si="4"/>
        <v>5.000325118668314E-2</v>
      </c>
    </row>
    <row r="265" spans="1:13" x14ac:dyDescent="0.25">
      <c r="A265" t="s">
        <v>11</v>
      </c>
      <c r="B265" t="s">
        <v>78</v>
      </c>
      <c r="C265">
        <v>3844</v>
      </c>
      <c r="D265" t="s">
        <v>79</v>
      </c>
      <c r="E265">
        <v>34600164</v>
      </c>
      <c r="F265" t="s">
        <v>239</v>
      </c>
      <c r="G265">
        <v>484.44</v>
      </c>
      <c r="H265" s="1">
        <v>45292</v>
      </c>
      <c r="I265">
        <v>461.37</v>
      </c>
      <c r="J265" s="1">
        <v>44927</v>
      </c>
      <c r="K265">
        <v>23.07</v>
      </c>
      <c r="L265">
        <v>5</v>
      </c>
      <c r="M265" s="2">
        <f t="shared" si="4"/>
        <v>5.000325118668314E-2</v>
      </c>
    </row>
    <row r="266" spans="1:13" x14ac:dyDescent="0.25">
      <c r="A266" t="s">
        <v>11</v>
      </c>
      <c r="B266" t="s">
        <v>78</v>
      </c>
      <c r="C266">
        <v>3844</v>
      </c>
      <c r="D266" t="s">
        <v>79</v>
      </c>
      <c r="E266">
        <v>34600165</v>
      </c>
      <c r="F266" t="s">
        <v>240</v>
      </c>
      <c r="G266">
        <v>484.44</v>
      </c>
      <c r="H266" s="1">
        <v>45292</v>
      </c>
      <c r="I266">
        <v>461.37</v>
      </c>
      <c r="J266" s="1">
        <v>44927</v>
      </c>
      <c r="K266">
        <v>23.07</v>
      </c>
      <c r="L266">
        <v>5</v>
      </c>
      <c r="M266" s="2">
        <f t="shared" si="4"/>
        <v>5.000325118668314E-2</v>
      </c>
    </row>
    <row r="267" spans="1:13" x14ac:dyDescent="0.25">
      <c r="A267" t="s">
        <v>11</v>
      </c>
      <c r="B267" t="s">
        <v>78</v>
      </c>
      <c r="C267">
        <v>3844</v>
      </c>
      <c r="D267" t="s">
        <v>79</v>
      </c>
      <c r="E267">
        <v>34600166</v>
      </c>
      <c r="F267" t="s">
        <v>241</v>
      </c>
      <c r="G267">
        <v>484.44</v>
      </c>
      <c r="H267" s="1">
        <v>45292</v>
      </c>
      <c r="I267">
        <v>461.37</v>
      </c>
      <c r="J267" s="1">
        <v>44927</v>
      </c>
      <c r="K267">
        <v>23.07</v>
      </c>
      <c r="L267">
        <v>5</v>
      </c>
      <c r="M267" s="2">
        <f t="shared" si="4"/>
        <v>5.000325118668314E-2</v>
      </c>
    </row>
    <row r="268" spans="1:13" x14ac:dyDescent="0.25">
      <c r="A268" t="s">
        <v>11</v>
      </c>
      <c r="B268" t="s">
        <v>78</v>
      </c>
      <c r="C268">
        <v>3844</v>
      </c>
      <c r="D268" t="s">
        <v>79</v>
      </c>
      <c r="E268">
        <v>34600167</v>
      </c>
      <c r="F268" t="s">
        <v>242</v>
      </c>
      <c r="G268">
        <v>484.44</v>
      </c>
      <c r="H268" s="1">
        <v>45292</v>
      </c>
      <c r="I268">
        <v>461.37</v>
      </c>
      <c r="J268" s="1">
        <v>44927</v>
      </c>
      <c r="K268">
        <v>23.07</v>
      </c>
      <c r="L268">
        <v>5</v>
      </c>
      <c r="M268" s="2">
        <f t="shared" si="4"/>
        <v>5.000325118668314E-2</v>
      </c>
    </row>
    <row r="269" spans="1:13" x14ac:dyDescent="0.25">
      <c r="A269" t="s">
        <v>11</v>
      </c>
      <c r="B269" t="s">
        <v>78</v>
      </c>
      <c r="C269">
        <v>3844</v>
      </c>
      <c r="D269" t="s">
        <v>79</v>
      </c>
      <c r="E269">
        <v>34600168</v>
      </c>
      <c r="F269" t="s">
        <v>243</v>
      </c>
      <c r="G269">
        <v>175.99</v>
      </c>
      <c r="H269" s="1">
        <v>45292</v>
      </c>
      <c r="I269">
        <v>167.61</v>
      </c>
      <c r="J269" s="1">
        <v>44927</v>
      </c>
      <c r="K269">
        <v>8.3800000000000008</v>
      </c>
      <c r="L269">
        <v>4.99</v>
      </c>
      <c r="M269" s="2">
        <f t="shared" si="4"/>
        <v>4.9997016884434101E-2</v>
      </c>
    </row>
    <row r="270" spans="1:13" x14ac:dyDescent="0.25">
      <c r="A270" t="s">
        <v>11</v>
      </c>
      <c r="B270" t="s">
        <v>78</v>
      </c>
      <c r="C270">
        <v>3844</v>
      </c>
      <c r="D270" t="s">
        <v>79</v>
      </c>
      <c r="E270">
        <v>34600169</v>
      </c>
      <c r="F270" t="s">
        <v>244</v>
      </c>
      <c r="G270">
        <v>159.41</v>
      </c>
      <c r="H270" s="1">
        <v>45292</v>
      </c>
      <c r="I270">
        <v>151.82</v>
      </c>
      <c r="J270" s="1">
        <v>44927</v>
      </c>
      <c r="K270">
        <v>7.59</v>
      </c>
      <c r="L270">
        <v>4.99</v>
      </c>
      <c r="M270" s="2">
        <f t="shared" si="4"/>
        <v>4.9993413252535902E-2</v>
      </c>
    </row>
    <row r="271" spans="1:13" x14ac:dyDescent="0.25">
      <c r="A271" t="s">
        <v>11</v>
      </c>
      <c r="B271" t="s">
        <v>78</v>
      </c>
      <c r="C271">
        <v>3844</v>
      </c>
      <c r="D271" t="s">
        <v>79</v>
      </c>
      <c r="E271">
        <v>34600170</v>
      </c>
      <c r="F271" t="s">
        <v>245</v>
      </c>
      <c r="G271">
        <v>150.41</v>
      </c>
      <c r="H271" s="1">
        <v>45292</v>
      </c>
      <c r="I271">
        <v>143.25</v>
      </c>
      <c r="J271" s="1">
        <v>44927</v>
      </c>
      <c r="K271">
        <v>7.16</v>
      </c>
      <c r="L271">
        <v>4.99</v>
      </c>
      <c r="M271" s="2">
        <f t="shared" si="4"/>
        <v>4.9982547993019197E-2</v>
      </c>
    </row>
    <row r="272" spans="1:13" x14ac:dyDescent="0.25">
      <c r="A272" t="s">
        <v>11</v>
      </c>
      <c r="B272" t="s">
        <v>78</v>
      </c>
      <c r="C272">
        <v>3844</v>
      </c>
      <c r="D272" t="s">
        <v>79</v>
      </c>
      <c r="E272">
        <v>34600174</v>
      </c>
      <c r="F272" t="s">
        <v>246</v>
      </c>
      <c r="G272">
        <v>69.459999999999994</v>
      </c>
      <c r="H272" s="1">
        <v>45292</v>
      </c>
      <c r="I272">
        <v>66.150000000000006</v>
      </c>
      <c r="J272" s="1">
        <v>44927</v>
      </c>
      <c r="K272">
        <v>3.31</v>
      </c>
      <c r="L272">
        <v>5</v>
      </c>
      <c r="M272" s="2">
        <f t="shared" si="4"/>
        <v>5.0037792894935748E-2</v>
      </c>
    </row>
    <row r="273" spans="1:13" x14ac:dyDescent="0.25">
      <c r="A273" t="s">
        <v>11</v>
      </c>
      <c r="B273" t="s">
        <v>78</v>
      </c>
      <c r="C273">
        <v>3844</v>
      </c>
      <c r="D273" t="s">
        <v>79</v>
      </c>
      <c r="E273">
        <v>34600179</v>
      </c>
      <c r="F273" t="s">
        <v>247</v>
      </c>
      <c r="G273">
        <v>60.64</v>
      </c>
      <c r="H273" s="1">
        <v>45292</v>
      </c>
      <c r="I273">
        <v>57.75</v>
      </c>
      <c r="J273" s="1">
        <v>44927</v>
      </c>
      <c r="K273">
        <v>2.89</v>
      </c>
      <c r="L273">
        <v>5</v>
      </c>
      <c r="M273" s="2">
        <f t="shared" si="4"/>
        <v>5.0043290043290042E-2</v>
      </c>
    </row>
    <row r="274" spans="1:13" x14ac:dyDescent="0.25">
      <c r="A274" t="s">
        <v>11</v>
      </c>
      <c r="B274" t="s">
        <v>78</v>
      </c>
      <c r="C274">
        <v>3844</v>
      </c>
      <c r="D274" t="s">
        <v>79</v>
      </c>
      <c r="E274">
        <v>34600180</v>
      </c>
      <c r="F274" t="s">
        <v>248</v>
      </c>
      <c r="G274">
        <v>91.46</v>
      </c>
      <c r="H274" s="1">
        <v>45292</v>
      </c>
      <c r="I274">
        <v>87.1</v>
      </c>
      <c r="J274" s="1">
        <v>44927</v>
      </c>
      <c r="K274">
        <v>4.3600000000000003</v>
      </c>
      <c r="L274">
        <v>5</v>
      </c>
      <c r="M274" s="2">
        <f t="shared" si="4"/>
        <v>5.0057405281285883E-2</v>
      </c>
    </row>
    <row r="275" spans="1:13" x14ac:dyDescent="0.25">
      <c r="A275" t="s">
        <v>11</v>
      </c>
      <c r="B275" t="s">
        <v>78</v>
      </c>
      <c r="C275">
        <v>3844</v>
      </c>
      <c r="D275" t="s">
        <v>79</v>
      </c>
      <c r="E275">
        <v>34600181</v>
      </c>
      <c r="F275" t="s">
        <v>249</v>
      </c>
      <c r="G275">
        <v>491.96</v>
      </c>
      <c r="H275" s="1">
        <v>45292</v>
      </c>
      <c r="I275">
        <v>468.53</v>
      </c>
      <c r="J275" s="1">
        <v>44927</v>
      </c>
      <c r="K275">
        <v>23.43</v>
      </c>
      <c r="L275">
        <v>5</v>
      </c>
      <c r="M275" s="2">
        <f t="shared" si="4"/>
        <v>5.0007470172667705E-2</v>
      </c>
    </row>
    <row r="276" spans="1:13" x14ac:dyDescent="0.25">
      <c r="A276" t="s">
        <v>11</v>
      </c>
      <c r="B276" t="s">
        <v>78</v>
      </c>
      <c r="C276">
        <v>3844</v>
      </c>
      <c r="D276" t="s">
        <v>79</v>
      </c>
      <c r="E276">
        <v>34600182</v>
      </c>
      <c r="F276" t="s">
        <v>250</v>
      </c>
      <c r="G276">
        <v>91.46</v>
      </c>
      <c r="H276" s="1">
        <v>45292</v>
      </c>
      <c r="I276">
        <v>87.1</v>
      </c>
      <c r="J276" s="1">
        <v>44927</v>
      </c>
      <c r="K276">
        <v>4.3600000000000003</v>
      </c>
      <c r="L276">
        <v>5</v>
      </c>
      <c r="M276" s="2">
        <f t="shared" si="4"/>
        <v>5.0057405281285883E-2</v>
      </c>
    </row>
    <row r="277" spans="1:13" x14ac:dyDescent="0.25">
      <c r="A277" t="s">
        <v>11</v>
      </c>
      <c r="B277" t="s">
        <v>78</v>
      </c>
      <c r="C277">
        <v>3844</v>
      </c>
      <c r="D277" t="s">
        <v>79</v>
      </c>
      <c r="E277">
        <v>34600280</v>
      </c>
      <c r="F277" t="s">
        <v>251</v>
      </c>
      <c r="G277">
        <v>222.85</v>
      </c>
      <c r="H277" s="1">
        <v>45292</v>
      </c>
      <c r="I277">
        <v>212.24</v>
      </c>
      <c r="J277" s="1">
        <v>44927</v>
      </c>
      <c r="K277">
        <v>10.61</v>
      </c>
      <c r="L277">
        <v>4.99</v>
      </c>
      <c r="M277" s="2">
        <f t="shared" si="4"/>
        <v>4.9990576705616276E-2</v>
      </c>
    </row>
    <row r="278" spans="1:13" x14ac:dyDescent="0.25">
      <c r="A278" t="s">
        <v>11</v>
      </c>
      <c r="B278" t="s">
        <v>78</v>
      </c>
      <c r="C278">
        <v>3844</v>
      </c>
      <c r="D278" t="s">
        <v>79</v>
      </c>
      <c r="E278">
        <v>34600290</v>
      </c>
      <c r="F278" t="s">
        <v>62</v>
      </c>
      <c r="G278">
        <v>28.94</v>
      </c>
      <c r="H278" s="1">
        <v>45292</v>
      </c>
      <c r="I278">
        <v>27.56</v>
      </c>
      <c r="J278" s="1">
        <v>44927</v>
      </c>
      <c r="K278">
        <v>1.38</v>
      </c>
      <c r="L278">
        <v>5</v>
      </c>
      <c r="M278" s="2">
        <f t="shared" si="4"/>
        <v>5.0072568940493466E-2</v>
      </c>
    </row>
    <row r="279" spans="1:13" x14ac:dyDescent="0.25">
      <c r="A279" t="s">
        <v>11</v>
      </c>
      <c r="B279" t="s">
        <v>78</v>
      </c>
      <c r="C279">
        <v>3844</v>
      </c>
      <c r="D279" t="s">
        <v>79</v>
      </c>
      <c r="E279">
        <v>34600400</v>
      </c>
      <c r="F279" t="s">
        <v>252</v>
      </c>
      <c r="G279">
        <v>678.04</v>
      </c>
      <c r="H279" s="1">
        <v>45292</v>
      </c>
      <c r="I279">
        <v>645.75</v>
      </c>
      <c r="J279" s="1">
        <v>44927</v>
      </c>
      <c r="K279">
        <v>32.29</v>
      </c>
      <c r="L279">
        <v>5</v>
      </c>
      <c r="M279" s="2">
        <f t="shared" si="4"/>
        <v>5.0003871467286097E-2</v>
      </c>
    </row>
    <row r="280" spans="1:13" x14ac:dyDescent="0.25">
      <c r="A280" t="s">
        <v>11</v>
      </c>
      <c r="B280" t="s">
        <v>78</v>
      </c>
      <c r="C280">
        <v>3844</v>
      </c>
      <c r="D280" t="s">
        <v>79</v>
      </c>
      <c r="E280">
        <v>34600410</v>
      </c>
      <c r="F280" t="s">
        <v>253</v>
      </c>
      <c r="G280">
        <v>182.54</v>
      </c>
      <c r="H280" s="1">
        <v>45292</v>
      </c>
      <c r="I280">
        <v>173.85</v>
      </c>
      <c r="J280" s="1">
        <v>44927</v>
      </c>
      <c r="K280">
        <v>8.69</v>
      </c>
      <c r="L280">
        <v>4.99</v>
      </c>
      <c r="M280" s="2">
        <f t="shared" si="4"/>
        <v>4.998561978717285E-2</v>
      </c>
    </row>
    <row r="281" spans="1:13" x14ac:dyDescent="0.25">
      <c r="A281" t="s">
        <v>11</v>
      </c>
      <c r="B281" t="s">
        <v>78</v>
      </c>
      <c r="C281">
        <v>3844</v>
      </c>
      <c r="D281" t="s">
        <v>79</v>
      </c>
      <c r="E281">
        <v>34600420</v>
      </c>
      <c r="F281" t="s">
        <v>63</v>
      </c>
      <c r="G281">
        <v>448</v>
      </c>
      <c r="H281" s="1">
        <v>45292</v>
      </c>
      <c r="I281">
        <v>426.67</v>
      </c>
      <c r="J281" s="1">
        <v>44927</v>
      </c>
      <c r="K281">
        <v>21.33</v>
      </c>
      <c r="L281">
        <v>4.99</v>
      </c>
      <c r="M281" s="2">
        <f t="shared" si="4"/>
        <v>4.9991796939086411E-2</v>
      </c>
    </row>
    <row r="282" spans="1:13" x14ac:dyDescent="0.25">
      <c r="A282" t="s">
        <v>11</v>
      </c>
      <c r="B282" t="s">
        <v>78</v>
      </c>
      <c r="C282">
        <v>3844</v>
      </c>
      <c r="D282" t="s">
        <v>79</v>
      </c>
      <c r="E282">
        <v>34600421</v>
      </c>
      <c r="F282" t="s">
        <v>210</v>
      </c>
      <c r="G282">
        <v>270.70999999999998</v>
      </c>
      <c r="H282" s="1">
        <v>45292</v>
      </c>
      <c r="I282">
        <v>257.82</v>
      </c>
      <c r="J282" s="1">
        <v>44927</v>
      </c>
      <c r="K282">
        <v>12.89</v>
      </c>
      <c r="L282">
        <v>4.99</v>
      </c>
      <c r="M282" s="2">
        <f t="shared" si="4"/>
        <v>4.99961213249554E-2</v>
      </c>
    </row>
    <row r="283" spans="1:13" x14ac:dyDescent="0.25">
      <c r="A283" t="s">
        <v>11</v>
      </c>
      <c r="B283" t="s">
        <v>78</v>
      </c>
      <c r="C283">
        <v>3844</v>
      </c>
      <c r="D283" t="s">
        <v>79</v>
      </c>
      <c r="E283">
        <v>34600422</v>
      </c>
      <c r="F283" t="s">
        <v>64</v>
      </c>
      <c r="G283">
        <v>607.75</v>
      </c>
      <c r="H283" s="1">
        <v>45292</v>
      </c>
      <c r="I283">
        <v>578.80999999999995</v>
      </c>
      <c r="J283" s="1">
        <v>44927</v>
      </c>
      <c r="K283">
        <v>28.94</v>
      </c>
      <c r="L283">
        <v>4.99</v>
      </c>
      <c r="M283" s="2">
        <f t="shared" si="4"/>
        <v>4.9999136158670382E-2</v>
      </c>
    </row>
    <row r="284" spans="1:13" x14ac:dyDescent="0.25">
      <c r="A284" t="s">
        <v>11</v>
      </c>
      <c r="B284" t="s">
        <v>78</v>
      </c>
      <c r="C284">
        <v>3844</v>
      </c>
      <c r="D284" t="s">
        <v>79</v>
      </c>
      <c r="E284">
        <v>34600423</v>
      </c>
      <c r="F284" t="s">
        <v>65</v>
      </c>
      <c r="G284">
        <v>607.75</v>
      </c>
      <c r="H284" s="1">
        <v>45292</v>
      </c>
      <c r="I284">
        <v>578.80999999999995</v>
      </c>
      <c r="J284" s="1">
        <v>44927</v>
      </c>
      <c r="K284">
        <v>28.94</v>
      </c>
      <c r="L284">
        <v>4.99</v>
      </c>
      <c r="M284" s="2">
        <f t="shared" si="4"/>
        <v>4.9999136158670382E-2</v>
      </c>
    </row>
    <row r="285" spans="1:13" x14ac:dyDescent="0.25">
      <c r="A285" t="s">
        <v>11</v>
      </c>
      <c r="B285" t="s">
        <v>78</v>
      </c>
      <c r="C285">
        <v>3844</v>
      </c>
      <c r="D285" t="s">
        <v>79</v>
      </c>
      <c r="E285">
        <v>34600424</v>
      </c>
      <c r="F285" t="s">
        <v>66</v>
      </c>
      <c r="G285">
        <v>358.17</v>
      </c>
      <c r="H285" s="1">
        <v>45292</v>
      </c>
      <c r="I285">
        <v>341.11</v>
      </c>
      <c r="J285" s="1">
        <v>44927</v>
      </c>
      <c r="K285">
        <v>17.059999999999999</v>
      </c>
      <c r="L285">
        <v>5</v>
      </c>
      <c r="M285" s="2">
        <f t="shared" si="4"/>
        <v>5.0013192225381836E-2</v>
      </c>
    </row>
    <row r="286" spans="1:13" x14ac:dyDescent="0.25">
      <c r="A286" t="s">
        <v>11</v>
      </c>
      <c r="B286" t="s">
        <v>78</v>
      </c>
      <c r="C286">
        <v>3844</v>
      </c>
      <c r="D286" t="s">
        <v>79</v>
      </c>
      <c r="E286">
        <v>34600440</v>
      </c>
      <c r="F286" t="s">
        <v>254</v>
      </c>
      <c r="G286">
        <v>347.94</v>
      </c>
      <c r="H286" s="1">
        <v>45292</v>
      </c>
      <c r="I286">
        <v>331.37</v>
      </c>
      <c r="J286" s="1">
        <v>44927</v>
      </c>
      <c r="K286">
        <v>16.57</v>
      </c>
      <c r="L286">
        <v>5</v>
      </c>
      <c r="M286" s="2">
        <f t="shared" si="4"/>
        <v>5.000452666203941E-2</v>
      </c>
    </row>
    <row r="287" spans="1:13" x14ac:dyDescent="0.25">
      <c r="A287" t="s">
        <v>11</v>
      </c>
      <c r="B287" t="s">
        <v>78</v>
      </c>
      <c r="C287">
        <v>3844</v>
      </c>
      <c r="D287" t="s">
        <v>79</v>
      </c>
      <c r="E287">
        <v>34600445</v>
      </c>
      <c r="F287" t="s">
        <v>255</v>
      </c>
      <c r="G287">
        <v>141.03</v>
      </c>
      <c r="H287" s="1">
        <v>45292</v>
      </c>
      <c r="I287">
        <v>134.31</v>
      </c>
      <c r="J287" s="1">
        <v>44927</v>
      </c>
      <c r="K287">
        <v>6.72</v>
      </c>
      <c r="L287">
        <v>5</v>
      </c>
      <c r="M287" s="2">
        <f t="shared" si="4"/>
        <v>5.0033504578959123E-2</v>
      </c>
    </row>
    <row r="288" spans="1:13" x14ac:dyDescent="0.25">
      <c r="A288" t="s">
        <v>11</v>
      </c>
      <c r="B288" t="s">
        <v>78</v>
      </c>
      <c r="C288">
        <v>3844</v>
      </c>
      <c r="D288" t="s">
        <v>79</v>
      </c>
      <c r="E288">
        <v>34600450</v>
      </c>
      <c r="F288" t="s">
        <v>67</v>
      </c>
      <c r="G288">
        <v>27.56</v>
      </c>
      <c r="H288" s="1">
        <v>45292</v>
      </c>
      <c r="I288">
        <v>26.25</v>
      </c>
      <c r="J288" s="1">
        <v>44927</v>
      </c>
      <c r="K288">
        <v>1.31</v>
      </c>
      <c r="L288">
        <v>4.99</v>
      </c>
      <c r="M288" s="2">
        <f t="shared" si="4"/>
        <v>4.990476190476191E-2</v>
      </c>
    </row>
    <row r="289" spans="1:13" x14ac:dyDescent="0.25">
      <c r="A289" t="s">
        <v>11</v>
      </c>
      <c r="B289" t="s">
        <v>78</v>
      </c>
      <c r="C289">
        <v>3844</v>
      </c>
      <c r="D289" t="s">
        <v>79</v>
      </c>
      <c r="E289">
        <v>34600500</v>
      </c>
      <c r="F289" t="s">
        <v>109</v>
      </c>
      <c r="G289">
        <v>100.95</v>
      </c>
      <c r="H289" s="1">
        <v>45292</v>
      </c>
      <c r="I289">
        <v>96.14</v>
      </c>
      <c r="J289" s="1">
        <v>44927</v>
      </c>
      <c r="K289">
        <v>4.8099999999999996</v>
      </c>
      <c r="L289">
        <v>5</v>
      </c>
      <c r="M289" s="2">
        <f t="shared" si="4"/>
        <v>5.003120449344705E-2</v>
      </c>
    </row>
    <row r="290" spans="1:13" x14ac:dyDescent="0.25">
      <c r="A290" t="s">
        <v>11</v>
      </c>
      <c r="B290" t="s">
        <v>78</v>
      </c>
      <c r="C290">
        <v>3844</v>
      </c>
      <c r="D290" t="s">
        <v>79</v>
      </c>
      <c r="E290">
        <v>34600505</v>
      </c>
      <c r="F290" t="s">
        <v>256</v>
      </c>
      <c r="G290">
        <v>301.58999999999997</v>
      </c>
      <c r="H290" s="1">
        <v>45292</v>
      </c>
      <c r="I290">
        <v>287.23</v>
      </c>
      <c r="J290" s="1">
        <v>44927</v>
      </c>
      <c r="K290">
        <v>14.36</v>
      </c>
      <c r="L290">
        <v>4.99</v>
      </c>
      <c r="M290" s="2">
        <f t="shared" si="4"/>
        <v>4.9994777704278799E-2</v>
      </c>
    </row>
    <row r="291" spans="1:13" x14ac:dyDescent="0.25">
      <c r="A291" t="s">
        <v>11</v>
      </c>
      <c r="B291" t="s">
        <v>78</v>
      </c>
      <c r="C291">
        <v>3844</v>
      </c>
      <c r="D291" t="s">
        <v>79</v>
      </c>
      <c r="E291">
        <v>34600510</v>
      </c>
      <c r="F291" t="s">
        <v>68</v>
      </c>
      <c r="G291">
        <v>156.24</v>
      </c>
      <c r="H291" s="1">
        <v>45292</v>
      </c>
      <c r="I291">
        <v>148.80000000000001</v>
      </c>
      <c r="J291" s="1">
        <v>44927</v>
      </c>
      <c r="K291">
        <v>7.44</v>
      </c>
      <c r="L291">
        <v>5</v>
      </c>
      <c r="M291" s="2">
        <f t="shared" si="4"/>
        <v>4.9999999999999996E-2</v>
      </c>
    </row>
    <row r="292" spans="1:13" x14ac:dyDescent="0.25">
      <c r="A292" t="s">
        <v>11</v>
      </c>
      <c r="B292" t="s">
        <v>78</v>
      </c>
      <c r="C292">
        <v>3844</v>
      </c>
      <c r="D292" t="s">
        <v>79</v>
      </c>
      <c r="E292">
        <v>34600515</v>
      </c>
      <c r="F292" t="s">
        <v>257</v>
      </c>
      <c r="G292">
        <v>76.66</v>
      </c>
      <c r="H292" s="1">
        <v>45292</v>
      </c>
      <c r="I292">
        <v>73.010000000000005</v>
      </c>
      <c r="J292" s="1">
        <v>44927</v>
      </c>
      <c r="K292">
        <v>3.65</v>
      </c>
      <c r="L292">
        <v>4.99</v>
      </c>
      <c r="M292" s="2">
        <f t="shared" si="4"/>
        <v>4.9993151623065328E-2</v>
      </c>
    </row>
    <row r="293" spans="1:13" x14ac:dyDescent="0.25">
      <c r="A293" t="s">
        <v>11</v>
      </c>
      <c r="B293" t="s">
        <v>78</v>
      </c>
      <c r="C293">
        <v>3844</v>
      </c>
      <c r="D293" t="s">
        <v>79</v>
      </c>
      <c r="E293">
        <v>34600525</v>
      </c>
      <c r="F293" t="s">
        <v>30</v>
      </c>
      <c r="G293">
        <v>214.99</v>
      </c>
      <c r="H293" s="1">
        <v>45292</v>
      </c>
      <c r="I293">
        <v>204.75</v>
      </c>
      <c r="J293" s="1">
        <v>44927</v>
      </c>
      <c r="K293">
        <v>10.24</v>
      </c>
      <c r="L293">
        <v>5</v>
      </c>
      <c r="M293" s="2">
        <f t="shared" si="4"/>
        <v>5.0012210012210012E-2</v>
      </c>
    </row>
    <row r="294" spans="1:13" x14ac:dyDescent="0.25">
      <c r="A294" t="s">
        <v>11</v>
      </c>
      <c r="B294" t="s">
        <v>78</v>
      </c>
      <c r="C294">
        <v>3844</v>
      </c>
      <c r="D294" t="s">
        <v>79</v>
      </c>
      <c r="E294">
        <v>34600530</v>
      </c>
      <c r="F294" t="s">
        <v>69</v>
      </c>
      <c r="G294">
        <v>382.54</v>
      </c>
      <c r="H294" s="1">
        <v>45292</v>
      </c>
      <c r="I294">
        <v>364.32</v>
      </c>
      <c r="J294" s="1">
        <v>44927</v>
      </c>
      <c r="K294">
        <v>18.22</v>
      </c>
      <c r="L294">
        <v>5</v>
      </c>
      <c r="M294" s="2">
        <f t="shared" si="4"/>
        <v>5.0010979358805441E-2</v>
      </c>
    </row>
    <row r="295" spans="1:13" x14ac:dyDescent="0.25">
      <c r="A295" t="s">
        <v>11</v>
      </c>
      <c r="B295" t="s">
        <v>78</v>
      </c>
      <c r="C295">
        <v>3844</v>
      </c>
      <c r="D295" t="s">
        <v>79</v>
      </c>
      <c r="E295">
        <v>34610010</v>
      </c>
      <c r="F295" t="s">
        <v>258</v>
      </c>
      <c r="G295">
        <v>578.80999999999995</v>
      </c>
      <c r="H295" s="1">
        <v>45292</v>
      </c>
      <c r="I295">
        <v>551.25</v>
      </c>
      <c r="J295" s="1">
        <v>44927</v>
      </c>
      <c r="K295">
        <v>27.56</v>
      </c>
      <c r="L295">
        <v>4.99</v>
      </c>
      <c r="M295" s="2">
        <f t="shared" si="4"/>
        <v>4.999546485260771E-2</v>
      </c>
    </row>
    <row r="296" spans="1:13" x14ac:dyDescent="0.25">
      <c r="A296" t="s">
        <v>11</v>
      </c>
      <c r="B296" t="s">
        <v>78</v>
      </c>
      <c r="C296">
        <v>3844</v>
      </c>
      <c r="D296" t="s">
        <v>79</v>
      </c>
      <c r="E296">
        <v>34650005</v>
      </c>
      <c r="F296" t="s">
        <v>70</v>
      </c>
      <c r="G296">
        <v>329.29</v>
      </c>
      <c r="H296" s="1">
        <v>45292</v>
      </c>
      <c r="I296">
        <v>313.61</v>
      </c>
      <c r="J296" s="1">
        <v>44927</v>
      </c>
      <c r="K296">
        <v>15.68</v>
      </c>
      <c r="L296">
        <v>4.99</v>
      </c>
      <c r="M296" s="2">
        <f t="shared" si="4"/>
        <v>4.9998405663084722E-2</v>
      </c>
    </row>
    <row r="297" spans="1:13" x14ac:dyDescent="0.25">
      <c r="A297" t="s">
        <v>11</v>
      </c>
      <c r="B297" t="s">
        <v>78</v>
      </c>
      <c r="C297">
        <v>3844</v>
      </c>
      <c r="D297" t="s">
        <v>79</v>
      </c>
      <c r="E297">
        <v>34650015</v>
      </c>
      <c r="F297" t="s">
        <v>71</v>
      </c>
      <c r="G297">
        <v>222.85</v>
      </c>
      <c r="H297" s="1">
        <v>45292</v>
      </c>
      <c r="I297">
        <v>212.24</v>
      </c>
      <c r="J297" s="1">
        <v>44927</v>
      </c>
      <c r="K297">
        <v>10.61</v>
      </c>
      <c r="L297">
        <v>4.99</v>
      </c>
      <c r="M297" s="2">
        <f t="shared" si="4"/>
        <v>4.9990576705616276E-2</v>
      </c>
    </row>
    <row r="298" spans="1:13" x14ac:dyDescent="0.25">
      <c r="A298" t="s">
        <v>11</v>
      </c>
      <c r="B298" t="s">
        <v>78</v>
      </c>
      <c r="C298">
        <v>3844</v>
      </c>
      <c r="D298" t="s">
        <v>79</v>
      </c>
      <c r="E298">
        <v>34650016</v>
      </c>
      <c r="F298" t="s">
        <v>259</v>
      </c>
      <c r="G298">
        <v>700.95</v>
      </c>
      <c r="H298" s="1">
        <v>45292</v>
      </c>
      <c r="I298">
        <v>667.57</v>
      </c>
      <c r="J298" s="1">
        <v>44927</v>
      </c>
      <c r="K298">
        <v>33.380000000000003</v>
      </c>
      <c r="L298">
        <v>5</v>
      </c>
      <c r="M298" s="2">
        <f t="shared" si="4"/>
        <v>5.0002246955375466E-2</v>
      </c>
    </row>
    <row r="299" spans="1:13" x14ac:dyDescent="0.25">
      <c r="A299" t="s">
        <v>11</v>
      </c>
      <c r="B299" t="s">
        <v>78</v>
      </c>
      <c r="C299">
        <v>3844</v>
      </c>
      <c r="D299" t="s">
        <v>79</v>
      </c>
      <c r="E299">
        <v>34650017</v>
      </c>
      <c r="F299" t="s">
        <v>260</v>
      </c>
      <c r="G299">
        <v>500.54</v>
      </c>
      <c r="H299" s="1">
        <v>45292</v>
      </c>
      <c r="I299">
        <v>476.7</v>
      </c>
      <c r="J299" s="1">
        <v>44927</v>
      </c>
      <c r="K299">
        <v>23.84</v>
      </c>
      <c r="L299">
        <v>5</v>
      </c>
      <c r="M299" s="2">
        <f t="shared" si="4"/>
        <v>5.0010488777008602E-2</v>
      </c>
    </row>
    <row r="300" spans="1:13" x14ac:dyDescent="0.25">
      <c r="A300" t="s">
        <v>11</v>
      </c>
      <c r="B300" t="s">
        <v>78</v>
      </c>
      <c r="C300">
        <v>3844</v>
      </c>
      <c r="D300" t="s">
        <v>79</v>
      </c>
      <c r="E300">
        <v>34699980</v>
      </c>
      <c r="F300" t="s">
        <v>261</v>
      </c>
      <c r="G300">
        <v>88.2</v>
      </c>
      <c r="H300" s="1">
        <v>45292</v>
      </c>
      <c r="I300">
        <v>84</v>
      </c>
      <c r="J300" s="1">
        <v>44927</v>
      </c>
      <c r="K300">
        <v>4.2</v>
      </c>
      <c r="L300">
        <v>5</v>
      </c>
      <c r="M300" s="2">
        <f t="shared" si="4"/>
        <v>0.05</v>
      </c>
    </row>
    <row r="301" spans="1:13" x14ac:dyDescent="0.25">
      <c r="A301" t="s">
        <v>11</v>
      </c>
      <c r="B301" t="s">
        <v>78</v>
      </c>
      <c r="C301">
        <v>3844</v>
      </c>
      <c r="D301" t="s">
        <v>79</v>
      </c>
      <c r="E301">
        <v>34699981</v>
      </c>
      <c r="F301" t="s">
        <v>262</v>
      </c>
      <c r="G301">
        <v>85.8</v>
      </c>
      <c r="H301" s="1">
        <v>45292</v>
      </c>
      <c r="I301">
        <v>81.709999999999994</v>
      </c>
      <c r="J301" s="1">
        <v>44927</v>
      </c>
      <c r="K301">
        <v>4.09</v>
      </c>
      <c r="L301">
        <v>5</v>
      </c>
      <c r="M301" s="2">
        <f t="shared" si="4"/>
        <v>5.0055072818504472E-2</v>
      </c>
    </row>
    <row r="302" spans="1:13" x14ac:dyDescent="0.25">
      <c r="A302" t="s">
        <v>11</v>
      </c>
      <c r="B302" t="s">
        <v>78</v>
      </c>
      <c r="C302">
        <v>3844</v>
      </c>
      <c r="D302" t="s">
        <v>79</v>
      </c>
      <c r="E302">
        <v>34699985</v>
      </c>
      <c r="F302" t="s">
        <v>50</v>
      </c>
      <c r="G302">
        <v>93.77</v>
      </c>
      <c r="H302" s="1">
        <v>45292</v>
      </c>
      <c r="I302">
        <v>89.3</v>
      </c>
      <c r="J302" s="1">
        <v>44927</v>
      </c>
      <c r="K302">
        <v>4.47</v>
      </c>
      <c r="L302">
        <v>5</v>
      </c>
      <c r="M302" s="2">
        <f t="shared" si="4"/>
        <v>5.0055991041433372E-2</v>
      </c>
    </row>
    <row r="303" spans="1:13" x14ac:dyDescent="0.25">
      <c r="A303" t="s">
        <v>11</v>
      </c>
      <c r="B303" t="s">
        <v>78</v>
      </c>
      <c r="C303">
        <v>3844</v>
      </c>
      <c r="D303" t="s">
        <v>79</v>
      </c>
      <c r="E303">
        <v>38251517</v>
      </c>
      <c r="F303" t="s">
        <v>72</v>
      </c>
      <c r="G303">
        <v>52.92</v>
      </c>
      <c r="H303" s="1">
        <v>45292</v>
      </c>
      <c r="I303">
        <v>54.3</v>
      </c>
      <c r="J303" s="1">
        <v>44927</v>
      </c>
      <c r="K303">
        <v>-1.38</v>
      </c>
      <c r="L303">
        <v>-2.54</v>
      </c>
      <c r="M303" s="2">
        <f t="shared" si="4"/>
        <v>-2.5414364640883976E-2</v>
      </c>
    </row>
    <row r="304" spans="1:13" x14ac:dyDescent="0.25">
      <c r="A304" t="s">
        <v>11</v>
      </c>
      <c r="B304" t="s">
        <v>78</v>
      </c>
      <c r="C304">
        <v>3844</v>
      </c>
      <c r="D304" t="s">
        <v>79</v>
      </c>
      <c r="E304">
        <v>38251527</v>
      </c>
      <c r="F304" t="s">
        <v>73</v>
      </c>
      <c r="G304">
        <v>31.26</v>
      </c>
      <c r="H304" s="1">
        <v>45292</v>
      </c>
      <c r="I304">
        <v>29.04</v>
      </c>
      <c r="J304" s="1">
        <v>44927</v>
      </c>
      <c r="K304">
        <v>2.2200000000000002</v>
      </c>
      <c r="L304">
        <v>7.64</v>
      </c>
      <c r="M304" s="2">
        <f t="shared" si="4"/>
        <v>7.6446280991735546E-2</v>
      </c>
    </row>
    <row r="305" spans="1:13" x14ac:dyDescent="0.25">
      <c r="A305" t="s">
        <v>11</v>
      </c>
      <c r="B305" t="s">
        <v>78</v>
      </c>
      <c r="C305">
        <v>3844</v>
      </c>
      <c r="D305" t="s">
        <v>79</v>
      </c>
      <c r="E305">
        <v>38251532</v>
      </c>
      <c r="F305" t="s">
        <v>263</v>
      </c>
      <c r="G305">
        <v>8.1</v>
      </c>
      <c r="H305" s="1">
        <v>45292</v>
      </c>
      <c r="I305">
        <v>11.4</v>
      </c>
      <c r="J305" s="1">
        <v>44927</v>
      </c>
      <c r="K305">
        <v>-3.3</v>
      </c>
      <c r="L305">
        <v>-28.94</v>
      </c>
      <c r="M305" s="2">
        <f t="shared" si="4"/>
        <v>-0.28947368421052627</v>
      </c>
    </row>
    <row r="306" spans="1:13" x14ac:dyDescent="0.25">
      <c r="A306" t="s">
        <v>11</v>
      </c>
      <c r="B306" t="s">
        <v>78</v>
      </c>
      <c r="C306">
        <v>3844</v>
      </c>
      <c r="D306" t="s">
        <v>79</v>
      </c>
      <c r="E306">
        <v>38251567</v>
      </c>
      <c r="F306" t="s">
        <v>74</v>
      </c>
      <c r="G306">
        <v>32.46</v>
      </c>
      <c r="H306" s="1">
        <v>45292</v>
      </c>
      <c r="I306">
        <v>60.48</v>
      </c>
      <c r="J306" s="1">
        <v>44927</v>
      </c>
      <c r="K306">
        <v>-28.02</v>
      </c>
      <c r="L306">
        <v>-46.32</v>
      </c>
      <c r="M306" s="2">
        <f t="shared" si="4"/>
        <v>-0.46329365079365081</v>
      </c>
    </row>
    <row r="307" spans="1:13" x14ac:dyDescent="0.25">
      <c r="A307" t="s">
        <v>11</v>
      </c>
      <c r="B307" t="s">
        <v>78</v>
      </c>
      <c r="C307">
        <v>3844</v>
      </c>
      <c r="D307" t="s">
        <v>79</v>
      </c>
      <c r="E307">
        <v>38251574</v>
      </c>
      <c r="F307" t="s">
        <v>264</v>
      </c>
      <c r="G307">
        <v>46.62</v>
      </c>
      <c r="H307" s="1">
        <v>45292</v>
      </c>
      <c r="I307">
        <v>53.28</v>
      </c>
      <c r="J307" s="1">
        <v>44927</v>
      </c>
      <c r="K307">
        <v>-6.66</v>
      </c>
      <c r="L307">
        <v>-12.5</v>
      </c>
      <c r="M307" s="2">
        <f t="shared" si="4"/>
        <v>-0.125</v>
      </c>
    </row>
    <row r="308" spans="1:13" x14ac:dyDescent="0.25">
      <c r="A308" t="s">
        <v>11</v>
      </c>
      <c r="B308" t="s">
        <v>78</v>
      </c>
      <c r="C308">
        <v>3844</v>
      </c>
      <c r="D308" t="s">
        <v>79</v>
      </c>
      <c r="E308">
        <v>38251584</v>
      </c>
      <c r="F308" t="s">
        <v>75</v>
      </c>
      <c r="G308">
        <v>37.14</v>
      </c>
      <c r="H308" s="1">
        <v>45292</v>
      </c>
      <c r="I308">
        <v>31.02</v>
      </c>
      <c r="J308" s="1">
        <v>44927</v>
      </c>
      <c r="K308">
        <v>6.12</v>
      </c>
      <c r="L308">
        <v>19.72</v>
      </c>
      <c r="M308" s="2">
        <f t="shared" si="4"/>
        <v>0.19729206963249518</v>
      </c>
    </row>
    <row r="309" spans="1:13" x14ac:dyDescent="0.25">
      <c r="A309" t="s">
        <v>11</v>
      </c>
      <c r="B309" t="s">
        <v>78</v>
      </c>
      <c r="C309">
        <v>3844</v>
      </c>
      <c r="D309" t="s">
        <v>79</v>
      </c>
      <c r="E309">
        <v>38251589</v>
      </c>
      <c r="F309" t="s">
        <v>265</v>
      </c>
      <c r="G309">
        <v>29.04</v>
      </c>
      <c r="H309" s="1">
        <v>45292</v>
      </c>
      <c r="I309">
        <v>15</v>
      </c>
      <c r="J309" s="1">
        <v>44927</v>
      </c>
      <c r="K309">
        <v>14.04</v>
      </c>
      <c r="L309">
        <v>93.6</v>
      </c>
      <c r="M309" s="2">
        <f t="shared" si="4"/>
        <v>0.93599999999999994</v>
      </c>
    </row>
    <row r="310" spans="1:13" x14ac:dyDescent="0.25">
      <c r="A310" t="s">
        <v>11</v>
      </c>
      <c r="B310" t="s">
        <v>78</v>
      </c>
      <c r="C310">
        <v>3844</v>
      </c>
      <c r="D310" t="s">
        <v>79</v>
      </c>
      <c r="E310">
        <v>38300680</v>
      </c>
      <c r="F310" t="s">
        <v>76</v>
      </c>
      <c r="G310">
        <v>58.68</v>
      </c>
      <c r="H310" s="1">
        <v>45292</v>
      </c>
      <c r="I310">
        <v>54.51</v>
      </c>
      <c r="J310" s="1">
        <v>44927</v>
      </c>
      <c r="K310">
        <v>4.17</v>
      </c>
      <c r="L310">
        <v>7.64</v>
      </c>
      <c r="M310" s="2">
        <f t="shared" si="4"/>
        <v>7.6499724821133736E-2</v>
      </c>
    </row>
    <row r="311" spans="1:13" x14ac:dyDescent="0.25">
      <c r="A311" t="s">
        <v>11</v>
      </c>
      <c r="B311" t="s">
        <v>78</v>
      </c>
      <c r="C311">
        <v>3844</v>
      </c>
      <c r="D311" t="s">
        <v>79</v>
      </c>
      <c r="E311">
        <v>38301470</v>
      </c>
      <c r="F311" t="s">
        <v>266</v>
      </c>
      <c r="G311">
        <v>37.200000000000003</v>
      </c>
      <c r="H311" s="1">
        <v>45292</v>
      </c>
      <c r="I311">
        <v>38.67</v>
      </c>
      <c r="J311" s="1">
        <v>44927</v>
      </c>
      <c r="K311">
        <v>-1.47</v>
      </c>
      <c r="L311">
        <v>-3.8</v>
      </c>
      <c r="M311" s="2">
        <f t="shared" si="4"/>
        <v>-3.8013964313421252E-2</v>
      </c>
    </row>
    <row r="312" spans="1:13" x14ac:dyDescent="0.25">
      <c r="A312" t="s">
        <v>11</v>
      </c>
      <c r="B312" t="s">
        <v>78</v>
      </c>
      <c r="C312">
        <v>3844</v>
      </c>
      <c r="D312" t="s">
        <v>79</v>
      </c>
      <c r="E312">
        <v>38301498</v>
      </c>
      <c r="F312" t="s">
        <v>267</v>
      </c>
      <c r="G312">
        <v>171.48</v>
      </c>
      <c r="H312" s="1">
        <v>45292</v>
      </c>
      <c r="I312">
        <v>329.32</v>
      </c>
      <c r="J312" s="1">
        <v>44927</v>
      </c>
      <c r="K312">
        <v>-157.84</v>
      </c>
      <c r="L312">
        <v>-47.92</v>
      </c>
      <c r="M312" s="2">
        <f t="shared" si="4"/>
        <v>-0.47929065954087213</v>
      </c>
    </row>
    <row r="313" spans="1:13" x14ac:dyDescent="0.25">
      <c r="A313" t="s">
        <v>11</v>
      </c>
      <c r="B313" t="s">
        <v>78</v>
      </c>
      <c r="C313">
        <v>3844</v>
      </c>
      <c r="D313" t="s">
        <v>79</v>
      </c>
      <c r="E313">
        <v>38301985</v>
      </c>
      <c r="F313" t="s">
        <v>268</v>
      </c>
      <c r="G313">
        <v>75.09</v>
      </c>
      <c r="H313" s="1">
        <v>45292</v>
      </c>
      <c r="I313">
        <v>416.96</v>
      </c>
      <c r="J313" s="1">
        <v>44927</v>
      </c>
      <c r="K313">
        <v>-341.87</v>
      </c>
      <c r="L313">
        <v>-81.99</v>
      </c>
      <c r="M313" s="2">
        <f t="shared" si="4"/>
        <v>-0.81991078280890262</v>
      </c>
    </row>
    <row r="314" spans="1:13" x14ac:dyDescent="0.25">
      <c r="A314" t="s">
        <v>11</v>
      </c>
      <c r="B314" t="s">
        <v>78</v>
      </c>
      <c r="C314">
        <v>3844</v>
      </c>
      <c r="D314" t="s">
        <v>79</v>
      </c>
      <c r="E314">
        <v>38302230</v>
      </c>
      <c r="F314" t="s">
        <v>269</v>
      </c>
      <c r="G314">
        <v>5</v>
      </c>
      <c r="H314" s="1">
        <v>45292</v>
      </c>
      <c r="I314">
        <v>15</v>
      </c>
      <c r="J314" s="1">
        <v>44927</v>
      </c>
      <c r="K314">
        <v>-10</v>
      </c>
      <c r="L314">
        <v>-66.66</v>
      </c>
      <c r="M314" s="2">
        <f t="shared" si="4"/>
        <v>-0.66666666666666663</v>
      </c>
    </row>
    <row r="315" spans="1:13" x14ac:dyDescent="0.25">
      <c r="A315" t="s">
        <v>11</v>
      </c>
      <c r="B315" t="s">
        <v>78</v>
      </c>
      <c r="C315">
        <v>3844</v>
      </c>
      <c r="D315" t="s">
        <v>79</v>
      </c>
      <c r="E315">
        <v>38302500</v>
      </c>
      <c r="F315" t="s">
        <v>270</v>
      </c>
      <c r="G315">
        <v>48.75</v>
      </c>
      <c r="H315" s="1">
        <v>45292</v>
      </c>
      <c r="I315">
        <v>45.3</v>
      </c>
      <c r="J315" s="1">
        <v>44927</v>
      </c>
      <c r="K315">
        <v>3.45</v>
      </c>
      <c r="L315">
        <v>7.61</v>
      </c>
      <c r="M315" s="2">
        <f t="shared" si="4"/>
        <v>7.6158940397351008E-2</v>
      </c>
    </row>
    <row r="316" spans="1:13" x14ac:dyDescent="0.25">
      <c r="A316" t="s">
        <v>11</v>
      </c>
      <c r="B316" t="s">
        <v>78</v>
      </c>
      <c r="C316">
        <v>3844</v>
      </c>
      <c r="D316" t="s">
        <v>79</v>
      </c>
      <c r="E316">
        <v>92210549</v>
      </c>
      <c r="F316" t="s">
        <v>271</v>
      </c>
      <c r="G316">
        <v>5</v>
      </c>
      <c r="H316" s="1">
        <v>45292</v>
      </c>
      <c r="I316">
        <v>16.649999999999999</v>
      </c>
      <c r="J316" s="1">
        <v>44927</v>
      </c>
      <c r="K316">
        <v>-11.65</v>
      </c>
      <c r="L316">
        <v>-69.959999999999994</v>
      </c>
      <c r="M316" s="2">
        <f t="shared" si="4"/>
        <v>-0.69969969969969981</v>
      </c>
    </row>
    <row r="317" spans="1:13" x14ac:dyDescent="0.25">
      <c r="A317" t="s">
        <v>11</v>
      </c>
      <c r="B317" t="s">
        <v>78</v>
      </c>
      <c r="C317">
        <v>3844</v>
      </c>
      <c r="D317" t="s">
        <v>79</v>
      </c>
      <c r="E317">
        <v>92211055</v>
      </c>
      <c r="F317" t="s">
        <v>272</v>
      </c>
      <c r="G317">
        <v>63.69</v>
      </c>
      <c r="H317" s="1">
        <v>45292</v>
      </c>
      <c r="I317">
        <v>74.55</v>
      </c>
      <c r="J317" s="1">
        <v>44927</v>
      </c>
      <c r="K317">
        <v>-10.86</v>
      </c>
      <c r="L317">
        <v>-14.56</v>
      </c>
      <c r="M317" s="2">
        <f t="shared" si="4"/>
        <v>-0.14567404426559355</v>
      </c>
    </row>
    <row r="318" spans="1:13" x14ac:dyDescent="0.25">
      <c r="A318" t="s">
        <v>11</v>
      </c>
      <c r="B318" t="s">
        <v>78</v>
      </c>
      <c r="C318">
        <v>3844</v>
      </c>
      <c r="D318" t="s">
        <v>79</v>
      </c>
      <c r="E318">
        <v>92211913</v>
      </c>
      <c r="F318" t="s">
        <v>273</v>
      </c>
      <c r="G318">
        <v>103.26</v>
      </c>
      <c r="H318" s="1">
        <v>45292</v>
      </c>
      <c r="I318">
        <v>126.36</v>
      </c>
      <c r="J318" s="1">
        <v>44927</v>
      </c>
      <c r="K318">
        <v>-23.1</v>
      </c>
      <c r="L318">
        <v>-18.28</v>
      </c>
      <c r="M318" s="2">
        <f t="shared" si="4"/>
        <v>-0.1828110161443495</v>
      </c>
    </row>
    <row r="319" spans="1:13" x14ac:dyDescent="0.25">
      <c r="A319" t="s">
        <v>11</v>
      </c>
      <c r="B319" t="s">
        <v>78</v>
      </c>
      <c r="C319">
        <v>3844</v>
      </c>
      <c r="D319" t="s">
        <v>79</v>
      </c>
      <c r="E319">
        <v>92211959</v>
      </c>
      <c r="F319" t="s">
        <v>274</v>
      </c>
      <c r="G319">
        <v>26.73</v>
      </c>
      <c r="H319" s="1">
        <v>45292</v>
      </c>
      <c r="I319">
        <v>17.91</v>
      </c>
      <c r="J319" s="1">
        <v>44927</v>
      </c>
      <c r="K319">
        <v>8.82</v>
      </c>
      <c r="L319">
        <v>49.24</v>
      </c>
      <c r="M319" s="2">
        <f t="shared" si="4"/>
        <v>0.49246231155778897</v>
      </c>
    </row>
    <row r="320" spans="1:13" x14ac:dyDescent="0.25">
      <c r="A320" t="s">
        <v>11</v>
      </c>
      <c r="B320" t="s">
        <v>78</v>
      </c>
      <c r="C320">
        <v>3844</v>
      </c>
      <c r="D320" t="s">
        <v>79</v>
      </c>
      <c r="E320">
        <v>92211996</v>
      </c>
      <c r="F320" t="s">
        <v>275</v>
      </c>
      <c r="G320">
        <v>99.45</v>
      </c>
      <c r="H320" s="1">
        <v>45292</v>
      </c>
      <c r="I320">
        <v>1311.48</v>
      </c>
      <c r="J320" s="1">
        <v>44927</v>
      </c>
      <c r="K320">
        <v>-1212.03</v>
      </c>
      <c r="L320">
        <v>-92.41</v>
      </c>
      <c r="M320" s="2">
        <f t="shared" si="4"/>
        <v>-0.9241696404062586</v>
      </c>
    </row>
    <row r="321" spans="1:13" x14ac:dyDescent="0.25">
      <c r="A321" t="s">
        <v>11</v>
      </c>
      <c r="B321" t="s">
        <v>78</v>
      </c>
      <c r="C321">
        <v>3844</v>
      </c>
      <c r="D321" t="s">
        <v>79</v>
      </c>
      <c r="E321">
        <v>92212034</v>
      </c>
      <c r="F321" t="s">
        <v>276</v>
      </c>
      <c r="G321">
        <v>18.57</v>
      </c>
      <c r="H321" s="1">
        <v>45292</v>
      </c>
      <c r="I321">
        <v>920.85</v>
      </c>
      <c r="J321" s="1">
        <v>44927</v>
      </c>
      <c r="K321">
        <v>-902.28</v>
      </c>
      <c r="L321">
        <v>-97.98</v>
      </c>
      <c r="M321" s="2">
        <f t="shared" si="4"/>
        <v>-0.97983384916110106</v>
      </c>
    </row>
    <row r="322" spans="1:13" x14ac:dyDescent="0.25">
      <c r="A322" t="s">
        <v>11</v>
      </c>
      <c r="B322" t="s">
        <v>78</v>
      </c>
      <c r="C322">
        <v>3844</v>
      </c>
      <c r="D322" t="s">
        <v>79</v>
      </c>
      <c r="E322">
        <v>92212649</v>
      </c>
      <c r="F322" t="s">
        <v>277</v>
      </c>
      <c r="G322">
        <v>83.07</v>
      </c>
      <c r="H322" s="1">
        <v>45292</v>
      </c>
      <c r="I322">
        <v>55.62</v>
      </c>
      <c r="J322" s="1">
        <v>44927</v>
      </c>
      <c r="K322">
        <v>27.45</v>
      </c>
      <c r="L322">
        <v>49.35</v>
      </c>
      <c r="M322" s="2">
        <f t="shared" si="4"/>
        <v>0.49352750809061491</v>
      </c>
    </row>
    <row r="323" spans="1:13" x14ac:dyDescent="0.25">
      <c r="A323" t="s">
        <v>11</v>
      </c>
      <c r="B323" t="s">
        <v>78</v>
      </c>
      <c r="C323">
        <v>3844</v>
      </c>
      <c r="D323" t="s">
        <v>79</v>
      </c>
      <c r="E323">
        <v>92212779</v>
      </c>
      <c r="F323" t="s">
        <v>278</v>
      </c>
      <c r="G323">
        <v>35.01</v>
      </c>
      <c r="H323" s="1">
        <v>45292</v>
      </c>
      <c r="I323">
        <v>57.15</v>
      </c>
      <c r="J323" s="1">
        <v>44927</v>
      </c>
      <c r="K323">
        <v>-22.14</v>
      </c>
      <c r="L323">
        <v>-38.74</v>
      </c>
      <c r="M323" s="2">
        <f t="shared" ref="M323:M374" si="5">K323/I323</f>
        <v>-0.38740157480314963</v>
      </c>
    </row>
    <row r="324" spans="1:13" x14ac:dyDescent="0.25">
      <c r="A324" t="s">
        <v>11</v>
      </c>
      <c r="B324" t="s">
        <v>78</v>
      </c>
      <c r="C324">
        <v>3844</v>
      </c>
      <c r="D324" t="s">
        <v>79</v>
      </c>
      <c r="E324">
        <v>92213009</v>
      </c>
      <c r="F324" t="s">
        <v>279</v>
      </c>
      <c r="G324">
        <v>5</v>
      </c>
      <c r="H324" s="1">
        <v>45292</v>
      </c>
      <c r="I324">
        <v>21.72</v>
      </c>
      <c r="J324" s="1">
        <v>44927</v>
      </c>
      <c r="K324">
        <v>-16.72</v>
      </c>
      <c r="L324">
        <v>-76.97</v>
      </c>
      <c r="M324" s="2">
        <f t="shared" si="5"/>
        <v>-0.76979742173112342</v>
      </c>
    </row>
    <row r="325" spans="1:13" x14ac:dyDescent="0.25">
      <c r="A325" t="s">
        <v>11</v>
      </c>
      <c r="B325" t="s">
        <v>78</v>
      </c>
      <c r="C325">
        <v>3844</v>
      </c>
      <c r="D325" t="s">
        <v>79</v>
      </c>
      <c r="E325">
        <v>92213247</v>
      </c>
      <c r="F325" t="s">
        <v>280</v>
      </c>
      <c r="G325">
        <v>25</v>
      </c>
      <c r="H325" s="1">
        <v>45292</v>
      </c>
      <c r="I325">
        <v>67.739999999999995</v>
      </c>
      <c r="J325" s="1">
        <v>44927</v>
      </c>
      <c r="K325">
        <v>-42.74</v>
      </c>
      <c r="L325">
        <v>-63.09</v>
      </c>
      <c r="M325" s="2">
        <f t="shared" si="5"/>
        <v>-0.63094183643342194</v>
      </c>
    </row>
    <row r="326" spans="1:13" x14ac:dyDescent="0.25">
      <c r="A326" t="s">
        <v>11</v>
      </c>
      <c r="B326" t="s">
        <v>78</v>
      </c>
      <c r="C326">
        <v>3844</v>
      </c>
      <c r="D326" t="s">
        <v>79</v>
      </c>
      <c r="E326">
        <v>92213375</v>
      </c>
      <c r="F326" t="s">
        <v>281</v>
      </c>
      <c r="G326">
        <v>59.61</v>
      </c>
      <c r="H326" s="1">
        <v>45292</v>
      </c>
      <c r="I326">
        <v>111.87</v>
      </c>
      <c r="J326" s="1">
        <v>44927</v>
      </c>
      <c r="K326">
        <v>-52.26</v>
      </c>
      <c r="L326">
        <v>-46.71</v>
      </c>
      <c r="M326" s="2">
        <f t="shared" si="5"/>
        <v>-0.46714936980423705</v>
      </c>
    </row>
    <row r="327" spans="1:13" x14ac:dyDescent="0.25">
      <c r="A327" t="s">
        <v>11</v>
      </c>
      <c r="B327" t="s">
        <v>78</v>
      </c>
      <c r="C327">
        <v>3844</v>
      </c>
      <c r="D327" t="s">
        <v>79</v>
      </c>
      <c r="E327">
        <v>92213469</v>
      </c>
      <c r="F327" t="s">
        <v>282</v>
      </c>
      <c r="G327">
        <v>74.849999999999994</v>
      </c>
      <c r="H327" s="1">
        <v>45292</v>
      </c>
      <c r="I327">
        <v>33.6</v>
      </c>
      <c r="J327" s="1">
        <v>44927</v>
      </c>
      <c r="K327">
        <v>41.25</v>
      </c>
      <c r="L327">
        <v>122.76</v>
      </c>
      <c r="M327" s="2">
        <f t="shared" si="5"/>
        <v>1.2276785714285714</v>
      </c>
    </row>
    <row r="328" spans="1:13" x14ac:dyDescent="0.25">
      <c r="A328" t="s">
        <v>11</v>
      </c>
      <c r="B328" t="s">
        <v>78</v>
      </c>
      <c r="C328">
        <v>3844</v>
      </c>
      <c r="D328" t="s">
        <v>79</v>
      </c>
      <c r="E328">
        <v>92213524</v>
      </c>
      <c r="F328" t="s">
        <v>283</v>
      </c>
      <c r="G328">
        <v>21.87</v>
      </c>
      <c r="H328" s="1">
        <v>45292</v>
      </c>
      <c r="I328">
        <v>137.85</v>
      </c>
      <c r="J328" s="1">
        <v>44927</v>
      </c>
      <c r="K328">
        <v>-115.98</v>
      </c>
      <c r="L328">
        <v>-84.13</v>
      </c>
      <c r="M328" s="2">
        <f t="shared" si="5"/>
        <v>-0.8413492927094669</v>
      </c>
    </row>
    <row r="329" spans="1:13" x14ac:dyDescent="0.25">
      <c r="A329" t="s">
        <v>11</v>
      </c>
      <c r="B329" t="s">
        <v>78</v>
      </c>
      <c r="C329">
        <v>3844</v>
      </c>
      <c r="D329" t="s">
        <v>79</v>
      </c>
      <c r="E329">
        <v>92213576</v>
      </c>
      <c r="F329" t="s">
        <v>284</v>
      </c>
      <c r="G329">
        <v>34.53</v>
      </c>
      <c r="H329" s="1">
        <v>45292</v>
      </c>
      <c r="I329">
        <v>22.41</v>
      </c>
      <c r="J329" s="1">
        <v>44927</v>
      </c>
      <c r="K329">
        <v>12.12</v>
      </c>
      <c r="L329">
        <v>54.08</v>
      </c>
      <c r="M329" s="2">
        <f t="shared" si="5"/>
        <v>0.5408299866131191</v>
      </c>
    </row>
    <row r="330" spans="1:13" x14ac:dyDescent="0.25">
      <c r="A330" t="s">
        <v>11</v>
      </c>
      <c r="B330" t="s">
        <v>78</v>
      </c>
      <c r="C330">
        <v>3844</v>
      </c>
      <c r="D330" t="s">
        <v>79</v>
      </c>
      <c r="E330">
        <v>92213698</v>
      </c>
      <c r="F330" t="s">
        <v>285</v>
      </c>
      <c r="G330">
        <v>43.41</v>
      </c>
      <c r="H330" s="1">
        <v>45292</v>
      </c>
      <c r="I330">
        <v>274.23</v>
      </c>
      <c r="J330" s="1">
        <v>44927</v>
      </c>
      <c r="K330">
        <v>-230.82</v>
      </c>
      <c r="L330">
        <v>-84.17</v>
      </c>
      <c r="M330" s="2">
        <f t="shared" si="5"/>
        <v>-0.84170222076359258</v>
      </c>
    </row>
    <row r="331" spans="1:13" x14ac:dyDescent="0.25">
      <c r="A331" t="s">
        <v>11</v>
      </c>
      <c r="B331" t="s">
        <v>78</v>
      </c>
      <c r="C331">
        <v>3844</v>
      </c>
      <c r="D331" t="s">
        <v>79</v>
      </c>
      <c r="E331">
        <v>92213701</v>
      </c>
      <c r="F331" t="s">
        <v>286</v>
      </c>
      <c r="G331">
        <v>412.47</v>
      </c>
      <c r="H331" s="1">
        <v>45292</v>
      </c>
      <c r="I331">
        <v>318.24</v>
      </c>
      <c r="J331" s="1">
        <v>44927</v>
      </c>
      <c r="K331">
        <v>94.23</v>
      </c>
      <c r="L331">
        <v>29.6</v>
      </c>
      <c r="M331" s="2">
        <f t="shared" si="5"/>
        <v>0.29609728506787331</v>
      </c>
    </row>
    <row r="332" spans="1:13" x14ac:dyDescent="0.25">
      <c r="A332" t="s">
        <v>11</v>
      </c>
      <c r="B332" t="s">
        <v>78</v>
      </c>
      <c r="C332">
        <v>3844</v>
      </c>
      <c r="D332" t="s">
        <v>79</v>
      </c>
      <c r="E332">
        <v>92213829</v>
      </c>
      <c r="F332" t="s">
        <v>287</v>
      </c>
      <c r="G332">
        <v>25</v>
      </c>
      <c r="H332" s="1">
        <v>45292</v>
      </c>
      <c r="I332">
        <v>75</v>
      </c>
      <c r="J332" s="1">
        <v>44927</v>
      </c>
      <c r="K332">
        <v>-50</v>
      </c>
      <c r="L332">
        <v>-66.66</v>
      </c>
      <c r="M332" s="2">
        <f t="shared" si="5"/>
        <v>-0.66666666666666663</v>
      </c>
    </row>
    <row r="333" spans="1:13" x14ac:dyDescent="0.25">
      <c r="A333" t="s">
        <v>11</v>
      </c>
      <c r="B333" t="s">
        <v>78</v>
      </c>
      <c r="C333">
        <v>3844</v>
      </c>
      <c r="D333" t="s">
        <v>79</v>
      </c>
      <c r="E333">
        <v>92214273</v>
      </c>
      <c r="F333" t="s">
        <v>288</v>
      </c>
      <c r="G333">
        <v>131.52000000000001</v>
      </c>
      <c r="H333" s="1">
        <v>45292</v>
      </c>
      <c r="I333">
        <v>463.17</v>
      </c>
      <c r="J333" s="1">
        <v>44927</v>
      </c>
      <c r="K333">
        <v>-331.65</v>
      </c>
      <c r="L333">
        <v>-71.599999999999994</v>
      </c>
      <c r="M333" s="2">
        <f t="shared" si="5"/>
        <v>-0.71604378521924983</v>
      </c>
    </row>
    <row r="334" spans="1:13" x14ac:dyDescent="0.25">
      <c r="A334" t="s">
        <v>11</v>
      </c>
      <c r="B334" t="s">
        <v>78</v>
      </c>
      <c r="C334">
        <v>3844</v>
      </c>
      <c r="D334" t="s">
        <v>79</v>
      </c>
      <c r="E334">
        <v>92214329</v>
      </c>
      <c r="F334" t="s">
        <v>289</v>
      </c>
      <c r="G334">
        <v>5</v>
      </c>
      <c r="H334" s="1">
        <v>45292</v>
      </c>
      <c r="I334">
        <v>15</v>
      </c>
      <c r="J334" s="1">
        <v>44927</v>
      </c>
      <c r="K334">
        <v>-10</v>
      </c>
      <c r="L334">
        <v>-66.66</v>
      </c>
      <c r="M334" s="2">
        <f t="shared" si="5"/>
        <v>-0.66666666666666663</v>
      </c>
    </row>
    <row r="335" spans="1:13" x14ac:dyDescent="0.25">
      <c r="A335" t="s">
        <v>11</v>
      </c>
      <c r="B335" t="s">
        <v>78</v>
      </c>
      <c r="C335">
        <v>3844</v>
      </c>
      <c r="D335" t="s">
        <v>79</v>
      </c>
      <c r="E335">
        <v>92214848</v>
      </c>
      <c r="F335" t="s">
        <v>290</v>
      </c>
      <c r="G335">
        <v>5</v>
      </c>
      <c r="H335" s="1">
        <v>45292</v>
      </c>
      <c r="I335">
        <v>15</v>
      </c>
      <c r="J335" s="1">
        <v>44927</v>
      </c>
      <c r="K335">
        <v>-10</v>
      </c>
      <c r="L335">
        <v>-66.66</v>
      </c>
      <c r="M335" s="2">
        <f t="shared" si="5"/>
        <v>-0.66666666666666663</v>
      </c>
    </row>
    <row r="336" spans="1:13" x14ac:dyDescent="0.25">
      <c r="A336" t="s">
        <v>11</v>
      </c>
      <c r="B336" t="s">
        <v>78</v>
      </c>
      <c r="C336">
        <v>3844</v>
      </c>
      <c r="D336" t="s">
        <v>79</v>
      </c>
      <c r="E336">
        <v>92214853</v>
      </c>
      <c r="F336" t="s">
        <v>291</v>
      </c>
      <c r="G336">
        <v>37.020000000000003</v>
      </c>
      <c r="H336" s="1">
        <v>45292</v>
      </c>
      <c r="I336">
        <v>46.5</v>
      </c>
      <c r="J336" s="1">
        <v>44927</v>
      </c>
      <c r="K336">
        <v>-9.48</v>
      </c>
      <c r="L336">
        <v>-20.38</v>
      </c>
      <c r="M336" s="2">
        <f t="shared" si="5"/>
        <v>-0.2038709677419355</v>
      </c>
    </row>
    <row r="337" spans="1:13" x14ac:dyDescent="0.25">
      <c r="A337" t="s">
        <v>11</v>
      </c>
      <c r="B337" t="s">
        <v>78</v>
      </c>
      <c r="C337">
        <v>3844</v>
      </c>
      <c r="D337" t="s">
        <v>79</v>
      </c>
      <c r="E337">
        <v>92215130</v>
      </c>
      <c r="F337" t="s">
        <v>292</v>
      </c>
      <c r="G337">
        <v>5</v>
      </c>
      <c r="H337" s="1">
        <v>45292</v>
      </c>
      <c r="I337">
        <v>15</v>
      </c>
      <c r="J337" s="1">
        <v>44927</v>
      </c>
      <c r="K337">
        <v>-10</v>
      </c>
      <c r="L337">
        <v>-66.66</v>
      </c>
      <c r="M337" s="2">
        <f t="shared" si="5"/>
        <v>-0.66666666666666663</v>
      </c>
    </row>
    <row r="338" spans="1:13" x14ac:dyDescent="0.25">
      <c r="A338" t="s">
        <v>11</v>
      </c>
      <c r="B338" t="s">
        <v>78</v>
      </c>
      <c r="C338">
        <v>3844</v>
      </c>
      <c r="D338" t="s">
        <v>79</v>
      </c>
      <c r="E338">
        <v>92215211</v>
      </c>
      <c r="F338" t="s">
        <v>293</v>
      </c>
      <c r="G338">
        <v>158.66999999999999</v>
      </c>
      <c r="H338" s="1">
        <v>45292</v>
      </c>
      <c r="I338">
        <v>185.88</v>
      </c>
      <c r="J338" s="1">
        <v>44927</v>
      </c>
      <c r="K338">
        <v>-27.21</v>
      </c>
      <c r="L338">
        <v>-14.63</v>
      </c>
      <c r="M338" s="2">
        <f t="shared" si="5"/>
        <v>-0.14638476436410588</v>
      </c>
    </row>
    <row r="339" spans="1:13" x14ac:dyDescent="0.25">
      <c r="A339" t="s">
        <v>11</v>
      </c>
      <c r="B339" t="s">
        <v>78</v>
      </c>
      <c r="C339">
        <v>3844</v>
      </c>
      <c r="D339" t="s">
        <v>79</v>
      </c>
      <c r="E339">
        <v>92215234</v>
      </c>
      <c r="F339" t="s">
        <v>294</v>
      </c>
      <c r="G339">
        <v>40.74</v>
      </c>
      <c r="H339" s="1">
        <v>45292</v>
      </c>
      <c r="I339">
        <v>53.97</v>
      </c>
      <c r="J339" s="1">
        <v>44927</v>
      </c>
      <c r="K339">
        <v>-13.23</v>
      </c>
      <c r="L339">
        <v>-24.51</v>
      </c>
      <c r="M339" s="2">
        <f t="shared" si="5"/>
        <v>-0.24513618677042803</v>
      </c>
    </row>
    <row r="340" spans="1:13" x14ac:dyDescent="0.25">
      <c r="A340" t="s">
        <v>11</v>
      </c>
      <c r="B340" t="s">
        <v>78</v>
      </c>
      <c r="C340">
        <v>3844</v>
      </c>
      <c r="D340" t="s">
        <v>79</v>
      </c>
      <c r="E340">
        <v>92215331</v>
      </c>
      <c r="F340" t="s">
        <v>295</v>
      </c>
      <c r="G340">
        <v>126.84</v>
      </c>
      <c r="H340" s="1">
        <v>45292</v>
      </c>
      <c r="I340">
        <v>148.65</v>
      </c>
      <c r="J340" s="1">
        <v>44927</v>
      </c>
      <c r="K340">
        <v>-21.81</v>
      </c>
      <c r="L340">
        <v>-14.67</v>
      </c>
      <c r="M340" s="2">
        <f t="shared" si="5"/>
        <v>-0.14672048435923307</v>
      </c>
    </row>
    <row r="341" spans="1:13" x14ac:dyDescent="0.25">
      <c r="A341" t="s">
        <v>11</v>
      </c>
      <c r="B341" t="s">
        <v>78</v>
      </c>
      <c r="C341">
        <v>3844</v>
      </c>
      <c r="D341" t="s">
        <v>79</v>
      </c>
      <c r="E341">
        <v>92215398</v>
      </c>
      <c r="F341" t="s">
        <v>296</v>
      </c>
      <c r="G341">
        <v>10.29</v>
      </c>
      <c r="H341" s="1">
        <v>45292</v>
      </c>
      <c r="I341">
        <v>65.13</v>
      </c>
      <c r="J341" s="1">
        <v>44927</v>
      </c>
      <c r="K341">
        <v>-54.84</v>
      </c>
      <c r="L341">
        <v>-84.2</v>
      </c>
      <c r="M341" s="2">
        <f t="shared" si="5"/>
        <v>-0.84200829111008768</v>
      </c>
    </row>
    <row r="342" spans="1:13" x14ac:dyDescent="0.25">
      <c r="A342" t="s">
        <v>11</v>
      </c>
      <c r="B342" t="s">
        <v>78</v>
      </c>
      <c r="C342">
        <v>3844</v>
      </c>
      <c r="D342" t="s">
        <v>79</v>
      </c>
      <c r="E342">
        <v>92215413</v>
      </c>
      <c r="F342" t="s">
        <v>297</v>
      </c>
      <c r="G342">
        <v>5</v>
      </c>
      <c r="H342" s="1">
        <v>45292</v>
      </c>
      <c r="I342">
        <v>15</v>
      </c>
      <c r="J342" s="1">
        <v>44927</v>
      </c>
      <c r="K342">
        <v>-10</v>
      </c>
      <c r="L342">
        <v>-66.66</v>
      </c>
      <c r="M342" s="2">
        <f t="shared" si="5"/>
        <v>-0.66666666666666663</v>
      </c>
    </row>
    <row r="343" spans="1:13" x14ac:dyDescent="0.25">
      <c r="A343" t="s">
        <v>11</v>
      </c>
      <c r="B343" t="s">
        <v>78</v>
      </c>
      <c r="C343">
        <v>3844</v>
      </c>
      <c r="D343" t="s">
        <v>79</v>
      </c>
      <c r="E343">
        <v>92215431</v>
      </c>
      <c r="F343" t="s">
        <v>298</v>
      </c>
      <c r="G343">
        <v>76.47</v>
      </c>
      <c r="H343" s="1">
        <v>45292</v>
      </c>
      <c r="I343">
        <v>44.19</v>
      </c>
      <c r="J343" s="1">
        <v>44927</v>
      </c>
      <c r="K343">
        <v>32.28</v>
      </c>
      <c r="L343">
        <v>73.040000000000006</v>
      </c>
      <c r="M343" s="2">
        <f t="shared" si="5"/>
        <v>0.73048200950441278</v>
      </c>
    </row>
    <row r="344" spans="1:13" x14ac:dyDescent="0.25">
      <c r="A344" t="s">
        <v>11</v>
      </c>
      <c r="B344" t="s">
        <v>78</v>
      </c>
      <c r="C344">
        <v>3844</v>
      </c>
      <c r="D344" t="s">
        <v>79</v>
      </c>
      <c r="E344">
        <v>92215441</v>
      </c>
      <c r="F344" t="s">
        <v>299</v>
      </c>
      <c r="G344">
        <v>42.66</v>
      </c>
      <c r="H344" s="1">
        <v>45292</v>
      </c>
      <c r="I344">
        <v>40.619999999999997</v>
      </c>
      <c r="J344" s="1">
        <v>44927</v>
      </c>
      <c r="K344">
        <v>2.04</v>
      </c>
      <c r="L344">
        <v>5.0199999999999996</v>
      </c>
      <c r="M344" s="2">
        <f t="shared" si="5"/>
        <v>5.0221565731166914E-2</v>
      </c>
    </row>
    <row r="345" spans="1:13" x14ac:dyDescent="0.25">
      <c r="A345" t="s">
        <v>11</v>
      </c>
      <c r="B345" t="s">
        <v>78</v>
      </c>
      <c r="C345">
        <v>3844</v>
      </c>
      <c r="D345" t="s">
        <v>79</v>
      </c>
      <c r="E345">
        <v>92215472</v>
      </c>
      <c r="F345" t="s">
        <v>300</v>
      </c>
      <c r="G345">
        <v>13.23</v>
      </c>
      <c r="H345" s="1">
        <v>45292</v>
      </c>
      <c r="I345">
        <v>35.82</v>
      </c>
      <c r="J345" s="1">
        <v>44927</v>
      </c>
      <c r="K345">
        <v>-22.59</v>
      </c>
      <c r="L345">
        <v>-63.06</v>
      </c>
      <c r="M345" s="2">
        <f t="shared" si="5"/>
        <v>-0.6306532663316583</v>
      </c>
    </row>
    <row r="346" spans="1:13" x14ac:dyDescent="0.25">
      <c r="A346" t="s">
        <v>11</v>
      </c>
      <c r="B346" t="s">
        <v>78</v>
      </c>
      <c r="C346">
        <v>3844</v>
      </c>
      <c r="D346" t="s">
        <v>79</v>
      </c>
      <c r="E346">
        <v>92215638</v>
      </c>
      <c r="F346" t="s">
        <v>301</v>
      </c>
      <c r="G346">
        <v>9.1199999999999992</v>
      </c>
      <c r="H346" s="1">
        <v>45292</v>
      </c>
      <c r="I346">
        <v>17.91</v>
      </c>
      <c r="J346" s="1">
        <v>44927</v>
      </c>
      <c r="K346">
        <v>-8.7899999999999991</v>
      </c>
      <c r="L346">
        <v>-49.07</v>
      </c>
      <c r="M346" s="2">
        <f t="shared" si="5"/>
        <v>-0.49078726968174197</v>
      </c>
    </row>
    <row r="347" spans="1:13" x14ac:dyDescent="0.25">
      <c r="A347" t="s">
        <v>11</v>
      </c>
      <c r="B347" t="s">
        <v>78</v>
      </c>
      <c r="C347">
        <v>3844</v>
      </c>
      <c r="D347" t="s">
        <v>79</v>
      </c>
      <c r="E347">
        <v>92215876</v>
      </c>
      <c r="F347" t="s">
        <v>302</v>
      </c>
      <c r="G347">
        <v>19.95</v>
      </c>
      <c r="H347" s="1">
        <v>45292</v>
      </c>
      <c r="I347">
        <v>96.81</v>
      </c>
      <c r="J347" s="1">
        <v>44927</v>
      </c>
      <c r="K347">
        <v>-76.86</v>
      </c>
      <c r="L347">
        <v>-79.39</v>
      </c>
      <c r="M347" s="2">
        <f t="shared" si="5"/>
        <v>-0.79392624728850325</v>
      </c>
    </row>
    <row r="348" spans="1:13" x14ac:dyDescent="0.25">
      <c r="A348" t="s">
        <v>11</v>
      </c>
      <c r="B348" t="s">
        <v>78</v>
      </c>
      <c r="C348">
        <v>3844</v>
      </c>
      <c r="D348" t="s">
        <v>79</v>
      </c>
      <c r="E348">
        <v>92216105</v>
      </c>
      <c r="F348" t="s">
        <v>303</v>
      </c>
      <c r="G348">
        <v>19.71</v>
      </c>
      <c r="H348" s="1">
        <v>45292</v>
      </c>
      <c r="I348">
        <v>37.770000000000003</v>
      </c>
      <c r="J348" s="1">
        <v>44927</v>
      </c>
      <c r="K348">
        <v>-18.059999999999999</v>
      </c>
      <c r="L348">
        <v>-47.81</v>
      </c>
      <c r="M348" s="2">
        <f t="shared" si="5"/>
        <v>-0.47815726767275607</v>
      </c>
    </row>
    <row r="349" spans="1:13" x14ac:dyDescent="0.25">
      <c r="A349" t="s">
        <v>11</v>
      </c>
      <c r="B349" t="s">
        <v>78</v>
      </c>
      <c r="C349">
        <v>3844</v>
      </c>
      <c r="D349" t="s">
        <v>79</v>
      </c>
      <c r="E349">
        <v>92216374</v>
      </c>
      <c r="F349" t="s">
        <v>304</v>
      </c>
      <c r="G349">
        <v>5</v>
      </c>
      <c r="H349" s="1">
        <v>45292</v>
      </c>
      <c r="I349">
        <v>105.36</v>
      </c>
      <c r="J349" s="1">
        <v>44927</v>
      </c>
      <c r="K349">
        <v>-100.36</v>
      </c>
      <c r="L349">
        <v>-95.25</v>
      </c>
      <c r="M349" s="2">
        <f t="shared" si="5"/>
        <v>-0.95254365983295364</v>
      </c>
    </row>
    <row r="350" spans="1:13" x14ac:dyDescent="0.25">
      <c r="A350" t="s">
        <v>11</v>
      </c>
      <c r="B350" t="s">
        <v>78</v>
      </c>
      <c r="C350">
        <v>3844</v>
      </c>
      <c r="D350" t="s">
        <v>79</v>
      </c>
      <c r="E350">
        <v>92216581</v>
      </c>
      <c r="F350" t="s">
        <v>305</v>
      </c>
      <c r="G350">
        <v>5</v>
      </c>
      <c r="H350" s="1">
        <v>45292</v>
      </c>
      <c r="I350">
        <v>15</v>
      </c>
      <c r="J350" s="1">
        <v>44927</v>
      </c>
      <c r="K350">
        <v>-10</v>
      </c>
      <c r="L350">
        <v>-66.66</v>
      </c>
      <c r="M350" s="2">
        <f t="shared" si="5"/>
        <v>-0.66666666666666663</v>
      </c>
    </row>
    <row r="351" spans="1:13" x14ac:dyDescent="0.25">
      <c r="A351" t="s">
        <v>11</v>
      </c>
      <c r="B351" t="s">
        <v>78</v>
      </c>
      <c r="C351">
        <v>3844</v>
      </c>
      <c r="D351" t="s">
        <v>79</v>
      </c>
      <c r="E351">
        <v>92216595</v>
      </c>
      <c r="F351" t="s">
        <v>306</v>
      </c>
      <c r="G351">
        <v>42.93</v>
      </c>
      <c r="H351" s="1">
        <v>45292</v>
      </c>
      <c r="I351">
        <v>135.81</v>
      </c>
      <c r="J351" s="1">
        <v>44927</v>
      </c>
      <c r="K351">
        <v>-92.88</v>
      </c>
      <c r="L351">
        <v>-68.38</v>
      </c>
      <c r="M351" s="2">
        <f t="shared" si="5"/>
        <v>-0.68389662027832998</v>
      </c>
    </row>
    <row r="352" spans="1:13" x14ac:dyDescent="0.25">
      <c r="A352" t="s">
        <v>11</v>
      </c>
      <c r="B352" t="s">
        <v>78</v>
      </c>
      <c r="C352">
        <v>3844</v>
      </c>
      <c r="D352" t="s">
        <v>79</v>
      </c>
      <c r="E352">
        <v>92216943</v>
      </c>
      <c r="F352" t="s">
        <v>307</v>
      </c>
      <c r="G352">
        <v>5</v>
      </c>
      <c r="H352" s="1">
        <v>45292</v>
      </c>
      <c r="I352">
        <v>15.9</v>
      </c>
      <c r="J352" s="1">
        <v>44927</v>
      </c>
      <c r="K352">
        <v>-10.9</v>
      </c>
      <c r="L352">
        <v>-68.55</v>
      </c>
      <c r="M352" s="2">
        <f t="shared" si="5"/>
        <v>-0.68553459119496851</v>
      </c>
    </row>
    <row r="353" spans="1:13" x14ac:dyDescent="0.25">
      <c r="A353" t="s">
        <v>11</v>
      </c>
      <c r="B353" t="s">
        <v>78</v>
      </c>
      <c r="C353">
        <v>3844</v>
      </c>
      <c r="D353" t="s">
        <v>79</v>
      </c>
      <c r="E353">
        <v>92216952</v>
      </c>
      <c r="F353" t="s">
        <v>308</v>
      </c>
      <c r="G353">
        <v>56.25</v>
      </c>
      <c r="H353" s="1">
        <v>45292</v>
      </c>
      <c r="I353">
        <v>53.55</v>
      </c>
      <c r="J353" s="1">
        <v>44927</v>
      </c>
      <c r="K353">
        <v>2.7</v>
      </c>
      <c r="L353">
        <v>5.04</v>
      </c>
      <c r="M353" s="2">
        <f t="shared" si="5"/>
        <v>5.0420168067226899E-2</v>
      </c>
    </row>
    <row r="354" spans="1:13" x14ac:dyDescent="0.25">
      <c r="A354" t="s">
        <v>11</v>
      </c>
      <c r="B354" t="s">
        <v>78</v>
      </c>
      <c r="C354">
        <v>3844</v>
      </c>
      <c r="D354" t="s">
        <v>79</v>
      </c>
      <c r="E354">
        <v>92217051</v>
      </c>
      <c r="F354" t="s">
        <v>309</v>
      </c>
      <c r="G354">
        <v>5</v>
      </c>
      <c r="H354" s="1">
        <v>45292</v>
      </c>
      <c r="I354">
        <v>15</v>
      </c>
      <c r="J354" s="1">
        <v>44927</v>
      </c>
      <c r="K354">
        <v>-10</v>
      </c>
      <c r="L354">
        <v>-66.66</v>
      </c>
      <c r="M354" s="2">
        <f t="shared" si="5"/>
        <v>-0.66666666666666663</v>
      </c>
    </row>
    <row r="355" spans="1:13" x14ac:dyDescent="0.25">
      <c r="A355" t="s">
        <v>11</v>
      </c>
      <c r="B355" t="s">
        <v>78</v>
      </c>
      <c r="C355">
        <v>3844</v>
      </c>
      <c r="D355" t="s">
        <v>79</v>
      </c>
      <c r="E355">
        <v>92217140</v>
      </c>
      <c r="F355" t="s">
        <v>310</v>
      </c>
      <c r="G355">
        <v>36.99</v>
      </c>
      <c r="H355" s="1">
        <v>45292</v>
      </c>
      <c r="I355">
        <v>16.95</v>
      </c>
      <c r="J355" s="1">
        <v>44927</v>
      </c>
      <c r="K355">
        <v>20.04</v>
      </c>
      <c r="L355">
        <v>118.23</v>
      </c>
      <c r="M355" s="2">
        <f t="shared" si="5"/>
        <v>1.1823008849557521</v>
      </c>
    </row>
    <row r="356" spans="1:13" x14ac:dyDescent="0.25">
      <c r="A356" t="s">
        <v>11</v>
      </c>
      <c r="B356" t="s">
        <v>78</v>
      </c>
      <c r="C356">
        <v>3844</v>
      </c>
      <c r="D356" t="s">
        <v>79</v>
      </c>
      <c r="E356">
        <v>92217347</v>
      </c>
      <c r="F356" t="s">
        <v>311</v>
      </c>
      <c r="G356">
        <v>17.04</v>
      </c>
      <c r="H356" s="1">
        <v>45292</v>
      </c>
      <c r="I356">
        <v>315.60000000000002</v>
      </c>
      <c r="J356" s="1">
        <v>44927</v>
      </c>
      <c r="K356">
        <v>-298.56</v>
      </c>
      <c r="L356">
        <v>-94.6</v>
      </c>
      <c r="M356" s="2">
        <f t="shared" si="5"/>
        <v>-0.94600760456273758</v>
      </c>
    </row>
    <row r="357" spans="1:13" x14ac:dyDescent="0.25">
      <c r="A357" t="s">
        <v>11</v>
      </c>
      <c r="B357" t="s">
        <v>78</v>
      </c>
      <c r="C357">
        <v>3844</v>
      </c>
      <c r="D357" t="s">
        <v>79</v>
      </c>
      <c r="E357">
        <v>92217499</v>
      </c>
      <c r="F357" t="s">
        <v>312</v>
      </c>
      <c r="G357">
        <v>5</v>
      </c>
      <c r="H357" s="1">
        <v>45292</v>
      </c>
      <c r="I357">
        <v>23.79</v>
      </c>
      <c r="J357" s="1">
        <v>44927</v>
      </c>
      <c r="K357">
        <v>-18.79</v>
      </c>
      <c r="L357">
        <v>-78.98</v>
      </c>
      <c r="M357" s="2">
        <f t="shared" si="5"/>
        <v>-0.78982765868011773</v>
      </c>
    </row>
    <row r="358" spans="1:13" x14ac:dyDescent="0.25">
      <c r="A358" t="s">
        <v>11</v>
      </c>
      <c r="B358" t="s">
        <v>78</v>
      </c>
      <c r="C358">
        <v>3844</v>
      </c>
      <c r="D358" t="s">
        <v>79</v>
      </c>
      <c r="E358">
        <v>92217680</v>
      </c>
      <c r="F358" t="s">
        <v>313</v>
      </c>
      <c r="G358">
        <v>152.46</v>
      </c>
      <c r="H358" s="1">
        <v>45292</v>
      </c>
      <c r="I358">
        <v>288.60000000000002</v>
      </c>
      <c r="J358" s="1">
        <v>44927</v>
      </c>
      <c r="K358">
        <v>-136.13999999999999</v>
      </c>
      <c r="L358">
        <v>-47.17</v>
      </c>
      <c r="M358" s="2">
        <f t="shared" si="5"/>
        <v>-0.47172557172557167</v>
      </c>
    </row>
    <row r="359" spans="1:13" x14ac:dyDescent="0.25">
      <c r="A359" t="s">
        <v>11</v>
      </c>
      <c r="B359" t="s">
        <v>78</v>
      </c>
      <c r="C359">
        <v>3844</v>
      </c>
      <c r="D359" t="s">
        <v>79</v>
      </c>
      <c r="E359">
        <v>92217850</v>
      </c>
      <c r="F359" t="s">
        <v>314</v>
      </c>
      <c r="G359">
        <v>50.07</v>
      </c>
      <c r="H359" s="1">
        <v>45292</v>
      </c>
      <c r="I359">
        <v>47.52</v>
      </c>
      <c r="J359" s="1">
        <v>44927</v>
      </c>
      <c r="K359">
        <v>2.5499999999999998</v>
      </c>
      <c r="L359">
        <v>5.36</v>
      </c>
      <c r="M359" s="2">
        <f t="shared" si="5"/>
        <v>5.3661616161616153E-2</v>
      </c>
    </row>
    <row r="360" spans="1:13" x14ac:dyDescent="0.25">
      <c r="A360" t="s">
        <v>11</v>
      </c>
      <c r="B360" t="s">
        <v>78</v>
      </c>
      <c r="C360">
        <v>3844</v>
      </c>
      <c r="D360" t="s">
        <v>79</v>
      </c>
      <c r="E360">
        <v>92218164</v>
      </c>
      <c r="F360" t="s">
        <v>315</v>
      </c>
      <c r="G360">
        <v>166.14</v>
      </c>
      <c r="H360" s="1">
        <v>45292</v>
      </c>
      <c r="I360">
        <v>758.73</v>
      </c>
      <c r="J360" s="1">
        <v>44927</v>
      </c>
      <c r="K360">
        <v>-592.59</v>
      </c>
      <c r="L360">
        <v>-78.099999999999994</v>
      </c>
      <c r="M360" s="2">
        <f t="shared" si="5"/>
        <v>-0.78102882448301769</v>
      </c>
    </row>
    <row r="361" spans="1:13" x14ac:dyDescent="0.25">
      <c r="A361" t="s">
        <v>11</v>
      </c>
      <c r="B361" t="s">
        <v>78</v>
      </c>
      <c r="C361">
        <v>3844</v>
      </c>
      <c r="D361" t="s">
        <v>79</v>
      </c>
      <c r="E361">
        <v>92218551</v>
      </c>
      <c r="F361" t="s">
        <v>316</v>
      </c>
      <c r="G361">
        <v>5</v>
      </c>
      <c r="H361" s="1">
        <v>45292</v>
      </c>
      <c r="I361">
        <v>32.31</v>
      </c>
      <c r="J361" s="1">
        <v>44927</v>
      </c>
      <c r="K361">
        <v>-27.31</v>
      </c>
      <c r="L361">
        <v>-84.52</v>
      </c>
      <c r="M361" s="2">
        <f t="shared" si="5"/>
        <v>-0.84524914887031866</v>
      </c>
    </row>
    <row r="362" spans="1:13" x14ac:dyDescent="0.25">
      <c r="A362" t="s">
        <v>11</v>
      </c>
      <c r="B362" t="s">
        <v>78</v>
      </c>
      <c r="C362">
        <v>3844</v>
      </c>
      <c r="D362" t="s">
        <v>79</v>
      </c>
      <c r="E362">
        <v>92218597</v>
      </c>
      <c r="F362" t="s">
        <v>317</v>
      </c>
      <c r="G362">
        <v>19.41</v>
      </c>
      <c r="H362" s="1">
        <v>45292</v>
      </c>
      <c r="I362">
        <v>29.94</v>
      </c>
      <c r="J362" s="1">
        <v>44927</v>
      </c>
      <c r="K362">
        <v>-10.53</v>
      </c>
      <c r="L362">
        <v>-35.17</v>
      </c>
      <c r="M362" s="2">
        <f t="shared" si="5"/>
        <v>-0.35170340681362722</v>
      </c>
    </row>
    <row r="363" spans="1:13" x14ac:dyDescent="0.25">
      <c r="A363" t="s">
        <v>11</v>
      </c>
      <c r="B363" t="s">
        <v>78</v>
      </c>
      <c r="C363">
        <v>3844</v>
      </c>
      <c r="D363" t="s">
        <v>79</v>
      </c>
      <c r="E363">
        <v>92218712</v>
      </c>
      <c r="F363" t="s">
        <v>318</v>
      </c>
      <c r="G363">
        <v>31.41</v>
      </c>
      <c r="H363" s="1">
        <v>45292</v>
      </c>
      <c r="I363">
        <v>29.91</v>
      </c>
      <c r="J363" s="1">
        <v>44927</v>
      </c>
      <c r="K363">
        <v>1.5</v>
      </c>
      <c r="L363">
        <v>5.01</v>
      </c>
      <c r="M363" s="2">
        <f t="shared" si="5"/>
        <v>5.0150451354062188E-2</v>
      </c>
    </row>
    <row r="364" spans="1:13" x14ac:dyDescent="0.25">
      <c r="A364" t="s">
        <v>11</v>
      </c>
      <c r="B364" t="s">
        <v>78</v>
      </c>
      <c r="C364">
        <v>3844</v>
      </c>
      <c r="D364" t="s">
        <v>79</v>
      </c>
      <c r="E364">
        <v>92218739</v>
      </c>
      <c r="F364" t="s">
        <v>319</v>
      </c>
      <c r="G364">
        <v>25</v>
      </c>
      <c r="H364" s="1">
        <v>45292</v>
      </c>
      <c r="I364">
        <v>74.430000000000007</v>
      </c>
      <c r="J364" s="1">
        <v>44927</v>
      </c>
      <c r="K364">
        <v>-49.43</v>
      </c>
      <c r="L364">
        <v>-66.41</v>
      </c>
      <c r="M364" s="2">
        <f t="shared" si="5"/>
        <v>-0.66411393255407758</v>
      </c>
    </row>
    <row r="365" spans="1:13" x14ac:dyDescent="0.25">
      <c r="A365" t="s">
        <v>11</v>
      </c>
      <c r="B365" t="s">
        <v>78</v>
      </c>
      <c r="C365">
        <v>3844</v>
      </c>
      <c r="D365" t="s">
        <v>79</v>
      </c>
      <c r="E365">
        <v>92218778</v>
      </c>
      <c r="F365" t="s">
        <v>320</v>
      </c>
      <c r="G365">
        <v>5</v>
      </c>
      <c r="H365" s="1">
        <v>45292</v>
      </c>
      <c r="I365">
        <v>15</v>
      </c>
      <c r="J365" s="1">
        <v>44927</v>
      </c>
      <c r="K365">
        <v>-10</v>
      </c>
      <c r="L365">
        <v>-66.66</v>
      </c>
      <c r="M365" s="2">
        <f t="shared" si="5"/>
        <v>-0.66666666666666663</v>
      </c>
    </row>
    <row r="366" spans="1:13" x14ac:dyDescent="0.25">
      <c r="A366" t="s">
        <v>11</v>
      </c>
      <c r="B366" t="s">
        <v>78</v>
      </c>
      <c r="C366">
        <v>3844</v>
      </c>
      <c r="D366" t="s">
        <v>79</v>
      </c>
      <c r="E366">
        <v>92219004</v>
      </c>
      <c r="F366" t="s">
        <v>321</v>
      </c>
      <c r="G366">
        <v>118.5</v>
      </c>
      <c r="H366" s="1">
        <v>45292</v>
      </c>
      <c r="I366">
        <v>101.61</v>
      </c>
      <c r="J366" s="1">
        <v>44927</v>
      </c>
      <c r="K366">
        <v>16.89</v>
      </c>
      <c r="L366">
        <v>16.62</v>
      </c>
      <c r="M366" s="2">
        <f t="shared" si="5"/>
        <v>0.16622379687038677</v>
      </c>
    </row>
    <row r="367" spans="1:13" x14ac:dyDescent="0.25">
      <c r="A367" t="s">
        <v>11</v>
      </c>
      <c r="B367" t="s">
        <v>78</v>
      </c>
      <c r="C367">
        <v>3844</v>
      </c>
      <c r="D367" t="s">
        <v>79</v>
      </c>
      <c r="E367">
        <v>92219247</v>
      </c>
      <c r="F367" t="s">
        <v>322</v>
      </c>
      <c r="G367">
        <v>19.41</v>
      </c>
      <c r="H367" s="1">
        <v>45292</v>
      </c>
      <c r="I367">
        <v>18.239999999999998</v>
      </c>
      <c r="J367" s="1">
        <v>44927</v>
      </c>
      <c r="K367">
        <v>1.17</v>
      </c>
      <c r="L367">
        <v>6.41</v>
      </c>
      <c r="M367" s="2">
        <f t="shared" si="5"/>
        <v>6.4144736842105268E-2</v>
      </c>
    </row>
    <row r="368" spans="1:13" x14ac:dyDescent="0.25">
      <c r="A368" t="s">
        <v>11</v>
      </c>
      <c r="B368" t="s">
        <v>78</v>
      </c>
      <c r="C368">
        <v>3844</v>
      </c>
      <c r="D368" t="s">
        <v>79</v>
      </c>
      <c r="E368">
        <v>92219251</v>
      </c>
      <c r="F368" t="s">
        <v>323</v>
      </c>
      <c r="G368">
        <v>75.78</v>
      </c>
      <c r="H368" s="1">
        <v>45292</v>
      </c>
      <c r="I368">
        <v>68.91</v>
      </c>
      <c r="J368" s="1">
        <v>44927</v>
      </c>
      <c r="K368">
        <v>6.87</v>
      </c>
      <c r="L368">
        <v>9.9600000000000009</v>
      </c>
      <c r="M368" s="2">
        <f t="shared" si="5"/>
        <v>9.9695254680017414E-2</v>
      </c>
    </row>
    <row r="369" spans="1:14" x14ac:dyDescent="0.25">
      <c r="A369" t="s">
        <v>11</v>
      </c>
      <c r="B369" t="s">
        <v>78</v>
      </c>
      <c r="C369">
        <v>3844</v>
      </c>
      <c r="D369" t="s">
        <v>79</v>
      </c>
      <c r="E369">
        <v>92219842</v>
      </c>
      <c r="F369" t="s">
        <v>324</v>
      </c>
      <c r="G369">
        <v>47.01</v>
      </c>
      <c r="H369" s="1">
        <v>45292</v>
      </c>
      <c r="I369">
        <v>930.63</v>
      </c>
      <c r="J369" s="1">
        <v>44927</v>
      </c>
      <c r="K369">
        <v>-883.62</v>
      </c>
      <c r="L369">
        <v>-94.94</v>
      </c>
      <c r="M369" s="2">
        <f t="shared" si="5"/>
        <v>-0.94948583217820193</v>
      </c>
    </row>
    <row r="370" spans="1:14" x14ac:dyDescent="0.25">
      <c r="A370" t="s">
        <v>11</v>
      </c>
      <c r="B370" t="s">
        <v>78</v>
      </c>
      <c r="C370">
        <v>3844</v>
      </c>
      <c r="D370" t="s">
        <v>79</v>
      </c>
      <c r="E370">
        <v>92219873</v>
      </c>
      <c r="F370" t="s">
        <v>325</v>
      </c>
      <c r="G370">
        <v>16.649999999999999</v>
      </c>
      <c r="H370" s="1">
        <v>45292</v>
      </c>
      <c r="I370">
        <v>15.6</v>
      </c>
      <c r="J370" s="1">
        <v>44927</v>
      </c>
      <c r="K370">
        <v>1.05</v>
      </c>
      <c r="L370">
        <v>6.73</v>
      </c>
      <c r="M370" s="2">
        <f t="shared" si="5"/>
        <v>6.7307692307692318E-2</v>
      </c>
    </row>
    <row r="371" spans="1:14" x14ac:dyDescent="0.25">
      <c r="A371" t="s">
        <v>11</v>
      </c>
      <c r="B371" t="s">
        <v>78</v>
      </c>
      <c r="C371">
        <v>3844</v>
      </c>
      <c r="D371" t="s">
        <v>79</v>
      </c>
      <c r="E371">
        <v>92219874</v>
      </c>
      <c r="F371" t="s">
        <v>326</v>
      </c>
      <c r="G371">
        <v>5</v>
      </c>
      <c r="H371" s="1">
        <v>45292</v>
      </c>
      <c r="I371">
        <v>15</v>
      </c>
      <c r="J371" s="1">
        <v>44927</v>
      </c>
      <c r="K371">
        <v>-10</v>
      </c>
      <c r="L371">
        <v>-66.66</v>
      </c>
      <c r="M371" s="2">
        <f t="shared" si="5"/>
        <v>-0.66666666666666663</v>
      </c>
    </row>
    <row r="372" spans="1:14" x14ac:dyDescent="0.25">
      <c r="A372" t="s">
        <v>11</v>
      </c>
      <c r="B372" t="s">
        <v>78</v>
      </c>
      <c r="C372">
        <v>3844</v>
      </c>
      <c r="D372" t="s">
        <v>79</v>
      </c>
      <c r="E372">
        <v>92220324</v>
      </c>
      <c r="F372" t="s">
        <v>327</v>
      </c>
      <c r="G372">
        <v>43.53</v>
      </c>
      <c r="H372" s="1">
        <v>45292</v>
      </c>
      <c r="I372">
        <v>42.3</v>
      </c>
      <c r="J372" s="1">
        <v>44927</v>
      </c>
      <c r="K372">
        <v>1.23</v>
      </c>
      <c r="L372">
        <v>2.9</v>
      </c>
      <c r="M372" s="2">
        <f t="shared" si="5"/>
        <v>2.9078014184397163E-2</v>
      </c>
    </row>
    <row r="373" spans="1:14" x14ac:dyDescent="0.25">
      <c r="A373" t="s">
        <v>11</v>
      </c>
      <c r="B373" t="s">
        <v>78</v>
      </c>
      <c r="C373">
        <v>3844</v>
      </c>
      <c r="D373" t="s">
        <v>79</v>
      </c>
      <c r="E373">
        <v>92220403</v>
      </c>
      <c r="F373" t="s">
        <v>328</v>
      </c>
      <c r="G373">
        <v>5</v>
      </c>
      <c r="H373" s="1">
        <v>45292</v>
      </c>
      <c r="I373">
        <v>8.16</v>
      </c>
      <c r="J373" s="1">
        <v>44927</v>
      </c>
      <c r="K373">
        <v>-3.16</v>
      </c>
      <c r="L373">
        <v>-38.72</v>
      </c>
      <c r="M373" s="2">
        <f t="shared" si="5"/>
        <v>-0.38725490196078433</v>
      </c>
    </row>
    <row r="374" spans="1:14" x14ac:dyDescent="0.25">
      <c r="A374" t="s">
        <v>11</v>
      </c>
      <c r="B374" t="s">
        <v>78</v>
      </c>
      <c r="C374">
        <v>3844</v>
      </c>
      <c r="D374" t="s">
        <v>79</v>
      </c>
      <c r="E374">
        <v>92220419</v>
      </c>
      <c r="F374" t="s">
        <v>329</v>
      </c>
      <c r="G374">
        <v>43.53</v>
      </c>
      <c r="H374" s="1">
        <v>45292</v>
      </c>
      <c r="I374">
        <v>65.819999999999993</v>
      </c>
      <c r="J374" s="1">
        <v>44927</v>
      </c>
      <c r="K374">
        <v>-22.29</v>
      </c>
      <c r="L374">
        <v>-33.86</v>
      </c>
      <c r="M374" s="2">
        <f t="shared" si="5"/>
        <v>-0.33865086599817684</v>
      </c>
    </row>
    <row r="376" spans="1:14" x14ac:dyDescent="0.25">
      <c r="M376" s="3">
        <v>-0.02</v>
      </c>
      <c r="N376" s="4" t="s">
        <v>77</v>
      </c>
    </row>
  </sheetData>
  <pageMargins left="0.7" right="0.7" top="0.75" bottom="0.75" header="0.3" footer="0.3"/>
  <headerFooter>
    <oddFooter>&amp;C_x000D_&amp;1#&amp;"Calibri"&amp;10&amp;K000000 LifePoint Health Sensitive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change comparison- 3844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Melissa</dc:creator>
  <cp:lastModifiedBy>DeWerff, David</cp:lastModifiedBy>
  <dcterms:created xsi:type="dcterms:W3CDTF">2024-07-15T20:16:36Z</dcterms:created>
  <dcterms:modified xsi:type="dcterms:W3CDTF">2024-08-08T00:07:26Z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3fe1c8-09a1-4852-a888-8a13adfb1682_Enabled">
    <vt:lpwstr>true</vt:lpwstr>
  </property>
  <property fmtid="{D5CDD505-2E9C-101B-9397-08002B2CF9AE}" pid="3" name="MSIP_Label_103fe1c8-09a1-4852-a888-8a13adfb1682_SetDate">
    <vt:lpwstr>2024-08-08T00:07:10Z</vt:lpwstr>
  </property>
  <property fmtid="{D5CDD505-2E9C-101B-9397-08002B2CF9AE}" pid="4" name="MSIP_Label_103fe1c8-09a1-4852-a888-8a13adfb1682_Method">
    <vt:lpwstr>Standard</vt:lpwstr>
  </property>
  <property fmtid="{D5CDD505-2E9C-101B-9397-08002B2CF9AE}" pid="5" name="MSIP_Label_103fe1c8-09a1-4852-a888-8a13adfb1682_Name">
    <vt:lpwstr>Confidential</vt:lpwstr>
  </property>
  <property fmtid="{D5CDD505-2E9C-101B-9397-08002B2CF9AE}" pid="6" name="MSIP_Label_103fe1c8-09a1-4852-a888-8a13adfb1682_SiteId">
    <vt:lpwstr>76066a77-bfa4-4f03-b6b1-31210b0ac66a</vt:lpwstr>
  </property>
  <property fmtid="{D5CDD505-2E9C-101B-9397-08002B2CF9AE}" pid="7" name="MSIP_Label_103fe1c8-09a1-4852-a888-8a13adfb1682_ActionId">
    <vt:lpwstr>67904960-91bb-437a-a573-aad465765b27</vt:lpwstr>
  </property>
  <property fmtid="{D5CDD505-2E9C-101B-9397-08002B2CF9AE}" pid="8" name="MSIP_Label_103fe1c8-09a1-4852-a888-8a13adfb1682_ContentBits">
    <vt:lpwstr>2</vt:lpwstr>
  </property>
</Properties>
</file>