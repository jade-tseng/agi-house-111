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lbanks\Desktop\HCAI Alta Reports\Alta 2024 HCAI Files\"/>
    </mc:Choice>
  </mc:AlternateContent>
  <xr:revisionPtr revIDLastSave="0" documentId="13_ncr:1_{7A0D0B4C-20B4-4C33-8EF1-21FAACDDD48C}" xr6:coauthVersionLast="47" xr6:coauthVersionMax="47" xr10:uidLastSave="{00000000-0000-0000-0000-000000000000}"/>
  <bookViews>
    <workbookView xWindow="-110" yWindow="-110" windowWidth="19420" windowHeight="10420" xr2:uid="{A5977CF1-E78E-42C1-ADD0-14B58357DA12}"/>
  </bookViews>
  <sheets>
    <sheet name="Hollywood 5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40" i="1" s="1"/>
  <c r="C35" i="1"/>
  <c r="C21" i="1"/>
</calcChain>
</file>

<file path=xl/sharedStrings.xml><?xml version="1.0" encoding="utf-8"?>
<sst xmlns="http://schemas.openxmlformats.org/spreadsheetml/2006/main" count="43" uniqueCount="42">
  <si>
    <t>OSHPD ID NO: 106190380</t>
  </si>
  <si>
    <t>FACILITY NAME:   SOUTHERN CALIFORNIA HOSPITAL HOLLYWOOD COMMUNITY HEALTH</t>
  </si>
  <si>
    <t>GROSS REVENUE SUMMARY 2023 - 2024 REPORTING PERIOD</t>
  </si>
  <si>
    <t>Gross Revenue</t>
  </si>
  <si>
    <t>Month</t>
  </si>
  <si>
    <t>Hollywood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</si>
  <si>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</si>
  <si>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</si>
  <si>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</si>
  <si>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</si>
  <si>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</si>
  <si>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</si>
  <si>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</si>
  <si>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</si>
  <si>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</si>
  <si>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</si>
  <si>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</si>
  <si>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</si>
  <si>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Total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</si>
  <si>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</si>
  <si>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</si>
  <si>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</si>
  <si>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</si>
  <si>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</si>
  <si>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</si>
  <si>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</si>
  <si>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</si>
  <si>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</si>
  <si>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</si>
  <si>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</si>
  <si>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</si>
  <si>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A</t>
  </si>
  <si>
    <t>B</t>
  </si>
  <si>
    <t>2023 GrossRev (CDM Items)</t>
  </si>
  <si>
    <t>C</t>
  </si>
  <si>
    <t>2024 GrossRev (CDM Items)</t>
  </si>
  <si>
    <t>D</t>
  </si>
  <si>
    <t>GrossRevIncreaseDueToPriceIncrease</t>
  </si>
  <si>
    <t>E</t>
  </si>
  <si>
    <t>% of Increase vs. Total Gross Rev 2024 (D / A = E)</t>
  </si>
  <si>
    <t>Note:</t>
  </si>
  <si>
    <t>Last CDM Increase was February 1, 2019.  No CDM increases for years of 2020, 2021, 2022 and 2023 reporting periods.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</si>
</sst>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4" fontId="0" fillId="0" borderId="0" xfId="1" applyFont="1"/>
    <xf numFmtId="44" fontId="0" fillId="0" borderId="0" xfId="1" applyFont="1" applyFill="1"/>
    <xf numFmtId="0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44" fontId="2" fillId="2" borderId="0" xfId="1" applyFont="1" applyFill="1" applyAlignment="1">
      <alignment horizontal="center"/>
    </xf>
    <xf numFmtId="44" fontId="2" fillId="0" borderId="0" xfId="1" applyFont="1" applyFill="1"/>
    <xf numFmtId="0" fontId="3" fillId="0" borderId="0" xfId="0" applyFont="1" applyAlignment="1">
      <alignment horizontal="center"/>
    </xf>
    <xf numFmtId="0" fontId="3" fillId="0" borderId="0" xfId="0" applyFont="1"/>
    <xf numFmtId="9" fontId="3" fillId="0" borderId="0" xfId="2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29E5-48F6-462F-9A3D-DC1FEBE676A7}">
  <sheetPr>
    <pageSetUpPr fitToPage="1"/>
  </sheetPr>
  <dimension ref="A1:D42"/>
  <sheetViews>
    <sheetView tabSelected="1" topLeftCell="A10" workbookViewId="0">
      <selection activeCell="B4" sqref="B4"/>
    </sheetView>
  </sheetViews>
  <sheetFormatPr defaultRowHeight="14.5" x14ac:dyDescent="0.35"/>
  <cols>
    <col min="2" max="2" width="42.90625" customWidth="1"/>
    <col min="3" max="3" width="25.7265625" style="2" customWidth="1"/>
  </cols>
  <sheetData>
    <row r="1" spans="1:4" x14ac:dyDescent="0.35">
      <c r="A1" s="1" t="s">
        <v>0</v>
      </c>
    </row>
    <row r="2" spans="1:4" x14ac:dyDescent="0.35">
      <c r="A2" s="1" t="s">
        <v>1</v>
      </c>
    </row>
    <row r="3" spans="1:4" x14ac:dyDescent="0.35">
      <c r="A3" s="1" t="s">
        <v>2</v>
      </c>
      <c r="C3" s="3"/>
    </row>
    <row r="7" spans="1:4" x14ac:dyDescent="0.35">
      <c r="B7" t="s">
        <v>3</v>
      </c>
      <c r="C7" s="4"/>
    </row>
    <row r="8" spans="1:4" s="5" customFormat="1" x14ac:dyDescent="0.35">
      <c r="B8" s="5" t="s">
        <v>4</v>
      </c>
      <c r="C8" s="6" t="s">
        <v>5</v>
      </c>
    </row>
    <row r="9" spans="1:4" x14ac:dyDescent="0.35">
      <c r="B9" t="s">
        <v>6</v>
      </c>
      <c r="C9" s="2">
        <v>24929367.68</v>
      </c>
      <c r="D9" s="2"/>
    </row>
    <row r="10" spans="1:4" x14ac:dyDescent="0.35">
      <c r="B10" t="s">
        <v>7</v>
      </c>
      <c r="C10" s="2">
        <v>24594050.25</v>
      </c>
      <c r="D10" s="2"/>
    </row>
    <row r="11" spans="1:4" x14ac:dyDescent="0.35">
      <c r="B11" t="s">
        <v>8</v>
      </c>
      <c r="C11" s="2">
        <v>23356231</v>
      </c>
      <c r="D11" s="2"/>
    </row>
    <row r="12" spans="1:4" x14ac:dyDescent="0.35">
      <c r="B12" t="s">
        <v>9</v>
      </c>
      <c r="C12" s="2">
        <v>21911955.18</v>
      </c>
      <c r="D12" s="2"/>
    </row>
    <row r="13" spans="1:4" x14ac:dyDescent="0.35">
      <c r="B13" t="s">
        <v>10</v>
      </c>
      <c r="C13" s="2">
        <v>24288450.559999999</v>
      </c>
      <c r="D13" s="2"/>
    </row>
    <row r="14" spans="1:4" x14ac:dyDescent="0.35">
      <c r="B14" t="s">
        <v>11</v>
      </c>
      <c r="C14" s="2">
        <v>23743240.440000001</v>
      </c>
      <c r="D14" s="2"/>
    </row>
    <row r="15" spans="1:4" x14ac:dyDescent="0.35">
      <c r="B15" t="s">
        <v>12</v>
      </c>
      <c r="C15" s="2">
        <v>22999040.149999999</v>
      </c>
      <c r="D15" s="2"/>
    </row>
    <row r="16" spans="1:4" x14ac:dyDescent="0.35">
      <c r="B16" t="s">
        <v>13</v>
      </c>
      <c r="C16" s="2">
        <v>25151693.079999998</v>
      </c>
      <c r="D16" s="2"/>
    </row>
    <row r="17" spans="2:4" x14ac:dyDescent="0.35">
      <c r="B17" t="s">
        <v>14</v>
      </c>
      <c r="C17" s="2">
        <v>25154804.699999999</v>
      </c>
      <c r="D17" s="2"/>
    </row>
    <row r="18" spans="2:4" x14ac:dyDescent="0.35">
      <c r="B18" t="s">
        <v>15</v>
      </c>
      <c r="C18" s="2">
        <v>26027480.420000002</v>
      </c>
      <c r="D18" s="2"/>
    </row>
    <row r="19" spans="2:4" x14ac:dyDescent="0.35">
      <c r="B19" t="s">
        <v>16</v>
      </c>
      <c r="C19" s="2">
        <v>21779068.52</v>
      </c>
      <c r="D19" s="2"/>
    </row>
    <row r="20" spans="2:4" x14ac:dyDescent="0.35">
      <c r="B20" t="s">
        <v>17</v>
      </c>
      <c r="C20" s="2">
        <v>23991304.640000001</v>
      </c>
      <c r="D20" s="2"/>
    </row>
    <row r="21" spans="2:4" x14ac:dyDescent="0.35">
      <c r="B21" s="1" t="s">
        <v>18</v>
      </c>
      <c r="C21" s="7">
        <f>SUM(C9:C20)</f>
        <v>287926686.62000006</v>
      </c>
      <c r="D21" s="3"/>
    </row>
    <row r="23" spans="2:4" x14ac:dyDescent="0.35">
      <c r="B23" t="s">
        <v>19</v>
      </c>
      <c r="C23" s="2">
        <v>25753650.600000001</v>
      </c>
    </row>
    <row r="24" spans="2:4" x14ac:dyDescent="0.35">
      <c r="B24" t="s">
        <v>20</v>
      </c>
      <c r="C24" s="2">
        <v>26997776.440000001</v>
      </c>
    </row>
    <row r="25" spans="2:4" x14ac:dyDescent="0.35">
      <c r="B25" t="s">
        <v>21</v>
      </c>
      <c r="C25" s="2">
        <v>874154.38</v>
      </c>
    </row>
    <row r="26" spans="2:4" x14ac:dyDescent="0.35">
      <c r="B26" t="s">
        <v>22</v>
      </c>
      <c r="C26" s="2">
        <v>10034430.99</v>
      </c>
    </row>
    <row r="27" spans="2:4" x14ac:dyDescent="0.35">
      <c r="B27" t="s">
        <v>23</v>
      </c>
      <c r="C27" s="2">
        <v>38034057.619999997</v>
      </c>
    </row>
    <row r="28" spans="2:4" x14ac:dyDescent="0.35">
      <c r="B28" t="s">
        <v>24</v>
      </c>
      <c r="C28" s="2">
        <v>32503528.210000001</v>
      </c>
    </row>
    <row r="29" spans="2:4" x14ac:dyDescent="0.35">
      <c r="B29" t="s">
        <v>25</v>
      </c>
      <c r="C29" s="2">
        <v>35760567.719999999</v>
      </c>
    </row>
    <row r="30" spans="2:4" x14ac:dyDescent="0.35">
      <c r="B30" t="s">
        <v>26</v>
      </c>
      <c r="C30" s="2">
        <v>38838369.210000001</v>
      </c>
    </row>
    <row r="31" spans="2:4" x14ac:dyDescent="0.35">
      <c r="B31" t="s">
        <v>27</v>
      </c>
      <c r="C31" s="2">
        <v>70027816.390000001</v>
      </c>
    </row>
    <row r="32" spans="2:4" x14ac:dyDescent="0.35">
      <c r="B32" t="s">
        <v>28</v>
      </c>
      <c r="C32" s="2">
        <v>31016561.449999999</v>
      </c>
    </row>
    <row r="33" spans="1:3" x14ac:dyDescent="0.35">
      <c r="B33" t="s">
        <v>29</v>
      </c>
      <c r="C33" s="2">
        <v>32406133.609999999</v>
      </c>
    </row>
    <row r="34" spans="1:3" x14ac:dyDescent="0.35">
      <c r="B34" t="s">
        <v>30</v>
      </c>
      <c r="C34" s="2">
        <v>33595946.990000002</v>
      </c>
    </row>
    <row r="35" spans="1:3" ht="25.5" customHeight="1" x14ac:dyDescent="0.35">
      <c r="A35" s="5" t="s">
        <v>31</v>
      </c>
      <c r="B35" s="1" t="s">
        <v>18</v>
      </c>
      <c r="C35" s="7">
        <f>SUM(C23:C34)</f>
        <v>375842993.61000001</v>
      </c>
    </row>
    <row r="36" spans="1:3" x14ac:dyDescent="0.35">
      <c r="A36" s="5"/>
      <c r="C36" s="3"/>
    </row>
    <row r="37" spans="1:3" x14ac:dyDescent="0.35">
      <c r="A37" s="5" t="s">
        <v>32</v>
      </c>
      <c r="B37" s="1" t="s">
        <v>33</v>
      </c>
      <c r="C37" s="2">
        <v>287926686.62000006</v>
      </c>
    </row>
    <row r="38" spans="1:3" x14ac:dyDescent="0.35">
      <c r="A38" s="5" t="s">
        <v>34</v>
      </c>
      <c r="B38" s="1" t="s">
        <v>35</v>
      </c>
      <c r="C38" s="2">
        <v>375842993.61000001</v>
      </c>
    </row>
    <row r="39" spans="1:3" s="1" customFormat="1" x14ac:dyDescent="0.35">
      <c r="A39" s="5" t="s">
        <v>36</v>
      </c>
      <c r="B39" s="1" t="s">
        <v>37</v>
      </c>
      <c r="C39" s="7">
        <f>+C38-C37</f>
        <v>87916306.98999995</v>
      </c>
    </row>
    <row r="40" spans="1:3" s="1" customFormat="1" ht="29.25" customHeight="1" x14ac:dyDescent="0.35">
      <c r="A40" s="8" t="s">
        <v>38</v>
      </c>
      <c r="B40" s="9" t="s">
        <v>39</v>
      </c>
      <c r="C40" s="10">
        <f>+C39/C35</f>
        <v>0.23391764243243504</v>
      </c>
    </row>
    <row r="41" spans="1:3" x14ac:dyDescent="0.35">
      <c r="A41" s="5"/>
    </row>
    <row r="42" spans="1:3" x14ac:dyDescent="0.35">
      <c r="A42" s="5" t="s">
        <v>40</v>
      </c>
      <c r="B42" t="s">
        <v>41</v>
      </c>
      <c r="C42" s="3"/>
    </row>
  </sheetData>
  <pageMargins left="0.7" right="0.7" top="0.75" bottom="0.75" header="0.3" footer="0.3"/>
  <pageSetup scale="79" orientation="landscape" horizontalDpi="4294967295" verticalDpi="4294967295" r:id="rId1"/>
  <headerFoot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Hollywood 505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Banks, Lavenia</dc:creator>
  <cp:lastModifiedBy>Banks, Lavenia</cp:lastModifiedBy>
  <dcterms:created xsi:type="dcterms:W3CDTF">2024-06-29T00:29:20Z</dcterms:created>
  <dcterms:modified xsi:type="dcterms:W3CDTF">2024-06-29T14:28:14Z</dcterms:modified>
</cp:coreProperties>
</file>