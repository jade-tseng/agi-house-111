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defaultThemeVersion="124226"/>
  <mc:AlternateContent xmlns:mc="http://schemas.openxmlformats.org/markup-compatibility/2006">
    <mc:Choice Requires="x15">
      <x15ac:absPath xmlns:x15ac="http://schemas.microsoft.com/office/spreadsheetml/2010/11/ac" url="https://cahcai-my.sharepoint.com/personal/alma_lopez_hcai_ca_gov/Documents/Desktop/Chargemaster submission/"/>
    </mc:Choice>
  </mc:AlternateContent>
  <xr:revisionPtr revIDLastSave="1" documentId="8_{8E4C672B-1364-402D-A253-8372CCAB6514}" xr6:coauthVersionLast="47" xr6:coauthVersionMax="47" xr10:uidLastSave="{9208CD53-D20B-4650-8839-19827BCC6230}"/>
  <bookViews>
    <workbookView xWindow="28680" yWindow="-120" windowWidth="29040" windowHeight="17520" firstSheet="1" activeTab="1" xr2:uid="{00000000-000D-0000-FFFF-FFFF00000000}"/>
  </bookViews>
  <sheets>
    <sheet name="Top 50 List" sheetId="1" state="hidden" r:id="rId1"/>
    <sheet name="AB 1045 Form" sheetId="5" r:id="rId2"/>
    <sheet name="Chargemaster" sheetId="6" r:id="rId3"/>
    <sheet name="Chargemaster OP" sheetId="7" r:id="rId4"/>
    <sheet name="Change calculation" sheetId="9" r:id="rId5"/>
    <sheet name="Sheet3" sheetId="8" r:id="rId6"/>
  </sheets>
  <definedNames>
    <definedName name="PHZL040" localSheetId="2">Chargemaster!$A$1:$I$8659</definedName>
    <definedName name="PHZL040" localSheetId="3">'Chargemaster OP'!$A$1:$I$99</definedName>
    <definedName name="PHZL040" localSheetId="5">Sheet3!$A$1:$I$67</definedName>
    <definedName name="_xlnm.Print_Area" localSheetId="1">'AB 1045 Form'!$A$1:$C$95</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 i="9" l="1"/>
  <c r="H8" i="9"/>
  <c r="F12" i="9"/>
  <c r="F15" i="9" s="1"/>
  <c r="G12" i="9"/>
  <c r="H12" i="9" s="1"/>
  <c r="H15" i="9" s="1"/>
  <c r="H16" i="9" s="1"/>
  <c r="F13" i="9"/>
  <c r="G13" i="9"/>
  <c r="H13" i="9"/>
  <c r="G15" i="9" l="1"/>
  <c r="C8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PHZL040" type="6" refreshedVersion="8" background="1" saveData="1">
    <textPr codePage="437" sourceFile="C:\Users\Eve.Mathes\Desktop\PHZL040.txt" delimited="0">
      <textFields count="9">
        <textField/>
        <textField position="13"/>
        <textField position="40"/>
        <textField position="62"/>
        <textField position="76"/>
        <textField position="94"/>
        <textField position="106"/>
        <textField position="115"/>
        <textField position="127"/>
      </textFields>
    </textPr>
  </connection>
  <connection id="2" xr16:uid="{00000000-0015-0000-FFFF-FFFF01000000}" name="PHZL0401" type="6" refreshedVersion="8" background="1" saveData="1">
    <textPr codePage="437" sourceFile="C:\Users\Eve.Mathes\Desktop\PHZL040.txt" delimited="0">
      <textFields count="9">
        <textField/>
        <textField position="13"/>
        <textField position="40"/>
        <textField position="62"/>
        <textField position="76"/>
        <textField position="94"/>
        <textField position="106"/>
        <textField position="115"/>
        <textField position="127"/>
      </textFields>
    </textPr>
  </connection>
  <connection id="3" xr16:uid="{00000000-0015-0000-FFFF-FFFF02000000}" name="PHZL04011" type="6" refreshedVersion="8" background="1" saveData="1">
    <textPr codePage="437" sourceFile="C:\Users\Eve.Mathes\Desktop\PHZL040.txt" delimited="0">
      <textFields count="9">
        <textField/>
        <textField position="13"/>
        <textField position="40"/>
        <textField position="62"/>
        <textField position="76"/>
        <textField position="94"/>
        <textField position="106"/>
        <textField position="115"/>
        <textField position="127"/>
      </textFields>
    </textPr>
  </connection>
</connections>
</file>

<file path=xl/sharedStrings.xml><?xml version="1.0" encoding="utf-8"?>
<sst xmlns="http://schemas.openxmlformats.org/spreadsheetml/2006/main" count="18888" uniqueCount="5270">
  <si>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</si>
  <si>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</si>
  <si>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</si>
  <si>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</si>
  <si>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</si>
  <si>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</si>
  <si>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</si>
  <si>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</si>
  <si>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</si>
  <si>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</si>
  <si>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</si>
  <si>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</si>
  <si>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</si>
  <si>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</si>
  <si>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</si>
  <si>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</si>
  <si>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</si>
  <si>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</si>
  <si>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</si>
  <si>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</si>
  <si>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</si>
  <si>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</si>
  <si>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</si>
  <si>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</si>
  <si>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</si>
  <si>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</si>
  <si>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</si>
  <si>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</si>
  <si>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</si>
  <si>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</si>
  <si>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</si>
  <si>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</si>
  <si>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</si>
  <si>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</si>
  <si>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</si>
  <si>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</si>
  <si>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</si>
  <si>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</si>
  <si>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</si>
  <si>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</si>
  <si>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</si>
  <si>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</si>
  <si>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</si>
  <si>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</si>
  <si>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</si>
  <si>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</si>
  <si>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</si>
  <si>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</si>
  <si>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</si>
  <si>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</si>
  <si>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</si>
  <si>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</si>
  <si>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</si>
  <si>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</si>
  <si>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</si>
  <si>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</si>
  <si>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</si>
  <si>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</si>
  <si>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</si>
  <si>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</si>
  <si>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</si>
  <si>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</si>
  <si>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</si>
  <si>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</si>
  <si>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</si>
  <si>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</si>
  <si>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</si>
  <si>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</si>
  <si>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</si>
  <si>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</si>
  <si>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</si>
  <si>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</si>
  <si>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</si>
  <si>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</si>
  <si>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</si>
  <si>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</si>
  <si>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</si>
  <si>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</si>
  <si>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</si>
  <si>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</si>
  <si>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</si>
  <si>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</si>
  <si>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</si>
  <si>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</si>
  <si>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</si>
  <si>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</si>
  <si>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</si>
  <si>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</si>
  <si>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</si>
  <si>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</si>
  <si>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</si>
  <si>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</si>
  <si>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</si>
  <si>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</si>
  <si>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</si>
  <si>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</si>
  <si>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</si>
  <si>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</si>
  <si>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</si>
  <si>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</si>
  <si>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</si>
  <si>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</si>
  <si>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</si>
  <si>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</si>
  <si>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</si>
  <si>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</si>
  <si>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</si>
  <si>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</si>
  <si>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</si>
  <si>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</si>
  <si>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</si>
  <si>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</si>
  <si>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</si>
  <si>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</si>
  <si>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</si>
  <si>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</si>
  <si>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</si>
  <si>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</si>
  <si>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</si>
  <si>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</si>
  <si>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</si>
  <si>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</si>
  <si>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2021 CPT Code</t>
  </si>
  <si>
    <t>GROUP EDUCATION SIERRA</t>
  </si>
  <si>
    <t>GROUP EDUCATION FOLSOM</t>
  </si>
  <si>
    <t>GROUP PSYCHOTHERAPY SIERRA</t>
  </si>
  <si>
    <t>GROUP PSYCHOTHERAPY FOLSOM</t>
  </si>
  <si>
    <t>PHP ADULT FULL DAY SIERRA</t>
  </si>
  <si>
    <t>PHP ADULT FULL DAY FOLSOM</t>
  </si>
  <si>
    <t>OPS GROUP THERAPY</t>
  </si>
  <si>
    <t>INDIV THERAPY 30 MIN</t>
  </si>
  <si>
    <t>FAMIL TX W/PT THERAPEUTIC S</t>
  </si>
  <si>
    <t>CD IOP NON MCARE SIERRA</t>
  </si>
  <si>
    <t>CD IOP NON MCARE FOLSOM</t>
  </si>
  <si>
    <t>INTENSIVE OUTPATIENT</t>
  </si>
  <si>
    <t>INTENSIVE IOP PSYCH SIERRA</t>
  </si>
  <si>
    <t>INTENSIVE IOP PSYCH FOLSOM</t>
  </si>
  <si>
    <t>GROUP PSYCH THERAPEUTIC SER</t>
  </si>
  <si>
    <t>INTENSIVE ADOL IOP SIERRA</t>
  </si>
  <si>
    <t>INTENSIVE ADOL IOP FOLSOM</t>
  </si>
  <si>
    <t>PROCESS GROUP</t>
  </si>
  <si>
    <t>ADULT OP VISIT</t>
  </si>
  <si>
    <t>INDIV TX THERAPEUTIC SVCS</t>
  </si>
  <si>
    <t>Hospital Name:  Sierra Vista Hospital</t>
  </si>
  <si>
    <t>These are the only procedures that we use.  </t>
  </si>
  <si>
    <t>HCAI Facility No: 106342392</t>
  </si>
  <si>
    <t>0/00/00</t>
  </si>
  <si>
    <t>PMT UR APPEALS MEDICARE</t>
  </si>
  <si>
    <t>A</t>
  </si>
  <si>
    <t>999003-7</t>
  </si>
  <si>
    <t>PMT UR APPEALS INSURANCE</t>
  </si>
  <si>
    <t>999002-9</t>
  </si>
  <si>
    <t>PMT UR APPEALS MEDI CAL</t>
  </si>
  <si>
    <t>999001-1</t>
  </si>
  <si>
    <t>PMT ALAMEDA CO S D</t>
  </si>
  <si>
    <t>YLE          .00</t>
  </si>
  <si>
    <t>PMT ALAMEDA COUNTY SHORT DO</t>
  </si>
  <si>
    <t>998599-5</t>
  </si>
  <si>
    <t>PMT YOLO CO S DOYLE</t>
  </si>
  <si>
    <t>PMT YOLO COUNTY SHORT DOYLE</t>
  </si>
  <si>
    <t>998557-3</t>
  </si>
  <si>
    <t>PMT TUOLUMNE CO S D</t>
  </si>
  <si>
    <t>OYLE         .00</t>
  </si>
  <si>
    <t>PMT TUOLUMNE COUNTY SHORT D</t>
  </si>
  <si>
    <t>998555-7</t>
  </si>
  <si>
    <t>PMT TULARE CO S D</t>
  </si>
  <si>
    <t>LE           .00</t>
  </si>
  <si>
    <t>PMT TULARE COUNTY SHORT DOY</t>
  </si>
  <si>
    <t>998554-0</t>
  </si>
  <si>
    <t>PMT TRINITO CO SD</t>
  </si>
  <si>
    <t>PMT TRINITY COUNTY SHORT DO</t>
  </si>
  <si>
    <t>998553-2</t>
  </si>
  <si>
    <t>PMT TEHAMA CO SHORT DOYLE</t>
  </si>
  <si>
    <t>PMT TEHAMA COUNTY SHORT DOY</t>
  </si>
  <si>
    <t>998552-4</t>
  </si>
  <si>
    <t>PMT SUTTER YUBA CO  SD</t>
  </si>
  <si>
    <t>T DO         .00</t>
  </si>
  <si>
    <t>PMT SUTTER YUBA COUNTY SHOR</t>
  </si>
  <si>
    <t>998551-6</t>
  </si>
  <si>
    <t>PMT STANISLAUS CO  SD</t>
  </si>
  <si>
    <t>DOY         .00</t>
  </si>
  <si>
    <t>PMT STANISLAUS COUNTY SHORT</t>
  </si>
  <si>
    <t>998550-8</t>
  </si>
  <si>
    <t>PMT SOLANO COUNTY SD</t>
  </si>
  <si>
    <t>PMT SOLANO COUNTY SHORT DOY</t>
  </si>
  <si>
    <t>998548-2</t>
  </si>
  <si>
    <t>PMT SISKIYOU CO S DOYLE</t>
  </si>
  <si>
    <t>PMT SISKIYOU COUNTY SHORT D</t>
  </si>
  <si>
    <t>998547-4</t>
  </si>
  <si>
    <t>PMT SHASTA CO SHORT DOYLE</t>
  </si>
  <si>
    <t>PMT SHASTA COUNTY SHORT DOY</t>
  </si>
  <si>
    <t>998545-8</t>
  </si>
  <si>
    <t>PMT SANTA CLARA CO  SD</t>
  </si>
  <si>
    <t>PMT SANTA CLARA COUNTY SHOR</t>
  </si>
  <si>
    <t>998543-3</t>
  </si>
  <si>
    <t>PMT SAN MATEO CO  SD</t>
  </si>
  <si>
    <t>DOYL         .00</t>
  </si>
  <si>
    <t>PMT SAN MATEO COUNTY SHORT</t>
  </si>
  <si>
    <t>998541-7</t>
  </si>
  <si>
    <t>LOG DATE</t>
  </si>
  <si>
    <t>GROUP</t>
  </si>
  <si>
    <t>RVS NUMBER</t>
  </si>
  <si>
    <t>O/P GL#</t>
  </si>
  <si>
    <t>PROF AMT</t>
  </si>
  <si>
    <t>SERVICE FEE</t>
  </si>
  <si>
    <t>BILLING DESCRIPTION</t>
  </si>
  <si>
    <t>NUMBER</t>
  </si>
  <si>
    <t>STS</t>
  </si>
  <si>
    <t>REV DATE</t>
  </si>
  <si>
    <t>PRICE</t>
  </si>
  <si>
    <t>REV CENTER</t>
  </si>
  <si>
    <t>I/P GL#</t>
  </si>
  <si>
    <t>PROF PCT</t>
  </si>
  <si>
    <t>UNIT  PRICE</t>
  </si>
  <si>
    <t>DESCRIPTION</t>
  </si>
  <si>
    <t>CHARGE</t>
  </si>
  <si>
    <t>-----</t>
  </si>
  <si>
    <t>------------</t>
  </si>
  <si>
    <t>---------</t>
  </si>
  <si>
    <t>------------------</t>
  </si>
  <si>
    <t>--------------</t>
  </si>
  <si>
    <t>----------------------</t>
  </si>
  <si>
    <t>---------------------------</t>
  </si>
  <si>
    <t>-------------</t>
  </si>
  <si>
    <t>AR PAYMENTS</t>
  </si>
  <si>
    <t>PAGE:</t>
  </si>
  <si>
    <t>A HOSP</t>
  </si>
  <si>
    <t>SIERRA VIST</t>
  </si>
  <si>
    <t>MATHESE</t>
  </si>
  <si>
    <t>MASTER LIST</t>
  </si>
  <si>
    <t>S400E</t>
  </si>
  <si>
    <t>AR/ADT</t>
  </si>
  <si>
    <t>PHRL040</t>
  </si>
  <si>
    <t>_x000C_</t>
  </si>
  <si>
    <t>PMT SAN JOAQUIN CO  SD</t>
  </si>
  <si>
    <t>PMT SAN JOAQUIN CNTY SHORT</t>
  </si>
  <si>
    <t>998539-1</t>
  </si>
  <si>
    <t>PMT SAN FRANCISCO CO  SD</t>
  </si>
  <si>
    <t>PMT SAN FRANCISCO CNTY SHOR</t>
  </si>
  <si>
    <t>998538-3</t>
  </si>
  <si>
    <t>PMT SACRAMENTO CO S D</t>
  </si>
  <si>
    <t>PMT SACRAMENTO COUNTY SHORT</t>
  </si>
  <si>
    <t>998534-2</t>
  </si>
  <si>
    <t>PMT PLUMAS CO S DOYLE</t>
  </si>
  <si>
    <t>PMT PLUMAS COUNTY SHORT DOY</t>
  </si>
  <si>
    <t>998532-6</t>
  </si>
  <si>
    <t>PMT PLACER CO S DOYLE</t>
  </si>
  <si>
    <t>PMT PLACER COUNTY SHORT DOY</t>
  </si>
  <si>
    <t>998531-8</t>
  </si>
  <si>
    <t>PMT ORANGE CO SHORT DOYLE</t>
  </si>
  <si>
    <t>998530-0</t>
  </si>
  <si>
    <t>PMT NEVADO CO S DOYLE</t>
  </si>
  <si>
    <t>PMT NEVADA COUNTY SHORT DOY</t>
  </si>
  <si>
    <t>998529-2</t>
  </si>
  <si>
    <t>PMT NAPA CO S DOYLE</t>
  </si>
  <si>
    <t>PMT NAPA COUNTY SHORT DOYLE</t>
  </si>
  <si>
    <t>998528-4</t>
  </si>
  <si>
    <t>PMT MODOC CO S DOYLE</t>
  </si>
  <si>
    <t>E            .00</t>
  </si>
  <si>
    <t>PMT MODOC COUNTY SHORT DOYL</t>
  </si>
  <si>
    <t>998525-0</t>
  </si>
  <si>
    <t>PMT MERCED CO S DOYLE</t>
  </si>
  <si>
    <t>PMT MERCED COUNTY SHORT DOY</t>
  </si>
  <si>
    <t>998524-3</t>
  </si>
  <si>
    <t>PMT MENDOCINO CO S DOYLE</t>
  </si>
  <si>
    <t>PMT MENDOCINO COUNTY SHORT</t>
  </si>
  <si>
    <t>998523-5</t>
  </si>
  <si>
    <t>PMT MADERA CO</t>
  </si>
  <si>
    <t>998520-1</t>
  </si>
  <si>
    <t>PMT LA COUNTY SHORT DOYLE</t>
  </si>
  <si>
    <t>PMT LOS ANGELES COUNTY SHOR</t>
  </si>
  <si>
    <t>998519-3</t>
  </si>
  <si>
    <t>PMT LASSEN CO S DOYLE</t>
  </si>
  <si>
    <t>PMT LASSEN COUNTY SHORT DOY</t>
  </si>
  <si>
    <t>998518-5</t>
  </si>
  <si>
    <t>PMT LAKE CO SHORT DOYLE</t>
  </si>
  <si>
    <t>PMT LAKE COUNTY SHORT DOYLE</t>
  </si>
  <si>
    <t>998517-7</t>
  </si>
  <si>
    <t>PMT KERN CO SHORT DOYLE</t>
  </si>
  <si>
    <t>PMT KERN COUNTY SHORT DOYLE</t>
  </si>
  <si>
    <t>998515-1</t>
  </si>
  <si>
    <t>PMT INYO CO SHORT DOYLE</t>
  </si>
  <si>
    <t>PMT INYO COUNTY SHORT DOYLE</t>
  </si>
  <si>
    <t>998514-4</t>
  </si>
  <si>
    <t>PMT HUMBOLT CO S DOYLE</t>
  </si>
  <si>
    <t>PMT HUMBOLT COUNTY SHORT DO</t>
  </si>
  <si>
    <t>998512-8</t>
  </si>
  <si>
    <t>PMT GLENN COUNTY S DOYLE</t>
  </si>
  <si>
    <t>PMT GLENN COUNTY SHORT DOYL</t>
  </si>
  <si>
    <t>998511-0</t>
  </si>
  <si>
    <t>PMT FRESNO CO SHORT DOYLE</t>
  </si>
  <si>
    <t>PMT FRESNO COUNTY SHORT DOY</t>
  </si>
  <si>
    <t>998510-2</t>
  </si>
  <si>
    <t>PMT EL DORADO CO S DOYLE</t>
  </si>
  <si>
    <t>PMT EL DORADO CO SHORT DOYL</t>
  </si>
  <si>
    <t>998509-4</t>
  </si>
  <si>
    <t>PMT DEL NORTE CO S DOYLE</t>
  </si>
  <si>
    <t>PMT DEL NORTE CO SHORT DOYL</t>
  </si>
  <si>
    <t>998508-6</t>
  </si>
  <si>
    <t>PMT CONTRA COSTA SHORT D</t>
  </si>
  <si>
    <t>PMT CONTRA COSTA SHORT DOYL</t>
  </si>
  <si>
    <t>998507-8</t>
  </si>
  <si>
    <t>PMT COLUSA CO SHORT DOYLE</t>
  </si>
  <si>
    <t>998506-0</t>
  </si>
  <si>
    <t>PMT CALAVERAS CO SHORT D</t>
  </si>
  <si>
    <t>PMT CALAVERAS CO SHORT DOYL</t>
  </si>
  <si>
    <t>998505-2</t>
  </si>
  <si>
    <t>PMT BUTTE CO SHORT DOYLE</t>
  </si>
  <si>
    <t>998504-5</t>
  </si>
  <si>
    <t>PMT AMADOR CO SHORT DOYLE</t>
  </si>
  <si>
    <t>PMT AMADOR COUNTY SHORT DOY</t>
  </si>
  <si>
    <t>998503-7</t>
  </si>
  <si>
    <t>PMT ALPINE CO SHORT DOYLE</t>
  </si>
  <si>
    <t>998502-9</t>
  </si>
  <si>
    <t>PMT-CDCR DOJJ HEALTH CR S</t>
  </si>
  <si>
    <t>VICE         .00</t>
  </si>
  <si>
    <t>PMT-CDCR DOJJ HEALTH CR SER</t>
  </si>
  <si>
    <t>998501-1</t>
  </si>
  <si>
    <t>PMT-SHORT DOYLE</t>
  </si>
  <si>
    <t>998500-3</t>
  </si>
  <si>
    <t>PMT-MEDICAL CROSSOVER CLM</t>
  </si>
  <si>
    <t>PMT-MEDICAL CROSSOVER CLMS</t>
  </si>
  <si>
    <t>998300-8</t>
  </si>
  <si>
    <t>PMT-MEDICAL SAC COUNTY AD</t>
  </si>
  <si>
    <t>T            .00</t>
  </si>
  <si>
    <t>PMT-MEDICAL SAC COUNTY ADUL</t>
  </si>
  <si>
    <t>998002-0</t>
  </si>
  <si>
    <t>PMT-MEDI CAL</t>
  </si>
  <si>
    <t>998001-2</t>
  </si>
  <si>
    <t>PMT-WORKERS COMPENSATION</t>
  </si>
  <si>
    <t>SC           .00</t>
  </si>
  <si>
    <t>PMT-WORKERS COMPENSATION MI</t>
  </si>
  <si>
    <t>996501-3</t>
  </si>
  <si>
    <t>PMT-DIGNITY HEALTH</t>
  </si>
  <si>
    <t>996099-8</t>
  </si>
  <si>
    <t>PMT-UC DAVIS</t>
  </si>
  <si>
    <t>996098-0</t>
  </si>
  <si>
    <t>PMT-MISC COMMERCIAL INS</t>
  </si>
  <si>
    <t>996001-4</t>
  </si>
  <si>
    <t>PMT-COMMERCIAL</t>
  </si>
  <si>
    <t>996000-6</t>
  </si>
  <si>
    <t>PMT CAPITATION</t>
  </si>
  <si>
    <t>994800-1</t>
  </si>
  <si>
    <t>PMT MISC MGD MEDICAID</t>
  </si>
  <si>
    <t>PMT MISC MGED MEDICAID</t>
  </si>
  <si>
    <t>994500-7</t>
  </si>
  <si>
    <t>PMT - MHN SNR ADVANTAGE</t>
  </si>
  <si>
    <t>PMT- MHN SNR ADVANTAGE</t>
  </si>
  <si>
    <t>994127-9</t>
  </si>
  <si>
    <t>PMT BLUE SHIELD 65+</t>
  </si>
  <si>
    <t>994125-3</t>
  </si>
  <si>
    <t>PMT IMPERIAL HEALTH MCARE</t>
  </si>
  <si>
    <t>994121-2</t>
  </si>
  <si>
    <t>PMT BLUE CROSS MCARE</t>
  </si>
  <si>
    <t>994120-4</t>
  </si>
  <si>
    <t>PMT-KAISER SR ADVANTAGE</t>
  </si>
  <si>
    <t>RE           .00</t>
  </si>
  <si>
    <t>PMT-KAISER SR ADVANTAGE MCA</t>
  </si>
  <si>
    <t>994115-4</t>
  </si>
  <si>
    <t>PMT - UBH SNR ADVANTAGE</t>
  </si>
  <si>
    <t>994111-3</t>
  </si>
  <si>
    <t>PMT HUMANA SR MCARE</t>
  </si>
  <si>
    <t>994108-9</t>
  </si>
  <si>
    <t>PMT PACIFICARE SR PLAN</t>
  </si>
  <si>
    <t>994107-1</t>
  </si>
  <si>
    <t>PMT-UC DAVIS HLTH SYSTEMS</t>
  </si>
  <si>
    <t>994105-5</t>
  </si>
  <si>
    <t>PMT-SUTTER MED CENTER SCR</t>
  </si>
  <si>
    <t>TO           .00</t>
  </si>
  <si>
    <t>PMT-SUTTER MED CENTER SCRMN</t>
  </si>
  <si>
    <t>994104-8</t>
  </si>
  <si>
    <t>PMT-MOLINA</t>
  </si>
  <si>
    <t>994103-0</t>
  </si>
  <si>
    <t>PMT-SECURE HORIZONS MC</t>
  </si>
  <si>
    <t>994102-2</t>
  </si>
  <si>
    <t>PMT-HEALTHNET SENIORITY P</t>
  </si>
  <si>
    <t>S            .00</t>
  </si>
  <si>
    <t>PMT-HEALTHNET SENIORITY PLU</t>
  </si>
  <si>
    <t>994101-4</t>
  </si>
  <si>
    <t>PMT MISC MGD MEDICARE</t>
  </si>
  <si>
    <t>994100-6</t>
  </si>
  <si>
    <t>PMT - KAISER KPIC</t>
  </si>
  <si>
    <t>994051-1</t>
  </si>
  <si>
    <t>PMT BLUE SHIELD CA CLAIMS</t>
  </si>
  <si>
    <t>994025-5</t>
  </si>
  <si>
    <t>PMT-BLUE SHIELD OF CAL MH</t>
  </si>
  <si>
    <t>PMT-BLUE SHIELD OF CAL MHSA</t>
  </si>
  <si>
    <t>994024-8</t>
  </si>
  <si>
    <t>PYM-MH NET</t>
  </si>
  <si>
    <t>PMT-MH NET</t>
  </si>
  <si>
    <t>994020-6</t>
  </si>
  <si>
    <t>PMT-MULTIPLAN INC</t>
  </si>
  <si>
    <t>994019-8</t>
  </si>
  <si>
    <t>PMT-FIRST HEALTH CLAIMS</t>
  </si>
  <si>
    <t>994017-2</t>
  </si>
  <si>
    <t>PMT-HUMAN BEHAV ASSOC CLA</t>
  </si>
  <si>
    <t>PMT-HUMAN BEHAV ASSOC CLAIM</t>
  </si>
  <si>
    <t>994016-4</t>
  </si>
  <si>
    <t>PMT-KAISER FOUND HLTH CLA</t>
  </si>
  <si>
    <t>PMT-KAISER FOUND HLTH CLAIM</t>
  </si>
  <si>
    <t>994015-6</t>
  </si>
  <si>
    <t>PMT-HLTH NET HMO CLAIMS</t>
  </si>
  <si>
    <t>994014-9</t>
  </si>
  <si>
    <t>PMT-APS HEALTHCARE</t>
  </si>
  <si>
    <t>994013-1</t>
  </si>
  <si>
    <t>PMT-UNITED BEHAVIORAL UBH</t>
  </si>
  <si>
    <t>994011-5</t>
  </si>
  <si>
    <t>PMT-INTERPLAN</t>
  </si>
  <si>
    <t>994010-7</t>
  </si>
  <si>
    <t>PMT-AETNA SELECT CLAIMS</t>
  </si>
  <si>
    <t>994009-9</t>
  </si>
  <si>
    <t>PMT-INTEGRATED BEHAV CLAI</t>
  </si>
  <si>
    <t>PMT-INTEGRATED BEHAV CLAIMS</t>
  </si>
  <si>
    <t>994008-1</t>
  </si>
  <si>
    <t>PMT-COMPSYCH</t>
  </si>
  <si>
    <t>994007-3</t>
  </si>
  <si>
    <t>PMT-CIGNA</t>
  </si>
  <si>
    <t>994006-5</t>
  </si>
  <si>
    <t>PMT-MAGELLAN</t>
  </si>
  <si>
    <t>994005-7</t>
  </si>
  <si>
    <t>PMT-VALUE BEHAVIORAL HLTH</t>
  </si>
  <si>
    <t>994004-0</t>
  </si>
  <si>
    <t>PMT-PACIFICARE BEHAV HEAL</t>
  </si>
  <si>
    <t>PMT-PACIFICARE BEHAV HEALTH</t>
  </si>
  <si>
    <t>994003-2</t>
  </si>
  <si>
    <t>PMT-MANAGED HEALTH NETWOR</t>
  </si>
  <si>
    <t>PMT-MANAGED HEALTH NETWORK</t>
  </si>
  <si>
    <t>994002-4</t>
  </si>
  <si>
    <t>PMT MISC HMO</t>
  </si>
  <si>
    <t>994000-8</t>
  </si>
  <si>
    <t>PMT TRIWEST CCN</t>
  </si>
  <si>
    <t>993103-1</t>
  </si>
  <si>
    <t>PMT - CHAMP VA</t>
  </si>
  <si>
    <t>993102-3</t>
  </si>
  <si>
    <t>PMT-VA DEPT VETERANS AFFA</t>
  </si>
  <si>
    <t>PMT-VA DEPT VETERANS AFFAIR</t>
  </si>
  <si>
    <t>993100-7</t>
  </si>
  <si>
    <t>PMT-TRICARE WEST HN</t>
  </si>
  <si>
    <t>WES         .00</t>
  </si>
  <si>
    <t>PMT-TRICARE WEST HN TRICARE</t>
  </si>
  <si>
    <t>993019-9</t>
  </si>
  <si>
    <t>TRICARE EAST REGION</t>
  </si>
  <si>
    <t>993018-1</t>
  </si>
  <si>
    <t>PMT-TRICARE FOR LIFE</t>
  </si>
  <si>
    <t>993006-6</t>
  </si>
  <si>
    <t>PMT-TRICARE OVERSEAS</t>
  </si>
  <si>
    <t>993005-8</t>
  </si>
  <si>
    <t>PMT-TRICARE WEST</t>
  </si>
  <si>
    <t>993003-3</t>
  </si>
  <si>
    <t>PMT-TRICARE NORTH</t>
  </si>
  <si>
    <t>993002-5</t>
  </si>
  <si>
    <t>PMT-TRICARE CHAMPUS</t>
  </si>
  <si>
    <t>993001-7</t>
  </si>
  <si>
    <t>PMT - BLUE CROSS FEDERAL</t>
  </si>
  <si>
    <t>992003-4</t>
  </si>
  <si>
    <t>PMT-BLUE CROSS CLAIMS</t>
  </si>
  <si>
    <t>992001-8</t>
  </si>
  <si>
    <t>PMT-MEDICARE TAKE BACK</t>
  </si>
  <si>
    <t>991100-9</t>
  </si>
  <si>
    <t>PMT-MEDICARE OUTPATIENT</t>
  </si>
  <si>
    <t>991002-7</t>
  </si>
  <si>
    <t>PMT-MEDICARE INPATIENT</t>
  </si>
  <si>
    <t>991001-9</t>
  </si>
  <si>
    <t>PMT TERM PAY</t>
  </si>
  <si>
    <t>990088-7</t>
  </si>
  <si>
    <t>PMT COLL AGENCY MEDICARE</t>
  </si>
  <si>
    <t>990063-0</t>
  </si>
  <si>
    <t>PMT COLL AGENCY M/L</t>
  </si>
  <si>
    <t>990062-2</t>
  </si>
  <si>
    <t>PMT COLL AGENCY NON MCARE</t>
  </si>
  <si>
    <t>PMT COLL AGENCY NON MEDICAR</t>
  </si>
  <si>
    <t>990061-4</t>
  </si>
  <si>
    <t>990060-6</t>
  </si>
  <si>
    <t>PMT COLL AGCY NON M/L MCA</t>
  </si>
  <si>
    <t>990059-8</t>
  </si>
  <si>
    <t>PMT-TRANSPORTATION (CC)</t>
  </si>
  <si>
    <t>990057-2</t>
  </si>
  <si>
    <t>PMT-TRANSPORTATION (CASH)</t>
  </si>
  <si>
    <t>990056-4</t>
  </si>
  <si>
    <t>PMT-SELF PAY</t>
  </si>
  <si>
    <t>D</t>
  </si>
  <si>
    <t>990030-9</t>
  </si>
  <si>
    <t>PMT-UPFRONT COLLECTIONS</t>
  </si>
  <si>
    <t>990015-0</t>
  </si>
  <si>
    <t>PMT S/P AFTER MEDICARE</t>
  </si>
  <si>
    <t>PMT SELF PAY AFTER MEDICARE</t>
  </si>
  <si>
    <t>990010-1</t>
  </si>
  <si>
    <t>PMT SELF PAY AFTER INS</t>
  </si>
  <si>
    <t>990001-0</t>
  </si>
  <si>
    <t>OP REQ TAKEBACK MGMA/CHIP</t>
  </si>
  <si>
    <t>/CHI         .00</t>
  </si>
  <si>
    <t>OP REQUESTED TAKE BACK MGMA</t>
  </si>
  <si>
    <t>982881-5</t>
  </si>
  <si>
    <t>OP REQ TAKEBACK MGMC</t>
  </si>
  <si>
    <t>OP REQUESTED TAKE BACK MGMC</t>
  </si>
  <si>
    <t>982880-7</t>
  </si>
  <si>
    <t>OP REQ TAKEBACK VA</t>
  </si>
  <si>
    <t>OP REQUESTED TAKE BACK VA</t>
  </si>
  <si>
    <t>982879-9</t>
  </si>
  <si>
    <t>OP REQ TAKEBACK TRICARE</t>
  </si>
  <si>
    <t>ARE          .00</t>
  </si>
  <si>
    <t>OP REQUESTED TAKE BACK TRIC</t>
  </si>
  <si>
    <t>982878-1</t>
  </si>
  <si>
    <t>&amp; MISC CASH</t>
  </si>
  <si>
    <t>BD PYMTS/ADJ</t>
  </si>
  <si>
    <t>OP REQ TAKEBACK MEDICAID</t>
  </si>
  <si>
    <t>CAID         .00</t>
  </si>
  <si>
    <t>OP REQUESTED TAKE BACK MEDI</t>
  </si>
  <si>
    <t>982877-3</t>
  </si>
  <si>
    <t>OP REQ TAKEBACK MEDICARE</t>
  </si>
  <si>
    <t>CARE         .00</t>
  </si>
  <si>
    <t>982876-5</t>
  </si>
  <si>
    <t>IP REQ TAKEBACK MGMA/CHIP</t>
  </si>
  <si>
    <t>IP REQUESTED TAKE BACK MGMA</t>
  </si>
  <si>
    <t>982875-7</t>
  </si>
  <si>
    <t>IP REQ TAKEBACK MGMC</t>
  </si>
  <si>
    <t>IP REQUESTED TAKE BACK MGMC</t>
  </si>
  <si>
    <t>982874-0</t>
  </si>
  <si>
    <t>IP REQ TAKEBACK VA</t>
  </si>
  <si>
    <t>IP REQUESTED TAKE BACK VA</t>
  </si>
  <si>
    <t>982873-2</t>
  </si>
  <si>
    <t>IP REQ TAKEBACK TRICARE</t>
  </si>
  <si>
    <t>IP REQUESTED TAKE BACK TRIC</t>
  </si>
  <si>
    <t>982872-4</t>
  </si>
  <si>
    <t>IP REQ TAKEBACK MEDICAID</t>
  </si>
  <si>
    <t>IP REQUESTED TAKE BACK MEDI</t>
  </si>
  <si>
    <t>982871-6</t>
  </si>
  <si>
    <t>IP REQ TAKEBACK MEDICARE</t>
  </si>
  <si>
    <t>982870-8</t>
  </si>
  <si>
    <t>MISC CASH WAGE/GARNISH</t>
  </si>
  <si>
    <t>MISC CASH WAGE/GARNISHMENTS</t>
  </si>
  <si>
    <t>982589-4</t>
  </si>
  <si>
    <t>COVID-19 LOCAL GRANT DEF</t>
  </si>
  <si>
    <t>ED R         .00</t>
  </si>
  <si>
    <t>COVID-19 LOCAL GRANT DEFERR</t>
  </si>
  <si>
    <t>982515-9</t>
  </si>
  <si>
    <t>COVID-19 STATE GRANT DEF</t>
  </si>
  <si>
    <t>COVID-19 STATE GRANT DEFERR</t>
  </si>
  <si>
    <t>982514-2</t>
  </si>
  <si>
    <t>PHSSEF COVID-19 GRANT</t>
  </si>
  <si>
    <t>RED          .00</t>
  </si>
  <si>
    <t>PHSSEF COVID-19 GRANT DEFER</t>
  </si>
  <si>
    <t>982513-4</t>
  </si>
  <si>
    <t>MEDICARE ACCELERATED PYMT</t>
  </si>
  <si>
    <t>MEDICARE ACCELERATED PAYMEN</t>
  </si>
  <si>
    <t>982512-6</t>
  </si>
  <si>
    <t>MISC DISPROPORTIONATE PYM</t>
  </si>
  <si>
    <t>I</t>
  </si>
  <si>
    <t>PAY         .00</t>
  </si>
  <si>
    <t>MISC DISPROPORTIONATE SHARE</t>
  </si>
  <si>
    <t>982098-6</t>
  </si>
  <si>
    <t>MISC PHARMACY PAYMENT</t>
  </si>
  <si>
    <t>982070-5</t>
  </si>
  <si>
    <t>MISC-MEDICARE PASS THRU</t>
  </si>
  <si>
    <t>982010-1</t>
  </si>
  <si>
    <t>MISC POSTAGE</t>
  </si>
  <si>
    <t>982009-3</t>
  </si>
  <si>
    <t>AR CLEARING/UNAPPLIED CSH</t>
  </si>
  <si>
    <t>AR CLEARING/UNAPPLIED CASH</t>
  </si>
  <si>
    <t>982008-5</t>
  </si>
  <si>
    <t>MISC MOBILE ASSESMENT REV</t>
  </si>
  <si>
    <t>REVE         .00</t>
  </si>
  <si>
    <t>MISC MOBILE ASSESMENT TEAM</t>
  </si>
  <si>
    <t>982007-7</t>
  </si>
  <si>
    <t>MISC INTEREST REVENUE</t>
  </si>
  <si>
    <t>982006-9</t>
  </si>
  <si>
    <t>MISC MEDICAL RECORDS REV</t>
  </si>
  <si>
    <t>MISC MEDICAL RECORDS REVENU</t>
  </si>
  <si>
    <t>982005-1</t>
  </si>
  <si>
    <t>MISC OTHER/MISCELLANEOUS</t>
  </si>
  <si>
    <t>982004-4</t>
  </si>
  <si>
    <t>MISC VENDING MACHINE REV</t>
  </si>
  <si>
    <t>MISC VENDING MACHINE REVENU</t>
  </si>
  <si>
    <t>982003-6</t>
  </si>
  <si>
    <t>MISC NON PATIENT MEAL REV</t>
  </si>
  <si>
    <t>UE           .00</t>
  </si>
  <si>
    <t>MISC NON PATIENT MEAL REVEN</t>
  </si>
  <si>
    <t>982002-8</t>
  </si>
  <si>
    <t>MISC MOB RENTAL OFFICE SP</t>
  </si>
  <si>
    <t>MISC MOB RENTAL OFFICE SPAC</t>
  </si>
  <si>
    <t>982001-0</t>
  </si>
  <si>
    <t>BAD DEBT PYMT FROST ARNET</t>
  </si>
  <si>
    <t>ON M         .00</t>
  </si>
  <si>
    <t>BAD DEBT PYMT FROST ARNET N</t>
  </si>
  <si>
    <t>981009-4</t>
  </si>
  <si>
    <t>BAD DEBT PYMT FROST ARNT</t>
  </si>
  <si>
    <t>EDIC         .00</t>
  </si>
  <si>
    <t>BAD DEBT PYMT FROST ARNET M</t>
  </si>
  <si>
    <t>981008-6</t>
  </si>
  <si>
    <t>BD PYMT NON-AGENCY RCVRY</t>
  </si>
  <si>
    <t>ECOV         .00</t>
  </si>
  <si>
    <t>BAD DEBT PYMNT NON-AGENCY R</t>
  </si>
  <si>
    <t>981007-8</t>
  </si>
  <si>
    <t>BD PYMT CEDAR NON-MCARE</t>
  </si>
  <si>
    <t>BAD DEBT PYMT CEDAR NON-MCA</t>
  </si>
  <si>
    <t>981006-0</t>
  </si>
  <si>
    <t>BD PYMT CEDAR-MCARE</t>
  </si>
  <si>
    <t>BAD DEBT PYMT CEDAR-MCARE</t>
  </si>
  <si>
    <t>981005-2</t>
  </si>
  <si>
    <t>BD PYMT ORM NON-MCARE</t>
  </si>
  <si>
    <t>BAD DEBT PYMT ORM NON-MCARE</t>
  </si>
  <si>
    <t>981004-5</t>
  </si>
  <si>
    <t>BD PYMT ORM MCARE</t>
  </si>
  <si>
    <t>BAD DEBT PYMT ORM MCARE</t>
  </si>
  <si>
    <t>981003-7</t>
  </si>
  <si>
    <t>BD PYMT RC NON MCARE</t>
  </si>
  <si>
    <t>BAD DEBT PYMT RASH CURTIS N</t>
  </si>
  <si>
    <t>981002-9</t>
  </si>
  <si>
    <t>BD PYMT RASH CURTIS-MCARE</t>
  </si>
  <si>
    <t>CRE          .00</t>
  </si>
  <si>
    <t>BAD DEBT PYMT RASH CURTIS-M</t>
  </si>
  <si>
    <t>981001-1</t>
  </si>
  <si>
    <t>TRANSFER AR TO BAD DEBT</t>
  </si>
  <si>
    <t>979999-0</t>
  </si>
  <si>
    <t>S</t>
  </si>
  <si>
    <t>AR ADJUSTMENT</t>
  </si>
  <si>
    <t>TRANSFER BAD DEBT TO AR</t>
  </si>
  <si>
    <t>979991-7</t>
  </si>
  <si>
    <t>TEST CHECK</t>
  </si>
  <si>
    <t>970999-9</t>
  </si>
  <si>
    <t>ADJ CHARITY</t>
  </si>
  <si>
    <t>970853-8</t>
  </si>
  <si>
    <t>ADJ ADMIN</t>
  </si>
  <si>
    <t>ADJ ADMINISTRATIVE</t>
  </si>
  <si>
    <t>970852-0</t>
  </si>
  <si>
    <t>CA CDCR DOJJ HEALTH CR</t>
  </si>
  <si>
    <t>970851-2</t>
  </si>
  <si>
    <t>CA SHORT DOYLE</t>
  </si>
  <si>
    <t>970850-4</t>
  </si>
  <si>
    <t>CA MEDICAID SECONDARY</t>
  </si>
  <si>
    <t>970830-6</t>
  </si>
  <si>
    <t>ADJ REFUND</t>
  </si>
  <si>
    <t>970803-3</t>
  </si>
  <si>
    <t>CA MEDI-CAL SAC COUNTY</t>
  </si>
  <si>
    <t>970802-5</t>
  </si>
  <si>
    <t>CA MEDI-CAL</t>
  </si>
  <si>
    <t>970800-9</t>
  </si>
  <si>
    <t>CA DIGNITY HEALTH</t>
  </si>
  <si>
    <t>970699-5</t>
  </si>
  <si>
    <t>CA UC DAVIS</t>
  </si>
  <si>
    <t>970698-7</t>
  </si>
  <si>
    <t>970619-3</t>
  </si>
  <si>
    <t>CONVERSION BALANCE FORWAR</t>
  </si>
  <si>
    <t>CONVERSION BALANCE FORWARD</t>
  </si>
  <si>
    <t>970609-4</t>
  </si>
  <si>
    <t>ADJ DENIAL</t>
  </si>
  <si>
    <t>970520-3</t>
  </si>
  <si>
    <t>CA HUMANA SR MCARE</t>
  </si>
  <si>
    <t>970481-8</t>
  </si>
  <si>
    <t>CA COMPSYCH</t>
  </si>
  <si>
    <t>970470-1</t>
  </si>
  <si>
    <t>CA UBH SNR ADVANTAGE</t>
  </si>
  <si>
    <t>970458-6</t>
  </si>
  <si>
    <t>CA MHN SNR ADVANTAGE</t>
  </si>
  <si>
    <t>970457-8</t>
  </si>
  <si>
    <t>CA IMPERIAL HEALTH MCARE</t>
  </si>
  <si>
    <t>970455-2</t>
  </si>
  <si>
    <t>CA KAISER KPIC</t>
  </si>
  <si>
    <t>970454-5</t>
  </si>
  <si>
    <t>CA BLUE CROSS MCARE</t>
  </si>
  <si>
    <t>970453-7</t>
  </si>
  <si>
    <t>CA BLUE SHIELD 65+</t>
  </si>
  <si>
    <t>970452-9</t>
  </si>
  <si>
    <t>CA KAISER SR ADVANTAGE</t>
  </si>
  <si>
    <t>CA KAISER SR ADVANTAGE MCAR</t>
  </si>
  <si>
    <t>970451-1</t>
  </si>
  <si>
    <t>CA MISC MANAGED MEDICAID</t>
  </si>
  <si>
    <t>970450-3</t>
  </si>
  <si>
    <t>CA PACIFICARE SR PLAN</t>
  </si>
  <si>
    <t>970433-9</t>
  </si>
  <si>
    <t>CA BS OF CA</t>
  </si>
  <si>
    <t>CA BS OF CALIFORNIA</t>
  </si>
  <si>
    <t>970425-5</t>
  </si>
  <si>
    <t>CA UCD MANAGED CARE</t>
  </si>
  <si>
    <t>970423-0</t>
  </si>
  <si>
    <t>CA MH NET</t>
  </si>
  <si>
    <t>970422-2</t>
  </si>
  <si>
    <t>CA SUTTER CONNECT</t>
  </si>
  <si>
    <t>970421-4</t>
  </si>
  <si>
    <t>CA MHN</t>
  </si>
  <si>
    <t>CA MANAGED HEALTH NETWORK</t>
  </si>
  <si>
    <t>970420-6</t>
  </si>
  <si>
    <t>CA MULTIPLAN</t>
  </si>
  <si>
    <t>970419-8</t>
  </si>
  <si>
    <t>CA MOLINA</t>
  </si>
  <si>
    <t>970418-0</t>
  </si>
  <si>
    <t>CA SECURE HORIZONS</t>
  </si>
  <si>
    <t>970417-2</t>
  </si>
  <si>
    <t>CA HUMAN BH ASSOC</t>
  </si>
  <si>
    <t>970416-4</t>
  </si>
  <si>
    <t>CA KAISER</t>
  </si>
  <si>
    <t>970415-6</t>
  </si>
  <si>
    <t>CA VALUE OPTIONS</t>
  </si>
  <si>
    <t>970414-9</t>
  </si>
  <si>
    <t>CA HEALTHNET SR PLUS</t>
  </si>
  <si>
    <t>970413-1</t>
  </si>
  <si>
    <t>CA MISC MANAGED MEDICARE</t>
  </si>
  <si>
    <t>970412-3</t>
  </si>
  <si>
    <t>CA UBH</t>
  </si>
  <si>
    <t>CA UNITED BEHAVIORAL UBH</t>
  </si>
  <si>
    <t>970411-5</t>
  </si>
  <si>
    <t>CA INTERPLAN</t>
  </si>
  <si>
    <t>970410-7</t>
  </si>
  <si>
    <t>CA AETNA</t>
  </si>
  <si>
    <t>970409-9</t>
  </si>
  <si>
    <t>CA INTEGRATED BH</t>
  </si>
  <si>
    <t>970408-1</t>
  </si>
  <si>
    <t>CA FIRST HEALTH</t>
  </si>
  <si>
    <t>970407-3</t>
  </si>
  <si>
    <t>CA CIGNA BH</t>
  </si>
  <si>
    <t>970406-5</t>
  </si>
  <si>
    <t>CA MAGELLAN</t>
  </si>
  <si>
    <t>970405-7</t>
  </si>
  <si>
    <t>CA HEALTHNET</t>
  </si>
  <si>
    <t>970404-0</t>
  </si>
  <si>
    <t>CA PACIFICARE</t>
  </si>
  <si>
    <t>970403-2</t>
  </si>
  <si>
    <t>CA BS MHSA</t>
  </si>
  <si>
    <t>970402-4</t>
  </si>
  <si>
    <t>CA APS HEALTHCARE</t>
  </si>
  <si>
    <t>970401-6</t>
  </si>
  <si>
    <t>CA MISC HMO</t>
  </si>
  <si>
    <t>970400-8</t>
  </si>
  <si>
    <t>CA TRICARE WEST HN</t>
  </si>
  <si>
    <t>CA TRICARE WEST HEALTH NET</t>
  </si>
  <si>
    <t>970319-0</t>
  </si>
  <si>
    <t>CA TRICARE</t>
  </si>
  <si>
    <t>970318-2</t>
  </si>
  <si>
    <t>CA TRIWEST CCN</t>
  </si>
  <si>
    <t>970313-3</t>
  </si>
  <si>
    <t>CA VA VETERANS ADMIN</t>
  </si>
  <si>
    <t>970312-5</t>
  </si>
  <si>
    <t>CA TRICARE F LIFE PARTIAL</t>
  </si>
  <si>
    <t>CA TRICARE FOR LIFE PARTIAL</t>
  </si>
  <si>
    <t>970309-1</t>
  </si>
  <si>
    <t>CA TRICARE OVERSEAS PARTI</t>
  </si>
  <si>
    <t>CA TRICARE OVERSEAS PARTIAL</t>
  </si>
  <si>
    <t>970308-3</t>
  </si>
  <si>
    <t>970307-5</t>
  </si>
  <si>
    <t>CA TRICARE NORTH PARTIAL</t>
  </si>
  <si>
    <t>970306-7</t>
  </si>
  <si>
    <t>CA TRICARE FOR LIFE</t>
  </si>
  <si>
    <t>970305-9</t>
  </si>
  <si>
    <t>CA TRICARE OVERSEAS</t>
  </si>
  <si>
    <t>970304-2</t>
  </si>
  <si>
    <t>970303-4</t>
  </si>
  <si>
    <t>CA TRICARE NORTH</t>
  </si>
  <si>
    <t>970302-6</t>
  </si>
  <si>
    <t>970301-8</t>
  </si>
  <si>
    <t>970300-0</t>
  </si>
  <si>
    <t>SETTLED YEARS - ESCHEAT</t>
  </si>
  <si>
    <t>970276-2</t>
  </si>
  <si>
    <t>CA BLUE CROSS FEDERAL</t>
  </si>
  <si>
    <t>970203-6</t>
  </si>
  <si>
    <t>CA BC STANDARD</t>
  </si>
  <si>
    <t>970201-0</t>
  </si>
  <si>
    <t>MANAGED MCARE SEQ ADJ</t>
  </si>
  <si>
    <t>970199-6</t>
  </si>
  <si>
    <t>REQ TAKEBACK MGMA/CHIP</t>
  </si>
  <si>
    <t>IP           .00</t>
  </si>
  <si>
    <t>REQUESTED TAKE BACK MGMA/CH</t>
  </si>
  <si>
    <t>970197-0</t>
  </si>
  <si>
    <t>REQ TAKEBACK MGMC</t>
  </si>
  <si>
    <t>REQUESTED TAKE BACK MGMC</t>
  </si>
  <si>
    <t>970196-2</t>
  </si>
  <si>
    <t>REQ TAKEBACK VA</t>
  </si>
  <si>
    <t>REQUESTED TAKE BACK VA</t>
  </si>
  <si>
    <t>970195-4</t>
  </si>
  <si>
    <t>REQ TAKEBACK TRICARE</t>
  </si>
  <si>
    <t>REQUESTED TAKE BACK TRICARE</t>
  </si>
  <si>
    <t>970194-7</t>
  </si>
  <si>
    <t>REQ TAKEBACK MEDICAID</t>
  </si>
  <si>
    <t>D            .00</t>
  </si>
  <si>
    <t>REQUESTED TAKE BACK MEDICAI</t>
  </si>
  <si>
    <t>970193-9</t>
  </si>
  <si>
    <t>REQ TAKEBACK MEDICARE</t>
  </si>
  <si>
    <t>REQUESTED TAKE BACK MEDICAR</t>
  </si>
  <si>
    <t>970192-1</t>
  </si>
  <si>
    <t>ADJ MCARE DISALLOW CHGS</t>
  </si>
  <si>
    <t>RGES         .00</t>
  </si>
  <si>
    <t>ADJ MEDICARE DISALLOWED CHA</t>
  </si>
  <si>
    <t>970183-0</t>
  </si>
  <si>
    <t>VOL TAKEBACK MGMA/CHIP</t>
  </si>
  <si>
    <t>VOLUNTARY TAKE BACK MGMA/CH</t>
  </si>
  <si>
    <t>970178-0</t>
  </si>
  <si>
    <t>VOL TAKEBACK MGMC</t>
  </si>
  <si>
    <t>VOLUNTARY TAKE BACK MGMC</t>
  </si>
  <si>
    <t>970177-2</t>
  </si>
  <si>
    <t>VOL TAKEBACK VA</t>
  </si>
  <si>
    <t>VOLUNTARY TAKE BACK VA</t>
  </si>
  <si>
    <t>970174-9</t>
  </si>
  <si>
    <t>VOL TAKEBACK TRICARE</t>
  </si>
  <si>
    <t>VOLUNTARY TAKE BACK TRICARE</t>
  </si>
  <si>
    <t>970173-1</t>
  </si>
  <si>
    <t>VOL TAKEBACK MEDICAID</t>
  </si>
  <si>
    <t>VOLUNTARY TAKE BACK MEDICAI</t>
  </si>
  <si>
    <t>970172-3</t>
  </si>
  <si>
    <t>VOL TAKEBACK MEDICARE</t>
  </si>
  <si>
    <t>VOLUNTARY TAKE BACK MEDICAR</t>
  </si>
  <si>
    <t>970171-5</t>
  </si>
  <si>
    <t>MEDICARE SEQUEST ADJ</t>
  </si>
  <si>
    <t>STME         .00</t>
  </si>
  <si>
    <t>MEDICARE SEQUESTRATION ADJU</t>
  </si>
  <si>
    <t>970109-5</t>
  </si>
  <si>
    <t>CA MEDICARE</t>
  </si>
  <si>
    <t>970105-3</t>
  </si>
  <si>
    <t>CA MEDICARE PART B OP</t>
  </si>
  <si>
    <t>970104-6</t>
  </si>
  <si>
    <t>ADOLESCENT IOP FOLSOM</t>
  </si>
  <si>
    <t>ADOL IOP PSYCH FOLSOM</t>
  </si>
  <si>
    <t>958000-5</t>
  </si>
  <si>
    <t>INTENSIVE IOP PSYCH FOLSM</t>
  </si>
  <si>
    <t>957937-1</t>
  </si>
  <si>
    <t>SCRIPTION NOT FOUND</t>
  </si>
  <si>
    <t>DEPARTMENT DE</t>
  </si>
  <si>
    <t>949313-1</t>
  </si>
  <si>
    <t>949312-2</t>
  </si>
  <si>
    <t>949312-1</t>
  </si>
  <si>
    <t>948000-6</t>
  </si>
  <si>
    <t>ADOLESCENT IOP SIERRA</t>
  </si>
  <si>
    <t>948000-5</t>
  </si>
  <si>
    <t>GRP PSYCH THERAP SVCS</t>
  </si>
  <si>
    <t>VICE      280.00</t>
  </si>
  <si>
    <t>947962-7</t>
  </si>
  <si>
    <t>947937-2</t>
  </si>
  <si>
    <t>INTENSIVE IOP PSYCH SIERR</t>
  </si>
  <si>
    <t>947937-1</t>
  </si>
  <si>
    <t>947936-0</t>
  </si>
  <si>
    <t>947931-1</t>
  </si>
  <si>
    <t>947931-0</t>
  </si>
  <si>
    <t>FAMIL TX W/PT THERA SVCS</t>
  </si>
  <si>
    <t>VCS       280.00</t>
  </si>
  <si>
    <t>947200-2</t>
  </si>
  <si>
    <t>943111-5</t>
  </si>
  <si>
    <t>GROUP THERAPY OPS</t>
  </si>
  <si>
    <t>941002-8</t>
  </si>
  <si>
    <t>UTIC SVCS</t>
  </si>
  <si>
    <t>OTHER THERAPE</t>
  </si>
  <si>
    <t>929360-4</t>
  </si>
  <si>
    <t>GROUP PSYCHOTHERAPY FOLSM</t>
  </si>
  <si>
    <t>927931-1</t>
  </si>
  <si>
    <t>923109-5</t>
  </si>
  <si>
    <t>PHP DAY NTC</t>
  </si>
  <si>
    <t>919360-5</t>
  </si>
  <si>
    <t>919360-4</t>
  </si>
  <si>
    <t>INDIVIDUAL TX</t>
  </si>
  <si>
    <t>919312-9</t>
  </si>
  <si>
    <t>PHP FULL DAY UNBNDLD</t>
  </si>
  <si>
    <t>919311-9</t>
  </si>
  <si>
    <t>PHP DUAL DIAG FOLSOM</t>
  </si>
  <si>
    <t>917937-1</t>
  </si>
  <si>
    <t>PHP DUAL DIAG SIERRA</t>
  </si>
  <si>
    <t>917937-0</t>
  </si>
  <si>
    <t>917931-2</t>
  </si>
  <si>
    <t>GROUP PSYCHOTHERAPY SIERR</t>
  </si>
  <si>
    <t>917931-1</t>
  </si>
  <si>
    <t>PSYCH HALF DAY</t>
  </si>
  <si>
    <t>917370-9</t>
  </si>
  <si>
    <t>FAMILY TX W/PATIENT</t>
  </si>
  <si>
    <t>917200-8</t>
  </si>
  <si>
    <t>913109-6</t>
  </si>
  <si>
    <t>913109-5</t>
  </si>
  <si>
    <t>TALIZATION</t>
  </si>
  <si>
    <t>PARTIAL HOSPI</t>
  </si>
  <si>
    <t>DO NOT USE</t>
  </si>
  <si>
    <t>892007-6</t>
  </si>
  <si>
    <t>BRIDGE SESSION</t>
  </si>
  <si>
    <t>599115-3</t>
  </si>
  <si>
    <t>ENT</t>
  </si>
  <si>
    <t>Bridge INPATI</t>
  </si>
  <si>
    <t>FANAPT TAB 6 MG</t>
  </si>
  <si>
    <t>252165-8</t>
  </si>
  <si>
    <t>CEFTRIAXONE IM 500MG</t>
  </si>
  <si>
    <t>252164-9</t>
  </si>
  <si>
    <t>SAPHRIS TABLET 10MG</t>
  </si>
  <si>
    <t>252163-0</t>
  </si>
  <si>
    <t>SAPHRIS TABLETS 5 MG</t>
  </si>
  <si>
    <t>252162-1</t>
  </si>
  <si>
    <t>LATUDA 40 MG TABS</t>
  </si>
  <si>
    <t>252161-2</t>
  </si>
  <si>
    <t>VITAMIN B COMPLEX</t>
  </si>
  <si>
    <t>252160-3</t>
  </si>
  <si>
    <t>VIIBRYD 40 MG TAB</t>
  </si>
  <si>
    <t>252159-6</t>
  </si>
  <si>
    <t>PHARMACY</t>
  </si>
  <si>
    <t>LOVENOX 80MG/0.8MLSY</t>
  </si>
  <si>
    <t>252158-7</t>
  </si>
  <si>
    <t>MAXITROL SUSP</t>
  </si>
  <si>
    <t>252157-8</t>
  </si>
  <si>
    <t>ENTOCORT EC CAPSULES</t>
  </si>
  <si>
    <t>252156-9</t>
  </si>
  <si>
    <t>TERNINAFINE</t>
  </si>
  <si>
    <t>252155-0</t>
  </si>
  <si>
    <t>EPZICOM</t>
  </si>
  <si>
    <t>252154-1</t>
  </si>
  <si>
    <t>ISENTRESS</t>
  </si>
  <si>
    <t>252153-2</t>
  </si>
  <si>
    <t>PIMOZIDE 1</t>
  </si>
  <si>
    <t>252152-3</t>
  </si>
  <si>
    <t>SEROQUEL XR 50 MG</t>
  </si>
  <si>
    <t>252151-4</t>
  </si>
  <si>
    <t>ON ORDER</t>
  </si>
  <si>
    <t>252150-5</t>
  </si>
  <si>
    <t>COSOPT</t>
  </si>
  <si>
    <t>252149-9</t>
  </si>
  <si>
    <t>ENOXAPARIN INJ</t>
  </si>
  <si>
    <t>252148-0</t>
  </si>
  <si>
    <t>CIPRO HC OTIC SUSP</t>
  </si>
  <si>
    <t>252147-1</t>
  </si>
  <si>
    <t>TACROLIMUS 1 MG CAP</t>
  </si>
  <si>
    <t>252146-2</t>
  </si>
  <si>
    <t>DIPYRIDAMOLE 50 MG</t>
  </si>
  <si>
    <t>252145-3</t>
  </si>
  <si>
    <t>SENSIPAR 30 MG</t>
  </si>
  <si>
    <t>252144-4</t>
  </si>
  <si>
    <t>VALTURNA</t>
  </si>
  <si>
    <t>252143-5</t>
  </si>
  <si>
    <t>COMBIVIR</t>
  </si>
  <si>
    <t>252142-6</t>
  </si>
  <si>
    <t>252141-7</t>
  </si>
  <si>
    <t>ACULAR 0.5% OPT GTTS</t>
  </si>
  <si>
    <t>252140-8</t>
  </si>
  <si>
    <t>CYCLOSPORIN 100MG/ML</t>
  </si>
  <si>
    <t>252139-1</t>
  </si>
  <si>
    <t>INVEGA 117MG IM</t>
  </si>
  <si>
    <t>252138-2</t>
  </si>
  <si>
    <t>BARACLUDE 0.5 MG</t>
  </si>
  <si>
    <t>252137-3</t>
  </si>
  <si>
    <t>OXYCODONE 10 MG TAB</t>
  </si>
  <si>
    <t>252136-4</t>
  </si>
  <si>
    <t>METRONIDAZOLE VAG</t>
  </si>
  <si>
    <t>252135-5</t>
  </si>
  <si>
    <t>DOXAZOSIN TABS 4 MG</t>
  </si>
  <si>
    <t>252134-6</t>
  </si>
  <si>
    <t>MAFENIDE ACET CREAM</t>
  </si>
  <si>
    <t>252133-7</t>
  </si>
  <si>
    <t>DEPAKOTE SPRK 125 MG</t>
  </si>
  <si>
    <t>252132-8</t>
  </si>
  <si>
    <t>VIRAMUNE TABS 200MG</t>
  </si>
  <si>
    <t>252131-9</t>
  </si>
  <si>
    <t>BETOPTIC S 0.25 %</t>
  </si>
  <si>
    <t>252130-0</t>
  </si>
  <si>
    <t>LICE SHAMPOO</t>
  </si>
  <si>
    <t>252129-3</t>
  </si>
  <si>
    <t>FANAPT 4 MG TABS</t>
  </si>
  <si>
    <t>252128-4</t>
  </si>
  <si>
    <t>FANAPT 1 MG</t>
  </si>
  <si>
    <t>252127-5</t>
  </si>
  <si>
    <t>APIDRA INSULIN</t>
  </si>
  <si>
    <t>252126-6</t>
  </si>
  <si>
    <t>FANAPT TAB 2 MG</t>
  </si>
  <si>
    <t>252125-7</t>
  </si>
  <si>
    <t>GLEEVEC 400 MG</t>
  </si>
  <si>
    <t>252124-8</t>
  </si>
  <si>
    <t>CLOBETASOL SOL 0.05%</t>
  </si>
  <si>
    <t>252123-9</t>
  </si>
  <si>
    <t>LEVOXYL 50MCG</t>
  </si>
  <si>
    <t>252122-0</t>
  </si>
  <si>
    <t>ABILIFY DISCMLT 10MG</t>
  </si>
  <si>
    <t>252121-1</t>
  </si>
  <si>
    <t>HYDROCOD-IBU 7.5-200</t>
  </si>
  <si>
    <t>252120-2</t>
  </si>
  <si>
    <t>LIBRAX 5MG/2.5MG</t>
  </si>
  <si>
    <t>252119-5</t>
  </si>
  <si>
    <t>PROPAFENONE SR 225MG</t>
  </si>
  <si>
    <t>252118-6</t>
  </si>
  <si>
    <t>AMICAR 0.25GM/ML SOL</t>
  </si>
  <si>
    <t>252117-7</t>
  </si>
  <si>
    <t>INVEGA SUST 156MG/ML</t>
  </si>
  <si>
    <t>252116-8</t>
  </si>
  <si>
    <t>INVEGA IM 234MG</t>
  </si>
  <si>
    <t>252115-9</t>
  </si>
  <si>
    <t>HYDROCORTISONE 5MG</t>
  </si>
  <si>
    <t>252114-0</t>
  </si>
  <si>
    <t>CONCERTA 27 MG</t>
  </si>
  <si>
    <t>252113-1</t>
  </si>
  <si>
    <t>TESTOST CYP 100MG/ML</t>
  </si>
  <si>
    <t>252112-2</t>
  </si>
  <si>
    <t>FLUOXETINE 10 MG TBS</t>
  </si>
  <si>
    <t>252111-3</t>
  </si>
  <si>
    <t>ODANSETRON 4MG ODT</t>
  </si>
  <si>
    <t>252110-4</t>
  </si>
  <si>
    <t>FLUOCINONIDE0.05%SOL</t>
  </si>
  <si>
    <t>252109-7</t>
  </si>
  <si>
    <t>LEVORA0.15/30</t>
  </si>
  <si>
    <t>252108-8</t>
  </si>
  <si>
    <t>CLOBETASOL GEL 0.05%</t>
  </si>
  <si>
    <t>252107-9</t>
  </si>
  <si>
    <t>DANDRUFF SHAMPOO</t>
  </si>
  <si>
    <t>252106-0</t>
  </si>
  <si>
    <t>PRISTIQ 50 MG ER TAB</t>
  </si>
  <si>
    <t>252105-1</t>
  </si>
  <si>
    <t>PHOSPHA 250</t>
  </si>
  <si>
    <t>252104-2</t>
  </si>
  <si>
    <t>PILOCARPINE GTTS</t>
  </si>
  <si>
    <t>252103-3</t>
  </si>
  <si>
    <t>EASIVENT SPACER</t>
  </si>
  <si>
    <t>252102-4</t>
  </si>
  <si>
    <t>H1N1 INTRANASAL</t>
  </si>
  <si>
    <t>252101-5</t>
  </si>
  <si>
    <t>H1N1 VACCINE INJ</t>
  </si>
  <si>
    <t>252100-6</t>
  </si>
  <si>
    <t>CLINDAMYCIN VAG CM</t>
  </si>
  <si>
    <t>252099-9</t>
  </si>
  <si>
    <t>NORCO 5/325</t>
  </si>
  <si>
    <t>252098-0</t>
  </si>
  <si>
    <t>ARIPIPRAZOLE 2 MG TB</t>
  </si>
  <si>
    <t>252097-1</t>
  </si>
  <si>
    <t>LUBRIFRESH PM OPTH</t>
  </si>
  <si>
    <t>252096-2</t>
  </si>
  <si>
    <t>CYCLOPENTOLATE HCL1%</t>
  </si>
  <si>
    <t>252095-3</t>
  </si>
  <si>
    <t>REFRESH PLUS EYE DRP</t>
  </si>
  <si>
    <t>252094-4</t>
  </si>
  <si>
    <t>GLUCOSAMINE 500MG</t>
  </si>
  <si>
    <t>252093-5</t>
  </si>
  <si>
    <t>ADACEL INJ</t>
  </si>
  <si>
    <t>252092-6</t>
  </si>
  <si>
    <t>LUNESTA 1 MG TABS</t>
  </si>
  <si>
    <t>252091-7</t>
  </si>
  <si>
    <t>MIRAPEX 0.5 MG TABS</t>
  </si>
  <si>
    <t>252090-8</t>
  </si>
  <si>
    <t>AFRIN NASAL SPRY</t>
  </si>
  <si>
    <t>252089-1</t>
  </si>
  <si>
    <t>LIDOCAINE OINT 5%</t>
  </si>
  <si>
    <t>252088-2</t>
  </si>
  <si>
    <t>SUMATRIPTAN 100 MG</t>
  </si>
  <si>
    <t>252087-3</t>
  </si>
  <si>
    <t>BENZOYL PER 5% W</t>
  </si>
  <si>
    <t>252086-4</t>
  </si>
  <si>
    <t>VASOLEX</t>
  </si>
  <si>
    <t>252085-5</t>
  </si>
  <si>
    <t>SUCRALFATE 1G/10ML</t>
  </si>
  <si>
    <t>252084-6</t>
  </si>
  <si>
    <t>METHOTREX INJ 25MG</t>
  </si>
  <si>
    <t>252083-7</t>
  </si>
  <si>
    <t>ZOFRAN TABS 4 MG</t>
  </si>
  <si>
    <t>252082-8</t>
  </si>
  <si>
    <t>HECTOROL TAB 0.5 MCG</t>
  </si>
  <si>
    <t>252081-9</t>
  </si>
  <si>
    <t>SORBITOL 70% SOLN</t>
  </si>
  <si>
    <t>252080-0</t>
  </si>
  <si>
    <t>FLAX SEED OIL</t>
  </si>
  <si>
    <t>252079-3</t>
  </si>
  <si>
    <t>MAXALT MLT 10MG</t>
  </si>
  <si>
    <t>252078-4</t>
  </si>
  <si>
    <t>NOTREL 1/35 TABS</t>
  </si>
  <si>
    <t>252077-5</t>
  </si>
  <si>
    <t>AGGRENOX 25/200 CAPS</t>
  </si>
  <si>
    <t>252076-6</t>
  </si>
  <si>
    <t>TAMIFLU CAPS 75 MG</t>
  </si>
  <si>
    <t>252075-7</t>
  </si>
  <si>
    <t>DETROL LA 4 MG CAPS</t>
  </si>
  <si>
    <t>252074-8</t>
  </si>
  <si>
    <t>VISINE AC SOLN</t>
  </si>
  <si>
    <t>252073-9</t>
  </si>
  <si>
    <t>GLUCOSE TAB 5GM</t>
  </si>
  <si>
    <t>252072-0</t>
  </si>
  <si>
    <t>VIGAMOX OPTH SOLN</t>
  </si>
  <si>
    <t>252071-1</t>
  </si>
  <si>
    <t>MELATONIN TAB 3 MG</t>
  </si>
  <si>
    <t>252070-2</t>
  </si>
  <si>
    <t>POLYMIX/TRIM EYE SOL</t>
  </si>
  <si>
    <t>252069-5</t>
  </si>
  <si>
    <t>EXCEDRIN XTRA STRGTH</t>
  </si>
  <si>
    <t>252068-6</t>
  </si>
  <si>
    <t>TESTOST CYP 200MG/ML</t>
  </si>
  <si>
    <t>252067-7</t>
  </si>
  <si>
    <t>NISOLDIPINE ER 20MG</t>
  </si>
  <si>
    <t>252066-8</t>
  </si>
  <si>
    <t>SILDENAFIL TABS 50MG</t>
  </si>
  <si>
    <t>252065-9</t>
  </si>
  <si>
    <t>SUMATRIPTAN 25MG</t>
  </si>
  <si>
    <t>252064-0</t>
  </si>
  <si>
    <t>IRBESARTAN 150MG</t>
  </si>
  <si>
    <t>252063-1</t>
  </si>
  <si>
    <t>ARTIF TEARS</t>
  </si>
  <si>
    <t>252062-2</t>
  </si>
  <si>
    <t>ARIPIPRAZOLE7.5MG/ML</t>
  </si>
  <si>
    <t>252061-3</t>
  </si>
  <si>
    <t>FOCALIN XR 20 MG</t>
  </si>
  <si>
    <t>252060-4</t>
  </si>
  <si>
    <t>ORAJEL 20% GEL</t>
  </si>
  <si>
    <t>252059-7</t>
  </si>
  <si>
    <t>PREM VAG CREAM</t>
  </si>
  <si>
    <t>252058-8</t>
  </si>
  <si>
    <t>PLAN B</t>
  </si>
  <si>
    <t>252057-9</t>
  </si>
  <si>
    <t>ARICEPT TABS 10 MG</t>
  </si>
  <si>
    <t>252056-0</t>
  </si>
  <si>
    <t>MERCAPTOPURINE 50MG</t>
  </si>
  <si>
    <t>252055-1</t>
  </si>
  <si>
    <t>NAMENDA 10</t>
  </si>
  <si>
    <t>252054-2</t>
  </si>
  <si>
    <t>RISPERIDONE 0.25MG</t>
  </si>
  <si>
    <t>252053-3</t>
  </si>
  <si>
    <t>VENTOLIN HFA-60 PUFF</t>
  </si>
  <si>
    <t>252052-4</t>
  </si>
  <si>
    <t>PREPARATION H CRM</t>
  </si>
  <si>
    <t>252051-5</t>
  </si>
  <si>
    <t>ROPINIROLE 2MG TAB</t>
  </si>
  <si>
    <t>252050-6</t>
  </si>
  <si>
    <t>VERAPAMIL SR 180 CAP</t>
  </si>
  <si>
    <t>252049-0</t>
  </si>
  <si>
    <t>MAXALT MLT 5MG</t>
  </si>
  <si>
    <t>252048-1</t>
  </si>
  <si>
    <t>PANGESTYME CAPS</t>
  </si>
  <si>
    <t>252047-2</t>
  </si>
  <si>
    <t>ISOM/DICH/APAP CMP</t>
  </si>
  <si>
    <t>252046-3</t>
  </si>
  <si>
    <t>APAP/COD 300/30</t>
  </si>
  <si>
    <t>252045-4</t>
  </si>
  <si>
    <t>FENTANYL 75MCG/HR</t>
  </si>
  <si>
    <t>252044-5</t>
  </si>
  <si>
    <t>FENTANYL 100MCG PT</t>
  </si>
  <si>
    <t>252043-6</t>
  </si>
  <si>
    <t>MIX SALTS AMPHET 10</t>
  </si>
  <si>
    <t>252042-7</t>
  </si>
  <si>
    <t>ADDERALL XR 5 MG</t>
  </si>
  <si>
    <t>252041-8</t>
  </si>
  <si>
    <t>FERROUS GLUC 324MG</t>
  </si>
  <si>
    <t>252040-9</t>
  </si>
  <si>
    <t>ECASA 325MG</t>
  </si>
  <si>
    <t>252039-2</t>
  </si>
  <si>
    <t>ALPHAGAN-P</t>
  </si>
  <si>
    <t>252038-3</t>
  </si>
  <si>
    <t>LUMIGAN EYE DROPS</t>
  </si>
  <si>
    <t>252037-4</t>
  </si>
  <si>
    <t>AZOPT</t>
  </si>
  <si>
    <t>252036-5</t>
  </si>
  <si>
    <t>HALOPERIDOL DEC 50MG</t>
  </si>
  <si>
    <t>252035-6</t>
  </si>
  <si>
    <t>URSODIOL CAPS 300MG</t>
  </si>
  <si>
    <t>252034-7</t>
  </si>
  <si>
    <t>CIPROFLOXACIN EYE DR</t>
  </si>
  <si>
    <t>252033-8</t>
  </si>
  <si>
    <t>CORTISPORIN OTIC SUS</t>
  </si>
  <si>
    <t>252032-9</t>
  </si>
  <si>
    <t>SALINE NASAL SPRAY</t>
  </si>
  <si>
    <t>252031-0</t>
  </si>
  <si>
    <t>DOVONEX CR 0.005%</t>
  </si>
  <si>
    <t>252030-1</t>
  </si>
  <si>
    <t>PREGABALIN CPS 100MG</t>
  </si>
  <si>
    <t>252029-4</t>
  </si>
  <si>
    <t>DETROL LA 4MG</t>
  </si>
  <si>
    <t>252028-5</t>
  </si>
  <si>
    <t>FENTANYL 25MCG PATCH</t>
  </si>
  <si>
    <t>252027-6</t>
  </si>
  <si>
    <t>CROMOLYN 4% EYE DRP</t>
  </si>
  <si>
    <t>252026-7</t>
  </si>
  <si>
    <t>FML OPTH OINT 0.1%</t>
  </si>
  <si>
    <t>252025-8</t>
  </si>
  <si>
    <t>RISPER CONSTA 12.5MG</t>
  </si>
  <si>
    <t>252024-9</t>
  </si>
  <si>
    <t>MELOXICAM TABS 7.5MG</t>
  </si>
  <si>
    <t>252023-0</t>
  </si>
  <si>
    <t>EFFEXOR XR 37.5MG</t>
  </si>
  <si>
    <t>252022-1</t>
  </si>
  <si>
    <t>VIT B12 500MCG</t>
  </si>
  <si>
    <t>252021-2</t>
  </si>
  <si>
    <t>VITAMIN D 50000UNT</t>
  </si>
  <si>
    <t>252020-3</t>
  </si>
  <si>
    <t>AMOXICILLIN 250MG</t>
  </si>
  <si>
    <t>252019-6</t>
  </si>
  <si>
    <t>AMOXICILLIN 500MG</t>
  </si>
  <si>
    <t>252018-7</t>
  </si>
  <si>
    <t>PNEUMOCOCCAL VACCINE</t>
  </si>
  <si>
    <t>252017-8</t>
  </si>
  <si>
    <t>ATRIPLA TABLET</t>
  </si>
  <si>
    <t>252016-9</t>
  </si>
  <si>
    <t>U-CORT 1% CRM</t>
  </si>
  <si>
    <t>252015-0</t>
  </si>
  <si>
    <t>LOPERAM CAP 2MG DETX</t>
  </si>
  <si>
    <t>252014-1</t>
  </si>
  <si>
    <t>VIVELLE DOT 0.1 PAT</t>
  </si>
  <si>
    <t>252013-2</t>
  </si>
  <si>
    <t>FIORICET GENERIC</t>
  </si>
  <si>
    <t>252012-3</t>
  </si>
  <si>
    <t>HOME MEDICATION</t>
  </si>
  <si>
    <t>252011-4</t>
  </si>
  <si>
    <t>MACROBID</t>
  </si>
  <si>
    <t>252010-5</t>
  </si>
  <si>
    <t>OXYCODONE SR TB 10MG</t>
  </si>
  <si>
    <t>252009-8</t>
  </si>
  <si>
    <t>PRIMIDONE TAB 50MG</t>
  </si>
  <si>
    <t>252008-9</t>
  </si>
  <si>
    <t>TRILEPTAL 300MG/5ML</t>
  </si>
  <si>
    <t>252007-0</t>
  </si>
  <si>
    <t>MEGESTRL SUS 40MG/ML</t>
  </si>
  <si>
    <t>252006-1</t>
  </si>
  <si>
    <t>POTASSIUM 40MEQ/30ML</t>
  </si>
  <si>
    <t>252005-2</t>
  </si>
  <si>
    <t>HYDROCORT ENEMA100MG</t>
  </si>
  <si>
    <t>252004-3</t>
  </si>
  <si>
    <t>SELEGIL TDS 9MG/24HR</t>
  </si>
  <si>
    <t>252003-4</t>
  </si>
  <si>
    <t>CITALPRM SOL10MG/5ML</t>
  </si>
  <si>
    <t>252002-5</t>
  </si>
  <si>
    <t>PINK BISMUTH 262MG</t>
  </si>
  <si>
    <t>252001-6</t>
  </si>
  <si>
    <t>ESTRADIOL TDS 0.05MG</t>
  </si>
  <si>
    <t>252000-7</t>
  </si>
  <si>
    <t>DOCOSANOL CRM 10%</t>
  </si>
  <si>
    <t>251999-2</t>
  </si>
  <si>
    <t>TERBINAFINE CM 1%</t>
  </si>
  <si>
    <t>251998-3</t>
  </si>
  <si>
    <t>BENZOYL PER GEL 10%</t>
  </si>
  <si>
    <t>251997-4</t>
  </si>
  <si>
    <t>HYDROCORT OINT 1%</t>
  </si>
  <si>
    <t>251996-5</t>
  </si>
  <si>
    <t>TRIP ANBIOT OINT</t>
  </si>
  <si>
    <t>251995-6</t>
  </si>
  <si>
    <t>METRONIDAZ GEL 0.75%</t>
  </si>
  <si>
    <t>251994-7</t>
  </si>
  <si>
    <t>PREPARATION H OINT</t>
  </si>
  <si>
    <t>251993-8</t>
  </si>
  <si>
    <t>CLINDAMYCIN SOLN 1%</t>
  </si>
  <si>
    <t>251992-9</t>
  </si>
  <si>
    <t>DESONIDE LOT 0.05%</t>
  </si>
  <si>
    <t>251991-0</t>
  </si>
  <si>
    <t>CLOBETASOL CM 0.05%</t>
  </si>
  <si>
    <t>251990-1</t>
  </si>
  <si>
    <t>HYDROCORT SUPP 25 MG</t>
  </si>
  <si>
    <t>251989-4</t>
  </si>
  <si>
    <t>PREPAR H SUPPOS</t>
  </si>
  <si>
    <t>251988-5</t>
  </si>
  <si>
    <t>RISPERDAL-M 3MG TAB</t>
  </si>
  <si>
    <t>251987-6</t>
  </si>
  <si>
    <t>RISPERDAL-M0.5MG TAB</t>
  </si>
  <si>
    <t>251986-7</t>
  </si>
  <si>
    <t>ALTACE 2.5MG CAPS</t>
  </si>
  <si>
    <t>251985-8</t>
  </si>
  <si>
    <t>EVISTA 60 MG TAB</t>
  </si>
  <si>
    <t>251984-9</t>
  </si>
  <si>
    <t>SEROQUEL XR 300MG TA</t>
  </si>
  <si>
    <t>251983-0</t>
  </si>
  <si>
    <t>SEROQUEL XR 200MG TA</t>
  </si>
  <si>
    <t>251982-1</t>
  </si>
  <si>
    <t>PROPRANOLOL LA 6OMG</t>
  </si>
  <si>
    <t>251981-2</t>
  </si>
  <si>
    <t>PSEUDOEPH TAB 30 MG</t>
  </si>
  <si>
    <t>251980-3</t>
  </si>
  <si>
    <t>FENOFIBRATE 145 MG</t>
  </si>
  <si>
    <t>251979-6</t>
  </si>
  <si>
    <t>FENOFIBRATE 48 MG</t>
  </si>
  <si>
    <t>251978-7</t>
  </si>
  <si>
    <t>ZETIA TABS 10 MG</t>
  </si>
  <si>
    <t>251977-8</t>
  </si>
  <si>
    <t>ESTRADIOL TAB 0.5 MG</t>
  </si>
  <si>
    <t>251976-9</t>
  </si>
  <si>
    <t>ERYTHROMYCIN 250 MG</t>
  </si>
  <si>
    <t>251975-0</t>
  </si>
  <si>
    <t>PENTOSAN CAP 100 MG</t>
  </si>
  <si>
    <t>251974-1</t>
  </si>
  <si>
    <t>PALIPERIDONE SR 6 MG</t>
  </si>
  <si>
    <t>251973-2</t>
  </si>
  <si>
    <t>PALIPERIDONE SR 3MG</t>
  </si>
  <si>
    <t>251972-3</t>
  </si>
  <si>
    <t>OLMESARTAN TAB 20MG</t>
  </si>
  <si>
    <t>251971-4</t>
  </si>
  <si>
    <t>NIACIN TAB CR 500MG</t>
  </si>
  <si>
    <t>251970-5</t>
  </si>
  <si>
    <t>CELLCEPT CAP 250 MG</t>
  </si>
  <si>
    <t>251969-8</t>
  </si>
  <si>
    <t>MESALAMINE C 250 MG</t>
  </si>
  <si>
    <t>251968-9</t>
  </si>
  <si>
    <t>MESALALMINE C 500MG</t>
  </si>
  <si>
    <t>251967-0</t>
  </si>
  <si>
    <t>COZAAR TAB 50 MG</t>
  </si>
  <si>
    <t>251966-1</t>
  </si>
  <si>
    <t>LEVOTHYROXINE 137MCG</t>
  </si>
  <si>
    <t>251965-2</t>
  </si>
  <si>
    <t>ISOSORBIDE M 30 MG</t>
  </si>
  <si>
    <t>251964-3</t>
  </si>
  <si>
    <t>PRAMIPEXOLE  0.125MG</t>
  </si>
  <si>
    <t>251963-4</t>
  </si>
  <si>
    <t>CITALOPRAM TAB 10MG</t>
  </si>
  <si>
    <t>251962-5</t>
  </si>
  <si>
    <t>CEFIXIME TAB 400 MG</t>
  </si>
  <si>
    <t>251961-6</t>
  </si>
  <si>
    <t>AMOX/CLAV TAB875/125</t>
  </si>
  <si>
    <t>251960-7</t>
  </si>
  <si>
    <t>TEST</t>
  </si>
  <si>
    <t>251959-0</t>
  </si>
  <si>
    <t>ACTOS 30 MG TABS</t>
  </si>
  <si>
    <t>251958-1</t>
  </si>
  <si>
    <t>EFFEXOR XR 75 MG CAP</t>
  </si>
  <si>
    <t>251957-2</t>
  </si>
  <si>
    <t>DETROL LA 2 MG CAP</t>
  </si>
  <si>
    <t>251956-3</t>
  </si>
  <si>
    <t>WELLBUTRIN XL 150 MG</t>
  </si>
  <si>
    <t>251955-4</t>
  </si>
  <si>
    <t>VESICARE 5 MG TAB</t>
  </si>
  <si>
    <t>251954-5</t>
  </si>
  <si>
    <t>ALDARA 5% CREAM</t>
  </si>
  <si>
    <t>251953-6</t>
  </si>
  <si>
    <t>JANUVIA 100 MG TAB</t>
  </si>
  <si>
    <t>251952-7</t>
  </si>
  <si>
    <t>SUBOXONE 8-2 MG SUBL</t>
  </si>
  <si>
    <t>251951-8</t>
  </si>
  <si>
    <t>VANCOMYCIN 125 MG CP</t>
  </si>
  <si>
    <t>251950-9</t>
  </si>
  <si>
    <t>ADVAIR 500-50MCG/DOS</t>
  </si>
  <si>
    <t>251949-3</t>
  </si>
  <si>
    <t>ADVAIR 100-50MCG/DOS</t>
  </si>
  <si>
    <t>251948-4</t>
  </si>
  <si>
    <t>ARIPIPRAZ 1MG/ML SOL</t>
  </si>
  <si>
    <t>251947-5</t>
  </si>
  <si>
    <t>ATAZANAVIR 300MG CAP</t>
  </si>
  <si>
    <t>251946-6</t>
  </si>
  <si>
    <t>RISPER MICR 50MG INJ</t>
  </si>
  <si>
    <t>251945-7</t>
  </si>
  <si>
    <t>EFAVIRENZ 600 MG TAB</t>
  </si>
  <si>
    <t>251944-8</t>
  </si>
  <si>
    <t>RISPERID OD 2MG MTAB</t>
  </si>
  <si>
    <t>251943-9</t>
  </si>
  <si>
    <t>ENBREL 50 MG/ML INJ</t>
  </si>
  <si>
    <t>251942-0</t>
  </si>
  <si>
    <t>RISPERIDON OD 4MG TB</t>
  </si>
  <si>
    <t>251941-1</t>
  </si>
  <si>
    <t>RISPERID 37.5MG INJ</t>
  </si>
  <si>
    <t>251940-2</t>
  </si>
  <si>
    <t>ARIPIPRAZOLE 20MG TB</t>
  </si>
  <si>
    <t>251939-5</t>
  </si>
  <si>
    <t>ARIPIPRAZOLE 5 MG TB</t>
  </si>
  <si>
    <t>251938-6</t>
  </si>
  <si>
    <t>TRUVADA 200-300MG TB</t>
  </si>
  <si>
    <t>251937-7</t>
  </si>
  <si>
    <t>ARIPIPRAZOLE 10 MG</t>
  </si>
  <si>
    <t>251936-8</t>
  </si>
  <si>
    <t>ANUSOL 25 MG SUPP</t>
  </si>
  <si>
    <t>251935-9</t>
  </si>
  <si>
    <t>PODOFILOX GEL 0.5%</t>
  </si>
  <si>
    <t>251934-0</t>
  </si>
  <si>
    <t>NASONEX 50MCG/ACT NS</t>
  </si>
  <si>
    <t>251933-1</t>
  </si>
  <si>
    <t>ELIDEL CREAM 1%</t>
  </si>
  <si>
    <t>251932-2</t>
  </si>
  <si>
    <t>HYDROCORT 1% CR JAR</t>
  </si>
  <si>
    <t>251931-3</t>
  </si>
  <si>
    <t>ACYCLOVIR CREAM 5%</t>
  </si>
  <si>
    <t>251930-4</t>
  </si>
  <si>
    <t>NICOTINE GUM 4MG</t>
  </si>
  <si>
    <t>251929-7</t>
  </si>
  <si>
    <t>FML LIQIFILM OP 0.1%</t>
  </si>
  <si>
    <t>251928-8</t>
  </si>
  <si>
    <t>BISOPROLOL 5 MG TAB</t>
  </si>
  <si>
    <t>251927-9</t>
  </si>
  <si>
    <t>BENADRYL 1-0.1% CR</t>
  </si>
  <si>
    <t>251926-0</t>
  </si>
  <si>
    <t>VISINE A OPHTH DROPS</t>
  </si>
  <si>
    <t>251925-1</t>
  </si>
  <si>
    <t>TIMOL OP SOL 0.25%</t>
  </si>
  <si>
    <t>251924-2</t>
  </si>
  <si>
    <t>CARBAM PEROX 6.5% OT</t>
  </si>
  <si>
    <t>251923-3</t>
  </si>
  <si>
    <t>HYDROCORT 1% OINT</t>
  </si>
  <si>
    <t>251922-4</t>
  </si>
  <si>
    <t>EYE WASH</t>
  </si>
  <si>
    <t>251921-5</t>
  </si>
  <si>
    <t>TIMOL OP SOL 0.5% 10</t>
  </si>
  <si>
    <t>251920-6</t>
  </si>
  <si>
    <t>LEVOBUN HCL 0.25% OP</t>
  </si>
  <si>
    <t>251919-9</t>
  </si>
  <si>
    <t>ISOPTO HOMAT OP 5%</t>
  </si>
  <si>
    <t>251918-0</t>
  </si>
  <si>
    <t>CLINDA PHOS SOLN 1%</t>
  </si>
  <si>
    <t>251917-1</t>
  </si>
  <si>
    <t>HYDROCORT 1% CREAM</t>
  </si>
  <si>
    <t>251916-2</t>
  </si>
  <si>
    <t>NYST 100K/GM OINT</t>
  </si>
  <si>
    <t>251915-3</t>
  </si>
  <si>
    <t>NYSTAT 100K/GM CREAM</t>
  </si>
  <si>
    <t>251914-4</t>
  </si>
  <si>
    <t>BENZO PEROX 10% LOTN</t>
  </si>
  <si>
    <t>251913-5</t>
  </si>
  <si>
    <t>STERILE WATER 20ML</t>
  </si>
  <si>
    <t>251912-6</t>
  </si>
  <si>
    <t>SOD POLYST 15GM/60ML</t>
  </si>
  <si>
    <t>251911-7</t>
  </si>
  <si>
    <t>NITRO-BID 2% OINT</t>
  </si>
  <si>
    <t>251910-8</t>
  </si>
  <si>
    <t>TAMOXIFEN 20 MG TAB</t>
  </si>
  <si>
    <t>251909-1</t>
  </si>
  <si>
    <t>MIRALAX POWDER</t>
  </si>
  <si>
    <t>251908-2</t>
  </si>
  <si>
    <t>NYSTATIN POWDER</t>
  </si>
  <si>
    <t>251907-3</t>
  </si>
  <si>
    <t>MUCOMYST 20% SOLN</t>
  </si>
  <si>
    <t>251906-4</t>
  </si>
  <si>
    <t>METOPROLOL 25 MG TAB</t>
  </si>
  <si>
    <t>251905-5</t>
  </si>
  <si>
    <t>ACETAZOLAM 250 MG TB</t>
  </si>
  <si>
    <t>251904-6</t>
  </si>
  <si>
    <t>LACTOB RHAM GG CAP</t>
  </si>
  <si>
    <t>251903-7</t>
  </si>
  <si>
    <t>KAOPECTATE SUSP</t>
  </si>
  <si>
    <t>251902-8</t>
  </si>
  <si>
    <t>BUSPAR 10 MG TAB</t>
  </si>
  <si>
    <t>251901-9</t>
  </si>
  <si>
    <t>ALENDRONATE TAB 70MG</t>
  </si>
  <si>
    <t>251900-0</t>
  </si>
  <si>
    <t>ASA DR TAB 81 MG</t>
  </si>
  <si>
    <t>251899-3</t>
  </si>
  <si>
    <t>NYSTA (5ML)100K U/ML</t>
  </si>
  <si>
    <t>251898-4</t>
  </si>
  <si>
    <t>MEGESTROL TAB 20 MG</t>
  </si>
  <si>
    <t>251897-5</t>
  </si>
  <si>
    <t>NOV70/30SS100UNT/ML</t>
  </si>
  <si>
    <t>251896-6</t>
  </si>
  <si>
    <t>NOV R SS 100 UNT/ML</t>
  </si>
  <si>
    <t>251895-7</t>
  </si>
  <si>
    <t>NOV R 100 UNIT/ML</t>
  </si>
  <si>
    <t>251894-8</t>
  </si>
  <si>
    <t>NOV N SS 100UNT/ML</t>
  </si>
  <si>
    <t>251893-9</t>
  </si>
  <si>
    <t>PHENTERMINE CP 30 MG</t>
  </si>
  <si>
    <t>251892-0</t>
  </si>
  <si>
    <t>BUDEPRION XLTB 300MG</t>
  </si>
  <si>
    <t>251891-1</t>
  </si>
  <si>
    <t>PATANOL 0.1% SOLN</t>
  </si>
  <si>
    <t>251890-2</t>
  </si>
  <si>
    <t>VOLTAREN 0.1% SOLN</t>
  </si>
  <si>
    <t>251889-5</t>
  </si>
  <si>
    <t>HALOPER CONC 2MG/ML</t>
  </si>
  <si>
    <t>251888-6</t>
  </si>
  <si>
    <t>MAG-AL 200-20 MG/5ML</t>
  </si>
  <si>
    <t>251887-7</t>
  </si>
  <si>
    <t>DENAVIR 1% CREAM</t>
  </si>
  <si>
    <t>251886-8</t>
  </si>
  <si>
    <t>FELODIPIN TB 2.5 MG</t>
  </si>
  <si>
    <t>251885-9</t>
  </si>
  <si>
    <t>ALBUT INH HFA 90MCG</t>
  </si>
  <si>
    <t>251884-0</t>
  </si>
  <si>
    <t>NOVOLOG SS 100UNT/ML</t>
  </si>
  <si>
    <t>251883-1</t>
  </si>
  <si>
    <t>NOVOLOG 100 UNIT/ML</t>
  </si>
  <si>
    <t>251882-2</t>
  </si>
  <si>
    <t>METOPROL TBSR 25 MG</t>
  </si>
  <si>
    <t>251881-3</t>
  </si>
  <si>
    <t>FLUTIC NS 50 MCG/ACT</t>
  </si>
  <si>
    <t>251880-4</t>
  </si>
  <si>
    <t>PREGABALIN CAP 25 MG</t>
  </si>
  <si>
    <t>251879-7</t>
  </si>
  <si>
    <t>BECLOM INH 40MCG/ACT</t>
  </si>
  <si>
    <t>251878-8</t>
  </si>
  <si>
    <t>LEVALBUT INH 45 MCG</t>
  </si>
  <si>
    <t>251877-9</t>
  </si>
  <si>
    <t>LIDOCAINE PATCH 5%</t>
  </si>
  <si>
    <t>251876-0</t>
  </si>
  <si>
    <t>VALPROATE SYR 250 MG</t>
  </si>
  <si>
    <t>251875-1</t>
  </si>
  <si>
    <t>CARVEDILOL TAB 3.125</t>
  </si>
  <si>
    <t>251874-2</t>
  </si>
  <si>
    <t>COMBIVENT 103-18 MCG</t>
  </si>
  <si>
    <t>251873-3</t>
  </si>
  <si>
    <t>RIBAVIRIN TAB 200 MG</t>
  </si>
  <si>
    <t>251872-4</t>
  </si>
  <si>
    <t>CEFPROZIL TAB 25 MG</t>
  </si>
  <si>
    <t>251871-5</t>
  </si>
  <si>
    <t>LAMOTRIGINE TB 25 MG</t>
  </si>
  <si>
    <t>251870-6</t>
  </si>
  <si>
    <t>MAXALT TABS 5 MG</t>
  </si>
  <si>
    <t>251869-9</t>
  </si>
  <si>
    <t>AZILECT TAB 1 MG</t>
  </si>
  <si>
    <t>251868-0</t>
  </si>
  <si>
    <t>TOPIRAMATE TAB 50 MG</t>
  </si>
  <si>
    <t>251867-1</t>
  </si>
  <si>
    <t>COMTAN TABS 200 MG</t>
  </si>
  <si>
    <t>251866-2</t>
  </si>
  <si>
    <t>SUBOXONE 2-0.5 MG SL</t>
  </si>
  <si>
    <t>251865-3</t>
  </si>
  <si>
    <t>NORVIR 100MG CAPS</t>
  </si>
  <si>
    <t>251864-4</t>
  </si>
  <si>
    <t>RISPERDAL M-TAB 1MG</t>
  </si>
  <si>
    <t>251863-5</t>
  </si>
  <si>
    <t>TOBRADEX 0.3-0.1%</t>
  </si>
  <si>
    <t>251862-6</t>
  </si>
  <si>
    <t>FLOXIN OTIC 0.3%</t>
  </si>
  <si>
    <t>251861-7</t>
  </si>
  <si>
    <t>QUETIAPINE 400MG</t>
  </si>
  <si>
    <t>251860-8</t>
  </si>
  <si>
    <t>TAMSULOSIN 0.4MG CAP</t>
  </si>
  <si>
    <t>251859-1</t>
  </si>
  <si>
    <t>METHOTREXATE 2.5MG</t>
  </si>
  <si>
    <t>251858-2</t>
  </si>
  <si>
    <t>ARIPIPRAZOLE 30MG</t>
  </si>
  <si>
    <t>251857-3</t>
  </si>
  <si>
    <t>COLESTID 1GM TABLETS</t>
  </si>
  <si>
    <t>251856-4</t>
  </si>
  <si>
    <t>RIFAMPIN 150MG PO</t>
  </si>
  <si>
    <t>251855-5</t>
  </si>
  <si>
    <t>ULTRAM 50MG TABLET</t>
  </si>
  <si>
    <t>251854-6</t>
  </si>
  <si>
    <t>RENAGEL 800MG TABLET</t>
  </si>
  <si>
    <t>251853-7</t>
  </si>
  <si>
    <t>LEVONORGESTREL .75MG</t>
  </si>
  <si>
    <t>251852-8</t>
  </si>
  <si>
    <t>TIOTROPIUM BROMIDE</t>
  </si>
  <si>
    <t>251851-9</t>
  </si>
  <si>
    <t>AZELASTINE 0.05% OPH</t>
  </si>
  <si>
    <t>251850-0</t>
  </si>
  <si>
    <t>SALMETEROL DISKUS</t>
  </si>
  <si>
    <t>251849-4</t>
  </si>
  <si>
    <t>KAYEXALATE 30MG</t>
  </si>
  <si>
    <t>251848-5</t>
  </si>
  <si>
    <t>VITAMIN D 400 IU</t>
  </si>
  <si>
    <t>251847-6</t>
  </si>
  <si>
    <t>LATANPOPROST .005% O</t>
  </si>
  <si>
    <t>251846-7</t>
  </si>
  <si>
    <t>QUETIAPINE 50MG</t>
  </si>
  <si>
    <t>251845-8</t>
  </si>
  <si>
    <t>DULOXETINE 60MG PO</t>
  </si>
  <si>
    <t>251844-9</t>
  </si>
  <si>
    <t>NEW MED INJ 100-199</t>
  </si>
  <si>
    <t>251843-0</t>
  </si>
  <si>
    <t>NEW MED INJ 25-49.99</t>
  </si>
  <si>
    <t>251842-1</t>
  </si>
  <si>
    <t>MR GADOLINIUM 20ML</t>
  </si>
  <si>
    <t>251841-2</t>
  </si>
  <si>
    <t>DONEPEZIL 5MG PO</t>
  </si>
  <si>
    <t>251840-3</t>
  </si>
  <si>
    <t>MIDAZOLAM 2MG/2ML/IN</t>
  </si>
  <si>
    <t>251839-6</t>
  </si>
  <si>
    <t>RISPERIDONE  50MG</t>
  </si>
  <si>
    <t>251838-7</t>
  </si>
  <si>
    <t>MORPHINE SR 60MG PO</t>
  </si>
  <si>
    <t>251837-8</t>
  </si>
  <si>
    <t>DULOXETINE 30MG PO</t>
  </si>
  <si>
    <t>251836-9</t>
  </si>
  <si>
    <t>DULOXETINE 20MG PO</t>
  </si>
  <si>
    <t>251835-0</t>
  </si>
  <si>
    <t>MINOXIDIL 2.5MG PO</t>
  </si>
  <si>
    <t>251834-1</t>
  </si>
  <si>
    <t>VALACYLOVIR 500MG</t>
  </si>
  <si>
    <t>251833-2</t>
  </si>
  <si>
    <t>RUBEOLA,IGG MEASLES</t>
  </si>
  <si>
    <t>251832-3</t>
  </si>
  <si>
    <t>ALCOHOL, SERUM, MEDI</t>
  </si>
  <si>
    <t>251831-4</t>
  </si>
  <si>
    <t>VITAMIN B6 PLASMA</t>
  </si>
  <si>
    <t>251830-5</t>
  </si>
  <si>
    <t>VITAMIN A (RETINOL)</t>
  </si>
  <si>
    <t>251829-8</t>
  </si>
  <si>
    <t>TENOFOVIR 300MG</t>
  </si>
  <si>
    <t>251828-9</t>
  </si>
  <si>
    <t>MOXIFLOXACIN 400MG</t>
  </si>
  <si>
    <t>251827-0</t>
  </si>
  <si>
    <t>ZONISAMIDE 100 MG</t>
  </si>
  <si>
    <t>251826-1</t>
  </si>
  <si>
    <t>CYCLOSPORINE CAP25M</t>
  </si>
  <si>
    <t>251825-2</t>
  </si>
  <si>
    <t>CYCLOSPORINE CAP100M</t>
  </si>
  <si>
    <t>251824-3</t>
  </si>
  <si>
    <t>OLANZAPINE IM 10MG</t>
  </si>
  <si>
    <t>251823-4</t>
  </si>
  <si>
    <t>FENOFIBRATE 54MG</t>
  </si>
  <si>
    <t>251822-5</t>
  </si>
  <si>
    <t>CELECOXIB 200MG</t>
  </si>
  <si>
    <t>251821-6</t>
  </si>
  <si>
    <t>FLUTI250MCG/SAL50MCG</t>
  </si>
  <si>
    <t>251820-7</t>
  </si>
  <si>
    <t>GLIMEPIRIDE 1MG PO</t>
  </si>
  <si>
    <t>251819-0</t>
  </si>
  <si>
    <t>LAMIVUDINE 150MG</t>
  </si>
  <si>
    <t>251818-1</t>
  </si>
  <si>
    <t>MIRTAZAPINE 45MG</t>
  </si>
  <si>
    <t>251817-2</t>
  </si>
  <si>
    <t>RISPERIDONE CNST 25M</t>
  </si>
  <si>
    <t>251816-3</t>
  </si>
  <si>
    <t>METAMUCIL TAB</t>
  </si>
  <si>
    <t>251815-4</t>
  </si>
  <si>
    <t>SENEKOT</t>
  </si>
  <si>
    <t>251814-5</t>
  </si>
  <si>
    <t>FLUTICASONE 100MCG</t>
  </si>
  <si>
    <t>251813-6</t>
  </si>
  <si>
    <t>DIVALPROEX ER 500MG</t>
  </si>
  <si>
    <t>251812-7</t>
  </si>
  <si>
    <t>DIOVAN 80MG</t>
  </si>
  <si>
    <t>251811-8</t>
  </si>
  <si>
    <t>BUPROPION XL 300MG</t>
  </si>
  <si>
    <t>251810-9</t>
  </si>
  <si>
    <t>BUPROPION XL 150MG</t>
  </si>
  <si>
    <t>251809-2</t>
  </si>
  <si>
    <t>ATOMOXETINE 25MG</t>
  </si>
  <si>
    <t>251808-3</t>
  </si>
  <si>
    <t>SOD BICARB 650 MG</t>
  </si>
  <si>
    <t>251807-4</t>
  </si>
  <si>
    <t>QUETIAPINE 25MG SAMP</t>
  </si>
  <si>
    <t>251806-5</t>
  </si>
  <si>
    <t>PAROXETINE 10MG/5ML</t>
  </si>
  <si>
    <t>251805-6</t>
  </si>
  <si>
    <t>MICONAZOLE 2% CREAM</t>
  </si>
  <si>
    <t>251804-7</t>
  </si>
  <si>
    <t>TUCKS PADS</t>
  </si>
  <si>
    <t>251803-8</t>
  </si>
  <si>
    <t>PAROXETINE CR 37.5MG</t>
  </si>
  <si>
    <t>251802-9</t>
  </si>
  <si>
    <t>DIPHENHYDRMNE 50MG/M</t>
  </si>
  <si>
    <t>251801-0</t>
  </si>
  <si>
    <t>CALCIUM 600 MG +D</t>
  </si>
  <si>
    <t>251800-1</t>
  </si>
  <si>
    <t>METAMUCIL WAFERS</t>
  </si>
  <si>
    <t>251799-4</t>
  </si>
  <si>
    <t>FLUCONAZOLE 150MG</t>
  </si>
  <si>
    <t>251798-5</t>
  </si>
  <si>
    <t>OLANZAPINE ZY OD 20M</t>
  </si>
  <si>
    <t>251797-6</t>
  </si>
  <si>
    <t>OLANZAPINE ZYDS 10MG</t>
  </si>
  <si>
    <t>251796-7</t>
  </si>
  <si>
    <t>TIAGABINE 2MG</t>
  </si>
  <si>
    <t>251795-8</t>
  </si>
  <si>
    <t>METHIMAZOLE 5MG</t>
  </si>
  <si>
    <t>251794-9</t>
  </si>
  <si>
    <t>VORICONAZOLE 200MG</t>
  </si>
  <si>
    <t>251793-0</t>
  </si>
  <si>
    <t>LEVOCARNITINE 330MG</t>
  </si>
  <si>
    <t>251792-1</t>
  </si>
  <si>
    <t>ATOMOXETINE 40MG</t>
  </si>
  <si>
    <t>251791-2</t>
  </si>
  <si>
    <t>POLYVINYL ALCHL 1.4%</t>
  </si>
  <si>
    <t>251790-3</t>
  </si>
  <si>
    <t>MODAFINIL 100MG</t>
  </si>
  <si>
    <t>251789-6</t>
  </si>
  <si>
    <t>CHEWABLE MVI</t>
  </si>
  <si>
    <t>251788-7</t>
  </si>
  <si>
    <t>ESCITALOPRAM 20MG</t>
  </si>
  <si>
    <t>251787-8</t>
  </si>
  <si>
    <t>PAROXETINE CR 12.5MG</t>
  </si>
  <si>
    <t>251786-9</t>
  </si>
  <si>
    <t>NEVIRAPINE 200MG</t>
  </si>
  <si>
    <t>251785-0</t>
  </si>
  <si>
    <t>RIFAMPIN 300MG PO</t>
  </si>
  <si>
    <t>251784-1</t>
  </si>
  <si>
    <t>MILK THISTLE</t>
  </si>
  <si>
    <t>251783-2</t>
  </si>
  <si>
    <t>AMOIDARONE 200MG</t>
  </si>
  <si>
    <t>251782-3</t>
  </si>
  <si>
    <t>LAMIVUDINE/ZIDOV 150</t>
  </si>
  <si>
    <t>251781-4</t>
  </si>
  <si>
    <t>SUMATRIPAN 50MG SAMP</t>
  </si>
  <si>
    <t>251780-5</t>
  </si>
  <si>
    <t>FISH OIL 1000MG</t>
  </si>
  <si>
    <t>251779-8</t>
  </si>
  <si>
    <t>FENOFIBRATE 160MG</t>
  </si>
  <si>
    <t>251778-9</t>
  </si>
  <si>
    <t>LIPITOR 20 MG PO</t>
  </si>
  <si>
    <t>251777-0</t>
  </si>
  <si>
    <t>GABAPENTIN 600MG PO</t>
  </si>
  <si>
    <t>251776-1</t>
  </si>
  <si>
    <t>ERYTHROMYCIN BSE 500</t>
  </si>
  <si>
    <t>251775-2</t>
  </si>
  <si>
    <t>NEFADOZONE 50 MG</t>
  </si>
  <si>
    <t>251774-3</t>
  </si>
  <si>
    <t>ATOMOXETINE 60MG</t>
  </si>
  <si>
    <t>251773-4</t>
  </si>
  <si>
    <t>TOPAMAX 100MG PO</t>
  </si>
  <si>
    <t>251772-5</t>
  </si>
  <si>
    <t>ACTOS 15MG QAM</t>
  </si>
  <si>
    <t>251771-6</t>
  </si>
  <si>
    <t>GEODON/ML  20MG</t>
  </si>
  <si>
    <t>251770-7</t>
  </si>
  <si>
    <t>BUPROPION SR 200MG</t>
  </si>
  <si>
    <t>251769-0</t>
  </si>
  <si>
    <t>DIVALPROEX ER 250MG</t>
  </si>
  <si>
    <t>251768-1</t>
  </si>
  <si>
    <t>RISPERDAL 2MG SAMPLE</t>
  </si>
  <si>
    <t>251767-2</t>
  </si>
  <si>
    <t>RISPERDAL 1MG SAMPLE</t>
  </si>
  <si>
    <t>251766-3</t>
  </si>
  <si>
    <t>OLANZAPINE 20MG</t>
  </si>
  <si>
    <t>251765-4</t>
  </si>
  <si>
    <t>ALBUTEROL INH 0.083%</t>
  </si>
  <si>
    <t>251764-5</t>
  </si>
  <si>
    <t>STRATTERA 18MG SAMPL</t>
  </si>
  <si>
    <t>251763-6</t>
  </si>
  <si>
    <t>DEXMETHYLPHENIDATE</t>
  </si>
  <si>
    <t>251762-7</t>
  </si>
  <si>
    <t>PAROXETINE CR 25MG</t>
  </si>
  <si>
    <t>251761-8</t>
  </si>
  <si>
    <t>ABILIFY 15MG SAMPLE</t>
  </si>
  <si>
    <t>251760-9</t>
  </si>
  <si>
    <t>RISPERADAL 3MG SAMPL</t>
  </si>
  <si>
    <t>251759-2</t>
  </si>
  <si>
    <t>WELLBUTRIN 150MG SAM</t>
  </si>
  <si>
    <t>251758-3</t>
  </si>
  <si>
    <t>RISPERADONE 0.25MG S</t>
  </si>
  <si>
    <t>251757-4</t>
  </si>
  <si>
    <t>RISPERDAL 0.5MG SAMP</t>
  </si>
  <si>
    <t>251756-5</t>
  </si>
  <si>
    <t>RISPERDAL 0.25MG SAM</t>
  </si>
  <si>
    <t>251755-6</t>
  </si>
  <si>
    <t>EFFEXOR 75MG SAMPLE</t>
  </si>
  <si>
    <t>251754-7</t>
  </si>
  <si>
    <t>TIAGABINE 4MG</t>
  </si>
  <si>
    <t>251753-8</t>
  </si>
  <si>
    <t>CARVEDILOL 6.25 MG</t>
  </si>
  <si>
    <t>251752-9</t>
  </si>
  <si>
    <t>ARIPIPRAZOLE 15MG</t>
  </si>
  <si>
    <t>251751-0</t>
  </si>
  <si>
    <t>NEUPUGEN 300MCG/ML</t>
  </si>
  <si>
    <t>251750-1</t>
  </si>
  <si>
    <t>LOSARTAN 25MG</t>
  </si>
  <si>
    <t>251749-5</t>
  </si>
  <si>
    <t>251748-6</t>
  </si>
  <si>
    <t>AMPHETAMINE/DEX 5MG</t>
  </si>
  <si>
    <t>251747-7</t>
  </si>
  <si>
    <t>PREVEN KIT</t>
  </si>
  <si>
    <t>251746-8</t>
  </si>
  <si>
    <t>ESCITALOPRAM 10MG</t>
  </si>
  <si>
    <t>251745-9</t>
  </si>
  <si>
    <t>PLOGLITAZONE 15MG</t>
  </si>
  <si>
    <t>251744-0</t>
  </si>
  <si>
    <t>SONATA 10MG</t>
  </si>
  <si>
    <t>251743-1</t>
  </si>
  <si>
    <t>DONAZEPRIL 5 MG PO</t>
  </si>
  <si>
    <t>251742-2</t>
  </si>
  <si>
    <t>CLINDAMYCIN GEL 1%</t>
  </si>
  <si>
    <t>251741-3</t>
  </si>
  <si>
    <t>ACYCLOVIR 800MG PO</t>
  </si>
  <si>
    <t>251740-4</t>
  </si>
  <si>
    <t>BRINZOLAMIDE 1% EYE</t>
  </si>
  <si>
    <t>251739-7</t>
  </si>
  <si>
    <t>EFAVIRENZ 200MG</t>
  </si>
  <si>
    <t>251738-8</t>
  </si>
  <si>
    <t>MICONAZOLE2%TINCTURE</t>
  </si>
  <si>
    <t>251737-9</t>
  </si>
  <si>
    <t>ROSIGLITAZONE 2MG</t>
  </si>
  <si>
    <t>251736-0</t>
  </si>
  <si>
    <t>SENNOSIDES 8.6MG</t>
  </si>
  <si>
    <t>251735-1</t>
  </si>
  <si>
    <t>GLIMEPIRIDE 4MG PO</t>
  </si>
  <si>
    <t>251734-2</t>
  </si>
  <si>
    <t>NELFINAVIR 250MG</t>
  </si>
  <si>
    <t>251733-3</t>
  </si>
  <si>
    <t>PLOGLITAZONE 30MG</t>
  </si>
  <si>
    <t>251732-4</t>
  </si>
  <si>
    <t>HUMULOG INSULIN</t>
  </si>
  <si>
    <t>251731-5</t>
  </si>
  <si>
    <t>RIVASTIGMINE 3MG</t>
  </si>
  <si>
    <t>251730-6</t>
  </si>
  <si>
    <t>LIPITOR 10MG PO</t>
  </si>
  <si>
    <t>251729-9</t>
  </si>
  <si>
    <t>BECLOMETHASONE NAS I</t>
  </si>
  <si>
    <t>251728-0</t>
  </si>
  <si>
    <t>FLUNISOLIDE.025NASAL</t>
  </si>
  <si>
    <t>251727-1</t>
  </si>
  <si>
    <t>TRIPHASIL</t>
  </si>
  <si>
    <t>251726-2</t>
  </si>
  <si>
    <t>MAXALT 10MG</t>
  </si>
  <si>
    <t>251725-3</t>
  </si>
  <si>
    <t>DOXAZOSIN 1MG</t>
  </si>
  <si>
    <t>251724-4</t>
  </si>
  <si>
    <t>ALLEGRA D</t>
  </si>
  <si>
    <t>251723-5</t>
  </si>
  <si>
    <t>BUTA/ASA/CAFF</t>
  </si>
  <si>
    <t>251722-6</t>
  </si>
  <si>
    <t>INDERAL LA 120MG</t>
  </si>
  <si>
    <t>251721-7</t>
  </si>
  <si>
    <t>PROGESTRONE 100MG</t>
  </si>
  <si>
    <t>251720-8</t>
  </si>
  <si>
    <t>DETROL 1 MG</t>
  </si>
  <si>
    <t>251719-1</t>
  </si>
  <si>
    <t>ALENDRONATE 5MG</t>
  </si>
  <si>
    <t>251718-2</t>
  </si>
  <si>
    <t>OXYCONTIN SR 40MG</t>
  </si>
  <si>
    <t>251717-3</t>
  </si>
  <si>
    <t>MONTELUKAST 10MG</t>
  </si>
  <si>
    <t>251716-4</t>
  </si>
  <si>
    <t>AVANDIA 8MG</t>
  </si>
  <si>
    <t>251715-5</t>
  </si>
  <si>
    <t>FLUVOXAMINE 50MG PO</t>
  </si>
  <si>
    <t>251714-6</t>
  </si>
  <si>
    <t>OXCARBAZEPINE 600MG</t>
  </si>
  <si>
    <t>251713-7</t>
  </si>
  <si>
    <t>ZALEPLON 5MG</t>
  </si>
  <si>
    <t>251712-8</t>
  </si>
  <si>
    <t>PERMETHRIN CRM 5%</t>
  </si>
  <si>
    <t>251711-9</t>
  </si>
  <si>
    <t>OLANZAPINE ZYDIS 15M</t>
  </si>
  <si>
    <t>251710-0</t>
  </si>
  <si>
    <t>METHYLPHENIDATE ER36</t>
  </si>
  <si>
    <t>251709-3</t>
  </si>
  <si>
    <t>METHYLPHENIDATE ER18</t>
  </si>
  <si>
    <t>251708-4</t>
  </si>
  <si>
    <t>SERZONE 50MG</t>
  </si>
  <si>
    <t>251707-5</t>
  </si>
  <si>
    <t>COLACE 250MG</t>
  </si>
  <si>
    <t>251706-6</t>
  </si>
  <si>
    <t>FLOVENT 44MCG INHALE</t>
  </si>
  <si>
    <t>251705-7</t>
  </si>
  <si>
    <t>TAPAZOLE 5MG</t>
  </si>
  <si>
    <t>251704-8</t>
  </si>
  <si>
    <t>LEVOTHYROXINE 0.088M</t>
  </si>
  <si>
    <t>251703-9</t>
  </si>
  <si>
    <t>NPH</t>
  </si>
  <si>
    <t>251702-0</t>
  </si>
  <si>
    <t>TRIAMCINOLONE 0.025%</t>
  </si>
  <si>
    <t>251701-1</t>
  </si>
  <si>
    <t>70/30 INSULIN</t>
  </si>
  <si>
    <t>251700-2</t>
  </si>
  <si>
    <t>LANTUS</t>
  </si>
  <si>
    <t>251699-5</t>
  </si>
  <si>
    <t>SONATA 5MG</t>
  </si>
  <si>
    <t>251698-6</t>
  </si>
  <si>
    <t>ORHTO TRICYCLEN</t>
  </si>
  <si>
    <t>251697-7</t>
  </si>
  <si>
    <t>FENTANYL 100MCG/HR P</t>
  </si>
  <si>
    <t>251696-8</t>
  </si>
  <si>
    <t>FENTANYL 50MCG/HR PA</t>
  </si>
  <si>
    <t>251695-9</t>
  </si>
  <si>
    <t>LIDOCAINE 2% VISC SO</t>
  </si>
  <si>
    <t>251694-0</t>
  </si>
  <si>
    <t>PANOKASE 8000U</t>
  </si>
  <si>
    <t>251693-1</t>
  </si>
  <si>
    <t>ADVAIR 250/50 INHALE</t>
  </si>
  <si>
    <t>251692-2</t>
  </si>
  <si>
    <t>COPAXONE 20MG INJ KI</t>
  </si>
  <si>
    <t>251691-3</t>
  </si>
  <si>
    <t>ESTRADIOL 2 MG</t>
  </si>
  <si>
    <t>251690-4</t>
  </si>
  <si>
    <t>TESTOSTERONE 10MG/ML</t>
  </si>
  <si>
    <t>251689-7</t>
  </si>
  <si>
    <t>MIRTAZAPINE SOLTAB15</t>
  </si>
  <si>
    <t>251688-8</t>
  </si>
  <si>
    <t>CITALOPRAM 40 MG</t>
  </si>
  <si>
    <t>251687-9</t>
  </si>
  <si>
    <t>REPAGLINIDE 1MG</t>
  </si>
  <si>
    <t>251686-0</t>
  </si>
  <si>
    <t>ARTH X DS</t>
  </si>
  <si>
    <t>251685-1</t>
  </si>
  <si>
    <t>SPECTRA ZYME</t>
  </si>
  <si>
    <t>251684-2</t>
  </si>
  <si>
    <t>CALCIUM/MAGNESIUM CI</t>
  </si>
  <si>
    <t>251683-3</t>
  </si>
  <si>
    <t>LEVOFLOXACIN 500MG</t>
  </si>
  <si>
    <t>251682-4</t>
  </si>
  <si>
    <t>BISOPROLOL/HCTZ 5MGP</t>
  </si>
  <si>
    <t>251681-5</t>
  </si>
  <si>
    <t>ZANAFLEX 4MG</t>
  </si>
  <si>
    <t>251680-6</t>
  </si>
  <si>
    <t>DIVALPROIC ACID 500M</t>
  </si>
  <si>
    <t>251679-9</t>
  </si>
  <si>
    <t>FEXOFENADINE 60MG PO</t>
  </si>
  <si>
    <t>251678-0</t>
  </si>
  <si>
    <t>OXCARBAZEPINE 150MG</t>
  </si>
  <si>
    <t>251677-1</t>
  </si>
  <si>
    <t>OXCARBAZEPINE 300MG</t>
  </si>
  <si>
    <t>251676-2</t>
  </si>
  <si>
    <t>ZIAC 5MG</t>
  </si>
  <si>
    <t>251675-3</t>
  </si>
  <si>
    <t>PERCOCET 5/325MG</t>
  </si>
  <si>
    <t>251674-4</t>
  </si>
  <si>
    <t>REG INSULIN SLID SCL</t>
  </si>
  <si>
    <t>251673-5</t>
  </si>
  <si>
    <t>MIRTAZAPINE SOLTAB45</t>
  </si>
  <si>
    <t>251672-6</t>
  </si>
  <si>
    <t>TOPAMAX 200MG</t>
  </si>
  <si>
    <t>251671-7</t>
  </si>
  <si>
    <t>MIRTAZAPINE SOLTAB30</t>
  </si>
  <si>
    <t>251670-8</t>
  </si>
  <si>
    <t>TRILEPTAL 150MG</t>
  </si>
  <si>
    <t>251669-1</t>
  </si>
  <si>
    <t>OLANZAPINE "OD"10MGP</t>
  </si>
  <si>
    <t>251668-2</t>
  </si>
  <si>
    <t>GABAPENTIN 800MG</t>
  </si>
  <si>
    <t>251667-3</t>
  </si>
  <si>
    <t>WARFARIN 1MG</t>
  </si>
  <si>
    <t>251666-4</t>
  </si>
  <si>
    <t>ALESSE BCP</t>
  </si>
  <si>
    <t>251665-5</t>
  </si>
  <si>
    <t>NASAL SALINE SPRAY</t>
  </si>
  <si>
    <t>251664-6</t>
  </si>
  <si>
    <t>FIORINAL</t>
  </si>
  <si>
    <t>251663-7</t>
  </si>
  <si>
    <t>NORCO 10/325MG</t>
  </si>
  <si>
    <t>251662-8</t>
  </si>
  <si>
    <t>NOVOLIN 70/30</t>
  </si>
  <si>
    <t>251661-9</t>
  </si>
  <si>
    <t>PYRETHRUMO .33%</t>
  </si>
  <si>
    <t>251660-0</t>
  </si>
  <si>
    <t>SILVER SULFA1%CRM20M</t>
  </si>
  <si>
    <t>251659-3</t>
  </si>
  <si>
    <t>REQUIP .5 MG</t>
  </si>
  <si>
    <t>251658-4</t>
  </si>
  <si>
    <t>REQUIP 1.00 MG</t>
  </si>
  <si>
    <t>251657-5</t>
  </si>
  <si>
    <t>REQUIP .25 MG</t>
  </si>
  <si>
    <t>251656-6</t>
  </si>
  <si>
    <t>REQUIP 2 MG</t>
  </si>
  <si>
    <t>251655-7</t>
  </si>
  <si>
    <t>SINEMET CR 25/100 MG</t>
  </si>
  <si>
    <t>251654-8</t>
  </si>
  <si>
    <t>SINEMET CR 50/200 MG</t>
  </si>
  <si>
    <t>251653-9</t>
  </si>
  <si>
    <t>BENAZEPRIL 20 MG PO</t>
  </si>
  <si>
    <t>251652-0</t>
  </si>
  <si>
    <t>REMERON SOL 45MG TAB</t>
  </si>
  <si>
    <t>251651-1</t>
  </si>
  <si>
    <t>REMERON SOL 30MG TAB</t>
  </si>
  <si>
    <t>251650-2</t>
  </si>
  <si>
    <t>FLONASE NASAL SPRAY</t>
  </si>
  <si>
    <t>251649-6</t>
  </si>
  <si>
    <t>OLANZAPINE 12.5MG PO</t>
  </si>
  <si>
    <t>251648-7</t>
  </si>
  <si>
    <t>SERVENT INH</t>
  </si>
  <si>
    <t>251647-8</t>
  </si>
  <si>
    <t>FLOVENT 110MGC INHAL</t>
  </si>
  <si>
    <t>251646-9</t>
  </si>
  <si>
    <t>TRIAMTERENE 37.5/HCT</t>
  </si>
  <si>
    <t>251645-0</t>
  </si>
  <si>
    <t>LAMICTAL 100 MG PO</t>
  </si>
  <si>
    <t>251644-1</t>
  </si>
  <si>
    <t>LAMICTAL 25MG PO</t>
  </si>
  <si>
    <t>251643-2</t>
  </si>
  <si>
    <t>STAVUDINE 30MG PO</t>
  </si>
  <si>
    <t>251642-3</t>
  </si>
  <si>
    <t>NEFAZODONE 100MG PO</t>
  </si>
  <si>
    <t>251641-4</t>
  </si>
  <si>
    <t>METFORMIN 500MG</t>
  </si>
  <si>
    <t>251640-5</t>
  </si>
  <si>
    <t>LAMIVUDINE 150MG PO</t>
  </si>
  <si>
    <t>251639-8</t>
  </si>
  <si>
    <t>FLUCONAZONE 150MG PO</t>
  </si>
  <si>
    <t>251638-9</t>
  </si>
  <si>
    <t>OXYMETAZOLINE.05NASA</t>
  </si>
  <si>
    <t>251637-0</t>
  </si>
  <si>
    <t>LITHIUM CARB 900MG</t>
  </si>
  <si>
    <t>251636-1</t>
  </si>
  <si>
    <t>VENLAFAXIN 100MG PO</t>
  </si>
  <si>
    <t>251635-2</t>
  </si>
  <si>
    <t>VENLAFAXINE 75MG CAP</t>
  </si>
  <si>
    <t>251634-3</t>
  </si>
  <si>
    <t>VENLAFAXINE 50MG PO</t>
  </si>
  <si>
    <t>251633-4</t>
  </si>
  <si>
    <t>VENLAFAXINE 37.5MG P</t>
  </si>
  <si>
    <t>251632-5</t>
  </si>
  <si>
    <t>VENLAFAXINE 25MG PO</t>
  </si>
  <si>
    <t>251631-6</t>
  </si>
  <si>
    <t>QUETIAPINE 300MG</t>
  </si>
  <si>
    <t>251630-7</t>
  </si>
  <si>
    <t>RISPERIDONE ELIX 8MG</t>
  </si>
  <si>
    <t>251629-0</t>
  </si>
  <si>
    <t>RISPERIDONE 4MG PO</t>
  </si>
  <si>
    <t>251628-1</t>
  </si>
  <si>
    <t>RISPERIDONE 3MG PO</t>
  </si>
  <si>
    <t>251627-2</t>
  </si>
  <si>
    <t>RISPERIDONE 2MG PO</t>
  </si>
  <si>
    <t>251626-3</t>
  </si>
  <si>
    <t>RISPERIDONE 1MG PO</t>
  </si>
  <si>
    <t>251625-4</t>
  </si>
  <si>
    <t>FLUVOXAMINE 100MG PO</t>
  </si>
  <si>
    <t>251624-5</t>
  </si>
  <si>
    <t>BUSPIRONE 15MG</t>
  </si>
  <si>
    <t>251623-6</t>
  </si>
  <si>
    <t>OLANZAPINE OD 20MG</t>
  </si>
  <si>
    <t>251622-7</t>
  </si>
  <si>
    <t>FELBAMATE 600MG PO</t>
  </si>
  <si>
    <t>251621-8</t>
  </si>
  <si>
    <t>RABEPRAZOLE 20MG</t>
  </si>
  <si>
    <t>251620-9</t>
  </si>
  <si>
    <t>ZOLPIDEM 5MG PO</t>
  </si>
  <si>
    <t>251619-2</t>
  </si>
  <si>
    <t>ZOLPIDEM 10MG PO</t>
  </si>
  <si>
    <t>251618-3</t>
  </si>
  <si>
    <t>ZINC OXIDE OINT 10OZ</t>
  </si>
  <si>
    <t>251617-4</t>
  </si>
  <si>
    <t>ZIDOVUDINE 100MG PO</t>
  </si>
  <si>
    <t>251616-5</t>
  </si>
  <si>
    <t>ZALCITAMINE 0.75MG P</t>
  </si>
  <si>
    <t>251615-6</t>
  </si>
  <si>
    <t>ZALCITAMINE 0.375MG</t>
  </si>
  <si>
    <t>251614-7</t>
  </si>
  <si>
    <t>XERO-LUBE 6 OZ</t>
  </si>
  <si>
    <t>251613-8</t>
  </si>
  <si>
    <t>WARFARIN PO</t>
  </si>
  <si>
    <t>251612-9</t>
  </si>
  <si>
    <t>WARFARIN 7.5MG PO</t>
  </si>
  <si>
    <t>251611-0</t>
  </si>
  <si>
    <t>WARFARIN 2MG PO</t>
  </si>
  <si>
    <t>251610-1</t>
  </si>
  <si>
    <t>WARFARIN 2.5MG PO</t>
  </si>
  <si>
    <t>251609-4</t>
  </si>
  <si>
    <t>WARFARIN 10MG PO</t>
  </si>
  <si>
    <t>251608-5</t>
  </si>
  <si>
    <t>WARFAIN 5MG PO</t>
  </si>
  <si>
    <t>251607-6</t>
  </si>
  <si>
    <t>VIVONEX 8OZ PO</t>
  </si>
  <si>
    <t>251606-7</t>
  </si>
  <si>
    <t>VITAMIN E 200 IU PO</t>
  </si>
  <si>
    <t>251605-8</t>
  </si>
  <si>
    <t>VITAMIN E 1000 IU PO</t>
  </si>
  <si>
    <t>251604-9</t>
  </si>
  <si>
    <t>VIT E 400 IU PO</t>
  </si>
  <si>
    <t>251603-0</t>
  </si>
  <si>
    <t>WELLBUTRIN SR 100MG</t>
  </si>
  <si>
    <t>251602-1</t>
  </si>
  <si>
    <t>VIT B COMP W/ZINC PO</t>
  </si>
  <si>
    <t>251601-2</t>
  </si>
  <si>
    <t>VIT B COMP W/C</t>
  </si>
  <si>
    <t>251600-3</t>
  </si>
  <si>
    <t>VIT B COMP W/C+MINER</t>
  </si>
  <si>
    <t>251599-6</t>
  </si>
  <si>
    <t>WELLBUTRIN SR 150MG</t>
  </si>
  <si>
    <t>251598-7</t>
  </si>
  <si>
    <t>VERAPAMIL SR 240MG P</t>
  </si>
  <si>
    <t>251597-8</t>
  </si>
  <si>
    <t>VERAPAMIL SR 180MG P</t>
  </si>
  <si>
    <t>251596-9</t>
  </si>
  <si>
    <t>VERAPAMIL SR 120MG P</t>
  </si>
  <si>
    <t>251595-0</t>
  </si>
  <si>
    <t>VERAPAMIL PO</t>
  </si>
  <si>
    <t>251594-1</t>
  </si>
  <si>
    <t>VERAPAMIL INJ</t>
  </si>
  <si>
    <t>251593-2</t>
  </si>
  <si>
    <t>VERAPAMIL 80MG PO</t>
  </si>
  <si>
    <t>251592-3</t>
  </si>
  <si>
    <t>VERAPAMIL 120MG PO</t>
  </si>
  <si>
    <t>251591-4</t>
  </si>
  <si>
    <t>VAS INTEN CARE LOTN</t>
  </si>
  <si>
    <t>251590-5</t>
  </si>
  <si>
    <t>VALPROIC ACID PO</t>
  </si>
  <si>
    <t>251589-8</t>
  </si>
  <si>
    <t>VALPROIC ACID 500MG</t>
  </si>
  <si>
    <t>251588-9</t>
  </si>
  <si>
    <t>VALPROIC ACID 250MG</t>
  </si>
  <si>
    <t>251587-0</t>
  </si>
  <si>
    <t>URISED PO</t>
  </si>
  <si>
    <t>251586-1</t>
  </si>
  <si>
    <t>UREA LOTION 10% 240M</t>
  </si>
  <si>
    <t>251585-2</t>
  </si>
  <si>
    <t>UNDECYLENIC ACID POW</t>
  </si>
  <si>
    <t>251584-3</t>
  </si>
  <si>
    <t>UNDECYLENIC ACID OIN</t>
  </si>
  <si>
    <t>251583-4</t>
  </si>
  <si>
    <t>TYROSINE</t>
  </si>
  <si>
    <t>251582-5</t>
  </si>
  <si>
    <t>TUCKS #40</t>
  </si>
  <si>
    <t>251581-6</t>
  </si>
  <si>
    <t>ZOLPIDEM 5MG</t>
  </si>
  <si>
    <t>251580-7</t>
  </si>
  <si>
    <t>TUBERCULIN TINE TEST</t>
  </si>
  <si>
    <t>251579-0</t>
  </si>
  <si>
    <t>TUBERCULIN SKIN TEST</t>
  </si>
  <si>
    <t>251578-1</t>
  </si>
  <si>
    <t>TRIPROL/PSEUDOEPHED</t>
  </si>
  <si>
    <t>251577-2</t>
  </si>
  <si>
    <t>TRIPLE SULFA VAG CR</t>
  </si>
  <si>
    <t>251576-3</t>
  </si>
  <si>
    <t>TRIMIPRAMINE PO</t>
  </si>
  <si>
    <t>251575-4</t>
  </si>
  <si>
    <t>TRIMIPRAMINE 50MG PO</t>
  </si>
  <si>
    <t>251574-5</t>
  </si>
  <si>
    <t>TRIMIPRAMINE 25MG PO</t>
  </si>
  <si>
    <t>251573-6</t>
  </si>
  <si>
    <t>TRIMIPRAMINE 100MG P</t>
  </si>
  <si>
    <t>251572-7</t>
  </si>
  <si>
    <t>TRIMETHOBENZ 250MG P</t>
  </si>
  <si>
    <t>251571-8</t>
  </si>
  <si>
    <t>TRIMETHOBENZ 200MG S</t>
  </si>
  <si>
    <t>251570-9</t>
  </si>
  <si>
    <t>TRIMETHOBENZ 100MG/M</t>
  </si>
  <si>
    <t>251569-2</t>
  </si>
  <si>
    <t>TRIMETHOBENZ 100MG P</t>
  </si>
  <si>
    <t>251568-3</t>
  </si>
  <si>
    <t>TRIMEPRAZINE 2.5MG P</t>
  </si>
  <si>
    <t>251567-4</t>
  </si>
  <si>
    <t>TRIHEXYPHENIDYL 5MG</t>
  </si>
  <si>
    <t>251566-5</t>
  </si>
  <si>
    <t>TRIHEXYPHENIDYL 2MG</t>
  </si>
  <si>
    <t>251565-6</t>
  </si>
  <si>
    <t>GABAPENTIN 600MG</t>
  </si>
  <si>
    <t>251564-7</t>
  </si>
  <si>
    <t>TRIFLUOPERAZINE PO</t>
  </si>
  <si>
    <t>251563-8</t>
  </si>
  <si>
    <t>TRIFLUOPERAZINE INJ</t>
  </si>
  <si>
    <t>251562-9</t>
  </si>
  <si>
    <t>TRIFLUO CONC DOSE</t>
  </si>
  <si>
    <t>251561-0</t>
  </si>
  <si>
    <t>TRIFLUOPERAZINE 5MG</t>
  </si>
  <si>
    <t>251560-1</t>
  </si>
  <si>
    <t>TRIFLUOPERAZINE 2MG</t>
  </si>
  <si>
    <t>251559-4</t>
  </si>
  <si>
    <t>TRIFLUOPERAZINE 20MG</t>
  </si>
  <si>
    <t>251558-5</t>
  </si>
  <si>
    <t>TRIFLUOPERAZINE 1MG</t>
  </si>
  <si>
    <t>251557-6</t>
  </si>
  <si>
    <t>TRIFLUOPERAZINE 10MG</t>
  </si>
  <si>
    <t>251556-7</t>
  </si>
  <si>
    <t>TRIETHYLPER 10MG SUP</t>
  </si>
  <si>
    <t>251555-8</t>
  </si>
  <si>
    <t>TRIETHYLPER 10MG</t>
  </si>
  <si>
    <t>251554-9</t>
  </si>
  <si>
    <t>TRIETHANOLAMINE/POLY</t>
  </si>
  <si>
    <t>251553-0</t>
  </si>
  <si>
    <t>TRIETHANOLAMINE/SAL1</t>
  </si>
  <si>
    <t>251552-1</t>
  </si>
  <si>
    <t>TRIAZOLAM 0.5MG PO</t>
  </si>
  <si>
    <t>251551-2</t>
  </si>
  <si>
    <t>TRIAZOLAM 0.25MG PO</t>
  </si>
  <si>
    <t>251550-3</t>
  </si>
  <si>
    <t>TRIAZOLAM 0.125MG PO</t>
  </si>
  <si>
    <t>251549-7</t>
  </si>
  <si>
    <t>TRIAM/HCTZ PO</t>
  </si>
  <si>
    <t>251548-8</t>
  </si>
  <si>
    <t>TRIAM 75MG/HCTZ 50MG</t>
  </si>
  <si>
    <t>251547-9</t>
  </si>
  <si>
    <t>TRIAM 75MG/HCTZ 25MG</t>
  </si>
  <si>
    <t>251546-0</t>
  </si>
  <si>
    <t>TRIAM 50MG/HCTZ 25MG</t>
  </si>
  <si>
    <t>251545-1</t>
  </si>
  <si>
    <t>TRIETHYLPER 10MG TAB</t>
  </si>
  <si>
    <t>251544-2</t>
  </si>
  <si>
    <t>TRIAMCIN ACET INHAL</t>
  </si>
  <si>
    <t>251543-3</t>
  </si>
  <si>
    <t>TRIAMCIN A OINT 0.1%</t>
  </si>
  <si>
    <t>251542-4</t>
  </si>
  <si>
    <t>TRIAMCIN A CR 0.1%</t>
  </si>
  <si>
    <t>251541-5</t>
  </si>
  <si>
    <t>HYDROCODONE/ACE10/32</t>
  </si>
  <si>
    <t>251540-6</t>
  </si>
  <si>
    <t>TRIAMCIN CR 0.25% 15</t>
  </si>
  <si>
    <t>251539-9</t>
  </si>
  <si>
    <t>TRIAMCIN CR 0.1% 15G</t>
  </si>
  <si>
    <t>251538-0</t>
  </si>
  <si>
    <t>TRIAMCIN IN ORABASE</t>
  </si>
  <si>
    <t>251537-1</t>
  </si>
  <si>
    <t>TRETINON A CR 0.05%</t>
  </si>
  <si>
    <t>251536-2</t>
  </si>
  <si>
    <t>TRETINON A GEL 0.025</t>
  </si>
  <si>
    <t>251535-3</t>
  </si>
  <si>
    <t>TRETINON A CR 0.1%</t>
  </si>
  <si>
    <t>251534-4</t>
  </si>
  <si>
    <t>TRAZODONE PO</t>
  </si>
  <si>
    <t>251533-5</t>
  </si>
  <si>
    <t>TRAZODONE 75MG PO</t>
  </si>
  <si>
    <t>251532-6</t>
  </si>
  <si>
    <t>TRAZODONE 50MG PO</t>
  </si>
  <si>
    <t>251531-7</t>
  </si>
  <si>
    <t>TRAZODONE 450MG</t>
  </si>
  <si>
    <t>251530-8</t>
  </si>
  <si>
    <t>TRAZODONE 350MG PO</t>
  </si>
  <si>
    <t>251529-1</t>
  </si>
  <si>
    <t>TRAZODONE 250MG</t>
  </si>
  <si>
    <t>251528-2</t>
  </si>
  <si>
    <t>TRAZODONE 25MG</t>
  </si>
  <si>
    <t>251527-3</t>
  </si>
  <si>
    <t>TRAZODONE 200MG PO</t>
  </si>
  <si>
    <t>251526-4</t>
  </si>
  <si>
    <t>TRAZODONE 150MG PO</t>
  </si>
  <si>
    <t>251525-5</t>
  </si>
  <si>
    <t>TRAZADONE 125MG</t>
  </si>
  <si>
    <t>251524-6</t>
  </si>
  <si>
    <t>TRAZADONE 100MG PO</t>
  </si>
  <si>
    <t>251523-7</t>
  </si>
  <si>
    <t>TRANYLCYPROM 10MG PO</t>
  </si>
  <si>
    <t>251522-8</t>
  </si>
  <si>
    <t>TOLNAFTATE 1% SPRAY</t>
  </si>
  <si>
    <t>251521-9</t>
  </si>
  <si>
    <t>TOLNAFTATE 1% POWDER</t>
  </si>
  <si>
    <t>251520-0</t>
  </si>
  <si>
    <t>TOLNAFTATE 1% CRM 15</t>
  </si>
  <si>
    <t>251519-3</t>
  </si>
  <si>
    <t>TOLMETIN 600MG PO</t>
  </si>
  <si>
    <t>251518-4</t>
  </si>
  <si>
    <t>TOLMETIN SOD 400MG P</t>
  </si>
  <si>
    <t>251517-5</t>
  </si>
  <si>
    <t>TOLMETIN SOD 200MG P</t>
  </si>
  <si>
    <t>251516-6</t>
  </si>
  <si>
    <t>TOLBUTAMIDE 500MG PO</t>
  </si>
  <si>
    <t>251515-7</t>
  </si>
  <si>
    <t>TOLBUTAMIDE 250MG PO</t>
  </si>
  <si>
    <t>251514-8</t>
  </si>
  <si>
    <t>TOLAZAMIDE PO</t>
  </si>
  <si>
    <t>251513-9</t>
  </si>
  <si>
    <t>TOLAZAMIDE 250MG PO</t>
  </si>
  <si>
    <t>251512-0</t>
  </si>
  <si>
    <t>TRETINON A GEL 0.01%</t>
  </si>
  <si>
    <t>251511-1</t>
  </si>
  <si>
    <t>TOLAZAMIDE 100MG PO</t>
  </si>
  <si>
    <t>251510-2</t>
  </si>
  <si>
    <t>TRETINON A CR 0.025%</t>
  </si>
  <si>
    <t>251509-5</t>
  </si>
  <si>
    <t>TOBRAMYCIN 0.3% SOLN</t>
  </si>
  <si>
    <t>251508-6</t>
  </si>
  <si>
    <t>TOBRAMYCIN 0.3% OINT</t>
  </si>
  <si>
    <t>251507-7</t>
  </si>
  <si>
    <t>TIMOLOL 0.5% OPHTH S</t>
  </si>
  <si>
    <t>251506-8</t>
  </si>
  <si>
    <t>TIMOLOL MAL 5MG PO</t>
  </si>
  <si>
    <t>251505-9</t>
  </si>
  <si>
    <t>TIMOLOL MAL 10MG PO</t>
  </si>
  <si>
    <t>251504-0</t>
  </si>
  <si>
    <t>TIMOLOL 0.25% OPHTH</t>
  </si>
  <si>
    <t>251503-1</t>
  </si>
  <si>
    <t>THYROID PO</t>
  </si>
  <si>
    <t>251502-2</t>
  </si>
  <si>
    <t>THYROID 3 GR PO</t>
  </si>
  <si>
    <t>251501-3</t>
  </si>
  <si>
    <t>THYROID 2 GR PO</t>
  </si>
  <si>
    <t>251500-4</t>
  </si>
  <si>
    <t>THYROID 1GR PO</t>
  </si>
  <si>
    <t>251499-7</t>
  </si>
  <si>
    <t>LEVETIRACETAM 500MG</t>
  </si>
  <si>
    <t>251498-8</t>
  </si>
  <si>
    <t>GEODON 40MG</t>
  </si>
  <si>
    <t>251497-9</t>
  </si>
  <si>
    <t>GLIMEPIRIDE 2MG PO</t>
  </si>
  <si>
    <t>251496-0</t>
  </si>
  <si>
    <t>THIOTHIXENE PO</t>
  </si>
  <si>
    <t>251495-1</t>
  </si>
  <si>
    <t>THIOTHIXENE INJ</t>
  </si>
  <si>
    <t>251494-2</t>
  </si>
  <si>
    <t>THIOTHIXENE CONC 10M</t>
  </si>
  <si>
    <t>251493-3</t>
  </si>
  <si>
    <t>THIOTHIXENE 5MG PO</t>
  </si>
  <si>
    <t>251492-4</t>
  </si>
  <si>
    <t>THIOTHIXENE 2MG PO</t>
  </si>
  <si>
    <t>251491-5</t>
  </si>
  <si>
    <t>THIOTHIXENE 20MG PO</t>
  </si>
  <si>
    <t>251490-6</t>
  </si>
  <si>
    <t>THIOTHIXENE 1MG PO</t>
  </si>
  <si>
    <t>251489-9</t>
  </si>
  <si>
    <t>THIOTHIXENE 10MG PO</t>
  </si>
  <si>
    <t>251488-0</t>
  </si>
  <si>
    <t>THIORIDAZINE 25MG/ML</t>
  </si>
  <si>
    <t>251487-1</t>
  </si>
  <si>
    <t>THIORIDAZINE PO</t>
  </si>
  <si>
    <t>251486-2</t>
  </si>
  <si>
    <t>THIORIDAZINE CONC DO</t>
  </si>
  <si>
    <t>251485-3</t>
  </si>
  <si>
    <t>THIORIDAZINE 50MG PO</t>
  </si>
  <si>
    <t>251484-4</t>
  </si>
  <si>
    <t>THIORIDAZINE 25MG PO</t>
  </si>
  <si>
    <t>251483-5</t>
  </si>
  <si>
    <t>THIORIDAZINE 200MG P</t>
  </si>
  <si>
    <t>251482-6</t>
  </si>
  <si>
    <t>THIORIDAZINE 15MG PO</t>
  </si>
  <si>
    <t>251481-7</t>
  </si>
  <si>
    <t>THIORIDAZINE 10MG PO</t>
  </si>
  <si>
    <t>251480-8</t>
  </si>
  <si>
    <t>THIORIDAZINE 100MG P</t>
  </si>
  <si>
    <t>251479-1</t>
  </si>
  <si>
    <t>THIOPENTAL 250MG INJ</t>
  </si>
  <si>
    <t>251478-2</t>
  </si>
  <si>
    <t>THIAMINE 100MG INJ</t>
  </si>
  <si>
    <t>251477-3</t>
  </si>
  <si>
    <t>THIAMINE 50MG PO</t>
  </si>
  <si>
    <t>251476-4</t>
  </si>
  <si>
    <t>THIAMINE 100MG PO</t>
  </si>
  <si>
    <t>251475-5</t>
  </si>
  <si>
    <t>CLOPIDOGREL 75MG</t>
  </si>
  <si>
    <t>251474-6</t>
  </si>
  <si>
    <t>TIZANIDINE 4MG</t>
  </si>
  <si>
    <t>251473-7</t>
  </si>
  <si>
    <t>THEO SR 50MG CAPS PO</t>
  </si>
  <si>
    <t>251472-8</t>
  </si>
  <si>
    <t>THEO SR 300MG TABS P</t>
  </si>
  <si>
    <t>251471-9</t>
  </si>
  <si>
    <t>THEO SR 250MG TABS P</t>
  </si>
  <si>
    <t>251470-0</t>
  </si>
  <si>
    <t>THEO SR 200MG TABS P</t>
  </si>
  <si>
    <t>251469-3</t>
  </si>
  <si>
    <t>THEO SR 200MG CAPS P</t>
  </si>
  <si>
    <t>251468-4</t>
  </si>
  <si>
    <t>THEO SR 100MG TABS P</t>
  </si>
  <si>
    <t>251467-5</t>
  </si>
  <si>
    <t>THEO SR 100MG CAPS P</t>
  </si>
  <si>
    <t>251466-6</t>
  </si>
  <si>
    <t>THEO SPRINKLES 75MG</t>
  </si>
  <si>
    <t>251465-7</t>
  </si>
  <si>
    <t>THEO SPRINKLES 50MG</t>
  </si>
  <si>
    <t>251464-8</t>
  </si>
  <si>
    <t>THEO SPRINKLES 200MG</t>
  </si>
  <si>
    <t>251463-9</t>
  </si>
  <si>
    <t>THEO SPRINKLES 125MG</t>
  </si>
  <si>
    <t>251462-0</t>
  </si>
  <si>
    <t>TETRAHYDROZOLINE/ZIN</t>
  </si>
  <si>
    <t>251461-1</t>
  </si>
  <si>
    <t>TETRAHYDRALAZINE OPH</t>
  </si>
  <si>
    <t>251460-2</t>
  </si>
  <si>
    <t>TETRACYCLINE 500MG P</t>
  </si>
  <si>
    <t>251459-5</t>
  </si>
  <si>
    <t>TETRACYCLINE 250MG P</t>
  </si>
  <si>
    <t>251458-6</t>
  </si>
  <si>
    <t>TETANUS TOX ADS 0.5M</t>
  </si>
  <si>
    <t>251457-7</t>
  </si>
  <si>
    <t>TESTOSTERONE ENAN IN</t>
  </si>
  <si>
    <t>251456-8</t>
  </si>
  <si>
    <t>TERFENADINE/PSEU PO</t>
  </si>
  <si>
    <t>251455-9</t>
  </si>
  <si>
    <t>TERFENADINE 60MG PO</t>
  </si>
  <si>
    <t>251454-0</t>
  </si>
  <si>
    <t>TERCONAZOLE VAG CR</t>
  </si>
  <si>
    <t>251453-1</t>
  </si>
  <si>
    <t>TERCONAZOLE 3 VAG SU</t>
  </si>
  <si>
    <t>251452-2</t>
  </si>
  <si>
    <t>TERBUTALINE SULF 5MG</t>
  </si>
  <si>
    <t>251451-3</t>
  </si>
  <si>
    <t>TERBUTALINE SULF  2.</t>
  </si>
  <si>
    <t>251450-4</t>
  </si>
  <si>
    <t>TERBUTALINE INHALER</t>
  </si>
  <si>
    <t>251449-8</t>
  </si>
  <si>
    <t>TERAZOSIN PO</t>
  </si>
  <si>
    <t>251448-9</t>
  </si>
  <si>
    <t>TERAZOSIN 5MG PO</t>
  </si>
  <si>
    <t>251447-0</t>
  </si>
  <si>
    <t>TERAZOSIN 2MG PO</t>
  </si>
  <si>
    <t>251446-1</t>
  </si>
  <si>
    <t>TERAZOSIN 1MG PO</t>
  </si>
  <si>
    <t>251445-2</t>
  </si>
  <si>
    <t>TERAZOSIN 10MG PO</t>
  </si>
  <si>
    <t>251444-3</t>
  </si>
  <si>
    <t>TEMAZEPAM 30MG PO</t>
  </si>
  <si>
    <t>251443-4</t>
  </si>
  <si>
    <t>TEMAZEPAM 15MG PO</t>
  </si>
  <si>
    <t>251442-5</t>
  </si>
  <si>
    <t>TEARISOL 15ML</t>
  </si>
  <si>
    <t>251441-6</t>
  </si>
  <si>
    <t>TAMOXIFEN 10MG</t>
  </si>
  <si>
    <t>251440-7</t>
  </si>
  <si>
    <t>SUSTACAL W FIBER</t>
  </si>
  <si>
    <t>251439-0</t>
  </si>
  <si>
    <t>SUSTACAL PUDDING</t>
  </si>
  <si>
    <t>251438-1</t>
  </si>
  <si>
    <t>SUSTACAL LIQUID 8OZ</t>
  </si>
  <si>
    <t>251437-2</t>
  </si>
  <si>
    <t>SUSTACAL HC LIQ</t>
  </si>
  <si>
    <t>251436-3</t>
  </si>
  <si>
    <t>SUN SCREEN 8 OZ</t>
  </si>
  <si>
    <t>251435-4</t>
  </si>
  <si>
    <t>CELECOXIB 100MG</t>
  </si>
  <si>
    <t>251434-5</t>
  </si>
  <si>
    <t>SINGULAIRE 10MG PO</t>
  </si>
  <si>
    <t>251433-6</t>
  </si>
  <si>
    <t>SUMATRIPTAN INJ</t>
  </si>
  <si>
    <t>251432-7</t>
  </si>
  <si>
    <t>SULINDAC 200MG PO</t>
  </si>
  <si>
    <t>251431-8</t>
  </si>
  <si>
    <t>SULINDAC 150MG PO</t>
  </si>
  <si>
    <t>251430-9</t>
  </si>
  <si>
    <t>FLOVENT 220MGC INHAL</t>
  </si>
  <si>
    <t>251429-2</t>
  </si>
  <si>
    <t>SULFIDOXAZOLE 500MG</t>
  </si>
  <si>
    <t>251428-3</t>
  </si>
  <si>
    <t>SULFASALAZINE 500MG</t>
  </si>
  <si>
    <t>251427-4</t>
  </si>
  <si>
    <t>SULFANILAMIDE VAG CR</t>
  </si>
  <si>
    <t>251426-5</t>
  </si>
  <si>
    <t>SULF/TRIMETHOPRIM PO</t>
  </si>
  <si>
    <t>251425-6</t>
  </si>
  <si>
    <t>SULFAMETHOXAZOLE/TRI</t>
  </si>
  <si>
    <t>251424-7</t>
  </si>
  <si>
    <t>SULF/PRED OPH SUSP 5</t>
  </si>
  <si>
    <t>251423-8</t>
  </si>
  <si>
    <t>SULF/PRED OPH OT 3.5</t>
  </si>
  <si>
    <t>251422-9</t>
  </si>
  <si>
    <t>SULF 10% OPH SOL 15M</t>
  </si>
  <si>
    <t>251421-0</t>
  </si>
  <si>
    <t>SUCRALFATE 1GM</t>
  </si>
  <si>
    <t>251420-1</t>
  </si>
  <si>
    <t>SUCCINYLCHOL INJ</t>
  </si>
  <si>
    <t>251419-4</t>
  </si>
  <si>
    <t>STRIDEX PADS (JAR)</t>
  </si>
  <si>
    <t>251418-5</t>
  </si>
  <si>
    <t>LAMICTAL 200MG</t>
  </si>
  <si>
    <t>251417-6</t>
  </si>
  <si>
    <t>CEPACOL LOZENGES</t>
  </si>
  <si>
    <t>251416-7</t>
  </si>
  <si>
    <t>SPIRONOLACTONE/HCTZ2</t>
  </si>
  <si>
    <t>251415-8</t>
  </si>
  <si>
    <t>SPIRONOLACTONE PO</t>
  </si>
  <si>
    <t>251414-9</t>
  </si>
  <si>
    <t>SPIRONOLACTONE 25MG</t>
  </si>
  <si>
    <t>251413-0</t>
  </si>
  <si>
    <t>SENOKOT-S PO</t>
  </si>
  <si>
    <t>251412-1</t>
  </si>
  <si>
    <t>SOD CHLOR 0.9% 1000M</t>
  </si>
  <si>
    <t>251411-2</t>
  </si>
  <si>
    <t>SOD CHLOR NASAL MIST</t>
  </si>
  <si>
    <t>251410-3</t>
  </si>
  <si>
    <t>SOD CHLOR 0.9% 250ML</t>
  </si>
  <si>
    <t>251409-6</t>
  </si>
  <si>
    <t>SILVADINE CREAM</t>
  </si>
  <si>
    <t>251408-7</t>
  </si>
  <si>
    <t>SOD CHLOR 0.9% 10ML</t>
  </si>
  <si>
    <t>251407-8</t>
  </si>
  <si>
    <t>SOD CHLOR 0.9% 500ML</t>
  </si>
  <si>
    <t>251406-9</t>
  </si>
  <si>
    <t>ACTOS 45MG PO</t>
  </si>
  <si>
    <t>251405-0</t>
  </si>
  <si>
    <t>ABACAVIR 300MG</t>
  </si>
  <si>
    <t>251404-1</t>
  </si>
  <si>
    <t>COZAAR 25MG</t>
  </si>
  <si>
    <t>251403-2</t>
  </si>
  <si>
    <t>SOD BIC 8.4% 50M INJ</t>
  </si>
  <si>
    <t>251402-3</t>
  </si>
  <si>
    <t>SIMVASTATIN 5MG PO</t>
  </si>
  <si>
    <t>251401-4</t>
  </si>
  <si>
    <t>SIMVASTATIN 20MG PO</t>
  </si>
  <si>
    <t>251400-5</t>
  </si>
  <si>
    <t>SIMVASTATIN 10MG PO</t>
  </si>
  <si>
    <t>251399-8</t>
  </si>
  <si>
    <t>SIMETHICONE 95MG PO</t>
  </si>
  <si>
    <t>251398-9</t>
  </si>
  <si>
    <t>SIMETHICONE 80MG PO</t>
  </si>
  <si>
    <t>251397-0</t>
  </si>
  <si>
    <t>SIMETHICONE 40MG PO</t>
  </si>
  <si>
    <t>251396-1</t>
  </si>
  <si>
    <t>SIMETHICONE 125MG PO</t>
  </si>
  <si>
    <t>251395-2</t>
  </si>
  <si>
    <t>SILVER SULF CREAM 50</t>
  </si>
  <si>
    <t>251394-3</t>
  </si>
  <si>
    <t>OCUFLOX 0.03% OPHTH</t>
  </si>
  <si>
    <t>251393-4</t>
  </si>
  <si>
    <t>SERTRALINE PO</t>
  </si>
  <si>
    <t>251392-5</t>
  </si>
  <si>
    <t>SERTRALINE 75MG PO</t>
  </si>
  <si>
    <t>251391-6</t>
  </si>
  <si>
    <t>SERTRALINE 50MG PO</t>
  </si>
  <si>
    <t>251390-7</t>
  </si>
  <si>
    <t>SERTRALINE 25MG PO</t>
  </si>
  <si>
    <t>251389-0</t>
  </si>
  <si>
    <t>SERTRALINE 200MG PO</t>
  </si>
  <si>
    <t>251388-1</t>
  </si>
  <si>
    <t>SERTRALINE 175MG PO</t>
  </si>
  <si>
    <t>251387-2</t>
  </si>
  <si>
    <t>SERTRALINE 150MG PO</t>
  </si>
  <si>
    <t>251386-3</t>
  </si>
  <si>
    <t>SERTALINE 125MG PO</t>
  </si>
  <si>
    <t>251385-4</t>
  </si>
  <si>
    <t>SERTRALINE 100MG PO</t>
  </si>
  <si>
    <t>251384-5</t>
  </si>
  <si>
    <t>SENNA/DOCUSATE PO</t>
  </si>
  <si>
    <t>251383-6</t>
  </si>
  <si>
    <t>SERAZONE 100MG TABL</t>
  </si>
  <si>
    <t>251382-7</t>
  </si>
  <si>
    <t>SENNA 187MG PO</t>
  </si>
  <si>
    <t>251381-8</t>
  </si>
  <si>
    <t>SELEN SULF 2.5% LOT</t>
  </si>
  <si>
    <t>251380-9</t>
  </si>
  <si>
    <t>SELEN SULF 1% BLUE S</t>
  </si>
  <si>
    <t>251379-2</t>
  </si>
  <si>
    <t>SELEGILINE 5MG PO</t>
  </si>
  <si>
    <t>251378-3</t>
  </si>
  <si>
    <t>SERAZONE 150MG PO TA</t>
  </si>
  <si>
    <t>251377-4</t>
  </si>
  <si>
    <t>DOCUSATE SODIUM 250M</t>
  </si>
  <si>
    <t>251376-5</t>
  </si>
  <si>
    <t>LEVOXYL 0.112 MG</t>
  </si>
  <si>
    <t>251375-6</t>
  </si>
  <si>
    <t>SEABREEZE 4 OZ</t>
  </si>
  <si>
    <t>251374-7</t>
  </si>
  <si>
    <t>SALSALATE PO</t>
  </si>
  <si>
    <t>251373-8</t>
  </si>
  <si>
    <t>SALSALATE 750MG PO</t>
  </si>
  <si>
    <t>251372-9</t>
  </si>
  <si>
    <t>SALSALATE 500MG PO</t>
  </si>
  <si>
    <t>251371-0</t>
  </si>
  <si>
    <t>SALINE STER LENS SOL</t>
  </si>
  <si>
    <t>251370-1</t>
  </si>
  <si>
    <t>ZOVIA ORAL BIRTH CON</t>
  </si>
  <si>
    <t>251369-4</t>
  </si>
  <si>
    <t>SAL ACID/LAC ACID 15</t>
  </si>
  <si>
    <t>251368-5</t>
  </si>
  <si>
    <t>SAL ACID COLLOD 9ML</t>
  </si>
  <si>
    <t>251367-6</t>
  </si>
  <si>
    <t>RISPERDAL 1MG/ML OR</t>
  </si>
  <si>
    <t>251366-7</t>
  </si>
  <si>
    <t>CIBDERTA 18MG</t>
  </si>
  <si>
    <t>251365-8</t>
  </si>
  <si>
    <t>CONCERTA 54 MG</t>
  </si>
  <si>
    <t>251364-9</t>
  </si>
  <si>
    <t>TRILEPTAL 300MG</t>
  </si>
  <si>
    <t>251363-0</t>
  </si>
  <si>
    <t>PREMPRO 0.625/2.5MG</t>
  </si>
  <si>
    <t>251362-1</t>
  </si>
  <si>
    <t>LEVAQUIN 500MG</t>
  </si>
  <si>
    <t>251361-2</t>
  </si>
  <si>
    <t>RESERPINE 0.25MG PO</t>
  </si>
  <si>
    <t>251360-3</t>
  </si>
  <si>
    <t>RESERPINE 0.1MG PO</t>
  </si>
  <si>
    <t>251359-6</t>
  </si>
  <si>
    <t>RESER/HYDRA/HCTZ PO</t>
  </si>
  <si>
    <t>251358-7</t>
  </si>
  <si>
    <t>RECOMBIVAX INJ</t>
  </si>
  <si>
    <t>251357-8</t>
  </si>
  <si>
    <t>RANITIDINE PO</t>
  </si>
  <si>
    <t>251356-9</t>
  </si>
  <si>
    <t>RANITIDINE 300MG PO</t>
  </si>
  <si>
    <t>251355-0</t>
  </si>
  <si>
    <t>RANITIDINE 150MG PO</t>
  </si>
  <si>
    <t>251354-1</t>
  </si>
  <si>
    <t>QUININE SULFATE 260M</t>
  </si>
  <si>
    <t>251353-2</t>
  </si>
  <si>
    <t>QUININE 325MG PO</t>
  </si>
  <si>
    <t>251352-3</t>
  </si>
  <si>
    <t>QUINIDINE SULF 200MG</t>
  </si>
  <si>
    <t>251351-4</t>
  </si>
  <si>
    <t>QUINIDINE GLU SR 324</t>
  </si>
  <si>
    <t>251350-5</t>
  </si>
  <si>
    <t>QUINAPRIL 5MG PO</t>
  </si>
  <si>
    <t>251349-9</t>
  </si>
  <si>
    <t>AMIODARONE 200MG</t>
  </si>
  <si>
    <t>251348-0</t>
  </si>
  <si>
    <t>QUINAPRIL 20MG PO</t>
  </si>
  <si>
    <t>251347-1</t>
  </si>
  <si>
    <t>QUINAPRIL 10MG PO</t>
  </si>
  <si>
    <t>251346-2</t>
  </si>
  <si>
    <t>QUAZEPAM 7.5MG PO</t>
  </si>
  <si>
    <t>251345-3</t>
  </si>
  <si>
    <t>QUAZEPAM 15MG PO</t>
  </si>
  <si>
    <t>251344-4</t>
  </si>
  <si>
    <t>PYRITHIONE ZINC 1% S</t>
  </si>
  <si>
    <t>251343-5</t>
  </si>
  <si>
    <t>PYRIDOXINE 50MG PO</t>
  </si>
  <si>
    <t>251342-6</t>
  </si>
  <si>
    <t>PYRIDOXINE 25MG PO</t>
  </si>
  <si>
    <t>251341-7</t>
  </si>
  <si>
    <t>PYRIDOXINE 200MG</t>
  </si>
  <si>
    <t>251340-8</t>
  </si>
  <si>
    <t>PYRIDOXINE 100MG/ML</t>
  </si>
  <si>
    <t>251339-1</t>
  </si>
  <si>
    <t>PYRIDOXINE 100MG PO</t>
  </si>
  <si>
    <t>251338-2</t>
  </si>
  <si>
    <t>PYRIDOSTIGMINE 60MG</t>
  </si>
  <si>
    <t>251337-3</t>
  </si>
  <si>
    <t>PYRIDOSTIGMINE 180MG</t>
  </si>
  <si>
    <t>251336-4</t>
  </si>
  <si>
    <t>PSYLLIUM PW SUGAR FR</t>
  </si>
  <si>
    <t>251335-5</t>
  </si>
  <si>
    <t>PSYLLIUM PW EFF PACK</t>
  </si>
  <si>
    <t>251334-6</t>
  </si>
  <si>
    <t>PSYLLIUM CHEW PI 3.4</t>
  </si>
  <si>
    <t>251333-7</t>
  </si>
  <si>
    <t>ZOCOR 40MG</t>
  </si>
  <si>
    <t>251332-8</t>
  </si>
  <si>
    <t>PSY/SENNA 100GM CAN</t>
  </si>
  <si>
    <t>251331-9</t>
  </si>
  <si>
    <t>PSEUDOEPHEDRINE 30MG</t>
  </si>
  <si>
    <t>251330-0</t>
  </si>
  <si>
    <t>PSEU/CHLOR MAL SR PO</t>
  </si>
  <si>
    <t>251329-3</t>
  </si>
  <si>
    <t>OXYCONTIN 20MG PO</t>
  </si>
  <si>
    <t>251328-4</t>
  </si>
  <si>
    <t>PSEU/CARB LIQUID 10M</t>
  </si>
  <si>
    <t>251327-5</t>
  </si>
  <si>
    <t>CONCERTA 18MG</t>
  </si>
  <si>
    <t>251326-6</t>
  </si>
  <si>
    <t>PSEUDOEPHED 60MG</t>
  </si>
  <si>
    <t>251325-7</t>
  </si>
  <si>
    <t>PSEUDOEPHED 30MG PO</t>
  </si>
  <si>
    <t>251324-8</t>
  </si>
  <si>
    <t>PSEUDOEPHED 120MG</t>
  </si>
  <si>
    <t>251323-9</t>
  </si>
  <si>
    <t>PROTRIPTYLINE 5MG PO</t>
  </si>
  <si>
    <t>251322-0</t>
  </si>
  <si>
    <t>PROTRIPTYLINE 10MG P</t>
  </si>
  <si>
    <t>251321-1</t>
  </si>
  <si>
    <t>PROPRANOLOL PO</t>
  </si>
  <si>
    <t>251320-2</t>
  </si>
  <si>
    <t>PROPRANOLOL LA 80MG</t>
  </si>
  <si>
    <t>251319-5</t>
  </si>
  <si>
    <t>PROPRANOLOL LA 60MG</t>
  </si>
  <si>
    <t>251318-6</t>
  </si>
  <si>
    <t>PROPRANOLOL LA 160MG</t>
  </si>
  <si>
    <t>251317-7</t>
  </si>
  <si>
    <t>PROPRANOLOL LA 120MG</t>
  </si>
  <si>
    <t>251316-8</t>
  </si>
  <si>
    <t>PROPRA 80MG/HCTZ 25M</t>
  </si>
  <si>
    <t>251315-9</t>
  </si>
  <si>
    <t>PROPRA 40MG/HCTZ 25M</t>
  </si>
  <si>
    <t>251314-0</t>
  </si>
  <si>
    <t>PROPRANOLOL 40MG PO</t>
  </si>
  <si>
    <t>251313-1</t>
  </si>
  <si>
    <t>PROPRANOLOL 20MG PO</t>
  </si>
  <si>
    <t>251312-2</t>
  </si>
  <si>
    <t>PROPRANOLOL 1MG/ML A</t>
  </si>
  <si>
    <t>251311-3</t>
  </si>
  <si>
    <t>PROPRANOLOL 10MG PO</t>
  </si>
  <si>
    <t>251310-4</t>
  </si>
  <si>
    <t>PROPOXYPHENE N 100MG</t>
  </si>
  <si>
    <t>251309-7</t>
  </si>
  <si>
    <t>PROPOXYPHENE 65MG/AP</t>
  </si>
  <si>
    <t>251308-8</t>
  </si>
  <si>
    <t>PROPOXYPHENE 65MG PO</t>
  </si>
  <si>
    <t>251307-9</t>
  </si>
  <si>
    <t>PROPOXYPHENE 65MG CO</t>
  </si>
  <si>
    <t>251306-0</t>
  </si>
  <si>
    <t>PROMETHAZINE W/CODEI</t>
  </si>
  <si>
    <t>251305-1</t>
  </si>
  <si>
    <t>PROMETHAZINE INJ</t>
  </si>
  <si>
    <t>251304-2</t>
  </si>
  <si>
    <t>ESTRO STEP/ORAL B C</t>
  </si>
  <si>
    <t>251303-3</t>
  </si>
  <si>
    <t>PROMETHAZINE 50MG SU</t>
  </si>
  <si>
    <t>251302-4</t>
  </si>
  <si>
    <t>PROMETHAZINE 50MG PO</t>
  </si>
  <si>
    <t>251301-5</t>
  </si>
  <si>
    <t>PROMETHAZINE 25MG SU</t>
  </si>
  <si>
    <t>251300-6</t>
  </si>
  <si>
    <t>PROMETHAZINE 25MG PO</t>
  </si>
  <si>
    <t>251299-9</t>
  </si>
  <si>
    <t>PROMETHAZINE 12.5MG</t>
  </si>
  <si>
    <t>251298-0</t>
  </si>
  <si>
    <t>PROMAZINE 50MG/ML IN</t>
  </si>
  <si>
    <t>251297-1</t>
  </si>
  <si>
    <t>PROMAZINE 50MG PO</t>
  </si>
  <si>
    <t>251296-2</t>
  </si>
  <si>
    <t>PROMAZINE 25MG PO</t>
  </si>
  <si>
    <t>251295-3</t>
  </si>
  <si>
    <t>PROMAZINE 10MG PO</t>
  </si>
  <si>
    <t>251294-4</t>
  </si>
  <si>
    <t>PROFILE DAILY FEE</t>
  </si>
  <si>
    <t>251293-5</t>
  </si>
  <si>
    <t>PROCYCLIDINE 5MG PO</t>
  </si>
  <si>
    <t>251292-6</t>
  </si>
  <si>
    <t>PROCHLORPERAZINE SUP</t>
  </si>
  <si>
    <t>251291-7</t>
  </si>
  <si>
    <t>PROCHLORPERAZINE INJ</t>
  </si>
  <si>
    <t>251290-8</t>
  </si>
  <si>
    <t>PROCHLORPERAZINE 5MG</t>
  </si>
  <si>
    <t>251289-1</t>
  </si>
  <si>
    <t>PROCHLORPER 15M SPAN</t>
  </si>
  <si>
    <t>251288-2</t>
  </si>
  <si>
    <t>PROCHLORPERAZINE 10M</t>
  </si>
  <si>
    <t>251287-3</t>
  </si>
  <si>
    <t>251286-4</t>
  </si>
  <si>
    <t>PROCAINAMIDE SR 750M</t>
  </si>
  <si>
    <t>251285-5</t>
  </si>
  <si>
    <t>PROCAINAMIDE SR 500M</t>
  </si>
  <si>
    <t>251284-6</t>
  </si>
  <si>
    <t>PROCAINAMIDE SR 250M</t>
  </si>
  <si>
    <t>251283-7</t>
  </si>
  <si>
    <t>PROCAINAMIDE PO</t>
  </si>
  <si>
    <t>251282-8</t>
  </si>
  <si>
    <t>OSCAL 500MG</t>
  </si>
  <si>
    <t>251281-9</t>
  </si>
  <si>
    <t>PROBUCOL 250MG PO</t>
  </si>
  <si>
    <t>251280-0</t>
  </si>
  <si>
    <t>PROTONIX 40MG</t>
  </si>
  <si>
    <t>251279-3</t>
  </si>
  <si>
    <t>PROBENECID 500MG PO</t>
  </si>
  <si>
    <t>251278-4</t>
  </si>
  <si>
    <t>PRIMIDONE 250MG PO</t>
  </si>
  <si>
    <t>251277-5</t>
  </si>
  <si>
    <t>PRIMADONE PO</t>
  </si>
  <si>
    <t>251276-6</t>
  </si>
  <si>
    <t>PRIMADONE 50MG PO</t>
  </si>
  <si>
    <t>251275-7</t>
  </si>
  <si>
    <t>PRENATAL VIATMINS PO</t>
  </si>
  <si>
    <t>251274-8</t>
  </si>
  <si>
    <t>PREDNISONE PO</t>
  </si>
  <si>
    <t>251273-9</t>
  </si>
  <si>
    <t>PREDNISONE 5MG PO</t>
  </si>
  <si>
    <t>251272-0</t>
  </si>
  <si>
    <t>PREDNISONE 1MG PO</t>
  </si>
  <si>
    <t>251271-1</t>
  </si>
  <si>
    <t>PREDNISONE 10MG PO</t>
  </si>
  <si>
    <t>251270-2</t>
  </si>
  <si>
    <t>PREDNISOLONE ACE 1%</t>
  </si>
  <si>
    <t>251269-5</t>
  </si>
  <si>
    <t>PRAZOSIN 5MG PO</t>
  </si>
  <si>
    <t>251268-6</t>
  </si>
  <si>
    <t>PRAZOSIN 2MG PO</t>
  </si>
  <si>
    <t>251267-7</t>
  </si>
  <si>
    <t>PRAZOSIN 1MG PO</t>
  </si>
  <si>
    <t>251266-8</t>
  </si>
  <si>
    <t>PRAZEPAM 5MG PO</t>
  </si>
  <si>
    <t>251265-9</t>
  </si>
  <si>
    <t>PRAZEPAM 10MG PO</t>
  </si>
  <si>
    <t>251264-0</t>
  </si>
  <si>
    <t>PRAVASTATIN 20MG PO</t>
  </si>
  <si>
    <t>251263-1</t>
  </si>
  <si>
    <t>PRAVASTATIN 10MG PO</t>
  </si>
  <si>
    <t>251262-2</t>
  </si>
  <si>
    <t>LOPID 600 MG</t>
  </si>
  <si>
    <t>251261-3</t>
  </si>
  <si>
    <t>POVIDONE IODINE SOLU</t>
  </si>
  <si>
    <t>251260-4</t>
  </si>
  <si>
    <t>PRAMOXINE 1%/HC REC</t>
  </si>
  <si>
    <t>251259-7</t>
  </si>
  <si>
    <t>POVIDONE IOD OINT 30</t>
  </si>
  <si>
    <t>251258-8</t>
  </si>
  <si>
    <t>POVIDONE IOD DOUCHE</t>
  </si>
  <si>
    <t>251257-9</t>
  </si>
  <si>
    <t>POTASSIUM CHLORIDE P</t>
  </si>
  <si>
    <t>251256-0</t>
  </si>
  <si>
    <t>DILANTIN 100MG</t>
  </si>
  <si>
    <t>251255-1</t>
  </si>
  <si>
    <t>POTASSIUM CL 8MEQ PO</t>
  </si>
  <si>
    <t>251254-2</t>
  </si>
  <si>
    <t>POT CL 40MEQ/15ML</t>
  </si>
  <si>
    <t>251253-3</t>
  </si>
  <si>
    <t>CELEXA 40MG</t>
  </si>
  <si>
    <t>251252-4</t>
  </si>
  <si>
    <t>POT CL 20MEQ INJ</t>
  </si>
  <si>
    <t>251251-5</t>
  </si>
  <si>
    <t>POT CL 20MEQ PO</t>
  </si>
  <si>
    <t>251250-6</t>
  </si>
  <si>
    <t>DIOVAN 80MG PO</t>
  </si>
  <si>
    <t>251249-0</t>
  </si>
  <si>
    <t>POT CL 20MEQ EFF TB</t>
  </si>
  <si>
    <t>251248-1</t>
  </si>
  <si>
    <t>POTASSIUM CL 10MEQ</t>
  </si>
  <si>
    <t>251247-2</t>
  </si>
  <si>
    <t>POT BICA/CIT 25MEQ E</t>
  </si>
  <si>
    <t>251246-3</t>
  </si>
  <si>
    <t>POLYMYXIN/BAC OINT P</t>
  </si>
  <si>
    <t>251245-4</t>
  </si>
  <si>
    <t>POLYMYXIN/BAC OINT 3</t>
  </si>
  <si>
    <t>251244-5</t>
  </si>
  <si>
    <t>MIRAPEX 0.25 MG</t>
  </si>
  <si>
    <t>251243-6</t>
  </si>
  <si>
    <t>POLYCARBOPHILCAL 500</t>
  </si>
  <si>
    <t>251242-7</t>
  </si>
  <si>
    <t>POLIO (OVAL)</t>
  </si>
  <si>
    <t>251241-8</t>
  </si>
  <si>
    <t>PLACEBO PO</t>
  </si>
  <si>
    <t>251240-9</t>
  </si>
  <si>
    <t>PLACEBO INJECTION</t>
  </si>
  <si>
    <t>251239-2</t>
  </si>
  <si>
    <t>PIROXICAM 20MG PO</t>
  </si>
  <si>
    <t>251238-3</t>
  </si>
  <si>
    <t>PIROXICAM 10MG PO</t>
  </si>
  <si>
    <t>251237-4</t>
  </si>
  <si>
    <t>PINDOLOL 5MG</t>
  </si>
  <si>
    <t>251236-5</t>
  </si>
  <si>
    <t>PINDOLOL 10MG</t>
  </si>
  <si>
    <t>251235-6</t>
  </si>
  <si>
    <t>PIMOZIDE PO</t>
  </si>
  <si>
    <t>251234-7</t>
  </si>
  <si>
    <t>PIMOZIDE 4MG</t>
  </si>
  <si>
    <t>251233-8</t>
  </si>
  <si>
    <t>PIMOZIDE 2MG</t>
  </si>
  <si>
    <t>251232-9</t>
  </si>
  <si>
    <t>PHYTONADIONE 5MG</t>
  </si>
  <si>
    <t>251231-0</t>
  </si>
  <si>
    <t>PHYTONADIONE 1MG PO</t>
  </si>
  <si>
    <t>251230-1</t>
  </si>
  <si>
    <t>PHYSOSTIGMINE 1MG IN</t>
  </si>
  <si>
    <t>251229-4</t>
  </si>
  <si>
    <t>PHOS CARBOHY SOL 15M</t>
  </si>
  <si>
    <t>251228-5</t>
  </si>
  <si>
    <t>LIPITOR 20 MG</t>
  </si>
  <si>
    <t>251227-6</t>
  </si>
  <si>
    <t>PHENYTOIN SUSP DOSE</t>
  </si>
  <si>
    <t>251226-7</t>
  </si>
  <si>
    <t>PHENYTOIN PO</t>
  </si>
  <si>
    <t>251225-8</t>
  </si>
  <si>
    <t>PHENYTOIN 50MG PO</t>
  </si>
  <si>
    <t>251224-9</t>
  </si>
  <si>
    <t>PHENYTOIN 250MG INJ</t>
  </si>
  <si>
    <t>251223-0</t>
  </si>
  <si>
    <t>PHENYTOIN 200MG PO</t>
  </si>
  <si>
    <t>251222-1</t>
  </si>
  <si>
    <t>PHENYTOIN 100MG PO</t>
  </si>
  <si>
    <t>251221-2</t>
  </si>
  <si>
    <t>PHENYTOIN 100MG INJ</t>
  </si>
  <si>
    <t>251220-3</t>
  </si>
  <si>
    <t>PHENYLPROP/GUAIF LA</t>
  </si>
  <si>
    <t>251219-6</t>
  </si>
  <si>
    <t>GEODON 80 MG</t>
  </si>
  <si>
    <t>251218-7</t>
  </si>
  <si>
    <t>GEODON 60 MG</t>
  </si>
  <si>
    <t>251217-8</t>
  </si>
  <si>
    <t>PHENYLEPHRINE 10MG/M</t>
  </si>
  <si>
    <t>251216-9</t>
  </si>
  <si>
    <t>PHENYLBUTAZ 100MG PO</t>
  </si>
  <si>
    <t>251215-0</t>
  </si>
  <si>
    <t>TRIAM ACETONIDE NASL</t>
  </si>
  <si>
    <t>251214-1</t>
  </si>
  <si>
    <t>PHENY/PYRI/CH/DM SYR</t>
  </si>
  <si>
    <t>251213-2</t>
  </si>
  <si>
    <t>PHENY/PHEN/CHL/ATR S</t>
  </si>
  <si>
    <t>251212-3</t>
  </si>
  <si>
    <t>PHENY/PHEN/CHL PO</t>
  </si>
  <si>
    <t>251211-4</t>
  </si>
  <si>
    <t>PHENY/DEXTRO SYR DOS</t>
  </si>
  <si>
    <t>251210-5</t>
  </si>
  <si>
    <t>PHENY/CHLORPHEN SR P</t>
  </si>
  <si>
    <t>251209-8</t>
  </si>
  <si>
    <t>PHENTOLAMINE 5MG INJ</t>
  </si>
  <si>
    <t>251208-9</t>
  </si>
  <si>
    <t>PHENOLPHTHALEIN 90MG</t>
  </si>
  <si>
    <t>251207-0</t>
  </si>
  <si>
    <t>GEODON 20MG</t>
  </si>
  <si>
    <t>251206-1</t>
  </si>
  <si>
    <t>PHENOBARBITAL PO LIQ</t>
  </si>
  <si>
    <t>251205-2</t>
  </si>
  <si>
    <t>PHENOBARBITAL 60MG P</t>
  </si>
  <si>
    <t>251204-3</t>
  </si>
  <si>
    <t>PHENOBARBITAL 65MG I</t>
  </si>
  <si>
    <t>251203-4</t>
  </si>
  <si>
    <t>PHENOBARBITAL 30MG P</t>
  </si>
  <si>
    <t>251202-5</t>
  </si>
  <si>
    <t>PHENOBARBITAL 130M I</t>
  </si>
  <si>
    <t>251201-6</t>
  </si>
  <si>
    <t>PHENOBARBITAL 15MG P</t>
  </si>
  <si>
    <t>251200-7</t>
  </si>
  <si>
    <t>PHENOBARBITAL 130MG</t>
  </si>
  <si>
    <t>251199-0</t>
  </si>
  <si>
    <t>PHENOBARBITAL 120MG</t>
  </si>
  <si>
    <t>251198-1</t>
  </si>
  <si>
    <t>ALDRONATE 10MG</t>
  </si>
  <si>
    <t>251197-2</t>
  </si>
  <si>
    <t>PHENOBARBITAL 100MG</t>
  </si>
  <si>
    <t>251196-3</t>
  </si>
  <si>
    <t>PHENELZINE 45MG PO</t>
  </si>
  <si>
    <t>251195-4</t>
  </si>
  <si>
    <t>PHENELZINE 30MG PO</t>
  </si>
  <si>
    <t>251194-5</t>
  </si>
  <si>
    <t>PHENELZINE 15MG PO</t>
  </si>
  <si>
    <t>251193-6</t>
  </si>
  <si>
    <t>PHENAZOPYRIDINE 200M</t>
  </si>
  <si>
    <t>251192-7</t>
  </si>
  <si>
    <t>PHENAZOPYRIDINE 100M</t>
  </si>
  <si>
    <t>251191-8</t>
  </si>
  <si>
    <t>OLANZAPINE OD 5MG PO</t>
  </si>
  <si>
    <t>251190-9</t>
  </si>
  <si>
    <t>PHEN/PHENY/GUAIFENES</t>
  </si>
  <si>
    <t>251189-2</t>
  </si>
  <si>
    <t>PHEN/PHENY/GUA ELIX</t>
  </si>
  <si>
    <t>251188-3</t>
  </si>
  <si>
    <t>CETIRIZINE 10MG</t>
  </si>
  <si>
    <t>251187-4</t>
  </si>
  <si>
    <t>PHEN/GUAIFENESIN LA</t>
  </si>
  <si>
    <t>251186-5</t>
  </si>
  <si>
    <t>PHEN/ANT/BENZ OTIC S</t>
  </si>
  <si>
    <t>251185-6</t>
  </si>
  <si>
    <t>PHARMACOLOGY DTEC</t>
  </si>
  <si>
    <t>251184-7</t>
  </si>
  <si>
    <t>PETROLATUM, WHITE PK</t>
  </si>
  <si>
    <t>251183-8</t>
  </si>
  <si>
    <t>PETRO/MIN OIL/WAX 4O</t>
  </si>
  <si>
    <t>251182-9</t>
  </si>
  <si>
    <t>PERPHENAZINE PO</t>
  </si>
  <si>
    <t>251181-0</t>
  </si>
  <si>
    <t>PERPHENAZINE INJ 5MG</t>
  </si>
  <si>
    <t>251180-1</t>
  </si>
  <si>
    <t>PERPHENAZINE ORAL CO</t>
  </si>
  <si>
    <t>251179-4</t>
  </si>
  <si>
    <t>PERPHENAZINE 8MG PO</t>
  </si>
  <si>
    <t>251178-5</t>
  </si>
  <si>
    <t>PERPHENAZINE 6MG PO</t>
  </si>
  <si>
    <t>251177-6</t>
  </si>
  <si>
    <t>PERPHENAZINE 4MG/AM2</t>
  </si>
  <si>
    <t>251176-7</t>
  </si>
  <si>
    <t>PERPHENAZINE 4MG/AM5</t>
  </si>
  <si>
    <t>251175-8</t>
  </si>
  <si>
    <t>PERPHENAZINE 4MG/AM1</t>
  </si>
  <si>
    <t>251174-9</t>
  </si>
  <si>
    <t>PERPHENAZINE 4MG PO</t>
  </si>
  <si>
    <t>251173-0</t>
  </si>
  <si>
    <t>PERPHENAZINE 2MG/AM2</t>
  </si>
  <si>
    <t>251172-1</t>
  </si>
  <si>
    <t>PERPHENAZINE 2MG/AM1</t>
  </si>
  <si>
    <t>251171-2</t>
  </si>
  <si>
    <t>PERPHENAZINE 2MG PO</t>
  </si>
  <si>
    <t>251170-3</t>
  </si>
  <si>
    <t>PERPHENAZINE 16MG PO</t>
  </si>
  <si>
    <t>251169-6</t>
  </si>
  <si>
    <t>PERPHENAZINE 12MG PO</t>
  </si>
  <si>
    <t>251168-7</t>
  </si>
  <si>
    <t>PERMETHRIN 1% 2OZ</t>
  </si>
  <si>
    <t>251167-8</t>
  </si>
  <si>
    <t>PENTOXIFYLLME 400MG</t>
  </si>
  <si>
    <t>251166-9</t>
  </si>
  <si>
    <t>PENTOBARBITAL 50MG P</t>
  </si>
  <si>
    <t>251165-0</t>
  </si>
  <si>
    <t>PENTOBARBITAL 100MG</t>
  </si>
  <si>
    <t>251164-1</t>
  </si>
  <si>
    <t>PENTAZOCINE/ACETAM P</t>
  </si>
  <si>
    <t>251163-2</t>
  </si>
  <si>
    <t>PENTAZOCINE NX PO</t>
  </si>
  <si>
    <t>251162-3</t>
  </si>
  <si>
    <t>PENTAZOCINE INJ</t>
  </si>
  <si>
    <t>251161-4</t>
  </si>
  <si>
    <t>PENICILL VK 500MG PO</t>
  </si>
  <si>
    <t>251160-5</t>
  </si>
  <si>
    <t>PENICILL VK 250MG/5M</t>
  </si>
  <si>
    <t>251159-8</t>
  </si>
  <si>
    <t>PENICILL VK 250MG PO</t>
  </si>
  <si>
    <t>251158-9</t>
  </si>
  <si>
    <t>PENICILL G PROC 1.2M</t>
  </si>
  <si>
    <t>251157-0</t>
  </si>
  <si>
    <t>PENICILL G INJ 600,0</t>
  </si>
  <si>
    <t>251156-1</t>
  </si>
  <si>
    <t>PENICILL G BENZ 2.4M</t>
  </si>
  <si>
    <t>251155-2</t>
  </si>
  <si>
    <t>PEMOLINE 75MG PO</t>
  </si>
  <si>
    <t>251154-3</t>
  </si>
  <si>
    <t>PEMOLINE 37.5MG PO</t>
  </si>
  <si>
    <t>251153-4</t>
  </si>
  <si>
    <t>PEMOLINE 37.5MG CHEW</t>
  </si>
  <si>
    <t>251152-5</t>
  </si>
  <si>
    <t>PEMOLINE 18.75MG PO</t>
  </si>
  <si>
    <t>251151-6</t>
  </si>
  <si>
    <t>ROFECOXIB 25MG PO</t>
  </si>
  <si>
    <t>251150-7</t>
  </si>
  <si>
    <t>PEG/ELECTROLYTES 1GA</t>
  </si>
  <si>
    <t>251149-1</t>
  </si>
  <si>
    <t>VENLAFAXINE XR 150MG</t>
  </si>
  <si>
    <t>251148-2</t>
  </si>
  <si>
    <t>SEREVENT INH</t>
  </si>
  <si>
    <t>251147-3</t>
  </si>
  <si>
    <t>PATIENT'S OWN MEDS</t>
  </si>
  <si>
    <t>251146-4</t>
  </si>
  <si>
    <t>PASS MEDICATION PREP</t>
  </si>
  <si>
    <t>251145-5</t>
  </si>
  <si>
    <t>PAROXETINE 5MG PO</t>
  </si>
  <si>
    <t>251144-6</t>
  </si>
  <si>
    <t>PAROXETINE 30MG PO</t>
  </si>
  <si>
    <t>251143-7</t>
  </si>
  <si>
    <t>PAROXETINE 20MG PO</t>
  </si>
  <si>
    <t>251142-8</t>
  </si>
  <si>
    <t>PAROXETINE 10MG PO</t>
  </si>
  <si>
    <t>251141-9</t>
  </si>
  <si>
    <t>PAREGORIC U S P 5ML</t>
  </si>
  <si>
    <t>251140-0</t>
  </si>
  <si>
    <t>QUETIAPINE 200MG</t>
  </si>
  <si>
    <t>251139-3</t>
  </si>
  <si>
    <t>PAPAVERINE SR 150</t>
  </si>
  <si>
    <t>251138-4</t>
  </si>
  <si>
    <t>PANTOPRAZOLE 40MG</t>
  </si>
  <si>
    <t>251137-5</t>
  </si>
  <si>
    <t>NEURONTIN 600MG</t>
  </si>
  <si>
    <t>251136-6</t>
  </si>
  <si>
    <t>PANCRELIPASE TABS PO</t>
  </si>
  <si>
    <t>251135-7</t>
  </si>
  <si>
    <t>PANCRELIPASE CAPS PO</t>
  </si>
  <si>
    <t>251134-8</t>
  </si>
  <si>
    <t>PROMETRIUM 100MG</t>
  </si>
  <si>
    <t>251133-9</t>
  </si>
  <si>
    <t>OXYTRIPHYLLINE PO</t>
  </si>
  <si>
    <t>251132-0</t>
  </si>
  <si>
    <t>OXYTRIPHYLLINE 200MG</t>
  </si>
  <si>
    <t>251131-1</t>
  </si>
  <si>
    <t>OXYME NASAL SPRAY 30</t>
  </si>
  <si>
    <t>251130-2</t>
  </si>
  <si>
    <t>OXYME NASAL SPRAY 15</t>
  </si>
  <si>
    <t>251129-5</t>
  </si>
  <si>
    <t>OXYME NASAL DROPS 20</t>
  </si>
  <si>
    <t>251128-6</t>
  </si>
  <si>
    <t>OXYCODONE/APAP 500MG</t>
  </si>
  <si>
    <t>251127-7</t>
  </si>
  <si>
    <t>OXYCODONE/APAP 325MG</t>
  </si>
  <si>
    <t>251126-8</t>
  </si>
  <si>
    <t>OXYBUTYNIN CHLORIDE</t>
  </si>
  <si>
    <t>251125-9</t>
  </si>
  <si>
    <t>OXY PADS (JAR)</t>
  </si>
  <si>
    <t>251124-0</t>
  </si>
  <si>
    <t>FEXIFENADINE 60MG PO</t>
  </si>
  <si>
    <t>251123-1</t>
  </si>
  <si>
    <t>OXAZEPAM 30MG PO</t>
  </si>
  <si>
    <t>251122-2</t>
  </si>
  <si>
    <t>OXAZEPAM 15MG PO</t>
  </si>
  <si>
    <t>251121-3</t>
  </si>
  <si>
    <t>OXAZEPAM 10MG PO</t>
  </si>
  <si>
    <t>251120-4</t>
  </si>
  <si>
    <t>OXAPROZIN 600MG PO</t>
  </si>
  <si>
    <t>251119-7</t>
  </si>
  <si>
    <t>OXACILLIN 500MG PO</t>
  </si>
  <si>
    <t>251118-8</t>
  </si>
  <si>
    <t>OXACILLIN 250MG PO</t>
  </si>
  <si>
    <t>251117-9</t>
  </si>
  <si>
    <t>OSMOLITE 8OZ</t>
  </si>
  <si>
    <t>251116-0</t>
  </si>
  <si>
    <t>ORPH/ASA/CAFF DS PO</t>
  </si>
  <si>
    <t>251115-1</t>
  </si>
  <si>
    <t>ORPH CIT 100MG PO</t>
  </si>
  <si>
    <t>251114-2</t>
  </si>
  <si>
    <t>ORAJEL</t>
  </si>
  <si>
    <t>251113-3</t>
  </si>
  <si>
    <t>VENLAFAXINE 150MG</t>
  </si>
  <si>
    <t>251112-4</t>
  </si>
  <si>
    <t>ACCOLATE 20MG PO</t>
  </si>
  <si>
    <t>251111-5</t>
  </si>
  <si>
    <t>LANSOMEPRAZOLE 30MG</t>
  </si>
  <si>
    <t>251110-6</t>
  </si>
  <si>
    <t>OFLOXACIN 400MG PO</t>
  </si>
  <si>
    <t>251109-9</t>
  </si>
  <si>
    <t>OFLOXACIN 300MG PO</t>
  </si>
  <si>
    <t>251108-0</t>
  </si>
  <si>
    <t>OCULAR LUBRICANT</t>
  </si>
  <si>
    <t>251107-1</t>
  </si>
  <si>
    <t>NYSTATIN/TRIAMCIN CR</t>
  </si>
  <si>
    <t>251106-2</t>
  </si>
  <si>
    <t>NYSTATIN VAG SUPP</t>
  </si>
  <si>
    <t>251105-3</t>
  </si>
  <si>
    <t>NYSTATIN SUSP 60ML</t>
  </si>
  <si>
    <t>251104-4</t>
  </si>
  <si>
    <t>NYSTATIN CREAM 15GM</t>
  </si>
  <si>
    <t>251103-5</t>
  </si>
  <si>
    <t>NORTRIPTYLINE SOL DO</t>
  </si>
  <si>
    <t>251102-6</t>
  </si>
  <si>
    <t>NORTRIPTYLINE PO</t>
  </si>
  <si>
    <t>251101-7</t>
  </si>
  <si>
    <t>NORTRIPTYLINE 75MG P</t>
  </si>
  <si>
    <t>251100-8</t>
  </si>
  <si>
    <t>NORTRIPTYLINE 60MG P</t>
  </si>
  <si>
    <t>251099-1</t>
  </si>
  <si>
    <t>NORTRIPTYLINE 50MG P</t>
  </si>
  <si>
    <t>251098-2</t>
  </si>
  <si>
    <t>NORTRIPTYLINE 45MG P</t>
  </si>
  <si>
    <t>251097-3</t>
  </si>
  <si>
    <t>NORTRIPTYLINE 35MG P</t>
  </si>
  <si>
    <t>251096-4</t>
  </si>
  <si>
    <t>NORTRIPTYLINE 25MG P</t>
  </si>
  <si>
    <t>251095-5</t>
  </si>
  <si>
    <t>NORTRIPTYLINE 150MG</t>
  </si>
  <si>
    <t>251094-6</t>
  </si>
  <si>
    <t>NORTRIPTYLINE 125MG</t>
  </si>
  <si>
    <t>251093-7</t>
  </si>
  <si>
    <t>NORTRIPTYLINE 10MG P</t>
  </si>
  <si>
    <t>251092-8</t>
  </si>
  <si>
    <t>NORTRIPTYLINE 100MG</t>
  </si>
  <si>
    <t>251091-9</t>
  </si>
  <si>
    <t>NORFLOXACIN 200MG PO</t>
  </si>
  <si>
    <t>251090-0</t>
  </si>
  <si>
    <t>NORETHINDRONE 5MG PO</t>
  </si>
  <si>
    <t>251089-3</t>
  </si>
  <si>
    <t>NIZATIDINE 300MG PO</t>
  </si>
  <si>
    <t>251088-4</t>
  </si>
  <si>
    <t>NIZATIDINE 150MG PO</t>
  </si>
  <si>
    <t>251087-5</t>
  </si>
  <si>
    <t>NITROGLY TOP OINT 60</t>
  </si>
  <si>
    <t>251086-6</t>
  </si>
  <si>
    <t>NITROGLY PATCH 0.1MG</t>
  </si>
  <si>
    <t>251085-7</t>
  </si>
  <si>
    <t>NITROGLY PATCH 0.6MG</t>
  </si>
  <si>
    <t>251084-8</t>
  </si>
  <si>
    <t>SEREVENT DISKUS INH</t>
  </si>
  <si>
    <t>251083-9</t>
  </si>
  <si>
    <t>NITROGLY PATCH 0.4MG</t>
  </si>
  <si>
    <t>251082-0</t>
  </si>
  <si>
    <t>NITROGLY PATCH 0.3MG</t>
  </si>
  <si>
    <t>251081-1</t>
  </si>
  <si>
    <t>NITROGLY 2.5MG SR PO</t>
  </si>
  <si>
    <t>251080-2</t>
  </si>
  <si>
    <t>NITROGLY ER 6.5MG PO</t>
  </si>
  <si>
    <t>251079-5</t>
  </si>
  <si>
    <t>NITROGLY PATCH 0.2MG</t>
  </si>
  <si>
    <t>251078-6</t>
  </si>
  <si>
    <t>NITROGLY 0.6MG SL 25</t>
  </si>
  <si>
    <t>251077-7</t>
  </si>
  <si>
    <t>NITROGLYCERIN 0.4 MG</t>
  </si>
  <si>
    <t>251076-8</t>
  </si>
  <si>
    <t>NITROGLY 0.3MS SL 25</t>
  </si>
  <si>
    <t>251075-9</t>
  </si>
  <si>
    <t>NITROFURANTOIN 50MG</t>
  </si>
  <si>
    <t>251074-0</t>
  </si>
  <si>
    <t>NITROFURANTOIN 25MG</t>
  </si>
  <si>
    <t>251073-1</t>
  </si>
  <si>
    <t>NITROFURANTOIN 100MG</t>
  </si>
  <si>
    <t>251072-2</t>
  </si>
  <si>
    <t>NIFEDIPINE XL PO</t>
  </si>
  <si>
    <t>251071-3</t>
  </si>
  <si>
    <t>NIFEDIPINE XL 90MG P</t>
  </si>
  <si>
    <t>251070-4</t>
  </si>
  <si>
    <t>NIFEDIPINE XL 60MG P</t>
  </si>
  <si>
    <t>251069-7</t>
  </si>
  <si>
    <t>NIFEDIPINE XL 30MG P</t>
  </si>
  <si>
    <t>251068-8</t>
  </si>
  <si>
    <t>NIFEDIPINE PO</t>
  </si>
  <si>
    <t>251067-9</t>
  </si>
  <si>
    <t>NIFEDIPINE 20MG PO</t>
  </si>
  <si>
    <t>251066-0</t>
  </si>
  <si>
    <t>NIFEDIPINE 10MG PO</t>
  </si>
  <si>
    <t>251065-1</t>
  </si>
  <si>
    <t>NICOTINE TRANS 7MG</t>
  </si>
  <si>
    <t>251064-2</t>
  </si>
  <si>
    <t>NICOTINE TRANS 21MG</t>
  </si>
  <si>
    <t>251063-3</t>
  </si>
  <si>
    <t>NICOTINE TRANS 14MG</t>
  </si>
  <si>
    <t>251062-4</t>
  </si>
  <si>
    <t>NICOTINE 2MG GUM</t>
  </si>
  <si>
    <t>251061-5</t>
  </si>
  <si>
    <t>NICARDIPINE 30MG</t>
  </si>
  <si>
    <t>251060-6</t>
  </si>
  <si>
    <t>NICARDIPINE 20MG</t>
  </si>
  <si>
    <t>251059-9</t>
  </si>
  <si>
    <t>NIACIN 250MG SR PO</t>
  </si>
  <si>
    <t>251058-0</t>
  </si>
  <si>
    <t>NIACIN PO</t>
  </si>
  <si>
    <t>251057-1</t>
  </si>
  <si>
    <t>NIACIN 50MG PO</t>
  </si>
  <si>
    <t>251056-2</t>
  </si>
  <si>
    <t>NIACIN 100MG PO</t>
  </si>
  <si>
    <t>251055-3</t>
  </si>
  <si>
    <t>NEUTRO SOAP 3.50 OZ</t>
  </si>
  <si>
    <t>251054-4</t>
  </si>
  <si>
    <t>NEOMYCIN 500MG PO</t>
  </si>
  <si>
    <t>251053-5</t>
  </si>
  <si>
    <t>OLANZAPINE 5MG PO</t>
  </si>
  <si>
    <t>251052-6</t>
  </si>
  <si>
    <t>NEO/POL/HC OTIC S 10</t>
  </si>
  <si>
    <t>251051-7</t>
  </si>
  <si>
    <t>NEO/POL/HC OPHTH SOL</t>
  </si>
  <si>
    <t>251050-8</t>
  </si>
  <si>
    <t>NEO/POL/HC OPH OINT3</t>
  </si>
  <si>
    <t>251049-2</t>
  </si>
  <si>
    <t>NEO/POL/HC OP SUSP 7</t>
  </si>
  <si>
    <t>251048-3</t>
  </si>
  <si>
    <t>NEO/POL/BAC OINT UD</t>
  </si>
  <si>
    <t>251047-4</t>
  </si>
  <si>
    <t>NEO/POL/BAC OINT 15G</t>
  </si>
  <si>
    <t>251046-5</t>
  </si>
  <si>
    <t>NEO/DEX OPH OINT 3.5</t>
  </si>
  <si>
    <t>251045-6</t>
  </si>
  <si>
    <t>NAPROXEN PO</t>
  </si>
  <si>
    <t>251044-7</t>
  </si>
  <si>
    <t>NAPROXEN 550MG</t>
  </si>
  <si>
    <t>251043-8</t>
  </si>
  <si>
    <t>NAPROXEN 500MG</t>
  </si>
  <si>
    <t>251042-9</t>
  </si>
  <si>
    <t>NAPROXEN 375MG PO</t>
  </si>
  <si>
    <t>251041-0</t>
  </si>
  <si>
    <t>NAPROXEN 275MG</t>
  </si>
  <si>
    <t>251040-1</t>
  </si>
  <si>
    <t>NAPROXEN 250MG PO</t>
  </si>
  <si>
    <t>251039-4</t>
  </si>
  <si>
    <t>NAPHAZOLINE ANTAZ OP</t>
  </si>
  <si>
    <t>251038-5</t>
  </si>
  <si>
    <t>NALTREXONE 50MG PO</t>
  </si>
  <si>
    <t>251037-6</t>
  </si>
  <si>
    <t>NALOXONE 0.4MG/ML IN</t>
  </si>
  <si>
    <t>251036-7</t>
  </si>
  <si>
    <t>NALBUPHINE 10MG INJ</t>
  </si>
  <si>
    <t>251035-8</t>
  </si>
  <si>
    <t>NADOLOL PO</t>
  </si>
  <si>
    <t>251034-9</t>
  </si>
  <si>
    <t>NADOLOL 80MG PO</t>
  </si>
  <si>
    <t>251033-0</t>
  </si>
  <si>
    <t>NADOLOL 40MG PO</t>
  </si>
  <si>
    <t>251032-1</t>
  </si>
  <si>
    <t>NABUMETONE 500MG TAB</t>
  </si>
  <si>
    <t>251031-2</t>
  </si>
  <si>
    <t>TOPAMAX 25MG PO</t>
  </si>
  <si>
    <t>251030-3</t>
  </si>
  <si>
    <t>MUPIROCIN OINT 2%</t>
  </si>
  <si>
    <t>251029-6</t>
  </si>
  <si>
    <t>DEXTROAMP 10MG PO</t>
  </si>
  <si>
    <t>251028-7</t>
  </si>
  <si>
    <t>MULTIPLE VITAMINS PO</t>
  </si>
  <si>
    <t>251027-8</t>
  </si>
  <si>
    <t>MULTIPLE VIT/FLUORID</t>
  </si>
  <si>
    <t>251026-9</t>
  </si>
  <si>
    <t>D DAVP 0.2 MG TAB</t>
  </si>
  <si>
    <t>251025-0</t>
  </si>
  <si>
    <t>DESMOPRESSIN 0.2 MG</t>
  </si>
  <si>
    <t>251024-1</t>
  </si>
  <si>
    <t>MULTIPLE VIT/FA/FE/</t>
  </si>
  <si>
    <t>251023-2</t>
  </si>
  <si>
    <t>VIOXX 12.5 MG PO</t>
  </si>
  <si>
    <t>251022-3</t>
  </si>
  <si>
    <t>MULT VIT W/MINERALS</t>
  </si>
  <si>
    <t>251021-4</t>
  </si>
  <si>
    <t>MULT VIT LIQ 5ML PO</t>
  </si>
  <si>
    <t>251020-5</t>
  </si>
  <si>
    <t>MORPHINE INJ</t>
  </si>
  <si>
    <t>251019-8</t>
  </si>
  <si>
    <t>MORPHINE 10MG AMP</t>
  </si>
  <si>
    <t>251018-9</t>
  </si>
  <si>
    <t>MORICIZINE 300MG PO</t>
  </si>
  <si>
    <t>251017-0</t>
  </si>
  <si>
    <t>MORICIZINE 250MG PO</t>
  </si>
  <si>
    <t>251016-1</t>
  </si>
  <si>
    <t>MORICIZINE 200MG PO</t>
  </si>
  <si>
    <t>251015-2</t>
  </si>
  <si>
    <t>MOMETASONE FUR 0.1%C</t>
  </si>
  <si>
    <t>251014-3</t>
  </si>
  <si>
    <t>MOLINDONE PO</t>
  </si>
  <si>
    <t>251013-4</t>
  </si>
  <si>
    <t>MOLINDONE CONC</t>
  </si>
  <si>
    <t>251012-5</t>
  </si>
  <si>
    <t>MOLINDONE 5MG PO</t>
  </si>
  <si>
    <t>251011-6</t>
  </si>
  <si>
    <t>MOLINDONE 50MG PO</t>
  </si>
  <si>
    <t>251010-7</t>
  </si>
  <si>
    <t>MOLINDONE 25MG PO</t>
  </si>
  <si>
    <t>251009-0</t>
  </si>
  <si>
    <t>VIOXX TAB</t>
  </si>
  <si>
    <t>251008-1</t>
  </si>
  <si>
    <t>CELEBREX 100MG</t>
  </si>
  <si>
    <t>251007-2</t>
  </si>
  <si>
    <t>MISOPROSTOL 200MCG</t>
  </si>
  <si>
    <t>251006-3</t>
  </si>
  <si>
    <t>MISOPROSTOL 100MG PO</t>
  </si>
  <si>
    <t>251005-4</t>
  </si>
  <si>
    <t>ARICEPT 5MG TAB</t>
  </si>
  <si>
    <t>251004-5</t>
  </si>
  <si>
    <t>NECON 1/35 BCP</t>
  </si>
  <si>
    <t>251003-6</t>
  </si>
  <si>
    <t>FLONACE INHALER</t>
  </si>
  <si>
    <t>251002-7</t>
  </si>
  <si>
    <t>ALLEGRA 60MG</t>
  </si>
  <si>
    <t>251001-8</t>
  </si>
  <si>
    <t>TOPAMAX 100MG TAB</t>
  </si>
  <si>
    <t>251000-9</t>
  </si>
  <si>
    <t>TOPANIOX 100MG TAB</t>
  </si>
  <si>
    <t>250999-4</t>
  </si>
  <si>
    <t>ALTACE (RAMIPRIL) 5M</t>
  </si>
  <si>
    <t>250998-5</t>
  </si>
  <si>
    <t>ASACOL TABLET 400MG</t>
  </si>
  <si>
    <t>250997-6</t>
  </si>
  <si>
    <t>LIPITOR 10MG TABLET</t>
  </si>
  <si>
    <t>250996-7</t>
  </si>
  <si>
    <t>DIOVAN 160MG</t>
  </si>
  <si>
    <t>250995-8</t>
  </si>
  <si>
    <t>MISC 90.00</t>
  </si>
  <si>
    <t>250994-9</t>
  </si>
  <si>
    <t>MISC 80.00</t>
  </si>
  <si>
    <t>250993-0</t>
  </si>
  <si>
    <t>RHINOCORT INHALER</t>
  </si>
  <si>
    <t>250992-1</t>
  </si>
  <si>
    <t>MISC 60.00</t>
  </si>
  <si>
    <t>250991-2</t>
  </si>
  <si>
    <t>MISC 50.00</t>
  </si>
  <si>
    <t>250990-3</t>
  </si>
  <si>
    <t>MISC 5.00</t>
  </si>
  <si>
    <t>250989-6</t>
  </si>
  <si>
    <t>BUDESONIDE INH</t>
  </si>
  <si>
    <t>250988-7</t>
  </si>
  <si>
    <t>MISC 40.00</t>
  </si>
  <si>
    <t>250987-8</t>
  </si>
  <si>
    <t>ELIMITE CRM 60GM</t>
  </si>
  <si>
    <t>250986-9</t>
  </si>
  <si>
    <t>MISC 30.00</t>
  </si>
  <si>
    <t>250985-0</t>
  </si>
  <si>
    <t>MISC 25.00</t>
  </si>
  <si>
    <t>250984-1</t>
  </si>
  <si>
    <t>MISC 20.00</t>
  </si>
  <si>
    <t>250983-2</t>
  </si>
  <si>
    <t>MISC 15.00</t>
  </si>
  <si>
    <t>250982-3</t>
  </si>
  <si>
    <t>MISC 100.00</t>
  </si>
  <si>
    <t>250981-4</t>
  </si>
  <si>
    <t>MISC. 10.00</t>
  </si>
  <si>
    <t>250980-5</t>
  </si>
  <si>
    <t>MINOCYCLINE 50MG</t>
  </si>
  <si>
    <t>250979-8</t>
  </si>
  <si>
    <t>MINOCYCLINE 100MG</t>
  </si>
  <si>
    <t>250978-9</t>
  </si>
  <si>
    <t>MINERAL OIL DOSE</t>
  </si>
  <si>
    <t>250977-0</t>
  </si>
  <si>
    <t>MILK OF MAGNESIA DOS</t>
  </si>
  <si>
    <t>250976-1</t>
  </si>
  <si>
    <t>MILK OF MAG/CAS DOSE</t>
  </si>
  <si>
    <t>250975-2</t>
  </si>
  <si>
    <t>VIOXX 25MG</t>
  </si>
  <si>
    <t>250974-3</t>
  </si>
  <si>
    <t>MICONAZOLE CR 30GM</t>
  </si>
  <si>
    <t>250973-4</t>
  </si>
  <si>
    <t>MICONAZOLE SPRAY</t>
  </si>
  <si>
    <t>250972-5</t>
  </si>
  <si>
    <t>MICONAZOL VAG SUPP#7</t>
  </si>
  <si>
    <t>250971-6</t>
  </si>
  <si>
    <t>MICONAZOL VAG CR</t>
  </si>
  <si>
    <t>250970-7</t>
  </si>
  <si>
    <t>MICONAZOL VAG C DUAL</t>
  </si>
  <si>
    <t>250969-0</t>
  </si>
  <si>
    <t>MICONAZOL DERM 2% 30</t>
  </si>
  <si>
    <t>250968-1</t>
  </si>
  <si>
    <t>MEXILETINE 200MG</t>
  </si>
  <si>
    <t>250967-2</t>
  </si>
  <si>
    <t>MEXILETINE 150MG PO</t>
  </si>
  <si>
    <t>250966-3</t>
  </si>
  <si>
    <t>METRONIDAZOLE PO</t>
  </si>
  <si>
    <t>250965-4</t>
  </si>
  <si>
    <t>METRONIDAZOLE 500MG</t>
  </si>
  <si>
    <t>250964-5</t>
  </si>
  <si>
    <t>METRONIDAZOLE 250MG</t>
  </si>
  <si>
    <t>250963-6</t>
  </si>
  <si>
    <t>METOPROLOL 50MG PO</t>
  </si>
  <si>
    <t>250962-7</t>
  </si>
  <si>
    <t>METOPROLOL 100MG PO</t>
  </si>
  <si>
    <t>250961-8</t>
  </si>
  <si>
    <t>METOLAZONE 5MG PO</t>
  </si>
  <si>
    <t>250960-9</t>
  </si>
  <si>
    <t>METOLAZONE 2.5MG PO</t>
  </si>
  <si>
    <t>250959-2</t>
  </si>
  <si>
    <t>METOLAZONE 10MG PO</t>
  </si>
  <si>
    <t>250958-3</t>
  </si>
  <si>
    <t>METOCLOPRAMIDE 5MG</t>
  </si>
  <si>
    <t>250957-4</t>
  </si>
  <si>
    <t>METOCLOPRAM 10MG/2ML</t>
  </si>
  <si>
    <t>250956-5</t>
  </si>
  <si>
    <t>METOCLOPRAM 10MG/10M</t>
  </si>
  <si>
    <t>250955-6</t>
  </si>
  <si>
    <t>METOCLOPRAMIDE 10MG</t>
  </si>
  <si>
    <t>250954-7</t>
  </si>
  <si>
    <t>METHYSERGIDE 2MG PO</t>
  </si>
  <si>
    <t>250953-8</t>
  </si>
  <si>
    <t>METHYLPRED DEPO 40MG</t>
  </si>
  <si>
    <t>250952-9</t>
  </si>
  <si>
    <t>METHYLPRED 4MG PO</t>
  </si>
  <si>
    <t>250951-0</t>
  </si>
  <si>
    <t>METHYLPRED 125MG INJ</t>
  </si>
  <si>
    <t>250950-1</t>
  </si>
  <si>
    <t>METHYLPHENIDATE SR20</t>
  </si>
  <si>
    <t>250949-5</t>
  </si>
  <si>
    <t>METHYLPHENIDATE PO</t>
  </si>
  <si>
    <t>250948-6</t>
  </si>
  <si>
    <t>METHYLPHENIDATE 5MG</t>
  </si>
  <si>
    <t>250947-7</t>
  </si>
  <si>
    <t>METHYLPHENIDATE 20MG</t>
  </si>
  <si>
    <t>250946-8</t>
  </si>
  <si>
    <t>METHYLPHENIDATE 10MG</t>
  </si>
  <si>
    <t>250945-9</t>
  </si>
  <si>
    <t>METHYLDOPA/HCT 25MG</t>
  </si>
  <si>
    <t>250944-0</t>
  </si>
  <si>
    <t>METHYLDOPA/HCT 15MG</t>
  </si>
  <si>
    <t>250943-1</t>
  </si>
  <si>
    <t>METHYLDOPA PO</t>
  </si>
  <si>
    <t>250942-2</t>
  </si>
  <si>
    <t>METHYLDOPA 250MG PO</t>
  </si>
  <si>
    <t>250941-3</t>
  </si>
  <si>
    <t>NOXEMA CREAM JAR</t>
  </si>
  <si>
    <t>250940-4</t>
  </si>
  <si>
    <t>OLANZAPINE 10MG PO T</t>
  </si>
  <si>
    <t>250939-7</t>
  </si>
  <si>
    <t>LIPITOR TABLET 20MNG</t>
  </si>
  <si>
    <t>250938-8</t>
  </si>
  <si>
    <t>METHYCLOTHIAZIDE PO</t>
  </si>
  <si>
    <t>250937-9</t>
  </si>
  <si>
    <t>METHYCLOTHIAZIDE 5MG</t>
  </si>
  <si>
    <t>250936-0</t>
  </si>
  <si>
    <t>METHOHEXITAL 500MG I</t>
  </si>
  <si>
    <t>250935-1</t>
  </si>
  <si>
    <t>METHOCARBAMOL W/ASA</t>
  </si>
  <si>
    <t>250934-2</t>
  </si>
  <si>
    <t>METHOCARBAMOL PO</t>
  </si>
  <si>
    <t>250933-3</t>
  </si>
  <si>
    <t>METHOCARBAMOL 750MG</t>
  </si>
  <si>
    <t>250932-4</t>
  </si>
  <si>
    <t>METHOCARBAMOL 500MG</t>
  </si>
  <si>
    <t>250931-5</t>
  </si>
  <si>
    <t>METHENAMINE MAND 1GR</t>
  </si>
  <si>
    <t>250930-6</t>
  </si>
  <si>
    <t>METHAZOLAMIDE 50MG P</t>
  </si>
  <si>
    <t>250929-9</t>
  </si>
  <si>
    <t>METHAMPHETAMINE 5MG</t>
  </si>
  <si>
    <t>250928-0</t>
  </si>
  <si>
    <t>METHAMPHETAMINE 15MG</t>
  </si>
  <si>
    <t>250927-1</t>
  </si>
  <si>
    <t>METHADONE PO</t>
  </si>
  <si>
    <t>250926-2</t>
  </si>
  <si>
    <t>PERGOLIDE 1MG PO</t>
  </si>
  <si>
    <t>250925-3</t>
  </si>
  <si>
    <t>PERGOLIDE .25MG PO</t>
  </si>
  <si>
    <t>250924-4</t>
  </si>
  <si>
    <t>METHADONE 5MG</t>
  </si>
  <si>
    <t>250923-5</t>
  </si>
  <si>
    <t>METHADONE 20MG PO</t>
  </si>
  <si>
    <t>250922-6</t>
  </si>
  <si>
    <t>METHADONE 10MG PO</t>
  </si>
  <si>
    <t>250921-7</t>
  </si>
  <si>
    <t>METAXALONE 400MG PO</t>
  </si>
  <si>
    <t>250920-8</t>
  </si>
  <si>
    <t>METAPROTERENOL INHAL</t>
  </si>
  <si>
    <t>250919-1</t>
  </si>
  <si>
    <t>METAPROTERENOL 20MG</t>
  </si>
  <si>
    <t>250918-2</t>
  </si>
  <si>
    <t>METAPROTERENOL 10MG</t>
  </si>
  <si>
    <t>250917-3</t>
  </si>
  <si>
    <t>MET/MENTHOL OINT 1.2</t>
  </si>
  <si>
    <t>250916-4</t>
  </si>
  <si>
    <t>MESORIDAZINE 25MG IN</t>
  </si>
  <si>
    <t>250915-5</t>
  </si>
  <si>
    <t>MESORIDAZINE 25MG/ML</t>
  </si>
  <si>
    <t>250914-6</t>
  </si>
  <si>
    <t>MESORIDAZINE 50MG PO</t>
  </si>
  <si>
    <t>250913-7</t>
  </si>
  <si>
    <t>MESORIDAZINE 25MG PO</t>
  </si>
  <si>
    <t>250912-8</t>
  </si>
  <si>
    <t>MESORIDAZINE 10MG PO</t>
  </si>
  <si>
    <t>250911-9</t>
  </si>
  <si>
    <t>MESORIDAZINE 100MG P</t>
  </si>
  <si>
    <t>250910-0</t>
  </si>
  <si>
    <t>MESALAMINE 4GM/UNIT</t>
  </si>
  <si>
    <t>250909-3</t>
  </si>
  <si>
    <t>MEPROBAMATE/ASPIRIN</t>
  </si>
  <si>
    <t>250908-4</t>
  </si>
  <si>
    <t>MEPROBAMATE 400MG PO</t>
  </si>
  <si>
    <t>250907-5</t>
  </si>
  <si>
    <t>MEPROBAMATE 200MG PO</t>
  </si>
  <si>
    <t>250906-6</t>
  </si>
  <si>
    <t>MEPERDINE PO</t>
  </si>
  <si>
    <t>250905-7</t>
  </si>
  <si>
    <t>MEPERDINE 75MG INJ</t>
  </si>
  <si>
    <t>250904-8</t>
  </si>
  <si>
    <t>MEPERDINE 50MG PO</t>
  </si>
  <si>
    <t>250903-9</t>
  </si>
  <si>
    <t>MEPERDINE 50MG INJ</t>
  </si>
  <si>
    <t>250902-0</t>
  </si>
  <si>
    <t>MEPERIDINE 100MG PO</t>
  </si>
  <si>
    <t>250901-1</t>
  </si>
  <si>
    <t>MEPERIDINE 100MG INJ</t>
  </si>
  <si>
    <t>250900-2</t>
  </si>
  <si>
    <t>MEFENAMIC ACID 250MG</t>
  </si>
  <si>
    <t>250899-5</t>
  </si>
  <si>
    <t>MEDROXYPROGEST 2.5PO</t>
  </si>
  <si>
    <t>250898-6</t>
  </si>
  <si>
    <t>MEDROXYPROGEST 5MG</t>
  </si>
  <si>
    <t>250897-7</t>
  </si>
  <si>
    <t>MEDROXYPROGEST 150MG</t>
  </si>
  <si>
    <t>250896-8</t>
  </si>
  <si>
    <t>MECLOFENAMATE PO</t>
  </si>
  <si>
    <t>250895-9</t>
  </si>
  <si>
    <t>MECLOFENAMATE 100MG</t>
  </si>
  <si>
    <t>250894-0</t>
  </si>
  <si>
    <t>MEDICATION CONSULT</t>
  </si>
  <si>
    <t>250893-1</t>
  </si>
  <si>
    <t>MECLIZINE 25MG PO</t>
  </si>
  <si>
    <t>250892-2</t>
  </si>
  <si>
    <t>MECLIZINE 12.5MG PO</t>
  </si>
  <si>
    <t>250891-3</t>
  </si>
  <si>
    <t>MEBENDAZOLE 100MG PO</t>
  </si>
  <si>
    <t>250890-4</t>
  </si>
  <si>
    <t>MAPROTILINE PO</t>
  </si>
  <si>
    <t>250889-7</t>
  </si>
  <si>
    <t>MAPROTILINE 75MG PO</t>
  </si>
  <si>
    <t>250888-8</t>
  </si>
  <si>
    <t>MAPROTILINE 50MG PO</t>
  </si>
  <si>
    <t>250887-9</t>
  </si>
  <si>
    <t>MAPROTILINE 25MG PO</t>
  </si>
  <si>
    <t>250886-0</t>
  </si>
  <si>
    <t>MAPROTILINE 150MG</t>
  </si>
  <si>
    <t>250885-1</t>
  </si>
  <si>
    <t>MAPROTILINE 100MG</t>
  </si>
  <si>
    <t>250884-2</t>
  </si>
  <si>
    <t>AMPHETAMINE/DEX 10MG</t>
  </si>
  <si>
    <t>250883-3</t>
  </si>
  <si>
    <t>NEFAZODONE 250MG PO</t>
  </si>
  <si>
    <t>250882-4</t>
  </si>
  <si>
    <t>MAG SULF 50% 2ML INJ</t>
  </si>
  <si>
    <t>250881-5</t>
  </si>
  <si>
    <t>MAG OXIDE 400MG PO</t>
  </si>
  <si>
    <t>250880-6</t>
  </si>
  <si>
    <t>MAGNESIUM CITR 300ML</t>
  </si>
  <si>
    <t>250879-9</t>
  </si>
  <si>
    <t>MAG CHLORIDE 64MG PO</t>
  </si>
  <si>
    <t>250878-0</t>
  </si>
  <si>
    <t>ZINC SULFATE 220 MG</t>
  </si>
  <si>
    <t>250877-1</t>
  </si>
  <si>
    <t>MAGALDRATE W/SIMETH</t>
  </si>
  <si>
    <t>250876-2</t>
  </si>
  <si>
    <t>MAGALDRATE TAB 480MG</t>
  </si>
  <si>
    <t>250875-3</t>
  </si>
  <si>
    <t>MAGALDRATE SUSP DOSE</t>
  </si>
  <si>
    <t>250874-4</t>
  </si>
  <si>
    <t>MAG &amp; AL W/SI DS DOS</t>
  </si>
  <si>
    <t>250873-5</t>
  </si>
  <si>
    <t>MAG &amp; AL W/SI DOSE</t>
  </si>
  <si>
    <t>250872-6</t>
  </si>
  <si>
    <t>MAG &amp; AL GEL DOSE</t>
  </si>
  <si>
    <t>250871-7</t>
  </si>
  <si>
    <t>MAG &amp; AL CO GEL DOSE</t>
  </si>
  <si>
    <t>250870-8</t>
  </si>
  <si>
    <t>LYSINE 500MG</t>
  </si>
  <si>
    <t>250869-1</t>
  </si>
  <si>
    <t>LOXAPINE PO</t>
  </si>
  <si>
    <t>250868-2</t>
  </si>
  <si>
    <t>LOXAPINE 50MG INJ</t>
  </si>
  <si>
    <t>250867-3</t>
  </si>
  <si>
    <t>LOXAPINE CONC.</t>
  </si>
  <si>
    <t>250866-4</t>
  </si>
  <si>
    <t>LOXAPINE 75MG</t>
  </si>
  <si>
    <t>250865-5</t>
  </si>
  <si>
    <t>LOXAPINE 5MG PO</t>
  </si>
  <si>
    <t>250864-6</t>
  </si>
  <si>
    <t>LOXAPINE 50MG PO</t>
  </si>
  <si>
    <t>250863-7</t>
  </si>
  <si>
    <t>LOXAPINE 25MG PO</t>
  </si>
  <si>
    <t>250862-8</t>
  </si>
  <si>
    <t>LOXAPINE 10MG PO</t>
  </si>
  <si>
    <t>250861-9</t>
  </si>
  <si>
    <t>LOXAPINE 100MG</t>
  </si>
  <si>
    <t>250860-0</t>
  </si>
  <si>
    <t>LOVASTATIN 40MG</t>
  </si>
  <si>
    <t>250859-3</t>
  </si>
  <si>
    <t>LOVASTATIN 20MG</t>
  </si>
  <si>
    <t>250858-4</t>
  </si>
  <si>
    <t>LOTION MOISTURIZ 40Z</t>
  </si>
  <si>
    <t>250857-5</t>
  </si>
  <si>
    <t>LORAZEPAM INJ 4MG</t>
  </si>
  <si>
    <t>250856-6</t>
  </si>
  <si>
    <t>LORAZEPAM INJ 2MG</t>
  </si>
  <si>
    <t>250855-7</t>
  </si>
  <si>
    <t>LORAZEPAM INJ 1MG</t>
  </si>
  <si>
    <t>250854-8</t>
  </si>
  <si>
    <t>LORAZEPAM 2MG PO</t>
  </si>
  <si>
    <t>250853-9</t>
  </si>
  <si>
    <t>LORAZEPAM 1MG PO</t>
  </si>
  <si>
    <t>250852-0</t>
  </si>
  <si>
    <t>LORAZEPAM 0.5MG PO</t>
  </si>
  <si>
    <t>250851-1</t>
  </si>
  <si>
    <t>LORAZEPAM 0.25MG PO</t>
  </si>
  <si>
    <t>250850-2</t>
  </si>
  <si>
    <t>LORAZEMPAM PO</t>
  </si>
  <si>
    <t>250849-6</t>
  </si>
  <si>
    <t>LORATADINE 10MG PO</t>
  </si>
  <si>
    <t>250848-7</t>
  </si>
  <si>
    <t>MORPHINE SR 30MG PO</t>
  </si>
  <si>
    <t>250847-8</t>
  </si>
  <si>
    <t>LOPERAMIDE 2MG PO</t>
  </si>
  <si>
    <t>250846-9</t>
  </si>
  <si>
    <t>LITHIUM CITR LIQ 600</t>
  </si>
  <si>
    <t>250845-0</t>
  </si>
  <si>
    <t>LITHIUM CITR LIQ 300</t>
  </si>
  <si>
    <t>250844-1</t>
  </si>
  <si>
    <t>LITHIUM CARBONATE PO</t>
  </si>
  <si>
    <t>250843-2</t>
  </si>
  <si>
    <t>LITHIUM CARB SR 600M</t>
  </si>
  <si>
    <t>250842-3</t>
  </si>
  <si>
    <t>LITHIUM CARB SR 300M</t>
  </si>
  <si>
    <t>250841-4</t>
  </si>
  <si>
    <t>LITHIUM CARB CR 450M</t>
  </si>
  <si>
    <t>250840-5</t>
  </si>
  <si>
    <t>LITHIUM CARB 600MG P</t>
  </si>
  <si>
    <t>250839-8</t>
  </si>
  <si>
    <t>LITHIUM CARB 300MG P</t>
  </si>
  <si>
    <t>250838-9</t>
  </si>
  <si>
    <t>LITHIUM CARB 150MG P</t>
  </si>
  <si>
    <t>250837-0</t>
  </si>
  <si>
    <t>LISINOPRIL PO</t>
  </si>
  <si>
    <t>250836-1</t>
  </si>
  <si>
    <t>LISINOPRIL 5MG</t>
  </si>
  <si>
    <t>250835-2</t>
  </si>
  <si>
    <t>LISINOPRIL 20MG</t>
  </si>
  <si>
    <t>250834-3</t>
  </si>
  <si>
    <t>LISINOPRIL 10MG</t>
  </si>
  <si>
    <t>250833-4</t>
  </si>
  <si>
    <t>LIQUID TEAR 1.4%  OP</t>
  </si>
  <si>
    <t>250832-5</t>
  </si>
  <si>
    <t>L-HYOSCYAMINE SULF S</t>
  </si>
  <si>
    <t>250831-6</t>
  </si>
  <si>
    <t>L-HYOSCYAMINE 0.125M</t>
  </si>
  <si>
    <t>250830-7</t>
  </si>
  <si>
    <t>LIOTHYRONINE 5MCG PO</t>
  </si>
  <si>
    <t>250829-0</t>
  </si>
  <si>
    <t>LIOTHYRONINE 50MCG P</t>
  </si>
  <si>
    <t>250828-1</t>
  </si>
  <si>
    <t>LIOTHYRONINE 25MCG P</t>
  </si>
  <si>
    <t>250827-2</t>
  </si>
  <si>
    <t>LINDANE 1% SHAMPOO 6</t>
  </si>
  <si>
    <t>250826-3</t>
  </si>
  <si>
    <t>LINDANE 1% LOTION</t>
  </si>
  <si>
    <t>250825-4</t>
  </si>
  <si>
    <t>LINDANE 1% CR 20Z</t>
  </si>
  <si>
    <t>250824-5</t>
  </si>
  <si>
    <t>LIDOCAINE VISCO 100M</t>
  </si>
  <si>
    <t>250823-6</t>
  </si>
  <si>
    <t>COAL TAR SHAMPOO</t>
  </si>
  <si>
    <t>250822-7</t>
  </si>
  <si>
    <t>LIDOCAINE 2% 5ML SYR</t>
  </si>
  <si>
    <t>250821-8</t>
  </si>
  <si>
    <t>LIDOCAINE 1% 20ML VI</t>
  </si>
  <si>
    <t>250820-9</t>
  </si>
  <si>
    <t>LEVOTHYROXINE 0.125M</t>
  </si>
  <si>
    <t>250819-2</t>
  </si>
  <si>
    <t>LEVOTHYROXINE 0.075M</t>
  </si>
  <si>
    <t>250818-3</t>
  </si>
  <si>
    <t>LEVOTHROXINE PO</t>
  </si>
  <si>
    <t>250817-4</t>
  </si>
  <si>
    <t>LEVOTH SOD 0.3MG PO</t>
  </si>
  <si>
    <t>250816-5</t>
  </si>
  <si>
    <t>LEVOTH SOD 0.2MG PO</t>
  </si>
  <si>
    <t>250815-6</t>
  </si>
  <si>
    <t>LEVOTH SOD 0.1MG PO</t>
  </si>
  <si>
    <t>250814-7</t>
  </si>
  <si>
    <t>LEVOTH SOD 0.15MG PO</t>
  </si>
  <si>
    <t>250813-8</t>
  </si>
  <si>
    <t>LEVOTH SOD 0.05MG PO</t>
  </si>
  <si>
    <t>250812-9</t>
  </si>
  <si>
    <t>LEVOTH SOD O.O25MG P</t>
  </si>
  <si>
    <t>250811-0</t>
  </si>
  <si>
    <t>LEVODOPA/CARIDOPA PO</t>
  </si>
  <si>
    <t>250810-1</t>
  </si>
  <si>
    <t>LEVO 250MG/CARB 25MG</t>
  </si>
  <si>
    <t>250809-4</t>
  </si>
  <si>
    <t>LEVO 250MG/CARB 10MG</t>
  </si>
  <si>
    <t>250808-5</t>
  </si>
  <si>
    <t>LEVO 100MG/CARB 25MG</t>
  </si>
  <si>
    <t>250807-6</t>
  </si>
  <si>
    <t>LEVO 100MG/CARB 10MG</t>
  </si>
  <si>
    <t>250806-7</t>
  </si>
  <si>
    <t>LECITHIN 1200MG PO</t>
  </si>
  <si>
    <t>250805-8</t>
  </si>
  <si>
    <t>LANCETS #200</t>
  </si>
  <si>
    <t>250804-9</t>
  </si>
  <si>
    <t>LACTULOSE 10ML/15ML</t>
  </si>
  <si>
    <t>250803-0</t>
  </si>
  <si>
    <t>LACTOBCILLUS ACDPHLS</t>
  </si>
  <si>
    <t>250802-1</t>
  </si>
  <si>
    <t>LACTAT RING SOL 1000</t>
  </si>
  <si>
    <t>250801-2</t>
  </si>
  <si>
    <t>LACTASE ENZYME TABS</t>
  </si>
  <si>
    <t>250800-3</t>
  </si>
  <si>
    <t>LACRI LUBE OINT 3.5G</t>
  </si>
  <si>
    <t>250799-6</t>
  </si>
  <si>
    <t>LABETALOL INJ</t>
  </si>
  <si>
    <t>250798-7</t>
  </si>
  <si>
    <t>LABETALOL 200MG PO</t>
  </si>
  <si>
    <t>250797-8</t>
  </si>
  <si>
    <t>LABETALOL 100MG PO</t>
  </si>
  <si>
    <t>250796-9</t>
  </si>
  <si>
    <t>KETOSTIX EACH</t>
  </si>
  <si>
    <t>250795-0</t>
  </si>
  <si>
    <t>KETOROLAC 60MG INJ</t>
  </si>
  <si>
    <t>250794-1</t>
  </si>
  <si>
    <t>KETOROLAC 30MG INJ</t>
  </si>
  <si>
    <t>250793-2</t>
  </si>
  <si>
    <t>KETOROLAC 15MG INJ</t>
  </si>
  <si>
    <t>250792-3</t>
  </si>
  <si>
    <t>KETOROLAC 10MG PO</t>
  </si>
  <si>
    <t>250791-4</t>
  </si>
  <si>
    <t>KETOPROFEN 75MG PO</t>
  </si>
  <si>
    <t>250790-5</t>
  </si>
  <si>
    <t>KETOPROFEN 50MG PO</t>
  </si>
  <si>
    <t>250789-8</t>
  </si>
  <si>
    <t>KETOCONAZOLE SHAMP 4</t>
  </si>
  <si>
    <t>250788-9</t>
  </si>
  <si>
    <t>KETOCONAZOLE CR 15GM</t>
  </si>
  <si>
    <t>250787-0</t>
  </si>
  <si>
    <t>KETOCONAZOLE 200MG P</t>
  </si>
  <si>
    <t>250786-1</t>
  </si>
  <si>
    <t>KERI LOTION 6.50 OZ</t>
  </si>
  <si>
    <t>250785-2</t>
  </si>
  <si>
    <t>KAO/PECTIN SUSP DOSE</t>
  </si>
  <si>
    <t>250784-3</t>
  </si>
  <si>
    <t>JEVITY 8OZ PO</t>
  </si>
  <si>
    <t>250783-4</t>
  </si>
  <si>
    <t>ISRADIPINE 5MG PO</t>
  </si>
  <si>
    <t>250782-5</t>
  </si>
  <si>
    <t>ISRADIPINE 2.5MG PO</t>
  </si>
  <si>
    <t>250781-6</t>
  </si>
  <si>
    <t>ISOTRETINOIN 40MG PK</t>
  </si>
  <si>
    <t>250780-7</t>
  </si>
  <si>
    <t>ISOTRETINOIN 20MG PK</t>
  </si>
  <si>
    <t>250779-0</t>
  </si>
  <si>
    <t>OLANAZPINE 30MG PO</t>
  </si>
  <si>
    <t>250778-1</t>
  </si>
  <si>
    <t>ISOSORBIDE DIN SR 40</t>
  </si>
  <si>
    <t>250777-2</t>
  </si>
  <si>
    <t>ISOSORBIDE DINIT PO</t>
  </si>
  <si>
    <t>250776-3</t>
  </si>
  <si>
    <t>ISOSORBIDE DIN 5MG S</t>
  </si>
  <si>
    <t>250775-4</t>
  </si>
  <si>
    <t>ISOSORBIDE DIN 20MG</t>
  </si>
  <si>
    <t>250774-5</t>
  </si>
  <si>
    <t>ISOSORBIDE DIN 2.5MG</t>
  </si>
  <si>
    <t>250773-6</t>
  </si>
  <si>
    <t>ISOSORBIDE DINIT 10M</t>
  </si>
  <si>
    <t>250772-7</t>
  </si>
  <si>
    <t>ISOPROTERENOL INHALE</t>
  </si>
  <si>
    <t>250771-8</t>
  </si>
  <si>
    <t>ISOPROTERENOL 1:5000</t>
  </si>
  <si>
    <t>250770-9</t>
  </si>
  <si>
    <t>ISONIAZID 300MG PO</t>
  </si>
  <si>
    <t>250769-2</t>
  </si>
  <si>
    <t>ISONIAZID 100MG PO</t>
  </si>
  <si>
    <t>250768-3</t>
  </si>
  <si>
    <t>ISOME/DICHLORAL/APAP</t>
  </si>
  <si>
    <t>250767-4</t>
  </si>
  <si>
    <t>ISOCARBOXAZID 10MG P</t>
  </si>
  <si>
    <t>250766-5</t>
  </si>
  <si>
    <t>ISOCAL 8 OZ</t>
  </si>
  <si>
    <t>250765-6</t>
  </si>
  <si>
    <t>IPRATROPIUM INHALER</t>
  </si>
  <si>
    <t>250764-7</t>
  </si>
  <si>
    <t>IPECAC SYRUP 30ML</t>
  </si>
  <si>
    <t>250763-8</t>
  </si>
  <si>
    <t>MORPNINE SR 15MG PO</t>
  </si>
  <si>
    <t>250762-9</t>
  </si>
  <si>
    <t>PAROXETINE 40MG PO</t>
  </si>
  <si>
    <t>250761-0</t>
  </si>
  <si>
    <t>IODINATED GLY DM ELX</t>
  </si>
  <si>
    <t>250760-1</t>
  </si>
  <si>
    <t>IODINATED GLYEROL PO</t>
  </si>
  <si>
    <t>250759-4</t>
  </si>
  <si>
    <t>IODINATED GLY ELIX D</t>
  </si>
  <si>
    <t>250758-5</t>
  </si>
  <si>
    <t>INSULIN INJECTION DO</t>
  </si>
  <si>
    <t>250757-6</t>
  </si>
  <si>
    <t>INSULIN INJECTION 10</t>
  </si>
  <si>
    <t>250756-7</t>
  </si>
  <si>
    <t>INDOMETHACIN 25MG PO</t>
  </si>
  <si>
    <t>250755-8</t>
  </si>
  <si>
    <t>INDOMETHACIN 75MG SR</t>
  </si>
  <si>
    <t>250754-9</t>
  </si>
  <si>
    <t>INDOMETHACIN 50MG PO</t>
  </si>
  <si>
    <t>250753-0</t>
  </si>
  <si>
    <t>250752-1</t>
  </si>
  <si>
    <t>INDAPAMIDE 2.5MG PO</t>
  </si>
  <si>
    <t>250751-2</t>
  </si>
  <si>
    <t>IMIPRAMINE PO</t>
  </si>
  <si>
    <t>250750-3</t>
  </si>
  <si>
    <t>IMIPRAMINE 75MG PO</t>
  </si>
  <si>
    <t>250749-7</t>
  </si>
  <si>
    <t>IMIPRAMINE 50MG PO</t>
  </si>
  <si>
    <t>250748-8</t>
  </si>
  <si>
    <t>IMIPRAMINE 35MG PO</t>
  </si>
  <si>
    <t>250747-9</t>
  </si>
  <si>
    <t>IMIPRAMINE 300MG PO</t>
  </si>
  <si>
    <t>250746-0</t>
  </si>
  <si>
    <t>IMIPRAMINE 25MG PO</t>
  </si>
  <si>
    <t>250745-1</t>
  </si>
  <si>
    <t>IMIPRAMINE 25MG INJ</t>
  </si>
  <si>
    <t>250744-2</t>
  </si>
  <si>
    <t>IMIPRAMINE 250MG PO</t>
  </si>
  <si>
    <t>250743-3</t>
  </si>
  <si>
    <t>IMIPRAMINE 20MG PO</t>
  </si>
  <si>
    <t>250742-4</t>
  </si>
  <si>
    <t>IMIPRAMINE 200MG PO</t>
  </si>
  <si>
    <t>250741-5</t>
  </si>
  <si>
    <t>IMIPRAMINE 150MG PO</t>
  </si>
  <si>
    <t>250740-6</t>
  </si>
  <si>
    <t>OMEPRAZOLE 20MG PO</t>
  </si>
  <si>
    <t>250739-9</t>
  </si>
  <si>
    <t>IMIPRAMINE 10MG PO</t>
  </si>
  <si>
    <t>250738-0</t>
  </si>
  <si>
    <t>IMIPRAMINE 100MG PO</t>
  </si>
  <si>
    <t>250737-1</t>
  </si>
  <si>
    <t>IBUPROFEN 800MG PO</t>
  </si>
  <si>
    <t>250736-2</t>
  </si>
  <si>
    <t>IBUPROFEN 600MG PO</t>
  </si>
  <si>
    <t>250735-3</t>
  </si>
  <si>
    <t>IBUPROFEN 400MG PO</t>
  </si>
  <si>
    <t>250734-4</t>
  </si>
  <si>
    <t>IBUPROFEN 300MG PO</t>
  </si>
  <si>
    <t>250733-5</t>
  </si>
  <si>
    <t>IBUPROFEN 200MG PO</t>
  </si>
  <si>
    <t>250732-6</t>
  </si>
  <si>
    <t>HYOSCYAMINE SULF 375</t>
  </si>
  <si>
    <t>250731-7</t>
  </si>
  <si>
    <t>DONNATAL PO</t>
  </si>
  <si>
    <t>250730-8</t>
  </si>
  <si>
    <t>HYDROXYZINE PAM 75MG</t>
  </si>
  <si>
    <t>250729-1</t>
  </si>
  <si>
    <t>HYDROXYZINE PAM 50MG</t>
  </si>
  <si>
    <t>250728-2</t>
  </si>
  <si>
    <t>HYDROXYZINE PAM 25MG</t>
  </si>
  <si>
    <t>250727-3</t>
  </si>
  <si>
    <t>HYDROXYZINE PAM 100M</t>
  </si>
  <si>
    <t>250726-4</t>
  </si>
  <si>
    <t>HYDROXYZINE LIQ DOSE</t>
  </si>
  <si>
    <t>250725-5</t>
  </si>
  <si>
    <t>HYDROXYZINE HCL PO</t>
  </si>
  <si>
    <t>250724-6</t>
  </si>
  <si>
    <t>HYDROXYZINE HCL 50MG</t>
  </si>
  <si>
    <t>250723-7</t>
  </si>
  <si>
    <t>HYDROXYZINE HCL 25MG</t>
  </si>
  <si>
    <t>250722-8</t>
  </si>
  <si>
    <t>HYDROXYZINE HCL 10MG</t>
  </si>
  <si>
    <t>250721-9</t>
  </si>
  <si>
    <t>HYDROXYZINE 50MG/ML</t>
  </si>
  <si>
    <t>250720-0</t>
  </si>
  <si>
    <t>HYDROXYCHLOROQUINE 2</t>
  </si>
  <si>
    <t>250719-3</t>
  </si>
  <si>
    <t>SUMATRIPTAN 50MG TAB</t>
  </si>
  <si>
    <t>250718-4</t>
  </si>
  <si>
    <t>HYDROMORPHONE 2MG IN</t>
  </si>
  <si>
    <t>250717-5</t>
  </si>
  <si>
    <t>SUMATRIPTAN 25MG TAB</t>
  </si>
  <si>
    <t>250716-6</t>
  </si>
  <si>
    <t>HYDROMORPHONE 4MG PO</t>
  </si>
  <si>
    <t>250715-7</t>
  </si>
  <si>
    <t>HYDROMORPHONE 2MG PO</t>
  </si>
  <si>
    <t>250714-8</t>
  </si>
  <si>
    <t>HYDROMORPHONE 1MG PO</t>
  </si>
  <si>
    <t>250713-9</t>
  </si>
  <si>
    <t>RISPERDAL LIQUID</t>
  </si>
  <si>
    <t>250712-0</t>
  </si>
  <si>
    <t>HYDROGEN PEROXIDE 16</t>
  </si>
  <si>
    <t>250711-1</t>
  </si>
  <si>
    <t>HYDROCORT SOD SUC IN</t>
  </si>
  <si>
    <t>250710-2</t>
  </si>
  <si>
    <t>HYDROCORTISONE 2.5%C</t>
  </si>
  <si>
    <t>250709-5</t>
  </si>
  <si>
    <t>HYDROCORTISONE BUT C</t>
  </si>
  <si>
    <t>250708-6</t>
  </si>
  <si>
    <t>PREDNISONE 20MG PO</t>
  </si>
  <si>
    <t>250707-7</t>
  </si>
  <si>
    <t>HYDROCORTISONE 1% LO</t>
  </si>
  <si>
    <t>250706-8</t>
  </si>
  <si>
    <t>HYDROCORTISONE 1% CR</t>
  </si>
  <si>
    <t>250705-9</t>
  </si>
  <si>
    <t>HYDROCORTISONE 0.5%L</t>
  </si>
  <si>
    <t>250704-0</t>
  </si>
  <si>
    <t>HYDROCORTISONE 0.5%</t>
  </si>
  <si>
    <t>250703-1</t>
  </si>
  <si>
    <t>HYDROCODONE/APAP PO</t>
  </si>
  <si>
    <t>250702-2</t>
  </si>
  <si>
    <t>HYDROCODONE 7.5/ACET</t>
  </si>
  <si>
    <t>250701-3</t>
  </si>
  <si>
    <t>HYDROCODONE 2.5/ACET</t>
  </si>
  <si>
    <t>250700-4</t>
  </si>
  <si>
    <t>HYDROCHLOR PO</t>
  </si>
  <si>
    <t>250699-7</t>
  </si>
  <si>
    <t>HYDROCHLOR 50MG PO</t>
  </si>
  <si>
    <t>250698-8</t>
  </si>
  <si>
    <t>HYDROCHLOR 25MG PO</t>
  </si>
  <si>
    <t>250697-9</t>
  </si>
  <si>
    <t>METFORMIN 850MG</t>
  </si>
  <si>
    <t>250696-0</t>
  </si>
  <si>
    <t>HYDRALAZINE 50MG PO</t>
  </si>
  <si>
    <t>250695-1</t>
  </si>
  <si>
    <t>HYDRALAZINE 25MG PO</t>
  </si>
  <si>
    <t>250694-2</t>
  </si>
  <si>
    <t>HYDRALAZINE 10MG PO</t>
  </si>
  <si>
    <t>250693-3</t>
  </si>
  <si>
    <t>HYDRAL/HCTZ 25/25 PO</t>
  </si>
  <si>
    <t>250692-4</t>
  </si>
  <si>
    <t>HEXACHLOROPHENE 3% 5</t>
  </si>
  <si>
    <t>250691-5</t>
  </si>
  <si>
    <t>HEPATITIS B VAC DOSE</t>
  </si>
  <si>
    <t>250690-6</t>
  </si>
  <si>
    <t>HEPARIN INJ</t>
  </si>
  <si>
    <t>250689-9</t>
  </si>
  <si>
    <t>HEPARIN FLUSH PER DO</t>
  </si>
  <si>
    <t>250688-0</t>
  </si>
  <si>
    <t>HEMORR SUPPS (PREP H</t>
  </si>
  <si>
    <t>250687-1</t>
  </si>
  <si>
    <t>HEMORR SUPP HC</t>
  </si>
  <si>
    <t>250686-2</t>
  </si>
  <si>
    <t>HEMORR SUPP (ANUSOL)</t>
  </si>
  <si>
    <t>250685-3</t>
  </si>
  <si>
    <t>HEMORR OINTMENT 1 OZ</t>
  </si>
  <si>
    <t>250684-4</t>
  </si>
  <si>
    <t>HEMORR FOAM HC 10GM</t>
  </si>
  <si>
    <t>250683-5</t>
  </si>
  <si>
    <t>HEMMOR CREAM/HC 30GM</t>
  </si>
  <si>
    <t>250682-6</t>
  </si>
  <si>
    <t>OLANZAPINE 7.5 MG PO</t>
  </si>
  <si>
    <t>250681-7</t>
  </si>
  <si>
    <t>MIRTAZAPINE 45MG PO</t>
  </si>
  <si>
    <t>250680-8</t>
  </si>
  <si>
    <t>HALOPERIDOL PO</t>
  </si>
  <si>
    <t>250679-1</t>
  </si>
  <si>
    <t>HALOPERIDOL INJ 25MG</t>
  </si>
  <si>
    <t>250678-2</t>
  </si>
  <si>
    <t>HALOPERIDOL CONC DOS</t>
  </si>
  <si>
    <t>250677-3</t>
  </si>
  <si>
    <t>HALOPERIDOL 5MG/ML I</t>
  </si>
  <si>
    <t>250676-4</t>
  </si>
  <si>
    <t>HALOPERIDOL 5MG PO</t>
  </si>
  <si>
    <t>250675-5</t>
  </si>
  <si>
    <t>HALOPERIDOL 2MG PO</t>
  </si>
  <si>
    <t>250674-6</t>
  </si>
  <si>
    <t>HALOPERIDOL 20MG PO</t>
  </si>
  <si>
    <t>250673-7</t>
  </si>
  <si>
    <t>HALOPERIDOL 1MG PO</t>
  </si>
  <si>
    <t>250672-8</t>
  </si>
  <si>
    <t>HALOPERIDOL 10MG PO</t>
  </si>
  <si>
    <t>250671-9</t>
  </si>
  <si>
    <t>HALOPERIDOL 0.5MG PO</t>
  </si>
  <si>
    <t>250670-0</t>
  </si>
  <si>
    <t>HALL'S MEN COUGH DRO</t>
  </si>
  <si>
    <t>250669-3</t>
  </si>
  <si>
    <t>HALCINON 0.1% CR 15G</t>
  </si>
  <si>
    <t>250668-4</t>
  </si>
  <si>
    <t>GUANFACINE 2MG PO</t>
  </si>
  <si>
    <t>250667-5</t>
  </si>
  <si>
    <t>GUANFACINE 1MG PO</t>
  </si>
  <si>
    <t>250666-6</t>
  </si>
  <si>
    <t>GUANETHIDINE SULF PO</t>
  </si>
  <si>
    <t>250665-7</t>
  </si>
  <si>
    <t>GUANETHIDINE SULF 10</t>
  </si>
  <si>
    <t>250664-8</t>
  </si>
  <si>
    <t>GUANABENZ ACETATE PO</t>
  </si>
  <si>
    <t>250663-9</t>
  </si>
  <si>
    <t>GUANABENZ ACETATE 4M</t>
  </si>
  <si>
    <t>250662-0</t>
  </si>
  <si>
    <t>GUAIFENESIN W/DEX DO</t>
  </si>
  <si>
    <t>250661-1</t>
  </si>
  <si>
    <t>GUAIFENESIN W/DEX 10</t>
  </si>
  <si>
    <t>250660-2</t>
  </si>
  <si>
    <t>GUAIFENESIN EXP DOSE</t>
  </si>
  <si>
    <t>250659-5</t>
  </si>
  <si>
    <t>GUAIFENESIN EXP 5ML</t>
  </si>
  <si>
    <t>250658-6</t>
  </si>
  <si>
    <t>GUAIFENESIN EXP 10ML</t>
  </si>
  <si>
    <t>250657-7</t>
  </si>
  <si>
    <t>GUAIFENESIN 600MG SR</t>
  </si>
  <si>
    <t>250656-8</t>
  </si>
  <si>
    <t>GRISEOFULVIN UF 500M</t>
  </si>
  <si>
    <t>250655-9</t>
  </si>
  <si>
    <t>GRISEOFULVIN PG 330P</t>
  </si>
  <si>
    <t>250654-0</t>
  </si>
  <si>
    <t>GRISEOFULIN 250MG PO</t>
  </si>
  <si>
    <t>250653-1</t>
  </si>
  <si>
    <t>HEALTH SHAKE-ENSURE</t>
  </si>
  <si>
    <t>250652-2</t>
  </si>
  <si>
    <t>GLYCOPYRROLATE INJ</t>
  </si>
  <si>
    <t>250651-3</t>
  </si>
  <si>
    <t>GLYCERIN SUPP</t>
  </si>
  <si>
    <t>250650-4</t>
  </si>
  <si>
    <t>GLYBURIDE PO</t>
  </si>
  <si>
    <t>250649-8</t>
  </si>
  <si>
    <t>GLYBURIDE 5MG PO</t>
  </si>
  <si>
    <t>250648-9</t>
  </si>
  <si>
    <t>GLYBURIDE 2.5MG PO</t>
  </si>
  <si>
    <t>250647-0</t>
  </si>
  <si>
    <t>GLYBURIDE 10MG PO</t>
  </si>
  <si>
    <t>250646-1</t>
  </si>
  <si>
    <t>GLUCOSE TEST STRIP</t>
  </si>
  <si>
    <t>250645-2</t>
  </si>
  <si>
    <t>GABAPENTIN 400MG PO</t>
  </si>
  <si>
    <t>250644-3</t>
  </si>
  <si>
    <t>GLUCERNA</t>
  </si>
  <si>
    <t>250643-4</t>
  </si>
  <si>
    <t>GLUCAGON 1MG VIAL</t>
  </si>
  <si>
    <t>250642-5</t>
  </si>
  <si>
    <t>GLIPIZIDE PO XL 5MG</t>
  </si>
  <si>
    <t>250641-6</t>
  </si>
  <si>
    <t>GLIPIZIDE 5MG PO</t>
  </si>
  <si>
    <t>250640-7</t>
  </si>
  <si>
    <t>GLIPIZIDE 10MG PO</t>
  </si>
  <si>
    <t>250639-0</t>
  </si>
  <si>
    <t>GENTAMYCIN OPHTH SOL</t>
  </si>
  <si>
    <t>250638-1</t>
  </si>
  <si>
    <t>250637-2</t>
  </si>
  <si>
    <t>GENTAMYCIN CREAM 15G</t>
  </si>
  <si>
    <t>250636-3</t>
  </si>
  <si>
    <t>GENT VIOLET 1% SOL 1</t>
  </si>
  <si>
    <t>250635-4</t>
  </si>
  <si>
    <t>GEMFIBROZIL 600MG</t>
  </si>
  <si>
    <t>250634-5</t>
  </si>
  <si>
    <t>LANSOPRAZOLE 30MG</t>
  </si>
  <si>
    <t>250633-6</t>
  </si>
  <si>
    <t>FUROSEMIDE PO</t>
  </si>
  <si>
    <t>250632-7</t>
  </si>
  <si>
    <t>FUROSEMIDE 80MG PO</t>
  </si>
  <si>
    <t>250631-8</t>
  </si>
  <si>
    <t>FUROSEMIDE 40MG PO</t>
  </si>
  <si>
    <t>250630-9</t>
  </si>
  <si>
    <t>LANSOPRAZOLE 15MG</t>
  </si>
  <si>
    <t>250629-2</t>
  </si>
  <si>
    <t>FUROSEMIDE 20MG PO</t>
  </si>
  <si>
    <t>250628-3</t>
  </si>
  <si>
    <t>FUROSEMIDE 20MG INJ</t>
  </si>
  <si>
    <t>250627-4</t>
  </si>
  <si>
    <t>FOSTRIL LOTION 1OZ</t>
  </si>
  <si>
    <t>250626-5</t>
  </si>
  <si>
    <t>FOS MED CLEANSING BR</t>
  </si>
  <si>
    <t>250625-6</t>
  </si>
  <si>
    <t>QUETIAPINE 25MG</t>
  </si>
  <si>
    <t>250624-7</t>
  </si>
  <si>
    <t>FOSINOPRIL 10MG PO</t>
  </si>
  <si>
    <t>250623-8</t>
  </si>
  <si>
    <t>FOLIC ACID PO</t>
  </si>
  <si>
    <t>250622-9</t>
  </si>
  <si>
    <t>FOLIC ACID 1MG PO</t>
  </si>
  <si>
    <t>250621-0</t>
  </si>
  <si>
    <t>FLUTICASONE 0.05% CR</t>
  </si>
  <si>
    <t>250620-1</t>
  </si>
  <si>
    <t>FLURBIPROFEN 50MG</t>
  </si>
  <si>
    <t>250619-4</t>
  </si>
  <si>
    <t>FLURBIPROFEN 100MG</t>
  </si>
  <si>
    <t>250618-5</t>
  </si>
  <si>
    <t>FLURAZEPAM 30MG PO</t>
  </si>
  <si>
    <t>250617-6</t>
  </si>
  <si>
    <t>FLURAZEPAM 15MG PO</t>
  </si>
  <si>
    <t>250616-7</t>
  </si>
  <si>
    <t>FLURA/NEO CREAM 30GM</t>
  </si>
  <si>
    <t>250615-8</t>
  </si>
  <si>
    <t>FLUPHEN HCL 2.5MG/ML</t>
  </si>
  <si>
    <t>250614-9</t>
  </si>
  <si>
    <t>FLUPHENAZINE EN INJ</t>
  </si>
  <si>
    <t>250613-0</t>
  </si>
  <si>
    <t>FLUPHENAZINE DEC INJ</t>
  </si>
  <si>
    <t>250612-1</t>
  </si>
  <si>
    <t>FLUPHENAZINE CONCENT</t>
  </si>
  <si>
    <t>250611-2</t>
  </si>
  <si>
    <t>FLUPHENAZINE 5MG PO</t>
  </si>
  <si>
    <t>250610-3</t>
  </si>
  <si>
    <t>FLUPHENAZINE 2.5MG P</t>
  </si>
  <si>
    <t>250609-6</t>
  </si>
  <si>
    <t>FLUPHENAZINE 1MG PO</t>
  </si>
  <si>
    <t>250608-7</t>
  </si>
  <si>
    <t>FLUPHENAZINE 10MG PO</t>
  </si>
  <si>
    <t>250607-8</t>
  </si>
  <si>
    <t>FLUPHENAZINE PO</t>
  </si>
  <si>
    <t>250606-9</t>
  </si>
  <si>
    <t>FLUOXYMESTERONE 10MG</t>
  </si>
  <si>
    <t>250605-0</t>
  </si>
  <si>
    <t>FLUOXETINE PO</t>
  </si>
  <si>
    <t>250604-1</t>
  </si>
  <si>
    <t>FLUOXETINE 80MG PO</t>
  </si>
  <si>
    <t>250603-2</t>
  </si>
  <si>
    <t>FLUOXETINE 60MG PO</t>
  </si>
  <si>
    <t>250602-3</t>
  </si>
  <si>
    <t>FLUOXETINE 40MG PO</t>
  </si>
  <si>
    <t>250601-4</t>
  </si>
  <si>
    <t>FLUOXETINE 30MG PO</t>
  </si>
  <si>
    <t>250600-5</t>
  </si>
  <si>
    <t>FLUOXETINE 20MG/5ML</t>
  </si>
  <si>
    <t>250599-8</t>
  </si>
  <si>
    <t>FLUOXETINE 20MG</t>
  </si>
  <si>
    <t>250598-9</t>
  </si>
  <si>
    <t>FLUOXETINE 10MG/2.5M</t>
  </si>
  <si>
    <t>250597-0</t>
  </si>
  <si>
    <t>FLUOXETINE 10MG PO</t>
  </si>
  <si>
    <t>250596-1</t>
  </si>
  <si>
    <t>FLUOCINONIDE 0.05% O</t>
  </si>
  <si>
    <t>250595-2</t>
  </si>
  <si>
    <t>FLUOCIN ACE 0.025% C</t>
  </si>
  <si>
    <t>250594-3</t>
  </si>
  <si>
    <t>FLUOCIN ACE 0.01% SO</t>
  </si>
  <si>
    <t>250593-4</t>
  </si>
  <si>
    <t>FLUOCINONIDE 0.05% C</t>
  </si>
  <si>
    <t>250592-5</t>
  </si>
  <si>
    <t>FLUNISOLIDE INHALER</t>
  </si>
  <si>
    <t>250591-6</t>
  </si>
  <si>
    <t>FLUNISOLIDE NASAL SP</t>
  </si>
  <si>
    <t>250590-7</t>
  </si>
  <si>
    <t>QUETIAPINE 100MG</t>
  </si>
  <si>
    <t>250589-0</t>
  </si>
  <si>
    <t>FLUCONAZOLE 200MG PO</t>
  </si>
  <si>
    <t>250588-1</t>
  </si>
  <si>
    <t>FLUCONAZOLE 100MG PO</t>
  </si>
  <si>
    <t>250587-2</t>
  </si>
  <si>
    <t>FLU VACCINE INJ</t>
  </si>
  <si>
    <t>250586-3</t>
  </si>
  <si>
    <t>FLEETS ENEMA REG</t>
  </si>
  <si>
    <t>250585-4</t>
  </si>
  <si>
    <t>FLEETS ENEMA OIL</t>
  </si>
  <si>
    <t>250584-5</t>
  </si>
  <si>
    <t>FLECANIDE 100MG PO</t>
  </si>
  <si>
    <t>250583-6</t>
  </si>
  <si>
    <t>FLAVOXATE 100MG PO</t>
  </si>
  <si>
    <t>250582-7</t>
  </si>
  <si>
    <t>FINASTERIDE 5MG PO</t>
  </si>
  <si>
    <t>250581-8</t>
  </si>
  <si>
    <t>FERROUS SULFATE 5GR</t>
  </si>
  <si>
    <t>250580-9</t>
  </si>
  <si>
    <t>FERROUS SULFATE 325M</t>
  </si>
  <si>
    <t>250579-2</t>
  </si>
  <si>
    <t>FERROUS GLUC 300MG P</t>
  </si>
  <si>
    <t>250578-3</t>
  </si>
  <si>
    <t>FERROUS SULFATE ELIX</t>
  </si>
  <si>
    <t>250577-4</t>
  </si>
  <si>
    <t>FENTANYL 40CM PATCH</t>
  </si>
  <si>
    <t>250576-5</t>
  </si>
  <si>
    <t>FENTANYL 30CM PATCH</t>
  </si>
  <si>
    <t>250575-6</t>
  </si>
  <si>
    <t>FENTANYL 20CM PATCH</t>
  </si>
  <si>
    <t>250574-7</t>
  </si>
  <si>
    <t>FENTANYL 10CM PATCH</t>
  </si>
  <si>
    <t>250573-8</t>
  </si>
  <si>
    <t>FENPROFEN 600MG PO</t>
  </si>
  <si>
    <t>250572-9</t>
  </si>
  <si>
    <t>FENPROFEN 300MG PO</t>
  </si>
  <si>
    <t>250571-0</t>
  </si>
  <si>
    <t>FENPROFEN 200MG PO</t>
  </si>
  <si>
    <t>250570-1</t>
  </si>
  <si>
    <t>FELODIPINE 5MG PO</t>
  </si>
  <si>
    <t>250569-4</t>
  </si>
  <si>
    <t>FELODIPINE 10MG PO</t>
  </si>
  <si>
    <t>250568-5</t>
  </si>
  <si>
    <t>FAMOTIDINE 40MG PO</t>
  </si>
  <si>
    <t>250567-6</t>
  </si>
  <si>
    <t>FAMOTIDINE 20MG PO</t>
  </si>
  <si>
    <t>250566-7</t>
  </si>
  <si>
    <t>ETOMIDATE INJ 2MG/ML</t>
  </si>
  <si>
    <t>250565-8</t>
  </si>
  <si>
    <t>ETODOLAC 300MG PO</t>
  </si>
  <si>
    <t>250564-9</t>
  </si>
  <si>
    <t>ETODOLAC 200MG PO</t>
  </si>
  <si>
    <t>250563-0</t>
  </si>
  <si>
    <t>ETHOSUXIMIDE SYR DOS</t>
  </si>
  <si>
    <t>250562-1</t>
  </si>
  <si>
    <t>ETHOSUXIMIDE 250MG P</t>
  </si>
  <si>
    <t>250561-2</t>
  </si>
  <si>
    <t>ETHINYL ESTRADIOL.02</t>
  </si>
  <si>
    <t>250560-3</t>
  </si>
  <si>
    <t>ETHINYL ESTRADIOL.05</t>
  </si>
  <si>
    <t>250559-6</t>
  </si>
  <si>
    <t>ETHAVERINE 100MG PO</t>
  </si>
  <si>
    <t>250558-7</t>
  </si>
  <si>
    <t>ETHACRYNIC ACID 25MG</t>
  </si>
  <si>
    <t>250557-8</t>
  </si>
  <si>
    <t>ETHACRYNIC ACID 50MG</t>
  </si>
  <si>
    <t>250556-9</t>
  </si>
  <si>
    <t>PILOCARPINE OPHTH SO</t>
  </si>
  <si>
    <t>250555-0</t>
  </si>
  <si>
    <t>ESTROGENS CON VAG CR</t>
  </si>
  <si>
    <t>250554-1</t>
  </si>
  <si>
    <t>ESTROGENS CONJ 2.5MG</t>
  </si>
  <si>
    <t>250553-2</t>
  </si>
  <si>
    <t>ESTROGENS CONJ 1.25M</t>
  </si>
  <si>
    <t>250552-3</t>
  </si>
  <si>
    <t>ESTROGENS CONJ 0.9MG</t>
  </si>
  <si>
    <t>250551-4</t>
  </si>
  <si>
    <t>ESTROGENS CONJ 0.625</t>
  </si>
  <si>
    <t>250550-5</t>
  </si>
  <si>
    <t>ESTROGENS CONJ 0.3MG</t>
  </si>
  <si>
    <t>250549-9</t>
  </si>
  <si>
    <t>ESTROGEN/METHYL PO</t>
  </si>
  <si>
    <t>250548-0</t>
  </si>
  <si>
    <t>ESTROGEN/METHYL HS P</t>
  </si>
  <si>
    <t>250547-1</t>
  </si>
  <si>
    <t>NEFAZODONE 50MG PO</t>
  </si>
  <si>
    <t>250546-2</t>
  </si>
  <si>
    <t>ESTRADIOL 2MG PO</t>
  </si>
  <si>
    <t>250545-3</t>
  </si>
  <si>
    <t>ESTRADIOL 1MG PO</t>
  </si>
  <si>
    <t>250544-4</t>
  </si>
  <si>
    <t>ESTRA TRAN 0.1MG PAT</t>
  </si>
  <si>
    <t>250543-5</t>
  </si>
  <si>
    <t>ESTRA TRAN 0.05MG PA</t>
  </si>
  <si>
    <t>250542-6</t>
  </si>
  <si>
    <t>ESTAZOLAM 2MG PO</t>
  </si>
  <si>
    <t>250541-7</t>
  </si>
  <si>
    <t>ESTAZOLAM 1MG PO</t>
  </si>
  <si>
    <t>250540-8</t>
  </si>
  <si>
    <t>ESMOLOL INJ 100MG/ML</t>
  </si>
  <si>
    <t>250539-1</t>
  </si>
  <si>
    <t>ERYTH/SULFISOX SUSP</t>
  </si>
  <si>
    <t>250538-2</t>
  </si>
  <si>
    <t>ERYTHROMYCIN SUSP PO</t>
  </si>
  <si>
    <t>250537-3</t>
  </si>
  <si>
    <t>ERYTHROMYCIN OPHTH O</t>
  </si>
  <si>
    <t>250536-4</t>
  </si>
  <si>
    <t>ERYTHROMYCIN EC 500M</t>
  </si>
  <si>
    <t>250535-5</t>
  </si>
  <si>
    <t>ERYTHROMYCIN EC 333M</t>
  </si>
  <si>
    <t>250534-6</t>
  </si>
  <si>
    <t>ERYTHROMYCIN EC 250M</t>
  </si>
  <si>
    <t>250533-7</t>
  </si>
  <si>
    <t>ERYTHROMYCIN 2% TOP</t>
  </si>
  <si>
    <t>250532-8</t>
  </si>
  <si>
    <t>ERYTHROMYCIN 400MG P</t>
  </si>
  <si>
    <t>250531-9</t>
  </si>
  <si>
    <t>ERGOTAMINE/CAFFEINE</t>
  </si>
  <si>
    <t>250530-0</t>
  </si>
  <si>
    <t>ERGOTAMINE SUPP</t>
  </si>
  <si>
    <t>250529-3</t>
  </si>
  <si>
    <t>ERGONOVINE MALE 0.2M</t>
  </si>
  <si>
    <t>250528-4</t>
  </si>
  <si>
    <t>ERGOLOID MES 1MG SL</t>
  </si>
  <si>
    <t>250527-5</t>
  </si>
  <si>
    <t>ERGOLOID MES 1MG PO</t>
  </si>
  <si>
    <t>250526-6</t>
  </si>
  <si>
    <t>ERGO/BELL ALK/PHEN P</t>
  </si>
  <si>
    <t>250525-7</t>
  </si>
  <si>
    <t>ERGO/BELL ALK/PHEN L</t>
  </si>
  <si>
    <t>250524-8</t>
  </si>
  <si>
    <t>EPINEPHRINE INHAL 15</t>
  </si>
  <si>
    <t>250523-9</t>
  </si>
  <si>
    <t>EPINEPHRINE 0.5% OPH</t>
  </si>
  <si>
    <t>250522-0</t>
  </si>
  <si>
    <t>EPINEPHRINE 1:1000 S</t>
  </si>
  <si>
    <t>250521-1</t>
  </si>
  <si>
    <t>EPINRPHRINE 1% OPHTH</t>
  </si>
  <si>
    <t>250520-2</t>
  </si>
  <si>
    <t>ENSURE PLUS 8OZ</t>
  </si>
  <si>
    <t>250519-5</t>
  </si>
  <si>
    <t>ENSURE 8OZ</t>
  </si>
  <si>
    <t>250518-6</t>
  </si>
  <si>
    <t>ENALAPRIL PO</t>
  </si>
  <si>
    <t>250517-7</t>
  </si>
  <si>
    <t>ENALAPRIL 5MG PO</t>
  </si>
  <si>
    <t>250516-8</t>
  </si>
  <si>
    <t>ENALAPRIL 10MG PO</t>
  </si>
  <si>
    <t>250515-9</t>
  </si>
  <si>
    <t>NEFAZODONE 150MG PO</t>
  </si>
  <si>
    <t>250514-0</t>
  </si>
  <si>
    <t>OLANZAPINE 20MG PO</t>
  </si>
  <si>
    <t>250513-1</t>
  </si>
  <si>
    <t>OLANZAPINE 25MG PO</t>
  </si>
  <si>
    <t>250512-2</t>
  </si>
  <si>
    <t>SCOPOLAMINE PATCH</t>
  </si>
  <si>
    <t>250511-3</t>
  </si>
  <si>
    <t>NEFAZODONE 200MG PO</t>
  </si>
  <si>
    <t>250510-4</t>
  </si>
  <si>
    <t>BUPROPION 50MG PO</t>
  </si>
  <si>
    <t>250509-7</t>
  </si>
  <si>
    <t>DROPERIDOL 2.5MG/ML</t>
  </si>
  <si>
    <t>250508-8</t>
  </si>
  <si>
    <t>DOXYCYCLINE 50MG CAP</t>
  </si>
  <si>
    <t>250507-9</t>
  </si>
  <si>
    <t>DOXYCYCLINE 100MG TA</t>
  </si>
  <si>
    <t>250506-0</t>
  </si>
  <si>
    <t>DOXYCYCLINE 100MG CA</t>
  </si>
  <si>
    <t>250505-1</t>
  </si>
  <si>
    <t>DOXEPIN PO</t>
  </si>
  <si>
    <t>250504-2</t>
  </si>
  <si>
    <t>DOXEPIN CONCENT DOSE</t>
  </si>
  <si>
    <t>250503-3</t>
  </si>
  <si>
    <t>DOXEPIN 75MG PO</t>
  </si>
  <si>
    <t>250502-4</t>
  </si>
  <si>
    <t>DOXEPIN 50MG PO</t>
  </si>
  <si>
    <t>250501-5</t>
  </si>
  <si>
    <t>DOXEPIN 300MG PO</t>
  </si>
  <si>
    <t>250500-6</t>
  </si>
  <si>
    <t>DOXEPIN 25MG PO</t>
  </si>
  <si>
    <t>250499-9</t>
  </si>
  <si>
    <t>DOXEPIN 250MG PO</t>
  </si>
  <si>
    <t>250498-0</t>
  </si>
  <si>
    <t>DOXEPINE 200MG PO</t>
  </si>
  <si>
    <t>250497-1</t>
  </si>
  <si>
    <t>DOXEPIN 150MG PO</t>
  </si>
  <si>
    <t>250496-2</t>
  </si>
  <si>
    <t>DOXEPIN 10MG PO</t>
  </si>
  <si>
    <t>250495-3</t>
  </si>
  <si>
    <t>DOXEPIN 100MG PO</t>
  </si>
  <si>
    <t>250494-4</t>
  </si>
  <si>
    <t>DOXAZOSIN 2MG PO</t>
  </si>
  <si>
    <t>250493-5</t>
  </si>
  <si>
    <t>DOXAPRAM 20MG/ML 20M</t>
  </si>
  <si>
    <t>250492-6</t>
  </si>
  <si>
    <t>DOUCHE DISPOS</t>
  </si>
  <si>
    <t>250491-7</t>
  </si>
  <si>
    <t>VERAPAMIL 40MG PO</t>
  </si>
  <si>
    <t>250490-8</t>
  </si>
  <si>
    <t>DOPAMINE 400MG INJ</t>
  </si>
  <si>
    <t>250489-1</t>
  </si>
  <si>
    <t>EPIVIR 150MG PO TABL</t>
  </si>
  <si>
    <t>250488-2</t>
  </si>
  <si>
    <t>DOCUSATE/CAS 30MG PO</t>
  </si>
  <si>
    <t>250487-3</t>
  </si>
  <si>
    <t>TICLOPIDINE 250MG PO</t>
  </si>
  <si>
    <t>250486-4</t>
  </si>
  <si>
    <t>DOCUSATE SODIUM 50MG</t>
  </si>
  <si>
    <t>250485-5</t>
  </si>
  <si>
    <t>DOCUSATE SODIUM 100M</t>
  </si>
  <si>
    <t>250484-6</t>
  </si>
  <si>
    <t>DOCUSATE POT 100MG P</t>
  </si>
  <si>
    <t>250483-7</t>
  </si>
  <si>
    <t>DOCUSATE PHENOPHTH P</t>
  </si>
  <si>
    <t>250482-8</t>
  </si>
  <si>
    <t>DOCUSATE CALCIUM 240</t>
  </si>
  <si>
    <t>250481-9</t>
  </si>
  <si>
    <t>DIVALPROEX 750MG PO</t>
  </si>
  <si>
    <t>250480-0</t>
  </si>
  <si>
    <t>DIVALPROEX 500MG PO</t>
  </si>
  <si>
    <t>250479-3</t>
  </si>
  <si>
    <t>DIVALPROEX 250MG PO</t>
  </si>
  <si>
    <t>250478-4</t>
  </si>
  <si>
    <t>DIVALPROEX 125MG PO</t>
  </si>
  <si>
    <t>250477-5</t>
  </si>
  <si>
    <t>DIVALPROEX 1000MG PO</t>
  </si>
  <si>
    <t>250476-6</t>
  </si>
  <si>
    <t>DISULFIRAM PO</t>
  </si>
  <si>
    <t>250475-7</t>
  </si>
  <si>
    <t>DISULFIRAM 500MG PO</t>
  </si>
  <si>
    <t>250474-8</t>
  </si>
  <si>
    <t>DISULFIRAM 250MG PO</t>
  </si>
  <si>
    <t>250473-9</t>
  </si>
  <si>
    <t>DISOPYRAMIDE 100MG P</t>
  </si>
  <si>
    <t>250472-0</t>
  </si>
  <si>
    <t>DIPYRIDAMOLE 75MG PO</t>
  </si>
  <si>
    <t>250471-1</t>
  </si>
  <si>
    <t>DIPYRIDAMOLE 50MG PO</t>
  </si>
  <si>
    <t>250470-2</t>
  </si>
  <si>
    <t>DIPYRIDAMOLE 25MG PO</t>
  </si>
  <si>
    <t>250469-5</t>
  </si>
  <si>
    <t>DIPTHER/TETANUS TOX.</t>
  </si>
  <si>
    <t>250468-6</t>
  </si>
  <si>
    <t>DIPHENOXY/ATROPINE P</t>
  </si>
  <si>
    <t>250467-7</t>
  </si>
  <si>
    <t>DIPHENOXY/ATROP LIQ.</t>
  </si>
  <si>
    <t>250466-8</t>
  </si>
  <si>
    <t>DIPHENHYDRAMINE INJ</t>
  </si>
  <si>
    <t>250465-9</t>
  </si>
  <si>
    <t>DIPHENHYDRAMINE ELIX</t>
  </si>
  <si>
    <t>250464-0</t>
  </si>
  <si>
    <t>DIPHENHYDRAMINE 50MG</t>
  </si>
  <si>
    <t>250463-1</t>
  </si>
  <si>
    <t>DIPHENHYDRAMINE 25MG</t>
  </si>
  <si>
    <t>250462-2</t>
  </si>
  <si>
    <t>DIPHENHYDRAMINE 2% S</t>
  </si>
  <si>
    <t>250461-3</t>
  </si>
  <si>
    <t>DIPHENHYDRAMINE 2% C</t>
  </si>
  <si>
    <t>250460-4</t>
  </si>
  <si>
    <t>DIPHENHYDRAMINE PO</t>
  </si>
  <si>
    <t>250459-7</t>
  </si>
  <si>
    <t>DIMENHYDRINATE 50MG</t>
  </si>
  <si>
    <t>250458-8</t>
  </si>
  <si>
    <t>DILTIAZEM SR 120MG P</t>
  </si>
  <si>
    <t>250457-9</t>
  </si>
  <si>
    <t>DILTIAZEM CD 300MG P</t>
  </si>
  <si>
    <t>250456-0</t>
  </si>
  <si>
    <t>DILTIAZEM CD 240MG P</t>
  </si>
  <si>
    <t>250455-1</t>
  </si>
  <si>
    <t>DILTIAZEM CD 180MG P</t>
  </si>
  <si>
    <t>250454-2</t>
  </si>
  <si>
    <t>DILTIAZEM CD 120MG P</t>
  </si>
  <si>
    <t>250453-3</t>
  </si>
  <si>
    <t>DILTIAZEM 90MG PO</t>
  </si>
  <si>
    <t>250452-4</t>
  </si>
  <si>
    <t>DILTIAZEM 60MG PO</t>
  </si>
  <si>
    <t>250451-5</t>
  </si>
  <si>
    <t>DILTIAZEM 30MG PO</t>
  </si>
  <si>
    <t>250450-6</t>
  </si>
  <si>
    <t>DIGOXIN PO</t>
  </si>
  <si>
    <t>250449-0</t>
  </si>
  <si>
    <t>DIGOXIN ELIXIR 0.05M</t>
  </si>
  <si>
    <t>250448-1</t>
  </si>
  <si>
    <t>MIRTAZAPINE 15MG PO</t>
  </si>
  <si>
    <t>250447-2</t>
  </si>
  <si>
    <t>OLANZAPINE 2.5MG PO</t>
  </si>
  <si>
    <t>250446-3</t>
  </si>
  <si>
    <t>CISAPRIDE 10MG PO</t>
  </si>
  <si>
    <t>250445-4</t>
  </si>
  <si>
    <t>DIGOXIN 0.25MG PO</t>
  </si>
  <si>
    <t>250444-5</t>
  </si>
  <si>
    <t>DIGOXIN 0.5MG/2ML IN</t>
  </si>
  <si>
    <t>250443-6</t>
  </si>
  <si>
    <t>PROYLTHIOURACIL 50MG</t>
  </si>
  <si>
    <t>250442-7</t>
  </si>
  <si>
    <t>DIGOXIN 0.125MG PO</t>
  </si>
  <si>
    <t>250441-8</t>
  </si>
  <si>
    <t>DIGESTIVE ENZYME PO</t>
  </si>
  <si>
    <t>250440-9</t>
  </si>
  <si>
    <t>DIFLUNISAL 500MG PO</t>
  </si>
  <si>
    <t>250439-2</t>
  </si>
  <si>
    <t>DIFLUNISAL 250MG PO</t>
  </si>
  <si>
    <t>250438-3</t>
  </si>
  <si>
    <t>OLANZAPINE 15MG PO</t>
  </si>
  <si>
    <t>250437-4</t>
  </si>
  <si>
    <t>DICYCLOMINE INJ</t>
  </si>
  <si>
    <t>250436-5</t>
  </si>
  <si>
    <t>DICYCLOMINE 20MG PO</t>
  </si>
  <si>
    <t>250435-6</t>
  </si>
  <si>
    <t>DICYCLOMINE 10MG PO</t>
  </si>
  <si>
    <t>250434-7</t>
  </si>
  <si>
    <t>DICLOXACILLIN 500MG</t>
  </si>
  <si>
    <t>250433-8</t>
  </si>
  <si>
    <t>DICLOXACILLIN 250MG</t>
  </si>
  <si>
    <t>250432-9</t>
  </si>
  <si>
    <t>DICLOFENAL PO</t>
  </si>
  <si>
    <t>250431-0</t>
  </si>
  <si>
    <t>DICLOFENAL 75MG</t>
  </si>
  <si>
    <t>250430-1</t>
  </si>
  <si>
    <t>DICLOFENAL 50MG</t>
  </si>
  <si>
    <t>250429-4</t>
  </si>
  <si>
    <t>DICLOFENAL 25MG</t>
  </si>
  <si>
    <t>250428-5</t>
  </si>
  <si>
    <t>DIAZEPAM 5MG/ML INJ</t>
  </si>
  <si>
    <t>250427-6</t>
  </si>
  <si>
    <t>DIAZEPAM 5MG PO</t>
  </si>
  <si>
    <t>250426-7</t>
  </si>
  <si>
    <t>DIAZEPAM 2MG PO</t>
  </si>
  <si>
    <t>250425-8</t>
  </si>
  <si>
    <t>DIAZEPAM 10MG PO</t>
  </si>
  <si>
    <t>250424-9</t>
  </si>
  <si>
    <t>DHE 45 INJ</t>
  </si>
  <si>
    <t>250423-0</t>
  </si>
  <si>
    <t>DEXTROMETHORPHAN SR</t>
  </si>
  <si>
    <t>250422-1</t>
  </si>
  <si>
    <t>DEXTROMETHORPHAN COU</t>
  </si>
  <si>
    <t>250421-2</t>
  </si>
  <si>
    <t>DEXTROAMPHETAMINE 15</t>
  </si>
  <si>
    <t>250420-3</t>
  </si>
  <si>
    <t>DEXTROAMPHETAMINE 10</t>
  </si>
  <si>
    <t>250419-6</t>
  </si>
  <si>
    <t>DEXTROAMPHETAMINE 5M</t>
  </si>
  <si>
    <t>250418-7</t>
  </si>
  <si>
    <t>DEXHTOAMPHETAMINE EL</t>
  </si>
  <si>
    <t>250417-8</t>
  </si>
  <si>
    <t>DEXCHLORPHENIRAMINE</t>
  </si>
  <si>
    <t>250416-9</t>
  </si>
  <si>
    <t>DEXAMETASONE PO</t>
  </si>
  <si>
    <t>250415-0</t>
  </si>
  <si>
    <t>DEXAMETHAS NAS HAL</t>
  </si>
  <si>
    <t>250414-1</t>
  </si>
  <si>
    <t>CISAPRIDE 20MG PO</t>
  </si>
  <si>
    <t>250413-2</t>
  </si>
  <si>
    <t>DEXAMETHAS 4MG/ML IN</t>
  </si>
  <si>
    <t>250412-3</t>
  </si>
  <si>
    <t>DEXAMETHASONE 1MG PO</t>
  </si>
  <si>
    <t>250411-4</t>
  </si>
  <si>
    <t>DEXAMETH 0.05% OPHTH</t>
  </si>
  <si>
    <t>250410-5</t>
  </si>
  <si>
    <t>DEXAMETH 0.1% OPHTH</t>
  </si>
  <si>
    <t>250409-8</t>
  </si>
  <si>
    <t>DEXAMETHASONE 0.5MG</t>
  </si>
  <si>
    <t>250408-9</t>
  </si>
  <si>
    <t>DEXACIDEN OPH SOLN</t>
  </si>
  <si>
    <t>250407-0</t>
  </si>
  <si>
    <t>DEX 50% SYRINGE 50ML</t>
  </si>
  <si>
    <t>250406-1</t>
  </si>
  <si>
    <t>DEX 5% NACL 500ML</t>
  </si>
  <si>
    <t>250405-2</t>
  </si>
  <si>
    <t>DEX 5% NACL 1000ML</t>
  </si>
  <si>
    <t>250404-3</t>
  </si>
  <si>
    <t>DEX 5% LR 500ML</t>
  </si>
  <si>
    <t>250403-4</t>
  </si>
  <si>
    <t>DEX 5% LR 1000ML</t>
  </si>
  <si>
    <t>250402-5</t>
  </si>
  <si>
    <t>DEX 5% IN WATER 500M</t>
  </si>
  <si>
    <t>250401-6</t>
  </si>
  <si>
    <t>DEX 5% IN WATER 250M</t>
  </si>
  <si>
    <t>250400-7</t>
  </si>
  <si>
    <t>DEX 5% IN WATER 1000</t>
  </si>
  <si>
    <t>250399-0</t>
  </si>
  <si>
    <t>DESOXIMET 0.25% CR</t>
  </si>
  <si>
    <t>250398-1</t>
  </si>
  <si>
    <t>DESONIDE 0.05% OINT</t>
  </si>
  <si>
    <t>250397-2</t>
  </si>
  <si>
    <t>DESONIDE 0.5% CR 15G</t>
  </si>
  <si>
    <t>250396-3</t>
  </si>
  <si>
    <t>DESMOPRESSIN NASAL S</t>
  </si>
  <si>
    <t>250395-4</t>
  </si>
  <si>
    <t>CARBAMAZEPINE SUSP</t>
  </si>
  <si>
    <t>250394-5</t>
  </si>
  <si>
    <t>DESIPRAMINE 75MG PO</t>
  </si>
  <si>
    <t>250393-6</t>
  </si>
  <si>
    <t>DESIPRAMINE 50MG PO</t>
  </si>
  <si>
    <t>250392-7</t>
  </si>
  <si>
    <t>DESIPRAMINE 300MG PO</t>
  </si>
  <si>
    <t>250391-8</t>
  </si>
  <si>
    <t>DESIPRAMINE 25MG PO</t>
  </si>
  <si>
    <t>250390-9</t>
  </si>
  <si>
    <t>DESIPRAMINE 250MG PO</t>
  </si>
  <si>
    <t>250389-2</t>
  </si>
  <si>
    <t>DESIPRAMINE 200MG PO</t>
  </si>
  <si>
    <t>250388-3</t>
  </si>
  <si>
    <t>DESIPRAMINE 150MG PO</t>
  </si>
  <si>
    <t>250387-4</t>
  </si>
  <si>
    <t>DESIPRAMINE 10MG PO</t>
  </si>
  <si>
    <t>250386-5</t>
  </si>
  <si>
    <t>DESIPRAMINE 100MG PO</t>
  </si>
  <si>
    <t>250385-6</t>
  </si>
  <si>
    <t>DESIPRAMINE PO</t>
  </si>
  <si>
    <t>250384-7</t>
  </si>
  <si>
    <t>MIRTAZAPINE 30MG PO</t>
  </si>
  <si>
    <t>250383-8</t>
  </si>
  <si>
    <t>LOPERAMIDE LIQD DOSE</t>
  </si>
  <si>
    <t>250382-9</t>
  </si>
  <si>
    <t>DANAZOL 200MG PO</t>
  </si>
  <si>
    <t>250381-0</t>
  </si>
  <si>
    <t>CYPROHEPTADINE 4MG P</t>
  </si>
  <si>
    <t>250380-1</t>
  </si>
  <si>
    <t>CYCLOBENZAPRINE 10MG</t>
  </si>
  <si>
    <t>250379-4</t>
  </si>
  <si>
    <t>CYCLANDELATE 400MG P</t>
  </si>
  <si>
    <t>250378-5</t>
  </si>
  <si>
    <t>CYCLANDELATE 200MG P</t>
  </si>
  <si>
    <t>250377-6</t>
  </si>
  <si>
    <t>CYANOCOBALAMINE 100M</t>
  </si>
  <si>
    <t>250376-7</t>
  </si>
  <si>
    <t>CYANOCOBALAMINE 1000</t>
  </si>
  <si>
    <t>250375-8</t>
  </si>
  <si>
    <t>CYANOCOBA 1000MCG/ML</t>
  </si>
  <si>
    <t>250374-9</t>
  </si>
  <si>
    <t>CROMOLYN NASAL SOLN</t>
  </si>
  <si>
    <t>250373-0</t>
  </si>
  <si>
    <t>CROMOLYN INHAER 200</t>
  </si>
  <si>
    <t>250372-1</t>
  </si>
  <si>
    <t>COLLAGENASE OINT 15G</t>
  </si>
  <si>
    <t>250371-2</t>
  </si>
  <si>
    <t>COLCHICINE 0.6MG PO</t>
  </si>
  <si>
    <t>250370-3</t>
  </si>
  <si>
    <t>250369-6</t>
  </si>
  <si>
    <t>CODEINE 30MG PO</t>
  </si>
  <si>
    <t>250368-7</t>
  </si>
  <si>
    <t>CLOZAPINE PO</t>
  </si>
  <si>
    <t>250367-8</t>
  </si>
  <si>
    <t>CLOZAPINE 300MG PO</t>
  </si>
  <si>
    <t>250366-9</t>
  </si>
  <si>
    <t>CLOZAPINE 25MG</t>
  </si>
  <si>
    <t>250365-0</t>
  </si>
  <si>
    <t>CLOZAPINE 100MG</t>
  </si>
  <si>
    <t>250364-1</t>
  </si>
  <si>
    <t>FLUVOXAMINE 25MG PO</t>
  </si>
  <si>
    <t>250363-2</t>
  </si>
  <si>
    <t>CLOTRIM/BETAMETH CR</t>
  </si>
  <si>
    <t>250362-3</t>
  </si>
  <si>
    <t>CLOTRIMAZOLE VAG SUP</t>
  </si>
  <si>
    <t>250361-4</t>
  </si>
  <si>
    <t>CLOTRIMAZOLE TROCHE</t>
  </si>
  <si>
    <t>250360-5</t>
  </si>
  <si>
    <t>CLOTRIMAZOLE 1% SOLN</t>
  </si>
  <si>
    <t>250359-8</t>
  </si>
  <si>
    <t>CLOTRIMAZOLE 1% VAG</t>
  </si>
  <si>
    <t>250358-9</t>
  </si>
  <si>
    <t>CLOTRIMAZOLE 1% TP C</t>
  </si>
  <si>
    <t>250357-0</t>
  </si>
  <si>
    <t>CLORAZEPATE DIP 7.5M</t>
  </si>
  <si>
    <t>250356-1</t>
  </si>
  <si>
    <t>CLORAZEPATE DIP 3.75</t>
  </si>
  <si>
    <t>250355-2</t>
  </si>
  <si>
    <t>CLORAZEPATE DIPO 15M</t>
  </si>
  <si>
    <t>250354-3</t>
  </si>
  <si>
    <t>CLORAZEPATE SD 11.25</t>
  </si>
  <si>
    <t>250353-4</t>
  </si>
  <si>
    <t>CLONIDINE PATCHES 3</t>
  </si>
  <si>
    <t>250352-5</t>
  </si>
  <si>
    <t>CLONIDINE PATCHES 2</t>
  </si>
  <si>
    <t>250351-6</t>
  </si>
  <si>
    <t>CLONIDINE PATCHES 1</t>
  </si>
  <si>
    <t>250350-7</t>
  </si>
  <si>
    <t>CLONIDINE 0.1/CHLORT</t>
  </si>
  <si>
    <t>250349-1</t>
  </si>
  <si>
    <t>CLONIDINE 0.3MG PO</t>
  </si>
  <si>
    <t>250348-2</t>
  </si>
  <si>
    <t>CLONIDINE 0.2MG PO</t>
  </si>
  <si>
    <t>250347-3</t>
  </si>
  <si>
    <t>CLONIDINE 0.2/CHLORT</t>
  </si>
  <si>
    <t>250346-4</t>
  </si>
  <si>
    <t>CLONIDINE 0.1MG PO</t>
  </si>
  <si>
    <t>250345-5</t>
  </si>
  <si>
    <t>CLONIDINE 0.05MG PO</t>
  </si>
  <si>
    <t>250344-6</t>
  </si>
  <si>
    <t>CLONAZEPAM PO</t>
  </si>
  <si>
    <t>250343-7</t>
  </si>
  <si>
    <t>CLONAZEPAM 2MG PO</t>
  </si>
  <si>
    <t>250342-8</t>
  </si>
  <si>
    <t>CLONAZEPAM 1MG PO</t>
  </si>
  <si>
    <t>250341-9</t>
  </si>
  <si>
    <t>CLONAZEPAM 0.5MG PO</t>
  </si>
  <si>
    <t>250340-0</t>
  </si>
  <si>
    <t>CLONAZEPAM 0.25MG PO</t>
  </si>
  <si>
    <t>250339-3</t>
  </si>
  <si>
    <t>CLOMIPRAMINE PO</t>
  </si>
  <si>
    <t>250338-4</t>
  </si>
  <si>
    <t>CLOMIPRAMINE 75MG PO</t>
  </si>
  <si>
    <t>250337-5</t>
  </si>
  <si>
    <t>CLOMIPRAMINE 50MG PO</t>
  </si>
  <si>
    <t>250336-6</t>
  </si>
  <si>
    <t>CLOMIPRAMINE 25MG PO</t>
  </si>
  <si>
    <t>250335-7</t>
  </si>
  <si>
    <t>CLOMIPRAMINE 100MG P</t>
  </si>
  <si>
    <t>250334-8</t>
  </si>
  <si>
    <t>CLOBERUSOL PROP 0.05</t>
  </si>
  <si>
    <t>250333-9</t>
  </si>
  <si>
    <t>CLINDAMYCIN 75MG PO</t>
  </si>
  <si>
    <t>250332-0</t>
  </si>
  <si>
    <t>CLINDAMYCIN 300MG PO</t>
  </si>
  <si>
    <t>250331-1</t>
  </si>
  <si>
    <t>CLINDAMYCIN 150MG PO</t>
  </si>
  <si>
    <t>250330-2</t>
  </si>
  <si>
    <t>CLINDAM 1% TOP 60ML</t>
  </si>
  <si>
    <t>250329-5</t>
  </si>
  <si>
    <t>CLINDAM 1% TOP 30ML</t>
  </si>
  <si>
    <t>250328-6</t>
  </si>
  <si>
    <t>CLEMASTINE PO</t>
  </si>
  <si>
    <t>250327-7</t>
  </si>
  <si>
    <t>TRIAM 37.5/HCTZ 25MG</t>
  </si>
  <si>
    <t>250326-8</t>
  </si>
  <si>
    <t>CLEMASTINE/PHENYLPRO</t>
  </si>
  <si>
    <t>250325-9</t>
  </si>
  <si>
    <t>CLEMAST FUMAR 2.68MG</t>
  </si>
  <si>
    <t>250324-0</t>
  </si>
  <si>
    <t>CLEMAST FUMAR 1.34MG</t>
  </si>
  <si>
    <t>250323-1</t>
  </si>
  <si>
    <t>CLARITHROMYCIN 500MG</t>
  </si>
  <si>
    <t>250322-2</t>
  </si>
  <si>
    <t>CLARITHROMYCIN 250MG</t>
  </si>
  <si>
    <t>250321-3</t>
  </si>
  <si>
    <t>CITRUCEL PER DOSE</t>
  </si>
  <si>
    <t>250320-4</t>
  </si>
  <si>
    <t>CITROCARBONATE PK</t>
  </si>
  <si>
    <t>250319-7</t>
  </si>
  <si>
    <t>CIPROFLOXACIN 750MG</t>
  </si>
  <si>
    <t>250318-8</t>
  </si>
  <si>
    <t>CIPROFLOXACIN 500MG</t>
  </si>
  <si>
    <t>250317-9</t>
  </si>
  <si>
    <t>CIPROFLOXACIN 250MG</t>
  </si>
  <si>
    <t>250316-0</t>
  </si>
  <si>
    <t>CIMETIDINE 800MG PO</t>
  </si>
  <si>
    <t>250315-1</t>
  </si>
  <si>
    <t>CIMETIDINE 400MG PO</t>
  </si>
  <si>
    <t>250314-2</t>
  </si>
  <si>
    <t>CIMETID 300MG/50ML I</t>
  </si>
  <si>
    <t>250313-3</t>
  </si>
  <si>
    <t>CIMETIDINE 300MG PO</t>
  </si>
  <si>
    <t>250312-4</t>
  </si>
  <si>
    <t>CIMETIDINE 200MG PO</t>
  </si>
  <si>
    <t>250311-5</t>
  </si>
  <si>
    <t>CIMETAD 300MG/5ML OR</t>
  </si>
  <si>
    <t>250310-6</t>
  </si>
  <si>
    <t>CICLOPIROX OLAMINE C</t>
  </si>
  <si>
    <t>250309-9</t>
  </si>
  <si>
    <t>GABAPENTIN 300MG PO</t>
  </si>
  <si>
    <t>250308-0</t>
  </si>
  <si>
    <t>CHOLINE MAG TRI 750M</t>
  </si>
  <si>
    <t>250307-1</t>
  </si>
  <si>
    <t>CHOLINE MAG TRI 500M</t>
  </si>
  <si>
    <t>250306-2</t>
  </si>
  <si>
    <t>CHOLESTYRAMINE PKTS</t>
  </si>
  <si>
    <t>250305-3</t>
  </si>
  <si>
    <t>GABAPENTIN 100MG PO</t>
  </si>
  <si>
    <t>250304-4</t>
  </si>
  <si>
    <t>CHLORTHALIDONE 50MG</t>
  </si>
  <si>
    <t>250303-5</t>
  </si>
  <si>
    <t>CHLORTHALIDONE 25MG</t>
  </si>
  <si>
    <t>250302-6</t>
  </si>
  <si>
    <t>CHLORPROTHIXENE PO</t>
  </si>
  <si>
    <t>250301-7</t>
  </si>
  <si>
    <t>CHLORPROTHIXENE 50MG</t>
  </si>
  <si>
    <t>250300-8</t>
  </si>
  <si>
    <t>CHLORPROTHIXENE 25MG</t>
  </si>
  <si>
    <t>250299-1</t>
  </si>
  <si>
    <t>CHLORPROTHIXENE 25MI</t>
  </si>
  <si>
    <t>250298-2</t>
  </si>
  <si>
    <t>CHLORPROTHIXENE 150M</t>
  </si>
  <si>
    <t>250297-3</t>
  </si>
  <si>
    <t>CHLORPROTHIXENE 100M</t>
  </si>
  <si>
    <t>250296-4</t>
  </si>
  <si>
    <t>CHLORPROPAMIDE PO</t>
  </si>
  <si>
    <t>250295-5</t>
  </si>
  <si>
    <t>CHLORPROPAMIDE 250MG</t>
  </si>
  <si>
    <t>250294-6</t>
  </si>
  <si>
    <t>CHLORPROMAZINE PO</t>
  </si>
  <si>
    <t>250293-7</t>
  </si>
  <si>
    <t>CHLORPROMAZINE INJ</t>
  </si>
  <si>
    <t>250292-8</t>
  </si>
  <si>
    <t>CHLORPRO CONC100MG/M</t>
  </si>
  <si>
    <t>250291-9</t>
  </si>
  <si>
    <t>CHLORPROM 75MG SPAN</t>
  </si>
  <si>
    <t>250290-0</t>
  </si>
  <si>
    <t>CHLORPROMAZINE 50MG</t>
  </si>
  <si>
    <t>250289-3</t>
  </si>
  <si>
    <t>CHLORPROM 30MG/ML LI</t>
  </si>
  <si>
    <t>250288-4</t>
  </si>
  <si>
    <t>CHLORPROM 30MG SPAN</t>
  </si>
  <si>
    <t>250287-5</t>
  </si>
  <si>
    <t>CHLORPROM 25MG SUPP</t>
  </si>
  <si>
    <t>250286-6</t>
  </si>
  <si>
    <t>CHLORPROMAZINE 25MG</t>
  </si>
  <si>
    <t>250285-7</t>
  </si>
  <si>
    <t>CHLORPROMAZINE 200MG</t>
  </si>
  <si>
    <t>250284-8</t>
  </si>
  <si>
    <t>250283-9</t>
  </si>
  <si>
    <t>CHLORPROM 150MG SPAN</t>
  </si>
  <si>
    <t>250282-0</t>
  </si>
  <si>
    <t>CHLORPROMAZINE 10MG</t>
  </si>
  <si>
    <t>250281-1</t>
  </si>
  <si>
    <t>CHLORPROMAZINE 100MG</t>
  </si>
  <si>
    <t>250280-2</t>
  </si>
  <si>
    <t>CHLORPHENIRAMINE PO</t>
  </si>
  <si>
    <t>250279-5</t>
  </si>
  <si>
    <t>CHLORPHENIRAMINE 4MG</t>
  </si>
  <si>
    <t>250278-6</t>
  </si>
  <si>
    <t>CHLORPHENIRAMINE 12M</t>
  </si>
  <si>
    <t>250277-7</t>
  </si>
  <si>
    <t>CHLORDIAZEPOXIDE PO</t>
  </si>
  <si>
    <t>250276-8</t>
  </si>
  <si>
    <t>CHLORDIAZEPOXIDE 25M</t>
  </si>
  <si>
    <t>250275-9</t>
  </si>
  <si>
    <t>CHLORHEX GLUCO 4% 12</t>
  </si>
  <si>
    <t>250274-0</t>
  </si>
  <si>
    <t>CHLORDIA/CLIN BR PO</t>
  </si>
  <si>
    <t>250273-1</t>
  </si>
  <si>
    <t>CHLORDIAZEPOXIDE 5MG</t>
  </si>
  <si>
    <t>250272-2</t>
  </si>
  <si>
    <t>CHLORDIAZEPOXIDE 50M</t>
  </si>
  <si>
    <t>250271-3</t>
  </si>
  <si>
    <t>CHLORDIA 5/AMI 12.5</t>
  </si>
  <si>
    <t>250270-4</t>
  </si>
  <si>
    <t>CHLORDIAZEPOXIDE 10M</t>
  </si>
  <si>
    <t>250269-7</t>
  </si>
  <si>
    <t>CHLORDIAZE 100MG INJ</t>
  </si>
  <si>
    <t>250268-8</t>
  </si>
  <si>
    <t>NADOLOL 20MG PO</t>
  </si>
  <si>
    <t>250267-9</t>
  </si>
  <si>
    <t>CHLORDIA 10/AMI 25 P</t>
  </si>
  <si>
    <t>250266-0</t>
  </si>
  <si>
    <t>RISPERIDONE 0.5MG PO</t>
  </si>
  <si>
    <t>250265-1</t>
  </si>
  <si>
    <t>CHLORASEPTIC SP 60Z</t>
  </si>
  <si>
    <t>250264-2</t>
  </si>
  <si>
    <t>CHLORASEPTIC LOZENGE</t>
  </si>
  <si>
    <t>250263-3</t>
  </si>
  <si>
    <t>CHLORAL HYDRATE 500M</t>
  </si>
  <si>
    <t>250262-4</t>
  </si>
  <si>
    <t>CHLORAL HYDR 500M EL</t>
  </si>
  <si>
    <t>250261-5</t>
  </si>
  <si>
    <t>CHLORAL HYDRATE 1000</t>
  </si>
  <si>
    <t>250260-6</t>
  </si>
  <si>
    <t>250259-9</t>
  </si>
  <si>
    <t>HALOPERIDOL DEC 100M</t>
  </si>
  <si>
    <t>250258-0</t>
  </si>
  <si>
    <t>CHARCOAL FOOT PADS</t>
  </si>
  <si>
    <t>250257-1</t>
  </si>
  <si>
    <t>CHARCOAL ACTIVATED S</t>
  </si>
  <si>
    <t>250256-2</t>
  </si>
  <si>
    <t>CHAPSTICK 0.15 OZ</t>
  </si>
  <si>
    <t>250255-3</t>
  </si>
  <si>
    <t>CEPHALEXIN 250MG/5ML</t>
  </si>
  <si>
    <t>250254-4</t>
  </si>
  <si>
    <t>CEPHALEXIN 500MG PO</t>
  </si>
  <si>
    <t>250253-5</t>
  </si>
  <si>
    <t>CEPHALEXIN 250MG PO</t>
  </si>
  <si>
    <t>250252-6</t>
  </si>
  <si>
    <t>CEPASTAT LOZENGES</t>
  </si>
  <si>
    <t>250251-7</t>
  </si>
  <si>
    <t>CEPACOL MOUTHWASH 40</t>
  </si>
  <si>
    <t>250250-8</t>
  </si>
  <si>
    <t>DIFLUCAN 150 MG</t>
  </si>
  <si>
    <t>250249-2</t>
  </si>
  <si>
    <t>CEFUROXIME 500MG PO</t>
  </si>
  <si>
    <t>250248-3</t>
  </si>
  <si>
    <t>CEFUROXIME 250MG PO</t>
  </si>
  <si>
    <t>250247-4</t>
  </si>
  <si>
    <t>CEFUROXIME 125MG PO</t>
  </si>
  <si>
    <t>250246-5</t>
  </si>
  <si>
    <t>CEFTRIAXONE 250MG IN</t>
  </si>
  <si>
    <t>250245-6</t>
  </si>
  <si>
    <t>CEFTRIAXONE 1GM INJ</t>
  </si>
  <si>
    <t>250244-7</t>
  </si>
  <si>
    <t>BENZENAMINE 100MG PO</t>
  </si>
  <si>
    <t>250243-8</t>
  </si>
  <si>
    <t>CEFADROXIL 500MG/5ML</t>
  </si>
  <si>
    <t>250242-9</t>
  </si>
  <si>
    <t>CEFADROXIL CAP 500MG</t>
  </si>
  <si>
    <t>250241-0</t>
  </si>
  <si>
    <t>CEFADROXIL 1GM TAB</t>
  </si>
  <si>
    <t>250240-1</t>
  </si>
  <si>
    <t>CEFACLOR 250MG/5ML S</t>
  </si>
  <si>
    <t>250239-4</t>
  </si>
  <si>
    <t>CEFACLOR 500MG PO</t>
  </si>
  <si>
    <t>250238-5</t>
  </si>
  <si>
    <t>CEFACLOR 250MG PO</t>
  </si>
  <si>
    <t>250237-6</t>
  </si>
  <si>
    <t>CASTOR OIL SUSP 2 OZ</t>
  </si>
  <si>
    <t>250236-7</t>
  </si>
  <si>
    <t>CAS SAG FLU EXT 5ML</t>
  </si>
  <si>
    <t>250235-8</t>
  </si>
  <si>
    <t>CARMEX</t>
  </si>
  <si>
    <t>250234-9</t>
  </si>
  <si>
    <t>CARISOPRODEL 350MG</t>
  </si>
  <si>
    <t>250233-0</t>
  </si>
  <si>
    <t>CARBENIC IND SOD 302</t>
  </si>
  <si>
    <t>250232-1</t>
  </si>
  <si>
    <t>CARBAMIDE/PEROX OTIC</t>
  </si>
  <si>
    <t>250231-2</t>
  </si>
  <si>
    <t>CARB PEROX 10% ORAL</t>
  </si>
  <si>
    <t>250230-3</t>
  </si>
  <si>
    <t>CARBAMAZEPINE PO</t>
  </si>
  <si>
    <t>250229-6</t>
  </si>
  <si>
    <t>CARBAMAZEPINE 600MG</t>
  </si>
  <si>
    <t>250228-7</t>
  </si>
  <si>
    <t>CARBAMAZEPINE 400MG</t>
  </si>
  <si>
    <t>250227-8</t>
  </si>
  <si>
    <t>CARBAMAZEPINE 300MG</t>
  </si>
  <si>
    <t>250226-9</t>
  </si>
  <si>
    <t>CARBAMAZEPINE 200MG</t>
  </si>
  <si>
    <t>250225-0</t>
  </si>
  <si>
    <t>CARBAMAZEPINE 100MG</t>
  </si>
  <si>
    <t>250224-1</t>
  </si>
  <si>
    <t>CAPTOPRIL/HCTZ 50/25</t>
  </si>
  <si>
    <t>250223-2</t>
  </si>
  <si>
    <t>CAPTOPRIL/HCTZ 50/15</t>
  </si>
  <si>
    <t>250222-3</t>
  </si>
  <si>
    <t>CAPTOPRIL/HCTZ 25/25</t>
  </si>
  <si>
    <t>250221-4</t>
  </si>
  <si>
    <t>CAPTOPRIL/HCTZ 25/15</t>
  </si>
  <si>
    <t>250220-5</t>
  </si>
  <si>
    <t>CAPTOPRIL PO</t>
  </si>
  <si>
    <t>250219-8</t>
  </si>
  <si>
    <t>CAPTOPRIL 50MG PO</t>
  </si>
  <si>
    <t>250218-9</t>
  </si>
  <si>
    <t>CAPTOPRIL 25MG PO</t>
  </si>
  <si>
    <t>250217-0</t>
  </si>
  <si>
    <t>CAPTOPRIL 12.5MG PO</t>
  </si>
  <si>
    <t>250216-1</t>
  </si>
  <si>
    <t>CAPSAICIN 0.25% CR 4</t>
  </si>
  <si>
    <t>250215-2</t>
  </si>
  <si>
    <t>ASP/CAFFE/DIHYDROCO</t>
  </si>
  <si>
    <t>250214-3</t>
  </si>
  <si>
    <t>CALCIUM POLYCARBO PO</t>
  </si>
  <si>
    <t>250213-4</t>
  </si>
  <si>
    <t>CALC CHLORIDE 10% IN</t>
  </si>
  <si>
    <t>250212-5</t>
  </si>
  <si>
    <t>CALCIUM CARBONATE PO</t>
  </si>
  <si>
    <t>250211-6</t>
  </si>
  <si>
    <t>CALIUM CARB 650MG PO</t>
  </si>
  <si>
    <t>250210-7</t>
  </si>
  <si>
    <t>CALCIUM CARB 500MG P</t>
  </si>
  <si>
    <t>250209-0</t>
  </si>
  <si>
    <t>CAL CARB 250MG/VITD</t>
  </si>
  <si>
    <t>250208-1</t>
  </si>
  <si>
    <t>CALCIUM CARB 1250MG</t>
  </si>
  <si>
    <t>250207-2</t>
  </si>
  <si>
    <t>CALCITROL 0.025MG CP</t>
  </si>
  <si>
    <t>250206-3</t>
  </si>
  <si>
    <t>CALAMINE LOTION 4OZ</t>
  </si>
  <si>
    <t>250205-4</t>
  </si>
  <si>
    <t>CALADRYL LOTION 2.5Z</t>
  </si>
  <si>
    <t>250204-5</t>
  </si>
  <si>
    <t>CAFFEINE,CIT 65MG PO</t>
  </si>
  <si>
    <t>250203-6</t>
  </si>
  <si>
    <t>CAFFEINE INJ</t>
  </si>
  <si>
    <t>250202-7</t>
  </si>
  <si>
    <t>BUTO TART NASAL SP</t>
  </si>
  <si>
    <t>250201-8</t>
  </si>
  <si>
    <t>BUTO TART 2MG INJ</t>
  </si>
  <si>
    <t>250200-9</t>
  </si>
  <si>
    <t>BUTO TART 1MG/ML INJ</t>
  </si>
  <si>
    <t>250199-2</t>
  </si>
  <si>
    <t>BUTOCONAZOLE VAG CR</t>
  </si>
  <si>
    <t>250198-3</t>
  </si>
  <si>
    <t>BUSIPIRONE 5MG PO</t>
  </si>
  <si>
    <t>250197-4</t>
  </si>
  <si>
    <t>ACETOMIN/BUTAL PO</t>
  </si>
  <si>
    <t>250196-5</t>
  </si>
  <si>
    <t>BUSIPIRONE 10MG PO</t>
  </si>
  <si>
    <t>250195-6</t>
  </si>
  <si>
    <t>BUPROPION SR 100MG</t>
  </si>
  <si>
    <t>250194-7</t>
  </si>
  <si>
    <t>BUPROPION 75MG</t>
  </si>
  <si>
    <t>250193-8</t>
  </si>
  <si>
    <t>BUPROPION 200MG</t>
  </si>
  <si>
    <t>250192-9</t>
  </si>
  <si>
    <t>BUPROPION SR 150MG</t>
  </si>
  <si>
    <t>250191-0</t>
  </si>
  <si>
    <t>BUPROPION 100MG</t>
  </si>
  <si>
    <t>250190-1</t>
  </si>
  <si>
    <t>BUMETANIDE INJ</t>
  </si>
  <si>
    <t>250189-4</t>
  </si>
  <si>
    <t>BUMETANIDE 2MG</t>
  </si>
  <si>
    <t>250188-5</t>
  </si>
  <si>
    <t>ASP/CAFFE/CINNAM PO</t>
  </si>
  <si>
    <t>250187-6</t>
  </si>
  <si>
    <t>BUMETANIDE 0.5MG</t>
  </si>
  <si>
    <t>250186-7</t>
  </si>
  <si>
    <t>BROM/PHEN MAL PO</t>
  </si>
  <si>
    <t>250185-8</t>
  </si>
  <si>
    <t>BROM/PHEN ELIXIR PO</t>
  </si>
  <si>
    <t>250184-9</t>
  </si>
  <si>
    <t>BROMOCRIPTINE PO</t>
  </si>
  <si>
    <t>250183-0</t>
  </si>
  <si>
    <t>BROMOCRIPTINE 5MG PO</t>
  </si>
  <si>
    <t>250182-1</t>
  </si>
  <si>
    <t>BROMOCRIPTINE 2.5MG</t>
  </si>
  <si>
    <t>250181-2</t>
  </si>
  <si>
    <t>BROMOCRIPTINE 10MG P</t>
  </si>
  <si>
    <t>250180-3</t>
  </si>
  <si>
    <t>BROMOCRIPTINE 0.625M</t>
  </si>
  <si>
    <t>250179-6</t>
  </si>
  <si>
    <t>BRETYLOL TOSYLATE 50</t>
  </si>
  <si>
    <t>250178-7</t>
  </si>
  <si>
    <t>BLISTEX LIP OINT 4.2</t>
  </si>
  <si>
    <t>250177-8</t>
  </si>
  <si>
    <t>BISMUTH SUBCARB TAB</t>
  </si>
  <si>
    <t>250176-9</t>
  </si>
  <si>
    <t>BISMUTH SUBCARB SUSP</t>
  </si>
  <si>
    <t>250175-0</t>
  </si>
  <si>
    <t>BISACODYL 5MG PO</t>
  </si>
  <si>
    <t>250174-1</t>
  </si>
  <si>
    <t>BISACODYL 10MG SUPP</t>
  </si>
  <si>
    <t>250173-2</t>
  </si>
  <si>
    <t>BIPERIDEN 2MG PO</t>
  </si>
  <si>
    <t>250172-3</t>
  </si>
  <si>
    <t>BETHANECHOL 5MG PO</t>
  </si>
  <si>
    <t>250171-4</t>
  </si>
  <si>
    <t>BETHANECHOL 25MG PO</t>
  </si>
  <si>
    <t>250170-5</t>
  </si>
  <si>
    <t>BETHANECHOL 10MG PO</t>
  </si>
  <si>
    <t>250169-8</t>
  </si>
  <si>
    <t>BETAXOLOL 0.5%OPHTH</t>
  </si>
  <si>
    <t>250168-9</t>
  </si>
  <si>
    <t>BETAMETHASONE VAL CR</t>
  </si>
  <si>
    <t>250167-0</t>
  </si>
  <si>
    <t>BETAMETHASONE VAL 1%</t>
  </si>
  <si>
    <t>250166-1</t>
  </si>
  <si>
    <t>BETAMETHASONE DIP OT</t>
  </si>
  <si>
    <t>250165-2</t>
  </si>
  <si>
    <t>BETAMETHASONE DIP CR</t>
  </si>
  <si>
    <t>250164-3</t>
  </si>
  <si>
    <t>BETAMETHASONE 4MG/ML</t>
  </si>
  <si>
    <t>250163-4</t>
  </si>
  <si>
    <t>BENZTROPINE INJECTIO</t>
  </si>
  <si>
    <t>250162-5</t>
  </si>
  <si>
    <t>BENZTROPINE 2MG PO</t>
  </si>
  <si>
    <t>250161-6</t>
  </si>
  <si>
    <t>BENZTROPINE 1MG PO</t>
  </si>
  <si>
    <t>250160-7</t>
  </si>
  <si>
    <t>BENZTROPINE 0.5MG PO</t>
  </si>
  <si>
    <t>250159-0</t>
  </si>
  <si>
    <t>BENZOYL PEROXIDE WAS</t>
  </si>
  <si>
    <t>250158-1</t>
  </si>
  <si>
    <t>BENZ PEROX/EMYCIN GE</t>
  </si>
  <si>
    <t>250157-2</t>
  </si>
  <si>
    <t>BENZ 5%/PROPYL 25GM</t>
  </si>
  <si>
    <t>250156-3</t>
  </si>
  <si>
    <t>BENZ PERO 5% LOT 30M</t>
  </si>
  <si>
    <t>250155-4</t>
  </si>
  <si>
    <t>BENZ PERO GEL 5% 45G</t>
  </si>
  <si>
    <t>250154-5</t>
  </si>
  <si>
    <t>BENZ PER GEL 2.5% 60</t>
  </si>
  <si>
    <t>250153-6</t>
  </si>
  <si>
    <t>BENZ PERO 10% LOT 30</t>
  </si>
  <si>
    <t>250152-7</t>
  </si>
  <si>
    <t>BENZ PERO GEL 10% 45</t>
  </si>
  <si>
    <t>250151-8</t>
  </si>
  <si>
    <t>BENZ PER 10% CR 20GM</t>
  </si>
  <si>
    <t>250150-9</t>
  </si>
  <si>
    <t>BENZONATATE 100MG</t>
  </si>
  <si>
    <t>250149-3</t>
  </si>
  <si>
    <t>BENZ/ANTIPYRINE OTIC</t>
  </si>
  <si>
    <t>250148-4</t>
  </si>
  <si>
    <t>BENZ TOP SP 9.4% 30Z</t>
  </si>
  <si>
    <t>250147-5</t>
  </si>
  <si>
    <t>BENZO 6% TOP 0.25OZ</t>
  </si>
  <si>
    <t>250146-6</t>
  </si>
  <si>
    <t>BENZO 20% TP SP 2.75</t>
  </si>
  <si>
    <t>250145-7</t>
  </si>
  <si>
    <t>BENZO 10% ORAL GEL 5</t>
  </si>
  <si>
    <t>250144-8</t>
  </si>
  <si>
    <t>ADALAT 10MG</t>
  </si>
  <si>
    <t>250143-9</t>
  </si>
  <si>
    <t>PROCARDIA XL</t>
  </si>
  <si>
    <t>250142-0</t>
  </si>
  <si>
    <t>AMBIEN 10 MG</t>
  </si>
  <si>
    <t>250141-1</t>
  </si>
  <si>
    <t>BENAZEPRIL 10MG PO</t>
  </si>
  <si>
    <t>250140-2</t>
  </si>
  <si>
    <t>BEN GAY CREAM 37GM</t>
  </si>
  <si>
    <t>250139-5</t>
  </si>
  <si>
    <t>BELL ALKS/PHENOB PO</t>
  </si>
  <si>
    <t>250138-6</t>
  </si>
  <si>
    <t>BELL ALKS/PHENO ELIX</t>
  </si>
  <si>
    <t>250137-7</t>
  </si>
  <si>
    <t>BEE STING KIT</t>
  </si>
  <si>
    <t>250136-8</t>
  </si>
  <si>
    <t>BECLOMETHASONE NAS S</t>
  </si>
  <si>
    <t>250135-9</t>
  </si>
  <si>
    <t>BECLOMETHASONE INHAL</t>
  </si>
  <si>
    <t>250134-0</t>
  </si>
  <si>
    <t>BC PILLS PER DOSE</t>
  </si>
  <si>
    <t>250133-1</t>
  </si>
  <si>
    <t>BC PILLS ONE CYCLE</t>
  </si>
  <si>
    <t>250132-2</t>
  </si>
  <si>
    <t>CITALOPRAM 20MG TAB</t>
  </si>
  <si>
    <t>250131-3</t>
  </si>
  <si>
    <t>BACLOFEN 20MG PO</t>
  </si>
  <si>
    <t>250130-4</t>
  </si>
  <si>
    <t>BACLOFEN 10MG PO</t>
  </si>
  <si>
    <t>250129-7</t>
  </si>
  <si>
    <t>BACITRACIN OINT 15GM</t>
  </si>
  <si>
    <t>250128-8</t>
  </si>
  <si>
    <t>AZITHROMYCIN 250MG P</t>
  </si>
  <si>
    <t>250127-9</t>
  </si>
  <si>
    <t>AZATHIOPRINE 50MG PO</t>
  </si>
  <si>
    <t>250126-0</t>
  </si>
  <si>
    <t>AZATAD/PSEUDOEPHR SR</t>
  </si>
  <si>
    <t>250125-1</t>
  </si>
  <si>
    <t>AURANOFIN 3MG PO</t>
  </si>
  <si>
    <t>250124-2</t>
  </si>
  <si>
    <t>ATRO SULF 1.0 MG/MLI</t>
  </si>
  <si>
    <t>250123-3</t>
  </si>
  <si>
    <t>ASP/BUTAL/CODINE #3</t>
  </si>
  <si>
    <t>250122-4</t>
  </si>
  <si>
    <t>ATRO SULF 0.4MG/ML I</t>
  </si>
  <si>
    <t>250121-5</t>
  </si>
  <si>
    <t>ATROPINE 0.4 MG PO</t>
  </si>
  <si>
    <t>250120-6</t>
  </si>
  <si>
    <t>ATENOLOL PO</t>
  </si>
  <si>
    <t>250119-9</t>
  </si>
  <si>
    <t>ATENOLOL 50MG PO</t>
  </si>
  <si>
    <t>250118-0</t>
  </si>
  <si>
    <t>ATENOLOL 25MG PO</t>
  </si>
  <si>
    <t>250117-1</t>
  </si>
  <si>
    <t>ATENOLOL 100MG PO</t>
  </si>
  <si>
    <t>250116-2</t>
  </si>
  <si>
    <t>ASTEMIZOLE 10MG</t>
  </si>
  <si>
    <t>250115-3</t>
  </si>
  <si>
    <t>TRAMADOL 50 MG</t>
  </si>
  <si>
    <t>250114-4</t>
  </si>
  <si>
    <t>LANSOPRAZOLE 20MG</t>
  </si>
  <si>
    <t>250113-5</t>
  </si>
  <si>
    <t>ELOCON CREAM</t>
  </si>
  <si>
    <t>250112-6</t>
  </si>
  <si>
    <t>ASPIRIN W/CAFFEINE P</t>
  </si>
  <si>
    <t>250111-7</t>
  </si>
  <si>
    <t>ASPIRIN W/BUTALBITAL</t>
  </si>
  <si>
    <t>250110-8</t>
  </si>
  <si>
    <t>ASPIRIN 975MG PO</t>
  </si>
  <si>
    <t>250109-1</t>
  </si>
  <si>
    <t>ASPIRIN 81MG PO</t>
  </si>
  <si>
    <t>250108-2</t>
  </si>
  <si>
    <t>ASPIRIN 800MG S.R. P</t>
  </si>
  <si>
    <t>250107-3</t>
  </si>
  <si>
    <t>ASP 325MG W/HG/AL HY</t>
  </si>
  <si>
    <t>250106-4</t>
  </si>
  <si>
    <t>ASPIRIN 325MG PO</t>
  </si>
  <si>
    <t>250105-5</t>
  </si>
  <si>
    <t>ASPIRIN 325MG ENT PO</t>
  </si>
  <si>
    <t>250104-6</t>
  </si>
  <si>
    <t>ASCORBIC ACID PO</t>
  </si>
  <si>
    <t>250103-7</t>
  </si>
  <si>
    <t>ASCORBIC ACID 500MG</t>
  </si>
  <si>
    <t>250102-8</t>
  </si>
  <si>
    <t>ASCORBIC ACID 250MG</t>
  </si>
  <si>
    <t>250101-9</t>
  </si>
  <si>
    <t>ASCORBIC ACID 1GM PO</t>
  </si>
  <si>
    <t>250100-0</t>
  </si>
  <si>
    <t>ARTIFICIAL TEARS OPH</t>
  </si>
  <si>
    <t>250099-3</t>
  </si>
  <si>
    <t>APAP/DICHLOR/ISOMET</t>
  </si>
  <si>
    <t>250098-4</t>
  </si>
  <si>
    <t>ANBESOL LIQUID 22ML</t>
  </si>
  <si>
    <t>250097-5</t>
  </si>
  <si>
    <t>AMPICILLIN 250MG/5ML</t>
  </si>
  <si>
    <t>250096-6</t>
  </si>
  <si>
    <t>AMPICILLIN 500MG PO</t>
  </si>
  <si>
    <t>250095-7</t>
  </si>
  <si>
    <t>AMPICILLIN 250MG PO</t>
  </si>
  <si>
    <t>250094-8</t>
  </si>
  <si>
    <t>AMOXICILLIN 500MG PO</t>
  </si>
  <si>
    <t>250093-9</t>
  </si>
  <si>
    <t>AMOXICILLIN 250MG PO</t>
  </si>
  <si>
    <t>250092-0</t>
  </si>
  <si>
    <t>AMOXICILLIN 125MG/5M</t>
  </si>
  <si>
    <t>250091-1</t>
  </si>
  <si>
    <t>AMOXAPINE PO</t>
  </si>
  <si>
    <t>250090-2</t>
  </si>
  <si>
    <t>AMOXAPINE 75MG PO</t>
  </si>
  <si>
    <t>250089-5</t>
  </si>
  <si>
    <t>AMOXAPINE 50MG PO</t>
  </si>
  <si>
    <t>250088-6</t>
  </si>
  <si>
    <t>AMOXAPINE 25MG PO</t>
  </si>
  <si>
    <t>250087-7</t>
  </si>
  <si>
    <t>AMOXAPINE 250MG PO</t>
  </si>
  <si>
    <t>250086-8</t>
  </si>
  <si>
    <t>AMOXAPINE 200MG PO</t>
  </si>
  <si>
    <t>250085-9</t>
  </si>
  <si>
    <t>AMOXAPINE 150MG PO</t>
  </si>
  <si>
    <t>250084-0</t>
  </si>
  <si>
    <t>AMOXAPINE 100MG PO</t>
  </si>
  <si>
    <t>250083-1</t>
  </si>
  <si>
    <t>AMOX/CLAVY 500MG PO</t>
  </si>
  <si>
    <t>250082-2</t>
  </si>
  <si>
    <t>AMOX/CLAVU SUSP 250M</t>
  </si>
  <si>
    <t>250081-3</t>
  </si>
  <si>
    <t>AMOX/CLAVU 250MG PO</t>
  </si>
  <si>
    <t>250080-4</t>
  </si>
  <si>
    <t>AMOBARBITAL 250MG IN</t>
  </si>
  <si>
    <t>250079-7</t>
  </si>
  <si>
    <t>AMOBARBITAL 100MG PO</t>
  </si>
  <si>
    <t>250078-8</t>
  </si>
  <si>
    <t>AMMONIA AROM. PO</t>
  </si>
  <si>
    <t>250077-9</t>
  </si>
  <si>
    <t>AMLODIPINE BESY 5MG</t>
  </si>
  <si>
    <t>250076-0</t>
  </si>
  <si>
    <t>AMLODIPINE BESY 10MG</t>
  </si>
  <si>
    <t>250075-1</t>
  </si>
  <si>
    <t>AMITRIPTYLINE PO</t>
  </si>
  <si>
    <t>250074-2</t>
  </si>
  <si>
    <t>AMITRIPTYLINE 75MG P</t>
  </si>
  <si>
    <t>250073-3</t>
  </si>
  <si>
    <t>AMITRIPTYLINE 50MG P</t>
  </si>
  <si>
    <t>250072-4</t>
  </si>
  <si>
    <t>AMITRIPTYLINE 300MG</t>
  </si>
  <si>
    <t>250071-5</t>
  </si>
  <si>
    <t>AMITRIPTYLINE 25MG P</t>
  </si>
  <si>
    <t>250070-6</t>
  </si>
  <si>
    <t>AMITRIPTYLINE 250MG</t>
  </si>
  <si>
    <t>250069-9</t>
  </si>
  <si>
    <t>AMITRIPTYLINE 150MG</t>
  </si>
  <si>
    <t>250068-0</t>
  </si>
  <si>
    <t>AMITRIPTY 10MG/ML IN</t>
  </si>
  <si>
    <t>250067-1</t>
  </si>
  <si>
    <t>AMITRIPTYLINE 10MG P</t>
  </si>
  <si>
    <t>250066-2</t>
  </si>
  <si>
    <t>AMITRIPTYLINE 100MG</t>
  </si>
  <si>
    <t>250065-3</t>
  </si>
  <si>
    <t>AMITRIPTYLINE 200MG</t>
  </si>
  <si>
    <t>250064-4</t>
  </si>
  <si>
    <t>AMINOPHY 500MG/20ML</t>
  </si>
  <si>
    <t>250063-5</t>
  </si>
  <si>
    <t>AMINOPHYLLIN 200MG P</t>
  </si>
  <si>
    <t>250062-6</t>
  </si>
  <si>
    <t>AMINOPHYLLIN 100MG P</t>
  </si>
  <si>
    <t>250061-7</t>
  </si>
  <si>
    <t>AMINO ACIDS PO</t>
  </si>
  <si>
    <t>250060-8</t>
  </si>
  <si>
    <t>AMINO ACID SUPPLE PO</t>
  </si>
  <si>
    <t>250059-1</t>
  </si>
  <si>
    <t>AMILORIDE HCL 5MG PO</t>
  </si>
  <si>
    <t>250058-2</t>
  </si>
  <si>
    <t>AMILOR 5MG/HCTZ 50MG</t>
  </si>
  <si>
    <t>250057-3</t>
  </si>
  <si>
    <t>AMIKACIN SUL 500MG/2</t>
  </si>
  <si>
    <t>250056-4</t>
  </si>
  <si>
    <t>AMANTADINE 100MG PO</t>
  </si>
  <si>
    <t>250055-5</t>
  </si>
  <si>
    <t>ALUM/MAG TABS-GAV</t>
  </si>
  <si>
    <t>250054-6</t>
  </si>
  <si>
    <t>ALUM ACE PKT</t>
  </si>
  <si>
    <t>250053-7</t>
  </si>
  <si>
    <t>ALUM HYDROX GEL DOSE</t>
  </si>
  <si>
    <t>250052-8</t>
  </si>
  <si>
    <t>ALUM CARBONATE GEL30</t>
  </si>
  <si>
    <t>250051-9</t>
  </si>
  <si>
    <t>ALPRAZOLAM PO</t>
  </si>
  <si>
    <t>250050-0</t>
  </si>
  <si>
    <t>ALPRAZOLAM 3MG PO</t>
  </si>
  <si>
    <t>250049-4</t>
  </si>
  <si>
    <t>ALPRAZOLAM 2MG PO</t>
  </si>
  <si>
    <t>250048-5</t>
  </si>
  <si>
    <t>ALPRAZOLAM 1MG PO</t>
  </si>
  <si>
    <t>250047-6</t>
  </si>
  <si>
    <t>ALPRAZOLAM 0.5MG PO</t>
  </si>
  <si>
    <t>250046-7</t>
  </si>
  <si>
    <t>ALPRAZOLAM 0.25MG PO</t>
  </si>
  <si>
    <t>250045-8</t>
  </si>
  <si>
    <t>ALPHA KERI SOAP 4OZ</t>
  </si>
  <si>
    <t>250044-9</t>
  </si>
  <si>
    <t>ALPHA KERI LOTN 11OZ</t>
  </si>
  <si>
    <t>250043-0</t>
  </si>
  <si>
    <t>ALLOPURINOL 300MG PO</t>
  </si>
  <si>
    <t>250042-1</t>
  </si>
  <si>
    <t>ALLOPURINOL 100MG PO</t>
  </si>
  <si>
    <t>250041-2</t>
  </si>
  <si>
    <t>ALG ACID/AL OH/MG TA</t>
  </si>
  <si>
    <t>250040-3</t>
  </si>
  <si>
    <t>ALG ACID/AL OH/MG 12</t>
  </si>
  <si>
    <t>250039-6</t>
  </si>
  <si>
    <t>ALCLOMET 0.05%CR 15G</t>
  </si>
  <si>
    <t>250038-7</t>
  </si>
  <si>
    <t>ALBUTEROL SOLN 20ML</t>
  </si>
  <si>
    <t>250037-8</t>
  </si>
  <si>
    <t>ALBUTEROL ROTOCAP/IN</t>
  </si>
  <si>
    <t>250036-9</t>
  </si>
  <si>
    <t>ALBUTEROL PO</t>
  </si>
  <si>
    <t>250035-0</t>
  </si>
  <si>
    <t>ALBUTEROL INHALER 17</t>
  </si>
  <si>
    <t>250034-1</t>
  </si>
  <si>
    <t>ALBUTEROL 4MG PO</t>
  </si>
  <si>
    <t>250033-2</t>
  </si>
  <si>
    <t>ALBUTEROL 2MG PO</t>
  </si>
  <si>
    <t>250032-3</t>
  </si>
  <si>
    <t>ACYCLOVIR 5% OINT 3G</t>
  </si>
  <si>
    <t>250031-4</t>
  </si>
  <si>
    <t>ACYCLOVIR 5% OINT 15</t>
  </si>
  <si>
    <t>250030-5</t>
  </si>
  <si>
    <t>ACYCLOVIR 400MG PO</t>
  </si>
  <si>
    <t>250029-8</t>
  </si>
  <si>
    <t>ACYCLOVIR 200MG PO</t>
  </si>
  <si>
    <t>250028-9</t>
  </si>
  <si>
    <t>ACNE-AID BAR 4OZ</t>
  </si>
  <si>
    <t>250027-0</t>
  </si>
  <si>
    <t>ACET ACID/HC/PROP 10</t>
  </si>
  <si>
    <t>250026-1</t>
  </si>
  <si>
    <t>ACETIC ACID/HC OTIC</t>
  </si>
  <si>
    <t>250025-2</t>
  </si>
  <si>
    <t>ACETIC ACID OTIC 15M</t>
  </si>
  <si>
    <t>250024-3</t>
  </si>
  <si>
    <t>ACETIC ACID IN AL 60</t>
  </si>
  <si>
    <t>250023-4</t>
  </si>
  <si>
    <t>ACETIC ACID DOUCHE</t>
  </si>
  <si>
    <t>250022-5</t>
  </si>
  <si>
    <t>ACETAZOLAMIDE 250MG</t>
  </si>
  <si>
    <t>250021-6</t>
  </si>
  <si>
    <t>ACETAM/COD 60MG PO</t>
  </si>
  <si>
    <t>250020-7</t>
  </si>
  <si>
    <t>ACETAM/COD 30MG PO</t>
  </si>
  <si>
    <t>250019-0</t>
  </si>
  <si>
    <t>SEROQUEL DOSE=150MG</t>
  </si>
  <si>
    <t>250018-1</t>
  </si>
  <si>
    <t>ACETAM/BUTAL/CAFF PO</t>
  </si>
  <si>
    <t>250017-2</t>
  </si>
  <si>
    <t>ACETAM ELIXIR DOSE</t>
  </si>
  <si>
    <t>250016-3</t>
  </si>
  <si>
    <t>ACETAM DROPS DOSE</t>
  </si>
  <si>
    <t>250015-4</t>
  </si>
  <si>
    <t>ACETAM 80MG CHEWABLE</t>
  </si>
  <si>
    <t>250014-5</t>
  </si>
  <si>
    <t>ACETAM 650MG SUPP</t>
  </si>
  <si>
    <t>250013-6</t>
  </si>
  <si>
    <t>ACETAMINOPHEN 650MG</t>
  </si>
  <si>
    <t>250012-7</t>
  </si>
  <si>
    <t>ACETAMINOPHEN 500MG</t>
  </si>
  <si>
    <t>250011-8</t>
  </si>
  <si>
    <t>ACETAMINOPHEN 325MG</t>
  </si>
  <si>
    <t>250010-9</t>
  </si>
  <si>
    <t>250009-2</t>
  </si>
  <si>
    <t>ACETAMINOPHEN 160MG</t>
  </si>
  <si>
    <t>250008-3</t>
  </si>
  <si>
    <t>ACETAM 120MG SUPP</t>
  </si>
  <si>
    <t>250007-4</t>
  </si>
  <si>
    <t>ACETAM W COD ELIX DO</t>
  </si>
  <si>
    <t>250006-5</t>
  </si>
  <si>
    <t>ACEBUTOLOL 400MG PO</t>
  </si>
  <si>
    <t>250005-6</t>
  </si>
  <si>
    <t>ACEBUTOLOL 200MG PO</t>
  </si>
  <si>
    <t>250004-7</t>
  </si>
  <si>
    <t>ACE ACID/PROP GLY 15</t>
  </si>
  <si>
    <t>250003-8</t>
  </si>
  <si>
    <t>A&amp;D OINTMENT 1.5 OZ</t>
  </si>
  <si>
    <t>250002-9</t>
  </si>
  <si>
    <t>APLISOL 10</t>
  </si>
  <si>
    <t>250001-0</t>
  </si>
  <si>
    <t>CRIXIVAN DOSE=2 CAPS</t>
  </si>
  <si>
    <t>250000-1</t>
  </si>
  <si>
    <t>PMT LA COUNTY S D</t>
  </si>
  <si>
    <t>099851-9</t>
  </si>
  <si>
    <t>PMT LASSEN CO SHORT DOYLE</t>
  </si>
  <si>
    <t>099851-8</t>
  </si>
  <si>
    <t>099850-9</t>
  </si>
  <si>
    <t>PMT PARTNERSHIP HLTH PLAN</t>
  </si>
  <si>
    <t>PMT PARTNERSHIP HEALTH PLAN</t>
  </si>
  <si>
    <t>099800-3</t>
  </si>
  <si>
    <t>PMT-VALUE BEHAVIORL</t>
  </si>
  <si>
    <t>PMT-VALUE BEHAVIORAL</t>
  </si>
  <si>
    <t>099400-4</t>
  </si>
  <si>
    <t>MISC MEDICARE PASS THROUG</t>
  </si>
  <si>
    <t>MISC MEDICARE PASS THROUGH</t>
  </si>
  <si>
    <t>098200-9</t>
  </si>
  <si>
    <t>097069-9</t>
  </si>
  <si>
    <t>UNUSED</t>
  </si>
  <si>
    <t>070802-5</t>
  </si>
  <si>
    <t>009930-9</t>
  </si>
  <si>
    <t>ADULT PSYCH R&amp;B</t>
  </si>
  <si>
    <t>007700-8</t>
  </si>
  <si>
    <t>007500-2</t>
  </si>
  <si>
    <t>007400-5</t>
  </si>
  <si>
    <t>007200-9</t>
  </si>
  <si>
    <t>007100-1</t>
  </si>
  <si>
    <t>ADULT CD R&amp;B</t>
  </si>
  <si>
    <t>005700-0</t>
  </si>
  <si>
    <t>005500-4</t>
  </si>
  <si>
    <t>005400-7</t>
  </si>
  <si>
    <t>005200-1</t>
  </si>
  <si>
    <t>ROOM &amp; BED</t>
  </si>
  <si>
    <t>005100-3</t>
  </si>
  <si>
    <t>ADULT DETOX R&amp;B</t>
  </si>
  <si>
    <t>004700-1</t>
  </si>
  <si>
    <t>004500-5</t>
  </si>
  <si>
    <t>004400-8</t>
  </si>
  <si>
    <t>004200-2</t>
  </si>
  <si>
    <t>004100-4</t>
  </si>
  <si>
    <t>ADULT PSYCH 2 R&amp;B</t>
  </si>
  <si>
    <t>003200-3</t>
  </si>
  <si>
    <t>ADOLESCENT PSYCH R&amp;B</t>
  </si>
  <si>
    <t>002700-3</t>
  </si>
  <si>
    <t>002500-7</t>
  </si>
  <si>
    <t>002400-0</t>
  </si>
  <si>
    <t>002200-4</t>
  </si>
  <si>
    <t>002100-6</t>
  </si>
  <si>
    <t>001700-4</t>
  </si>
  <si>
    <t>001500-8</t>
  </si>
  <si>
    <t>001400-1</t>
  </si>
  <si>
    <t>001200-5</t>
  </si>
  <si>
    <t>001100-7</t>
  </si>
  <si>
    <t>NP4 IOP ADOLESCENT</t>
  </si>
  <si>
    <t>920315-1</t>
  </si>
  <si>
    <t>NC2 IOP CD ADULT DAVIS</t>
  </si>
  <si>
    <t>920305-1</t>
  </si>
  <si>
    <t>NP3 IOP PSYCH ADULT DAVIS</t>
  </si>
  <si>
    <t>920291-1</t>
  </si>
  <si>
    <t>PP2 PHP ADULT PSYCH DAVIS</t>
  </si>
  <si>
    <t>910584-1</t>
  </si>
  <si>
    <t>PD2 PHP DUAL DIAG DAVIS</t>
  </si>
  <si>
    <t>910506-1</t>
  </si>
  <si>
    <t>GROUP PSYCH THERAPEUTIC SERVICE</t>
  </si>
  <si>
    <t>Effective Date of Charges: 6/1/2024</t>
  </si>
  <si>
    <t>There were no changes in percentage increase since last years submission.</t>
  </si>
  <si>
    <t>NOTE: Ancillary Price changes are immaterial.</t>
  </si>
  <si>
    <t>PERCENTAGE CHANGE</t>
  </si>
  <si>
    <t>N/A</t>
  </si>
  <si>
    <t>Change</t>
  </si>
  <si>
    <t>New</t>
  </si>
  <si>
    <t>Old</t>
  </si>
  <si>
    <t>Budgeted Volume</t>
  </si>
  <si>
    <t>Expected Increase in Gross Revenue:</t>
  </si>
  <si>
    <t>NONE</t>
  </si>
  <si>
    <t>Increase in Chargemaster Prices for:</t>
  </si>
  <si>
    <t>for the calendar year 2024</t>
  </si>
  <si>
    <t>CALCULATION OF PERCENTAGE CHANGE IN GROSS REVENUE</t>
  </si>
  <si>
    <t>Sierra Vista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</si>
</sst>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quot;$&quot;#,##0.00"/>
    <numFmt numFmtId="165" formatCode="0.0%"/>
    <numFmt numFmtId="166" formatCode="_(&quot;$&quot;* #,##0_);_(&quot;$&quot;* \(#,##0\);_(&quot;$&quot;* &quot;-&quot;??_);_(@_)"/>
    <numFmt numFmtId="167" formatCode="_(* #,##0_);_(* \(#,##0\);_(* &quot;-&quot;??_);_(@_)"/>
  </numFmts>
  <fonts count="18"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
      <b/>
      <sz val="12"/>
      <name val="Arial"/>
      <family val="2"/>
    </font>
    <font>
      <b/>
      <u/>
      <sz val="11"/>
      <color rgb="FF1F4E79"/>
      <name val="Calibri"/>
      <family val="2"/>
    </font>
    <font>
      <sz val="12"/>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FF0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1" fillId="0" borderId="0"/>
    <xf numFmtId="9" fontId="17" fillId="0" borderId="0" applyFont="0" applyFill="0" applyBorder="0" applyAlignment="0" applyProtection="0"/>
    <xf numFmtId="44" fontId="17" fillId="0" borderId="0" applyFont="0" applyFill="0" applyBorder="0" applyAlignment="0" applyProtection="0"/>
    <xf numFmtId="43" fontId="17" fillId="0" borderId="0" applyFont="0" applyFill="0" applyBorder="0" applyAlignment="0" applyProtection="0"/>
  </cellStyleXfs>
  <cellXfs count="88">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1" xfId="0" applyFont="1" applyBorder="1"/>
    <xf numFmtId="3" fontId="5" fillId="0" borderId="0" xfId="0" applyNumberFormat="1"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6" xfId="0" applyFont="1" applyBorder="1"/>
    <xf numFmtId="164" fontId="5" fillId="0" borderId="7" xfId="0" applyNumberFormat="1" applyFont="1" applyBorder="1"/>
    <xf numFmtId="164" fontId="5" fillId="0" borderId="8" xfId="0" applyNumberFormat="1" applyFont="1" applyBorder="1"/>
    <xf numFmtId="0" fontId="3" fillId="0" borderId="9" xfId="0" applyFont="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0" fontId="5" fillId="0" borderId="14" xfId="0" applyFont="1" applyBorder="1" applyAlignment="1">
      <alignment horizontal="left" indent="1"/>
    </xf>
    <xf numFmtId="0" fontId="5" fillId="0" borderId="14" xfId="0" applyFont="1" applyBorder="1" applyAlignment="1">
      <alignment horizontal="left" wrapText="1" indent="1"/>
    </xf>
    <xf numFmtId="0" fontId="5" fillId="0" borderId="13" xfId="0" applyFont="1" applyBorder="1" applyAlignment="1">
      <alignment horizontal="left" inden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5" fillId="0" borderId="14"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5" xfId="0" applyFont="1" applyBorder="1"/>
    <xf numFmtId="0" fontId="7" fillId="0" borderId="0" xfId="0" applyFont="1" applyAlignment="1">
      <alignment vertical="center" wrapText="1"/>
    </xf>
    <xf numFmtId="0" fontId="8" fillId="0" borderId="0" xfId="0" applyFont="1"/>
    <xf numFmtId="164" fontId="5" fillId="0" borderId="7" xfId="0" applyNumberFormat="1" applyFont="1" applyBorder="1" applyAlignment="1">
      <alignment horizontal="right"/>
    </xf>
    <xf numFmtId="164" fontId="5" fillId="0" borderId="8" xfId="0" applyNumberFormat="1" applyFont="1" applyBorder="1" applyAlignment="1">
      <alignment horizontal="right"/>
    </xf>
    <xf numFmtId="17" fontId="5" fillId="0" borderId="14" xfId="0" applyNumberFormat="1" applyFont="1" applyBorder="1" applyAlignment="1">
      <alignment horizontal="left" wrapText="1" indent="1"/>
    </xf>
    <xf numFmtId="17" fontId="5" fillId="0" borderId="17" xfId="0" applyNumberFormat="1" applyFont="1" applyBorder="1" applyAlignment="1">
      <alignment horizontal="left" indent="1"/>
    </xf>
    <xf numFmtId="164" fontId="5" fillId="0" borderId="18" xfId="0" applyNumberFormat="1" applyFont="1" applyBorder="1"/>
    <xf numFmtId="0" fontId="3" fillId="0" borderId="19" xfId="0" applyFont="1" applyBorder="1" applyAlignment="1">
      <alignment horizontal="left"/>
    </xf>
    <xf numFmtId="164" fontId="7" fillId="0" borderId="8" xfId="0" applyNumberFormat="1" applyFont="1" applyBorder="1" applyAlignment="1">
      <alignment horizontal="right"/>
    </xf>
    <xf numFmtId="0" fontId="5" fillId="0" borderId="20" xfId="0" applyFont="1" applyBorder="1"/>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19"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5" fillId="3" borderId="14" xfId="0" applyNumberFormat="1" applyFont="1" applyFill="1" applyBorder="1" applyAlignment="1">
      <alignment horizontal="left" indent="1"/>
    </xf>
    <xf numFmtId="0" fontId="5" fillId="3" borderId="14" xfId="0" applyFont="1" applyFill="1" applyBorder="1" applyAlignment="1">
      <alignment horizontal="left" indent="1"/>
    </xf>
    <xf numFmtId="0" fontId="5" fillId="0" borderId="14" xfId="0" applyFont="1" applyBorder="1" applyAlignment="1">
      <alignment horizontal="center" wrapText="1"/>
    </xf>
    <xf numFmtId="0" fontId="5" fillId="0" borderId="17" xfId="0" applyFont="1" applyBorder="1" applyAlignment="1">
      <alignment horizontal="center" vertical="center" wrapText="1"/>
    </xf>
    <xf numFmtId="0" fontId="5" fillId="0" borderId="13" xfId="0" applyFont="1" applyBorder="1" applyAlignment="1">
      <alignment horizontal="center" wrapText="1"/>
    </xf>
    <xf numFmtId="0" fontId="5" fillId="0" borderId="0" xfId="0" applyFont="1" applyAlignment="1">
      <alignment horizontal="center" vertical="center" wrapText="1"/>
    </xf>
    <xf numFmtId="164" fontId="5" fillId="0" borderId="6" xfId="0" applyNumberFormat="1" applyFont="1" applyBorder="1" applyAlignment="1">
      <alignment horizontal="right"/>
    </xf>
    <xf numFmtId="0" fontId="15" fillId="4" borderId="0" xfId="0" applyFont="1" applyFill="1"/>
    <xf numFmtId="0" fontId="1" fillId="0" borderId="0" xfId="1"/>
    <xf numFmtId="14" fontId="1" fillId="0" borderId="0" xfId="1" applyNumberFormat="1"/>
    <xf numFmtId="20" fontId="1" fillId="0" borderId="0" xfId="1" applyNumberFormat="1"/>
    <xf numFmtId="22" fontId="1" fillId="0" borderId="0" xfId="1" applyNumberFormat="1"/>
    <xf numFmtId="4" fontId="1" fillId="0" borderId="0" xfId="1" applyNumberFormat="1"/>
    <xf numFmtId="0" fontId="1" fillId="4" borderId="0" xfId="1" applyFill="1"/>
    <xf numFmtId="14" fontId="1" fillId="4" borderId="0" xfId="1" applyNumberFormat="1" applyFill="1"/>
    <xf numFmtId="4" fontId="1" fillId="4" borderId="0" xfId="1" applyNumberFormat="1" applyFill="1"/>
    <xf numFmtId="165" fontId="13" fillId="0" borderId="0" xfId="2" applyNumberFormat="1" applyFont="1"/>
    <xf numFmtId="0" fontId="13" fillId="0" borderId="0" xfId="0" applyFont="1"/>
    <xf numFmtId="166" fontId="0" fillId="0" borderId="0" xfId="3" applyNumberFormat="1" applyFont="1"/>
    <xf numFmtId="167" fontId="0" fillId="0" borderId="0" xfId="4" applyNumberFormat="1" applyFont="1"/>
    <xf numFmtId="0" fontId="13" fillId="0" borderId="0" xfId="0" applyFont="1" applyAlignment="1">
      <alignment horizontal="center"/>
    </xf>
    <xf numFmtId="0" fontId="13" fillId="0" borderId="0" xfId="0" applyFont="1" applyAlignment="1">
      <alignment horizontal="center" wrapText="1"/>
    </xf>
    <xf numFmtId="44" fontId="0" fillId="0" borderId="0" xfId="3" applyFont="1"/>
    <xf numFmtId="0" fontId="13" fillId="0" borderId="0" xfId="0" applyFont="1" applyAlignment="1">
      <alignment horizontal="left"/>
    </xf>
    <xf numFmtId="0" fontId="5" fillId="0" borderId="21" xfId="0" applyFont="1" applyBorder="1" applyAlignment="1">
      <alignment horizontal="left" wrapText="1"/>
    </xf>
    <xf numFmtId="0" fontId="5" fillId="0" borderId="22" xfId="0" applyFont="1" applyBorder="1" applyAlignment="1">
      <alignment horizontal="left" wrapText="1"/>
    </xf>
    <xf numFmtId="0" fontId="5" fillId="0" borderId="16" xfId="0" applyFont="1" applyBorder="1" applyAlignment="1">
      <alignment horizontal="left" wrapText="1"/>
    </xf>
    <xf numFmtId="0" fontId="16" fillId="4" borderId="0" xfId="0" applyFont="1" applyFill="1" applyAlignment="1">
      <alignment vertical="center"/>
    </xf>
    <xf numFmtId="0" fontId="0" fillId="4" borderId="0" xfId="0" applyFill="1"/>
  </cellXfs>
  <cellStyles count="5">
    <cellStyle name="Comma 2" xfId="4" xr:uid="{DD6C13BB-E013-4469-9BC8-661582942DCB}"/>
    <cellStyle name="Currency 2" xfId="3" xr:uid="{5DDCF302-D661-475E-B0B6-5178201CA128}"/>
    <cellStyle name="Normal" xfId="0" builtinId="0"/>
    <cellStyle name="Normal 2" xfId="1" xr:uid="{7CD0B826-5649-4518-85BC-CCFF6BFA56D5}"/>
    <cellStyle name="Percent 2" xfId="2" xr:uid="{493E2147-927B-469D-9F77-8B6F4AC0E26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HZL040"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PHZL040" connectionId="2" xr16:uid="{00000000-0016-0000-0100-000001000000}"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PHZL040" connectionId="3" xr16:uid="{00000000-0016-0000-0200-000002000000}" autoFormatId="16" applyNumberFormats="0" applyBorderFormats="0" applyFontFormats="0" applyPatternFormats="0"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4</v>
      </c>
      <c r="B1" s="13" t="s">
        <v>5</v>
      </c>
      <c r="C1" s="13" t="s">
        <v>6</v>
      </c>
    </row>
    <row r="2" spans="1:3" x14ac:dyDescent="0.2">
      <c r="A2" s="10">
        <v>210</v>
      </c>
      <c r="B2" s="2" t="s">
        <v>44</v>
      </c>
      <c r="C2" s="2" t="s">
        <v>43</v>
      </c>
    </row>
    <row r="3" spans="1:3" x14ac:dyDescent="0.2">
      <c r="A3" s="12">
        <v>201</v>
      </c>
      <c r="B3" s="2" t="s">
        <v>23</v>
      </c>
      <c r="C3" s="2" t="s">
        <v>22</v>
      </c>
    </row>
    <row r="4" spans="1:3" x14ac:dyDescent="0.2">
      <c r="A4" s="10">
        <v>167</v>
      </c>
      <c r="B4" s="1" t="s">
        <v>12</v>
      </c>
      <c r="C4" s="1" t="s">
        <v>8</v>
      </c>
    </row>
    <row r="5" spans="1:3" x14ac:dyDescent="0.2">
      <c r="A5" s="10">
        <v>148</v>
      </c>
      <c r="B5" s="1" t="s">
        <v>11</v>
      </c>
      <c r="C5" s="1" t="s">
        <v>8</v>
      </c>
    </row>
    <row r="6" spans="1:3" x14ac:dyDescent="0.2">
      <c r="A6" s="10">
        <v>142</v>
      </c>
      <c r="B6" s="1" t="s">
        <v>7</v>
      </c>
      <c r="C6" s="1" t="s">
        <v>8</v>
      </c>
    </row>
    <row r="7" spans="1:3" x14ac:dyDescent="0.2">
      <c r="A7" s="10">
        <v>134</v>
      </c>
      <c r="B7" s="2" t="s">
        <v>42</v>
      </c>
      <c r="C7" s="2" t="s">
        <v>43</v>
      </c>
    </row>
    <row r="8" spans="1:3" x14ac:dyDescent="0.2">
      <c r="A8" s="10">
        <v>127</v>
      </c>
      <c r="B8" s="3" t="s">
        <v>16</v>
      </c>
      <c r="C8" s="1" t="s">
        <v>8</v>
      </c>
    </row>
    <row r="9" spans="1:3" x14ac:dyDescent="0.2">
      <c r="A9" s="10">
        <v>127</v>
      </c>
      <c r="B9" s="1" t="s">
        <v>27</v>
      </c>
      <c r="C9" s="1" t="s">
        <v>25</v>
      </c>
    </row>
    <row r="10" spans="1:3" x14ac:dyDescent="0.2">
      <c r="A10" s="10">
        <v>121</v>
      </c>
      <c r="B10" s="2" t="s">
        <v>32</v>
      </c>
      <c r="C10" s="2" t="s">
        <v>31</v>
      </c>
    </row>
    <row r="11" spans="1:3" x14ac:dyDescent="0.2">
      <c r="A11" s="10">
        <v>119</v>
      </c>
      <c r="B11" s="2" t="s">
        <v>50</v>
      </c>
      <c r="C11" s="2" t="s">
        <v>46</v>
      </c>
    </row>
    <row r="12" spans="1:3" x14ac:dyDescent="0.2">
      <c r="A12" s="10">
        <v>116</v>
      </c>
      <c r="B12" s="2" t="s">
        <v>36</v>
      </c>
      <c r="C12" s="2" t="s">
        <v>34</v>
      </c>
    </row>
    <row r="13" spans="1:3" x14ac:dyDescent="0.2">
      <c r="A13" s="10">
        <v>114</v>
      </c>
      <c r="B13" s="1" t="s">
        <v>18</v>
      </c>
      <c r="C13" s="1" t="s">
        <v>8</v>
      </c>
    </row>
    <row r="14" spans="1:3" x14ac:dyDescent="0.2">
      <c r="A14" s="10">
        <v>103</v>
      </c>
      <c r="B14" s="1" t="s">
        <v>53</v>
      </c>
      <c r="C14" s="2" t="s">
        <v>46</v>
      </c>
    </row>
    <row r="15" spans="1:3" x14ac:dyDescent="0.2">
      <c r="A15" s="10">
        <v>96</v>
      </c>
      <c r="B15" s="1" t="s">
        <v>39</v>
      </c>
      <c r="C15" s="2" t="s">
        <v>40</v>
      </c>
    </row>
    <row r="16" spans="1:3" x14ac:dyDescent="0.2">
      <c r="A16" s="10">
        <v>96</v>
      </c>
      <c r="B16" s="2" t="s">
        <v>68</v>
      </c>
      <c r="C16" s="2" t="s">
        <v>46</v>
      </c>
    </row>
    <row r="17" spans="1:3" x14ac:dyDescent="0.2">
      <c r="A17" s="10">
        <v>90</v>
      </c>
      <c r="B17" s="3" t="s">
        <v>51</v>
      </c>
      <c r="C17" s="2" t="s">
        <v>46</v>
      </c>
    </row>
    <row r="18" spans="1:3" x14ac:dyDescent="0.2">
      <c r="A18" s="10">
        <v>89</v>
      </c>
      <c r="B18" s="2" t="s">
        <v>45</v>
      </c>
      <c r="C18" s="2" t="s">
        <v>46</v>
      </c>
    </row>
    <row r="19" spans="1:3" x14ac:dyDescent="0.2">
      <c r="A19" s="10">
        <v>80</v>
      </c>
      <c r="B19" s="2" t="s">
        <v>55</v>
      </c>
      <c r="C19" s="2" t="s">
        <v>46</v>
      </c>
    </row>
    <row r="20" spans="1:3" x14ac:dyDescent="0.2">
      <c r="A20" s="10">
        <v>79</v>
      </c>
      <c r="B20" s="1" t="s">
        <v>10</v>
      </c>
      <c r="C20" s="1" t="s">
        <v>8</v>
      </c>
    </row>
    <row r="21" spans="1:3" x14ac:dyDescent="0.2">
      <c r="A21" s="12">
        <v>71</v>
      </c>
      <c r="B21" s="5" t="s">
        <v>52</v>
      </c>
      <c r="C21" s="2" t="s">
        <v>46</v>
      </c>
    </row>
    <row r="22" spans="1:3" x14ac:dyDescent="0.2">
      <c r="A22" s="10">
        <v>69</v>
      </c>
      <c r="B22" s="1" t="s">
        <v>14</v>
      </c>
      <c r="C22" s="1" t="s">
        <v>8</v>
      </c>
    </row>
    <row r="23" spans="1:3" x14ac:dyDescent="0.2">
      <c r="A23" s="10">
        <v>69</v>
      </c>
      <c r="B23" s="2" t="s">
        <v>30</v>
      </c>
      <c r="C23" s="2" t="s">
        <v>31</v>
      </c>
    </row>
    <row r="24" spans="1:3" x14ac:dyDescent="0.2">
      <c r="A24" s="10">
        <v>67</v>
      </c>
      <c r="B24" s="2" t="s">
        <v>20</v>
      </c>
      <c r="C24" s="2" t="s">
        <v>21</v>
      </c>
    </row>
    <row r="25" spans="1:3" x14ac:dyDescent="0.2">
      <c r="A25" s="10">
        <v>65</v>
      </c>
      <c r="B25" s="2" t="s">
        <v>65</v>
      </c>
      <c r="C25" s="2" t="s">
        <v>22</v>
      </c>
    </row>
    <row r="26" spans="1:3" x14ac:dyDescent="0.2">
      <c r="A26" s="12">
        <v>65</v>
      </c>
      <c r="B26" s="1" t="s">
        <v>26</v>
      </c>
      <c r="C26" s="1" t="s">
        <v>25</v>
      </c>
    </row>
    <row r="27" spans="1:3" x14ac:dyDescent="0.2">
      <c r="A27" s="10">
        <v>64</v>
      </c>
      <c r="B27" s="2" t="s">
        <v>47</v>
      </c>
      <c r="C27" s="2" t="s">
        <v>46</v>
      </c>
    </row>
    <row r="28" spans="1:3" x14ac:dyDescent="0.2">
      <c r="A28" s="10">
        <v>62</v>
      </c>
      <c r="B28" s="1" t="s">
        <v>28</v>
      </c>
      <c r="C28" s="1" t="s">
        <v>29</v>
      </c>
    </row>
    <row r="29" spans="1:3" x14ac:dyDescent="0.2">
      <c r="A29" s="10">
        <v>62</v>
      </c>
      <c r="B29" s="2" t="s">
        <v>66</v>
      </c>
      <c r="C29" s="2" t="s">
        <v>46</v>
      </c>
    </row>
    <row r="30" spans="1:3" x14ac:dyDescent="0.2">
      <c r="A30" s="10">
        <v>59</v>
      </c>
      <c r="B30" s="2" t="s">
        <v>13</v>
      </c>
      <c r="C30" s="1" t="s">
        <v>8</v>
      </c>
    </row>
    <row r="31" spans="1:3" x14ac:dyDescent="0.2">
      <c r="A31" s="10">
        <v>59</v>
      </c>
      <c r="B31" s="4" t="s">
        <v>17</v>
      </c>
      <c r="C31" s="1" t="s">
        <v>8</v>
      </c>
    </row>
    <row r="32" spans="1:3" x14ac:dyDescent="0.2">
      <c r="A32" s="10">
        <v>56</v>
      </c>
      <c r="B32" s="2" t="s">
        <v>9</v>
      </c>
      <c r="C32" s="1" t="s">
        <v>8</v>
      </c>
    </row>
    <row r="33" spans="1:3" x14ac:dyDescent="0.2">
      <c r="A33" s="10">
        <v>51</v>
      </c>
      <c r="B33" s="1" t="s">
        <v>33</v>
      </c>
      <c r="C33" s="2" t="s">
        <v>34</v>
      </c>
    </row>
    <row r="34" spans="1:3" x14ac:dyDescent="0.2">
      <c r="A34" s="10">
        <v>50</v>
      </c>
      <c r="B34" s="1" t="s">
        <v>37</v>
      </c>
      <c r="C34" s="2" t="s">
        <v>38</v>
      </c>
    </row>
    <row r="35" spans="1:3" x14ac:dyDescent="0.2">
      <c r="A35" s="10">
        <v>50</v>
      </c>
      <c r="B35" s="3" t="s">
        <v>54</v>
      </c>
      <c r="C35" s="2" t="s">
        <v>46</v>
      </c>
    </row>
    <row r="36" spans="1:3" x14ac:dyDescent="0.2">
      <c r="A36" s="10">
        <v>49</v>
      </c>
      <c r="B36" s="1" t="s">
        <v>15</v>
      </c>
      <c r="C36" s="1" t="s">
        <v>8</v>
      </c>
    </row>
    <row r="37" spans="1:3" x14ac:dyDescent="0.2">
      <c r="A37" s="12">
        <v>47</v>
      </c>
      <c r="B37" s="2" t="s">
        <v>19</v>
      </c>
      <c r="C37" s="1" t="s">
        <v>8</v>
      </c>
    </row>
    <row r="38" spans="1:3" x14ac:dyDescent="0.2">
      <c r="A38" s="10">
        <v>47</v>
      </c>
      <c r="B38" s="1" t="s">
        <v>63</v>
      </c>
      <c r="C38" s="2" t="s">
        <v>40</v>
      </c>
    </row>
    <row r="39" spans="1:3" x14ac:dyDescent="0.2">
      <c r="A39" s="10">
        <v>47</v>
      </c>
      <c r="B39" s="1" t="s">
        <v>58</v>
      </c>
      <c r="C39" s="2" t="s">
        <v>46</v>
      </c>
    </row>
    <row r="40" spans="1:3" x14ac:dyDescent="0.2">
      <c r="A40" s="10">
        <v>46</v>
      </c>
      <c r="B40" s="1" t="s">
        <v>62</v>
      </c>
      <c r="C40" s="1" t="s">
        <v>8</v>
      </c>
    </row>
    <row r="41" spans="1:3" x14ac:dyDescent="0.2">
      <c r="A41" s="10">
        <v>42</v>
      </c>
      <c r="B41" s="2" t="s">
        <v>35</v>
      </c>
      <c r="C41" s="2" t="s">
        <v>34</v>
      </c>
    </row>
    <row r="42" spans="1:3" x14ac:dyDescent="0.2">
      <c r="A42" s="10">
        <v>42</v>
      </c>
      <c r="B42" s="2" t="s">
        <v>56</v>
      </c>
      <c r="C42" s="2" t="s">
        <v>46</v>
      </c>
    </row>
    <row r="43" spans="1:3" x14ac:dyDescent="0.2">
      <c r="A43" s="10">
        <v>41</v>
      </c>
      <c r="B43" s="1" t="s">
        <v>41</v>
      </c>
      <c r="C43" s="2" t="s">
        <v>40</v>
      </c>
    </row>
    <row r="44" spans="1:3" x14ac:dyDescent="0.2">
      <c r="A44" s="10">
        <v>41</v>
      </c>
      <c r="B44" s="3" t="s">
        <v>48</v>
      </c>
      <c r="C44" s="2" t="s">
        <v>46</v>
      </c>
    </row>
    <row r="45" spans="1:3" x14ac:dyDescent="0.2">
      <c r="A45" s="10">
        <v>41</v>
      </c>
      <c r="B45" s="2" t="s">
        <v>59</v>
      </c>
      <c r="C45" s="2" t="s">
        <v>46</v>
      </c>
    </row>
    <row r="46" spans="1:3" x14ac:dyDescent="0.2">
      <c r="A46" s="12">
        <v>39</v>
      </c>
      <c r="B46" s="2" t="s">
        <v>61</v>
      </c>
      <c r="C46" s="1" t="s">
        <v>8</v>
      </c>
    </row>
    <row r="47" spans="1:3" x14ac:dyDescent="0.2">
      <c r="A47" s="10">
        <v>39</v>
      </c>
      <c r="B47" s="3" t="s">
        <v>49</v>
      </c>
      <c r="C47" s="2" t="s">
        <v>46</v>
      </c>
    </row>
    <row r="48" spans="1:3" x14ac:dyDescent="0.2">
      <c r="A48" s="10">
        <v>37</v>
      </c>
      <c r="B48" s="2" t="s">
        <v>57</v>
      </c>
      <c r="C48" s="2" t="s">
        <v>46</v>
      </c>
    </row>
    <row r="49" spans="1:3" x14ac:dyDescent="0.2">
      <c r="A49" s="10">
        <v>36</v>
      </c>
      <c r="B49" s="1" t="s">
        <v>24</v>
      </c>
      <c r="C49" s="1" t="s">
        <v>25</v>
      </c>
    </row>
    <row r="50" spans="1:3" x14ac:dyDescent="0.2">
      <c r="A50" s="10">
        <v>35</v>
      </c>
      <c r="B50" s="2" t="s">
        <v>72</v>
      </c>
      <c r="C50" s="2" t="s">
        <v>46</v>
      </c>
    </row>
    <row r="51" spans="1:3" x14ac:dyDescent="0.2">
      <c r="A51" s="10">
        <v>34</v>
      </c>
      <c r="B51" s="3"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2"/>
  <sheetViews>
    <sheetView showGridLines="0" tabSelected="1" zoomScaleNormal="100" workbookViewId="0">
      <selection activeCell="A3" sqref="A3"/>
    </sheetView>
  </sheetViews>
  <sheetFormatPr defaultColWidth="8.88671875" defaultRowHeight="14.25" x14ac:dyDescent="0.2"/>
  <cols>
    <col min="1" max="1" width="54" style="6" customWidth="1"/>
    <col min="2" max="2" width="12.6640625" style="9" customWidth="1"/>
    <col min="3" max="3" width="18.77734375" style="6" customWidth="1"/>
    <col min="4" max="4" width="8.88671875" style="6"/>
    <col min="5" max="5" width="8.6640625" style="6" customWidth="1"/>
    <col min="6" max="16384" width="8.88671875" style="6"/>
  </cols>
  <sheetData>
    <row r="1" spans="1:4" ht="15" customHeight="1" x14ac:dyDescent="0.25">
      <c r="A1" s="14" t="s">
        <v>143</v>
      </c>
      <c r="B1" s="15"/>
      <c r="C1" s="16"/>
    </row>
    <row r="2" spans="1:4" ht="15" customHeight="1" x14ac:dyDescent="0.25">
      <c r="A2" s="17" t="s">
        <v>145</v>
      </c>
      <c r="C2" s="18"/>
    </row>
    <row r="3" spans="1:4" ht="15" customHeight="1" x14ac:dyDescent="0.25">
      <c r="A3" s="17" t="s">
        <v>5255</v>
      </c>
      <c r="C3" s="18"/>
    </row>
    <row r="4" spans="1:4" ht="15" x14ac:dyDescent="0.25">
      <c r="A4" s="44"/>
      <c r="B4" s="23"/>
      <c r="C4" s="24"/>
    </row>
    <row r="5" spans="1:4" ht="73.5" customHeight="1" x14ac:dyDescent="0.2">
      <c r="A5" s="83" t="s">
        <v>107</v>
      </c>
      <c r="B5" s="84"/>
      <c r="C5" s="85"/>
    </row>
    <row r="6" spans="1:4" ht="15" customHeight="1" x14ac:dyDescent="0.25">
      <c r="A6" s="32" t="s">
        <v>94</v>
      </c>
      <c r="B6" s="58" t="s">
        <v>122</v>
      </c>
      <c r="C6" s="31" t="s">
        <v>60</v>
      </c>
      <c r="D6" s="38"/>
    </row>
    <row r="7" spans="1:4" ht="15" customHeight="1" x14ac:dyDescent="0.2">
      <c r="A7" s="25" t="s">
        <v>2</v>
      </c>
      <c r="B7" s="35">
        <v>99282</v>
      </c>
      <c r="C7" s="19"/>
    </row>
    <row r="8" spans="1:4" ht="15" customHeight="1" x14ac:dyDescent="0.2">
      <c r="A8" s="26" t="s">
        <v>3</v>
      </c>
      <c r="B8" s="34">
        <v>99283</v>
      </c>
      <c r="C8" s="20"/>
    </row>
    <row r="9" spans="1:4" ht="15" customHeight="1" x14ac:dyDescent="0.2">
      <c r="A9" s="59" t="s">
        <v>114</v>
      </c>
      <c r="B9" s="34">
        <v>99284</v>
      </c>
      <c r="C9" s="20"/>
    </row>
    <row r="10" spans="1:4" ht="15" customHeight="1" x14ac:dyDescent="0.2">
      <c r="A10" s="59" t="s">
        <v>115</v>
      </c>
      <c r="B10" s="34">
        <v>99285</v>
      </c>
      <c r="C10" s="20"/>
    </row>
    <row r="11" spans="1:4" ht="15" customHeight="1" x14ac:dyDescent="0.2">
      <c r="A11" s="26" t="s">
        <v>95</v>
      </c>
      <c r="B11" s="34">
        <v>99213</v>
      </c>
      <c r="C11" s="20"/>
    </row>
    <row r="12" spans="1:4" ht="15" customHeight="1" x14ac:dyDescent="0.25">
      <c r="A12" s="32" t="s">
        <v>111</v>
      </c>
      <c r="B12" s="58" t="s">
        <v>122</v>
      </c>
      <c r="C12" s="31" t="s">
        <v>60</v>
      </c>
      <c r="D12" s="38"/>
    </row>
    <row r="13" spans="1:4" ht="15" customHeight="1" x14ac:dyDescent="0.2">
      <c r="A13" s="25" t="s">
        <v>7</v>
      </c>
      <c r="B13" s="35">
        <v>80048</v>
      </c>
      <c r="C13" s="19"/>
    </row>
    <row r="14" spans="1:4" ht="15" customHeight="1" x14ac:dyDescent="0.2">
      <c r="A14" s="27" t="s">
        <v>77</v>
      </c>
      <c r="B14" s="34">
        <v>82805</v>
      </c>
      <c r="C14" s="20"/>
    </row>
    <row r="15" spans="1:4" ht="15" customHeight="1" x14ac:dyDescent="0.2">
      <c r="A15" s="26" t="s">
        <v>78</v>
      </c>
      <c r="B15" s="34">
        <v>85027</v>
      </c>
      <c r="C15" s="20"/>
    </row>
    <row r="16" spans="1:4" ht="15" customHeight="1" x14ac:dyDescent="0.2">
      <c r="A16" s="26" t="s">
        <v>79</v>
      </c>
      <c r="B16" s="34">
        <v>85025</v>
      </c>
      <c r="C16" s="20"/>
    </row>
    <row r="17" spans="1:4" ht="15" customHeight="1" x14ac:dyDescent="0.2">
      <c r="A17" s="26" t="s">
        <v>12</v>
      </c>
      <c r="B17" s="34">
        <v>80053</v>
      </c>
      <c r="C17" s="20"/>
    </row>
    <row r="18" spans="1:4" ht="15" customHeight="1" x14ac:dyDescent="0.2">
      <c r="A18" s="27" t="s">
        <v>13</v>
      </c>
      <c r="B18" s="34">
        <v>82550</v>
      </c>
      <c r="C18" s="20"/>
    </row>
    <row r="19" spans="1:4" ht="15" customHeight="1" x14ac:dyDescent="0.2">
      <c r="A19" s="26" t="s">
        <v>14</v>
      </c>
      <c r="B19" s="34">
        <v>80061</v>
      </c>
      <c r="C19" s="20"/>
    </row>
    <row r="20" spans="1:4" ht="15" customHeight="1" x14ac:dyDescent="0.2">
      <c r="A20" s="26" t="s">
        <v>15</v>
      </c>
      <c r="B20" s="34">
        <v>85730</v>
      </c>
      <c r="C20" s="20"/>
    </row>
    <row r="21" spans="1:4" ht="15" customHeight="1" x14ac:dyDescent="0.2">
      <c r="A21" s="27" t="s">
        <v>16</v>
      </c>
      <c r="B21" s="34">
        <v>85610</v>
      </c>
      <c r="C21" s="20"/>
    </row>
    <row r="22" spans="1:4" ht="15" customHeight="1" x14ac:dyDescent="0.2">
      <c r="A22" s="28" t="s">
        <v>17</v>
      </c>
      <c r="B22" s="34">
        <v>84443</v>
      </c>
      <c r="C22" s="20"/>
    </row>
    <row r="23" spans="1:4" ht="15" customHeight="1" x14ac:dyDescent="0.2">
      <c r="A23" s="26" t="s">
        <v>62</v>
      </c>
      <c r="B23" s="34">
        <v>84484</v>
      </c>
      <c r="C23" s="20"/>
    </row>
    <row r="24" spans="1:4" ht="15" customHeight="1" x14ac:dyDescent="0.2">
      <c r="A24" s="26" t="s">
        <v>80</v>
      </c>
      <c r="B24" s="61" t="s">
        <v>0</v>
      </c>
      <c r="C24" s="20"/>
    </row>
    <row r="25" spans="1:4" ht="15" customHeight="1" x14ac:dyDescent="0.2">
      <c r="A25" s="27" t="s">
        <v>19</v>
      </c>
      <c r="B25" s="61" t="s">
        <v>1</v>
      </c>
      <c r="C25" s="20"/>
    </row>
    <row r="26" spans="1:4" ht="15" customHeight="1" x14ac:dyDescent="0.25">
      <c r="A26" s="33" t="s">
        <v>91</v>
      </c>
      <c r="B26" s="58" t="s">
        <v>122</v>
      </c>
      <c r="C26" s="31" t="s">
        <v>60</v>
      </c>
      <c r="D26" s="38"/>
    </row>
    <row r="27" spans="1:4" ht="15" customHeight="1" x14ac:dyDescent="0.2">
      <c r="A27" s="25" t="s">
        <v>33</v>
      </c>
      <c r="B27" s="35">
        <v>74160</v>
      </c>
      <c r="C27" s="19"/>
    </row>
    <row r="28" spans="1:4" ht="15" customHeight="1" x14ac:dyDescent="0.2">
      <c r="A28" s="27" t="s">
        <v>36</v>
      </c>
      <c r="B28" s="34">
        <v>70450</v>
      </c>
      <c r="C28" s="20"/>
    </row>
    <row r="29" spans="1:4" ht="15" customHeight="1" x14ac:dyDescent="0.2">
      <c r="A29" s="27" t="s">
        <v>76</v>
      </c>
      <c r="B29" s="34">
        <v>72193</v>
      </c>
      <c r="C29" s="20"/>
    </row>
    <row r="30" spans="1:4" ht="15" customHeight="1" x14ac:dyDescent="0.2">
      <c r="A30" s="60" t="s">
        <v>32</v>
      </c>
      <c r="B30" s="34">
        <v>77067</v>
      </c>
      <c r="C30" s="20"/>
    </row>
    <row r="31" spans="1:4" ht="15" customHeight="1" x14ac:dyDescent="0.2">
      <c r="A31" s="59" t="s">
        <v>118</v>
      </c>
      <c r="B31" s="34">
        <v>70553</v>
      </c>
      <c r="C31" s="20"/>
    </row>
    <row r="32" spans="1:4" ht="15" customHeight="1" x14ac:dyDescent="0.2">
      <c r="A32" s="26" t="s">
        <v>64</v>
      </c>
      <c r="B32" s="34">
        <v>76700</v>
      </c>
      <c r="C32" s="20"/>
    </row>
    <row r="33" spans="1:6" ht="15" customHeight="1" x14ac:dyDescent="0.2">
      <c r="A33" s="41" t="s">
        <v>97</v>
      </c>
      <c r="B33" s="34">
        <v>76805</v>
      </c>
      <c r="C33" s="20"/>
    </row>
    <row r="34" spans="1:6" ht="15" customHeight="1" x14ac:dyDescent="0.2">
      <c r="A34" s="60" t="s">
        <v>119</v>
      </c>
      <c r="B34" s="34">
        <v>72110</v>
      </c>
      <c r="C34" s="20"/>
      <c r="E34"/>
      <c r="F34"/>
    </row>
    <row r="35" spans="1:6" ht="15" customHeight="1" x14ac:dyDescent="0.2">
      <c r="A35" s="27" t="s">
        <v>44</v>
      </c>
      <c r="B35" s="34">
        <v>71046</v>
      </c>
      <c r="C35" s="20"/>
    </row>
    <row r="36" spans="1:6" ht="15" customHeight="1" x14ac:dyDescent="0.25">
      <c r="A36" s="32" t="s">
        <v>108</v>
      </c>
      <c r="B36" s="58" t="s">
        <v>122</v>
      </c>
      <c r="C36" s="56" t="s">
        <v>60</v>
      </c>
      <c r="D36" s="38"/>
    </row>
    <row r="37" spans="1:6" ht="15" customHeight="1" x14ac:dyDescent="0.2">
      <c r="A37" s="29" t="s">
        <v>81</v>
      </c>
      <c r="B37" s="35">
        <v>93452</v>
      </c>
      <c r="C37" s="19"/>
    </row>
    <row r="38" spans="1:6" ht="15" customHeight="1" x14ac:dyDescent="0.2">
      <c r="A38" s="60" t="s">
        <v>121</v>
      </c>
      <c r="B38" s="34">
        <v>93307</v>
      </c>
      <c r="C38" s="20"/>
    </row>
    <row r="39" spans="1:6" ht="15" customHeight="1" x14ac:dyDescent="0.2">
      <c r="A39" s="27" t="s">
        <v>98</v>
      </c>
      <c r="B39" s="34">
        <v>93000</v>
      </c>
      <c r="C39" s="20"/>
    </row>
    <row r="40" spans="1:6" ht="15" customHeight="1" x14ac:dyDescent="0.2">
      <c r="A40" s="26" t="s">
        <v>92</v>
      </c>
      <c r="B40" s="34">
        <v>94640</v>
      </c>
      <c r="C40" s="20"/>
    </row>
    <row r="41" spans="1:6" ht="15" customHeight="1" x14ac:dyDescent="0.2">
      <c r="A41" s="59" t="s">
        <v>69</v>
      </c>
      <c r="B41" s="34" t="s">
        <v>116</v>
      </c>
      <c r="C41" s="20"/>
    </row>
    <row r="42" spans="1:6" ht="15" customHeight="1" x14ac:dyDescent="0.2">
      <c r="A42" s="26" t="s">
        <v>70</v>
      </c>
      <c r="B42" s="34">
        <v>97116</v>
      </c>
      <c r="C42" s="20"/>
    </row>
    <row r="43" spans="1:6" ht="15" customHeight="1" x14ac:dyDescent="0.2">
      <c r="A43" s="42" t="s">
        <v>71</v>
      </c>
      <c r="B43" s="62">
        <v>97110</v>
      </c>
      <c r="C43" s="43"/>
    </row>
    <row r="44" spans="1:6" ht="15" customHeight="1" x14ac:dyDescent="0.25">
      <c r="A44" s="32" t="s">
        <v>93</v>
      </c>
      <c r="B44" s="30" t="s">
        <v>122</v>
      </c>
      <c r="C44" s="31" t="s">
        <v>60</v>
      </c>
      <c r="D44" s="38"/>
    </row>
    <row r="45" spans="1:6" ht="15" customHeight="1" x14ac:dyDescent="0.2">
      <c r="A45" s="29" t="s">
        <v>82</v>
      </c>
      <c r="B45" s="63">
        <v>29881</v>
      </c>
      <c r="C45" s="19"/>
    </row>
    <row r="46" spans="1:6" ht="15" customHeight="1" x14ac:dyDescent="0.2">
      <c r="A46" s="27" t="s">
        <v>83</v>
      </c>
      <c r="B46" s="61">
        <v>29826</v>
      </c>
      <c r="C46" s="20"/>
    </row>
    <row r="47" spans="1:6" ht="15" customHeight="1" x14ac:dyDescent="0.2">
      <c r="A47" s="27" t="s">
        <v>47</v>
      </c>
      <c r="B47" s="61">
        <v>64721</v>
      </c>
      <c r="C47" s="20"/>
    </row>
    <row r="48" spans="1:6" ht="15" customHeight="1" x14ac:dyDescent="0.2">
      <c r="A48" s="27" t="s">
        <v>49</v>
      </c>
      <c r="B48" s="61">
        <v>66984</v>
      </c>
      <c r="C48" s="20"/>
    </row>
    <row r="49" spans="1:3" ht="15" customHeight="1" x14ac:dyDescent="0.2">
      <c r="A49" s="27" t="s">
        <v>84</v>
      </c>
      <c r="B49" s="61">
        <v>45378</v>
      </c>
      <c r="C49" s="20"/>
    </row>
    <row r="50" spans="1:3" ht="15" customHeight="1" x14ac:dyDescent="0.2">
      <c r="A50" s="27" t="s">
        <v>67</v>
      </c>
      <c r="B50" s="61">
        <v>45380</v>
      </c>
      <c r="C50" s="20"/>
    </row>
    <row r="51" spans="1:3" ht="15" customHeight="1" x14ac:dyDescent="0.2">
      <c r="A51" s="27" t="s">
        <v>85</v>
      </c>
      <c r="B51" s="61">
        <v>45385</v>
      </c>
      <c r="C51" s="20"/>
    </row>
    <row r="52" spans="1:3" ht="15" customHeight="1" x14ac:dyDescent="0.2">
      <c r="A52" s="27" t="s">
        <v>86</v>
      </c>
      <c r="B52" s="61">
        <v>66821</v>
      </c>
      <c r="C52" s="20"/>
    </row>
    <row r="53" spans="1:3" ht="15" customHeight="1" x14ac:dyDescent="0.2">
      <c r="A53" s="26" t="s">
        <v>53</v>
      </c>
      <c r="B53" s="61">
        <v>43239</v>
      </c>
      <c r="C53" s="20"/>
    </row>
    <row r="54" spans="1:3" ht="15" customHeight="1" x14ac:dyDescent="0.2">
      <c r="A54" s="26" t="s">
        <v>87</v>
      </c>
      <c r="B54" s="61">
        <v>43235</v>
      </c>
      <c r="C54" s="20"/>
    </row>
    <row r="55" spans="1:3" ht="15" customHeight="1" x14ac:dyDescent="0.2">
      <c r="A55" s="60" t="s">
        <v>120</v>
      </c>
      <c r="B55" s="61">
        <v>19120</v>
      </c>
      <c r="C55" s="20"/>
    </row>
    <row r="56" spans="1:3" ht="15" customHeight="1" x14ac:dyDescent="0.2">
      <c r="A56" s="27" t="s">
        <v>88</v>
      </c>
      <c r="B56" s="61">
        <v>49505</v>
      </c>
      <c r="C56" s="20"/>
    </row>
    <row r="57" spans="1:3" ht="15" customHeight="1" x14ac:dyDescent="0.2">
      <c r="A57" s="60" t="s">
        <v>112</v>
      </c>
      <c r="B57" s="61" t="s">
        <v>117</v>
      </c>
      <c r="C57" s="20"/>
    </row>
    <row r="58" spans="1:3" ht="15" customHeight="1" x14ac:dyDescent="0.2">
      <c r="A58" s="27" t="s">
        <v>113</v>
      </c>
      <c r="B58" s="61">
        <v>64483</v>
      </c>
      <c r="C58" s="20"/>
    </row>
    <row r="59" spans="1:3" ht="15" customHeight="1" x14ac:dyDescent="0.2">
      <c r="A59" s="27" t="s">
        <v>68</v>
      </c>
      <c r="B59" s="61">
        <v>47562</v>
      </c>
      <c r="C59" s="20"/>
    </row>
    <row r="60" spans="1:3" ht="15" customHeight="1" x14ac:dyDescent="0.2">
      <c r="A60" s="27" t="s">
        <v>74</v>
      </c>
      <c r="B60" s="61">
        <v>69436</v>
      </c>
      <c r="C60" s="20"/>
    </row>
    <row r="61" spans="1:3" ht="15" customHeight="1" x14ac:dyDescent="0.2">
      <c r="A61" s="27" t="s">
        <v>89</v>
      </c>
      <c r="B61" s="61">
        <v>42820</v>
      </c>
      <c r="C61" s="20"/>
    </row>
    <row r="62" spans="1:3" ht="29.25" customHeight="1" x14ac:dyDescent="0.25">
      <c r="A62" s="32" t="s">
        <v>90</v>
      </c>
      <c r="B62" s="57" t="s">
        <v>122</v>
      </c>
      <c r="C62" s="31" t="s">
        <v>60</v>
      </c>
    </row>
    <row r="63" spans="1:3" ht="15" customHeight="1" x14ac:dyDescent="0.2">
      <c r="A63" t="s">
        <v>123</v>
      </c>
      <c r="B63" s="35">
        <v>9131095</v>
      </c>
      <c r="C63" s="39">
        <v>280</v>
      </c>
    </row>
    <row r="64" spans="1:3" ht="15" customHeight="1" x14ac:dyDescent="0.2">
      <c r="A64" t="s">
        <v>124</v>
      </c>
      <c r="B64" s="34">
        <v>9131096</v>
      </c>
      <c r="C64" s="40">
        <v>280</v>
      </c>
    </row>
    <row r="65" spans="1:3" ht="15" customHeight="1" x14ac:dyDescent="0.2">
      <c r="A65" t="s">
        <v>125</v>
      </c>
      <c r="B65" s="34">
        <v>9179311</v>
      </c>
      <c r="C65" s="45">
        <v>280</v>
      </c>
    </row>
    <row r="66" spans="1:3" ht="15" customHeight="1" x14ac:dyDescent="0.2">
      <c r="A66" t="s">
        <v>126</v>
      </c>
      <c r="B66" s="34">
        <v>9179312</v>
      </c>
      <c r="C66" s="40">
        <v>280</v>
      </c>
    </row>
    <row r="67" spans="1:3" ht="15" customHeight="1" x14ac:dyDescent="0.2">
      <c r="A67" t="s">
        <v>127</v>
      </c>
      <c r="B67" s="34">
        <v>9193604</v>
      </c>
      <c r="C67" s="40">
        <v>1400</v>
      </c>
    </row>
    <row r="68" spans="1:3" ht="15" customHeight="1" x14ac:dyDescent="0.2">
      <c r="A68" t="s">
        <v>128</v>
      </c>
      <c r="B68" s="34">
        <v>9193605</v>
      </c>
      <c r="C68" s="40">
        <v>1400</v>
      </c>
    </row>
    <row r="69" spans="1:3" ht="15" customHeight="1" x14ac:dyDescent="0.2">
      <c r="A69" t="s">
        <v>129</v>
      </c>
      <c r="B69" s="34">
        <v>9410028</v>
      </c>
      <c r="C69" s="40">
        <v>280</v>
      </c>
    </row>
    <row r="70" spans="1:3" ht="15" customHeight="1" x14ac:dyDescent="0.2">
      <c r="A70" t="s">
        <v>130</v>
      </c>
      <c r="B70" s="34">
        <v>9431115</v>
      </c>
      <c r="C70" s="40">
        <v>280</v>
      </c>
    </row>
    <row r="71" spans="1:3" ht="15" customHeight="1" x14ac:dyDescent="0.2">
      <c r="A71" t="s">
        <v>131</v>
      </c>
      <c r="B71" s="34">
        <v>9472002</v>
      </c>
      <c r="C71" s="40">
        <v>280</v>
      </c>
    </row>
    <row r="72" spans="1:3" ht="15" customHeight="1" x14ac:dyDescent="0.2">
      <c r="A72" t="s">
        <v>132</v>
      </c>
      <c r="B72" s="34">
        <v>9479310</v>
      </c>
      <c r="C72" s="40">
        <v>800</v>
      </c>
    </row>
    <row r="73" spans="1:3" ht="15" customHeight="1" x14ac:dyDescent="0.2">
      <c r="A73" t="s">
        <v>133</v>
      </c>
      <c r="B73" s="34">
        <v>9479311</v>
      </c>
      <c r="C73" s="40">
        <v>800</v>
      </c>
    </row>
    <row r="74" spans="1:3" ht="15" customHeight="1" x14ac:dyDescent="0.2">
      <c r="A74" t="s">
        <v>134</v>
      </c>
      <c r="B74" s="34">
        <v>9479360</v>
      </c>
      <c r="C74" s="40">
        <v>800</v>
      </c>
    </row>
    <row r="75" spans="1:3" ht="15" customHeight="1" x14ac:dyDescent="0.2">
      <c r="A75" t="s">
        <v>135</v>
      </c>
      <c r="B75" s="34">
        <v>9479371</v>
      </c>
      <c r="C75" s="40">
        <v>800</v>
      </c>
    </row>
    <row r="76" spans="1:3" ht="15" customHeight="1" x14ac:dyDescent="0.2">
      <c r="A76" t="s">
        <v>136</v>
      </c>
      <c r="B76" s="34">
        <v>9479372</v>
      </c>
      <c r="C76" s="40">
        <v>800</v>
      </c>
    </row>
    <row r="77" spans="1:3" ht="15" customHeight="1" x14ac:dyDescent="0.2">
      <c r="A77" t="s">
        <v>137</v>
      </c>
      <c r="B77" s="34">
        <v>9479627</v>
      </c>
      <c r="C77" s="40">
        <v>280</v>
      </c>
    </row>
    <row r="78" spans="1:3" ht="15" customHeight="1" x14ac:dyDescent="0.2">
      <c r="A78" t="s">
        <v>138</v>
      </c>
      <c r="B78" s="34">
        <v>9480005</v>
      </c>
      <c r="C78" s="40">
        <v>800</v>
      </c>
    </row>
    <row r="79" spans="1:3" ht="15" customHeight="1" x14ac:dyDescent="0.2">
      <c r="A79" t="s">
        <v>139</v>
      </c>
      <c r="B79" s="34">
        <v>9488006</v>
      </c>
      <c r="C79" s="40">
        <v>800</v>
      </c>
    </row>
    <row r="80" spans="1:3" ht="15" customHeight="1" x14ac:dyDescent="0.2">
      <c r="A80" t="s">
        <v>140</v>
      </c>
      <c r="B80" s="34">
        <v>9493121</v>
      </c>
      <c r="C80" s="40">
        <v>280</v>
      </c>
    </row>
    <row r="81" spans="1:4" ht="15" customHeight="1" x14ac:dyDescent="0.2">
      <c r="A81" t="s">
        <v>141</v>
      </c>
      <c r="B81" s="34">
        <v>9493122</v>
      </c>
      <c r="C81" s="40">
        <v>280</v>
      </c>
    </row>
    <row r="82" spans="1:4" ht="15" customHeight="1" x14ac:dyDescent="0.2">
      <c r="A82" t="s">
        <v>142</v>
      </c>
      <c r="B82" s="34">
        <v>9493131</v>
      </c>
      <c r="C82" s="40">
        <v>280</v>
      </c>
    </row>
    <row r="83" spans="1:4" ht="15" customHeight="1" x14ac:dyDescent="0.25">
      <c r="A83" s="66" t="s">
        <v>144</v>
      </c>
      <c r="B83" s="64"/>
      <c r="C83" s="65"/>
    </row>
    <row r="84" spans="1:4" ht="21" customHeight="1" thickBot="1" x14ac:dyDescent="0.3">
      <c r="A84" s="21" t="s">
        <v>96</v>
      </c>
      <c r="B84" s="7"/>
      <c r="C84" s="22">
        <f>COUNTA(C7:C11,C13:C25,C27:C35,C37:C43,C45:C61,C63:C82)</f>
        <v>20</v>
      </c>
      <c r="D84" s="38"/>
    </row>
    <row r="85" spans="1:4" ht="15" customHeight="1" thickTop="1" x14ac:dyDescent="0.2">
      <c r="A85" s="36" t="s">
        <v>75</v>
      </c>
      <c r="B85" s="37"/>
      <c r="C85" s="46"/>
    </row>
    <row r="86" spans="1:4" ht="15" customHeight="1" x14ac:dyDescent="0.2">
      <c r="A86" s="47" t="s">
        <v>106</v>
      </c>
      <c r="B86" s="48"/>
      <c r="C86" s="49"/>
    </row>
    <row r="87" spans="1:4" ht="15" customHeight="1" x14ac:dyDescent="0.2">
      <c r="A87" s="47" t="s">
        <v>101</v>
      </c>
      <c r="B87" s="50"/>
      <c r="C87" s="51"/>
    </row>
    <row r="88" spans="1:4" ht="15" customHeight="1" x14ac:dyDescent="0.2">
      <c r="A88" s="47" t="s">
        <v>105</v>
      </c>
      <c r="B88" s="50"/>
      <c r="C88" s="51"/>
    </row>
    <row r="89" spans="1:4" ht="15" customHeight="1" x14ac:dyDescent="0.2">
      <c r="A89" s="47" t="s">
        <v>109</v>
      </c>
      <c r="B89" s="50"/>
      <c r="C89" s="51"/>
    </row>
    <row r="90" spans="1:4" ht="15" customHeight="1" x14ac:dyDescent="0.2">
      <c r="A90" s="47" t="s">
        <v>110</v>
      </c>
      <c r="B90" s="50"/>
      <c r="C90" s="51"/>
    </row>
    <row r="91" spans="1:4" ht="15" customHeight="1" x14ac:dyDescent="0.2">
      <c r="A91" s="47" t="s">
        <v>102</v>
      </c>
      <c r="B91" s="50"/>
      <c r="C91" s="51"/>
    </row>
    <row r="92" spans="1:4" ht="15" customHeight="1" x14ac:dyDescent="0.2">
      <c r="A92" s="47" t="s">
        <v>103</v>
      </c>
      <c r="B92" s="50"/>
      <c r="C92" s="52"/>
      <c r="D92" s="8"/>
    </row>
    <row r="93" spans="1:4" ht="15" customHeight="1" x14ac:dyDescent="0.2">
      <c r="A93" s="47" t="s">
        <v>99</v>
      </c>
      <c r="B93" s="50"/>
      <c r="C93" s="51"/>
    </row>
    <row r="94" spans="1:4" ht="15" customHeight="1" x14ac:dyDescent="0.2">
      <c r="A94" s="47" t="s">
        <v>104</v>
      </c>
      <c r="B94" s="50"/>
      <c r="C94" s="51"/>
    </row>
    <row r="95" spans="1:4" ht="15" customHeight="1" x14ac:dyDescent="0.2">
      <c r="A95" s="53" t="s">
        <v>100</v>
      </c>
      <c r="B95" s="54"/>
      <c r="C95" s="55"/>
    </row>
    <row r="96" spans="1:4" ht="15" customHeight="1" x14ac:dyDescent="0.2"/>
    <row r="97" spans="2:2" ht="15" customHeight="1" x14ac:dyDescent="0.2">
      <c r="B97" s="6"/>
    </row>
    <row r="98" spans="2:2" x14ac:dyDescent="0.2">
      <c r="B98" s="6"/>
    </row>
    <row r="99" spans="2:2" x14ac:dyDescent="0.2">
      <c r="B99" s="6"/>
    </row>
    <row r="100" spans="2:2" x14ac:dyDescent="0.2">
      <c r="B100" s="6"/>
    </row>
    <row r="101" spans="2:2" x14ac:dyDescent="0.2">
      <c r="B101" s="6"/>
    </row>
    <row r="102" spans="2:2" x14ac:dyDescent="0.2">
      <c r="B102" s="6"/>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082A3-A2B5-4B68-AC61-CB399214ED88}">
  <dimension ref="A3:I8659"/>
  <sheetViews>
    <sheetView workbookViewId="0">
      <pane ySplit="8" topLeftCell="A8406" activePane="bottomLeft" state="frozen"/>
      <selection pane="bottomLeft" activeCell="C8671" sqref="C8671"/>
    </sheetView>
  </sheetViews>
  <sheetFormatPr defaultRowHeight="15" x14ac:dyDescent="0.25"/>
  <cols>
    <col min="1" max="1" width="12.33203125" style="67" bestFit="1" customWidth="1"/>
    <col min="2" max="2" width="25.44140625" style="67" bestFit="1" customWidth="1"/>
    <col min="3" max="3" width="13.109375" style="67" bestFit="1" customWidth="1"/>
    <col min="4" max="4" width="9.33203125" style="67" bestFit="1" customWidth="1"/>
    <col min="5" max="5" width="10.88671875" style="67" bestFit="1" customWidth="1"/>
    <col min="6" max="6" width="9.77734375" style="67" bestFit="1" customWidth="1"/>
    <col min="7" max="7" width="5.77734375" style="67" bestFit="1" customWidth="1"/>
    <col min="8" max="8" width="10.77734375" style="67" bestFit="1" customWidth="1"/>
    <col min="9" max="9" width="4.6640625" style="67" bestFit="1" customWidth="1"/>
    <col min="10" max="16384" width="8.88671875" style="67"/>
  </cols>
  <sheetData>
    <row r="3" spans="1:9" x14ac:dyDescent="0.25">
      <c r="A3" s="67" t="s">
        <v>232</v>
      </c>
      <c r="D3" s="67" t="s">
        <v>231</v>
      </c>
      <c r="H3" s="67" t="s">
        <v>148</v>
      </c>
      <c r="I3" s="67" t="s">
        <v>230</v>
      </c>
    </row>
    <row r="4" spans="1:9" x14ac:dyDescent="0.25">
      <c r="A4" s="67">
        <v>41.1</v>
      </c>
      <c r="C4" s="67" t="s">
        <v>215</v>
      </c>
      <c r="D4" s="67" t="s">
        <v>229</v>
      </c>
      <c r="H4" s="70">
        <v>44771</v>
      </c>
      <c r="I4" s="69">
        <v>0.56736111111111109</v>
      </c>
    </row>
    <row r="5" spans="1:9" x14ac:dyDescent="0.25">
      <c r="A5" s="67" t="s">
        <v>228</v>
      </c>
      <c r="C5" s="67" t="s">
        <v>227</v>
      </c>
      <c r="D5" s="67" t="s">
        <v>226</v>
      </c>
      <c r="E5" s="67">
        <v>589</v>
      </c>
      <c r="H5" s="67" t="s">
        <v>225</v>
      </c>
      <c r="I5" s="67">
        <v>1</v>
      </c>
    </row>
    <row r="6" spans="1:9" x14ac:dyDescent="0.25">
      <c r="A6" s="67" t="s">
        <v>5223</v>
      </c>
    </row>
    <row r="7" spans="1:9" x14ac:dyDescent="0.25">
      <c r="A7" s="67" t="s">
        <v>215</v>
      </c>
      <c r="B7" s="67" t="s">
        <v>214</v>
      </c>
      <c r="C7" s="67" t="s">
        <v>213</v>
      </c>
      <c r="D7" s="67" t="s">
        <v>212</v>
      </c>
      <c r="E7" s="67" t="s">
        <v>211</v>
      </c>
      <c r="F7" s="67" t="s">
        <v>210</v>
      </c>
      <c r="G7" s="67" t="s">
        <v>209</v>
      </c>
      <c r="H7" s="67" t="s">
        <v>208</v>
      </c>
      <c r="I7" s="67" t="s">
        <v>207</v>
      </c>
    </row>
    <row r="8" spans="1:9" x14ac:dyDescent="0.25">
      <c r="A8" s="67" t="s">
        <v>206</v>
      </c>
      <c r="B8" s="67" t="s">
        <v>205</v>
      </c>
      <c r="C8" s="67" t="s">
        <v>204</v>
      </c>
      <c r="D8" s="67" t="s">
        <v>203</v>
      </c>
      <c r="E8" s="67" t="s">
        <v>202</v>
      </c>
      <c r="F8" s="67" t="s">
        <v>201</v>
      </c>
      <c r="G8" s="67" t="s">
        <v>200</v>
      </c>
      <c r="H8" s="67" t="s">
        <v>199</v>
      </c>
    </row>
    <row r="9" spans="1:9" x14ac:dyDescent="0.25">
      <c r="A9" s="67" t="s">
        <v>5243</v>
      </c>
      <c r="B9" s="67" t="s">
        <v>5212</v>
      </c>
      <c r="C9" s="67">
        <v>0</v>
      </c>
      <c r="D9" s="67">
        <v>0</v>
      </c>
      <c r="E9" s="67">
        <v>40902.410000000003</v>
      </c>
      <c r="F9" s="67">
        <v>124</v>
      </c>
      <c r="H9" s="68">
        <v>40753</v>
      </c>
      <c r="I9" s="67" t="s">
        <v>148</v>
      </c>
    </row>
    <row r="10" spans="1:9" x14ac:dyDescent="0.25">
      <c r="B10" s="67" t="s">
        <v>5212</v>
      </c>
      <c r="C10" s="71">
        <v>2000</v>
      </c>
      <c r="D10" s="67">
        <v>0</v>
      </c>
      <c r="E10" s="67">
        <v>40902.410000000003</v>
      </c>
      <c r="H10" s="67" t="s">
        <v>146</v>
      </c>
    </row>
    <row r="12" spans="1:9" x14ac:dyDescent="0.25">
      <c r="A12" s="67" t="s">
        <v>5242</v>
      </c>
      <c r="B12" s="67" t="s">
        <v>5212</v>
      </c>
      <c r="C12" s="67">
        <v>0</v>
      </c>
      <c r="D12" s="67">
        <v>0</v>
      </c>
      <c r="E12" s="67">
        <v>40902.410000000003</v>
      </c>
      <c r="F12" s="67">
        <v>124</v>
      </c>
      <c r="H12" s="68">
        <v>40753</v>
      </c>
      <c r="I12" s="67" t="s">
        <v>148</v>
      </c>
    </row>
    <row r="13" spans="1:9" x14ac:dyDescent="0.25">
      <c r="B13" s="67" t="s">
        <v>5212</v>
      </c>
      <c r="C13" s="71">
        <v>2000</v>
      </c>
      <c r="D13" s="67">
        <v>0</v>
      </c>
      <c r="E13" s="67">
        <v>40902.410000000003</v>
      </c>
      <c r="H13" s="67" t="s">
        <v>146</v>
      </c>
    </row>
    <row r="15" spans="1:9" x14ac:dyDescent="0.25">
      <c r="A15" s="67" t="s">
        <v>5241</v>
      </c>
      <c r="B15" s="67" t="s">
        <v>5212</v>
      </c>
      <c r="C15" s="67">
        <v>0</v>
      </c>
      <c r="D15" s="67">
        <v>0</v>
      </c>
      <c r="E15" s="67">
        <v>40902.410000000003</v>
      </c>
      <c r="F15" s="67">
        <v>124</v>
      </c>
      <c r="H15" s="68">
        <v>40753</v>
      </c>
      <c r="I15" s="67" t="s">
        <v>148</v>
      </c>
    </row>
    <row r="16" spans="1:9" x14ac:dyDescent="0.25">
      <c r="B16" s="67" t="s">
        <v>5212</v>
      </c>
      <c r="C16" s="71">
        <v>2000</v>
      </c>
      <c r="D16" s="67">
        <v>0</v>
      </c>
      <c r="E16" s="67">
        <v>40902.410000000003</v>
      </c>
      <c r="H16" s="67" t="s">
        <v>146</v>
      </c>
    </row>
    <row r="18" spans="1:9" x14ac:dyDescent="0.25">
      <c r="A18" s="67" t="s">
        <v>5240</v>
      </c>
      <c r="B18" s="67" t="s">
        <v>5212</v>
      </c>
      <c r="C18" s="67">
        <v>0</v>
      </c>
      <c r="D18" s="67">
        <v>0</v>
      </c>
      <c r="E18" s="67">
        <v>40902.410000000003</v>
      </c>
      <c r="F18" s="67">
        <v>124</v>
      </c>
      <c r="H18" s="68">
        <v>40753</v>
      </c>
      <c r="I18" s="67" t="s">
        <v>148</v>
      </c>
    </row>
    <row r="19" spans="1:9" x14ac:dyDescent="0.25">
      <c r="B19" s="67" t="s">
        <v>5212</v>
      </c>
      <c r="C19" s="71">
        <v>2000</v>
      </c>
      <c r="D19" s="67">
        <v>0</v>
      </c>
      <c r="E19" s="67">
        <v>40902.410000000003</v>
      </c>
      <c r="H19" s="67" t="s">
        <v>146</v>
      </c>
    </row>
    <row r="21" spans="1:9" x14ac:dyDescent="0.25">
      <c r="A21" s="67" t="s">
        <v>5239</v>
      </c>
      <c r="B21" s="67" t="s">
        <v>5212</v>
      </c>
      <c r="C21" s="67">
        <v>0</v>
      </c>
      <c r="D21" s="67">
        <v>0</v>
      </c>
      <c r="E21" s="67">
        <v>40902.410000000003</v>
      </c>
      <c r="F21" s="67">
        <v>124</v>
      </c>
      <c r="H21" s="68">
        <v>40753</v>
      </c>
      <c r="I21" s="67" t="s">
        <v>148</v>
      </c>
    </row>
    <row r="22" spans="1:9" x14ac:dyDescent="0.25">
      <c r="B22" s="67" t="s">
        <v>5212</v>
      </c>
      <c r="C22" s="71">
        <v>2000</v>
      </c>
      <c r="D22" s="67">
        <v>0</v>
      </c>
      <c r="E22" s="67">
        <v>40902.410000000003</v>
      </c>
      <c r="H22" s="67" t="s">
        <v>146</v>
      </c>
    </row>
    <row r="24" spans="1:9" x14ac:dyDescent="0.25">
      <c r="A24" s="67" t="s">
        <v>5238</v>
      </c>
      <c r="B24" s="67" t="s">
        <v>5233</v>
      </c>
      <c r="C24" s="67">
        <v>0</v>
      </c>
      <c r="D24" s="67">
        <v>0</v>
      </c>
      <c r="E24" s="67">
        <v>40701.410000000003</v>
      </c>
      <c r="F24" s="67">
        <v>124</v>
      </c>
      <c r="H24" s="68">
        <v>40753</v>
      </c>
      <c r="I24" s="67" t="s">
        <v>148</v>
      </c>
    </row>
    <row r="25" spans="1:9" x14ac:dyDescent="0.25">
      <c r="B25" s="67" t="s">
        <v>5233</v>
      </c>
      <c r="C25" s="71">
        <v>2000</v>
      </c>
      <c r="D25" s="67">
        <v>0</v>
      </c>
      <c r="E25" s="67">
        <v>40701.410000000003</v>
      </c>
      <c r="H25" s="67" t="s">
        <v>146</v>
      </c>
    </row>
    <row r="27" spans="1:9" x14ac:dyDescent="0.25">
      <c r="A27" s="67" t="s">
        <v>5237</v>
      </c>
      <c r="B27" s="67" t="s">
        <v>5233</v>
      </c>
      <c r="C27" s="67">
        <v>0</v>
      </c>
      <c r="D27" s="67">
        <v>0</v>
      </c>
      <c r="E27" s="67">
        <v>40701.410000000003</v>
      </c>
      <c r="F27" s="67">
        <v>124</v>
      </c>
      <c r="H27" s="68">
        <v>40753</v>
      </c>
      <c r="I27" s="67" t="s">
        <v>148</v>
      </c>
    </row>
    <row r="28" spans="1:9" x14ac:dyDescent="0.25">
      <c r="B28" s="67" t="s">
        <v>5233</v>
      </c>
      <c r="C28" s="71">
        <v>2000</v>
      </c>
      <c r="D28" s="67">
        <v>0</v>
      </c>
      <c r="E28" s="67">
        <v>40701.410000000003</v>
      </c>
      <c r="H28" s="67" t="s">
        <v>146</v>
      </c>
    </row>
    <row r="30" spans="1:9" x14ac:dyDescent="0.25">
      <c r="A30" s="67" t="s">
        <v>5236</v>
      </c>
      <c r="B30" s="67" t="s">
        <v>5233</v>
      </c>
      <c r="C30" s="67">
        <v>0</v>
      </c>
      <c r="D30" s="67">
        <v>0</v>
      </c>
      <c r="E30" s="67">
        <v>40701.410000000003</v>
      </c>
      <c r="F30" s="67">
        <v>124</v>
      </c>
      <c r="H30" s="68">
        <v>40753</v>
      </c>
      <c r="I30" s="67" t="s">
        <v>148</v>
      </c>
    </row>
    <row r="31" spans="1:9" x14ac:dyDescent="0.25">
      <c r="B31" s="67" t="s">
        <v>5233</v>
      </c>
      <c r="C31" s="71">
        <v>2000</v>
      </c>
      <c r="D31" s="67">
        <v>0</v>
      </c>
      <c r="E31" s="67">
        <v>40701.410000000003</v>
      </c>
      <c r="H31" s="67" t="s">
        <v>146</v>
      </c>
    </row>
    <row r="33" spans="1:9" x14ac:dyDescent="0.25">
      <c r="A33" s="67" t="s">
        <v>5235</v>
      </c>
      <c r="B33" s="67" t="s">
        <v>5233</v>
      </c>
      <c r="C33" s="67">
        <v>0</v>
      </c>
      <c r="D33" s="67">
        <v>0</v>
      </c>
      <c r="E33" s="67">
        <v>40701.410000000003</v>
      </c>
      <c r="F33" s="67">
        <v>124</v>
      </c>
      <c r="H33" s="68">
        <v>40753</v>
      </c>
      <c r="I33" s="67" t="s">
        <v>148</v>
      </c>
    </row>
    <row r="34" spans="1:9" x14ac:dyDescent="0.25">
      <c r="B34" s="67" t="s">
        <v>5233</v>
      </c>
      <c r="C34" s="71">
        <v>2000</v>
      </c>
      <c r="D34" s="67">
        <v>0</v>
      </c>
      <c r="E34" s="67">
        <v>40701.410000000003</v>
      </c>
      <c r="H34" s="67" t="s">
        <v>146</v>
      </c>
    </row>
    <row r="36" spans="1:9" x14ac:dyDescent="0.25">
      <c r="A36" s="67" t="s">
        <v>5234</v>
      </c>
      <c r="B36" s="67" t="s">
        <v>5233</v>
      </c>
      <c r="C36" s="67">
        <v>0</v>
      </c>
      <c r="D36" s="67">
        <v>0</v>
      </c>
      <c r="E36" s="67">
        <v>40701.410000000003</v>
      </c>
      <c r="F36" s="67">
        <v>124</v>
      </c>
      <c r="H36" s="68">
        <v>40753</v>
      </c>
      <c r="I36" s="67" t="s">
        <v>148</v>
      </c>
    </row>
    <row r="37" spans="1:9" x14ac:dyDescent="0.25">
      <c r="B37" s="67" t="s">
        <v>5233</v>
      </c>
      <c r="C37" s="71">
        <v>2000</v>
      </c>
      <c r="D37" s="67">
        <v>0</v>
      </c>
      <c r="E37" s="67">
        <v>40701.410000000003</v>
      </c>
      <c r="H37" s="67" t="s">
        <v>146</v>
      </c>
    </row>
    <row r="39" spans="1:9" x14ac:dyDescent="0.25">
      <c r="A39" s="67" t="s">
        <v>5232</v>
      </c>
      <c r="B39" s="67" t="s">
        <v>5231</v>
      </c>
      <c r="C39" s="67">
        <v>0</v>
      </c>
      <c r="D39" s="67">
        <v>0</v>
      </c>
      <c r="E39" s="67">
        <v>40901.410000000003</v>
      </c>
      <c r="F39" s="67">
        <v>124</v>
      </c>
      <c r="H39" s="68">
        <v>42366</v>
      </c>
      <c r="I39" s="67" t="s">
        <v>148</v>
      </c>
    </row>
    <row r="40" spans="1:9" x14ac:dyDescent="0.25">
      <c r="B40" s="67" t="s">
        <v>5231</v>
      </c>
      <c r="C40" s="71">
        <v>2000</v>
      </c>
      <c r="D40" s="67">
        <v>0</v>
      </c>
      <c r="E40" s="67">
        <v>40901.410000000003</v>
      </c>
      <c r="H40" s="67" t="s">
        <v>146</v>
      </c>
    </row>
    <row r="42" spans="1:9" x14ac:dyDescent="0.25">
      <c r="A42" s="67" t="s">
        <v>5230</v>
      </c>
      <c r="B42" s="67" t="s">
        <v>5225</v>
      </c>
      <c r="C42" s="67">
        <v>0</v>
      </c>
      <c r="D42" s="67">
        <v>0</v>
      </c>
      <c r="E42" s="67">
        <v>42401.41</v>
      </c>
      <c r="F42" s="67">
        <v>126</v>
      </c>
      <c r="H42" s="68">
        <v>42474</v>
      </c>
      <c r="I42" s="67" t="s">
        <v>148</v>
      </c>
    </row>
    <row r="43" spans="1:9" x14ac:dyDescent="0.25">
      <c r="B43" s="67" t="s">
        <v>5225</v>
      </c>
      <c r="C43" s="71">
        <v>2000</v>
      </c>
      <c r="D43" s="67">
        <v>0</v>
      </c>
      <c r="E43" s="67">
        <v>42401.41</v>
      </c>
      <c r="H43" s="67" t="s">
        <v>146</v>
      </c>
    </row>
    <row r="45" spans="1:9" x14ac:dyDescent="0.25">
      <c r="A45" s="67" t="s">
        <v>5229</v>
      </c>
      <c r="B45" s="67" t="s">
        <v>5225</v>
      </c>
      <c r="C45" s="67">
        <v>0</v>
      </c>
      <c r="D45" s="67">
        <v>0</v>
      </c>
      <c r="E45" s="67">
        <v>42401.41</v>
      </c>
      <c r="F45" s="67">
        <v>126</v>
      </c>
      <c r="H45" s="68">
        <v>42474</v>
      </c>
      <c r="I45" s="67" t="s">
        <v>148</v>
      </c>
    </row>
    <row r="46" spans="1:9" x14ac:dyDescent="0.25">
      <c r="B46" s="67" t="s">
        <v>5225</v>
      </c>
      <c r="C46" s="71">
        <v>2000</v>
      </c>
      <c r="D46" s="67">
        <v>0</v>
      </c>
      <c r="E46" s="67">
        <v>42401.41</v>
      </c>
      <c r="H46" s="67" t="s">
        <v>146</v>
      </c>
    </row>
    <row r="48" spans="1:9" x14ac:dyDescent="0.25">
      <c r="A48" s="67" t="s">
        <v>5228</v>
      </c>
      <c r="B48" s="67" t="s">
        <v>5225</v>
      </c>
      <c r="C48" s="67">
        <v>0</v>
      </c>
      <c r="D48" s="67">
        <v>0</v>
      </c>
      <c r="E48" s="67">
        <v>42401.41</v>
      </c>
      <c r="F48" s="67">
        <v>126</v>
      </c>
      <c r="H48" s="68">
        <v>41534</v>
      </c>
      <c r="I48" s="67" t="s">
        <v>148</v>
      </c>
    </row>
    <row r="49" spans="1:9" x14ac:dyDescent="0.25">
      <c r="B49" s="67" t="s">
        <v>5225</v>
      </c>
      <c r="C49" s="71">
        <v>2000</v>
      </c>
      <c r="D49" s="67">
        <v>0</v>
      </c>
      <c r="E49" s="67">
        <v>42401.41</v>
      </c>
      <c r="H49" s="67" t="s">
        <v>146</v>
      </c>
    </row>
    <row r="51" spans="1:9" x14ac:dyDescent="0.25">
      <c r="A51" s="67" t="s">
        <v>5227</v>
      </c>
      <c r="B51" s="67" t="s">
        <v>5225</v>
      </c>
      <c r="C51" s="67">
        <v>0</v>
      </c>
      <c r="D51" s="67">
        <v>0</v>
      </c>
      <c r="E51" s="67">
        <v>42401.41</v>
      </c>
      <c r="F51" s="67">
        <v>126</v>
      </c>
      <c r="H51" s="68">
        <v>41534</v>
      </c>
      <c r="I51" s="67" t="s">
        <v>148</v>
      </c>
    </row>
    <row r="52" spans="1:9" x14ac:dyDescent="0.25">
      <c r="B52" s="67" t="s">
        <v>5225</v>
      </c>
      <c r="C52" s="71">
        <v>2000</v>
      </c>
      <c r="D52" s="67">
        <v>0</v>
      </c>
      <c r="E52" s="67">
        <v>42401.41</v>
      </c>
      <c r="H52" s="67" t="s">
        <v>146</v>
      </c>
    </row>
    <row r="54" spans="1:9" x14ac:dyDescent="0.25">
      <c r="A54" s="67" t="s">
        <v>5226</v>
      </c>
      <c r="B54" s="67" t="s">
        <v>5225</v>
      </c>
      <c r="C54" s="67">
        <v>0</v>
      </c>
      <c r="D54" s="67">
        <v>0</v>
      </c>
      <c r="E54" s="67">
        <v>42401.41</v>
      </c>
      <c r="F54" s="67">
        <v>126</v>
      </c>
      <c r="H54" s="68">
        <v>41534</v>
      </c>
      <c r="I54" s="67" t="s">
        <v>148</v>
      </c>
    </row>
    <row r="55" spans="1:9" x14ac:dyDescent="0.25">
      <c r="B55" s="67" t="s">
        <v>5225</v>
      </c>
      <c r="C55" s="71">
        <v>2000</v>
      </c>
      <c r="D55" s="67">
        <v>0</v>
      </c>
      <c r="E55" s="67">
        <v>42401.41</v>
      </c>
      <c r="H55" s="67" t="s">
        <v>146</v>
      </c>
    </row>
    <row r="57" spans="1:9" x14ac:dyDescent="0.25">
      <c r="A57" s="67" t="s">
        <v>5224</v>
      </c>
      <c r="B57" s="67" t="s">
        <v>5218</v>
      </c>
      <c r="C57" s="67">
        <v>0</v>
      </c>
      <c r="D57" s="67">
        <v>0</v>
      </c>
      <c r="E57" s="67">
        <v>42401.41</v>
      </c>
      <c r="F57" s="67">
        <v>124</v>
      </c>
      <c r="H57" s="68">
        <v>40753</v>
      </c>
      <c r="I57" s="67" t="s">
        <v>148</v>
      </c>
    </row>
    <row r="58" spans="1:9" x14ac:dyDescent="0.25">
      <c r="B58" s="67" t="s">
        <v>5218</v>
      </c>
      <c r="C58" s="71">
        <v>2000</v>
      </c>
      <c r="D58" s="67">
        <v>0</v>
      </c>
      <c r="E58" s="67">
        <v>42401.41</v>
      </c>
      <c r="H58" s="67" t="s">
        <v>146</v>
      </c>
    </row>
    <row r="59" spans="1:9" x14ac:dyDescent="0.25">
      <c r="A59" s="67" t="s">
        <v>233</v>
      </c>
    </row>
    <row r="61" spans="1:9" x14ac:dyDescent="0.25">
      <c r="A61" s="67" t="s">
        <v>232</v>
      </c>
      <c r="D61" s="67" t="s">
        <v>231</v>
      </c>
      <c r="H61" s="67" t="s">
        <v>148</v>
      </c>
      <c r="I61" s="67" t="s">
        <v>230</v>
      </c>
    </row>
    <row r="62" spans="1:9" x14ac:dyDescent="0.25">
      <c r="A62" s="67">
        <v>41.1</v>
      </c>
      <c r="C62" s="67" t="s">
        <v>215</v>
      </c>
      <c r="D62" s="67" t="s">
        <v>229</v>
      </c>
      <c r="H62" s="70">
        <v>44771</v>
      </c>
      <c r="I62" s="69">
        <v>0.56736111111111109</v>
      </c>
    </row>
    <row r="63" spans="1:9" x14ac:dyDescent="0.25">
      <c r="A63" s="67" t="s">
        <v>228</v>
      </c>
      <c r="C63" s="67" t="s">
        <v>227</v>
      </c>
      <c r="D63" s="67" t="s">
        <v>226</v>
      </c>
      <c r="E63" s="67">
        <v>589</v>
      </c>
      <c r="H63" s="67" t="s">
        <v>225</v>
      </c>
      <c r="I63" s="67">
        <v>2</v>
      </c>
    </row>
    <row r="64" spans="1:9" x14ac:dyDescent="0.25">
      <c r="A64" s="67" t="s">
        <v>5223</v>
      </c>
    </row>
    <row r="65" spans="1:9" x14ac:dyDescent="0.25">
      <c r="A65" s="67" t="s">
        <v>223</v>
      </c>
      <c r="B65" s="67" t="s">
        <v>222</v>
      </c>
      <c r="C65" s="67" t="s">
        <v>221</v>
      </c>
      <c r="D65" s="67" t="s">
        <v>220</v>
      </c>
      <c r="E65" s="67" t="s">
        <v>219</v>
      </c>
      <c r="F65" s="67" t="s">
        <v>217</v>
      </c>
      <c r="G65" s="67" t="s">
        <v>218</v>
      </c>
      <c r="H65" s="67" t="s">
        <v>217</v>
      </c>
      <c r="I65" s="67" t="s">
        <v>216</v>
      </c>
    </row>
    <row r="66" spans="1:9" x14ac:dyDescent="0.25">
      <c r="A66" s="67" t="s">
        <v>215</v>
      </c>
      <c r="B66" s="67" t="s">
        <v>214</v>
      </c>
      <c r="C66" s="67" t="s">
        <v>213</v>
      </c>
      <c r="D66" s="67" t="s">
        <v>212</v>
      </c>
      <c r="E66" s="67" t="s">
        <v>211</v>
      </c>
      <c r="F66" s="67" t="s">
        <v>210</v>
      </c>
      <c r="G66" s="67" t="s">
        <v>209</v>
      </c>
      <c r="H66" s="67" t="s">
        <v>208</v>
      </c>
      <c r="I66" s="67" t="s">
        <v>207</v>
      </c>
    </row>
    <row r="67" spans="1:9" x14ac:dyDescent="0.25">
      <c r="A67" s="67" t="s">
        <v>206</v>
      </c>
      <c r="B67" s="67" t="s">
        <v>205</v>
      </c>
      <c r="C67" s="67" t="s">
        <v>204</v>
      </c>
      <c r="D67" s="67" t="s">
        <v>203</v>
      </c>
      <c r="E67" s="67" t="s">
        <v>202</v>
      </c>
      <c r="F67" s="67" t="s">
        <v>201</v>
      </c>
      <c r="G67" s="67" t="s">
        <v>200</v>
      </c>
      <c r="H67" s="67" t="s">
        <v>199</v>
      </c>
    </row>
    <row r="68" spans="1:9" x14ac:dyDescent="0.25">
      <c r="A68" s="67" t="s">
        <v>5222</v>
      </c>
      <c r="B68" s="67" t="s">
        <v>5218</v>
      </c>
      <c r="C68" s="67">
        <v>0</v>
      </c>
      <c r="D68" s="67">
        <v>0</v>
      </c>
      <c r="E68" s="67">
        <v>42401.41</v>
      </c>
      <c r="F68" s="67">
        <v>124</v>
      </c>
      <c r="H68" s="68">
        <v>40753</v>
      </c>
      <c r="I68" s="67" t="s">
        <v>148</v>
      </c>
    </row>
    <row r="69" spans="1:9" x14ac:dyDescent="0.25">
      <c r="B69" s="67" t="s">
        <v>5218</v>
      </c>
      <c r="C69" s="71">
        <v>2000</v>
      </c>
      <c r="D69" s="67">
        <v>0</v>
      </c>
      <c r="E69" s="67">
        <v>42401.41</v>
      </c>
      <c r="H69" s="67" t="s">
        <v>146</v>
      </c>
    </row>
    <row r="71" spans="1:9" x14ac:dyDescent="0.25">
      <c r="A71" s="67" t="s">
        <v>5221</v>
      </c>
      <c r="B71" s="67" t="s">
        <v>5218</v>
      </c>
      <c r="C71" s="67">
        <v>0</v>
      </c>
      <c r="D71" s="67">
        <v>0</v>
      </c>
      <c r="E71" s="67">
        <v>42401.41</v>
      </c>
      <c r="F71" s="67">
        <v>124</v>
      </c>
      <c r="H71" s="68">
        <v>40753</v>
      </c>
      <c r="I71" s="67" t="s">
        <v>148</v>
      </c>
    </row>
    <row r="72" spans="1:9" x14ac:dyDescent="0.25">
      <c r="B72" s="67" t="s">
        <v>5218</v>
      </c>
      <c r="C72" s="71">
        <v>2000</v>
      </c>
      <c r="D72" s="67">
        <v>0</v>
      </c>
      <c r="E72" s="67">
        <v>42401.41</v>
      </c>
      <c r="H72" s="67" t="s">
        <v>146</v>
      </c>
    </row>
    <row r="74" spans="1:9" x14ac:dyDescent="0.25">
      <c r="A74" s="67" t="s">
        <v>5220</v>
      </c>
      <c r="B74" s="67" t="s">
        <v>5218</v>
      </c>
      <c r="C74" s="67">
        <v>0</v>
      </c>
      <c r="D74" s="67">
        <v>0</v>
      </c>
      <c r="E74" s="67">
        <v>42401.41</v>
      </c>
      <c r="F74" s="67">
        <v>124</v>
      </c>
      <c r="H74" s="68">
        <v>40753</v>
      </c>
      <c r="I74" s="67" t="s">
        <v>148</v>
      </c>
    </row>
    <row r="75" spans="1:9" x14ac:dyDescent="0.25">
      <c r="B75" s="67" t="s">
        <v>5218</v>
      </c>
      <c r="C75" s="71">
        <v>2000</v>
      </c>
      <c r="D75" s="67">
        <v>0</v>
      </c>
      <c r="E75" s="67">
        <v>42401.41</v>
      </c>
      <c r="H75" s="67" t="s">
        <v>146</v>
      </c>
    </row>
    <row r="77" spans="1:9" x14ac:dyDescent="0.25">
      <c r="A77" s="67" t="s">
        <v>5219</v>
      </c>
      <c r="B77" s="67" t="s">
        <v>5218</v>
      </c>
      <c r="C77" s="67">
        <v>0</v>
      </c>
      <c r="D77" s="67">
        <v>0</v>
      </c>
      <c r="E77" s="67">
        <v>42401.41</v>
      </c>
      <c r="F77" s="67">
        <v>124</v>
      </c>
      <c r="H77" s="68">
        <v>40753</v>
      </c>
      <c r="I77" s="67" t="s">
        <v>148</v>
      </c>
    </row>
    <row r="78" spans="1:9" x14ac:dyDescent="0.25">
      <c r="B78" s="67" t="s">
        <v>5218</v>
      </c>
      <c r="C78" s="71">
        <v>2000</v>
      </c>
      <c r="D78" s="67">
        <v>0</v>
      </c>
      <c r="E78" s="67">
        <v>42401.41</v>
      </c>
      <c r="H78" s="67" t="s">
        <v>146</v>
      </c>
    </row>
    <row r="80" spans="1:9" x14ac:dyDescent="0.25">
      <c r="A80" s="67" t="s">
        <v>5217</v>
      </c>
      <c r="B80" s="67" t="s">
        <v>5212</v>
      </c>
      <c r="C80" s="67">
        <v>0</v>
      </c>
      <c r="D80" s="67">
        <v>0</v>
      </c>
      <c r="E80" s="67">
        <v>40902.410000000003</v>
      </c>
      <c r="F80" s="67">
        <v>124</v>
      </c>
      <c r="H80" s="68">
        <v>41297</v>
      </c>
      <c r="I80" s="67" t="s">
        <v>148</v>
      </c>
    </row>
    <row r="81" spans="1:9" x14ac:dyDescent="0.25">
      <c r="B81" s="67" t="s">
        <v>5212</v>
      </c>
      <c r="C81" s="71">
        <v>2000</v>
      </c>
      <c r="D81" s="67">
        <v>0</v>
      </c>
      <c r="E81" s="67">
        <v>40902.410000000003</v>
      </c>
      <c r="H81" s="67" t="s">
        <v>146</v>
      </c>
    </row>
    <row r="83" spans="1:9" x14ac:dyDescent="0.25">
      <c r="A83" s="67" t="s">
        <v>5216</v>
      </c>
      <c r="B83" s="67" t="s">
        <v>5212</v>
      </c>
      <c r="C83" s="67">
        <v>0</v>
      </c>
      <c r="D83" s="67">
        <v>0</v>
      </c>
      <c r="E83" s="67">
        <v>40902.410000000003</v>
      </c>
      <c r="F83" s="67">
        <v>124</v>
      </c>
      <c r="H83" s="68">
        <v>41297</v>
      </c>
      <c r="I83" s="67" t="s">
        <v>148</v>
      </c>
    </row>
    <row r="84" spans="1:9" x14ac:dyDescent="0.25">
      <c r="B84" s="67" t="s">
        <v>5212</v>
      </c>
      <c r="C84" s="71">
        <v>2000</v>
      </c>
      <c r="D84" s="67">
        <v>0</v>
      </c>
      <c r="E84" s="67">
        <v>40902.410000000003</v>
      </c>
      <c r="H84" s="67" t="s">
        <v>146</v>
      </c>
    </row>
    <row r="86" spans="1:9" x14ac:dyDescent="0.25">
      <c r="A86" s="67" t="s">
        <v>5215</v>
      </c>
      <c r="B86" s="67" t="s">
        <v>5212</v>
      </c>
      <c r="C86" s="67">
        <v>0</v>
      </c>
      <c r="D86" s="67">
        <v>0</v>
      </c>
      <c r="E86" s="67">
        <v>40902.410000000003</v>
      </c>
      <c r="F86" s="67">
        <v>124</v>
      </c>
      <c r="H86" s="68">
        <v>41297</v>
      </c>
      <c r="I86" s="67" t="s">
        <v>148</v>
      </c>
    </row>
    <row r="87" spans="1:9" x14ac:dyDescent="0.25">
      <c r="B87" s="67" t="s">
        <v>5212</v>
      </c>
      <c r="C87" s="71">
        <v>2000</v>
      </c>
      <c r="D87" s="67">
        <v>0</v>
      </c>
      <c r="E87" s="67">
        <v>40902.410000000003</v>
      </c>
      <c r="H87" s="67" t="s">
        <v>146</v>
      </c>
    </row>
    <row r="89" spans="1:9" x14ac:dyDescent="0.25">
      <c r="A89" s="67" t="s">
        <v>5214</v>
      </c>
      <c r="B89" s="67" t="s">
        <v>5212</v>
      </c>
      <c r="C89" s="67">
        <v>0</v>
      </c>
      <c r="D89" s="67">
        <v>0</v>
      </c>
      <c r="E89" s="67">
        <v>40902.410000000003</v>
      </c>
      <c r="F89" s="67">
        <v>124</v>
      </c>
      <c r="H89" s="68">
        <v>41297</v>
      </c>
      <c r="I89" s="67" t="s">
        <v>148</v>
      </c>
    </row>
    <row r="90" spans="1:9" x14ac:dyDescent="0.25">
      <c r="B90" s="67" t="s">
        <v>5212</v>
      </c>
      <c r="C90" s="71">
        <v>2000</v>
      </c>
      <c r="D90" s="67">
        <v>0</v>
      </c>
      <c r="E90" s="67">
        <v>40902.410000000003</v>
      </c>
      <c r="H90" s="67" t="s">
        <v>146</v>
      </c>
    </row>
    <row r="92" spans="1:9" x14ac:dyDescent="0.25">
      <c r="A92" s="67" t="s">
        <v>5213</v>
      </c>
      <c r="B92" s="67" t="s">
        <v>5212</v>
      </c>
      <c r="C92" s="67">
        <v>0</v>
      </c>
      <c r="D92" s="67">
        <v>0</v>
      </c>
      <c r="E92" s="67">
        <v>4090.241</v>
      </c>
      <c r="F92" s="67">
        <v>124</v>
      </c>
      <c r="H92" s="68">
        <v>41297</v>
      </c>
      <c r="I92" s="67" t="s">
        <v>148</v>
      </c>
    </row>
    <row r="93" spans="1:9" x14ac:dyDescent="0.25">
      <c r="B93" s="67" t="s">
        <v>5212</v>
      </c>
      <c r="C93" s="71">
        <v>2000</v>
      </c>
      <c r="D93" s="67">
        <v>0</v>
      </c>
      <c r="E93" s="67">
        <v>40902.410000000003</v>
      </c>
      <c r="H93" s="67" t="s">
        <v>146</v>
      </c>
    </row>
    <row r="95" spans="1:9" x14ac:dyDescent="0.25">
      <c r="A95" s="67" t="s">
        <v>5211</v>
      </c>
      <c r="B95" s="67" t="s">
        <v>479</v>
      </c>
      <c r="C95" s="67">
        <v>0</v>
      </c>
      <c r="D95" s="67">
        <v>0</v>
      </c>
      <c r="E95" s="67">
        <v>10000.10001</v>
      </c>
      <c r="F95" s="67">
        <v>999</v>
      </c>
      <c r="H95" s="68">
        <v>40753</v>
      </c>
      <c r="I95" s="67" t="s">
        <v>480</v>
      </c>
    </row>
    <row r="96" spans="1:9" x14ac:dyDescent="0.25">
      <c r="B96" s="67" t="s">
        <v>479</v>
      </c>
      <c r="C96" s="67">
        <v>0</v>
      </c>
      <c r="D96" s="67">
        <v>0</v>
      </c>
      <c r="E96" s="67">
        <v>10000.10001</v>
      </c>
      <c r="H96" s="67" t="s">
        <v>146</v>
      </c>
    </row>
    <row r="97" spans="1:9" x14ac:dyDescent="0.25">
      <c r="A97" s="67" t="s">
        <v>233</v>
      </c>
    </row>
    <row r="99" spans="1:9" x14ac:dyDescent="0.25">
      <c r="A99" s="67" t="s">
        <v>232</v>
      </c>
      <c r="D99" s="67" t="s">
        <v>231</v>
      </c>
      <c r="H99" s="67" t="s">
        <v>148</v>
      </c>
      <c r="I99" s="67" t="s">
        <v>230</v>
      </c>
    </row>
    <row r="100" spans="1:9" x14ac:dyDescent="0.25">
      <c r="A100" s="67">
        <v>41.1</v>
      </c>
      <c r="C100" s="67" t="s">
        <v>215</v>
      </c>
      <c r="D100" s="67" t="s">
        <v>229</v>
      </c>
      <c r="H100" s="70">
        <v>44771</v>
      </c>
      <c r="I100" s="69">
        <v>0.56736111111111109</v>
      </c>
    </row>
    <row r="101" spans="1:9" x14ac:dyDescent="0.25">
      <c r="A101" s="67" t="s">
        <v>228</v>
      </c>
      <c r="C101" s="67" t="s">
        <v>227</v>
      </c>
      <c r="D101" s="67" t="s">
        <v>226</v>
      </c>
      <c r="E101" s="67">
        <v>589</v>
      </c>
      <c r="H101" s="67" t="s">
        <v>225</v>
      </c>
      <c r="I101" s="67">
        <v>3</v>
      </c>
    </row>
    <row r="102" spans="1:9" x14ac:dyDescent="0.25">
      <c r="A102" s="67" t="s">
        <v>814</v>
      </c>
      <c r="B102" s="67" t="s">
        <v>813</v>
      </c>
    </row>
    <row r="103" spans="1:9" x14ac:dyDescent="0.25">
      <c r="A103" s="67" t="s">
        <v>223</v>
      </c>
      <c r="B103" s="67" t="s">
        <v>222</v>
      </c>
      <c r="C103" s="67" t="s">
        <v>221</v>
      </c>
      <c r="D103" s="67" t="s">
        <v>220</v>
      </c>
      <c r="E103" s="67" t="s">
        <v>219</v>
      </c>
      <c r="F103" s="67" t="s">
        <v>217</v>
      </c>
      <c r="G103" s="67" t="s">
        <v>218</v>
      </c>
      <c r="H103" s="67" t="s">
        <v>217</v>
      </c>
      <c r="I103" s="67" t="s">
        <v>216</v>
      </c>
    </row>
    <row r="104" spans="1:9" x14ac:dyDescent="0.25">
      <c r="A104" s="67" t="s">
        <v>215</v>
      </c>
      <c r="B104" s="67" t="s">
        <v>214</v>
      </c>
      <c r="C104" s="67" t="s">
        <v>213</v>
      </c>
      <c r="D104" s="67" t="s">
        <v>212</v>
      </c>
      <c r="E104" s="67" t="s">
        <v>211</v>
      </c>
      <c r="F104" s="67" t="s">
        <v>210</v>
      </c>
      <c r="G104" s="67" t="s">
        <v>209</v>
      </c>
      <c r="H104" s="67" t="s">
        <v>208</v>
      </c>
      <c r="I104" s="67" t="s">
        <v>207</v>
      </c>
    </row>
    <row r="105" spans="1:9" x14ac:dyDescent="0.25">
      <c r="A105" s="67" t="s">
        <v>206</v>
      </c>
      <c r="B105" s="67" t="s">
        <v>205</v>
      </c>
      <c r="C105" s="67" t="s">
        <v>204</v>
      </c>
      <c r="D105" s="67" t="s">
        <v>203</v>
      </c>
      <c r="E105" s="67" t="s">
        <v>202</v>
      </c>
      <c r="F105" s="67" t="s">
        <v>201</v>
      </c>
      <c r="G105" s="67" t="s">
        <v>200</v>
      </c>
      <c r="H105" s="67" t="s">
        <v>199</v>
      </c>
    </row>
    <row r="106" spans="1:9" x14ac:dyDescent="0.25">
      <c r="A106" s="67" t="s">
        <v>5210</v>
      </c>
      <c r="B106" s="67" t="s">
        <v>5209</v>
      </c>
      <c r="C106" s="67">
        <v>0</v>
      </c>
      <c r="D106" s="67">
        <v>0</v>
      </c>
      <c r="E106" s="67">
        <v>99900.519969999994</v>
      </c>
      <c r="F106" s="67">
        <v>999</v>
      </c>
      <c r="H106" s="68">
        <v>40806</v>
      </c>
      <c r="I106" s="67" t="s">
        <v>480</v>
      </c>
    </row>
    <row r="107" spans="1:9" x14ac:dyDescent="0.25">
      <c r="B107" s="67" t="s">
        <v>623</v>
      </c>
      <c r="C107" s="67">
        <v>0</v>
      </c>
      <c r="D107" s="67">
        <v>0</v>
      </c>
      <c r="E107" s="67">
        <v>99900.550069999998</v>
      </c>
      <c r="H107" s="67" t="s">
        <v>146</v>
      </c>
    </row>
    <row r="108" spans="1:9" x14ac:dyDescent="0.25">
      <c r="A108" s="67" t="s">
        <v>233</v>
      </c>
    </row>
    <row r="110" spans="1:9" x14ac:dyDescent="0.25">
      <c r="A110" s="67" t="s">
        <v>232</v>
      </c>
      <c r="D110" s="67" t="s">
        <v>231</v>
      </c>
      <c r="H110" s="67" t="s">
        <v>148</v>
      </c>
      <c r="I110" s="67" t="s">
        <v>230</v>
      </c>
    </row>
    <row r="111" spans="1:9" x14ac:dyDescent="0.25">
      <c r="A111" s="67">
        <v>41.1</v>
      </c>
      <c r="C111" s="67" t="s">
        <v>215</v>
      </c>
      <c r="D111" s="67" t="s">
        <v>229</v>
      </c>
      <c r="H111" s="70">
        <v>44771</v>
      </c>
      <c r="I111" s="69">
        <v>0.56736111111111109</v>
      </c>
    </row>
    <row r="112" spans="1:9" x14ac:dyDescent="0.25">
      <c r="A112" s="67" t="s">
        <v>228</v>
      </c>
      <c r="C112" s="67" t="s">
        <v>227</v>
      </c>
      <c r="D112" s="67" t="s">
        <v>226</v>
      </c>
      <c r="E112" s="67">
        <v>589</v>
      </c>
      <c r="H112" s="67" t="s">
        <v>225</v>
      </c>
      <c r="I112" s="67">
        <v>4</v>
      </c>
    </row>
    <row r="113" spans="1:9" x14ac:dyDescent="0.25">
      <c r="A113" s="67" t="s">
        <v>814</v>
      </c>
      <c r="B113" s="67" t="s">
        <v>813</v>
      </c>
    </row>
    <row r="114" spans="1:9" x14ac:dyDescent="0.25">
      <c r="A114" s="67" t="s">
        <v>223</v>
      </c>
      <c r="B114" s="67" t="s">
        <v>222</v>
      </c>
      <c r="C114" s="67" t="s">
        <v>221</v>
      </c>
      <c r="D114" s="67" t="s">
        <v>220</v>
      </c>
      <c r="E114" s="67" t="s">
        <v>219</v>
      </c>
      <c r="F114" s="67" t="s">
        <v>217</v>
      </c>
      <c r="G114" s="67" t="s">
        <v>218</v>
      </c>
      <c r="H114" s="67" t="s">
        <v>217</v>
      </c>
      <c r="I114" s="67" t="s">
        <v>216</v>
      </c>
    </row>
    <row r="115" spans="1:9" x14ac:dyDescent="0.25">
      <c r="A115" s="67" t="s">
        <v>215</v>
      </c>
      <c r="B115" s="67" t="s">
        <v>214</v>
      </c>
      <c r="C115" s="67" t="s">
        <v>213</v>
      </c>
      <c r="D115" s="67" t="s">
        <v>212</v>
      </c>
      <c r="E115" s="67" t="s">
        <v>211</v>
      </c>
      <c r="F115" s="67" t="s">
        <v>210</v>
      </c>
      <c r="G115" s="67" t="s">
        <v>209</v>
      </c>
      <c r="H115" s="67" t="s">
        <v>208</v>
      </c>
      <c r="I115" s="67" t="s">
        <v>207</v>
      </c>
    </row>
    <row r="116" spans="1:9" x14ac:dyDescent="0.25">
      <c r="A116" s="67" t="s">
        <v>206</v>
      </c>
      <c r="B116" s="67" t="s">
        <v>205</v>
      </c>
      <c r="C116" s="67" t="s">
        <v>204</v>
      </c>
      <c r="D116" s="67" t="s">
        <v>203</v>
      </c>
      <c r="E116" s="67" t="s">
        <v>202</v>
      </c>
      <c r="F116" s="67" t="s">
        <v>201</v>
      </c>
      <c r="G116" s="67" t="s">
        <v>200</v>
      </c>
      <c r="H116" s="67" t="s">
        <v>199</v>
      </c>
    </row>
    <row r="117" spans="1:9" x14ac:dyDescent="0.25">
      <c r="A117" s="67" t="s">
        <v>5208</v>
      </c>
      <c r="B117" s="67" t="s">
        <v>637</v>
      </c>
      <c r="C117" s="67">
        <v>0</v>
      </c>
      <c r="D117" s="67">
        <v>0</v>
      </c>
      <c r="E117" s="67">
        <v>0</v>
      </c>
      <c r="F117" s="67">
        <v>970</v>
      </c>
      <c r="H117" s="68">
        <v>41297</v>
      </c>
      <c r="I117" s="67" t="s">
        <v>480</v>
      </c>
    </row>
    <row r="118" spans="1:9" x14ac:dyDescent="0.25">
      <c r="B118" s="67" t="s">
        <v>637</v>
      </c>
      <c r="C118" s="67">
        <v>0</v>
      </c>
      <c r="D118" s="67">
        <v>0</v>
      </c>
      <c r="E118" s="67">
        <v>0</v>
      </c>
      <c r="H118" s="67" t="s">
        <v>146</v>
      </c>
    </row>
    <row r="120" spans="1:9" x14ac:dyDescent="0.25">
      <c r="A120" s="67" t="s">
        <v>5207</v>
      </c>
      <c r="B120" s="67" t="s">
        <v>5206</v>
      </c>
      <c r="C120" s="67">
        <v>0</v>
      </c>
      <c r="D120" s="67">
        <v>0</v>
      </c>
      <c r="E120" s="67">
        <v>10000.10001</v>
      </c>
      <c r="H120" s="68">
        <v>40822</v>
      </c>
      <c r="I120" s="67" t="s">
        <v>148</v>
      </c>
    </row>
    <row r="121" spans="1:9" x14ac:dyDescent="0.25">
      <c r="B121" s="67" t="s">
        <v>5205</v>
      </c>
      <c r="C121" s="67">
        <v>0</v>
      </c>
      <c r="D121" s="67">
        <v>0</v>
      </c>
      <c r="E121" s="67">
        <v>10000.100476</v>
      </c>
      <c r="H121" s="67" t="s">
        <v>146</v>
      </c>
    </row>
    <row r="123" spans="1:9" x14ac:dyDescent="0.25">
      <c r="A123" s="67" t="s">
        <v>5204</v>
      </c>
      <c r="B123" s="67" t="s">
        <v>5203</v>
      </c>
      <c r="C123" s="67">
        <v>0</v>
      </c>
      <c r="D123" s="67">
        <v>0</v>
      </c>
      <c r="E123" s="67">
        <v>10000.10001</v>
      </c>
      <c r="F123" s="67">
        <v>999</v>
      </c>
      <c r="H123" s="68">
        <v>40753</v>
      </c>
      <c r="I123" s="67" t="s">
        <v>480</v>
      </c>
    </row>
    <row r="124" spans="1:9" x14ac:dyDescent="0.25">
      <c r="B124" s="67" t="s">
        <v>5202</v>
      </c>
      <c r="C124" s="67">
        <v>0</v>
      </c>
      <c r="D124" s="67">
        <v>0</v>
      </c>
      <c r="E124" s="67">
        <v>10000.10001</v>
      </c>
      <c r="H124" s="67" t="s">
        <v>146</v>
      </c>
    </row>
    <row r="126" spans="1:9" x14ac:dyDescent="0.25">
      <c r="A126" s="67" t="s">
        <v>5201</v>
      </c>
      <c r="B126" s="67" t="s">
        <v>5200</v>
      </c>
      <c r="C126" s="67">
        <v>0</v>
      </c>
      <c r="D126" s="67">
        <v>0</v>
      </c>
      <c r="E126" s="67">
        <v>10000.10001</v>
      </c>
      <c r="F126" s="67">
        <v>99</v>
      </c>
      <c r="H126" s="68">
        <v>43110</v>
      </c>
      <c r="I126" s="67" t="s">
        <v>547</v>
      </c>
    </row>
    <row r="127" spans="1:9" x14ac:dyDescent="0.25">
      <c r="B127" s="67" t="s">
        <v>5199</v>
      </c>
      <c r="C127" s="67">
        <v>0</v>
      </c>
      <c r="D127" s="67">
        <v>0</v>
      </c>
      <c r="E127" s="67">
        <v>10000.10001</v>
      </c>
      <c r="H127" s="67" t="s">
        <v>146</v>
      </c>
    </row>
    <row r="129" spans="1:9" x14ac:dyDescent="0.25">
      <c r="A129" s="67" t="s">
        <v>5198</v>
      </c>
      <c r="B129" s="67" t="s">
        <v>294</v>
      </c>
      <c r="C129" s="67" t="s">
        <v>258</v>
      </c>
      <c r="D129" s="67">
        <v>0</v>
      </c>
      <c r="E129" s="67">
        <v>1000.010001</v>
      </c>
      <c r="F129" s="67">
        <v>99</v>
      </c>
      <c r="H129" s="68">
        <v>40777</v>
      </c>
      <c r="I129" s="67" t="s">
        <v>480</v>
      </c>
    </row>
    <row r="130" spans="1:9" x14ac:dyDescent="0.25">
      <c r="B130" s="67" t="s">
        <v>293</v>
      </c>
      <c r="C130" s="67">
        <v>0</v>
      </c>
      <c r="D130" s="67">
        <v>0</v>
      </c>
      <c r="E130" s="67">
        <v>1000.010001</v>
      </c>
      <c r="H130" s="67" t="s">
        <v>146</v>
      </c>
    </row>
    <row r="132" spans="1:9" x14ac:dyDescent="0.25">
      <c r="A132" s="67" t="s">
        <v>5197</v>
      </c>
      <c r="B132" s="67" t="s">
        <v>273</v>
      </c>
      <c r="C132" s="67" t="s">
        <v>166</v>
      </c>
      <c r="D132" s="67">
        <v>0</v>
      </c>
      <c r="E132" s="67">
        <v>1000.010001</v>
      </c>
      <c r="F132" s="67">
        <v>99</v>
      </c>
      <c r="H132" s="68">
        <v>40777</v>
      </c>
      <c r="I132" s="67" t="s">
        <v>480</v>
      </c>
    </row>
    <row r="133" spans="1:9" x14ac:dyDescent="0.25">
      <c r="B133" s="67" t="s">
        <v>5196</v>
      </c>
      <c r="C133" s="67">
        <v>0</v>
      </c>
      <c r="D133" s="67">
        <v>0</v>
      </c>
      <c r="E133" s="67">
        <v>1000.010001</v>
      </c>
      <c r="H133" s="67" t="s">
        <v>146</v>
      </c>
    </row>
    <row r="135" spans="1:9" x14ac:dyDescent="0.25">
      <c r="A135" s="67" t="s">
        <v>5195</v>
      </c>
      <c r="B135" s="67" t="s">
        <v>270</v>
      </c>
      <c r="C135" s="67" t="s">
        <v>176</v>
      </c>
      <c r="D135" s="67">
        <v>0</v>
      </c>
      <c r="E135" s="67">
        <v>10000.10001</v>
      </c>
      <c r="H135" s="68">
        <v>43628</v>
      </c>
      <c r="I135" s="67" t="s">
        <v>480</v>
      </c>
    </row>
    <row r="136" spans="1:9" x14ac:dyDescent="0.25">
      <c r="B136" s="67" t="s">
        <v>5194</v>
      </c>
      <c r="C136" s="67">
        <v>0</v>
      </c>
      <c r="D136" s="67">
        <v>0</v>
      </c>
      <c r="E136" s="67">
        <v>10000.10001</v>
      </c>
      <c r="H136" s="67" t="s">
        <v>146</v>
      </c>
    </row>
    <row r="137" spans="1:9" x14ac:dyDescent="0.25">
      <c r="A137" s="67" t="s">
        <v>233</v>
      </c>
    </row>
    <row r="139" spans="1:9" x14ac:dyDescent="0.25">
      <c r="A139" s="67" t="s">
        <v>232</v>
      </c>
      <c r="D139" s="67" t="s">
        <v>231</v>
      </c>
      <c r="H139" s="67" t="s">
        <v>148</v>
      </c>
      <c r="I139" s="67" t="s">
        <v>230</v>
      </c>
    </row>
    <row r="140" spans="1:9" x14ac:dyDescent="0.25">
      <c r="A140" s="67">
        <v>41.1</v>
      </c>
      <c r="C140" s="67" t="s">
        <v>215</v>
      </c>
      <c r="D140" s="67" t="s">
        <v>229</v>
      </c>
      <c r="H140" s="70">
        <v>44771</v>
      </c>
      <c r="I140" s="69">
        <v>0.56736111111111109</v>
      </c>
    </row>
    <row r="141" spans="1:9" x14ac:dyDescent="0.25">
      <c r="A141" s="67" t="s">
        <v>228</v>
      </c>
      <c r="C141" s="67" t="s">
        <v>227</v>
      </c>
      <c r="D141" s="67" t="s">
        <v>226</v>
      </c>
      <c r="E141" s="67">
        <v>589</v>
      </c>
      <c r="H141" s="67" t="s">
        <v>225</v>
      </c>
      <c r="I141" s="67">
        <v>5</v>
      </c>
    </row>
    <row r="142" spans="1:9" x14ac:dyDescent="0.25">
      <c r="A142" s="67" t="s">
        <v>884</v>
      </c>
    </row>
    <row r="143" spans="1:9" x14ac:dyDescent="0.25">
      <c r="A143" s="67" t="s">
        <v>223</v>
      </c>
      <c r="B143" s="67" t="s">
        <v>222</v>
      </c>
      <c r="C143" s="67" t="s">
        <v>221</v>
      </c>
      <c r="D143" s="67" t="s">
        <v>220</v>
      </c>
      <c r="E143" s="67" t="s">
        <v>219</v>
      </c>
      <c r="F143" s="67" t="s">
        <v>217</v>
      </c>
      <c r="G143" s="67" t="s">
        <v>218</v>
      </c>
      <c r="H143" s="67" t="s">
        <v>217</v>
      </c>
      <c r="I143" s="67" t="s">
        <v>216</v>
      </c>
    </row>
    <row r="144" spans="1:9" x14ac:dyDescent="0.25">
      <c r="A144" s="67" t="s">
        <v>215</v>
      </c>
      <c r="B144" s="67" t="s">
        <v>214</v>
      </c>
      <c r="C144" s="67" t="s">
        <v>213</v>
      </c>
      <c r="D144" s="67" t="s">
        <v>212</v>
      </c>
      <c r="E144" s="67" t="s">
        <v>211</v>
      </c>
      <c r="F144" s="67" t="s">
        <v>210</v>
      </c>
      <c r="G144" s="67" t="s">
        <v>209</v>
      </c>
      <c r="H144" s="67" t="s">
        <v>208</v>
      </c>
      <c r="I144" s="67" t="s">
        <v>207</v>
      </c>
    </row>
    <row r="145" spans="1:9" x14ac:dyDescent="0.25">
      <c r="A145" s="67" t="s">
        <v>206</v>
      </c>
      <c r="B145" s="67" t="s">
        <v>205</v>
      </c>
      <c r="C145" s="67" t="s">
        <v>204</v>
      </c>
      <c r="D145" s="67" t="s">
        <v>203</v>
      </c>
      <c r="E145" s="67" t="s">
        <v>202</v>
      </c>
      <c r="F145" s="67" t="s">
        <v>201</v>
      </c>
      <c r="G145" s="67" t="s">
        <v>200</v>
      </c>
      <c r="H145" s="67" t="s">
        <v>199</v>
      </c>
    </row>
    <row r="146" spans="1:9" x14ac:dyDescent="0.25">
      <c r="A146" s="67" t="s">
        <v>5193</v>
      </c>
      <c r="B146" s="67" t="s">
        <v>5192</v>
      </c>
      <c r="C146" s="67">
        <v>0</v>
      </c>
      <c r="D146" s="67">
        <v>0</v>
      </c>
      <c r="E146" s="67">
        <v>83900.41</v>
      </c>
      <c r="F146" s="67">
        <v>25250</v>
      </c>
      <c r="H146" s="68">
        <v>40764</v>
      </c>
      <c r="I146" s="67" t="s">
        <v>148</v>
      </c>
    </row>
    <row r="147" spans="1:9" x14ac:dyDescent="0.25">
      <c r="B147" s="67" t="s">
        <v>5192</v>
      </c>
      <c r="C147" s="67">
        <v>0</v>
      </c>
      <c r="D147" s="67">
        <v>0</v>
      </c>
      <c r="E147" s="67">
        <v>83900.45</v>
      </c>
      <c r="H147" s="67" t="s">
        <v>146</v>
      </c>
    </row>
    <row r="149" spans="1:9" x14ac:dyDescent="0.25">
      <c r="A149" s="67" t="s">
        <v>5191</v>
      </c>
      <c r="B149" s="67" t="s">
        <v>5190</v>
      </c>
      <c r="C149" s="67">
        <v>0</v>
      </c>
      <c r="D149" s="67">
        <v>0</v>
      </c>
      <c r="E149" s="67">
        <v>83900.41</v>
      </c>
      <c r="F149" s="67">
        <v>25250</v>
      </c>
      <c r="H149" s="68">
        <v>40764</v>
      </c>
      <c r="I149" s="67" t="s">
        <v>148</v>
      </c>
    </row>
    <row r="150" spans="1:9" x14ac:dyDescent="0.25">
      <c r="B150" s="67" t="s">
        <v>5190</v>
      </c>
      <c r="C150" s="67">
        <v>0</v>
      </c>
      <c r="D150" s="67">
        <v>0</v>
      </c>
      <c r="E150" s="67">
        <v>83900.45</v>
      </c>
      <c r="H150" s="67" t="s">
        <v>146</v>
      </c>
    </row>
    <row r="152" spans="1:9" x14ac:dyDescent="0.25">
      <c r="A152" s="67" t="s">
        <v>5189</v>
      </c>
      <c r="B152" s="67" t="s">
        <v>5188</v>
      </c>
      <c r="C152" s="67">
        <v>0</v>
      </c>
      <c r="D152" s="67">
        <v>0</v>
      </c>
      <c r="E152" s="67">
        <v>83900.41</v>
      </c>
      <c r="F152" s="67">
        <v>25250</v>
      </c>
      <c r="H152" s="68">
        <v>40764</v>
      </c>
      <c r="I152" s="67" t="s">
        <v>148</v>
      </c>
    </row>
    <row r="153" spans="1:9" x14ac:dyDescent="0.25">
      <c r="B153" s="67" t="s">
        <v>5188</v>
      </c>
      <c r="C153" s="67">
        <v>0</v>
      </c>
      <c r="D153" s="67">
        <v>0</v>
      </c>
      <c r="E153" s="67">
        <v>83900.45</v>
      </c>
      <c r="H153" s="67" t="s">
        <v>146</v>
      </c>
    </row>
    <row r="155" spans="1:9" x14ac:dyDescent="0.25">
      <c r="A155" s="67" t="s">
        <v>5187</v>
      </c>
      <c r="B155" s="67" t="s">
        <v>5186</v>
      </c>
      <c r="C155" s="67">
        <v>0</v>
      </c>
      <c r="D155" s="67">
        <v>0</v>
      </c>
      <c r="E155" s="67">
        <v>83900.41</v>
      </c>
      <c r="F155" s="67">
        <v>25250</v>
      </c>
      <c r="H155" s="68">
        <v>40764</v>
      </c>
      <c r="I155" s="67" t="s">
        <v>148</v>
      </c>
    </row>
    <row r="156" spans="1:9" x14ac:dyDescent="0.25">
      <c r="B156" s="67" t="s">
        <v>5186</v>
      </c>
      <c r="C156" s="67">
        <v>0</v>
      </c>
      <c r="D156" s="67">
        <v>0</v>
      </c>
      <c r="E156" s="67">
        <v>83900.45</v>
      </c>
      <c r="H156" s="67" t="s">
        <v>146</v>
      </c>
    </row>
    <row r="158" spans="1:9" x14ac:dyDescent="0.25">
      <c r="A158" s="67" t="s">
        <v>5185</v>
      </c>
      <c r="B158" s="67" t="s">
        <v>5184</v>
      </c>
      <c r="C158" s="67">
        <v>0</v>
      </c>
      <c r="D158" s="67">
        <v>0</v>
      </c>
      <c r="E158" s="67">
        <v>83900.41</v>
      </c>
      <c r="F158" s="67">
        <v>25250</v>
      </c>
      <c r="H158" s="68">
        <v>40764</v>
      </c>
      <c r="I158" s="67" t="s">
        <v>148</v>
      </c>
    </row>
    <row r="159" spans="1:9" x14ac:dyDescent="0.25">
      <c r="B159" s="67" t="s">
        <v>5184</v>
      </c>
      <c r="C159" s="67">
        <v>0</v>
      </c>
      <c r="D159" s="67">
        <v>0</v>
      </c>
      <c r="E159" s="67">
        <v>83900.45</v>
      </c>
      <c r="H159" s="67" t="s">
        <v>146</v>
      </c>
    </row>
    <row r="161" spans="1:9" x14ac:dyDescent="0.25">
      <c r="A161" s="67" t="s">
        <v>5183</v>
      </c>
      <c r="B161" s="67" t="s">
        <v>5182</v>
      </c>
      <c r="C161" s="67">
        <v>0</v>
      </c>
      <c r="D161" s="67">
        <v>0</v>
      </c>
      <c r="E161" s="67">
        <v>83900.41</v>
      </c>
      <c r="F161" s="67">
        <v>25250</v>
      </c>
      <c r="H161" s="68">
        <v>40764</v>
      </c>
      <c r="I161" s="67" t="s">
        <v>148</v>
      </c>
    </row>
    <row r="162" spans="1:9" x14ac:dyDescent="0.25">
      <c r="B162" s="67" t="s">
        <v>5182</v>
      </c>
      <c r="C162" s="67">
        <v>0</v>
      </c>
      <c r="D162" s="67">
        <v>0</v>
      </c>
      <c r="E162" s="67">
        <v>83900.45</v>
      </c>
      <c r="H162" s="67" t="s">
        <v>146</v>
      </c>
    </row>
    <row r="164" spans="1:9" x14ac:dyDescent="0.25">
      <c r="A164" s="67" t="s">
        <v>5181</v>
      </c>
      <c r="B164" s="67" t="s">
        <v>5180</v>
      </c>
      <c r="C164" s="67">
        <v>0</v>
      </c>
      <c r="D164" s="67">
        <v>0</v>
      </c>
      <c r="E164" s="67">
        <v>83900.41</v>
      </c>
      <c r="F164" s="67">
        <v>25250</v>
      </c>
      <c r="H164" s="68">
        <v>40764</v>
      </c>
      <c r="I164" s="67" t="s">
        <v>148</v>
      </c>
    </row>
    <row r="165" spans="1:9" x14ac:dyDescent="0.25">
      <c r="B165" s="67" t="s">
        <v>5180</v>
      </c>
      <c r="C165" s="67">
        <v>0</v>
      </c>
      <c r="D165" s="67">
        <v>0</v>
      </c>
      <c r="E165" s="67">
        <v>83900.45</v>
      </c>
      <c r="H165" s="67" t="s">
        <v>146</v>
      </c>
    </row>
    <row r="167" spans="1:9" x14ac:dyDescent="0.25">
      <c r="A167" s="67" t="s">
        <v>5179</v>
      </c>
      <c r="B167" s="67" t="s">
        <v>5178</v>
      </c>
      <c r="C167" s="67">
        <v>0</v>
      </c>
      <c r="D167" s="67">
        <v>0</v>
      </c>
      <c r="E167" s="67">
        <v>83900.41</v>
      </c>
      <c r="F167" s="67">
        <v>25250</v>
      </c>
      <c r="H167" s="68">
        <v>40764</v>
      </c>
      <c r="I167" s="67" t="s">
        <v>148</v>
      </c>
    </row>
    <row r="168" spans="1:9" x14ac:dyDescent="0.25">
      <c r="B168" s="67" t="s">
        <v>5178</v>
      </c>
      <c r="C168" s="67">
        <v>0</v>
      </c>
      <c r="D168" s="67">
        <v>0</v>
      </c>
      <c r="E168" s="67">
        <v>83900.45</v>
      </c>
      <c r="H168" s="67" t="s">
        <v>146</v>
      </c>
    </row>
    <row r="170" spans="1:9" x14ac:dyDescent="0.25">
      <c r="A170" s="67" t="s">
        <v>5177</v>
      </c>
      <c r="B170" s="67" t="s">
        <v>5176</v>
      </c>
      <c r="C170" s="67">
        <v>0</v>
      </c>
      <c r="D170" s="67">
        <v>0</v>
      </c>
      <c r="E170" s="67">
        <v>83900.41</v>
      </c>
      <c r="F170" s="67">
        <v>25250</v>
      </c>
      <c r="H170" s="68">
        <v>40764</v>
      </c>
      <c r="I170" s="67" t="s">
        <v>148</v>
      </c>
    </row>
    <row r="171" spans="1:9" x14ac:dyDescent="0.25">
      <c r="B171" s="67" t="s">
        <v>5176</v>
      </c>
      <c r="C171" s="67">
        <v>0</v>
      </c>
      <c r="D171" s="67">
        <v>0</v>
      </c>
      <c r="E171" s="67">
        <v>83900.45</v>
      </c>
      <c r="H171" s="67" t="s">
        <v>146</v>
      </c>
    </row>
    <row r="173" spans="1:9" x14ac:dyDescent="0.25">
      <c r="A173" s="67" t="s">
        <v>5175</v>
      </c>
      <c r="B173" s="67" t="s">
        <v>5173</v>
      </c>
      <c r="C173" s="67">
        <v>0</v>
      </c>
      <c r="D173" s="67">
        <v>0</v>
      </c>
      <c r="E173" s="67">
        <v>83900.41</v>
      </c>
      <c r="F173" s="67">
        <v>25250</v>
      </c>
      <c r="H173" s="68">
        <v>40764</v>
      </c>
      <c r="I173" s="67" t="s">
        <v>148</v>
      </c>
    </row>
    <row r="174" spans="1:9" x14ac:dyDescent="0.25">
      <c r="B174" s="67" t="s">
        <v>5173</v>
      </c>
      <c r="C174" s="67">
        <v>0</v>
      </c>
      <c r="D174" s="67">
        <v>0</v>
      </c>
      <c r="E174" s="67">
        <v>83900.45</v>
      </c>
      <c r="H174" s="67" t="s">
        <v>146</v>
      </c>
    </row>
    <row r="176" spans="1:9" x14ac:dyDescent="0.25">
      <c r="A176" s="67" t="s">
        <v>5174</v>
      </c>
      <c r="B176" s="67" t="s">
        <v>5173</v>
      </c>
      <c r="C176" s="67">
        <v>0</v>
      </c>
      <c r="D176" s="67">
        <v>0</v>
      </c>
      <c r="E176" s="67">
        <v>83900.41</v>
      </c>
      <c r="F176" s="67">
        <v>25250</v>
      </c>
      <c r="H176" s="68">
        <v>40764</v>
      </c>
      <c r="I176" s="67" t="s">
        <v>148</v>
      </c>
    </row>
    <row r="177" spans="1:9" x14ac:dyDescent="0.25">
      <c r="B177" s="67" t="s">
        <v>5173</v>
      </c>
      <c r="C177" s="67">
        <v>0</v>
      </c>
      <c r="D177" s="67">
        <v>0</v>
      </c>
      <c r="E177" s="67">
        <v>83900.45</v>
      </c>
      <c r="H177" s="67" t="s">
        <v>146</v>
      </c>
    </row>
    <row r="179" spans="1:9" x14ac:dyDescent="0.25">
      <c r="A179" s="67" t="s">
        <v>5172</v>
      </c>
      <c r="B179" s="67" t="s">
        <v>5171</v>
      </c>
      <c r="C179" s="67">
        <v>0</v>
      </c>
      <c r="D179" s="67">
        <v>0</v>
      </c>
      <c r="E179" s="67">
        <v>83900.41</v>
      </c>
      <c r="F179" s="67">
        <v>25250</v>
      </c>
      <c r="H179" s="68">
        <v>40764</v>
      </c>
      <c r="I179" s="67" t="s">
        <v>148</v>
      </c>
    </row>
    <row r="180" spans="1:9" x14ac:dyDescent="0.25">
      <c r="B180" s="67" t="s">
        <v>5171</v>
      </c>
      <c r="C180" s="67">
        <v>0</v>
      </c>
      <c r="D180" s="67">
        <v>0</v>
      </c>
      <c r="E180" s="67">
        <v>83900.45</v>
      </c>
      <c r="H180" s="67" t="s">
        <v>146</v>
      </c>
    </row>
    <row r="182" spans="1:9" x14ac:dyDescent="0.25">
      <c r="A182" s="67" t="s">
        <v>5170</v>
      </c>
      <c r="B182" s="67" t="s">
        <v>5169</v>
      </c>
      <c r="C182" s="67">
        <v>0</v>
      </c>
      <c r="D182" s="67">
        <v>0</v>
      </c>
      <c r="E182" s="67">
        <v>83900.41</v>
      </c>
      <c r="F182" s="67">
        <v>25250</v>
      </c>
      <c r="H182" s="68">
        <v>40764</v>
      </c>
      <c r="I182" s="67" t="s">
        <v>148</v>
      </c>
    </row>
    <row r="183" spans="1:9" x14ac:dyDescent="0.25">
      <c r="B183" s="67" t="s">
        <v>5169</v>
      </c>
      <c r="C183" s="67">
        <v>0</v>
      </c>
      <c r="D183" s="67">
        <v>0</v>
      </c>
      <c r="E183" s="67">
        <v>83900.45</v>
      </c>
      <c r="H183" s="67" t="s">
        <v>146</v>
      </c>
    </row>
    <row r="185" spans="1:9" x14ac:dyDescent="0.25">
      <c r="A185" s="67" t="s">
        <v>5168</v>
      </c>
      <c r="B185" s="67" t="s">
        <v>5167</v>
      </c>
      <c r="C185" s="67">
        <v>0</v>
      </c>
      <c r="D185" s="67">
        <v>0</v>
      </c>
      <c r="E185" s="67">
        <v>83900.41</v>
      </c>
      <c r="F185" s="67">
        <v>25250</v>
      </c>
      <c r="H185" s="68">
        <v>40764</v>
      </c>
      <c r="I185" s="67" t="s">
        <v>148</v>
      </c>
    </row>
    <row r="186" spans="1:9" x14ac:dyDescent="0.25">
      <c r="B186" s="67" t="s">
        <v>5167</v>
      </c>
      <c r="C186" s="67">
        <v>0</v>
      </c>
      <c r="D186" s="67">
        <v>0</v>
      </c>
      <c r="E186" s="67">
        <v>83900.45</v>
      </c>
      <c r="H186" s="67" t="s">
        <v>146</v>
      </c>
    </row>
    <row r="188" spans="1:9" x14ac:dyDescent="0.25">
      <c r="A188" s="67" t="s">
        <v>5166</v>
      </c>
      <c r="B188" s="67" t="s">
        <v>5165</v>
      </c>
      <c r="C188" s="67">
        <v>0</v>
      </c>
      <c r="D188" s="67">
        <v>0</v>
      </c>
      <c r="E188" s="67">
        <v>83900.41</v>
      </c>
      <c r="F188" s="67">
        <v>25250</v>
      </c>
      <c r="H188" s="68">
        <v>40764</v>
      </c>
      <c r="I188" s="67" t="s">
        <v>148</v>
      </c>
    </row>
    <row r="189" spans="1:9" x14ac:dyDescent="0.25">
      <c r="B189" s="67" t="s">
        <v>5165</v>
      </c>
      <c r="C189" s="67">
        <v>0</v>
      </c>
      <c r="D189" s="67">
        <v>0</v>
      </c>
      <c r="E189" s="67">
        <v>83900.45</v>
      </c>
      <c r="H189" s="67" t="s">
        <v>146</v>
      </c>
    </row>
    <row r="191" spans="1:9" x14ac:dyDescent="0.25">
      <c r="A191" s="67" t="s">
        <v>5164</v>
      </c>
      <c r="B191" s="67" t="s">
        <v>5163</v>
      </c>
      <c r="C191" s="67">
        <v>0</v>
      </c>
      <c r="D191" s="67">
        <v>0</v>
      </c>
      <c r="E191" s="67">
        <v>83900.41</v>
      </c>
      <c r="F191" s="67">
        <v>25250</v>
      </c>
      <c r="H191" s="68">
        <v>40764</v>
      </c>
      <c r="I191" s="67" t="s">
        <v>148</v>
      </c>
    </row>
    <row r="192" spans="1:9" x14ac:dyDescent="0.25">
      <c r="B192" s="67" t="s">
        <v>5163</v>
      </c>
      <c r="C192" s="67">
        <v>0</v>
      </c>
      <c r="D192" s="67">
        <v>0</v>
      </c>
      <c r="E192" s="67">
        <v>83900.45</v>
      </c>
      <c r="H192" s="67" t="s">
        <v>146</v>
      </c>
    </row>
    <row r="194" spans="1:9" x14ac:dyDescent="0.25">
      <c r="A194" s="67" t="s">
        <v>5162</v>
      </c>
      <c r="B194" s="67" t="s">
        <v>5161</v>
      </c>
      <c r="C194" s="67">
        <v>0</v>
      </c>
      <c r="D194" s="67">
        <v>0</v>
      </c>
      <c r="E194" s="67">
        <v>83900.41</v>
      </c>
      <c r="F194" s="67">
        <v>25250</v>
      </c>
      <c r="H194" s="68">
        <v>40764</v>
      </c>
      <c r="I194" s="67" t="s">
        <v>148</v>
      </c>
    </row>
    <row r="195" spans="1:9" x14ac:dyDescent="0.25">
      <c r="B195" s="67" t="s">
        <v>5161</v>
      </c>
      <c r="C195" s="67">
        <v>0</v>
      </c>
      <c r="D195" s="67">
        <v>0</v>
      </c>
      <c r="E195" s="67">
        <v>83900.45</v>
      </c>
      <c r="H195" s="67" t="s">
        <v>146</v>
      </c>
    </row>
    <row r="196" spans="1:9" x14ac:dyDescent="0.25">
      <c r="A196" s="67" t="s">
        <v>233</v>
      </c>
    </row>
    <row r="198" spans="1:9" x14ac:dyDescent="0.25">
      <c r="A198" s="67" t="s">
        <v>232</v>
      </c>
      <c r="D198" s="67" t="s">
        <v>231</v>
      </c>
      <c r="H198" s="67" t="s">
        <v>148</v>
      </c>
      <c r="I198" s="67" t="s">
        <v>230</v>
      </c>
    </row>
    <row r="199" spans="1:9" x14ac:dyDescent="0.25">
      <c r="A199" s="67">
        <v>41.1</v>
      </c>
      <c r="C199" s="67" t="s">
        <v>215</v>
      </c>
      <c r="D199" s="67" t="s">
        <v>229</v>
      </c>
      <c r="H199" s="70">
        <v>44771</v>
      </c>
      <c r="I199" s="69">
        <v>0.56736111111111109</v>
      </c>
    </row>
    <row r="200" spans="1:9" x14ac:dyDescent="0.25">
      <c r="A200" s="67" t="s">
        <v>228</v>
      </c>
      <c r="C200" s="67" t="s">
        <v>227</v>
      </c>
      <c r="D200" s="67" t="s">
        <v>226</v>
      </c>
      <c r="E200" s="67">
        <v>589</v>
      </c>
      <c r="H200" s="67" t="s">
        <v>225</v>
      </c>
      <c r="I200" s="67">
        <v>6</v>
      </c>
    </row>
    <row r="201" spans="1:9" x14ac:dyDescent="0.25">
      <c r="A201" s="67" t="s">
        <v>884</v>
      </c>
    </row>
    <row r="202" spans="1:9" x14ac:dyDescent="0.25">
      <c r="A202" s="67" t="s">
        <v>223</v>
      </c>
      <c r="B202" s="67" t="s">
        <v>222</v>
      </c>
      <c r="C202" s="67" t="s">
        <v>221</v>
      </c>
      <c r="D202" s="67" t="s">
        <v>220</v>
      </c>
      <c r="E202" s="67" t="s">
        <v>219</v>
      </c>
      <c r="F202" s="67" t="s">
        <v>217</v>
      </c>
      <c r="G202" s="67" t="s">
        <v>218</v>
      </c>
      <c r="H202" s="67" t="s">
        <v>217</v>
      </c>
      <c r="I202" s="67" t="s">
        <v>216</v>
      </c>
    </row>
    <row r="203" spans="1:9" x14ac:dyDescent="0.25">
      <c r="A203" s="67" t="s">
        <v>215</v>
      </c>
      <c r="B203" s="67" t="s">
        <v>214</v>
      </c>
      <c r="C203" s="67" t="s">
        <v>213</v>
      </c>
      <c r="D203" s="67" t="s">
        <v>212</v>
      </c>
      <c r="E203" s="67" t="s">
        <v>211</v>
      </c>
      <c r="F203" s="67" t="s">
        <v>210</v>
      </c>
      <c r="G203" s="67" t="s">
        <v>209</v>
      </c>
      <c r="H203" s="67" t="s">
        <v>208</v>
      </c>
      <c r="I203" s="67" t="s">
        <v>207</v>
      </c>
    </row>
    <row r="204" spans="1:9" x14ac:dyDescent="0.25">
      <c r="A204" s="67" t="s">
        <v>206</v>
      </c>
      <c r="B204" s="67" t="s">
        <v>205</v>
      </c>
      <c r="C204" s="67" t="s">
        <v>204</v>
      </c>
      <c r="D204" s="67" t="s">
        <v>203</v>
      </c>
      <c r="E204" s="67" t="s">
        <v>202</v>
      </c>
      <c r="F204" s="67" t="s">
        <v>201</v>
      </c>
      <c r="G204" s="67" t="s">
        <v>200</v>
      </c>
      <c r="H204" s="67" t="s">
        <v>199</v>
      </c>
    </row>
    <row r="205" spans="1:9" x14ac:dyDescent="0.25">
      <c r="A205" s="67" t="s">
        <v>5160</v>
      </c>
      <c r="B205" s="67" t="s">
        <v>5159</v>
      </c>
      <c r="C205" s="67">
        <v>0</v>
      </c>
      <c r="D205" s="67">
        <v>0</v>
      </c>
      <c r="E205" s="67">
        <v>83900.41</v>
      </c>
      <c r="F205" s="67">
        <v>25250</v>
      </c>
      <c r="H205" s="68">
        <v>40764</v>
      </c>
      <c r="I205" s="67" t="s">
        <v>148</v>
      </c>
    </row>
    <row r="206" spans="1:9" x14ac:dyDescent="0.25">
      <c r="B206" s="67" t="s">
        <v>5159</v>
      </c>
      <c r="C206" s="67">
        <v>0</v>
      </c>
      <c r="D206" s="67">
        <v>0</v>
      </c>
      <c r="E206" s="67">
        <v>83900.45</v>
      </c>
      <c r="H206" s="67" t="s">
        <v>146</v>
      </c>
    </row>
    <row r="208" spans="1:9" x14ac:dyDescent="0.25">
      <c r="A208" s="67" t="s">
        <v>5158</v>
      </c>
      <c r="B208" s="67" t="s">
        <v>5157</v>
      </c>
      <c r="C208" s="67">
        <v>0</v>
      </c>
      <c r="D208" s="67">
        <v>0</v>
      </c>
      <c r="E208" s="67">
        <v>83900.41</v>
      </c>
      <c r="F208" s="67">
        <v>25250</v>
      </c>
      <c r="H208" s="68">
        <v>40764</v>
      </c>
      <c r="I208" s="67" t="s">
        <v>148</v>
      </c>
    </row>
    <row r="209" spans="1:9" x14ac:dyDescent="0.25">
      <c r="B209" s="67" t="s">
        <v>5157</v>
      </c>
      <c r="C209" s="67">
        <v>0</v>
      </c>
      <c r="D209" s="67">
        <v>0</v>
      </c>
      <c r="E209" s="67">
        <v>83900.45</v>
      </c>
      <c r="H209" s="67" t="s">
        <v>146</v>
      </c>
    </row>
    <row r="211" spans="1:9" x14ac:dyDescent="0.25">
      <c r="A211" s="67" t="s">
        <v>5156</v>
      </c>
      <c r="B211" s="67" t="s">
        <v>5155</v>
      </c>
      <c r="C211" s="67">
        <v>0</v>
      </c>
      <c r="D211" s="67">
        <v>0</v>
      </c>
      <c r="E211" s="67">
        <v>83900.41</v>
      </c>
      <c r="F211" s="67">
        <v>25250</v>
      </c>
      <c r="H211" s="68">
        <v>40764</v>
      </c>
      <c r="I211" s="67" t="s">
        <v>148</v>
      </c>
    </row>
    <row r="212" spans="1:9" x14ac:dyDescent="0.25">
      <c r="B212" s="67" t="s">
        <v>5155</v>
      </c>
      <c r="C212" s="67">
        <v>0</v>
      </c>
      <c r="D212" s="67">
        <v>0</v>
      </c>
      <c r="E212" s="67">
        <v>83900.45</v>
      </c>
      <c r="H212" s="67" t="s">
        <v>146</v>
      </c>
    </row>
    <row r="214" spans="1:9" x14ac:dyDescent="0.25">
      <c r="A214" s="67" t="s">
        <v>5154</v>
      </c>
      <c r="B214" s="67" t="s">
        <v>5153</v>
      </c>
      <c r="C214" s="67">
        <v>0</v>
      </c>
      <c r="D214" s="67">
        <v>0</v>
      </c>
      <c r="E214" s="67">
        <v>83900.41</v>
      </c>
      <c r="F214" s="67">
        <v>25250</v>
      </c>
      <c r="H214" s="68">
        <v>40764</v>
      </c>
      <c r="I214" s="67" t="s">
        <v>148</v>
      </c>
    </row>
    <row r="215" spans="1:9" x14ac:dyDescent="0.25">
      <c r="B215" s="67" t="s">
        <v>5153</v>
      </c>
      <c r="C215" s="67">
        <v>0</v>
      </c>
      <c r="D215" s="67">
        <v>0</v>
      </c>
      <c r="E215" s="67">
        <v>83900.45</v>
      </c>
      <c r="H215" s="67" t="s">
        <v>146</v>
      </c>
    </row>
    <row r="217" spans="1:9" x14ac:dyDescent="0.25">
      <c r="A217" s="67" t="s">
        <v>5152</v>
      </c>
      <c r="B217" s="67" t="s">
        <v>5151</v>
      </c>
      <c r="C217" s="67">
        <v>0</v>
      </c>
      <c r="D217" s="67">
        <v>0</v>
      </c>
      <c r="E217" s="67">
        <v>83900.41</v>
      </c>
      <c r="F217" s="67">
        <v>25250</v>
      </c>
      <c r="H217" s="68">
        <v>40764</v>
      </c>
      <c r="I217" s="67" t="s">
        <v>148</v>
      </c>
    </row>
    <row r="218" spans="1:9" x14ac:dyDescent="0.25">
      <c r="B218" s="67" t="s">
        <v>5151</v>
      </c>
      <c r="C218" s="67">
        <v>0</v>
      </c>
      <c r="D218" s="67">
        <v>0</v>
      </c>
      <c r="E218" s="67">
        <v>83900.45</v>
      </c>
      <c r="H218" s="67" t="s">
        <v>146</v>
      </c>
    </row>
    <row r="220" spans="1:9" x14ac:dyDescent="0.25">
      <c r="A220" s="67" t="s">
        <v>5150</v>
      </c>
      <c r="B220" s="67" t="s">
        <v>5149</v>
      </c>
      <c r="C220" s="67">
        <v>0</v>
      </c>
      <c r="D220" s="67">
        <v>0</v>
      </c>
      <c r="E220" s="67">
        <v>83900.41</v>
      </c>
      <c r="F220" s="67">
        <v>25250</v>
      </c>
      <c r="H220" s="68">
        <v>40764</v>
      </c>
      <c r="I220" s="67" t="s">
        <v>148</v>
      </c>
    </row>
    <row r="221" spans="1:9" x14ac:dyDescent="0.25">
      <c r="B221" s="67" t="s">
        <v>5149</v>
      </c>
      <c r="C221" s="67">
        <v>0</v>
      </c>
      <c r="D221" s="67">
        <v>0</v>
      </c>
      <c r="E221" s="67">
        <v>83900.45</v>
      </c>
      <c r="H221" s="67" t="s">
        <v>146</v>
      </c>
    </row>
    <row r="223" spans="1:9" x14ac:dyDescent="0.25">
      <c r="A223" s="67" t="s">
        <v>5148</v>
      </c>
      <c r="B223" s="67" t="s">
        <v>5147</v>
      </c>
      <c r="C223" s="67">
        <v>0</v>
      </c>
      <c r="D223" s="67">
        <v>0</v>
      </c>
      <c r="E223" s="67">
        <v>83900.41</v>
      </c>
      <c r="F223" s="67">
        <v>25250</v>
      </c>
      <c r="H223" s="68">
        <v>40764</v>
      </c>
      <c r="I223" s="67" t="s">
        <v>148</v>
      </c>
    </row>
    <row r="224" spans="1:9" x14ac:dyDescent="0.25">
      <c r="B224" s="67" t="s">
        <v>5147</v>
      </c>
      <c r="C224" s="67">
        <v>0</v>
      </c>
      <c r="D224" s="67">
        <v>0</v>
      </c>
      <c r="E224" s="67">
        <v>83900.45</v>
      </c>
      <c r="H224" s="67" t="s">
        <v>146</v>
      </c>
    </row>
    <row r="226" spans="1:9" x14ac:dyDescent="0.25">
      <c r="A226" s="67" t="s">
        <v>5146</v>
      </c>
      <c r="B226" s="67" t="s">
        <v>5145</v>
      </c>
      <c r="C226" s="67">
        <v>0</v>
      </c>
      <c r="D226" s="67">
        <v>0</v>
      </c>
      <c r="E226" s="67">
        <v>83900.41</v>
      </c>
      <c r="F226" s="67">
        <v>25250</v>
      </c>
      <c r="H226" s="68">
        <v>40764</v>
      </c>
      <c r="I226" s="67" t="s">
        <v>148</v>
      </c>
    </row>
    <row r="227" spans="1:9" x14ac:dyDescent="0.25">
      <c r="B227" s="67" t="s">
        <v>5145</v>
      </c>
      <c r="C227" s="67">
        <v>0</v>
      </c>
      <c r="D227" s="67">
        <v>0</v>
      </c>
      <c r="E227" s="67">
        <v>83900.45</v>
      </c>
      <c r="H227" s="67" t="s">
        <v>146</v>
      </c>
    </row>
    <row r="229" spans="1:9" x14ac:dyDescent="0.25">
      <c r="A229" s="67" t="s">
        <v>5144</v>
      </c>
      <c r="B229" s="67" t="s">
        <v>5143</v>
      </c>
      <c r="C229" s="67">
        <v>0</v>
      </c>
      <c r="D229" s="67">
        <v>0</v>
      </c>
      <c r="E229" s="67">
        <v>83900.41</v>
      </c>
      <c r="F229" s="67">
        <v>25250</v>
      </c>
      <c r="H229" s="68">
        <v>40764</v>
      </c>
      <c r="I229" s="67" t="s">
        <v>148</v>
      </c>
    </row>
    <row r="230" spans="1:9" x14ac:dyDescent="0.25">
      <c r="B230" s="67" t="s">
        <v>5143</v>
      </c>
      <c r="C230" s="67">
        <v>0</v>
      </c>
      <c r="D230" s="67">
        <v>0</v>
      </c>
      <c r="E230" s="67">
        <v>83900.45</v>
      </c>
      <c r="H230" s="67" t="s">
        <v>146</v>
      </c>
    </row>
    <row r="232" spans="1:9" x14ac:dyDescent="0.25">
      <c r="A232" s="67" t="s">
        <v>5142</v>
      </c>
      <c r="B232" s="67" t="s">
        <v>5141</v>
      </c>
      <c r="C232" s="67">
        <v>0</v>
      </c>
      <c r="D232" s="67">
        <v>0</v>
      </c>
      <c r="E232" s="67">
        <v>83900.41</v>
      </c>
      <c r="F232" s="67">
        <v>25250</v>
      </c>
      <c r="H232" s="68">
        <v>40764</v>
      </c>
      <c r="I232" s="67" t="s">
        <v>148</v>
      </c>
    </row>
    <row r="233" spans="1:9" x14ac:dyDescent="0.25">
      <c r="B233" s="67" t="s">
        <v>5141</v>
      </c>
      <c r="C233" s="67">
        <v>0</v>
      </c>
      <c r="D233" s="67">
        <v>0</v>
      </c>
      <c r="E233" s="67">
        <v>83900.45</v>
      </c>
      <c r="H233" s="67" t="s">
        <v>146</v>
      </c>
    </row>
    <row r="235" spans="1:9" x14ac:dyDescent="0.25">
      <c r="A235" s="67" t="s">
        <v>5140</v>
      </c>
      <c r="B235" s="67" t="s">
        <v>5139</v>
      </c>
      <c r="C235" s="67">
        <v>0</v>
      </c>
      <c r="D235" s="67">
        <v>0</v>
      </c>
      <c r="E235" s="67">
        <v>83900.41</v>
      </c>
      <c r="F235" s="67">
        <v>25250</v>
      </c>
      <c r="H235" s="68">
        <v>40764</v>
      </c>
      <c r="I235" s="67" t="s">
        <v>148</v>
      </c>
    </row>
    <row r="236" spans="1:9" x14ac:dyDescent="0.25">
      <c r="B236" s="67" t="s">
        <v>5139</v>
      </c>
      <c r="C236" s="67">
        <v>0</v>
      </c>
      <c r="D236" s="67">
        <v>0</v>
      </c>
      <c r="E236" s="67">
        <v>83900.45</v>
      </c>
      <c r="H236" s="67" t="s">
        <v>146</v>
      </c>
    </row>
    <row r="238" spans="1:9" x14ac:dyDescent="0.25">
      <c r="A238" s="67" t="s">
        <v>5138</v>
      </c>
      <c r="B238" s="67" t="s">
        <v>5137</v>
      </c>
      <c r="C238" s="67">
        <v>0</v>
      </c>
      <c r="D238" s="67">
        <v>0</v>
      </c>
      <c r="E238" s="67">
        <v>83900.41</v>
      </c>
      <c r="F238" s="67">
        <v>25250</v>
      </c>
      <c r="H238" s="68">
        <v>40764</v>
      </c>
      <c r="I238" s="67" t="s">
        <v>148</v>
      </c>
    </row>
    <row r="239" spans="1:9" x14ac:dyDescent="0.25">
      <c r="B239" s="67" t="s">
        <v>5137</v>
      </c>
      <c r="C239" s="67">
        <v>0</v>
      </c>
      <c r="D239" s="67">
        <v>0</v>
      </c>
      <c r="E239" s="67">
        <v>83900.45</v>
      </c>
      <c r="H239" s="67" t="s">
        <v>146</v>
      </c>
    </row>
    <row r="241" spans="1:9" x14ac:dyDescent="0.25">
      <c r="A241" s="67" t="s">
        <v>5136</v>
      </c>
      <c r="B241" s="67" t="s">
        <v>5135</v>
      </c>
      <c r="C241" s="67">
        <v>0</v>
      </c>
      <c r="D241" s="67">
        <v>0</v>
      </c>
      <c r="E241" s="67">
        <v>83900.41</v>
      </c>
      <c r="F241" s="67">
        <v>25250</v>
      </c>
      <c r="H241" s="68">
        <v>40764</v>
      </c>
      <c r="I241" s="67" t="s">
        <v>148</v>
      </c>
    </row>
    <row r="242" spans="1:9" x14ac:dyDescent="0.25">
      <c r="B242" s="67" t="s">
        <v>5135</v>
      </c>
      <c r="C242" s="67">
        <v>0</v>
      </c>
      <c r="D242" s="67">
        <v>0</v>
      </c>
      <c r="E242" s="67">
        <v>83900.45</v>
      </c>
      <c r="H242" s="67" t="s">
        <v>146</v>
      </c>
    </row>
    <row r="244" spans="1:9" x14ac:dyDescent="0.25">
      <c r="A244" s="67" t="s">
        <v>5134</v>
      </c>
      <c r="B244" s="67" t="s">
        <v>5133</v>
      </c>
      <c r="C244" s="67">
        <v>0</v>
      </c>
      <c r="D244" s="67">
        <v>0</v>
      </c>
      <c r="E244" s="67">
        <v>83900.41</v>
      </c>
      <c r="F244" s="67">
        <v>25250</v>
      </c>
      <c r="H244" s="68">
        <v>40764</v>
      </c>
      <c r="I244" s="67" t="s">
        <v>148</v>
      </c>
    </row>
    <row r="245" spans="1:9" x14ac:dyDescent="0.25">
      <c r="B245" s="67" t="s">
        <v>5133</v>
      </c>
      <c r="C245" s="67">
        <v>0</v>
      </c>
      <c r="D245" s="67">
        <v>0</v>
      </c>
      <c r="E245" s="67">
        <v>83900.45</v>
      </c>
      <c r="H245" s="67" t="s">
        <v>146</v>
      </c>
    </row>
    <row r="247" spans="1:9" x14ac:dyDescent="0.25">
      <c r="A247" s="67" t="s">
        <v>5132</v>
      </c>
      <c r="B247" s="67" t="s">
        <v>5131</v>
      </c>
      <c r="C247" s="67">
        <v>0</v>
      </c>
      <c r="D247" s="67">
        <v>0</v>
      </c>
      <c r="E247" s="67">
        <v>83900.41</v>
      </c>
      <c r="F247" s="67">
        <v>25250</v>
      </c>
      <c r="H247" s="68">
        <v>40764</v>
      </c>
      <c r="I247" s="67" t="s">
        <v>148</v>
      </c>
    </row>
    <row r="248" spans="1:9" x14ac:dyDescent="0.25">
      <c r="B248" s="67" t="s">
        <v>5131</v>
      </c>
      <c r="C248" s="67">
        <v>0</v>
      </c>
      <c r="D248" s="67">
        <v>0</v>
      </c>
      <c r="E248" s="67">
        <v>83900.45</v>
      </c>
      <c r="H248" s="67" t="s">
        <v>146</v>
      </c>
    </row>
    <row r="250" spans="1:9" x14ac:dyDescent="0.25">
      <c r="A250" s="67" t="s">
        <v>5130</v>
      </c>
      <c r="B250" s="67" t="s">
        <v>5129</v>
      </c>
      <c r="C250" s="67">
        <v>0</v>
      </c>
      <c r="D250" s="67">
        <v>0</v>
      </c>
      <c r="E250" s="67">
        <v>83900.41</v>
      </c>
      <c r="F250" s="67">
        <v>25250</v>
      </c>
      <c r="H250" s="68">
        <v>40764</v>
      </c>
      <c r="I250" s="67" t="s">
        <v>148</v>
      </c>
    </row>
    <row r="251" spans="1:9" x14ac:dyDescent="0.25">
      <c r="B251" s="67" t="s">
        <v>5129</v>
      </c>
      <c r="C251" s="67">
        <v>0</v>
      </c>
      <c r="D251" s="67">
        <v>0</v>
      </c>
      <c r="E251" s="67">
        <v>83900.45</v>
      </c>
      <c r="H251" s="67" t="s">
        <v>146</v>
      </c>
    </row>
    <row r="253" spans="1:9" x14ac:dyDescent="0.25">
      <c r="A253" s="67" t="s">
        <v>5128</v>
      </c>
      <c r="B253" s="67" t="s">
        <v>5127</v>
      </c>
      <c r="C253" s="67">
        <v>0</v>
      </c>
      <c r="D253" s="67">
        <v>0</v>
      </c>
      <c r="E253" s="67">
        <v>83900.41</v>
      </c>
      <c r="F253" s="67">
        <v>25250</v>
      </c>
      <c r="H253" s="68">
        <v>40764</v>
      </c>
      <c r="I253" s="67" t="s">
        <v>148</v>
      </c>
    </row>
    <row r="254" spans="1:9" x14ac:dyDescent="0.25">
      <c r="B254" s="67" t="s">
        <v>5127</v>
      </c>
      <c r="C254" s="67">
        <v>0</v>
      </c>
      <c r="D254" s="67">
        <v>0</v>
      </c>
      <c r="E254" s="67">
        <v>83900.45</v>
      </c>
      <c r="H254" s="67" t="s">
        <v>146</v>
      </c>
    </row>
    <row r="255" spans="1:9" x14ac:dyDescent="0.25">
      <c r="A255" s="67" t="s">
        <v>233</v>
      </c>
    </row>
    <row r="257" spans="1:9" x14ac:dyDescent="0.25">
      <c r="A257" s="67" t="s">
        <v>232</v>
      </c>
      <c r="D257" s="67" t="s">
        <v>231</v>
      </c>
      <c r="H257" s="67" t="s">
        <v>148</v>
      </c>
      <c r="I257" s="67" t="s">
        <v>230</v>
      </c>
    </row>
    <row r="258" spans="1:9" x14ac:dyDescent="0.25">
      <c r="A258" s="67">
        <v>41.1</v>
      </c>
      <c r="C258" s="67" t="s">
        <v>215</v>
      </c>
      <c r="D258" s="67" t="s">
        <v>229</v>
      </c>
      <c r="H258" s="70">
        <v>44771</v>
      </c>
      <c r="I258" s="69">
        <v>0.56736111111111109</v>
      </c>
    </row>
    <row r="259" spans="1:9" x14ac:dyDescent="0.25">
      <c r="A259" s="67" t="s">
        <v>228</v>
      </c>
      <c r="C259" s="67" t="s">
        <v>227</v>
      </c>
      <c r="D259" s="67" t="s">
        <v>226</v>
      </c>
      <c r="E259" s="67">
        <v>589</v>
      </c>
      <c r="H259" s="67" t="s">
        <v>225</v>
      </c>
      <c r="I259" s="67">
        <v>7</v>
      </c>
    </row>
    <row r="260" spans="1:9" x14ac:dyDescent="0.25">
      <c r="A260" s="67" t="s">
        <v>884</v>
      </c>
    </row>
    <row r="261" spans="1:9" x14ac:dyDescent="0.25">
      <c r="A261" s="67" t="s">
        <v>223</v>
      </c>
      <c r="B261" s="67" t="s">
        <v>222</v>
      </c>
      <c r="C261" s="67" t="s">
        <v>221</v>
      </c>
      <c r="D261" s="67" t="s">
        <v>220</v>
      </c>
      <c r="E261" s="67" t="s">
        <v>219</v>
      </c>
      <c r="F261" s="67" t="s">
        <v>217</v>
      </c>
      <c r="G261" s="67" t="s">
        <v>218</v>
      </c>
      <c r="H261" s="67" t="s">
        <v>217</v>
      </c>
      <c r="I261" s="67" t="s">
        <v>216</v>
      </c>
    </row>
    <row r="262" spans="1:9" x14ac:dyDescent="0.25">
      <c r="A262" s="67" t="s">
        <v>215</v>
      </c>
      <c r="B262" s="67" t="s">
        <v>214</v>
      </c>
      <c r="C262" s="67" t="s">
        <v>213</v>
      </c>
      <c r="D262" s="67" t="s">
        <v>212</v>
      </c>
      <c r="E262" s="67" t="s">
        <v>211</v>
      </c>
      <c r="F262" s="67" t="s">
        <v>210</v>
      </c>
      <c r="G262" s="67" t="s">
        <v>209</v>
      </c>
      <c r="H262" s="67" t="s">
        <v>208</v>
      </c>
      <c r="I262" s="67" t="s">
        <v>207</v>
      </c>
    </row>
    <row r="263" spans="1:9" x14ac:dyDescent="0.25">
      <c r="A263" s="67" t="s">
        <v>206</v>
      </c>
      <c r="B263" s="67" t="s">
        <v>205</v>
      </c>
      <c r="C263" s="67" t="s">
        <v>204</v>
      </c>
      <c r="D263" s="67" t="s">
        <v>203</v>
      </c>
      <c r="E263" s="67" t="s">
        <v>202</v>
      </c>
      <c r="F263" s="67" t="s">
        <v>201</v>
      </c>
      <c r="G263" s="67" t="s">
        <v>200</v>
      </c>
      <c r="H263" s="67" t="s">
        <v>199</v>
      </c>
    </row>
    <row r="264" spans="1:9" x14ac:dyDescent="0.25">
      <c r="A264" s="67" t="s">
        <v>5126</v>
      </c>
      <c r="B264" s="67" t="s">
        <v>5125</v>
      </c>
      <c r="C264" s="67">
        <v>0</v>
      </c>
      <c r="D264" s="67">
        <v>0</v>
      </c>
      <c r="E264" s="67">
        <v>83900.41</v>
      </c>
      <c r="F264" s="67">
        <v>25250</v>
      </c>
      <c r="H264" s="68">
        <v>40764</v>
      </c>
      <c r="I264" s="67" t="s">
        <v>148</v>
      </c>
    </row>
    <row r="265" spans="1:9" x14ac:dyDescent="0.25">
      <c r="B265" s="67" t="s">
        <v>5125</v>
      </c>
      <c r="C265" s="67">
        <v>0</v>
      </c>
      <c r="D265" s="67">
        <v>0</v>
      </c>
      <c r="E265" s="67">
        <v>83900.45</v>
      </c>
      <c r="H265" s="67" t="s">
        <v>146</v>
      </c>
    </row>
    <row r="267" spans="1:9" x14ac:dyDescent="0.25">
      <c r="A267" s="67" t="s">
        <v>5124</v>
      </c>
      <c r="B267" s="67" t="s">
        <v>5123</v>
      </c>
      <c r="C267" s="67">
        <v>0</v>
      </c>
      <c r="D267" s="67">
        <v>0</v>
      </c>
      <c r="E267" s="67">
        <v>83900.41</v>
      </c>
      <c r="F267" s="67">
        <v>25250</v>
      </c>
      <c r="H267" s="68">
        <v>40764</v>
      </c>
      <c r="I267" s="67" t="s">
        <v>148</v>
      </c>
    </row>
    <row r="268" spans="1:9" x14ac:dyDescent="0.25">
      <c r="B268" s="67" t="s">
        <v>5123</v>
      </c>
      <c r="C268" s="67">
        <v>0</v>
      </c>
      <c r="D268" s="67">
        <v>0</v>
      </c>
      <c r="E268" s="67">
        <v>83900.45</v>
      </c>
      <c r="H268" s="67" t="s">
        <v>146</v>
      </c>
    </row>
    <row r="270" spans="1:9" x14ac:dyDescent="0.25">
      <c r="A270" s="67" t="s">
        <v>5122</v>
      </c>
      <c r="B270" s="67" t="s">
        <v>5121</v>
      </c>
      <c r="C270" s="67">
        <v>0</v>
      </c>
      <c r="D270" s="67">
        <v>0</v>
      </c>
      <c r="E270" s="67">
        <v>83900.41</v>
      </c>
      <c r="F270" s="67">
        <v>25250</v>
      </c>
      <c r="H270" s="68">
        <v>40764</v>
      </c>
      <c r="I270" s="67" t="s">
        <v>148</v>
      </c>
    </row>
    <row r="271" spans="1:9" x14ac:dyDescent="0.25">
      <c r="B271" s="67" t="s">
        <v>5121</v>
      </c>
      <c r="C271" s="67">
        <v>0</v>
      </c>
      <c r="D271" s="67">
        <v>0</v>
      </c>
      <c r="E271" s="67">
        <v>83900.45</v>
      </c>
      <c r="H271" s="67" t="s">
        <v>146</v>
      </c>
    </row>
    <row r="273" spans="1:9" x14ac:dyDescent="0.25">
      <c r="A273" s="67" t="s">
        <v>5120</v>
      </c>
      <c r="B273" s="67" t="s">
        <v>5119</v>
      </c>
      <c r="C273" s="67">
        <v>0</v>
      </c>
      <c r="D273" s="67">
        <v>0</v>
      </c>
      <c r="E273" s="67">
        <v>83900.41</v>
      </c>
      <c r="F273" s="67">
        <v>25250</v>
      </c>
      <c r="H273" s="68">
        <v>40764</v>
      </c>
      <c r="I273" s="67" t="s">
        <v>148</v>
      </c>
    </row>
    <row r="274" spans="1:9" x14ac:dyDescent="0.25">
      <c r="B274" s="67" t="s">
        <v>5119</v>
      </c>
      <c r="C274" s="67">
        <v>0</v>
      </c>
      <c r="D274" s="67">
        <v>0</v>
      </c>
      <c r="E274" s="67">
        <v>83900.45</v>
      </c>
      <c r="H274" s="67" t="s">
        <v>146</v>
      </c>
    </row>
    <row r="276" spans="1:9" x14ac:dyDescent="0.25">
      <c r="A276" s="67" t="s">
        <v>5118</v>
      </c>
      <c r="B276" s="67" t="s">
        <v>5117</v>
      </c>
      <c r="C276" s="67">
        <v>0</v>
      </c>
      <c r="D276" s="67">
        <v>0</v>
      </c>
      <c r="E276" s="67">
        <v>83900.41</v>
      </c>
      <c r="F276" s="67">
        <v>25250</v>
      </c>
      <c r="H276" s="68">
        <v>40764</v>
      </c>
      <c r="I276" s="67" t="s">
        <v>148</v>
      </c>
    </row>
    <row r="277" spans="1:9" x14ac:dyDescent="0.25">
      <c r="B277" s="67" t="s">
        <v>5117</v>
      </c>
      <c r="C277" s="67">
        <v>0</v>
      </c>
      <c r="D277" s="67">
        <v>0</v>
      </c>
      <c r="E277" s="67">
        <v>83900.45</v>
      </c>
      <c r="H277" s="67" t="s">
        <v>146</v>
      </c>
    </row>
    <row r="279" spans="1:9" x14ac:dyDescent="0.25">
      <c r="A279" s="67" t="s">
        <v>5116</v>
      </c>
      <c r="B279" s="67" t="s">
        <v>5115</v>
      </c>
      <c r="C279" s="67">
        <v>0</v>
      </c>
      <c r="D279" s="67">
        <v>0</v>
      </c>
      <c r="E279" s="67">
        <v>83900.41</v>
      </c>
      <c r="F279" s="67">
        <v>25250</v>
      </c>
      <c r="H279" s="68">
        <v>40764</v>
      </c>
      <c r="I279" s="67" t="s">
        <v>148</v>
      </c>
    </row>
    <row r="280" spans="1:9" x14ac:dyDescent="0.25">
      <c r="B280" s="67" t="s">
        <v>5115</v>
      </c>
      <c r="C280" s="67">
        <v>0</v>
      </c>
      <c r="D280" s="67">
        <v>0</v>
      </c>
      <c r="E280" s="67">
        <v>83900.45</v>
      </c>
      <c r="H280" s="67" t="s">
        <v>146</v>
      </c>
    </row>
    <row r="282" spans="1:9" x14ac:dyDescent="0.25">
      <c r="A282" s="67" t="s">
        <v>5114</v>
      </c>
      <c r="B282" s="67" t="s">
        <v>5113</v>
      </c>
      <c r="C282" s="67">
        <v>0</v>
      </c>
      <c r="D282" s="67">
        <v>0</v>
      </c>
      <c r="E282" s="67">
        <v>83900.41</v>
      </c>
      <c r="F282" s="67">
        <v>25250</v>
      </c>
      <c r="H282" s="68">
        <v>40764</v>
      </c>
      <c r="I282" s="67" t="s">
        <v>148</v>
      </c>
    </row>
    <row r="283" spans="1:9" x14ac:dyDescent="0.25">
      <c r="B283" s="67" t="s">
        <v>5113</v>
      </c>
      <c r="C283" s="67">
        <v>0</v>
      </c>
      <c r="D283" s="67">
        <v>0</v>
      </c>
      <c r="E283" s="67">
        <v>83900.45</v>
      </c>
      <c r="H283" s="67" t="s">
        <v>146</v>
      </c>
    </row>
    <row r="285" spans="1:9" x14ac:dyDescent="0.25">
      <c r="A285" s="67" t="s">
        <v>5112</v>
      </c>
      <c r="B285" s="67" t="s">
        <v>5111</v>
      </c>
      <c r="C285" s="67">
        <v>0</v>
      </c>
      <c r="D285" s="67">
        <v>0</v>
      </c>
      <c r="E285" s="67">
        <v>83900.41</v>
      </c>
      <c r="F285" s="67">
        <v>25250</v>
      </c>
      <c r="H285" s="68">
        <v>40764</v>
      </c>
      <c r="I285" s="67" t="s">
        <v>148</v>
      </c>
    </row>
    <row r="286" spans="1:9" x14ac:dyDescent="0.25">
      <c r="B286" s="67" t="s">
        <v>5111</v>
      </c>
      <c r="C286" s="67">
        <v>0</v>
      </c>
      <c r="D286" s="67">
        <v>0</v>
      </c>
      <c r="E286" s="67">
        <v>83900.45</v>
      </c>
      <c r="H286" s="67" t="s">
        <v>146</v>
      </c>
    </row>
    <row r="288" spans="1:9" x14ac:dyDescent="0.25">
      <c r="A288" s="67" t="s">
        <v>5110</v>
      </c>
      <c r="B288" s="67" t="s">
        <v>5109</v>
      </c>
      <c r="C288" s="67">
        <v>0</v>
      </c>
      <c r="D288" s="67">
        <v>0</v>
      </c>
      <c r="E288" s="67">
        <v>83900.41</v>
      </c>
      <c r="F288" s="67">
        <v>25250</v>
      </c>
      <c r="H288" s="68">
        <v>40764</v>
      </c>
      <c r="I288" s="67" t="s">
        <v>148</v>
      </c>
    </row>
    <row r="289" spans="1:9" x14ac:dyDescent="0.25">
      <c r="B289" s="67" t="s">
        <v>5109</v>
      </c>
      <c r="C289" s="67">
        <v>0</v>
      </c>
      <c r="D289" s="67">
        <v>0</v>
      </c>
      <c r="E289" s="67">
        <v>83900.45</v>
      </c>
      <c r="H289" s="67" t="s">
        <v>146</v>
      </c>
    </row>
    <row r="291" spans="1:9" x14ac:dyDescent="0.25">
      <c r="A291" s="67" t="s">
        <v>5108</v>
      </c>
      <c r="B291" s="67" t="s">
        <v>5107</v>
      </c>
      <c r="C291" s="67">
        <v>0</v>
      </c>
      <c r="D291" s="67">
        <v>0</v>
      </c>
      <c r="E291" s="67">
        <v>83900.41</v>
      </c>
      <c r="F291" s="67">
        <v>25250</v>
      </c>
      <c r="H291" s="68">
        <v>40764</v>
      </c>
      <c r="I291" s="67" t="s">
        <v>148</v>
      </c>
    </row>
    <row r="292" spans="1:9" x14ac:dyDescent="0.25">
      <c r="B292" s="67" t="s">
        <v>5107</v>
      </c>
      <c r="C292" s="67">
        <v>0</v>
      </c>
      <c r="D292" s="67">
        <v>0</v>
      </c>
      <c r="E292" s="67">
        <v>83900.45</v>
      </c>
      <c r="H292" s="67" t="s">
        <v>146</v>
      </c>
    </row>
    <row r="294" spans="1:9" x14ac:dyDescent="0.25">
      <c r="A294" s="67" t="s">
        <v>5106</v>
      </c>
      <c r="B294" s="67" t="s">
        <v>5105</v>
      </c>
      <c r="C294" s="67">
        <v>0</v>
      </c>
      <c r="D294" s="67">
        <v>0</v>
      </c>
      <c r="E294" s="67">
        <v>83900.41</v>
      </c>
      <c r="F294" s="67">
        <v>25250</v>
      </c>
      <c r="H294" s="68">
        <v>40764</v>
      </c>
      <c r="I294" s="67" t="s">
        <v>148</v>
      </c>
    </row>
    <row r="295" spans="1:9" x14ac:dyDescent="0.25">
      <c r="B295" s="67" t="s">
        <v>5105</v>
      </c>
      <c r="C295" s="67">
        <v>0</v>
      </c>
      <c r="D295" s="67">
        <v>0</v>
      </c>
      <c r="E295" s="67">
        <v>83900.45</v>
      </c>
      <c r="H295" s="67" t="s">
        <v>146</v>
      </c>
    </row>
    <row r="297" spans="1:9" x14ac:dyDescent="0.25">
      <c r="A297" s="67" t="s">
        <v>5104</v>
      </c>
      <c r="B297" s="67" t="s">
        <v>5103</v>
      </c>
      <c r="C297" s="67">
        <v>0</v>
      </c>
      <c r="D297" s="67">
        <v>0</v>
      </c>
      <c r="E297" s="67">
        <v>83900.41</v>
      </c>
      <c r="F297" s="67">
        <v>25250</v>
      </c>
      <c r="H297" s="68">
        <v>40764</v>
      </c>
      <c r="I297" s="67" t="s">
        <v>148</v>
      </c>
    </row>
    <row r="298" spans="1:9" x14ac:dyDescent="0.25">
      <c r="B298" s="67" t="s">
        <v>5103</v>
      </c>
      <c r="C298" s="67">
        <v>0</v>
      </c>
      <c r="D298" s="67">
        <v>0</v>
      </c>
      <c r="E298" s="67">
        <v>83900.45</v>
      </c>
      <c r="H298" s="67" t="s">
        <v>146</v>
      </c>
    </row>
    <row r="300" spans="1:9" x14ac:dyDescent="0.25">
      <c r="A300" s="67" t="s">
        <v>5102</v>
      </c>
      <c r="B300" s="67" t="s">
        <v>5101</v>
      </c>
      <c r="C300" s="67">
        <v>0</v>
      </c>
      <c r="D300" s="67">
        <v>0</v>
      </c>
      <c r="E300" s="67">
        <v>83900.41</v>
      </c>
      <c r="F300" s="67">
        <v>25250</v>
      </c>
      <c r="H300" s="68">
        <v>40764</v>
      </c>
      <c r="I300" s="67" t="s">
        <v>148</v>
      </c>
    </row>
    <row r="301" spans="1:9" x14ac:dyDescent="0.25">
      <c r="B301" s="67" t="s">
        <v>5101</v>
      </c>
      <c r="C301" s="67">
        <v>0</v>
      </c>
      <c r="D301" s="67">
        <v>0</v>
      </c>
      <c r="E301" s="67">
        <v>83900.45</v>
      </c>
      <c r="H301" s="67" t="s">
        <v>146</v>
      </c>
    </row>
    <row r="303" spans="1:9" x14ac:dyDescent="0.25">
      <c r="A303" s="67" t="s">
        <v>5100</v>
      </c>
      <c r="B303" s="67" t="s">
        <v>5099</v>
      </c>
      <c r="C303" s="67">
        <v>0</v>
      </c>
      <c r="D303" s="67">
        <v>0</v>
      </c>
      <c r="E303" s="67">
        <v>83900.41</v>
      </c>
      <c r="F303" s="67">
        <v>25250</v>
      </c>
      <c r="H303" s="68">
        <v>40764</v>
      </c>
      <c r="I303" s="67" t="s">
        <v>148</v>
      </c>
    </row>
    <row r="304" spans="1:9" x14ac:dyDescent="0.25">
      <c r="B304" s="67" t="s">
        <v>5099</v>
      </c>
      <c r="C304" s="67">
        <v>0</v>
      </c>
      <c r="D304" s="67">
        <v>0</v>
      </c>
      <c r="E304" s="67">
        <v>83900.45</v>
      </c>
      <c r="H304" s="67" t="s">
        <v>146</v>
      </c>
    </row>
    <row r="306" spans="1:9" x14ac:dyDescent="0.25">
      <c r="A306" s="67" t="s">
        <v>5098</v>
      </c>
      <c r="B306" s="67" t="s">
        <v>5097</v>
      </c>
      <c r="C306" s="67">
        <v>0</v>
      </c>
      <c r="D306" s="67">
        <v>0</v>
      </c>
      <c r="E306" s="67">
        <v>83900.41</v>
      </c>
      <c r="F306" s="67">
        <v>25250</v>
      </c>
      <c r="H306" s="68">
        <v>40764</v>
      </c>
      <c r="I306" s="67" t="s">
        <v>148</v>
      </c>
    </row>
    <row r="307" spans="1:9" x14ac:dyDescent="0.25">
      <c r="B307" s="67" t="s">
        <v>5097</v>
      </c>
      <c r="C307" s="67">
        <v>0</v>
      </c>
      <c r="D307" s="67">
        <v>0</v>
      </c>
      <c r="E307" s="67">
        <v>83900.45</v>
      </c>
      <c r="H307" s="67" t="s">
        <v>146</v>
      </c>
    </row>
    <row r="309" spans="1:9" x14ac:dyDescent="0.25">
      <c r="A309" s="67" t="s">
        <v>5096</v>
      </c>
      <c r="B309" s="67" t="s">
        <v>5095</v>
      </c>
      <c r="C309" s="67">
        <v>0</v>
      </c>
      <c r="D309" s="67">
        <v>0</v>
      </c>
      <c r="E309" s="67">
        <v>83900.41</v>
      </c>
      <c r="F309" s="67">
        <v>25250</v>
      </c>
      <c r="H309" s="68">
        <v>40764</v>
      </c>
      <c r="I309" s="67" t="s">
        <v>148</v>
      </c>
    </row>
    <row r="310" spans="1:9" x14ac:dyDescent="0.25">
      <c r="B310" s="67" t="s">
        <v>5095</v>
      </c>
      <c r="C310" s="67">
        <v>0</v>
      </c>
      <c r="D310" s="67">
        <v>0</v>
      </c>
      <c r="E310" s="67">
        <v>83900.45</v>
      </c>
      <c r="H310" s="67" t="s">
        <v>146</v>
      </c>
    </row>
    <row r="312" spans="1:9" x14ac:dyDescent="0.25">
      <c r="A312" s="67" t="s">
        <v>5094</v>
      </c>
      <c r="B312" s="67" t="s">
        <v>5093</v>
      </c>
      <c r="C312" s="67">
        <v>0</v>
      </c>
      <c r="D312" s="67">
        <v>0</v>
      </c>
      <c r="E312" s="67">
        <v>83900.41</v>
      </c>
      <c r="F312" s="67">
        <v>25250</v>
      </c>
      <c r="H312" s="68">
        <v>40764</v>
      </c>
      <c r="I312" s="67" t="s">
        <v>148</v>
      </c>
    </row>
    <row r="313" spans="1:9" x14ac:dyDescent="0.25">
      <c r="B313" s="67" t="s">
        <v>5093</v>
      </c>
      <c r="C313" s="67">
        <v>0</v>
      </c>
      <c r="D313" s="67">
        <v>0</v>
      </c>
      <c r="E313" s="67">
        <v>83900.45</v>
      </c>
      <c r="H313" s="67" t="s">
        <v>146</v>
      </c>
    </row>
    <row r="314" spans="1:9" x14ac:dyDescent="0.25">
      <c r="A314" s="67" t="s">
        <v>233</v>
      </c>
    </row>
    <row r="316" spans="1:9" x14ac:dyDescent="0.25">
      <c r="A316" s="67" t="s">
        <v>232</v>
      </c>
      <c r="D316" s="67" t="s">
        <v>231</v>
      </c>
      <c r="H316" s="67" t="s">
        <v>148</v>
      </c>
      <c r="I316" s="67" t="s">
        <v>230</v>
      </c>
    </row>
    <row r="317" spans="1:9" x14ac:dyDescent="0.25">
      <c r="A317" s="67">
        <v>41.1</v>
      </c>
      <c r="C317" s="67" t="s">
        <v>215</v>
      </c>
      <c r="D317" s="67" t="s">
        <v>229</v>
      </c>
      <c r="H317" s="70">
        <v>44771</v>
      </c>
      <c r="I317" s="69">
        <v>0.56736111111111109</v>
      </c>
    </row>
    <row r="318" spans="1:9" x14ac:dyDescent="0.25">
      <c r="A318" s="67" t="s">
        <v>228</v>
      </c>
      <c r="C318" s="67" t="s">
        <v>227</v>
      </c>
      <c r="D318" s="67" t="s">
        <v>226</v>
      </c>
      <c r="E318" s="67">
        <v>589</v>
      </c>
      <c r="H318" s="67" t="s">
        <v>225</v>
      </c>
      <c r="I318" s="67">
        <v>8</v>
      </c>
    </row>
    <row r="319" spans="1:9" x14ac:dyDescent="0.25">
      <c r="A319" s="67" t="s">
        <v>884</v>
      </c>
    </row>
    <row r="320" spans="1:9" x14ac:dyDescent="0.25">
      <c r="A320" s="67" t="s">
        <v>223</v>
      </c>
      <c r="B320" s="67" t="s">
        <v>222</v>
      </c>
      <c r="C320" s="67" t="s">
        <v>221</v>
      </c>
      <c r="D320" s="67" t="s">
        <v>220</v>
      </c>
      <c r="E320" s="67" t="s">
        <v>219</v>
      </c>
      <c r="F320" s="67" t="s">
        <v>217</v>
      </c>
      <c r="G320" s="67" t="s">
        <v>218</v>
      </c>
      <c r="H320" s="67" t="s">
        <v>217</v>
      </c>
      <c r="I320" s="67" t="s">
        <v>216</v>
      </c>
    </row>
    <row r="321" spans="1:9" x14ac:dyDescent="0.25">
      <c r="A321" s="67" t="s">
        <v>215</v>
      </c>
      <c r="B321" s="67" t="s">
        <v>214</v>
      </c>
      <c r="C321" s="67" t="s">
        <v>213</v>
      </c>
      <c r="D321" s="67" t="s">
        <v>212</v>
      </c>
      <c r="E321" s="67" t="s">
        <v>211</v>
      </c>
      <c r="F321" s="67" t="s">
        <v>210</v>
      </c>
      <c r="G321" s="67" t="s">
        <v>209</v>
      </c>
      <c r="H321" s="67" t="s">
        <v>208</v>
      </c>
      <c r="I321" s="67" t="s">
        <v>207</v>
      </c>
    </row>
    <row r="322" spans="1:9" x14ac:dyDescent="0.25">
      <c r="A322" s="67" t="s">
        <v>206</v>
      </c>
      <c r="B322" s="67" t="s">
        <v>205</v>
      </c>
      <c r="C322" s="67" t="s">
        <v>204</v>
      </c>
      <c r="D322" s="67" t="s">
        <v>203</v>
      </c>
      <c r="E322" s="67" t="s">
        <v>202</v>
      </c>
      <c r="F322" s="67" t="s">
        <v>201</v>
      </c>
      <c r="G322" s="67" t="s">
        <v>200</v>
      </c>
      <c r="H322" s="67" t="s">
        <v>199</v>
      </c>
    </row>
    <row r="323" spans="1:9" x14ac:dyDescent="0.25">
      <c r="A323" s="67" t="s">
        <v>5092</v>
      </c>
      <c r="B323" s="67" t="s">
        <v>5091</v>
      </c>
      <c r="C323" s="67">
        <v>0</v>
      </c>
      <c r="D323" s="67">
        <v>0</v>
      </c>
      <c r="E323" s="67">
        <v>83900.41</v>
      </c>
      <c r="F323" s="67">
        <v>25250</v>
      </c>
      <c r="H323" s="68">
        <v>40764</v>
      </c>
      <c r="I323" s="67" t="s">
        <v>148</v>
      </c>
    </row>
    <row r="324" spans="1:9" x14ac:dyDescent="0.25">
      <c r="B324" s="67" t="s">
        <v>5091</v>
      </c>
      <c r="C324" s="67">
        <v>0</v>
      </c>
      <c r="D324" s="67">
        <v>0</v>
      </c>
      <c r="E324" s="67">
        <v>83900.45</v>
      </c>
      <c r="H324" s="67" t="s">
        <v>146</v>
      </c>
    </row>
    <row r="326" spans="1:9" x14ac:dyDescent="0.25">
      <c r="A326" s="67" t="s">
        <v>5090</v>
      </c>
      <c r="B326" s="67" t="s">
        <v>5089</v>
      </c>
      <c r="C326" s="67">
        <v>0</v>
      </c>
      <c r="D326" s="67">
        <v>0</v>
      </c>
      <c r="E326" s="67">
        <v>83900.41</v>
      </c>
      <c r="F326" s="67">
        <v>25250</v>
      </c>
      <c r="H326" s="68">
        <v>40764</v>
      </c>
      <c r="I326" s="67" t="s">
        <v>148</v>
      </c>
    </row>
    <row r="327" spans="1:9" x14ac:dyDescent="0.25">
      <c r="B327" s="67" t="s">
        <v>5089</v>
      </c>
      <c r="C327" s="67">
        <v>0</v>
      </c>
      <c r="D327" s="67">
        <v>0</v>
      </c>
      <c r="E327" s="67">
        <v>83900.45</v>
      </c>
      <c r="H327" s="67" t="s">
        <v>146</v>
      </c>
    </row>
    <row r="329" spans="1:9" x14ac:dyDescent="0.25">
      <c r="A329" s="67" t="s">
        <v>5088</v>
      </c>
      <c r="B329" s="67" t="s">
        <v>5087</v>
      </c>
      <c r="C329" s="67">
        <v>0</v>
      </c>
      <c r="D329" s="67">
        <v>0</v>
      </c>
      <c r="E329" s="67">
        <v>83900.41</v>
      </c>
      <c r="F329" s="67">
        <v>25250</v>
      </c>
      <c r="H329" s="68">
        <v>40764</v>
      </c>
      <c r="I329" s="67" t="s">
        <v>148</v>
      </c>
    </row>
    <row r="330" spans="1:9" x14ac:dyDescent="0.25">
      <c r="B330" s="67" t="s">
        <v>5087</v>
      </c>
      <c r="C330" s="67">
        <v>0</v>
      </c>
      <c r="D330" s="67">
        <v>0</v>
      </c>
      <c r="E330" s="67">
        <v>83900.45</v>
      </c>
      <c r="H330" s="67" t="s">
        <v>146</v>
      </c>
    </row>
    <row r="332" spans="1:9" x14ac:dyDescent="0.25">
      <c r="A332" s="67" t="s">
        <v>5086</v>
      </c>
      <c r="B332" s="67" t="s">
        <v>5085</v>
      </c>
      <c r="C332" s="67">
        <v>0</v>
      </c>
      <c r="D332" s="67">
        <v>0</v>
      </c>
      <c r="E332" s="67">
        <v>83900.41</v>
      </c>
      <c r="F332" s="67">
        <v>25250</v>
      </c>
      <c r="H332" s="68">
        <v>40764</v>
      </c>
      <c r="I332" s="67" t="s">
        <v>148</v>
      </c>
    </row>
    <row r="333" spans="1:9" x14ac:dyDescent="0.25">
      <c r="B333" s="67" t="s">
        <v>5085</v>
      </c>
      <c r="C333" s="67">
        <v>0</v>
      </c>
      <c r="D333" s="67">
        <v>0</v>
      </c>
      <c r="E333" s="67">
        <v>83900.45</v>
      </c>
      <c r="H333" s="67" t="s">
        <v>146</v>
      </c>
    </row>
    <row r="335" spans="1:9" x14ac:dyDescent="0.25">
      <c r="A335" s="67" t="s">
        <v>5084</v>
      </c>
      <c r="B335" s="67" t="s">
        <v>5083</v>
      </c>
      <c r="C335" s="67">
        <v>0</v>
      </c>
      <c r="D335" s="67">
        <v>0</v>
      </c>
      <c r="E335" s="67">
        <v>83900.41</v>
      </c>
      <c r="F335" s="67">
        <v>25250</v>
      </c>
      <c r="H335" s="68">
        <v>40764</v>
      </c>
      <c r="I335" s="67" t="s">
        <v>148</v>
      </c>
    </row>
    <row r="336" spans="1:9" x14ac:dyDescent="0.25">
      <c r="B336" s="67" t="s">
        <v>5083</v>
      </c>
      <c r="C336" s="67">
        <v>0</v>
      </c>
      <c r="D336" s="67">
        <v>0</v>
      </c>
      <c r="E336" s="67">
        <v>83900.45</v>
      </c>
      <c r="H336" s="67" t="s">
        <v>146</v>
      </c>
    </row>
    <row r="338" spans="1:9" x14ac:dyDescent="0.25">
      <c r="A338" s="67" t="s">
        <v>5082</v>
      </c>
      <c r="B338" s="67" t="s">
        <v>5081</v>
      </c>
      <c r="C338" s="67">
        <v>0</v>
      </c>
      <c r="D338" s="67">
        <v>0</v>
      </c>
      <c r="E338" s="67">
        <v>83900.41</v>
      </c>
      <c r="F338" s="67">
        <v>25250</v>
      </c>
      <c r="H338" s="68">
        <v>40764</v>
      </c>
      <c r="I338" s="67" t="s">
        <v>148</v>
      </c>
    </row>
    <row r="339" spans="1:9" x14ac:dyDescent="0.25">
      <c r="B339" s="67" t="s">
        <v>5081</v>
      </c>
      <c r="C339" s="67">
        <v>0</v>
      </c>
      <c r="D339" s="67">
        <v>0</v>
      </c>
      <c r="E339" s="67">
        <v>83900.45</v>
      </c>
      <c r="H339" s="67" t="s">
        <v>146</v>
      </c>
    </row>
    <row r="341" spans="1:9" x14ac:dyDescent="0.25">
      <c r="A341" s="67" t="s">
        <v>5080</v>
      </c>
      <c r="B341" s="67" t="s">
        <v>5079</v>
      </c>
      <c r="C341" s="67">
        <v>0</v>
      </c>
      <c r="D341" s="67">
        <v>0</v>
      </c>
      <c r="E341" s="67">
        <v>83900.41</v>
      </c>
      <c r="F341" s="67">
        <v>25250</v>
      </c>
      <c r="H341" s="68">
        <v>40764</v>
      </c>
      <c r="I341" s="67" t="s">
        <v>148</v>
      </c>
    </row>
    <row r="342" spans="1:9" x14ac:dyDescent="0.25">
      <c r="B342" s="67" t="s">
        <v>5079</v>
      </c>
      <c r="C342" s="67">
        <v>0</v>
      </c>
      <c r="D342" s="67">
        <v>0</v>
      </c>
      <c r="E342" s="67">
        <v>83900.45</v>
      </c>
      <c r="H342" s="67" t="s">
        <v>146</v>
      </c>
    </row>
    <row r="344" spans="1:9" x14ac:dyDescent="0.25">
      <c r="A344" s="67" t="s">
        <v>5078</v>
      </c>
      <c r="B344" s="67" t="s">
        <v>5077</v>
      </c>
      <c r="C344" s="67">
        <v>0</v>
      </c>
      <c r="D344" s="67">
        <v>0</v>
      </c>
      <c r="E344" s="67">
        <v>83900.41</v>
      </c>
      <c r="F344" s="67">
        <v>25250</v>
      </c>
      <c r="H344" s="68">
        <v>40764</v>
      </c>
      <c r="I344" s="67" t="s">
        <v>148</v>
      </c>
    </row>
    <row r="345" spans="1:9" x14ac:dyDescent="0.25">
      <c r="B345" s="67" t="s">
        <v>5077</v>
      </c>
      <c r="C345" s="67">
        <v>0</v>
      </c>
      <c r="D345" s="67">
        <v>0</v>
      </c>
      <c r="E345" s="67">
        <v>83900.45</v>
      </c>
      <c r="H345" s="67" t="s">
        <v>146</v>
      </c>
    </row>
    <row r="347" spans="1:9" x14ac:dyDescent="0.25">
      <c r="A347" s="67" t="s">
        <v>5076</v>
      </c>
      <c r="B347" s="67" t="s">
        <v>5075</v>
      </c>
      <c r="C347" s="67">
        <v>0</v>
      </c>
      <c r="D347" s="67">
        <v>0</v>
      </c>
      <c r="E347" s="67">
        <v>83900.41</v>
      </c>
      <c r="F347" s="67">
        <v>25250</v>
      </c>
      <c r="H347" s="68">
        <v>40764</v>
      </c>
      <c r="I347" s="67" t="s">
        <v>148</v>
      </c>
    </row>
    <row r="348" spans="1:9" x14ac:dyDescent="0.25">
      <c r="B348" s="67" t="s">
        <v>5075</v>
      </c>
      <c r="C348" s="67">
        <v>0</v>
      </c>
      <c r="D348" s="67">
        <v>0</v>
      </c>
      <c r="E348" s="67">
        <v>83900.45</v>
      </c>
      <c r="H348" s="67" t="s">
        <v>146</v>
      </c>
    </row>
    <row r="350" spans="1:9" x14ac:dyDescent="0.25">
      <c r="A350" s="67" t="s">
        <v>5074</v>
      </c>
      <c r="B350" s="67" t="s">
        <v>5073</v>
      </c>
      <c r="C350" s="67">
        <v>0</v>
      </c>
      <c r="D350" s="67">
        <v>0</v>
      </c>
      <c r="E350" s="67">
        <v>83900.41</v>
      </c>
      <c r="F350" s="67">
        <v>25250</v>
      </c>
      <c r="H350" s="68">
        <v>40764</v>
      </c>
      <c r="I350" s="67" t="s">
        <v>148</v>
      </c>
    </row>
    <row r="351" spans="1:9" x14ac:dyDescent="0.25">
      <c r="B351" s="67" t="s">
        <v>5073</v>
      </c>
      <c r="C351" s="67">
        <v>0</v>
      </c>
      <c r="D351" s="67">
        <v>0</v>
      </c>
      <c r="E351" s="67">
        <v>83900.45</v>
      </c>
      <c r="H351" s="67" t="s">
        <v>146</v>
      </c>
    </row>
    <row r="353" spans="1:9" x14ac:dyDescent="0.25">
      <c r="A353" s="67" t="s">
        <v>5072</v>
      </c>
      <c r="B353" s="67" t="s">
        <v>5071</v>
      </c>
      <c r="C353" s="67">
        <v>0</v>
      </c>
      <c r="D353" s="67">
        <v>0</v>
      </c>
      <c r="E353" s="67">
        <v>83900.41</v>
      </c>
      <c r="F353" s="67">
        <v>25250</v>
      </c>
      <c r="H353" s="68">
        <v>40764</v>
      </c>
      <c r="I353" s="67" t="s">
        <v>148</v>
      </c>
    </row>
    <row r="354" spans="1:9" x14ac:dyDescent="0.25">
      <c r="B354" s="67" t="s">
        <v>5071</v>
      </c>
      <c r="C354" s="67">
        <v>0</v>
      </c>
      <c r="D354" s="67">
        <v>0</v>
      </c>
      <c r="E354" s="67">
        <v>83900.45</v>
      </c>
      <c r="H354" s="67" t="s">
        <v>146</v>
      </c>
    </row>
    <row r="356" spans="1:9" x14ac:dyDescent="0.25">
      <c r="A356" s="67" t="s">
        <v>5070</v>
      </c>
      <c r="B356" s="67" t="s">
        <v>5069</v>
      </c>
      <c r="C356" s="67">
        <v>0</v>
      </c>
      <c r="D356" s="67">
        <v>0</v>
      </c>
      <c r="E356" s="67">
        <v>83900.41</v>
      </c>
      <c r="F356" s="67">
        <v>25250</v>
      </c>
      <c r="H356" s="68">
        <v>40764</v>
      </c>
      <c r="I356" s="67" t="s">
        <v>148</v>
      </c>
    </row>
    <row r="357" spans="1:9" x14ac:dyDescent="0.25">
      <c r="B357" s="67" t="s">
        <v>5069</v>
      </c>
      <c r="C357" s="67">
        <v>0</v>
      </c>
      <c r="D357" s="67">
        <v>0</v>
      </c>
      <c r="E357" s="67">
        <v>83900.45</v>
      </c>
      <c r="H357" s="67" t="s">
        <v>146</v>
      </c>
    </row>
    <row r="359" spans="1:9" x14ac:dyDescent="0.25">
      <c r="A359" s="67" t="s">
        <v>5068</v>
      </c>
      <c r="B359" s="67" t="s">
        <v>5067</v>
      </c>
      <c r="C359" s="67">
        <v>0</v>
      </c>
      <c r="D359" s="67">
        <v>0</v>
      </c>
      <c r="E359" s="67">
        <v>83900.41</v>
      </c>
      <c r="F359" s="67">
        <v>25250</v>
      </c>
      <c r="H359" s="68">
        <v>40764</v>
      </c>
      <c r="I359" s="67" t="s">
        <v>148</v>
      </c>
    </row>
    <row r="360" spans="1:9" x14ac:dyDescent="0.25">
      <c r="B360" s="67" t="s">
        <v>5067</v>
      </c>
      <c r="C360" s="67">
        <v>0</v>
      </c>
      <c r="D360" s="67">
        <v>0</v>
      </c>
      <c r="E360" s="67">
        <v>83900.45</v>
      </c>
      <c r="H360" s="67" t="s">
        <v>146</v>
      </c>
    </row>
    <row r="362" spans="1:9" x14ac:dyDescent="0.25">
      <c r="A362" s="67" t="s">
        <v>5066</v>
      </c>
      <c r="B362" s="67" t="s">
        <v>5065</v>
      </c>
      <c r="C362" s="67">
        <v>0</v>
      </c>
      <c r="D362" s="67">
        <v>0</v>
      </c>
      <c r="E362" s="67">
        <v>83900.41</v>
      </c>
      <c r="F362" s="67">
        <v>25250</v>
      </c>
      <c r="H362" s="68">
        <v>40764</v>
      </c>
      <c r="I362" s="67" t="s">
        <v>148</v>
      </c>
    </row>
    <row r="363" spans="1:9" x14ac:dyDescent="0.25">
      <c r="B363" s="67" t="s">
        <v>5065</v>
      </c>
      <c r="C363" s="67">
        <v>0</v>
      </c>
      <c r="D363" s="67">
        <v>0</v>
      </c>
      <c r="E363" s="67">
        <v>83900.45</v>
      </c>
      <c r="H363" s="67" t="s">
        <v>146</v>
      </c>
    </row>
    <row r="365" spans="1:9" x14ac:dyDescent="0.25">
      <c r="A365" s="67" t="s">
        <v>5064</v>
      </c>
      <c r="B365" s="67" t="s">
        <v>5063</v>
      </c>
      <c r="C365" s="67">
        <v>0</v>
      </c>
      <c r="D365" s="67">
        <v>0</v>
      </c>
      <c r="E365" s="67">
        <v>83900.41</v>
      </c>
      <c r="F365" s="67">
        <v>25250</v>
      </c>
      <c r="H365" s="68">
        <v>40764</v>
      </c>
      <c r="I365" s="67" t="s">
        <v>148</v>
      </c>
    </row>
    <row r="366" spans="1:9" x14ac:dyDescent="0.25">
      <c r="B366" s="67" t="s">
        <v>5063</v>
      </c>
      <c r="C366" s="67">
        <v>0</v>
      </c>
      <c r="D366" s="67">
        <v>0</v>
      </c>
      <c r="E366" s="67">
        <v>83900.45</v>
      </c>
      <c r="H366" s="67" t="s">
        <v>146</v>
      </c>
    </row>
    <row r="368" spans="1:9" x14ac:dyDescent="0.25">
      <c r="A368" s="67" t="s">
        <v>5062</v>
      </c>
      <c r="B368" s="67" t="s">
        <v>5061</v>
      </c>
      <c r="C368" s="67">
        <v>0</v>
      </c>
      <c r="D368" s="67">
        <v>0</v>
      </c>
      <c r="E368" s="67">
        <v>83900.41</v>
      </c>
      <c r="F368" s="67">
        <v>25250</v>
      </c>
      <c r="H368" s="68">
        <v>40764</v>
      </c>
      <c r="I368" s="67" t="s">
        <v>148</v>
      </c>
    </row>
    <row r="369" spans="1:9" x14ac:dyDescent="0.25">
      <c r="B369" s="67" t="s">
        <v>5061</v>
      </c>
      <c r="C369" s="67">
        <v>0</v>
      </c>
      <c r="D369" s="67">
        <v>0</v>
      </c>
      <c r="E369" s="67">
        <v>83900.45</v>
      </c>
      <c r="H369" s="67" t="s">
        <v>146</v>
      </c>
    </row>
    <row r="371" spans="1:9" x14ac:dyDescent="0.25">
      <c r="A371" s="67" t="s">
        <v>5060</v>
      </c>
      <c r="B371" s="67" t="s">
        <v>5059</v>
      </c>
      <c r="C371" s="67">
        <v>0</v>
      </c>
      <c r="D371" s="67">
        <v>0</v>
      </c>
      <c r="E371" s="67">
        <v>83900.41</v>
      </c>
      <c r="F371" s="67">
        <v>25250</v>
      </c>
      <c r="H371" s="68">
        <v>40764</v>
      </c>
      <c r="I371" s="67" t="s">
        <v>148</v>
      </c>
    </row>
    <row r="372" spans="1:9" x14ac:dyDescent="0.25">
      <c r="B372" s="67" t="s">
        <v>5059</v>
      </c>
      <c r="C372" s="67">
        <v>0</v>
      </c>
      <c r="D372" s="67">
        <v>0</v>
      </c>
      <c r="E372" s="67">
        <v>83900.45</v>
      </c>
      <c r="H372" s="67" t="s">
        <v>146</v>
      </c>
    </row>
    <row r="373" spans="1:9" x14ac:dyDescent="0.25">
      <c r="A373" s="67" t="s">
        <v>233</v>
      </c>
    </row>
    <row r="375" spans="1:9" x14ac:dyDescent="0.25">
      <c r="A375" s="67" t="s">
        <v>232</v>
      </c>
      <c r="D375" s="67" t="s">
        <v>231</v>
      </c>
      <c r="H375" s="67" t="s">
        <v>148</v>
      </c>
      <c r="I375" s="67" t="s">
        <v>230</v>
      </c>
    </row>
    <row r="376" spans="1:9" x14ac:dyDescent="0.25">
      <c r="A376" s="67">
        <v>41.1</v>
      </c>
      <c r="C376" s="67" t="s">
        <v>215</v>
      </c>
      <c r="D376" s="67" t="s">
        <v>229</v>
      </c>
      <c r="H376" s="70">
        <v>44771</v>
      </c>
      <c r="I376" s="69">
        <v>0.56736111111111109</v>
      </c>
    </row>
    <row r="377" spans="1:9" x14ac:dyDescent="0.25">
      <c r="A377" s="67" t="s">
        <v>228</v>
      </c>
      <c r="C377" s="67" t="s">
        <v>227</v>
      </c>
      <c r="D377" s="67" t="s">
        <v>226</v>
      </c>
      <c r="E377" s="67">
        <v>589</v>
      </c>
      <c r="H377" s="67" t="s">
        <v>225</v>
      </c>
      <c r="I377" s="67">
        <v>9</v>
      </c>
    </row>
    <row r="378" spans="1:9" x14ac:dyDescent="0.25">
      <c r="A378" s="67" t="s">
        <v>884</v>
      </c>
    </row>
    <row r="379" spans="1:9" x14ac:dyDescent="0.25">
      <c r="A379" s="67" t="s">
        <v>223</v>
      </c>
      <c r="B379" s="67" t="s">
        <v>222</v>
      </c>
      <c r="C379" s="67" t="s">
        <v>221</v>
      </c>
      <c r="D379" s="67" t="s">
        <v>220</v>
      </c>
      <c r="E379" s="67" t="s">
        <v>219</v>
      </c>
      <c r="F379" s="67" t="s">
        <v>217</v>
      </c>
      <c r="G379" s="67" t="s">
        <v>218</v>
      </c>
      <c r="H379" s="67" t="s">
        <v>217</v>
      </c>
      <c r="I379" s="67" t="s">
        <v>216</v>
      </c>
    </row>
    <row r="380" spans="1:9" x14ac:dyDescent="0.25">
      <c r="A380" s="67" t="s">
        <v>215</v>
      </c>
      <c r="B380" s="67" t="s">
        <v>214</v>
      </c>
      <c r="C380" s="67" t="s">
        <v>213</v>
      </c>
      <c r="D380" s="67" t="s">
        <v>212</v>
      </c>
      <c r="E380" s="67" t="s">
        <v>211</v>
      </c>
      <c r="F380" s="67" t="s">
        <v>210</v>
      </c>
      <c r="G380" s="67" t="s">
        <v>209</v>
      </c>
      <c r="H380" s="67" t="s">
        <v>208</v>
      </c>
      <c r="I380" s="67" t="s">
        <v>207</v>
      </c>
    </row>
    <row r="381" spans="1:9" x14ac:dyDescent="0.25">
      <c r="A381" s="67" t="s">
        <v>206</v>
      </c>
      <c r="B381" s="67" t="s">
        <v>205</v>
      </c>
      <c r="C381" s="67" t="s">
        <v>204</v>
      </c>
      <c r="D381" s="67" t="s">
        <v>203</v>
      </c>
      <c r="E381" s="67" t="s">
        <v>202</v>
      </c>
      <c r="F381" s="67" t="s">
        <v>201</v>
      </c>
      <c r="G381" s="67" t="s">
        <v>200</v>
      </c>
      <c r="H381" s="67" t="s">
        <v>199</v>
      </c>
    </row>
    <row r="382" spans="1:9" x14ac:dyDescent="0.25">
      <c r="A382" s="67" t="s">
        <v>5058</v>
      </c>
      <c r="B382" s="67" t="s">
        <v>5057</v>
      </c>
      <c r="C382" s="67">
        <v>0</v>
      </c>
      <c r="D382" s="67">
        <v>0</v>
      </c>
      <c r="E382" s="67">
        <v>83900.41</v>
      </c>
      <c r="F382" s="67">
        <v>25250</v>
      </c>
      <c r="H382" s="68">
        <v>40764</v>
      </c>
      <c r="I382" s="67" t="s">
        <v>148</v>
      </c>
    </row>
    <row r="383" spans="1:9" x14ac:dyDescent="0.25">
      <c r="B383" s="67" t="s">
        <v>5057</v>
      </c>
      <c r="C383" s="67">
        <v>0</v>
      </c>
      <c r="D383" s="67">
        <v>0</v>
      </c>
      <c r="E383" s="67">
        <v>83900.45</v>
      </c>
      <c r="H383" s="67" t="s">
        <v>146</v>
      </c>
    </row>
    <row r="385" spans="1:9" x14ac:dyDescent="0.25">
      <c r="A385" s="67" t="s">
        <v>5056</v>
      </c>
      <c r="B385" s="67" t="s">
        <v>5055</v>
      </c>
      <c r="C385" s="67">
        <v>0</v>
      </c>
      <c r="D385" s="67">
        <v>0</v>
      </c>
      <c r="E385" s="67">
        <v>83900.41</v>
      </c>
      <c r="F385" s="67">
        <v>25250</v>
      </c>
      <c r="H385" s="68">
        <v>40764</v>
      </c>
      <c r="I385" s="67" t="s">
        <v>148</v>
      </c>
    </row>
    <row r="386" spans="1:9" x14ac:dyDescent="0.25">
      <c r="B386" s="67" t="s">
        <v>5055</v>
      </c>
      <c r="C386" s="67">
        <v>0</v>
      </c>
      <c r="D386" s="67">
        <v>0</v>
      </c>
      <c r="E386" s="67">
        <v>83900.45</v>
      </c>
      <c r="H386" s="67" t="s">
        <v>146</v>
      </c>
    </row>
    <row r="388" spans="1:9" x14ac:dyDescent="0.25">
      <c r="A388" s="67" t="s">
        <v>5054</v>
      </c>
      <c r="B388" s="67" t="s">
        <v>5053</v>
      </c>
      <c r="C388" s="67">
        <v>0</v>
      </c>
      <c r="D388" s="67">
        <v>0</v>
      </c>
      <c r="E388" s="67">
        <v>83900.41</v>
      </c>
      <c r="F388" s="67">
        <v>25250</v>
      </c>
      <c r="H388" s="68">
        <v>40764</v>
      </c>
      <c r="I388" s="67" t="s">
        <v>148</v>
      </c>
    </row>
    <row r="389" spans="1:9" x14ac:dyDescent="0.25">
      <c r="B389" s="67" t="s">
        <v>5053</v>
      </c>
      <c r="C389" s="67">
        <v>0</v>
      </c>
      <c r="D389" s="67">
        <v>0</v>
      </c>
      <c r="E389" s="67">
        <v>83900.45</v>
      </c>
      <c r="H389" s="67" t="s">
        <v>146</v>
      </c>
    </row>
    <row r="391" spans="1:9" x14ac:dyDescent="0.25">
      <c r="A391" s="67" t="s">
        <v>5052</v>
      </c>
      <c r="B391" s="67" t="s">
        <v>5051</v>
      </c>
      <c r="C391" s="67">
        <v>0</v>
      </c>
      <c r="D391" s="67">
        <v>0</v>
      </c>
      <c r="E391" s="67">
        <v>83900.41</v>
      </c>
      <c r="F391" s="67">
        <v>25250</v>
      </c>
      <c r="H391" s="68">
        <v>40764</v>
      </c>
      <c r="I391" s="67" t="s">
        <v>148</v>
      </c>
    </row>
    <row r="392" spans="1:9" x14ac:dyDescent="0.25">
      <c r="B392" s="67" t="s">
        <v>5051</v>
      </c>
      <c r="C392" s="67">
        <v>0</v>
      </c>
      <c r="D392" s="67">
        <v>0</v>
      </c>
      <c r="E392" s="67">
        <v>83900.45</v>
      </c>
      <c r="H392" s="67" t="s">
        <v>146</v>
      </c>
    </row>
    <row r="394" spans="1:9" x14ac:dyDescent="0.25">
      <c r="A394" s="67" t="s">
        <v>5050</v>
      </c>
      <c r="B394" s="67" t="s">
        <v>5049</v>
      </c>
      <c r="C394" s="67">
        <v>0</v>
      </c>
      <c r="D394" s="67">
        <v>0</v>
      </c>
      <c r="E394" s="67">
        <v>83900.41</v>
      </c>
      <c r="F394" s="67">
        <v>25250</v>
      </c>
      <c r="H394" s="68">
        <v>40764</v>
      </c>
      <c r="I394" s="67" t="s">
        <v>148</v>
      </c>
    </row>
    <row r="395" spans="1:9" x14ac:dyDescent="0.25">
      <c r="B395" s="67" t="s">
        <v>5049</v>
      </c>
      <c r="C395" s="67">
        <v>0</v>
      </c>
      <c r="D395" s="67">
        <v>0</v>
      </c>
      <c r="E395" s="67">
        <v>83900.45</v>
      </c>
      <c r="H395" s="67" t="s">
        <v>146</v>
      </c>
    </row>
    <row r="397" spans="1:9" x14ac:dyDescent="0.25">
      <c r="A397" s="67" t="s">
        <v>5048</v>
      </c>
      <c r="B397" s="67" t="s">
        <v>5047</v>
      </c>
      <c r="C397" s="67">
        <v>0</v>
      </c>
      <c r="D397" s="67">
        <v>0</v>
      </c>
      <c r="E397" s="67">
        <v>83900.41</v>
      </c>
      <c r="F397" s="67">
        <v>25250</v>
      </c>
      <c r="H397" s="68">
        <v>40764</v>
      </c>
      <c r="I397" s="67" t="s">
        <v>148</v>
      </c>
    </row>
    <row r="398" spans="1:9" x14ac:dyDescent="0.25">
      <c r="B398" s="67" t="s">
        <v>5047</v>
      </c>
      <c r="C398" s="67">
        <v>0</v>
      </c>
      <c r="D398" s="67">
        <v>0</v>
      </c>
      <c r="E398" s="67">
        <v>83900.45</v>
      </c>
      <c r="H398" s="67" t="s">
        <v>146</v>
      </c>
    </row>
    <row r="400" spans="1:9" x14ac:dyDescent="0.25">
      <c r="A400" s="67" t="s">
        <v>5046</v>
      </c>
      <c r="B400" s="67" t="s">
        <v>5045</v>
      </c>
      <c r="C400" s="67">
        <v>0</v>
      </c>
      <c r="D400" s="67">
        <v>0</v>
      </c>
      <c r="E400" s="67">
        <v>83900.41</v>
      </c>
      <c r="F400" s="67">
        <v>25250</v>
      </c>
      <c r="H400" s="68">
        <v>40764</v>
      </c>
      <c r="I400" s="67" t="s">
        <v>148</v>
      </c>
    </row>
    <row r="401" spans="1:9" x14ac:dyDescent="0.25">
      <c r="B401" s="67" t="s">
        <v>5045</v>
      </c>
      <c r="C401" s="67">
        <v>0</v>
      </c>
      <c r="D401" s="67">
        <v>0</v>
      </c>
      <c r="E401" s="67">
        <v>83900.45</v>
      </c>
      <c r="H401" s="67" t="s">
        <v>146</v>
      </c>
    </row>
    <row r="403" spans="1:9" x14ac:dyDescent="0.25">
      <c r="A403" s="67" t="s">
        <v>5044</v>
      </c>
      <c r="B403" s="67" t="s">
        <v>5043</v>
      </c>
      <c r="C403" s="67">
        <v>0</v>
      </c>
      <c r="D403" s="67">
        <v>0</v>
      </c>
      <c r="E403" s="67">
        <v>83900.41</v>
      </c>
      <c r="F403" s="67">
        <v>25250</v>
      </c>
      <c r="H403" s="68">
        <v>40764</v>
      </c>
      <c r="I403" s="67" t="s">
        <v>148</v>
      </c>
    </row>
    <row r="404" spans="1:9" x14ac:dyDescent="0.25">
      <c r="B404" s="67" t="s">
        <v>5043</v>
      </c>
      <c r="C404" s="67">
        <v>0</v>
      </c>
      <c r="D404" s="67">
        <v>0</v>
      </c>
      <c r="E404" s="67">
        <v>83900.45</v>
      </c>
      <c r="H404" s="67" t="s">
        <v>146</v>
      </c>
    </row>
    <row r="406" spans="1:9" x14ac:dyDescent="0.25">
      <c r="A406" s="67" t="s">
        <v>5042</v>
      </c>
      <c r="B406" s="67" t="s">
        <v>5041</v>
      </c>
      <c r="C406" s="67">
        <v>0</v>
      </c>
      <c r="D406" s="67">
        <v>0</v>
      </c>
      <c r="E406" s="67">
        <v>83900.41</v>
      </c>
      <c r="F406" s="67">
        <v>25250</v>
      </c>
      <c r="H406" s="68">
        <v>40764</v>
      </c>
      <c r="I406" s="67" t="s">
        <v>148</v>
      </c>
    </row>
    <row r="407" spans="1:9" x14ac:dyDescent="0.25">
      <c r="B407" s="67" t="s">
        <v>5041</v>
      </c>
      <c r="C407" s="67">
        <v>0</v>
      </c>
      <c r="D407" s="67">
        <v>0</v>
      </c>
      <c r="E407" s="67">
        <v>83900.45</v>
      </c>
      <c r="H407" s="67" t="s">
        <v>146</v>
      </c>
    </row>
    <row r="409" spans="1:9" x14ac:dyDescent="0.25">
      <c r="A409" s="67" t="s">
        <v>5040</v>
      </c>
      <c r="B409" s="67" t="s">
        <v>5039</v>
      </c>
      <c r="C409" s="67">
        <v>0</v>
      </c>
      <c r="D409" s="67">
        <v>0</v>
      </c>
      <c r="E409" s="67">
        <v>83900.41</v>
      </c>
      <c r="F409" s="67">
        <v>25250</v>
      </c>
      <c r="H409" s="68">
        <v>40764</v>
      </c>
      <c r="I409" s="67" t="s">
        <v>148</v>
      </c>
    </row>
    <row r="410" spans="1:9" x14ac:dyDescent="0.25">
      <c r="B410" s="67" t="s">
        <v>5039</v>
      </c>
      <c r="C410" s="67">
        <v>0</v>
      </c>
      <c r="D410" s="67">
        <v>0</v>
      </c>
      <c r="E410" s="67">
        <v>83900.45</v>
      </c>
      <c r="H410" s="67" t="s">
        <v>146</v>
      </c>
    </row>
    <row r="412" spans="1:9" x14ac:dyDescent="0.25">
      <c r="A412" s="67" t="s">
        <v>5038</v>
      </c>
      <c r="B412" s="67" t="s">
        <v>5037</v>
      </c>
      <c r="C412" s="67">
        <v>0</v>
      </c>
      <c r="D412" s="67">
        <v>0</v>
      </c>
      <c r="E412" s="67">
        <v>83900.41</v>
      </c>
      <c r="F412" s="67">
        <v>25250</v>
      </c>
      <c r="H412" s="68">
        <v>40764</v>
      </c>
      <c r="I412" s="67" t="s">
        <v>148</v>
      </c>
    </row>
    <row r="413" spans="1:9" x14ac:dyDescent="0.25">
      <c r="B413" s="67" t="s">
        <v>5037</v>
      </c>
      <c r="C413" s="67">
        <v>0</v>
      </c>
      <c r="D413" s="67">
        <v>0</v>
      </c>
      <c r="E413" s="67">
        <v>83900.45</v>
      </c>
      <c r="H413" s="67" t="s">
        <v>146</v>
      </c>
    </row>
    <row r="415" spans="1:9" x14ac:dyDescent="0.25">
      <c r="A415" s="67" t="s">
        <v>5036</v>
      </c>
      <c r="B415" s="67" t="s">
        <v>5035</v>
      </c>
      <c r="C415" s="67">
        <v>0</v>
      </c>
      <c r="D415" s="67">
        <v>0</v>
      </c>
      <c r="E415" s="67">
        <v>83900.41</v>
      </c>
      <c r="F415" s="67">
        <v>25250</v>
      </c>
      <c r="H415" s="68">
        <v>40764</v>
      </c>
      <c r="I415" s="67" t="s">
        <v>148</v>
      </c>
    </row>
    <row r="416" spans="1:9" x14ac:dyDescent="0.25">
      <c r="B416" s="67" t="s">
        <v>5035</v>
      </c>
      <c r="C416" s="67">
        <v>0</v>
      </c>
      <c r="D416" s="67">
        <v>0</v>
      </c>
      <c r="E416" s="67">
        <v>83900.45</v>
      </c>
      <c r="H416" s="67" t="s">
        <v>146</v>
      </c>
    </row>
    <row r="418" spans="1:9" x14ac:dyDescent="0.25">
      <c r="A418" s="67" t="s">
        <v>5034</v>
      </c>
      <c r="B418" s="67" t="s">
        <v>5033</v>
      </c>
      <c r="C418" s="67">
        <v>0</v>
      </c>
      <c r="D418" s="67">
        <v>0</v>
      </c>
      <c r="E418" s="67">
        <v>83900.41</v>
      </c>
      <c r="F418" s="67">
        <v>25250</v>
      </c>
      <c r="H418" s="68">
        <v>40764</v>
      </c>
      <c r="I418" s="67" t="s">
        <v>148</v>
      </c>
    </row>
    <row r="419" spans="1:9" x14ac:dyDescent="0.25">
      <c r="B419" s="67" t="s">
        <v>5033</v>
      </c>
      <c r="C419" s="67">
        <v>0</v>
      </c>
      <c r="D419" s="67">
        <v>0</v>
      </c>
      <c r="E419" s="67">
        <v>83900.45</v>
      </c>
      <c r="H419" s="67" t="s">
        <v>146</v>
      </c>
    </row>
    <row r="421" spans="1:9" x14ac:dyDescent="0.25">
      <c r="A421" s="67" t="s">
        <v>5032</v>
      </c>
      <c r="B421" s="67" t="s">
        <v>5031</v>
      </c>
      <c r="C421" s="67">
        <v>0</v>
      </c>
      <c r="D421" s="67">
        <v>0</v>
      </c>
      <c r="E421" s="67">
        <v>83900.41</v>
      </c>
      <c r="F421" s="67">
        <v>25250</v>
      </c>
      <c r="H421" s="68">
        <v>40764</v>
      </c>
      <c r="I421" s="67" t="s">
        <v>148</v>
      </c>
    </row>
    <row r="422" spans="1:9" x14ac:dyDescent="0.25">
      <c r="B422" s="67" t="s">
        <v>5031</v>
      </c>
      <c r="C422" s="67">
        <v>0</v>
      </c>
      <c r="D422" s="67">
        <v>0</v>
      </c>
      <c r="E422" s="67">
        <v>83900.45</v>
      </c>
      <c r="H422" s="67" t="s">
        <v>146</v>
      </c>
    </row>
    <row r="424" spans="1:9" x14ac:dyDescent="0.25">
      <c r="A424" s="67" t="s">
        <v>5030</v>
      </c>
      <c r="B424" s="67" t="s">
        <v>5029</v>
      </c>
      <c r="C424" s="67">
        <v>0</v>
      </c>
      <c r="D424" s="67">
        <v>0</v>
      </c>
      <c r="E424" s="67">
        <v>83900.41</v>
      </c>
      <c r="F424" s="67">
        <v>25250</v>
      </c>
      <c r="H424" s="68">
        <v>40764</v>
      </c>
      <c r="I424" s="67" t="s">
        <v>148</v>
      </c>
    </row>
    <row r="425" spans="1:9" x14ac:dyDescent="0.25">
      <c r="B425" s="67" t="s">
        <v>5029</v>
      </c>
      <c r="C425" s="67">
        <v>0</v>
      </c>
      <c r="D425" s="67">
        <v>0</v>
      </c>
      <c r="E425" s="67">
        <v>83900.45</v>
      </c>
      <c r="H425" s="67" t="s">
        <v>146</v>
      </c>
    </row>
    <row r="427" spans="1:9" x14ac:dyDescent="0.25">
      <c r="A427" s="67" t="s">
        <v>5028</v>
      </c>
      <c r="B427" s="67" t="s">
        <v>5027</v>
      </c>
      <c r="C427" s="67">
        <v>0</v>
      </c>
      <c r="D427" s="67">
        <v>0</v>
      </c>
      <c r="E427" s="67">
        <v>83900.41</v>
      </c>
      <c r="F427" s="67">
        <v>25250</v>
      </c>
      <c r="H427" s="68">
        <v>40764</v>
      </c>
      <c r="I427" s="67" t="s">
        <v>148</v>
      </c>
    </row>
    <row r="428" spans="1:9" x14ac:dyDescent="0.25">
      <c r="B428" s="67" t="s">
        <v>5027</v>
      </c>
      <c r="C428" s="67">
        <v>0</v>
      </c>
      <c r="D428" s="67">
        <v>0</v>
      </c>
      <c r="E428" s="67">
        <v>83900.45</v>
      </c>
      <c r="H428" s="67" t="s">
        <v>146</v>
      </c>
    </row>
    <row r="430" spans="1:9" x14ac:dyDescent="0.25">
      <c r="A430" s="67" t="s">
        <v>5026</v>
      </c>
      <c r="B430" s="67" t="s">
        <v>5025</v>
      </c>
      <c r="C430" s="67">
        <v>0</v>
      </c>
      <c r="D430" s="67">
        <v>0</v>
      </c>
      <c r="E430" s="67">
        <v>83900.41</v>
      </c>
      <c r="F430" s="67">
        <v>25250</v>
      </c>
      <c r="H430" s="68">
        <v>40764</v>
      </c>
      <c r="I430" s="67" t="s">
        <v>148</v>
      </c>
    </row>
    <row r="431" spans="1:9" x14ac:dyDescent="0.25">
      <c r="B431" s="67" t="s">
        <v>5025</v>
      </c>
      <c r="C431" s="67">
        <v>0</v>
      </c>
      <c r="D431" s="67">
        <v>0</v>
      </c>
      <c r="E431" s="67">
        <v>83900.45</v>
      </c>
      <c r="H431" s="67" t="s">
        <v>146</v>
      </c>
    </row>
    <row r="432" spans="1:9" x14ac:dyDescent="0.25">
      <c r="A432" s="67" t="s">
        <v>233</v>
      </c>
    </row>
    <row r="434" spans="1:9" x14ac:dyDescent="0.25">
      <c r="A434" s="67" t="s">
        <v>232</v>
      </c>
      <c r="D434" s="67" t="s">
        <v>231</v>
      </c>
      <c r="H434" s="67" t="s">
        <v>148</v>
      </c>
      <c r="I434" s="67" t="s">
        <v>230</v>
      </c>
    </row>
    <row r="435" spans="1:9" x14ac:dyDescent="0.25">
      <c r="A435" s="67">
        <v>41.1</v>
      </c>
      <c r="C435" s="67" t="s">
        <v>215</v>
      </c>
      <c r="D435" s="67" t="s">
        <v>229</v>
      </c>
      <c r="H435" s="70">
        <v>44771</v>
      </c>
      <c r="I435" s="69">
        <v>0.56736111111111109</v>
      </c>
    </row>
    <row r="436" spans="1:9" x14ac:dyDescent="0.25">
      <c r="A436" s="67" t="s">
        <v>228</v>
      </c>
      <c r="C436" s="67" t="s">
        <v>227</v>
      </c>
      <c r="D436" s="67" t="s">
        <v>226</v>
      </c>
      <c r="E436" s="67">
        <v>589</v>
      </c>
      <c r="H436" s="67" t="s">
        <v>225</v>
      </c>
      <c r="I436" s="67">
        <v>10</v>
      </c>
    </row>
    <row r="437" spans="1:9" x14ac:dyDescent="0.25">
      <c r="A437" s="67" t="s">
        <v>884</v>
      </c>
    </row>
    <row r="438" spans="1:9" x14ac:dyDescent="0.25">
      <c r="A438" s="67" t="s">
        <v>223</v>
      </c>
      <c r="B438" s="67" t="s">
        <v>222</v>
      </c>
      <c r="C438" s="67" t="s">
        <v>221</v>
      </c>
      <c r="D438" s="67" t="s">
        <v>220</v>
      </c>
      <c r="E438" s="67" t="s">
        <v>219</v>
      </c>
      <c r="F438" s="67" t="s">
        <v>217</v>
      </c>
      <c r="G438" s="67" t="s">
        <v>218</v>
      </c>
      <c r="H438" s="67" t="s">
        <v>217</v>
      </c>
      <c r="I438" s="67" t="s">
        <v>216</v>
      </c>
    </row>
    <row r="439" spans="1:9" x14ac:dyDescent="0.25">
      <c r="A439" s="67" t="s">
        <v>215</v>
      </c>
      <c r="B439" s="67" t="s">
        <v>214</v>
      </c>
      <c r="C439" s="67" t="s">
        <v>213</v>
      </c>
      <c r="D439" s="67" t="s">
        <v>212</v>
      </c>
      <c r="E439" s="67" t="s">
        <v>211</v>
      </c>
      <c r="F439" s="67" t="s">
        <v>210</v>
      </c>
      <c r="G439" s="67" t="s">
        <v>209</v>
      </c>
      <c r="H439" s="67" t="s">
        <v>208</v>
      </c>
      <c r="I439" s="67" t="s">
        <v>207</v>
      </c>
    </row>
    <row r="440" spans="1:9" x14ac:dyDescent="0.25">
      <c r="A440" s="67" t="s">
        <v>206</v>
      </c>
      <c r="B440" s="67" t="s">
        <v>205</v>
      </c>
      <c r="C440" s="67" t="s">
        <v>204</v>
      </c>
      <c r="D440" s="67" t="s">
        <v>203</v>
      </c>
      <c r="E440" s="67" t="s">
        <v>202</v>
      </c>
      <c r="F440" s="67" t="s">
        <v>201</v>
      </c>
      <c r="G440" s="67" t="s">
        <v>200</v>
      </c>
      <c r="H440" s="67" t="s">
        <v>199</v>
      </c>
    </row>
    <row r="441" spans="1:9" x14ac:dyDescent="0.25">
      <c r="A441" s="67" t="s">
        <v>5024</v>
      </c>
      <c r="B441" s="67" t="s">
        <v>5023</v>
      </c>
      <c r="C441" s="67">
        <v>0</v>
      </c>
      <c r="D441" s="67">
        <v>0</v>
      </c>
      <c r="E441" s="67">
        <v>83900.41</v>
      </c>
      <c r="F441" s="67">
        <v>25250</v>
      </c>
      <c r="H441" s="68">
        <v>40764</v>
      </c>
      <c r="I441" s="67" t="s">
        <v>148</v>
      </c>
    </row>
    <row r="442" spans="1:9" x14ac:dyDescent="0.25">
      <c r="B442" s="67" t="s">
        <v>5023</v>
      </c>
      <c r="C442" s="67">
        <v>0</v>
      </c>
      <c r="D442" s="67">
        <v>0</v>
      </c>
      <c r="E442" s="67">
        <v>83900.45</v>
      </c>
      <c r="H442" s="67" t="s">
        <v>146</v>
      </c>
    </row>
    <row r="444" spans="1:9" x14ac:dyDescent="0.25">
      <c r="A444" s="67" t="s">
        <v>5022</v>
      </c>
      <c r="B444" s="67" t="s">
        <v>5021</v>
      </c>
      <c r="C444" s="67">
        <v>0</v>
      </c>
      <c r="D444" s="67">
        <v>0</v>
      </c>
      <c r="E444" s="67">
        <v>83900.41</v>
      </c>
      <c r="F444" s="67">
        <v>25250</v>
      </c>
      <c r="H444" s="68">
        <v>40764</v>
      </c>
      <c r="I444" s="67" t="s">
        <v>148</v>
      </c>
    </row>
    <row r="445" spans="1:9" x14ac:dyDescent="0.25">
      <c r="B445" s="67" t="s">
        <v>5021</v>
      </c>
      <c r="C445" s="67">
        <v>0</v>
      </c>
      <c r="D445" s="67">
        <v>0</v>
      </c>
      <c r="E445" s="67">
        <v>83900.45</v>
      </c>
      <c r="H445" s="67" t="s">
        <v>146</v>
      </c>
    </row>
    <row r="447" spans="1:9" x14ac:dyDescent="0.25">
      <c r="A447" s="67" t="s">
        <v>5020</v>
      </c>
      <c r="B447" s="67" t="s">
        <v>5019</v>
      </c>
      <c r="C447" s="67">
        <v>0</v>
      </c>
      <c r="D447" s="67">
        <v>0</v>
      </c>
      <c r="E447" s="67">
        <v>83900.41</v>
      </c>
      <c r="F447" s="67">
        <v>25250</v>
      </c>
      <c r="H447" s="68">
        <v>40764</v>
      </c>
      <c r="I447" s="67" t="s">
        <v>148</v>
      </c>
    </row>
    <row r="448" spans="1:9" x14ac:dyDescent="0.25">
      <c r="B448" s="67" t="s">
        <v>5019</v>
      </c>
      <c r="C448" s="67">
        <v>0</v>
      </c>
      <c r="D448" s="67">
        <v>0</v>
      </c>
      <c r="E448" s="67">
        <v>83900.45</v>
      </c>
      <c r="H448" s="67" t="s">
        <v>146</v>
      </c>
    </row>
    <row r="450" spans="1:9" x14ac:dyDescent="0.25">
      <c r="A450" s="67" t="s">
        <v>5018</v>
      </c>
      <c r="B450" s="67" t="s">
        <v>5017</v>
      </c>
      <c r="C450" s="67">
        <v>0</v>
      </c>
      <c r="D450" s="67">
        <v>0</v>
      </c>
      <c r="E450" s="67">
        <v>83900.41</v>
      </c>
      <c r="F450" s="67">
        <v>25250</v>
      </c>
      <c r="H450" s="68">
        <v>40764</v>
      </c>
      <c r="I450" s="67" t="s">
        <v>148</v>
      </c>
    </row>
    <row r="451" spans="1:9" x14ac:dyDescent="0.25">
      <c r="B451" s="67" t="s">
        <v>5017</v>
      </c>
      <c r="C451" s="67">
        <v>0</v>
      </c>
      <c r="D451" s="67">
        <v>0</v>
      </c>
      <c r="E451" s="67">
        <v>83900.45</v>
      </c>
      <c r="H451" s="67" t="s">
        <v>146</v>
      </c>
    </row>
    <row r="453" spans="1:9" x14ac:dyDescent="0.25">
      <c r="A453" s="67" t="s">
        <v>5016</v>
      </c>
      <c r="B453" s="67" t="s">
        <v>5015</v>
      </c>
      <c r="C453" s="67">
        <v>0</v>
      </c>
      <c r="D453" s="67">
        <v>0</v>
      </c>
      <c r="E453" s="67">
        <v>83900.41</v>
      </c>
      <c r="F453" s="67">
        <v>25250</v>
      </c>
      <c r="H453" s="68">
        <v>40764</v>
      </c>
      <c r="I453" s="67" t="s">
        <v>148</v>
      </c>
    </row>
    <row r="454" spans="1:9" x14ac:dyDescent="0.25">
      <c r="B454" s="67" t="s">
        <v>5015</v>
      </c>
      <c r="C454" s="67">
        <v>0</v>
      </c>
      <c r="D454" s="67">
        <v>0</v>
      </c>
      <c r="E454" s="67">
        <v>83900.45</v>
      </c>
      <c r="H454" s="67" t="s">
        <v>146</v>
      </c>
    </row>
    <row r="456" spans="1:9" x14ac:dyDescent="0.25">
      <c r="A456" s="67" t="s">
        <v>5014</v>
      </c>
      <c r="B456" s="67" t="s">
        <v>5013</v>
      </c>
      <c r="C456" s="67">
        <v>0</v>
      </c>
      <c r="D456" s="67">
        <v>0</v>
      </c>
      <c r="E456" s="67">
        <v>83900.41</v>
      </c>
      <c r="F456" s="67">
        <v>25250</v>
      </c>
      <c r="H456" s="68">
        <v>40764</v>
      </c>
      <c r="I456" s="67" t="s">
        <v>148</v>
      </c>
    </row>
    <row r="457" spans="1:9" x14ac:dyDescent="0.25">
      <c r="B457" s="67" t="s">
        <v>5013</v>
      </c>
      <c r="C457" s="67">
        <v>0</v>
      </c>
      <c r="D457" s="67">
        <v>0</v>
      </c>
      <c r="E457" s="67">
        <v>83900.45</v>
      </c>
      <c r="H457" s="67" t="s">
        <v>146</v>
      </c>
    </row>
    <row r="459" spans="1:9" x14ac:dyDescent="0.25">
      <c r="A459" s="67" t="s">
        <v>5012</v>
      </c>
      <c r="B459" s="67" t="s">
        <v>5011</v>
      </c>
      <c r="C459" s="67">
        <v>0</v>
      </c>
      <c r="D459" s="67">
        <v>0</v>
      </c>
      <c r="E459" s="67">
        <v>83900.41</v>
      </c>
      <c r="F459" s="67">
        <v>25250</v>
      </c>
      <c r="H459" s="68">
        <v>40764</v>
      </c>
      <c r="I459" s="67" t="s">
        <v>148</v>
      </c>
    </row>
    <row r="460" spans="1:9" x14ac:dyDescent="0.25">
      <c r="B460" s="67" t="s">
        <v>5011</v>
      </c>
      <c r="C460" s="67">
        <v>0</v>
      </c>
      <c r="D460" s="67">
        <v>0</v>
      </c>
      <c r="E460" s="67">
        <v>83900.45</v>
      </c>
      <c r="H460" s="67" t="s">
        <v>146</v>
      </c>
    </row>
    <row r="462" spans="1:9" x14ac:dyDescent="0.25">
      <c r="A462" s="67" t="s">
        <v>5010</v>
      </c>
      <c r="B462" s="67" t="s">
        <v>5009</v>
      </c>
      <c r="C462" s="67">
        <v>0</v>
      </c>
      <c r="D462" s="67">
        <v>0</v>
      </c>
      <c r="E462" s="67">
        <v>83900.41</v>
      </c>
      <c r="F462" s="67">
        <v>25250</v>
      </c>
      <c r="H462" s="68">
        <v>40764</v>
      </c>
      <c r="I462" s="67" t="s">
        <v>148</v>
      </c>
    </row>
    <row r="463" spans="1:9" x14ac:dyDescent="0.25">
      <c r="B463" s="67" t="s">
        <v>5009</v>
      </c>
      <c r="C463" s="67">
        <v>0</v>
      </c>
      <c r="D463" s="67">
        <v>0</v>
      </c>
      <c r="E463" s="67">
        <v>83900.45</v>
      </c>
      <c r="H463" s="67" t="s">
        <v>146</v>
      </c>
    </row>
    <row r="465" spans="1:9" x14ac:dyDescent="0.25">
      <c r="A465" s="67" t="s">
        <v>5008</v>
      </c>
      <c r="B465" s="67" t="s">
        <v>5007</v>
      </c>
      <c r="C465" s="67">
        <v>0</v>
      </c>
      <c r="D465" s="67">
        <v>0</v>
      </c>
      <c r="E465" s="67">
        <v>83900.41</v>
      </c>
      <c r="F465" s="67">
        <v>25250</v>
      </c>
      <c r="H465" s="68">
        <v>40764</v>
      </c>
      <c r="I465" s="67" t="s">
        <v>148</v>
      </c>
    </row>
    <row r="466" spans="1:9" x14ac:dyDescent="0.25">
      <c r="B466" s="67" t="s">
        <v>5007</v>
      </c>
      <c r="C466" s="67">
        <v>0</v>
      </c>
      <c r="D466" s="67">
        <v>0</v>
      </c>
      <c r="E466" s="67">
        <v>83900.45</v>
      </c>
      <c r="H466" s="67" t="s">
        <v>146</v>
      </c>
    </row>
    <row r="468" spans="1:9" x14ac:dyDescent="0.25">
      <c r="A468" s="67" t="s">
        <v>5006</v>
      </c>
      <c r="B468" s="67" t="s">
        <v>5005</v>
      </c>
      <c r="C468" s="67">
        <v>0</v>
      </c>
      <c r="D468" s="67">
        <v>0</v>
      </c>
      <c r="E468" s="67">
        <v>83900.41</v>
      </c>
      <c r="F468" s="67">
        <v>25250</v>
      </c>
      <c r="H468" s="68">
        <v>40764</v>
      </c>
      <c r="I468" s="67" t="s">
        <v>148</v>
      </c>
    </row>
    <row r="469" spans="1:9" x14ac:dyDescent="0.25">
      <c r="B469" s="67" t="s">
        <v>5005</v>
      </c>
      <c r="C469" s="67">
        <v>0</v>
      </c>
      <c r="D469" s="67">
        <v>0</v>
      </c>
      <c r="E469" s="67">
        <v>83900.45</v>
      </c>
      <c r="H469" s="67" t="s">
        <v>146</v>
      </c>
    </row>
    <row r="471" spans="1:9" x14ac:dyDescent="0.25">
      <c r="A471" s="67" t="s">
        <v>5004</v>
      </c>
      <c r="B471" s="67" t="s">
        <v>5003</v>
      </c>
      <c r="C471" s="67">
        <v>0</v>
      </c>
      <c r="D471" s="67">
        <v>0</v>
      </c>
      <c r="E471" s="67">
        <v>83900.41</v>
      </c>
      <c r="F471" s="67">
        <v>25250</v>
      </c>
      <c r="H471" s="68">
        <v>40764</v>
      </c>
      <c r="I471" s="67" t="s">
        <v>148</v>
      </c>
    </row>
    <row r="472" spans="1:9" x14ac:dyDescent="0.25">
      <c r="B472" s="67" t="s">
        <v>5003</v>
      </c>
      <c r="C472" s="67">
        <v>0</v>
      </c>
      <c r="D472" s="67">
        <v>0</v>
      </c>
      <c r="E472" s="67">
        <v>83900.45</v>
      </c>
      <c r="H472" s="67" t="s">
        <v>146</v>
      </c>
    </row>
    <row r="474" spans="1:9" x14ac:dyDescent="0.25">
      <c r="A474" s="67" t="s">
        <v>5002</v>
      </c>
      <c r="B474" s="67" t="s">
        <v>5001</v>
      </c>
      <c r="C474" s="67">
        <v>0</v>
      </c>
      <c r="D474" s="67">
        <v>0</v>
      </c>
      <c r="E474" s="67">
        <v>83900.41</v>
      </c>
      <c r="F474" s="67">
        <v>25250</v>
      </c>
      <c r="H474" s="68">
        <v>40764</v>
      </c>
      <c r="I474" s="67" t="s">
        <v>148</v>
      </c>
    </row>
    <row r="475" spans="1:9" x14ac:dyDescent="0.25">
      <c r="B475" s="67" t="s">
        <v>5001</v>
      </c>
      <c r="C475" s="67">
        <v>0</v>
      </c>
      <c r="D475" s="67">
        <v>0</v>
      </c>
      <c r="E475" s="67">
        <v>83900.45</v>
      </c>
      <c r="H475" s="67" t="s">
        <v>146</v>
      </c>
    </row>
    <row r="477" spans="1:9" x14ac:dyDescent="0.25">
      <c r="A477" s="67" t="s">
        <v>5000</v>
      </c>
      <c r="B477" s="67" t="s">
        <v>4999</v>
      </c>
      <c r="C477" s="67">
        <v>0</v>
      </c>
      <c r="D477" s="67">
        <v>0</v>
      </c>
      <c r="E477" s="67">
        <v>83900.41</v>
      </c>
      <c r="F477" s="67">
        <v>25250</v>
      </c>
      <c r="H477" s="68">
        <v>40764</v>
      </c>
      <c r="I477" s="67" t="s">
        <v>148</v>
      </c>
    </row>
    <row r="478" spans="1:9" x14ac:dyDescent="0.25">
      <c r="B478" s="67" t="s">
        <v>4999</v>
      </c>
      <c r="C478" s="67">
        <v>0</v>
      </c>
      <c r="D478" s="67">
        <v>0</v>
      </c>
      <c r="E478" s="67">
        <v>83900.45</v>
      </c>
      <c r="H478" s="67" t="s">
        <v>146</v>
      </c>
    </row>
    <row r="480" spans="1:9" x14ac:dyDescent="0.25">
      <c r="A480" s="67" t="s">
        <v>4998</v>
      </c>
      <c r="B480" s="67" t="s">
        <v>4997</v>
      </c>
      <c r="C480" s="67">
        <v>0</v>
      </c>
      <c r="D480" s="67">
        <v>0</v>
      </c>
      <c r="E480" s="67">
        <v>83900.41</v>
      </c>
      <c r="F480" s="67">
        <v>25250</v>
      </c>
      <c r="H480" s="68">
        <v>40764</v>
      </c>
      <c r="I480" s="67" t="s">
        <v>148</v>
      </c>
    </row>
    <row r="481" spans="1:9" x14ac:dyDescent="0.25">
      <c r="B481" s="67" t="s">
        <v>4997</v>
      </c>
      <c r="C481" s="67">
        <v>0</v>
      </c>
      <c r="D481" s="67">
        <v>0</v>
      </c>
      <c r="E481" s="67">
        <v>83900.45</v>
      </c>
      <c r="H481" s="67" t="s">
        <v>146</v>
      </c>
    </row>
    <row r="483" spans="1:9" x14ac:dyDescent="0.25">
      <c r="A483" s="67" t="s">
        <v>4996</v>
      </c>
      <c r="B483" s="67" t="s">
        <v>4995</v>
      </c>
      <c r="C483" s="67">
        <v>0</v>
      </c>
      <c r="D483" s="67">
        <v>0</v>
      </c>
      <c r="E483" s="67">
        <v>83900.41</v>
      </c>
      <c r="F483" s="67">
        <v>25250</v>
      </c>
      <c r="H483" s="68">
        <v>40764</v>
      </c>
      <c r="I483" s="67" t="s">
        <v>148</v>
      </c>
    </row>
    <row r="484" spans="1:9" x14ac:dyDescent="0.25">
      <c r="B484" s="67" t="s">
        <v>4995</v>
      </c>
      <c r="C484" s="67">
        <v>0</v>
      </c>
      <c r="D484" s="67">
        <v>0</v>
      </c>
      <c r="E484" s="67">
        <v>83900.45</v>
      </c>
      <c r="H484" s="67" t="s">
        <v>146</v>
      </c>
    </row>
    <row r="486" spans="1:9" x14ac:dyDescent="0.25">
      <c r="A486" s="67" t="s">
        <v>4994</v>
      </c>
      <c r="B486" s="67" t="s">
        <v>4993</v>
      </c>
      <c r="C486" s="67">
        <v>0</v>
      </c>
      <c r="D486" s="67">
        <v>0</v>
      </c>
      <c r="E486" s="67">
        <v>83900.41</v>
      </c>
      <c r="F486" s="67">
        <v>25250</v>
      </c>
      <c r="H486" s="68">
        <v>40764</v>
      </c>
      <c r="I486" s="67" t="s">
        <v>148</v>
      </c>
    </row>
    <row r="487" spans="1:9" x14ac:dyDescent="0.25">
      <c r="B487" s="67" t="s">
        <v>4993</v>
      </c>
      <c r="C487" s="67">
        <v>0</v>
      </c>
      <c r="D487" s="67">
        <v>0</v>
      </c>
      <c r="E487" s="67">
        <v>83900.45</v>
      </c>
      <c r="H487" s="67" t="s">
        <v>146</v>
      </c>
    </row>
    <row r="489" spans="1:9" x14ac:dyDescent="0.25">
      <c r="A489" s="67" t="s">
        <v>4992</v>
      </c>
      <c r="B489" s="67" t="s">
        <v>4991</v>
      </c>
      <c r="C489" s="67">
        <v>0</v>
      </c>
      <c r="D489" s="67">
        <v>0</v>
      </c>
      <c r="E489" s="67">
        <v>83900.41</v>
      </c>
      <c r="F489" s="67">
        <v>25250</v>
      </c>
      <c r="H489" s="68">
        <v>40764</v>
      </c>
      <c r="I489" s="67" t="s">
        <v>148</v>
      </c>
    </row>
    <row r="490" spans="1:9" x14ac:dyDescent="0.25">
      <c r="B490" s="67" t="s">
        <v>4991</v>
      </c>
      <c r="C490" s="67">
        <v>0</v>
      </c>
      <c r="D490" s="67">
        <v>0</v>
      </c>
      <c r="E490" s="67">
        <v>83900.45</v>
      </c>
      <c r="H490" s="67" t="s">
        <v>146</v>
      </c>
    </row>
    <row r="491" spans="1:9" x14ac:dyDescent="0.25">
      <c r="A491" s="67" t="s">
        <v>233</v>
      </c>
    </row>
    <row r="493" spans="1:9" x14ac:dyDescent="0.25">
      <c r="A493" s="67" t="s">
        <v>232</v>
      </c>
      <c r="D493" s="67" t="s">
        <v>231</v>
      </c>
      <c r="H493" s="67" t="s">
        <v>148</v>
      </c>
      <c r="I493" s="67" t="s">
        <v>230</v>
      </c>
    </row>
    <row r="494" spans="1:9" x14ac:dyDescent="0.25">
      <c r="A494" s="67">
        <v>41.1</v>
      </c>
      <c r="C494" s="67" t="s">
        <v>215</v>
      </c>
      <c r="D494" s="67" t="s">
        <v>229</v>
      </c>
      <c r="H494" s="70">
        <v>44771</v>
      </c>
      <c r="I494" s="69">
        <v>0.56736111111111109</v>
      </c>
    </row>
    <row r="495" spans="1:9" x14ac:dyDescent="0.25">
      <c r="A495" s="67" t="s">
        <v>228</v>
      </c>
      <c r="C495" s="67" t="s">
        <v>227</v>
      </c>
      <c r="D495" s="67" t="s">
        <v>226</v>
      </c>
      <c r="E495" s="67">
        <v>589</v>
      </c>
      <c r="H495" s="67" t="s">
        <v>225</v>
      </c>
      <c r="I495" s="67">
        <v>11</v>
      </c>
    </row>
    <row r="496" spans="1:9" x14ac:dyDescent="0.25">
      <c r="A496" s="67" t="s">
        <v>884</v>
      </c>
    </row>
    <row r="497" spans="1:9" x14ac:dyDescent="0.25">
      <c r="A497" s="67" t="s">
        <v>223</v>
      </c>
      <c r="B497" s="67" t="s">
        <v>222</v>
      </c>
      <c r="C497" s="67" t="s">
        <v>221</v>
      </c>
      <c r="D497" s="67" t="s">
        <v>220</v>
      </c>
      <c r="E497" s="67" t="s">
        <v>219</v>
      </c>
      <c r="F497" s="67" t="s">
        <v>217</v>
      </c>
      <c r="G497" s="67" t="s">
        <v>218</v>
      </c>
      <c r="H497" s="67" t="s">
        <v>217</v>
      </c>
      <c r="I497" s="67" t="s">
        <v>216</v>
      </c>
    </row>
    <row r="498" spans="1:9" x14ac:dyDescent="0.25">
      <c r="A498" s="67" t="s">
        <v>215</v>
      </c>
      <c r="B498" s="67" t="s">
        <v>214</v>
      </c>
      <c r="C498" s="67" t="s">
        <v>213</v>
      </c>
      <c r="D498" s="67" t="s">
        <v>212</v>
      </c>
      <c r="E498" s="67" t="s">
        <v>211</v>
      </c>
      <c r="F498" s="67" t="s">
        <v>210</v>
      </c>
      <c r="G498" s="67" t="s">
        <v>209</v>
      </c>
      <c r="H498" s="67" t="s">
        <v>208</v>
      </c>
      <c r="I498" s="67" t="s">
        <v>207</v>
      </c>
    </row>
    <row r="499" spans="1:9" x14ac:dyDescent="0.25">
      <c r="A499" s="67" t="s">
        <v>206</v>
      </c>
      <c r="B499" s="67" t="s">
        <v>205</v>
      </c>
      <c r="C499" s="67" t="s">
        <v>204</v>
      </c>
      <c r="D499" s="67" t="s">
        <v>203</v>
      </c>
      <c r="E499" s="67" t="s">
        <v>202</v>
      </c>
      <c r="F499" s="67" t="s">
        <v>201</v>
      </c>
      <c r="G499" s="67" t="s">
        <v>200</v>
      </c>
      <c r="H499" s="67" t="s">
        <v>199</v>
      </c>
    </row>
    <row r="500" spans="1:9" x14ac:dyDescent="0.25">
      <c r="A500" s="67" t="s">
        <v>4990</v>
      </c>
      <c r="B500" s="67" t="s">
        <v>4989</v>
      </c>
      <c r="C500" s="67">
        <v>0</v>
      </c>
      <c r="D500" s="67">
        <v>0</v>
      </c>
      <c r="E500" s="67">
        <v>83900.41</v>
      </c>
      <c r="F500" s="67">
        <v>25250</v>
      </c>
      <c r="H500" s="68">
        <v>40764</v>
      </c>
      <c r="I500" s="67" t="s">
        <v>148</v>
      </c>
    </row>
    <row r="501" spans="1:9" x14ac:dyDescent="0.25">
      <c r="B501" s="67" t="s">
        <v>4989</v>
      </c>
      <c r="C501" s="67">
        <v>0</v>
      </c>
      <c r="D501" s="67">
        <v>0</v>
      </c>
      <c r="E501" s="67">
        <v>83900.45</v>
      </c>
      <c r="H501" s="67" t="s">
        <v>146</v>
      </c>
    </row>
    <row r="503" spans="1:9" x14ac:dyDescent="0.25">
      <c r="A503" s="67" t="s">
        <v>4988</v>
      </c>
      <c r="B503" s="67" t="s">
        <v>4987</v>
      </c>
      <c r="C503" s="67">
        <v>0</v>
      </c>
      <c r="D503" s="67">
        <v>0</v>
      </c>
      <c r="E503" s="67">
        <v>83900.41</v>
      </c>
      <c r="F503" s="67">
        <v>25250</v>
      </c>
      <c r="H503" s="68">
        <v>40764</v>
      </c>
      <c r="I503" s="67" t="s">
        <v>148</v>
      </c>
    </row>
    <row r="504" spans="1:9" x14ac:dyDescent="0.25">
      <c r="B504" s="67" t="s">
        <v>4987</v>
      </c>
      <c r="C504" s="67">
        <v>0</v>
      </c>
      <c r="D504" s="67">
        <v>0</v>
      </c>
      <c r="E504" s="67">
        <v>83900.45</v>
      </c>
      <c r="H504" s="67" t="s">
        <v>146</v>
      </c>
    </row>
    <row r="506" spans="1:9" x14ac:dyDescent="0.25">
      <c r="A506" s="67" t="s">
        <v>4986</v>
      </c>
      <c r="B506" s="67" t="s">
        <v>4985</v>
      </c>
      <c r="C506" s="67">
        <v>0</v>
      </c>
      <c r="D506" s="67">
        <v>0</v>
      </c>
      <c r="E506" s="67">
        <v>83900.41</v>
      </c>
      <c r="F506" s="67">
        <v>25250</v>
      </c>
      <c r="H506" s="68">
        <v>40764</v>
      </c>
      <c r="I506" s="67" t="s">
        <v>148</v>
      </c>
    </row>
    <row r="507" spans="1:9" x14ac:dyDescent="0.25">
      <c r="B507" s="67" t="s">
        <v>4985</v>
      </c>
      <c r="C507" s="67">
        <v>0</v>
      </c>
      <c r="D507" s="67">
        <v>0</v>
      </c>
      <c r="E507" s="67">
        <v>83900.45</v>
      </c>
      <c r="H507" s="67" t="s">
        <v>146</v>
      </c>
    </row>
    <row r="509" spans="1:9" x14ac:dyDescent="0.25">
      <c r="A509" s="67" t="s">
        <v>4984</v>
      </c>
      <c r="B509" s="67" t="s">
        <v>4983</v>
      </c>
      <c r="C509" s="67">
        <v>0</v>
      </c>
      <c r="D509" s="67">
        <v>0</v>
      </c>
      <c r="E509" s="67">
        <v>83900.41</v>
      </c>
      <c r="F509" s="67">
        <v>25250</v>
      </c>
      <c r="H509" s="68">
        <v>40764</v>
      </c>
      <c r="I509" s="67" t="s">
        <v>148</v>
      </c>
    </row>
    <row r="510" spans="1:9" x14ac:dyDescent="0.25">
      <c r="B510" s="67" t="s">
        <v>4983</v>
      </c>
      <c r="C510" s="67">
        <v>0</v>
      </c>
      <c r="D510" s="67">
        <v>0</v>
      </c>
      <c r="E510" s="67">
        <v>83900.45</v>
      </c>
      <c r="H510" s="67" t="s">
        <v>146</v>
      </c>
    </row>
    <row r="512" spans="1:9" x14ac:dyDescent="0.25">
      <c r="A512" s="67" t="s">
        <v>4982</v>
      </c>
      <c r="B512" s="67" t="s">
        <v>4981</v>
      </c>
      <c r="C512" s="67">
        <v>0</v>
      </c>
      <c r="D512" s="67">
        <v>0</v>
      </c>
      <c r="E512" s="67">
        <v>83900.41</v>
      </c>
      <c r="F512" s="67">
        <v>25250</v>
      </c>
      <c r="H512" s="68">
        <v>40764</v>
      </c>
      <c r="I512" s="67" t="s">
        <v>148</v>
      </c>
    </row>
    <row r="513" spans="1:9" x14ac:dyDescent="0.25">
      <c r="B513" s="67" t="s">
        <v>4981</v>
      </c>
      <c r="C513" s="67">
        <v>0</v>
      </c>
      <c r="D513" s="67">
        <v>0</v>
      </c>
      <c r="E513" s="67">
        <v>83900.45</v>
      </c>
      <c r="H513" s="67" t="s">
        <v>146</v>
      </c>
    </row>
    <row r="515" spans="1:9" x14ac:dyDescent="0.25">
      <c r="A515" s="67" t="s">
        <v>4980</v>
      </c>
      <c r="B515" s="67" t="s">
        <v>4979</v>
      </c>
      <c r="C515" s="67">
        <v>0</v>
      </c>
      <c r="D515" s="67">
        <v>0</v>
      </c>
      <c r="E515" s="67">
        <v>83900.41</v>
      </c>
      <c r="F515" s="67">
        <v>25250</v>
      </c>
      <c r="H515" s="68">
        <v>40764</v>
      </c>
      <c r="I515" s="67" t="s">
        <v>148</v>
      </c>
    </row>
    <row r="516" spans="1:9" x14ac:dyDescent="0.25">
      <c r="B516" s="67" t="s">
        <v>4979</v>
      </c>
      <c r="C516" s="67">
        <v>0</v>
      </c>
      <c r="D516" s="67">
        <v>0</v>
      </c>
      <c r="E516" s="67">
        <v>83900.45</v>
      </c>
      <c r="H516" s="67" t="s">
        <v>146</v>
      </c>
    </row>
    <row r="518" spans="1:9" x14ac:dyDescent="0.25">
      <c r="A518" s="67" t="s">
        <v>4978</v>
      </c>
      <c r="B518" s="67" t="s">
        <v>4977</v>
      </c>
      <c r="C518" s="67">
        <v>0</v>
      </c>
      <c r="D518" s="67">
        <v>0</v>
      </c>
      <c r="E518" s="67">
        <v>83900.41</v>
      </c>
      <c r="F518" s="67">
        <v>25250</v>
      </c>
      <c r="H518" s="68">
        <v>40764</v>
      </c>
      <c r="I518" s="67" t="s">
        <v>148</v>
      </c>
    </row>
    <row r="519" spans="1:9" x14ac:dyDescent="0.25">
      <c r="B519" s="67" t="s">
        <v>4977</v>
      </c>
      <c r="C519" s="67">
        <v>0</v>
      </c>
      <c r="D519" s="67">
        <v>0</v>
      </c>
      <c r="E519" s="67">
        <v>83900.45</v>
      </c>
      <c r="H519" s="67" t="s">
        <v>146</v>
      </c>
    </row>
    <row r="521" spans="1:9" x14ac:dyDescent="0.25">
      <c r="A521" s="67" t="s">
        <v>4976</v>
      </c>
      <c r="B521" s="67" t="s">
        <v>4975</v>
      </c>
      <c r="C521" s="67">
        <v>0</v>
      </c>
      <c r="D521" s="67">
        <v>0</v>
      </c>
      <c r="E521" s="67">
        <v>83900.41</v>
      </c>
      <c r="F521" s="67">
        <v>25250</v>
      </c>
      <c r="H521" s="68">
        <v>40764</v>
      </c>
      <c r="I521" s="67" t="s">
        <v>148</v>
      </c>
    </row>
    <row r="522" spans="1:9" x14ac:dyDescent="0.25">
      <c r="B522" s="67" t="s">
        <v>4975</v>
      </c>
      <c r="C522" s="67">
        <v>0</v>
      </c>
      <c r="D522" s="67">
        <v>0</v>
      </c>
      <c r="E522" s="67">
        <v>83900.45</v>
      </c>
      <c r="H522" s="67" t="s">
        <v>146</v>
      </c>
    </row>
    <row r="524" spans="1:9" x14ac:dyDescent="0.25">
      <c r="A524" s="67" t="s">
        <v>4974</v>
      </c>
      <c r="B524" s="67" t="s">
        <v>4973</v>
      </c>
      <c r="C524" s="67">
        <v>0</v>
      </c>
      <c r="D524" s="67">
        <v>0</v>
      </c>
      <c r="E524" s="67">
        <v>83900.41</v>
      </c>
      <c r="F524" s="67">
        <v>25250</v>
      </c>
      <c r="H524" s="68">
        <v>40764</v>
      </c>
      <c r="I524" s="67" t="s">
        <v>148</v>
      </c>
    </row>
    <row r="525" spans="1:9" x14ac:dyDescent="0.25">
      <c r="B525" s="67" t="s">
        <v>4973</v>
      </c>
      <c r="C525" s="67">
        <v>0</v>
      </c>
      <c r="D525" s="67">
        <v>0</v>
      </c>
      <c r="E525" s="67">
        <v>83900.45</v>
      </c>
      <c r="H525" s="67" t="s">
        <v>146</v>
      </c>
    </row>
    <row r="527" spans="1:9" x14ac:dyDescent="0.25">
      <c r="A527" s="67" t="s">
        <v>4972</v>
      </c>
      <c r="B527" s="67" t="s">
        <v>4971</v>
      </c>
      <c r="C527" s="67">
        <v>0</v>
      </c>
      <c r="D527" s="67">
        <v>0</v>
      </c>
      <c r="E527" s="67">
        <v>83900.41</v>
      </c>
      <c r="F527" s="67">
        <v>25250</v>
      </c>
      <c r="H527" s="68">
        <v>40764</v>
      </c>
      <c r="I527" s="67" t="s">
        <v>148</v>
      </c>
    </row>
    <row r="528" spans="1:9" x14ac:dyDescent="0.25">
      <c r="B528" s="67" t="s">
        <v>4971</v>
      </c>
      <c r="C528" s="67">
        <v>0</v>
      </c>
      <c r="D528" s="67">
        <v>0</v>
      </c>
      <c r="E528" s="67">
        <v>83900.45</v>
      </c>
      <c r="H528" s="67" t="s">
        <v>146</v>
      </c>
    </row>
    <row r="530" spans="1:9" x14ac:dyDescent="0.25">
      <c r="A530" s="67" t="s">
        <v>4970</v>
      </c>
      <c r="B530" s="67" t="s">
        <v>4969</v>
      </c>
      <c r="C530" s="67">
        <v>0</v>
      </c>
      <c r="D530" s="67">
        <v>0</v>
      </c>
      <c r="E530" s="67">
        <v>83900.41</v>
      </c>
      <c r="F530" s="67">
        <v>25250</v>
      </c>
      <c r="H530" s="68">
        <v>40764</v>
      </c>
      <c r="I530" s="67" t="s">
        <v>148</v>
      </c>
    </row>
    <row r="531" spans="1:9" x14ac:dyDescent="0.25">
      <c r="B531" s="67" t="s">
        <v>4969</v>
      </c>
      <c r="C531" s="67">
        <v>0</v>
      </c>
      <c r="D531" s="67">
        <v>0</v>
      </c>
      <c r="E531" s="67">
        <v>83900.45</v>
      </c>
      <c r="H531" s="67" t="s">
        <v>146</v>
      </c>
    </row>
    <row r="533" spans="1:9" x14ac:dyDescent="0.25">
      <c r="A533" s="67" t="s">
        <v>4968</v>
      </c>
      <c r="B533" s="67" t="s">
        <v>4967</v>
      </c>
      <c r="C533" s="67">
        <v>0</v>
      </c>
      <c r="D533" s="67">
        <v>0</v>
      </c>
      <c r="E533" s="67">
        <v>83900.41</v>
      </c>
      <c r="F533" s="67">
        <v>25250</v>
      </c>
      <c r="H533" s="68">
        <v>40764</v>
      </c>
      <c r="I533" s="67" t="s">
        <v>148</v>
      </c>
    </row>
    <row r="534" spans="1:9" x14ac:dyDescent="0.25">
      <c r="B534" s="67" t="s">
        <v>4967</v>
      </c>
      <c r="C534" s="67">
        <v>0</v>
      </c>
      <c r="D534" s="67">
        <v>0</v>
      </c>
      <c r="E534" s="67">
        <v>83900.45</v>
      </c>
      <c r="H534" s="67" t="s">
        <v>146</v>
      </c>
    </row>
    <row r="536" spans="1:9" x14ac:dyDescent="0.25">
      <c r="A536" s="67" t="s">
        <v>4966</v>
      </c>
      <c r="B536" s="67" t="s">
        <v>4965</v>
      </c>
      <c r="C536" s="67">
        <v>0</v>
      </c>
      <c r="D536" s="67">
        <v>0</v>
      </c>
      <c r="E536" s="67">
        <v>83900.41</v>
      </c>
      <c r="F536" s="67">
        <v>25250</v>
      </c>
      <c r="H536" s="68">
        <v>40764</v>
      </c>
      <c r="I536" s="67" t="s">
        <v>148</v>
      </c>
    </row>
    <row r="537" spans="1:9" x14ac:dyDescent="0.25">
      <c r="B537" s="67" t="s">
        <v>4965</v>
      </c>
      <c r="C537" s="67">
        <v>0</v>
      </c>
      <c r="D537" s="67">
        <v>0</v>
      </c>
      <c r="E537" s="67">
        <v>83900.45</v>
      </c>
      <c r="H537" s="67" t="s">
        <v>146</v>
      </c>
    </row>
    <row r="539" spans="1:9" x14ac:dyDescent="0.25">
      <c r="A539" s="67" t="s">
        <v>4964</v>
      </c>
      <c r="B539" s="67" t="s">
        <v>4963</v>
      </c>
      <c r="C539" s="67">
        <v>0</v>
      </c>
      <c r="D539" s="67">
        <v>0</v>
      </c>
      <c r="E539" s="67">
        <v>83900.41</v>
      </c>
      <c r="F539" s="67">
        <v>25250</v>
      </c>
      <c r="H539" s="68">
        <v>40764</v>
      </c>
      <c r="I539" s="67" t="s">
        <v>148</v>
      </c>
    </row>
    <row r="540" spans="1:9" x14ac:dyDescent="0.25">
      <c r="B540" s="67" t="s">
        <v>4963</v>
      </c>
      <c r="C540" s="67">
        <v>0</v>
      </c>
      <c r="D540" s="67">
        <v>0</v>
      </c>
      <c r="E540" s="67">
        <v>83900.45</v>
      </c>
      <c r="H540" s="67" t="s">
        <v>146</v>
      </c>
    </row>
    <row r="542" spans="1:9" x14ac:dyDescent="0.25">
      <c r="A542" s="67" t="s">
        <v>4962</v>
      </c>
      <c r="B542" s="67" t="s">
        <v>4961</v>
      </c>
      <c r="C542" s="67">
        <v>0</v>
      </c>
      <c r="D542" s="67">
        <v>0</v>
      </c>
      <c r="E542" s="67">
        <v>83900.41</v>
      </c>
      <c r="F542" s="67">
        <v>25250</v>
      </c>
      <c r="H542" s="68">
        <v>40764</v>
      </c>
      <c r="I542" s="67" t="s">
        <v>148</v>
      </c>
    </row>
    <row r="543" spans="1:9" x14ac:dyDescent="0.25">
      <c r="B543" s="67" t="s">
        <v>4961</v>
      </c>
      <c r="C543" s="67">
        <v>0</v>
      </c>
      <c r="D543" s="67">
        <v>0</v>
      </c>
      <c r="E543" s="67">
        <v>83900.45</v>
      </c>
      <c r="H543" s="67" t="s">
        <v>146</v>
      </c>
    </row>
    <row r="545" spans="1:9" x14ac:dyDescent="0.25">
      <c r="A545" s="67" t="s">
        <v>4960</v>
      </c>
      <c r="B545" s="67" t="s">
        <v>4959</v>
      </c>
      <c r="C545" s="67">
        <v>0</v>
      </c>
      <c r="D545" s="67">
        <v>0</v>
      </c>
      <c r="E545" s="67">
        <v>83900.41</v>
      </c>
      <c r="F545" s="67">
        <v>25250</v>
      </c>
      <c r="H545" s="68">
        <v>40764</v>
      </c>
      <c r="I545" s="67" t="s">
        <v>148</v>
      </c>
    </row>
    <row r="546" spans="1:9" x14ac:dyDescent="0.25">
      <c r="B546" s="67" t="s">
        <v>4959</v>
      </c>
      <c r="C546" s="67">
        <v>0</v>
      </c>
      <c r="D546" s="67">
        <v>0</v>
      </c>
      <c r="E546" s="67">
        <v>83900.45</v>
      </c>
      <c r="H546" s="67" t="s">
        <v>146</v>
      </c>
    </row>
    <row r="548" spans="1:9" x14ac:dyDescent="0.25">
      <c r="A548" s="67" t="s">
        <v>4958</v>
      </c>
      <c r="B548" s="67" t="s">
        <v>4957</v>
      </c>
      <c r="C548" s="67">
        <v>0</v>
      </c>
      <c r="D548" s="67">
        <v>0</v>
      </c>
      <c r="E548" s="67">
        <v>83900.41</v>
      </c>
      <c r="F548" s="67">
        <v>25250</v>
      </c>
      <c r="H548" s="68">
        <v>40764</v>
      </c>
      <c r="I548" s="67" t="s">
        <v>148</v>
      </c>
    </row>
    <row r="549" spans="1:9" x14ac:dyDescent="0.25">
      <c r="B549" s="67" t="s">
        <v>4957</v>
      </c>
      <c r="C549" s="67">
        <v>0</v>
      </c>
      <c r="D549" s="67">
        <v>0</v>
      </c>
      <c r="E549" s="67">
        <v>83900.45</v>
      </c>
      <c r="H549" s="67" t="s">
        <v>146</v>
      </c>
    </row>
    <row r="550" spans="1:9" x14ac:dyDescent="0.25">
      <c r="A550" s="67" t="s">
        <v>233</v>
      </c>
    </row>
    <row r="552" spans="1:9" x14ac:dyDescent="0.25">
      <c r="A552" s="67" t="s">
        <v>232</v>
      </c>
      <c r="D552" s="67" t="s">
        <v>231</v>
      </c>
      <c r="H552" s="67" t="s">
        <v>148</v>
      </c>
      <c r="I552" s="67" t="s">
        <v>230</v>
      </c>
    </row>
    <row r="553" spans="1:9" x14ac:dyDescent="0.25">
      <c r="A553" s="67">
        <v>41.1</v>
      </c>
      <c r="C553" s="67" t="s">
        <v>215</v>
      </c>
      <c r="D553" s="67" t="s">
        <v>229</v>
      </c>
      <c r="H553" s="70">
        <v>44771</v>
      </c>
      <c r="I553" s="69">
        <v>0.56736111111111109</v>
      </c>
    </row>
    <row r="554" spans="1:9" x14ac:dyDescent="0.25">
      <c r="A554" s="67" t="s">
        <v>228</v>
      </c>
      <c r="C554" s="67" t="s">
        <v>227</v>
      </c>
      <c r="D554" s="67" t="s">
        <v>226</v>
      </c>
      <c r="E554" s="67">
        <v>589</v>
      </c>
      <c r="H554" s="67" t="s">
        <v>225</v>
      </c>
      <c r="I554" s="67">
        <v>12</v>
      </c>
    </row>
    <row r="555" spans="1:9" x14ac:dyDescent="0.25">
      <c r="A555" s="67" t="s">
        <v>884</v>
      </c>
    </row>
    <row r="556" spans="1:9" x14ac:dyDescent="0.25">
      <c r="A556" s="67" t="s">
        <v>223</v>
      </c>
      <c r="B556" s="67" t="s">
        <v>222</v>
      </c>
      <c r="C556" s="67" t="s">
        <v>221</v>
      </c>
      <c r="D556" s="67" t="s">
        <v>220</v>
      </c>
      <c r="E556" s="67" t="s">
        <v>219</v>
      </c>
      <c r="F556" s="67" t="s">
        <v>217</v>
      </c>
      <c r="G556" s="67" t="s">
        <v>218</v>
      </c>
      <c r="H556" s="67" t="s">
        <v>217</v>
      </c>
      <c r="I556" s="67" t="s">
        <v>216</v>
      </c>
    </row>
    <row r="557" spans="1:9" x14ac:dyDescent="0.25">
      <c r="A557" s="67" t="s">
        <v>215</v>
      </c>
      <c r="B557" s="67" t="s">
        <v>214</v>
      </c>
      <c r="C557" s="67" t="s">
        <v>213</v>
      </c>
      <c r="D557" s="67" t="s">
        <v>212</v>
      </c>
      <c r="E557" s="67" t="s">
        <v>211</v>
      </c>
      <c r="F557" s="67" t="s">
        <v>210</v>
      </c>
      <c r="G557" s="67" t="s">
        <v>209</v>
      </c>
      <c r="H557" s="67" t="s">
        <v>208</v>
      </c>
      <c r="I557" s="67" t="s">
        <v>207</v>
      </c>
    </row>
    <row r="558" spans="1:9" x14ac:dyDescent="0.25">
      <c r="A558" s="67" t="s">
        <v>206</v>
      </c>
      <c r="B558" s="67" t="s">
        <v>205</v>
      </c>
      <c r="C558" s="67" t="s">
        <v>204</v>
      </c>
      <c r="D558" s="67" t="s">
        <v>203</v>
      </c>
      <c r="E558" s="67" t="s">
        <v>202</v>
      </c>
      <c r="F558" s="67" t="s">
        <v>201</v>
      </c>
      <c r="G558" s="67" t="s">
        <v>200</v>
      </c>
      <c r="H558" s="67" t="s">
        <v>199</v>
      </c>
    </row>
    <row r="559" spans="1:9" x14ac:dyDescent="0.25">
      <c r="A559" s="67" t="s">
        <v>4956</v>
      </c>
      <c r="B559" s="67" t="s">
        <v>4955</v>
      </c>
      <c r="C559" s="67">
        <v>0</v>
      </c>
      <c r="D559" s="67">
        <v>0</v>
      </c>
      <c r="E559" s="67">
        <v>83900.41</v>
      </c>
      <c r="F559" s="67">
        <v>25250</v>
      </c>
      <c r="H559" s="68">
        <v>40764</v>
      </c>
      <c r="I559" s="67" t="s">
        <v>148</v>
      </c>
    </row>
    <row r="560" spans="1:9" x14ac:dyDescent="0.25">
      <c r="B560" s="67" t="s">
        <v>4955</v>
      </c>
      <c r="C560" s="67">
        <v>0</v>
      </c>
      <c r="D560" s="67">
        <v>0</v>
      </c>
      <c r="E560" s="67">
        <v>83900.45</v>
      </c>
      <c r="H560" s="67" t="s">
        <v>146</v>
      </c>
    </row>
    <row r="562" spans="1:9" x14ac:dyDescent="0.25">
      <c r="A562" s="67" t="s">
        <v>4954</v>
      </c>
      <c r="B562" s="67" t="s">
        <v>4953</v>
      </c>
      <c r="C562" s="67">
        <v>0</v>
      </c>
      <c r="D562" s="67">
        <v>0</v>
      </c>
      <c r="E562" s="67">
        <v>83900.41</v>
      </c>
      <c r="F562" s="67">
        <v>25250</v>
      </c>
      <c r="H562" s="68">
        <v>40764</v>
      </c>
      <c r="I562" s="67" t="s">
        <v>148</v>
      </c>
    </row>
    <row r="563" spans="1:9" x14ac:dyDescent="0.25">
      <c r="B563" s="67" t="s">
        <v>4953</v>
      </c>
      <c r="C563" s="67">
        <v>0</v>
      </c>
      <c r="D563" s="67">
        <v>0</v>
      </c>
      <c r="E563" s="67">
        <v>83900.45</v>
      </c>
      <c r="H563" s="67" t="s">
        <v>146</v>
      </c>
    </row>
    <row r="565" spans="1:9" x14ac:dyDescent="0.25">
      <c r="A565" s="67" t="s">
        <v>4952</v>
      </c>
      <c r="B565" s="67" t="s">
        <v>4951</v>
      </c>
      <c r="C565" s="67">
        <v>0</v>
      </c>
      <c r="D565" s="67">
        <v>0</v>
      </c>
      <c r="E565" s="67">
        <v>83900.41</v>
      </c>
      <c r="F565" s="67">
        <v>25250</v>
      </c>
      <c r="H565" s="68">
        <v>40764</v>
      </c>
      <c r="I565" s="67" t="s">
        <v>148</v>
      </c>
    </row>
    <row r="566" spans="1:9" x14ac:dyDescent="0.25">
      <c r="B566" s="67" t="s">
        <v>4951</v>
      </c>
      <c r="C566" s="67">
        <v>0</v>
      </c>
      <c r="D566" s="67">
        <v>0</v>
      </c>
      <c r="E566" s="67">
        <v>83900.45</v>
      </c>
      <c r="H566" s="67" t="s">
        <v>146</v>
      </c>
    </row>
    <row r="568" spans="1:9" x14ac:dyDescent="0.25">
      <c r="A568" s="67" t="s">
        <v>4950</v>
      </c>
      <c r="B568" s="67" t="s">
        <v>4949</v>
      </c>
      <c r="C568" s="67">
        <v>0</v>
      </c>
      <c r="D568" s="67">
        <v>0</v>
      </c>
      <c r="E568" s="67">
        <v>83900.41</v>
      </c>
      <c r="F568" s="67">
        <v>25250</v>
      </c>
      <c r="H568" s="68">
        <v>40764</v>
      </c>
      <c r="I568" s="67" t="s">
        <v>148</v>
      </c>
    </row>
    <row r="569" spans="1:9" x14ac:dyDescent="0.25">
      <c r="B569" s="67" t="s">
        <v>4949</v>
      </c>
      <c r="C569" s="67">
        <v>0</v>
      </c>
      <c r="D569" s="67">
        <v>0</v>
      </c>
      <c r="E569" s="67">
        <v>83900.45</v>
      </c>
      <c r="H569" s="67" t="s">
        <v>146</v>
      </c>
    </row>
    <row r="571" spans="1:9" x14ac:dyDescent="0.25">
      <c r="A571" s="67" t="s">
        <v>4948</v>
      </c>
      <c r="B571" s="67" t="s">
        <v>4947</v>
      </c>
      <c r="C571" s="67">
        <v>0</v>
      </c>
      <c r="D571" s="67">
        <v>0</v>
      </c>
      <c r="E571" s="67">
        <v>83900.41</v>
      </c>
      <c r="F571" s="67">
        <v>25250</v>
      </c>
      <c r="H571" s="68">
        <v>40764</v>
      </c>
      <c r="I571" s="67" t="s">
        <v>148</v>
      </c>
    </row>
    <row r="572" spans="1:9" x14ac:dyDescent="0.25">
      <c r="B572" s="67" t="s">
        <v>4947</v>
      </c>
      <c r="C572" s="67">
        <v>0</v>
      </c>
      <c r="D572" s="67">
        <v>0</v>
      </c>
      <c r="E572" s="67">
        <v>83900.45</v>
      </c>
      <c r="H572" s="67" t="s">
        <v>146</v>
      </c>
    </row>
    <row r="574" spans="1:9" x14ac:dyDescent="0.25">
      <c r="A574" s="67" t="s">
        <v>4946</v>
      </c>
      <c r="B574" s="67" t="s">
        <v>4945</v>
      </c>
      <c r="C574" s="67">
        <v>0</v>
      </c>
      <c r="D574" s="67">
        <v>0</v>
      </c>
      <c r="E574" s="67">
        <v>83900.41</v>
      </c>
      <c r="F574" s="67">
        <v>25250</v>
      </c>
      <c r="H574" s="68">
        <v>40764</v>
      </c>
      <c r="I574" s="67" t="s">
        <v>148</v>
      </c>
    </row>
    <row r="575" spans="1:9" x14ac:dyDescent="0.25">
      <c r="B575" s="67" t="s">
        <v>4945</v>
      </c>
      <c r="C575" s="67">
        <v>0</v>
      </c>
      <c r="D575" s="67">
        <v>0</v>
      </c>
      <c r="E575" s="67">
        <v>83900.45</v>
      </c>
      <c r="H575" s="67" t="s">
        <v>146</v>
      </c>
    </row>
    <row r="577" spans="1:9" x14ac:dyDescent="0.25">
      <c r="A577" s="67" t="s">
        <v>4944</v>
      </c>
      <c r="B577" s="67" t="s">
        <v>4943</v>
      </c>
      <c r="C577" s="67">
        <v>0</v>
      </c>
      <c r="D577" s="67">
        <v>0</v>
      </c>
      <c r="E577" s="67">
        <v>83900.41</v>
      </c>
      <c r="F577" s="67">
        <v>25250</v>
      </c>
      <c r="H577" s="68">
        <v>40764</v>
      </c>
      <c r="I577" s="67" t="s">
        <v>148</v>
      </c>
    </row>
    <row r="578" spans="1:9" x14ac:dyDescent="0.25">
      <c r="B578" s="67" t="s">
        <v>4943</v>
      </c>
      <c r="C578" s="67">
        <v>0</v>
      </c>
      <c r="D578" s="67">
        <v>0</v>
      </c>
      <c r="E578" s="67">
        <v>83900.45</v>
      </c>
      <c r="H578" s="67" t="s">
        <v>146</v>
      </c>
    </row>
    <row r="580" spans="1:9" x14ac:dyDescent="0.25">
      <c r="A580" s="67" t="s">
        <v>4942</v>
      </c>
      <c r="B580" s="67" t="s">
        <v>4941</v>
      </c>
      <c r="C580" s="67">
        <v>0</v>
      </c>
      <c r="D580" s="67">
        <v>0</v>
      </c>
      <c r="E580" s="67">
        <v>83900.41</v>
      </c>
      <c r="F580" s="67">
        <v>25250</v>
      </c>
      <c r="H580" s="68">
        <v>40764</v>
      </c>
      <c r="I580" s="67" t="s">
        <v>148</v>
      </c>
    </row>
    <row r="581" spans="1:9" x14ac:dyDescent="0.25">
      <c r="B581" s="67" t="s">
        <v>4941</v>
      </c>
      <c r="C581" s="67">
        <v>0</v>
      </c>
      <c r="D581" s="67">
        <v>0</v>
      </c>
      <c r="E581" s="67">
        <v>83900.45</v>
      </c>
      <c r="H581" s="67" t="s">
        <v>146</v>
      </c>
    </row>
    <row r="583" spans="1:9" x14ac:dyDescent="0.25">
      <c r="A583" s="67" t="s">
        <v>4940</v>
      </c>
      <c r="B583" s="67" t="s">
        <v>4939</v>
      </c>
      <c r="C583" s="67">
        <v>0</v>
      </c>
      <c r="D583" s="67">
        <v>0</v>
      </c>
      <c r="E583" s="67">
        <v>83900.41</v>
      </c>
      <c r="F583" s="67">
        <v>25250</v>
      </c>
      <c r="H583" s="68">
        <v>40764</v>
      </c>
      <c r="I583" s="67" t="s">
        <v>148</v>
      </c>
    </row>
    <row r="584" spans="1:9" x14ac:dyDescent="0.25">
      <c r="B584" s="67" t="s">
        <v>4939</v>
      </c>
      <c r="C584" s="67">
        <v>0</v>
      </c>
      <c r="D584" s="67">
        <v>0</v>
      </c>
      <c r="E584" s="67">
        <v>83900.45</v>
      </c>
      <c r="H584" s="67" t="s">
        <v>146</v>
      </c>
    </row>
    <row r="586" spans="1:9" x14ac:dyDescent="0.25">
      <c r="A586" s="67" t="s">
        <v>4938</v>
      </c>
      <c r="B586" s="67" t="s">
        <v>4937</v>
      </c>
      <c r="C586" s="67">
        <v>0</v>
      </c>
      <c r="D586" s="67">
        <v>0</v>
      </c>
      <c r="E586" s="67">
        <v>83900.41</v>
      </c>
      <c r="F586" s="67">
        <v>25250</v>
      </c>
      <c r="H586" s="68">
        <v>40764</v>
      </c>
      <c r="I586" s="67" t="s">
        <v>148</v>
      </c>
    </row>
    <row r="587" spans="1:9" x14ac:dyDescent="0.25">
      <c r="B587" s="67" t="s">
        <v>4937</v>
      </c>
      <c r="C587" s="67">
        <v>0</v>
      </c>
      <c r="D587" s="67">
        <v>0</v>
      </c>
      <c r="E587" s="67">
        <v>83900.45</v>
      </c>
      <c r="H587" s="67" t="s">
        <v>146</v>
      </c>
    </row>
    <row r="589" spans="1:9" x14ac:dyDescent="0.25">
      <c r="A589" s="67" t="s">
        <v>4936</v>
      </c>
      <c r="B589" s="67" t="s">
        <v>4935</v>
      </c>
      <c r="C589" s="67">
        <v>0</v>
      </c>
      <c r="D589" s="67">
        <v>0</v>
      </c>
      <c r="E589" s="67">
        <v>83900.41</v>
      </c>
      <c r="F589" s="67">
        <v>25250</v>
      </c>
      <c r="H589" s="68">
        <v>40764</v>
      </c>
      <c r="I589" s="67" t="s">
        <v>148</v>
      </c>
    </row>
    <row r="590" spans="1:9" x14ac:dyDescent="0.25">
      <c r="B590" s="67" t="s">
        <v>4935</v>
      </c>
      <c r="C590" s="67">
        <v>0</v>
      </c>
      <c r="D590" s="67">
        <v>0</v>
      </c>
      <c r="E590" s="67">
        <v>83900.45</v>
      </c>
      <c r="H590" s="67" t="s">
        <v>146</v>
      </c>
    </row>
    <row r="592" spans="1:9" x14ac:dyDescent="0.25">
      <c r="A592" s="67" t="s">
        <v>4934</v>
      </c>
      <c r="B592" s="67" t="s">
        <v>4933</v>
      </c>
      <c r="C592" s="67">
        <v>0</v>
      </c>
      <c r="D592" s="67">
        <v>0</v>
      </c>
      <c r="E592" s="67">
        <v>83900.41</v>
      </c>
      <c r="F592" s="67">
        <v>25250</v>
      </c>
      <c r="H592" s="68">
        <v>40764</v>
      </c>
      <c r="I592" s="67" t="s">
        <v>148</v>
      </c>
    </row>
    <row r="593" spans="1:9" x14ac:dyDescent="0.25">
      <c r="B593" s="67" t="s">
        <v>4933</v>
      </c>
      <c r="C593" s="67">
        <v>0</v>
      </c>
      <c r="D593" s="67">
        <v>0</v>
      </c>
      <c r="E593" s="67">
        <v>83900.45</v>
      </c>
      <c r="H593" s="67" t="s">
        <v>146</v>
      </c>
    </row>
    <row r="595" spans="1:9" x14ac:dyDescent="0.25">
      <c r="A595" s="67" t="s">
        <v>4932</v>
      </c>
      <c r="B595" s="67" t="s">
        <v>4931</v>
      </c>
      <c r="C595" s="67">
        <v>0</v>
      </c>
      <c r="D595" s="67">
        <v>0</v>
      </c>
      <c r="E595" s="67">
        <v>83900.41</v>
      </c>
      <c r="F595" s="67">
        <v>25250</v>
      </c>
      <c r="H595" s="68">
        <v>40764</v>
      </c>
      <c r="I595" s="67" t="s">
        <v>148</v>
      </c>
    </row>
    <row r="596" spans="1:9" x14ac:dyDescent="0.25">
      <c r="B596" s="67" t="s">
        <v>4931</v>
      </c>
      <c r="C596" s="67">
        <v>0</v>
      </c>
      <c r="D596" s="67">
        <v>0</v>
      </c>
      <c r="E596" s="67">
        <v>83900.45</v>
      </c>
      <c r="H596" s="67" t="s">
        <v>146</v>
      </c>
    </row>
    <row r="598" spans="1:9" x14ac:dyDescent="0.25">
      <c r="A598" s="67" t="s">
        <v>4930</v>
      </c>
      <c r="B598" s="67" t="s">
        <v>4929</v>
      </c>
      <c r="C598" s="67">
        <v>0</v>
      </c>
      <c r="D598" s="67">
        <v>0</v>
      </c>
      <c r="E598" s="67">
        <v>83900.41</v>
      </c>
      <c r="F598" s="67">
        <v>25250</v>
      </c>
      <c r="H598" s="68">
        <v>40764</v>
      </c>
      <c r="I598" s="67" t="s">
        <v>148</v>
      </c>
    </row>
    <row r="599" spans="1:9" x14ac:dyDescent="0.25">
      <c r="B599" s="67" t="s">
        <v>4929</v>
      </c>
      <c r="C599" s="67">
        <v>0</v>
      </c>
      <c r="D599" s="67">
        <v>0</v>
      </c>
      <c r="E599" s="67">
        <v>83900.45</v>
      </c>
      <c r="H599" s="67" t="s">
        <v>146</v>
      </c>
    </row>
    <row r="601" spans="1:9" x14ac:dyDescent="0.25">
      <c r="A601" s="67" t="s">
        <v>4928</v>
      </c>
      <c r="B601" s="67" t="s">
        <v>4927</v>
      </c>
      <c r="C601" s="67">
        <v>0</v>
      </c>
      <c r="D601" s="67">
        <v>0</v>
      </c>
      <c r="E601" s="67">
        <v>83900.41</v>
      </c>
      <c r="F601" s="67">
        <v>25250</v>
      </c>
      <c r="H601" s="68">
        <v>40764</v>
      </c>
      <c r="I601" s="67" t="s">
        <v>148</v>
      </c>
    </row>
    <row r="602" spans="1:9" x14ac:dyDescent="0.25">
      <c r="B602" s="67" t="s">
        <v>4927</v>
      </c>
      <c r="C602" s="67">
        <v>0</v>
      </c>
      <c r="D602" s="67">
        <v>0</v>
      </c>
      <c r="E602" s="67">
        <v>83900.45</v>
      </c>
      <c r="H602" s="67" t="s">
        <v>146</v>
      </c>
    </row>
    <row r="604" spans="1:9" x14ac:dyDescent="0.25">
      <c r="A604" s="67" t="s">
        <v>4926</v>
      </c>
      <c r="B604" s="67" t="s">
        <v>4925</v>
      </c>
      <c r="C604" s="67">
        <v>0</v>
      </c>
      <c r="D604" s="67">
        <v>0</v>
      </c>
      <c r="E604" s="67">
        <v>83900.41</v>
      </c>
      <c r="F604" s="67">
        <v>25250</v>
      </c>
      <c r="H604" s="68">
        <v>40764</v>
      </c>
      <c r="I604" s="67" t="s">
        <v>148</v>
      </c>
    </row>
    <row r="605" spans="1:9" x14ac:dyDescent="0.25">
      <c r="B605" s="67" t="s">
        <v>4925</v>
      </c>
      <c r="C605" s="67">
        <v>0</v>
      </c>
      <c r="D605" s="67">
        <v>0</v>
      </c>
      <c r="E605" s="67">
        <v>83900.45</v>
      </c>
      <c r="H605" s="67" t="s">
        <v>146</v>
      </c>
    </row>
    <row r="607" spans="1:9" x14ac:dyDescent="0.25">
      <c r="A607" s="67" t="s">
        <v>4924</v>
      </c>
      <c r="B607" s="67" t="s">
        <v>4923</v>
      </c>
      <c r="C607" s="67">
        <v>0</v>
      </c>
      <c r="D607" s="67">
        <v>0</v>
      </c>
      <c r="E607" s="67">
        <v>83900.41</v>
      </c>
      <c r="F607" s="67">
        <v>25250</v>
      </c>
      <c r="H607" s="68">
        <v>40764</v>
      </c>
      <c r="I607" s="67" t="s">
        <v>148</v>
      </c>
    </row>
    <row r="608" spans="1:9" x14ac:dyDescent="0.25">
      <c r="B608" s="67" t="s">
        <v>4923</v>
      </c>
      <c r="C608" s="67">
        <v>0</v>
      </c>
      <c r="D608" s="67">
        <v>0</v>
      </c>
      <c r="E608" s="67">
        <v>83900.45</v>
      </c>
      <c r="H608" s="67" t="s">
        <v>146</v>
      </c>
    </row>
    <row r="609" spans="1:9" x14ac:dyDescent="0.25">
      <c r="A609" s="67" t="s">
        <v>233</v>
      </c>
    </row>
    <row r="611" spans="1:9" x14ac:dyDescent="0.25">
      <c r="A611" s="67" t="s">
        <v>232</v>
      </c>
      <c r="D611" s="67" t="s">
        <v>231</v>
      </c>
      <c r="H611" s="67" t="s">
        <v>148</v>
      </c>
      <c r="I611" s="67" t="s">
        <v>230</v>
      </c>
    </row>
    <row r="612" spans="1:9" x14ac:dyDescent="0.25">
      <c r="A612" s="67">
        <v>41.1</v>
      </c>
      <c r="C612" s="67" t="s">
        <v>215</v>
      </c>
      <c r="D612" s="67" t="s">
        <v>229</v>
      </c>
      <c r="H612" s="70">
        <v>44771</v>
      </c>
      <c r="I612" s="69">
        <v>0.56736111111111109</v>
      </c>
    </row>
    <row r="613" spans="1:9" x14ac:dyDescent="0.25">
      <c r="A613" s="67" t="s">
        <v>228</v>
      </c>
      <c r="C613" s="67" t="s">
        <v>227</v>
      </c>
      <c r="D613" s="67" t="s">
        <v>226</v>
      </c>
      <c r="E613" s="67">
        <v>589</v>
      </c>
      <c r="H613" s="67" t="s">
        <v>225</v>
      </c>
      <c r="I613" s="67">
        <v>13</v>
      </c>
    </row>
    <row r="614" spans="1:9" x14ac:dyDescent="0.25">
      <c r="A614" s="67" t="s">
        <v>884</v>
      </c>
    </row>
    <row r="615" spans="1:9" x14ac:dyDescent="0.25">
      <c r="A615" s="67" t="s">
        <v>223</v>
      </c>
      <c r="B615" s="67" t="s">
        <v>222</v>
      </c>
      <c r="C615" s="67" t="s">
        <v>221</v>
      </c>
      <c r="D615" s="67" t="s">
        <v>220</v>
      </c>
      <c r="E615" s="67" t="s">
        <v>219</v>
      </c>
      <c r="F615" s="67" t="s">
        <v>217</v>
      </c>
      <c r="G615" s="67" t="s">
        <v>218</v>
      </c>
      <c r="H615" s="67" t="s">
        <v>217</v>
      </c>
      <c r="I615" s="67" t="s">
        <v>216</v>
      </c>
    </row>
    <row r="616" spans="1:9" x14ac:dyDescent="0.25">
      <c r="A616" s="67" t="s">
        <v>215</v>
      </c>
      <c r="B616" s="67" t="s">
        <v>214</v>
      </c>
      <c r="C616" s="67" t="s">
        <v>213</v>
      </c>
      <c r="D616" s="67" t="s">
        <v>212</v>
      </c>
      <c r="E616" s="67" t="s">
        <v>211</v>
      </c>
      <c r="F616" s="67" t="s">
        <v>210</v>
      </c>
      <c r="G616" s="67" t="s">
        <v>209</v>
      </c>
      <c r="H616" s="67" t="s">
        <v>208</v>
      </c>
      <c r="I616" s="67" t="s">
        <v>207</v>
      </c>
    </row>
    <row r="617" spans="1:9" x14ac:dyDescent="0.25">
      <c r="A617" s="67" t="s">
        <v>206</v>
      </c>
      <c r="B617" s="67" t="s">
        <v>205</v>
      </c>
      <c r="C617" s="67" t="s">
        <v>204</v>
      </c>
      <c r="D617" s="67" t="s">
        <v>203</v>
      </c>
      <c r="E617" s="67" t="s">
        <v>202</v>
      </c>
      <c r="F617" s="67" t="s">
        <v>201</v>
      </c>
      <c r="G617" s="67" t="s">
        <v>200</v>
      </c>
      <c r="H617" s="67" t="s">
        <v>199</v>
      </c>
    </row>
    <row r="618" spans="1:9" x14ac:dyDescent="0.25">
      <c r="A618" s="67" t="s">
        <v>4922</v>
      </c>
      <c r="B618" s="67" t="s">
        <v>4921</v>
      </c>
      <c r="C618" s="67">
        <v>0</v>
      </c>
      <c r="D618" s="67">
        <v>0</v>
      </c>
      <c r="E618" s="67">
        <v>83900.41</v>
      </c>
      <c r="F618" s="67">
        <v>25250</v>
      </c>
      <c r="H618" s="68">
        <v>40764</v>
      </c>
      <c r="I618" s="67" t="s">
        <v>148</v>
      </c>
    </row>
    <row r="619" spans="1:9" x14ac:dyDescent="0.25">
      <c r="B619" s="67" t="s">
        <v>4921</v>
      </c>
      <c r="C619" s="67">
        <v>0</v>
      </c>
      <c r="D619" s="67">
        <v>0</v>
      </c>
      <c r="E619" s="67">
        <v>83900.45</v>
      </c>
      <c r="H619" s="67" t="s">
        <v>146</v>
      </c>
    </row>
    <row r="621" spans="1:9" x14ac:dyDescent="0.25">
      <c r="A621" s="67" t="s">
        <v>4920</v>
      </c>
      <c r="B621" s="67" t="s">
        <v>4919</v>
      </c>
      <c r="C621" s="67">
        <v>0</v>
      </c>
      <c r="D621" s="67">
        <v>0</v>
      </c>
      <c r="E621" s="67">
        <v>83900.41</v>
      </c>
      <c r="F621" s="67">
        <v>25250</v>
      </c>
      <c r="H621" s="68">
        <v>40764</v>
      </c>
      <c r="I621" s="67" t="s">
        <v>148</v>
      </c>
    </row>
    <row r="622" spans="1:9" x14ac:dyDescent="0.25">
      <c r="B622" s="67" t="s">
        <v>4919</v>
      </c>
      <c r="C622" s="67">
        <v>0</v>
      </c>
      <c r="D622" s="67">
        <v>0</v>
      </c>
      <c r="E622" s="67">
        <v>83900.45</v>
      </c>
      <c r="H622" s="67" t="s">
        <v>146</v>
      </c>
    </row>
    <row r="624" spans="1:9" x14ac:dyDescent="0.25">
      <c r="A624" s="67" t="s">
        <v>4918</v>
      </c>
      <c r="B624" s="67" t="s">
        <v>4917</v>
      </c>
      <c r="C624" s="67">
        <v>0</v>
      </c>
      <c r="D624" s="67">
        <v>0</v>
      </c>
      <c r="E624" s="67">
        <v>83900.41</v>
      </c>
      <c r="F624" s="67">
        <v>25250</v>
      </c>
      <c r="H624" s="68">
        <v>40764</v>
      </c>
      <c r="I624" s="67" t="s">
        <v>148</v>
      </c>
    </row>
    <row r="625" spans="1:9" x14ac:dyDescent="0.25">
      <c r="B625" s="67" t="s">
        <v>4917</v>
      </c>
      <c r="C625" s="67">
        <v>0</v>
      </c>
      <c r="D625" s="67">
        <v>0</v>
      </c>
      <c r="E625" s="67">
        <v>83900.45</v>
      </c>
      <c r="H625" s="67" t="s">
        <v>146</v>
      </c>
    </row>
    <row r="627" spans="1:9" x14ac:dyDescent="0.25">
      <c r="A627" s="67" t="s">
        <v>4916</v>
      </c>
      <c r="B627" s="67" t="s">
        <v>4915</v>
      </c>
      <c r="C627" s="67">
        <v>0</v>
      </c>
      <c r="D627" s="67">
        <v>0</v>
      </c>
      <c r="E627" s="67">
        <v>83900.41</v>
      </c>
      <c r="F627" s="67">
        <v>25250</v>
      </c>
      <c r="H627" s="68">
        <v>40764</v>
      </c>
      <c r="I627" s="67" t="s">
        <v>148</v>
      </c>
    </row>
    <row r="628" spans="1:9" x14ac:dyDescent="0.25">
      <c r="B628" s="67" t="s">
        <v>4915</v>
      </c>
      <c r="C628" s="67">
        <v>0</v>
      </c>
      <c r="D628" s="67">
        <v>0</v>
      </c>
      <c r="E628" s="67">
        <v>83900.45</v>
      </c>
      <c r="H628" s="67" t="s">
        <v>146</v>
      </c>
    </row>
    <row r="630" spans="1:9" x14ac:dyDescent="0.25">
      <c r="A630" s="67" t="s">
        <v>4914</v>
      </c>
      <c r="B630" s="67" t="s">
        <v>4913</v>
      </c>
      <c r="C630" s="67">
        <v>0</v>
      </c>
      <c r="D630" s="67">
        <v>0</v>
      </c>
      <c r="E630" s="67">
        <v>83900.41</v>
      </c>
      <c r="F630" s="67">
        <v>25250</v>
      </c>
      <c r="H630" s="68">
        <v>40764</v>
      </c>
      <c r="I630" s="67" t="s">
        <v>148</v>
      </c>
    </row>
    <row r="631" spans="1:9" x14ac:dyDescent="0.25">
      <c r="B631" s="67" t="s">
        <v>4913</v>
      </c>
      <c r="C631" s="67">
        <v>0</v>
      </c>
      <c r="D631" s="67">
        <v>0</v>
      </c>
      <c r="E631" s="67">
        <v>83900.45</v>
      </c>
      <c r="H631" s="67" t="s">
        <v>146</v>
      </c>
    </row>
    <row r="633" spans="1:9" x14ac:dyDescent="0.25">
      <c r="A633" s="67" t="s">
        <v>4912</v>
      </c>
      <c r="B633" s="67" t="s">
        <v>4911</v>
      </c>
      <c r="C633" s="67">
        <v>0</v>
      </c>
      <c r="D633" s="67">
        <v>0</v>
      </c>
      <c r="E633" s="67">
        <v>83900.41</v>
      </c>
      <c r="F633" s="67">
        <v>25250</v>
      </c>
      <c r="H633" s="68">
        <v>40764</v>
      </c>
      <c r="I633" s="67" t="s">
        <v>148</v>
      </c>
    </row>
    <row r="634" spans="1:9" x14ac:dyDescent="0.25">
      <c r="B634" s="67" t="s">
        <v>4911</v>
      </c>
      <c r="C634" s="67">
        <v>0</v>
      </c>
      <c r="D634" s="67">
        <v>0</v>
      </c>
      <c r="E634" s="67">
        <v>83900.45</v>
      </c>
      <c r="H634" s="67" t="s">
        <v>146</v>
      </c>
    </row>
    <row r="636" spans="1:9" x14ac:dyDescent="0.25">
      <c r="A636" s="67" t="s">
        <v>4910</v>
      </c>
      <c r="B636" s="67" t="s">
        <v>4909</v>
      </c>
      <c r="C636" s="67">
        <v>0</v>
      </c>
      <c r="D636" s="67">
        <v>0</v>
      </c>
      <c r="E636" s="67">
        <v>83900.41</v>
      </c>
      <c r="F636" s="67">
        <v>25250</v>
      </c>
      <c r="H636" s="68">
        <v>40764</v>
      </c>
      <c r="I636" s="67" t="s">
        <v>148</v>
      </c>
    </row>
    <row r="637" spans="1:9" x14ac:dyDescent="0.25">
      <c r="B637" s="67" t="s">
        <v>4909</v>
      </c>
      <c r="C637" s="67">
        <v>0</v>
      </c>
      <c r="D637" s="67">
        <v>0</v>
      </c>
      <c r="E637" s="67">
        <v>83900.45</v>
      </c>
      <c r="H637" s="67" t="s">
        <v>146</v>
      </c>
    </row>
    <row r="639" spans="1:9" x14ac:dyDescent="0.25">
      <c r="A639" s="67" t="s">
        <v>4908</v>
      </c>
      <c r="B639" s="67" t="s">
        <v>4907</v>
      </c>
      <c r="C639" s="67">
        <v>0</v>
      </c>
      <c r="D639" s="67">
        <v>0</v>
      </c>
      <c r="E639" s="67">
        <v>83900.41</v>
      </c>
      <c r="F639" s="67">
        <v>25250</v>
      </c>
      <c r="H639" s="68">
        <v>40764</v>
      </c>
      <c r="I639" s="67" t="s">
        <v>148</v>
      </c>
    </row>
    <row r="640" spans="1:9" x14ac:dyDescent="0.25">
      <c r="B640" s="67" t="s">
        <v>4907</v>
      </c>
      <c r="C640" s="67">
        <v>0</v>
      </c>
      <c r="D640" s="67">
        <v>0</v>
      </c>
      <c r="E640" s="67">
        <v>83900.45</v>
      </c>
      <c r="H640" s="67" t="s">
        <v>146</v>
      </c>
    </row>
    <row r="642" spans="1:9" x14ac:dyDescent="0.25">
      <c r="A642" s="67" t="s">
        <v>4906</v>
      </c>
      <c r="B642" s="67" t="s">
        <v>4905</v>
      </c>
      <c r="C642" s="67">
        <v>0</v>
      </c>
      <c r="D642" s="67">
        <v>0</v>
      </c>
      <c r="E642" s="67">
        <v>83900.41</v>
      </c>
      <c r="F642" s="67">
        <v>25250</v>
      </c>
      <c r="H642" s="68">
        <v>40764</v>
      </c>
      <c r="I642" s="67" t="s">
        <v>148</v>
      </c>
    </row>
    <row r="643" spans="1:9" x14ac:dyDescent="0.25">
      <c r="B643" s="67" t="s">
        <v>4905</v>
      </c>
      <c r="C643" s="67">
        <v>0</v>
      </c>
      <c r="D643" s="67">
        <v>0</v>
      </c>
      <c r="E643" s="67">
        <v>83900.45</v>
      </c>
      <c r="H643" s="67" t="s">
        <v>146</v>
      </c>
    </row>
    <row r="645" spans="1:9" x14ac:dyDescent="0.25">
      <c r="A645" s="67" t="s">
        <v>4904</v>
      </c>
      <c r="B645" s="67" t="s">
        <v>4903</v>
      </c>
      <c r="C645" s="67">
        <v>0</v>
      </c>
      <c r="D645" s="67">
        <v>0</v>
      </c>
      <c r="E645" s="67">
        <v>83900.41</v>
      </c>
      <c r="F645" s="67">
        <v>25250</v>
      </c>
      <c r="H645" s="68">
        <v>40764</v>
      </c>
      <c r="I645" s="67" t="s">
        <v>148</v>
      </c>
    </row>
    <row r="646" spans="1:9" x14ac:dyDescent="0.25">
      <c r="B646" s="67" t="s">
        <v>4903</v>
      </c>
      <c r="C646" s="67">
        <v>0</v>
      </c>
      <c r="D646" s="67">
        <v>0</v>
      </c>
      <c r="E646" s="67">
        <v>83900.45</v>
      </c>
      <c r="H646" s="67" t="s">
        <v>146</v>
      </c>
    </row>
    <row r="648" spans="1:9" x14ac:dyDescent="0.25">
      <c r="A648" s="67" t="s">
        <v>4902</v>
      </c>
      <c r="B648" s="67" t="s">
        <v>4901</v>
      </c>
      <c r="C648" s="67">
        <v>0</v>
      </c>
      <c r="D648" s="67">
        <v>0</v>
      </c>
      <c r="E648" s="67">
        <v>83900.41</v>
      </c>
      <c r="F648" s="67">
        <v>25250</v>
      </c>
      <c r="H648" s="68">
        <v>40764</v>
      </c>
      <c r="I648" s="67" t="s">
        <v>148</v>
      </c>
    </row>
    <row r="649" spans="1:9" x14ac:dyDescent="0.25">
      <c r="B649" s="67" t="s">
        <v>4901</v>
      </c>
      <c r="C649" s="67">
        <v>0</v>
      </c>
      <c r="D649" s="67">
        <v>0</v>
      </c>
      <c r="E649" s="67">
        <v>83900.45</v>
      </c>
      <c r="H649" s="67" t="s">
        <v>146</v>
      </c>
    </row>
    <row r="651" spans="1:9" x14ac:dyDescent="0.25">
      <c r="A651" s="67" t="s">
        <v>4900</v>
      </c>
      <c r="B651" s="67" t="s">
        <v>4899</v>
      </c>
      <c r="C651" s="67">
        <v>0</v>
      </c>
      <c r="D651" s="67">
        <v>0</v>
      </c>
      <c r="E651" s="67">
        <v>83900.41</v>
      </c>
      <c r="F651" s="67">
        <v>25250</v>
      </c>
      <c r="H651" s="68">
        <v>40764</v>
      </c>
      <c r="I651" s="67" t="s">
        <v>148</v>
      </c>
    </row>
    <row r="652" spans="1:9" x14ac:dyDescent="0.25">
      <c r="B652" s="67" t="s">
        <v>4899</v>
      </c>
      <c r="C652" s="67">
        <v>0</v>
      </c>
      <c r="D652" s="67">
        <v>0</v>
      </c>
      <c r="E652" s="67">
        <v>83900.45</v>
      </c>
      <c r="H652" s="67" t="s">
        <v>146</v>
      </c>
    </row>
    <row r="654" spans="1:9" x14ac:dyDescent="0.25">
      <c r="A654" s="67" t="s">
        <v>4898</v>
      </c>
      <c r="B654" s="67" t="s">
        <v>4897</v>
      </c>
      <c r="C654" s="67">
        <v>0</v>
      </c>
      <c r="D654" s="67">
        <v>0</v>
      </c>
      <c r="E654" s="67">
        <v>83900.41</v>
      </c>
      <c r="F654" s="67">
        <v>25250</v>
      </c>
      <c r="H654" s="68">
        <v>40764</v>
      </c>
      <c r="I654" s="67" t="s">
        <v>148</v>
      </c>
    </row>
    <row r="655" spans="1:9" x14ac:dyDescent="0.25">
      <c r="B655" s="67" t="s">
        <v>4897</v>
      </c>
      <c r="C655" s="67">
        <v>0</v>
      </c>
      <c r="D655" s="67">
        <v>0</v>
      </c>
      <c r="E655" s="67">
        <v>83900.45</v>
      </c>
      <c r="H655" s="67" t="s">
        <v>146</v>
      </c>
    </row>
    <row r="657" spans="1:9" x14ac:dyDescent="0.25">
      <c r="A657" s="67" t="s">
        <v>4896</v>
      </c>
      <c r="B657" s="67" t="s">
        <v>4895</v>
      </c>
      <c r="C657" s="67">
        <v>0</v>
      </c>
      <c r="D657" s="67">
        <v>0</v>
      </c>
      <c r="E657" s="67">
        <v>83900.41</v>
      </c>
      <c r="F657" s="67">
        <v>25250</v>
      </c>
      <c r="H657" s="68">
        <v>40764</v>
      </c>
      <c r="I657" s="67" t="s">
        <v>148</v>
      </c>
    </row>
    <row r="658" spans="1:9" x14ac:dyDescent="0.25">
      <c r="B658" s="67" t="s">
        <v>4895</v>
      </c>
      <c r="C658" s="67">
        <v>0</v>
      </c>
      <c r="D658" s="67">
        <v>0</v>
      </c>
      <c r="E658" s="67">
        <v>83900.45</v>
      </c>
      <c r="H658" s="67" t="s">
        <v>146</v>
      </c>
    </row>
    <row r="660" spans="1:9" x14ac:dyDescent="0.25">
      <c r="A660" s="67" t="s">
        <v>4894</v>
      </c>
      <c r="B660" s="67" t="s">
        <v>4893</v>
      </c>
      <c r="C660" s="67">
        <v>0</v>
      </c>
      <c r="D660" s="67">
        <v>0</v>
      </c>
      <c r="E660" s="67">
        <v>83900.41</v>
      </c>
      <c r="F660" s="67">
        <v>25250</v>
      </c>
      <c r="H660" s="68">
        <v>40764</v>
      </c>
      <c r="I660" s="67" t="s">
        <v>148</v>
      </c>
    </row>
    <row r="661" spans="1:9" x14ac:dyDescent="0.25">
      <c r="B661" s="67" t="s">
        <v>4893</v>
      </c>
      <c r="C661" s="67">
        <v>0</v>
      </c>
      <c r="D661" s="67">
        <v>0</v>
      </c>
      <c r="E661" s="67">
        <v>83900.45</v>
      </c>
      <c r="H661" s="67" t="s">
        <v>146</v>
      </c>
    </row>
    <row r="663" spans="1:9" x14ac:dyDescent="0.25">
      <c r="A663" s="67" t="s">
        <v>4892</v>
      </c>
      <c r="B663" s="67" t="s">
        <v>4891</v>
      </c>
      <c r="C663" s="67">
        <v>0</v>
      </c>
      <c r="D663" s="67">
        <v>0</v>
      </c>
      <c r="E663" s="67">
        <v>83900.41</v>
      </c>
      <c r="F663" s="67">
        <v>25250</v>
      </c>
      <c r="H663" s="68">
        <v>40764</v>
      </c>
      <c r="I663" s="67" t="s">
        <v>148</v>
      </c>
    </row>
    <row r="664" spans="1:9" x14ac:dyDescent="0.25">
      <c r="B664" s="67" t="s">
        <v>4891</v>
      </c>
      <c r="C664" s="67">
        <v>0</v>
      </c>
      <c r="D664" s="67">
        <v>0</v>
      </c>
      <c r="E664" s="67">
        <v>83900.45</v>
      </c>
      <c r="H664" s="67" t="s">
        <v>146</v>
      </c>
    </row>
    <row r="666" spans="1:9" x14ac:dyDescent="0.25">
      <c r="A666" s="67" t="s">
        <v>4890</v>
      </c>
      <c r="B666" s="67" t="s">
        <v>4889</v>
      </c>
      <c r="C666" s="67">
        <v>0</v>
      </c>
      <c r="D666" s="67">
        <v>0</v>
      </c>
      <c r="E666" s="67">
        <v>83900.41</v>
      </c>
      <c r="F666" s="67">
        <v>25250</v>
      </c>
      <c r="H666" s="68">
        <v>40764</v>
      </c>
      <c r="I666" s="67" t="s">
        <v>148</v>
      </c>
    </row>
    <row r="667" spans="1:9" x14ac:dyDescent="0.25">
      <c r="B667" s="67" t="s">
        <v>4889</v>
      </c>
      <c r="C667" s="67">
        <v>0</v>
      </c>
      <c r="D667" s="67">
        <v>0</v>
      </c>
      <c r="E667" s="67">
        <v>83900.45</v>
      </c>
      <c r="H667" s="67" t="s">
        <v>146</v>
      </c>
    </row>
    <row r="668" spans="1:9" x14ac:dyDescent="0.25">
      <c r="A668" s="67" t="s">
        <v>233</v>
      </c>
    </row>
    <row r="670" spans="1:9" x14ac:dyDescent="0.25">
      <c r="A670" s="67" t="s">
        <v>232</v>
      </c>
      <c r="D670" s="67" t="s">
        <v>231</v>
      </c>
      <c r="H670" s="67" t="s">
        <v>148</v>
      </c>
      <c r="I670" s="67" t="s">
        <v>230</v>
      </c>
    </row>
    <row r="671" spans="1:9" x14ac:dyDescent="0.25">
      <c r="A671" s="67">
        <v>41.1</v>
      </c>
      <c r="C671" s="67" t="s">
        <v>215</v>
      </c>
      <c r="D671" s="67" t="s">
        <v>229</v>
      </c>
      <c r="H671" s="70">
        <v>44771</v>
      </c>
      <c r="I671" s="69">
        <v>0.56736111111111109</v>
      </c>
    </row>
    <row r="672" spans="1:9" x14ac:dyDescent="0.25">
      <c r="A672" s="67" t="s">
        <v>228</v>
      </c>
      <c r="C672" s="67" t="s">
        <v>227</v>
      </c>
      <c r="D672" s="67" t="s">
        <v>226</v>
      </c>
      <c r="E672" s="67">
        <v>589</v>
      </c>
      <c r="H672" s="67" t="s">
        <v>225</v>
      </c>
      <c r="I672" s="67">
        <v>14</v>
      </c>
    </row>
    <row r="673" spans="1:9" x14ac:dyDescent="0.25">
      <c r="A673" s="67" t="s">
        <v>884</v>
      </c>
    </row>
    <row r="674" spans="1:9" x14ac:dyDescent="0.25">
      <c r="A674" s="67" t="s">
        <v>223</v>
      </c>
      <c r="B674" s="67" t="s">
        <v>222</v>
      </c>
      <c r="C674" s="67" t="s">
        <v>221</v>
      </c>
      <c r="D674" s="67" t="s">
        <v>220</v>
      </c>
      <c r="E674" s="67" t="s">
        <v>219</v>
      </c>
      <c r="F674" s="67" t="s">
        <v>217</v>
      </c>
      <c r="G674" s="67" t="s">
        <v>218</v>
      </c>
      <c r="H674" s="67" t="s">
        <v>217</v>
      </c>
      <c r="I674" s="67" t="s">
        <v>216</v>
      </c>
    </row>
    <row r="675" spans="1:9" x14ac:dyDescent="0.25">
      <c r="A675" s="67" t="s">
        <v>215</v>
      </c>
      <c r="B675" s="67" t="s">
        <v>214</v>
      </c>
      <c r="C675" s="67" t="s">
        <v>213</v>
      </c>
      <c r="D675" s="67" t="s">
        <v>212</v>
      </c>
      <c r="E675" s="67" t="s">
        <v>211</v>
      </c>
      <c r="F675" s="67" t="s">
        <v>210</v>
      </c>
      <c r="G675" s="67" t="s">
        <v>209</v>
      </c>
      <c r="H675" s="67" t="s">
        <v>208</v>
      </c>
      <c r="I675" s="67" t="s">
        <v>207</v>
      </c>
    </row>
    <row r="676" spans="1:9" x14ac:dyDescent="0.25">
      <c r="A676" s="67" t="s">
        <v>206</v>
      </c>
      <c r="B676" s="67" t="s">
        <v>205</v>
      </c>
      <c r="C676" s="67" t="s">
        <v>204</v>
      </c>
      <c r="D676" s="67" t="s">
        <v>203</v>
      </c>
      <c r="E676" s="67" t="s">
        <v>202</v>
      </c>
      <c r="F676" s="67" t="s">
        <v>201</v>
      </c>
      <c r="G676" s="67" t="s">
        <v>200</v>
      </c>
      <c r="H676" s="67" t="s">
        <v>199</v>
      </c>
    </row>
    <row r="677" spans="1:9" x14ac:dyDescent="0.25">
      <c r="A677" s="67" t="s">
        <v>4888</v>
      </c>
      <c r="B677" s="67" t="s">
        <v>4887</v>
      </c>
      <c r="C677" s="67">
        <v>0</v>
      </c>
      <c r="D677" s="67">
        <v>0</v>
      </c>
      <c r="E677" s="67">
        <v>83900.41</v>
      </c>
      <c r="F677" s="67">
        <v>25250</v>
      </c>
      <c r="H677" s="68">
        <v>40764</v>
      </c>
      <c r="I677" s="67" t="s">
        <v>148</v>
      </c>
    </row>
    <row r="678" spans="1:9" x14ac:dyDescent="0.25">
      <c r="B678" s="67" t="s">
        <v>4887</v>
      </c>
      <c r="C678" s="67">
        <v>0</v>
      </c>
      <c r="D678" s="67">
        <v>0</v>
      </c>
      <c r="E678" s="67">
        <v>83900.45</v>
      </c>
      <c r="H678" s="67" t="s">
        <v>146</v>
      </c>
    </row>
    <row r="680" spans="1:9" x14ac:dyDescent="0.25">
      <c r="A680" s="67" t="s">
        <v>4886</v>
      </c>
      <c r="B680" s="67" t="s">
        <v>4885</v>
      </c>
      <c r="C680" s="67">
        <v>0</v>
      </c>
      <c r="D680" s="67">
        <v>0</v>
      </c>
      <c r="E680" s="67">
        <v>83900.41</v>
      </c>
      <c r="F680" s="67">
        <v>25250</v>
      </c>
      <c r="H680" s="68">
        <v>40764</v>
      </c>
      <c r="I680" s="67" t="s">
        <v>148</v>
      </c>
    </row>
    <row r="681" spans="1:9" x14ac:dyDescent="0.25">
      <c r="B681" s="67" t="s">
        <v>4885</v>
      </c>
      <c r="C681" s="67">
        <v>0</v>
      </c>
      <c r="D681" s="67">
        <v>0</v>
      </c>
      <c r="E681" s="67">
        <v>83900.45</v>
      </c>
      <c r="H681" s="67" t="s">
        <v>146</v>
      </c>
    </row>
    <row r="683" spans="1:9" x14ac:dyDescent="0.25">
      <c r="A683" s="67" t="s">
        <v>4884</v>
      </c>
      <c r="B683" s="67" t="s">
        <v>4883</v>
      </c>
      <c r="C683" s="67">
        <v>0</v>
      </c>
      <c r="D683" s="67">
        <v>0</v>
      </c>
      <c r="E683" s="67">
        <v>83900.41</v>
      </c>
      <c r="F683" s="67">
        <v>25250</v>
      </c>
      <c r="H683" s="68">
        <v>40764</v>
      </c>
      <c r="I683" s="67" t="s">
        <v>148</v>
      </c>
    </row>
    <row r="684" spans="1:9" x14ac:dyDescent="0.25">
      <c r="B684" s="67" t="s">
        <v>4883</v>
      </c>
      <c r="C684" s="67">
        <v>0</v>
      </c>
      <c r="D684" s="67">
        <v>0</v>
      </c>
      <c r="E684" s="67">
        <v>83900.45</v>
      </c>
      <c r="H684" s="67" t="s">
        <v>146</v>
      </c>
    </row>
    <row r="686" spans="1:9" x14ac:dyDescent="0.25">
      <c r="A686" s="67" t="s">
        <v>4882</v>
      </c>
      <c r="B686" s="67" t="s">
        <v>4881</v>
      </c>
      <c r="C686" s="67">
        <v>0</v>
      </c>
      <c r="D686" s="67">
        <v>0</v>
      </c>
      <c r="E686" s="67">
        <v>83900.41</v>
      </c>
      <c r="F686" s="67">
        <v>25250</v>
      </c>
      <c r="H686" s="68">
        <v>40764</v>
      </c>
      <c r="I686" s="67" t="s">
        <v>148</v>
      </c>
    </row>
    <row r="687" spans="1:9" x14ac:dyDescent="0.25">
      <c r="B687" s="67" t="s">
        <v>4881</v>
      </c>
      <c r="C687" s="67">
        <v>0</v>
      </c>
      <c r="D687" s="67">
        <v>0</v>
      </c>
      <c r="E687" s="67">
        <v>83900.45</v>
      </c>
      <c r="H687" s="67" t="s">
        <v>146</v>
      </c>
    </row>
    <row r="689" spans="1:9" x14ac:dyDescent="0.25">
      <c r="A689" s="67" t="s">
        <v>4880</v>
      </c>
      <c r="B689" s="67" t="s">
        <v>4879</v>
      </c>
      <c r="C689" s="67">
        <v>0</v>
      </c>
      <c r="D689" s="67">
        <v>0</v>
      </c>
      <c r="E689" s="67">
        <v>83900.41</v>
      </c>
      <c r="F689" s="67">
        <v>25250</v>
      </c>
      <c r="H689" s="68">
        <v>40764</v>
      </c>
      <c r="I689" s="67" t="s">
        <v>148</v>
      </c>
    </row>
    <row r="690" spans="1:9" x14ac:dyDescent="0.25">
      <c r="B690" s="67" t="s">
        <v>4879</v>
      </c>
      <c r="C690" s="67">
        <v>0</v>
      </c>
      <c r="D690" s="67">
        <v>0</v>
      </c>
      <c r="E690" s="67">
        <v>83900.45</v>
      </c>
      <c r="H690" s="67" t="s">
        <v>146</v>
      </c>
    </row>
    <row r="692" spans="1:9" x14ac:dyDescent="0.25">
      <c r="A692" s="67" t="s">
        <v>4878</v>
      </c>
      <c r="B692" s="67" t="s">
        <v>4877</v>
      </c>
      <c r="C692" s="67">
        <v>0</v>
      </c>
      <c r="D692" s="67">
        <v>0</v>
      </c>
      <c r="E692" s="67">
        <v>83900.41</v>
      </c>
      <c r="F692" s="67">
        <v>25250</v>
      </c>
      <c r="H692" s="68">
        <v>40764</v>
      </c>
      <c r="I692" s="67" t="s">
        <v>148</v>
      </c>
    </row>
    <row r="693" spans="1:9" x14ac:dyDescent="0.25">
      <c r="B693" s="67" t="s">
        <v>4877</v>
      </c>
      <c r="C693" s="67">
        <v>0</v>
      </c>
      <c r="D693" s="67">
        <v>0</v>
      </c>
      <c r="E693" s="67">
        <v>83900.45</v>
      </c>
      <c r="H693" s="67" t="s">
        <v>146</v>
      </c>
    </row>
    <row r="695" spans="1:9" x14ac:dyDescent="0.25">
      <c r="A695" s="67" t="s">
        <v>4876</v>
      </c>
      <c r="B695" s="67" t="s">
        <v>4875</v>
      </c>
      <c r="C695" s="67">
        <v>0</v>
      </c>
      <c r="D695" s="67">
        <v>0</v>
      </c>
      <c r="E695" s="67">
        <v>83900.41</v>
      </c>
      <c r="F695" s="67">
        <v>25250</v>
      </c>
      <c r="H695" s="68">
        <v>40764</v>
      </c>
      <c r="I695" s="67" t="s">
        <v>148</v>
      </c>
    </row>
    <row r="696" spans="1:9" x14ac:dyDescent="0.25">
      <c r="B696" s="67" t="s">
        <v>4875</v>
      </c>
      <c r="C696" s="67">
        <v>0</v>
      </c>
      <c r="D696" s="67">
        <v>0</v>
      </c>
      <c r="E696" s="67">
        <v>83900.45</v>
      </c>
      <c r="H696" s="67" t="s">
        <v>146</v>
      </c>
    </row>
    <row r="698" spans="1:9" x14ac:dyDescent="0.25">
      <c r="A698" s="67" t="s">
        <v>4874</v>
      </c>
      <c r="B698" s="67" t="s">
        <v>4873</v>
      </c>
      <c r="C698" s="67">
        <v>0</v>
      </c>
      <c r="D698" s="67">
        <v>0</v>
      </c>
      <c r="E698" s="67">
        <v>83900.41</v>
      </c>
      <c r="F698" s="67">
        <v>25250</v>
      </c>
      <c r="H698" s="68">
        <v>40764</v>
      </c>
      <c r="I698" s="67" t="s">
        <v>148</v>
      </c>
    </row>
    <row r="699" spans="1:9" x14ac:dyDescent="0.25">
      <c r="B699" s="67" t="s">
        <v>4873</v>
      </c>
      <c r="C699" s="67">
        <v>0</v>
      </c>
      <c r="D699" s="67">
        <v>0</v>
      </c>
      <c r="E699" s="67">
        <v>83900.45</v>
      </c>
      <c r="H699" s="67" t="s">
        <v>146</v>
      </c>
    </row>
    <row r="701" spans="1:9" x14ac:dyDescent="0.25">
      <c r="A701" s="67" t="s">
        <v>4872</v>
      </c>
      <c r="B701" s="67" t="s">
        <v>4871</v>
      </c>
      <c r="C701" s="67">
        <v>0</v>
      </c>
      <c r="D701" s="67">
        <v>0</v>
      </c>
      <c r="E701" s="67">
        <v>83900.41</v>
      </c>
      <c r="F701" s="67">
        <v>25250</v>
      </c>
      <c r="H701" s="68">
        <v>40764</v>
      </c>
      <c r="I701" s="67" t="s">
        <v>148</v>
      </c>
    </row>
    <row r="702" spans="1:9" x14ac:dyDescent="0.25">
      <c r="B702" s="67" t="s">
        <v>4871</v>
      </c>
      <c r="C702" s="67">
        <v>0</v>
      </c>
      <c r="D702" s="67">
        <v>0</v>
      </c>
      <c r="E702" s="67">
        <v>83900.45</v>
      </c>
      <c r="H702" s="67" t="s">
        <v>146</v>
      </c>
    </row>
    <row r="704" spans="1:9" x14ac:dyDescent="0.25">
      <c r="A704" s="67" t="s">
        <v>4870</v>
      </c>
      <c r="B704" s="67" t="s">
        <v>4869</v>
      </c>
      <c r="C704" s="67">
        <v>0</v>
      </c>
      <c r="D704" s="67">
        <v>0</v>
      </c>
      <c r="E704" s="67">
        <v>83900.41</v>
      </c>
      <c r="F704" s="67">
        <v>25250</v>
      </c>
      <c r="H704" s="68">
        <v>40764</v>
      </c>
      <c r="I704" s="67" t="s">
        <v>148</v>
      </c>
    </row>
    <row r="705" spans="1:9" x14ac:dyDescent="0.25">
      <c r="B705" s="67" t="s">
        <v>4869</v>
      </c>
      <c r="C705" s="67">
        <v>0</v>
      </c>
      <c r="D705" s="67">
        <v>0</v>
      </c>
      <c r="E705" s="67">
        <v>83900.45</v>
      </c>
      <c r="H705" s="67" t="s">
        <v>146</v>
      </c>
    </row>
    <row r="707" spans="1:9" x14ac:dyDescent="0.25">
      <c r="A707" s="67" t="s">
        <v>4868</v>
      </c>
      <c r="B707" s="67" t="s">
        <v>4867</v>
      </c>
      <c r="C707" s="67">
        <v>0</v>
      </c>
      <c r="D707" s="67">
        <v>0</v>
      </c>
      <c r="E707" s="67">
        <v>83900.41</v>
      </c>
      <c r="F707" s="67">
        <v>25250</v>
      </c>
      <c r="H707" s="68">
        <v>40764</v>
      </c>
      <c r="I707" s="67" t="s">
        <v>148</v>
      </c>
    </row>
    <row r="708" spans="1:9" x14ac:dyDescent="0.25">
      <c r="B708" s="67" t="s">
        <v>4867</v>
      </c>
      <c r="C708" s="67">
        <v>0</v>
      </c>
      <c r="D708" s="67">
        <v>0</v>
      </c>
      <c r="E708" s="67">
        <v>83900.45</v>
      </c>
      <c r="H708" s="67" t="s">
        <v>146</v>
      </c>
    </row>
    <row r="710" spans="1:9" x14ac:dyDescent="0.25">
      <c r="A710" s="67" t="s">
        <v>4866</v>
      </c>
      <c r="B710" s="67" t="s">
        <v>4865</v>
      </c>
      <c r="C710" s="67">
        <v>0</v>
      </c>
      <c r="D710" s="67">
        <v>0</v>
      </c>
      <c r="E710" s="67">
        <v>83900.41</v>
      </c>
      <c r="F710" s="67">
        <v>25250</v>
      </c>
      <c r="H710" s="68">
        <v>40764</v>
      </c>
      <c r="I710" s="67" t="s">
        <v>148</v>
      </c>
    </row>
    <row r="711" spans="1:9" x14ac:dyDescent="0.25">
      <c r="B711" s="67" t="s">
        <v>4865</v>
      </c>
      <c r="C711" s="67">
        <v>0</v>
      </c>
      <c r="D711" s="67">
        <v>0</v>
      </c>
      <c r="E711" s="67">
        <v>83900.45</v>
      </c>
      <c r="H711" s="67" t="s">
        <v>146</v>
      </c>
    </row>
    <row r="713" spans="1:9" x14ac:dyDescent="0.25">
      <c r="A713" s="67" t="s">
        <v>4864</v>
      </c>
      <c r="B713" s="67" t="s">
        <v>4863</v>
      </c>
      <c r="C713" s="67">
        <v>0</v>
      </c>
      <c r="D713" s="67">
        <v>0</v>
      </c>
      <c r="E713" s="67">
        <v>83900.41</v>
      </c>
      <c r="F713" s="67">
        <v>25250</v>
      </c>
      <c r="H713" s="68">
        <v>40764</v>
      </c>
      <c r="I713" s="67" t="s">
        <v>148</v>
      </c>
    </row>
    <row r="714" spans="1:9" x14ac:dyDescent="0.25">
      <c r="B714" s="67" t="s">
        <v>4863</v>
      </c>
      <c r="C714" s="67">
        <v>0</v>
      </c>
      <c r="D714" s="67">
        <v>0</v>
      </c>
      <c r="E714" s="67">
        <v>83900.45</v>
      </c>
      <c r="H714" s="67" t="s">
        <v>146</v>
      </c>
    </row>
    <row r="716" spans="1:9" x14ac:dyDescent="0.25">
      <c r="A716" s="67" t="s">
        <v>4862</v>
      </c>
      <c r="B716" s="67" t="s">
        <v>4861</v>
      </c>
      <c r="C716" s="67">
        <v>0</v>
      </c>
      <c r="D716" s="67">
        <v>0</v>
      </c>
      <c r="E716" s="67">
        <v>83900.41</v>
      </c>
      <c r="F716" s="67">
        <v>25250</v>
      </c>
      <c r="H716" s="68">
        <v>40764</v>
      </c>
      <c r="I716" s="67" t="s">
        <v>148</v>
      </c>
    </row>
    <row r="717" spans="1:9" x14ac:dyDescent="0.25">
      <c r="B717" s="67" t="s">
        <v>4861</v>
      </c>
      <c r="C717" s="67">
        <v>0</v>
      </c>
      <c r="D717" s="67">
        <v>0</v>
      </c>
      <c r="E717" s="67">
        <v>83900.45</v>
      </c>
      <c r="H717" s="67" t="s">
        <v>146</v>
      </c>
    </row>
    <row r="719" spans="1:9" x14ac:dyDescent="0.25">
      <c r="A719" s="67" t="s">
        <v>4860</v>
      </c>
      <c r="B719" s="67" t="s">
        <v>4859</v>
      </c>
      <c r="C719" s="67">
        <v>0</v>
      </c>
      <c r="D719" s="67">
        <v>0</v>
      </c>
      <c r="E719" s="67">
        <v>83900.41</v>
      </c>
      <c r="F719" s="67">
        <v>25250</v>
      </c>
      <c r="H719" s="68">
        <v>40764</v>
      </c>
      <c r="I719" s="67" t="s">
        <v>148</v>
      </c>
    </row>
    <row r="720" spans="1:9" x14ac:dyDescent="0.25">
      <c r="B720" s="67" t="s">
        <v>4859</v>
      </c>
      <c r="C720" s="67">
        <v>0</v>
      </c>
      <c r="D720" s="67">
        <v>0</v>
      </c>
      <c r="E720" s="67">
        <v>83900.45</v>
      </c>
      <c r="H720" s="67" t="s">
        <v>146</v>
      </c>
    </row>
    <row r="722" spans="1:9" x14ac:dyDescent="0.25">
      <c r="A722" s="67" t="s">
        <v>4858</v>
      </c>
      <c r="B722" s="67" t="s">
        <v>4857</v>
      </c>
      <c r="C722" s="67">
        <v>0</v>
      </c>
      <c r="D722" s="67">
        <v>0</v>
      </c>
      <c r="E722" s="67">
        <v>83900.41</v>
      </c>
      <c r="F722" s="67">
        <v>25250</v>
      </c>
      <c r="H722" s="68">
        <v>40764</v>
      </c>
      <c r="I722" s="67" t="s">
        <v>148</v>
      </c>
    </row>
    <row r="723" spans="1:9" x14ac:dyDescent="0.25">
      <c r="B723" s="67" t="s">
        <v>4857</v>
      </c>
      <c r="C723" s="67">
        <v>0</v>
      </c>
      <c r="D723" s="67">
        <v>0</v>
      </c>
      <c r="E723" s="67">
        <v>83900.45</v>
      </c>
      <c r="H723" s="67" t="s">
        <v>146</v>
      </c>
    </row>
    <row r="725" spans="1:9" x14ac:dyDescent="0.25">
      <c r="A725" s="67" t="s">
        <v>4856</v>
      </c>
      <c r="B725" s="67" t="s">
        <v>4855</v>
      </c>
      <c r="C725" s="67">
        <v>0</v>
      </c>
      <c r="D725" s="67">
        <v>0</v>
      </c>
      <c r="E725" s="67">
        <v>83900.41</v>
      </c>
      <c r="F725" s="67">
        <v>25250</v>
      </c>
      <c r="H725" s="68">
        <v>40764</v>
      </c>
      <c r="I725" s="67" t="s">
        <v>148</v>
      </c>
    </row>
    <row r="726" spans="1:9" x14ac:dyDescent="0.25">
      <c r="B726" s="67" t="s">
        <v>4855</v>
      </c>
      <c r="C726" s="67">
        <v>0</v>
      </c>
      <c r="D726" s="67">
        <v>0</v>
      </c>
      <c r="E726" s="67">
        <v>83900.45</v>
      </c>
      <c r="H726" s="67" t="s">
        <v>146</v>
      </c>
    </row>
    <row r="727" spans="1:9" x14ac:dyDescent="0.25">
      <c r="A727" s="67" t="s">
        <v>233</v>
      </c>
    </row>
    <row r="729" spans="1:9" x14ac:dyDescent="0.25">
      <c r="A729" s="67" t="s">
        <v>232</v>
      </c>
      <c r="D729" s="67" t="s">
        <v>231</v>
      </c>
      <c r="H729" s="67" t="s">
        <v>148</v>
      </c>
      <c r="I729" s="67" t="s">
        <v>230</v>
      </c>
    </row>
    <row r="730" spans="1:9" x14ac:dyDescent="0.25">
      <c r="A730" s="67">
        <v>41.1</v>
      </c>
      <c r="C730" s="67" t="s">
        <v>215</v>
      </c>
      <c r="D730" s="67" t="s">
        <v>229</v>
      </c>
      <c r="H730" s="70">
        <v>44771</v>
      </c>
      <c r="I730" s="69">
        <v>0.56736111111111109</v>
      </c>
    </row>
    <row r="731" spans="1:9" x14ac:dyDescent="0.25">
      <c r="A731" s="67" t="s">
        <v>228</v>
      </c>
      <c r="C731" s="67" t="s">
        <v>227</v>
      </c>
      <c r="D731" s="67" t="s">
        <v>226</v>
      </c>
      <c r="E731" s="67">
        <v>589</v>
      </c>
      <c r="H731" s="67" t="s">
        <v>225</v>
      </c>
      <c r="I731" s="67">
        <v>15</v>
      </c>
    </row>
    <row r="732" spans="1:9" x14ac:dyDescent="0.25">
      <c r="A732" s="67" t="s">
        <v>884</v>
      </c>
    </row>
    <row r="733" spans="1:9" x14ac:dyDescent="0.25">
      <c r="A733" s="67" t="s">
        <v>223</v>
      </c>
      <c r="B733" s="67" t="s">
        <v>222</v>
      </c>
      <c r="C733" s="67" t="s">
        <v>221</v>
      </c>
      <c r="D733" s="67" t="s">
        <v>220</v>
      </c>
      <c r="E733" s="67" t="s">
        <v>219</v>
      </c>
      <c r="F733" s="67" t="s">
        <v>217</v>
      </c>
      <c r="G733" s="67" t="s">
        <v>218</v>
      </c>
      <c r="H733" s="67" t="s">
        <v>217</v>
      </c>
      <c r="I733" s="67" t="s">
        <v>216</v>
      </c>
    </row>
    <row r="734" spans="1:9" x14ac:dyDescent="0.25">
      <c r="A734" s="67" t="s">
        <v>215</v>
      </c>
      <c r="B734" s="67" t="s">
        <v>214</v>
      </c>
      <c r="C734" s="67" t="s">
        <v>213</v>
      </c>
      <c r="D734" s="67" t="s">
        <v>212</v>
      </c>
      <c r="E734" s="67" t="s">
        <v>211</v>
      </c>
      <c r="F734" s="67" t="s">
        <v>210</v>
      </c>
      <c r="G734" s="67" t="s">
        <v>209</v>
      </c>
      <c r="H734" s="67" t="s">
        <v>208</v>
      </c>
      <c r="I734" s="67" t="s">
        <v>207</v>
      </c>
    </row>
    <row r="735" spans="1:9" x14ac:dyDescent="0.25">
      <c r="A735" s="67" t="s">
        <v>206</v>
      </c>
      <c r="B735" s="67" t="s">
        <v>205</v>
      </c>
      <c r="C735" s="67" t="s">
        <v>204</v>
      </c>
      <c r="D735" s="67" t="s">
        <v>203</v>
      </c>
      <c r="E735" s="67" t="s">
        <v>202</v>
      </c>
      <c r="F735" s="67" t="s">
        <v>201</v>
      </c>
      <c r="G735" s="67" t="s">
        <v>200</v>
      </c>
      <c r="H735" s="67" t="s">
        <v>199</v>
      </c>
    </row>
    <row r="736" spans="1:9" x14ac:dyDescent="0.25">
      <c r="A736" s="67" t="s">
        <v>4854</v>
      </c>
      <c r="B736" s="67" t="s">
        <v>4853</v>
      </c>
      <c r="C736" s="67">
        <v>0</v>
      </c>
      <c r="D736" s="67">
        <v>0</v>
      </c>
      <c r="E736" s="67">
        <v>83900.41</v>
      </c>
      <c r="F736" s="67">
        <v>25250</v>
      </c>
      <c r="H736" s="68">
        <v>40764</v>
      </c>
      <c r="I736" s="67" t="s">
        <v>148</v>
      </c>
    </row>
    <row r="737" spans="1:9" x14ac:dyDescent="0.25">
      <c r="B737" s="67" t="s">
        <v>4853</v>
      </c>
      <c r="C737" s="67">
        <v>0</v>
      </c>
      <c r="D737" s="67">
        <v>0</v>
      </c>
      <c r="E737" s="67">
        <v>83900.45</v>
      </c>
      <c r="H737" s="67" t="s">
        <v>146</v>
      </c>
    </row>
    <row r="739" spans="1:9" x14ac:dyDescent="0.25">
      <c r="A739" s="67" t="s">
        <v>4852</v>
      </c>
      <c r="B739" s="67" t="s">
        <v>4851</v>
      </c>
      <c r="C739" s="67">
        <v>0</v>
      </c>
      <c r="D739" s="67">
        <v>0</v>
      </c>
      <c r="E739" s="67">
        <v>83900.41</v>
      </c>
      <c r="F739" s="67">
        <v>25250</v>
      </c>
      <c r="H739" s="68">
        <v>40764</v>
      </c>
      <c r="I739" s="67" t="s">
        <v>148</v>
      </c>
    </row>
    <row r="740" spans="1:9" x14ac:dyDescent="0.25">
      <c r="B740" s="67" t="s">
        <v>4851</v>
      </c>
      <c r="C740" s="67">
        <v>0</v>
      </c>
      <c r="D740" s="67">
        <v>0</v>
      </c>
      <c r="E740" s="67">
        <v>83900.45</v>
      </c>
      <c r="H740" s="67" t="s">
        <v>146</v>
      </c>
    </row>
    <row r="742" spans="1:9" x14ac:dyDescent="0.25">
      <c r="A742" s="67" t="s">
        <v>4850</v>
      </c>
      <c r="B742" s="67" t="s">
        <v>4849</v>
      </c>
      <c r="C742" s="67">
        <v>0</v>
      </c>
      <c r="D742" s="67">
        <v>0</v>
      </c>
      <c r="E742" s="67">
        <v>83900.41</v>
      </c>
      <c r="F742" s="67">
        <v>25250</v>
      </c>
      <c r="H742" s="68">
        <v>40764</v>
      </c>
      <c r="I742" s="67" t="s">
        <v>148</v>
      </c>
    </row>
    <row r="743" spans="1:9" x14ac:dyDescent="0.25">
      <c r="B743" s="67" t="s">
        <v>4849</v>
      </c>
      <c r="C743" s="67">
        <v>0</v>
      </c>
      <c r="D743" s="67">
        <v>0</v>
      </c>
      <c r="E743" s="67">
        <v>83900.45</v>
      </c>
      <c r="H743" s="67" t="s">
        <v>146</v>
      </c>
    </row>
    <row r="745" spans="1:9" x14ac:dyDescent="0.25">
      <c r="A745" s="67" t="s">
        <v>4848</v>
      </c>
      <c r="B745" s="67" t="s">
        <v>4847</v>
      </c>
      <c r="C745" s="67">
        <v>0</v>
      </c>
      <c r="D745" s="67">
        <v>0</v>
      </c>
      <c r="E745" s="67">
        <v>83900.41</v>
      </c>
      <c r="F745" s="67">
        <v>25250</v>
      </c>
      <c r="H745" s="68">
        <v>40764</v>
      </c>
      <c r="I745" s="67" t="s">
        <v>148</v>
      </c>
    </row>
    <row r="746" spans="1:9" x14ac:dyDescent="0.25">
      <c r="B746" s="67" t="s">
        <v>4847</v>
      </c>
      <c r="C746" s="67">
        <v>0</v>
      </c>
      <c r="D746" s="67">
        <v>0</v>
      </c>
      <c r="E746" s="67">
        <v>83900.45</v>
      </c>
      <c r="H746" s="67" t="s">
        <v>146</v>
      </c>
    </row>
    <row r="748" spans="1:9" x14ac:dyDescent="0.25">
      <c r="A748" s="67" t="s">
        <v>4846</v>
      </c>
      <c r="B748" s="67" t="s">
        <v>4845</v>
      </c>
      <c r="C748" s="67">
        <v>0</v>
      </c>
      <c r="D748" s="67">
        <v>0</v>
      </c>
      <c r="E748" s="67">
        <v>83900.41</v>
      </c>
      <c r="F748" s="67">
        <v>25250</v>
      </c>
      <c r="H748" s="68">
        <v>40764</v>
      </c>
      <c r="I748" s="67" t="s">
        <v>148</v>
      </c>
    </row>
    <row r="749" spans="1:9" x14ac:dyDescent="0.25">
      <c r="B749" s="67" t="s">
        <v>4845</v>
      </c>
      <c r="C749" s="67">
        <v>0</v>
      </c>
      <c r="D749" s="67">
        <v>0</v>
      </c>
      <c r="E749" s="67">
        <v>83900.45</v>
      </c>
      <c r="H749" s="67" t="s">
        <v>146</v>
      </c>
    </row>
    <row r="751" spans="1:9" x14ac:dyDescent="0.25">
      <c r="A751" s="67" t="s">
        <v>4844</v>
      </c>
      <c r="B751" s="67" t="s">
        <v>4843</v>
      </c>
      <c r="C751" s="67">
        <v>0</v>
      </c>
      <c r="D751" s="67">
        <v>0</v>
      </c>
      <c r="E751" s="67">
        <v>83900.41</v>
      </c>
      <c r="F751" s="67">
        <v>25250</v>
      </c>
      <c r="H751" s="68">
        <v>40764</v>
      </c>
      <c r="I751" s="67" t="s">
        <v>148</v>
      </c>
    </row>
    <row r="752" spans="1:9" x14ac:dyDescent="0.25">
      <c r="B752" s="67" t="s">
        <v>4843</v>
      </c>
      <c r="C752" s="67">
        <v>0</v>
      </c>
      <c r="D752" s="67">
        <v>0</v>
      </c>
      <c r="E752" s="67">
        <v>83900.45</v>
      </c>
      <c r="H752" s="67" t="s">
        <v>146</v>
      </c>
    </row>
    <row r="754" spans="1:9" x14ac:dyDescent="0.25">
      <c r="A754" s="67" t="s">
        <v>4842</v>
      </c>
      <c r="B754" s="67" t="s">
        <v>4841</v>
      </c>
      <c r="C754" s="67">
        <v>0</v>
      </c>
      <c r="D754" s="67">
        <v>0</v>
      </c>
      <c r="E754" s="67">
        <v>83900.41</v>
      </c>
      <c r="F754" s="67">
        <v>25250</v>
      </c>
      <c r="H754" s="68">
        <v>40764</v>
      </c>
      <c r="I754" s="67" t="s">
        <v>148</v>
      </c>
    </row>
    <row r="755" spans="1:9" x14ac:dyDescent="0.25">
      <c r="B755" s="67" t="s">
        <v>4841</v>
      </c>
      <c r="C755" s="67">
        <v>0</v>
      </c>
      <c r="D755" s="67">
        <v>0</v>
      </c>
      <c r="E755" s="67">
        <v>83900.45</v>
      </c>
      <c r="H755" s="67" t="s">
        <v>146</v>
      </c>
    </row>
    <row r="757" spans="1:9" x14ac:dyDescent="0.25">
      <c r="A757" s="67" t="s">
        <v>4840</v>
      </c>
      <c r="B757" s="67" t="s">
        <v>4839</v>
      </c>
      <c r="C757" s="67">
        <v>0</v>
      </c>
      <c r="D757" s="67">
        <v>0</v>
      </c>
      <c r="E757" s="67">
        <v>83900.41</v>
      </c>
      <c r="F757" s="67">
        <v>25250</v>
      </c>
      <c r="H757" s="68">
        <v>40764</v>
      </c>
      <c r="I757" s="67" t="s">
        <v>148</v>
      </c>
    </row>
    <row r="758" spans="1:9" x14ac:dyDescent="0.25">
      <c r="B758" s="67" t="s">
        <v>4839</v>
      </c>
      <c r="C758" s="67">
        <v>0</v>
      </c>
      <c r="D758" s="67">
        <v>0</v>
      </c>
      <c r="E758" s="67">
        <v>83900.45</v>
      </c>
      <c r="H758" s="67" t="s">
        <v>146</v>
      </c>
    </row>
    <row r="760" spans="1:9" x14ac:dyDescent="0.25">
      <c r="A760" s="67" t="s">
        <v>4838</v>
      </c>
      <c r="B760" s="67" t="s">
        <v>4837</v>
      </c>
      <c r="C760" s="67">
        <v>0</v>
      </c>
      <c r="D760" s="67">
        <v>0</v>
      </c>
      <c r="E760" s="67">
        <v>83900.41</v>
      </c>
      <c r="F760" s="67">
        <v>25250</v>
      </c>
      <c r="H760" s="68">
        <v>40764</v>
      </c>
      <c r="I760" s="67" t="s">
        <v>148</v>
      </c>
    </row>
    <row r="761" spans="1:9" x14ac:dyDescent="0.25">
      <c r="B761" s="67" t="s">
        <v>4837</v>
      </c>
      <c r="C761" s="67">
        <v>0</v>
      </c>
      <c r="D761" s="67">
        <v>0</v>
      </c>
      <c r="E761" s="67">
        <v>83900.45</v>
      </c>
      <c r="H761" s="67" t="s">
        <v>146</v>
      </c>
    </row>
    <row r="763" spans="1:9" x14ac:dyDescent="0.25">
      <c r="A763" s="67" t="s">
        <v>4836</v>
      </c>
      <c r="B763" s="67" t="s">
        <v>4835</v>
      </c>
      <c r="C763" s="67">
        <v>0</v>
      </c>
      <c r="D763" s="67">
        <v>0</v>
      </c>
      <c r="E763" s="67">
        <v>83900.41</v>
      </c>
      <c r="F763" s="67">
        <v>25250</v>
      </c>
      <c r="H763" s="68">
        <v>40764</v>
      </c>
      <c r="I763" s="67" t="s">
        <v>148</v>
      </c>
    </row>
    <row r="764" spans="1:9" x14ac:dyDescent="0.25">
      <c r="B764" s="67" t="s">
        <v>4835</v>
      </c>
      <c r="C764" s="67">
        <v>0</v>
      </c>
      <c r="D764" s="67">
        <v>0</v>
      </c>
      <c r="E764" s="67">
        <v>83900.45</v>
      </c>
      <c r="H764" s="67" t="s">
        <v>146</v>
      </c>
    </row>
    <row r="766" spans="1:9" x14ac:dyDescent="0.25">
      <c r="A766" s="67" t="s">
        <v>4834</v>
      </c>
      <c r="B766" s="67" t="s">
        <v>4833</v>
      </c>
      <c r="C766" s="67">
        <v>0</v>
      </c>
      <c r="D766" s="67">
        <v>0</v>
      </c>
      <c r="E766" s="67">
        <v>83900.41</v>
      </c>
      <c r="F766" s="67">
        <v>25250</v>
      </c>
      <c r="H766" s="68">
        <v>40764</v>
      </c>
      <c r="I766" s="67" t="s">
        <v>148</v>
      </c>
    </row>
    <row r="767" spans="1:9" x14ac:dyDescent="0.25">
      <c r="B767" s="67" t="s">
        <v>4833</v>
      </c>
      <c r="C767" s="67">
        <v>0</v>
      </c>
      <c r="D767" s="67">
        <v>0</v>
      </c>
      <c r="E767" s="67">
        <v>83900.45</v>
      </c>
      <c r="H767" s="67" t="s">
        <v>146</v>
      </c>
    </row>
    <row r="769" spans="1:9" x14ac:dyDescent="0.25">
      <c r="A769" s="67" t="s">
        <v>4832</v>
      </c>
      <c r="B769" s="67" t="s">
        <v>4831</v>
      </c>
      <c r="C769" s="67">
        <v>0</v>
      </c>
      <c r="D769" s="67">
        <v>0</v>
      </c>
      <c r="E769" s="67">
        <v>83900.41</v>
      </c>
      <c r="F769" s="67">
        <v>25250</v>
      </c>
      <c r="H769" s="68">
        <v>40764</v>
      </c>
      <c r="I769" s="67" t="s">
        <v>148</v>
      </c>
    </row>
    <row r="770" spans="1:9" x14ac:dyDescent="0.25">
      <c r="B770" s="67" t="s">
        <v>4831</v>
      </c>
      <c r="C770" s="67">
        <v>0</v>
      </c>
      <c r="D770" s="67">
        <v>0</v>
      </c>
      <c r="E770" s="67">
        <v>83900.45</v>
      </c>
      <c r="H770" s="67" t="s">
        <v>146</v>
      </c>
    </row>
    <row r="772" spans="1:9" x14ac:dyDescent="0.25">
      <c r="A772" s="67" t="s">
        <v>4830</v>
      </c>
      <c r="B772" s="67" t="s">
        <v>4829</v>
      </c>
      <c r="C772" s="67">
        <v>0</v>
      </c>
      <c r="D772" s="67">
        <v>0</v>
      </c>
      <c r="E772" s="67">
        <v>83900.41</v>
      </c>
      <c r="F772" s="67">
        <v>25250</v>
      </c>
      <c r="H772" s="68">
        <v>40764</v>
      </c>
      <c r="I772" s="67" t="s">
        <v>148</v>
      </c>
    </row>
    <row r="773" spans="1:9" x14ac:dyDescent="0.25">
      <c r="B773" s="67" t="s">
        <v>4829</v>
      </c>
      <c r="C773" s="67">
        <v>0</v>
      </c>
      <c r="D773" s="67">
        <v>0</v>
      </c>
      <c r="E773" s="67">
        <v>83900.45</v>
      </c>
      <c r="H773" s="67" t="s">
        <v>146</v>
      </c>
    </row>
    <row r="775" spans="1:9" x14ac:dyDescent="0.25">
      <c r="A775" s="67" t="s">
        <v>4828</v>
      </c>
      <c r="B775" s="67" t="s">
        <v>4827</v>
      </c>
      <c r="C775" s="67">
        <v>0</v>
      </c>
      <c r="D775" s="67">
        <v>0</v>
      </c>
      <c r="E775" s="67">
        <v>83900.41</v>
      </c>
      <c r="F775" s="67">
        <v>25250</v>
      </c>
      <c r="H775" s="68">
        <v>40764</v>
      </c>
      <c r="I775" s="67" t="s">
        <v>148</v>
      </c>
    </row>
    <row r="776" spans="1:9" x14ac:dyDescent="0.25">
      <c r="B776" s="67" t="s">
        <v>4827</v>
      </c>
      <c r="C776" s="67">
        <v>0</v>
      </c>
      <c r="D776" s="67">
        <v>0</v>
      </c>
      <c r="E776" s="67">
        <v>83900.45</v>
      </c>
      <c r="H776" s="67" t="s">
        <v>146</v>
      </c>
    </row>
    <row r="778" spans="1:9" x14ac:dyDescent="0.25">
      <c r="A778" s="67" t="s">
        <v>4826</v>
      </c>
      <c r="B778" s="67" t="s">
        <v>4825</v>
      </c>
      <c r="C778" s="67">
        <v>0</v>
      </c>
      <c r="D778" s="67">
        <v>0</v>
      </c>
      <c r="E778" s="67">
        <v>83900.41</v>
      </c>
      <c r="F778" s="67">
        <v>25250</v>
      </c>
      <c r="H778" s="68">
        <v>40764</v>
      </c>
      <c r="I778" s="67" t="s">
        <v>148</v>
      </c>
    </row>
    <row r="779" spans="1:9" x14ac:dyDescent="0.25">
      <c r="B779" s="67" t="s">
        <v>4825</v>
      </c>
      <c r="C779" s="67">
        <v>0</v>
      </c>
      <c r="D779" s="67">
        <v>0</v>
      </c>
      <c r="E779" s="67">
        <v>83900.45</v>
      </c>
      <c r="H779" s="67" t="s">
        <v>146</v>
      </c>
    </row>
    <row r="781" spans="1:9" x14ac:dyDescent="0.25">
      <c r="A781" s="67" t="s">
        <v>4824</v>
      </c>
      <c r="B781" s="67" t="s">
        <v>4823</v>
      </c>
      <c r="C781" s="67">
        <v>0</v>
      </c>
      <c r="D781" s="67">
        <v>0</v>
      </c>
      <c r="E781" s="67">
        <v>83900.41</v>
      </c>
      <c r="F781" s="67">
        <v>25250</v>
      </c>
      <c r="H781" s="68">
        <v>40764</v>
      </c>
      <c r="I781" s="67" t="s">
        <v>148</v>
      </c>
    </row>
    <row r="782" spans="1:9" x14ac:dyDescent="0.25">
      <c r="B782" s="67" t="s">
        <v>4823</v>
      </c>
      <c r="C782" s="67">
        <v>0</v>
      </c>
      <c r="D782" s="67">
        <v>0</v>
      </c>
      <c r="E782" s="67">
        <v>83900.45</v>
      </c>
      <c r="H782" s="67" t="s">
        <v>146</v>
      </c>
    </row>
    <row r="784" spans="1:9" x14ac:dyDescent="0.25">
      <c r="A784" s="67" t="s">
        <v>4822</v>
      </c>
      <c r="B784" s="67" t="s">
        <v>4821</v>
      </c>
      <c r="C784" s="67">
        <v>0</v>
      </c>
      <c r="D784" s="67">
        <v>0</v>
      </c>
      <c r="E784" s="67">
        <v>83900.41</v>
      </c>
      <c r="F784" s="67">
        <v>25250</v>
      </c>
      <c r="H784" s="68">
        <v>40764</v>
      </c>
      <c r="I784" s="67" t="s">
        <v>148</v>
      </c>
    </row>
    <row r="785" spans="1:9" x14ac:dyDescent="0.25">
      <c r="B785" s="67" t="s">
        <v>4821</v>
      </c>
      <c r="C785" s="67">
        <v>0</v>
      </c>
      <c r="D785" s="67">
        <v>0</v>
      </c>
      <c r="E785" s="67">
        <v>83900.45</v>
      </c>
      <c r="H785" s="67" t="s">
        <v>146</v>
      </c>
    </row>
    <row r="786" spans="1:9" x14ac:dyDescent="0.25">
      <c r="A786" s="67" t="s">
        <v>233</v>
      </c>
    </row>
    <row r="788" spans="1:9" x14ac:dyDescent="0.25">
      <c r="A788" s="67" t="s">
        <v>232</v>
      </c>
      <c r="D788" s="67" t="s">
        <v>231</v>
      </c>
      <c r="H788" s="67" t="s">
        <v>148</v>
      </c>
      <c r="I788" s="67" t="s">
        <v>230</v>
      </c>
    </row>
    <row r="789" spans="1:9" x14ac:dyDescent="0.25">
      <c r="A789" s="67">
        <v>41.1</v>
      </c>
      <c r="C789" s="67" t="s">
        <v>215</v>
      </c>
      <c r="D789" s="67" t="s">
        <v>229</v>
      </c>
      <c r="H789" s="70">
        <v>44771</v>
      </c>
      <c r="I789" s="69">
        <v>0.56736111111111109</v>
      </c>
    </row>
    <row r="790" spans="1:9" x14ac:dyDescent="0.25">
      <c r="A790" s="67" t="s">
        <v>228</v>
      </c>
      <c r="C790" s="67" t="s">
        <v>227</v>
      </c>
      <c r="D790" s="67" t="s">
        <v>226</v>
      </c>
      <c r="E790" s="67">
        <v>589</v>
      </c>
      <c r="H790" s="67" t="s">
        <v>225</v>
      </c>
      <c r="I790" s="67">
        <v>16</v>
      </c>
    </row>
    <row r="791" spans="1:9" x14ac:dyDescent="0.25">
      <c r="A791" s="67" t="s">
        <v>884</v>
      </c>
    </row>
    <row r="792" spans="1:9" x14ac:dyDescent="0.25">
      <c r="A792" s="67" t="s">
        <v>223</v>
      </c>
      <c r="B792" s="67" t="s">
        <v>222</v>
      </c>
      <c r="C792" s="67" t="s">
        <v>221</v>
      </c>
      <c r="D792" s="67" t="s">
        <v>220</v>
      </c>
      <c r="E792" s="67" t="s">
        <v>219</v>
      </c>
      <c r="F792" s="67" t="s">
        <v>217</v>
      </c>
      <c r="G792" s="67" t="s">
        <v>218</v>
      </c>
      <c r="H792" s="67" t="s">
        <v>217</v>
      </c>
      <c r="I792" s="67" t="s">
        <v>216</v>
      </c>
    </row>
    <row r="793" spans="1:9" x14ac:dyDescent="0.25">
      <c r="A793" s="67" t="s">
        <v>215</v>
      </c>
      <c r="B793" s="67" t="s">
        <v>214</v>
      </c>
      <c r="C793" s="67" t="s">
        <v>213</v>
      </c>
      <c r="D793" s="67" t="s">
        <v>212</v>
      </c>
      <c r="E793" s="67" t="s">
        <v>211</v>
      </c>
      <c r="F793" s="67" t="s">
        <v>210</v>
      </c>
      <c r="G793" s="67" t="s">
        <v>209</v>
      </c>
      <c r="H793" s="67" t="s">
        <v>208</v>
      </c>
      <c r="I793" s="67" t="s">
        <v>207</v>
      </c>
    </row>
    <row r="794" spans="1:9" x14ac:dyDescent="0.25">
      <c r="A794" s="67" t="s">
        <v>206</v>
      </c>
      <c r="B794" s="67" t="s">
        <v>205</v>
      </c>
      <c r="C794" s="67" t="s">
        <v>204</v>
      </c>
      <c r="D794" s="67" t="s">
        <v>203</v>
      </c>
      <c r="E794" s="67" t="s">
        <v>202</v>
      </c>
      <c r="F794" s="67" t="s">
        <v>201</v>
      </c>
      <c r="G794" s="67" t="s">
        <v>200</v>
      </c>
      <c r="H794" s="67" t="s">
        <v>199</v>
      </c>
    </row>
    <row r="795" spans="1:9" x14ac:dyDescent="0.25">
      <c r="A795" s="67" t="s">
        <v>4820</v>
      </c>
      <c r="B795" s="67" t="s">
        <v>4819</v>
      </c>
      <c r="C795" s="67">
        <v>0</v>
      </c>
      <c r="D795" s="67">
        <v>0</v>
      </c>
      <c r="E795" s="67">
        <v>83900.41</v>
      </c>
      <c r="F795" s="67">
        <v>25250</v>
      </c>
      <c r="H795" s="68">
        <v>40764</v>
      </c>
      <c r="I795" s="67" t="s">
        <v>148</v>
      </c>
    </row>
    <row r="796" spans="1:9" x14ac:dyDescent="0.25">
      <c r="B796" s="67" t="s">
        <v>4819</v>
      </c>
      <c r="C796" s="67">
        <v>0</v>
      </c>
      <c r="D796" s="67">
        <v>0</v>
      </c>
      <c r="E796" s="67">
        <v>83900.45</v>
      </c>
      <c r="H796" s="67" t="s">
        <v>146</v>
      </c>
    </row>
    <row r="798" spans="1:9" x14ac:dyDescent="0.25">
      <c r="A798" s="67" t="s">
        <v>4818</v>
      </c>
      <c r="B798" s="67" t="s">
        <v>4817</v>
      </c>
      <c r="C798" s="67">
        <v>0</v>
      </c>
      <c r="D798" s="67">
        <v>0</v>
      </c>
      <c r="E798" s="67">
        <v>83900.41</v>
      </c>
      <c r="F798" s="67">
        <v>25250</v>
      </c>
      <c r="H798" s="68">
        <v>40764</v>
      </c>
      <c r="I798" s="67" t="s">
        <v>148</v>
      </c>
    </row>
    <row r="799" spans="1:9" x14ac:dyDescent="0.25">
      <c r="B799" s="67" t="s">
        <v>4817</v>
      </c>
      <c r="C799" s="67">
        <v>0</v>
      </c>
      <c r="D799" s="67">
        <v>0</v>
      </c>
      <c r="E799" s="67">
        <v>83900.45</v>
      </c>
      <c r="H799" s="67" t="s">
        <v>146</v>
      </c>
    </row>
    <row r="801" spans="1:9" x14ac:dyDescent="0.25">
      <c r="A801" s="67" t="s">
        <v>4816</v>
      </c>
      <c r="B801" s="67" t="s">
        <v>4815</v>
      </c>
      <c r="C801" s="67">
        <v>0</v>
      </c>
      <c r="D801" s="67">
        <v>0</v>
      </c>
      <c r="E801" s="67">
        <v>83900.41</v>
      </c>
      <c r="F801" s="67">
        <v>25250</v>
      </c>
      <c r="H801" s="68">
        <v>40764</v>
      </c>
      <c r="I801" s="67" t="s">
        <v>148</v>
      </c>
    </row>
    <row r="802" spans="1:9" x14ac:dyDescent="0.25">
      <c r="B802" s="67" t="s">
        <v>4815</v>
      </c>
      <c r="C802" s="67">
        <v>0</v>
      </c>
      <c r="D802" s="67">
        <v>0</v>
      </c>
      <c r="E802" s="67">
        <v>83900.45</v>
      </c>
      <c r="H802" s="67" t="s">
        <v>146</v>
      </c>
    </row>
    <row r="804" spans="1:9" x14ac:dyDescent="0.25">
      <c r="A804" s="67" t="s">
        <v>4814</v>
      </c>
      <c r="B804" s="67" t="s">
        <v>4813</v>
      </c>
      <c r="C804" s="67">
        <v>0</v>
      </c>
      <c r="D804" s="67">
        <v>0</v>
      </c>
      <c r="E804" s="67">
        <v>83900.41</v>
      </c>
      <c r="F804" s="67">
        <v>25250</v>
      </c>
      <c r="H804" s="68">
        <v>40764</v>
      </c>
      <c r="I804" s="67" t="s">
        <v>148</v>
      </c>
    </row>
    <row r="805" spans="1:9" x14ac:dyDescent="0.25">
      <c r="B805" s="67" t="s">
        <v>4813</v>
      </c>
      <c r="C805" s="67">
        <v>0</v>
      </c>
      <c r="D805" s="67">
        <v>0</v>
      </c>
      <c r="E805" s="67">
        <v>83900.45</v>
      </c>
      <c r="H805" s="67" t="s">
        <v>146</v>
      </c>
    </row>
    <row r="807" spans="1:9" x14ac:dyDescent="0.25">
      <c r="A807" s="67" t="s">
        <v>4812</v>
      </c>
      <c r="B807" s="67" t="s">
        <v>4811</v>
      </c>
      <c r="C807" s="67">
        <v>0</v>
      </c>
      <c r="D807" s="67">
        <v>0</v>
      </c>
      <c r="E807" s="67">
        <v>83900.41</v>
      </c>
      <c r="F807" s="67">
        <v>25250</v>
      </c>
      <c r="H807" s="68">
        <v>40764</v>
      </c>
      <c r="I807" s="67" t="s">
        <v>148</v>
      </c>
    </row>
    <row r="808" spans="1:9" x14ac:dyDescent="0.25">
      <c r="B808" s="67" t="s">
        <v>4811</v>
      </c>
      <c r="C808" s="67">
        <v>0</v>
      </c>
      <c r="D808" s="67">
        <v>0</v>
      </c>
      <c r="E808" s="67">
        <v>83900.45</v>
      </c>
      <c r="H808" s="67" t="s">
        <v>146</v>
      </c>
    </row>
    <row r="810" spans="1:9" x14ac:dyDescent="0.25">
      <c r="A810" s="67" t="s">
        <v>4810</v>
      </c>
      <c r="B810" s="67" t="s">
        <v>4809</v>
      </c>
      <c r="C810" s="67">
        <v>0</v>
      </c>
      <c r="D810" s="67">
        <v>0</v>
      </c>
      <c r="E810" s="67">
        <v>83900.41</v>
      </c>
      <c r="F810" s="67">
        <v>25250</v>
      </c>
      <c r="H810" s="68">
        <v>40764</v>
      </c>
      <c r="I810" s="67" t="s">
        <v>148</v>
      </c>
    </row>
    <row r="811" spans="1:9" x14ac:dyDescent="0.25">
      <c r="B811" s="67" t="s">
        <v>4809</v>
      </c>
      <c r="C811" s="67">
        <v>0</v>
      </c>
      <c r="D811" s="67">
        <v>0</v>
      </c>
      <c r="E811" s="67">
        <v>83900.45</v>
      </c>
      <c r="H811" s="67" t="s">
        <v>146</v>
      </c>
    </row>
    <row r="813" spans="1:9" x14ac:dyDescent="0.25">
      <c r="A813" s="67" t="s">
        <v>4808</v>
      </c>
      <c r="B813" s="67" t="s">
        <v>4807</v>
      </c>
      <c r="C813" s="67">
        <v>0</v>
      </c>
      <c r="D813" s="67">
        <v>0</v>
      </c>
      <c r="E813" s="67">
        <v>83900.41</v>
      </c>
      <c r="F813" s="67">
        <v>25250</v>
      </c>
      <c r="H813" s="68">
        <v>40764</v>
      </c>
      <c r="I813" s="67" t="s">
        <v>148</v>
      </c>
    </row>
    <row r="814" spans="1:9" x14ac:dyDescent="0.25">
      <c r="B814" s="67" t="s">
        <v>4807</v>
      </c>
      <c r="C814" s="67">
        <v>0</v>
      </c>
      <c r="D814" s="67">
        <v>0</v>
      </c>
      <c r="E814" s="67">
        <v>83900.45</v>
      </c>
      <c r="H814" s="67" t="s">
        <v>146</v>
      </c>
    </row>
    <row r="816" spans="1:9" x14ac:dyDescent="0.25">
      <c r="A816" s="67" t="s">
        <v>4806</v>
      </c>
      <c r="B816" s="67" t="s">
        <v>4805</v>
      </c>
      <c r="C816" s="67">
        <v>0</v>
      </c>
      <c r="D816" s="67">
        <v>0</v>
      </c>
      <c r="E816" s="67">
        <v>83900.41</v>
      </c>
      <c r="F816" s="67">
        <v>25250</v>
      </c>
      <c r="H816" s="68">
        <v>40764</v>
      </c>
      <c r="I816" s="67" t="s">
        <v>148</v>
      </c>
    </row>
    <row r="817" spans="1:9" x14ac:dyDescent="0.25">
      <c r="B817" s="67" t="s">
        <v>4805</v>
      </c>
      <c r="C817" s="67">
        <v>0</v>
      </c>
      <c r="D817" s="67">
        <v>0</v>
      </c>
      <c r="E817" s="67">
        <v>83900.45</v>
      </c>
      <c r="H817" s="67" t="s">
        <v>146</v>
      </c>
    </row>
    <row r="819" spans="1:9" x14ac:dyDescent="0.25">
      <c r="A819" s="67" t="s">
        <v>4804</v>
      </c>
      <c r="B819" s="67" t="s">
        <v>4803</v>
      </c>
      <c r="C819" s="67">
        <v>0</v>
      </c>
      <c r="D819" s="67">
        <v>0</v>
      </c>
      <c r="E819" s="67">
        <v>83900.41</v>
      </c>
      <c r="F819" s="67">
        <v>25250</v>
      </c>
      <c r="H819" s="68">
        <v>40764</v>
      </c>
      <c r="I819" s="67" t="s">
        <v>148</v>
      </c>
    </row>
    <row r="820" spans="1:9" x14ac:dyDescent="0.25">
      <c r="B820" s="67" t="s">
        <v>4803</v>
      </c>
      <c r="C820" s="67">
        <v>0</v>
      </c>
      <c r="D820" s="67">
        <v>0</v>
      </c>
      <c r="E820" s="67">
        <v>83900.45</v>
      </c>
      <c r="H820" s="67" t="s">
        <v>146</v>
      </c>
    </row>
    <row r="822" spans="1:9" x14ac:dyDescent="0.25">
      <c r="A822" s="67" t="s">
        <v>4802</v>
      </c>
      <c r="B822" s="67" t="s">
        <v>4801</v>
      </c>
      <c r="C822" s="67">
        <v>0</v>
      </c>
      <c r="D822" s="67">
        <v>0</v>
      </c>
      <c r="E822" s="67">
        <v>83900.41</v>
      </c>
      <c r="F822" s="67">
        <v>25250</v>
      </c>
      <c r="H822" s="68">
        <v>40764</v>
      </c>
      <c r="I822" s="67" t="s">
        <v>148</v>
      </c>
    </row>
    <row r="823" spans="1:9" x14ac:dyDescent="0.25">
      <c r="B823" s="67" t="s">
        <v>4801</v>
      </c>
      <c r="C823" s="67">
        <v>0</v>
      </c>
      <c r="D823" s="67">
        <v>0</v>
      </c>
      <c r="E823" s="67">
        <v>83900.45</v>
      </c>
      <c r="H823" s="67" t="s">
        <v>146</v>
      </c>
    </row>
    <row r="825" spans="1:9" x14ac:dyDescent="0.25">
      <c r="A825" s="67" t="s">
        <v>4800</v>
      </c>
      <c r="B825" s="67" t="s">
        <v>4799</v>
      </c>
      <c r="C825" s="67">
        <v>0</v>
      </c>
      <c r="D825" s="67">
        <v>0</v>
      </c>
      <c r="E825" s="67">
        <v>83900.41</v>
      </c>
      <c r="F825" s="67">
        <v>25250</v>
      </c>
      <c r="H825" s="68">
        <v>40764</v>
      </c>
      <c r="I825" s="67" t="s">
        <v>148</v>
      </c>
    </row>
    <row r="826" spans="1:9" x14ac:dyDescent="0.25">
      <c r="B826" s="67" t="s">
        <v>4799</v>
      </c>
      <c r="C826" s="67">
        <v>0</v>
      </c>
      <c r="D826" s="67">
        <v>0</v>
      </c>
      <c r="E826" s="67">
        <v>83900.45</v>
      </c>
      <c r="H826" s="67" t="s">
        <v>146</v>
      </c>
    </row>
    <row r="828" spans="1:9" x14ac:dyDescent="0.25">
      <c r="A828" s="67" t="s">
        <v>4798</v>
      </c>
      <c r="B828" s="67" t="s">
        <v>4797</v>
      </c>
      <c r="C828" s="67">
        <v>0</v>
      </c>
      <c r="D828" s="67">
        <v>0</v>
      </c>
      <c r="E828" s="67">
        <v>83900.41</v>
      </c>
      <c r="F828" s="67">
        <v>25250</v>
      </c>
      <c r="H828" s="68">
        <v>40764</v>
      </c>
      <c r="I828" s="67" t="s">
        <v>148</v>
      </c>
    </row>
    <row r="829" spans="1:9" x14ac:dyDescent="0.25">
      <c r="B829" s="67" t="s">
        <v>4797</v>
      </c>
      <c r="C829" s="67">
        <v>0</v>
      </c>
      <c r="D829" s="67">
        <v>0</v>
      </c>
      <c r="E829" s="67">
        <v>83900.45</v>
      </c>
      <c r="H829" s="67" t="s">
        <v>146</v>
      </c>
    </row>
    <row r="831" spans="1:9" x14ac:dyDescent="0.25">
      <c r="A831" s="67" t="s">
        <v>4796</v>
      </c>
      <c r="B831" s="67" t="s">
        <v>4795</v>
      </c>
      <c r="C831" s="67">
        <v>0</v>
      </c>
      <c r="D831" s="67">
        <v>0</v>
      </c>
      <c r="E831" s="67">
        <v>83900.41</v>
      </c>
      <c r="F831" s="67">
        <v>25250</v>
      </c>
      <c r="H831" s="68">
        <v>40764</v>
      </c>
      <c r="I831" s="67" t="s">
        <v>148</v>
      </c>
    </row>
    <row r="832" spans="1:9" x14ac:dyDescent="0.25">
      <c r="B832" s="67" t="s">
        <v>4795</v>
      </c>
      <c r="C832" s="67">
        <v>0</v>
      </c>
      <c r="D832" s="67">
        <v>0</v>
      </c>
      <c r="E832" s="67">
        <v>83900.45</v>
      </c>
      <c r="H832" s="67" t="s">
        <v>146</v>
      </c>
    </row>
    <row r="834" spans="1:9" x14ac:dyDescent="0.25">
      <c r="A834" s="67" t="s">
        <v>4794</v>
      </c>
      <c r="B834" s="67" t="s">
        <v>4793</v>
      </c>
      <c r="C834" s="67">
        <v>0</v>
      </c>
      <c r="D834" s="67">
        <v>0</v>
      </c>
      <c r="E834" s="67">
        <v>83900.41</v>
      </c>
      <c r="F834" s="67">
        <v>25250</v>
      </c>
      <c r="H834" s="68">
        <v>40764</v>
      </c>
      <c r="I834" s="67" t="s">
        <v>148</v>
      </c>
    </row>
    <row r="835" spans="1:9" x14ac:dyDescent="0.25">
      <c r="B835" s="67" t="s">
        <v>4793</v>
      </c>
      <c r="C835" s="67">
        <v>0</v>
      </c>
      <c r="D835" s="67">
        <v>0</v>
      </c>
      <c r="E835" s="67">
        <v>83900.45</v>
      </c>
      <c r="H835" s="67" t="s">
        <v>146</v>
      </c>
    </row>
    <row r="837" spans="1:9" x14ac:dyDescent="0.25">
      <c r="A837" s="67" t="s">
        <v>4792</v>
      </c>
      <c r="B837" s="67" t="s">
        <v>4791</v>
      </c>
      <c r="C837" s="67">
        <v>0</v>
      </c>
      <c r="D837" s="67">
        <v>0</v>
      </c>
      <c r="E837" s="67">
        <v>83900.41</v>
      </c>
      <c r="F837" s="67">
        <v>25250</v>
      </c>
      <c r="H837" s="68">
        <v>40764</v>
      </c>
      <c r="I837" s="67" t="s">
        <v>148</v>
      </c>
    </row>
    <row r="838" spans="1:9" x14ac:dyDescent="0.25">
      <c r="B838" s="67" t="s">
        <v>4791</v>
      </c>
      <c r="C838" s="67">
        <v>0</v>
      </c>
      <c r="D838" s="67">
        <v>0</v>
      </c>
      <c r="E838" s="67">
        <v>83900.45</v>
      </c>
      <c r="H838" s="67" t="s">
        <v>146</v>
      </c>
    </row>
    <row r="840" spans="1:9" x14ac:dyDescent="0.25">
      <c r="A840" s="67" t="s">
        <v>4790</v>
      </c>
      <c r="B840" s="67" t="s">
        <v>4789</v>
      </c>
      <c r="C840" s="67">
        <v>0</v>
      </c>
      <c r="D840" s="67">
        <v>0</v>
      </c>
      <c r="E840" s="67">
        <v>83900.41</v>
      </c>
      <c r="F840" s="67">
        <v>25250</v>
      </c>
      <c r="H840" s="68">
        <v>40764</v>
      </c>
      <c r="I840" s="67" t="s">
        <v>148</v>
      </c>
    </row>
    <row r="841" spans="1:9" x14ac:dyDescent="0.25">
      <c r="B841" s="67" t="s">
        <v>4789</v>
      </c>
      <c r="C841" s="67">
        <v>0</v>
      </c>
      <c r="D841" s="67">
        <v>0</v>
      </c>
      <c r="E841" s="67">
        <v>83900.45</v>
      </c>
      <c r="H841" s="67" t="s">
        <v>146</v>
      </c>
    </row>
    <row r="843" spans="1:9" x14ac:dyDescent="0.25">
      <c r="A843" s="67" t="s">
        <v>4788</v>
      </c>
      <c r="B843" s="67" t="s">
        <v>4787</v>
      </c>
      <c r="C843" s="67">
        <v>0</v>
      </c>
      <c r="D843" s="67">
        <v>0</v>
      </c>
      <c r="E843" s="67">
        <v>83900.41</v>
      </c>
      <c r="F843" s="67">
        <v>25250</v>
      </c>
      <c r="H843" s="68">
        <v>40764</v>
      </c>
      <c r="I843" s="67" t="s">
        <v>148</v>
      </c>
    </row>
    <row r="844" spans="1:9" x14ac:dyDescent="0.25">
      <c r="B844" s="67" t="s">
        <v>4787</v>
      </c>
      <c r="C844" s="67">
        <v>0</v>
      </c>
      <c r="D844" s="67">
        <v>0</v>
      </c>
      <c r="E844" s="67">
        <v>83900.45</v>
      </c>
      <c r="H844" s="67" t="s">
        <v>146</v>
      </c>
    </row>
    <row r="845" spans="1:9" x14ac:dyDescent="0.25">
      <c r="A845" s="67" t="s">
        <v>233</v>
      </c>
    </row>
    <row r="847" spans="1:9" x14ac:dyDescent="0.25">
      <c r="A847" s="67" t="s">
        <v>232</v>
      </c>
      <c r="D847" s="67" t="s">
        <v>231</v>
      </c>
      <c r="H847" s="67" t="s">
        <v>148</v>
      </c>
      <c r="I847" s="67" t="s">
        <v>230</v>
      </c>
    </row>
    <row r="848" spans="1:9" x14ac:dyDescent="0.25">
      <c r="A848" s="67">
        <v>41.1</v>
      </c>
      <c r="C848" s="67" t="s">
        <v>215</v>
      </c>
      <c r="D848" s="67" t="s">
        <v>229</v>
      </c>
      <c r="H848" s="70">
        <v>44771</v>
      </c>
      <c r="I848" s="69">
        <v>0.56736111111111109</v>
      </c>
    </row>
    <row r="849" spans="1:9" x14ac:dyDescent="0.25">
      <c r="A849" s="67" t="s">
        <v>228</v>
      </c>
      <c r="C849" s="67" t="s">
        <v>227</v>
      </c>
      <c r="D849" s="67" t="s">
        <v>226</v>
      </c>
      <c r="E849" s="67">
        <v>589</v>
      </c>
      <c r="H849" s="67" t="s">
        <v>225</v>
      </c>
      <c r="I849" s="67">
        <v>17</v>
      </c>
    </row>
    <row r="850" spans="1:9" x14ac:dyDescent="0.25">
      <c r="A850" s="67" t="s">
        <v>884</v>
      </c>
    </row>
    <row r="851" spans="1:9" x14ac:dyDescent="0.25">
      <c r="A851" s="67" t="s">
        <v>223</v>
      </c>
      <c r="B851" s="67" t="s">
        <v>222</v>
      </c>
      <c r="C851" s="67" t="s">
        <v>221</v>
      </c>
      <c r="D851" s="67" t="s">
        <v>220</v>
      </c>
      <c r="E851" s="67" t="s">
        <v>219</v>
      </c>
      <c r="F851" s="67" t="s">
        <v>217</v>
      </c>
      <c r="G851" s="67" t="s">
        <v>218</v>
      </c>
      <c r="H851" s="67" t="s">
        <v>217</v>
      </c>
      <c r="I851" s="67" t="s">
        <v>216</v>
      </c>
    </row>
    <row r="852" spans="1:9" x14ac:dyDescent="0.25">
      <c r="A852" s="67" t="s">
        <v>215</v>
      </c>
      <c r="B852" s="67" t="s">
        <v>214</v>
      </c>
      <c r="C852" s="67" t="s">
        <v>213</v>
      </c>
      <c r="D852" s="67" t="s">
        <v>212</v>
      </c>
      <c r="E852" s="67" t="s">
        <v>211</v>
      </c>
      <c r="F852" s="67" t="s">
        <v>210</v>
      </c>
      <c r="G852" s="67" t="s">
        <v>209</v>
      </c>
      <c r="H852" s="67" t="s">
        <v>208</v>
      </c>
      <c r="I852" s="67" t="s">
        <v>207</v>
      </c>
    </row>
    <row r="853" spans="1:9" x14ac:dyDescent="0.25">
      <c r="A853" s="67" t="s">
        <v>206</v>
      </c>
      <c r="B853" s="67" t="s">
        <v>205</v>
      </c>
      <c r="C853" s="67" t="s">
        <v>204</v>
      </c>
      <c r="D853" s="67" t="s">
        <v>203</v>
      </c>
      <c r="E853" s="67" t="s">
        <v>202</v>
      </c>
      <c r="F853" s="67" t="s">
        <v>201</v>
      </c>
      <c r="G853" s="67" t="s">
        <v>200</v>
      </c>
      <c r="H853" s="67" t="s">
        <v>199</v>
      </c>
    </row>
    <row r="854" spans="1:9" x14ac:dyDescent="0.25">
      <c r="A854" s="67" t="s">
        <v>4786</v>
      </c>
      <c r="B854" s="67" t="s">
        <v>4785</v>
      </c>
      <c r="C854" s="67">
        <v>0</v>
      </c>
      <c r="D854" s="67">
        <v>0</v>
      </c>
      <c r="E854" s="67">
        <v>83900.41</v>
      </c>
      <c r="F854" s="67">
        <v>25250</v>
      </c>
      <c r="H854" s="68">
        <v>40764</v>
      </c>
      <c r="I854" s="67" t="s">
        <v>148</v>
      </c>
    </row>
    <row r="855" spans="1:9" x14ac:dyDescent="0.25">
      <c r="B855" s="67" t="s">
        <v>4785</v>
      </c>
      <c r="C855" s="67">
        <v>0</v>
      </c>
      <c r="D855" s="67">
        <v>0</v>
      </c>
      <c r="E855" s="67">
        <v>83900.45</v>
      </c>
      <c r="H855" s="67" t="s">
        <v>146</v>
      </c>
    </row>
    <row r="857" spans="1:9" x14ac:dyDescent="0.25">
      <c r="A857" s="67" t="s">
        <v>4784</v>
      </c>
      <c r="B857" s="67" t="s">
        <v>4783</v>
      </c>
      <c r="C857" s="67">
        <v>0</v>
      </c>
      <c r="D857" s="67">
        <v>0</v>
      </c>
      <c r="E857" s="67">
        <v>83900.41</v>
      </c>
      <c r="F857" s="67">
        <v>25250</v>
      </c>
      <c r="H857" s="68">
        <v>40764</v>
      </c>
      <c r="I857" s="67" t="s">
        <v>148</v>
      </c>
    </row>
    <row r="858" spans="1:9" x14ac:dyDescent="0.25">
      <c r="B858" s="67" t="s">
        <v>4783</v>
      </c>
      <c r="C858" s="67">
        <v>0</v>
      </c>
      <c r="D858" s="67">
        <v>0</v>
      </c>
      <c r="E858" s="67">
        <v>83900.45</v>
      </c>
      <c r="H858" s="67" t="s">
        <v>146</v>
      </c>
    </row>
    <row r="860" spans="1:9" x14ac:dyDescent="0.25">
      <c r="A860" s="67" t="s">
        <v>4782</v>
      </c>
      <c r="B860" s="67" t="s">
        <v>4781</v>
      </c>
      <c r="C860" s="67">
        <v>0</v>
      </c>
      <c r="D860" s="67">
        <v>0</v>
      </c>
      <c r="E860" s="67">
        <v>83900.41</v>
      </c>
      <c r="F860" s="67">
        <v>25250</v>
      </c>
      <c r="H860" s="68">
        <v>40764</v>
      </c>
      <c r="I860" s="67" t="s">
        <v>148</v>
      </c>
    </row>
    <row r="861" spans="1:9" x14ac:dyDescent="0.25">
      <c r="B861" s="67" t="s">
        <v>4781</v>
      </c>
      <c r="C861" s="67">
        <v>0</v>
      </c>
      <c r="D861" s="67">
        <v>0</v>
      </c>
      <c r="E861" s="67">
        <v>83900.45</v>
      </c>
      <c r="H861" s="67" t="s">
        <v>146</v>
      </c>
    </row>
    <row r="863" spans="1:9" x14ac:dyDescent="0.25">
      <c r="A863" s="67" t="s">
        <v>4780</v>
      </c>
      <c r="B863" s="67" t="s">
        <v>4779</v>
      </c>
      <c r="C863" s="67">
        <v>0</v>
      </c>
      <c r="D863" s="67">
        <v>0</v>
      </c>
      <c r="E863" s="67">
        <v>83900.41</v>
      </c>
      <c r="F863" s="67">
        <v>25250</v>
      </c>
      <c r="H863" s="68">
        <v>40764</v>
      </c>
      <c r="I863" s="67" t="s">
        <v>148</v>
      </c>
    </row>
    <row r="864" spans="1:9" x14ac:dyDescent="0.25">
      <c r="B864" s="67" t="s">
        <v>4779</v>
      </c>
      <c r="C864" s="67">
        <v>0</v>
      </c>
      <c r="D864" s="67">
        <v>0</v>
      </c>
      <c r="E864" s="67">
        <v>83900.45</v>
      </c>
      <c r="H864" s="67" t="s">
        <v>146</v>
      </c>
    </row>
    <row r="866" spans="1:9" x14ac:dyDescent="0.25">
      <c r="A866" s="67" t="s">
        <v>4778</v>
      </c>
      <c r="B866" s="67" t="s">
        <v>4777</v>
      </c>
      <c r="C866" s="67">
        <v>0</v>
      </c>
      <c r="D866" s="67">
        <v>0</v>
      </c>
      <c r="E866" s="67">
        <v>83900.41</v>
      </c>
      <c r="F866" s="67">
        <v>25250</v>
      </c>
      <c r="H866" s="68">
        <v>40764</v>
      </c>
      <c r="I866" s="67" t="s">
        <v>148</v>
      </c>
    </row>
    <row r="867" spans="1:9" x14ac:dyDescent="0.25">
      <c r="B867" s="67" t="s">
        <v>4777</v>
      </c>
      <c r="C867" s="67">
        <v>0</v>
      </c>
      <c r="D867" s="67">
        <v>0</v>
      </c>
      <c r="E867" s="67">
        <v>83900.45</v>
      </c>
      <c r="H867" s="67" t="s">
        <v>146</v>
      </c>
    </row>
    <row r="869" spans="1:9" x14ac:dyDescent="0.25">
      <c r="A869" s="67" t="s">
        <v>4776</v>
      </c>
      <c r="B869" s="67" t="s">
        <v>4775</v>
      </c>
      <c r="C869" s="67">
        <v>0</v>
      </c>
      <c r="D869" s="67">
        <v>0</v>
      </c>
      <c r="E869" s="67">
        <v>83900.41</v>
      </c>
      <c r="F869" s="67">
        <v>25250</v>
      </c>
      <c r="H869" s="68">
        <v>40764</v>
      </c>
      <c r="I869" s="67" t="s">
        <v>148</v>
      </c>
    </row>
    <row r="870" spans="1:9" x14ac:dyDescent="0.25">
      <c r="B870" s="67" t="s">
        <v>4775</v>
      </c>
      <c r="C870" s="67">
        <v>0</v>
      </c>
      <c r="D870" s="67">
        <v>0</v>
      </c>
      <c r="E870" s="67">
        <v>83900.45</v>
      </c>
      <c r="H870" s="67" t="s">
        <v>146</v>
      </c>
    </row>
    <row r="872" spans="1:9" x14ac:dyDescent="0.25">
      <c r="A872" s="67" t="s">
        <v>4774</v>
      </c>
      <c r="B872" s="67" t="s">
        <v>4773</v>
      </c>
      <c r="C872" s="67">
        <v>0</v>
      </c>
      <c r="D872" s="67">
        <v>0</v>
      </c>
      <c r="E872" s="67">
        <v>83900.41</v>
      </c>
      <c r="F872" s="67">
        <v>25250</v>
      </c>
      <c r="H872" s="68">
        <v>40764</v>
      </c>
      <c r="I872" s="67" t="s">
        <v>148</v>
      </c>
    </row>
    <row r="873" spans="1:9" x14ac:dyDescent="0.25">
      <c r="B873" s="67" t="s">
        <v>4773</v>
      </c>
      <c r="C873" s="67">
        <v>0</v>
      </c>
      <c r="D873" s="67">
        <v>0</v>
      </c>
      <c r="E873" s="67">
        <v>83900.45</v>
      </c>
      <c r="H873" s="67" t="s">
        <v>146</v>
      </c>
    </row>
    <row r="875" spans="1:9" x14ac:dyDescent="0.25">
      <c r="A875" s="67" t="s">
        <v>4772</v>
      </c>
      <c r="B875" s="67" t="s">
        <v>4771</v>
      </c>
      <c r="C875" s="67">
        <v>0</v>
      </c>
      <c r="D875" s="67">
        <v>0</v>
      </c>
      <c r="E875" s="67">
        <v>83900.41</v>
      </c>
      <c r="F875" s="67">
        <v>25250</v>
      </c>
      <c r="H875" s="68">
        <v>40764</v>
      </c>
      <c r="I875" s="67" t="s">
        <v>148</v>
      </c>
    </row>
    <row r="876" spans="1:9" x14ac:dyDescent="0.25">
      <c r="B876" s="67" t="s">
        <v>4771</v>
      </c>
      <c r="C876" s="67">
        <v>0</v>
      </c>
      <c r="D876" s="67">
        <v>0</v>
      </c>
      <c r="E876" s="67">
        <v>83900.45</v>
      </c>
      <c r="H876" s="67" t="s">
        <v>146</v>
      </c>
    </row>
    <row r="878" spans="1:9" x14ac:dyDescent="0.25">
      <c r="A878" s="67" t="s">
        <v>4770</v>
      </c>
      <c r="B878" s="67" t="s">
        <v>4769</v>
      </c>
      <c r="C878" s="67">
        <v>0</v>
      </c>
      <c r="D878" s="67">
        <v>0</v>
      </c>
      <c r="E878" s="67">
        <v>83900.41</v>
      </c>
      <c r="F878" s="67">
        <v>25250</v>
      </c>
      <c r="H878" s="68">
        <v>40764</v>
      </c>
      <c r="I878" s="67" t="s">
        <v>148</v>
      </c>
    </row>
    <row r="879" spans="1:9" x14ac:dyDescent="0.25">
      <c r="B879" s="67" t="s">
        <v>4769</v>
      </c>
      <c r="C879" s="67">
        <v>0</v>
      </c>
      <c r="D879" s="67">
        <v>0</v>
      </c>
      <c r="E879" s="67">
        <v>83900.45</v>
      </c>
      <c r="H879" s="67" t="s">
        <v>146</v>
      </c>
    </row>
    <row r="881" spans="1:9" x14ac:dyDescent="0.25">
      <c r="A881" s="67" t="s">
        <v>4768</v>
      </c>
      <c r="B881" s="67" t="s">
        <v>4767</v>
      </c>
      <c r="C881" s="67">
        <v>0</v>
      </c>
      <c r="D881" s="67">
        <v>0</v>
      </c>
      <c r="E881" s="67">
        <v>83900.41</v>
      </c>
      <c r="F881" s="67">
        <v>25250</v>
      </c>
      <c r="H881" s="68">
        <v>40764</v>
      </c>
      <c r="I881" s="67" t="s">
        <v>148</v>
      </c>
    </row>
    <row r="882" spans="1:9" x14ac:dyDescent="0.25">
      <c r="B882" s="67" t="s">
        <v>4767</v>
      </c>
      <c r="C882" s="67">
        <v>0</v>
      </c>
      <c r="D882" s="67">
        <v>0</v>
      </c>
      <c r="E882" s="67">
        <v>83900.45</v>
      </c>
      <c r="H882" s="67" t="s">
        <v>146</v>
      </c>
    </row>
    <row r="884" spans="1:9" x14ac:dyDescent="0.25">
      <c r="A884" s="67" t="s">
        <v>4766</v>
      </c>
      <c r="B884" s="67" t="s">
        <v>4765</v>
      </c>
      <c r="C884" s="67">
        <v>0</v>
      </c>
      <c r="D884" s="67">
        <v>0</v>
      </c>
      <c r="E884" s="67">
        <v>83900.41</v>
      </c>
      <c r="F884" s="67">
        <v>25250</v>
      </c>
      <c r="H884" s="68">
        <v>40764</v>
      </c>
      <c r="I884" s="67" t="s">
        <v>148</v>
      </c>
    </row>
    <row r="885" spans="1:9" x14ac:dyDescent="0.25">
      <c r="B885" s="67" t="s">
        <v>4765</v>
      </c>
      <c r="C885" s="67">
        <v>0</v>
      </c>
      <c r="D885" s="67">
        <v>0</v>
      </c>
      <c r="E885" s="67">
        <v>83900.45</v>
      </c>
      <c r="H885" s="67" t="s">
        <v>146</v>
      </c>
    </row>
    <row r="887" spans="1:9" x14ac:dyDescent="0.25">
      <c r="A887" s="67" t="s">
        <v>4764</v>
      </c>
      <c r="B887" s="67" t="s">
        <v>4763</v>
      </c>
      <c r="C887" s="67">
        <v>0</v>
      </c>
      <c r="D887" s="67">
        <v>0</v>
      </c>
      <c r="E887" s="67">
        <v>83900.41</v>
      </c>
      <c r="F887" s="67">
        <v>25250</v>
      </c>
      <c r="H887" s="68">
        <v>40764</v>
      </c>
      <c r="I887" s="67" t="s">
        <v>148</v>
      </c>
    </row>
    <row r="888" spans="1:9" x14ac:dyDescent="0.25">
      <c r="B888" s="67" t="s">
        <v>4763</v>
      </c>
      <c r="C888" s="67">
        <v>0</v>
      </c>
      <c r="D888" s="67">
        <v>0</v>
      </c>
      <c r="E888" s="67">
        <v>83900.45</v>
      </c>
      <c r="H888" s="67" t="s">
        <v>146</v>
      </c>
    </row>
    <row r="890" spans="1:9" x14ac:dyDescent="0.25">
      <c r="A890" s="67" t="s">
        <v>4762</v>
      </c>
      <c r="B890" s="67" t="s">
        <v>4761</v>
      </c>
      <c r="C890" s="67">
        <v>0</v>
      </c>
      <c r="D890" s="67">
        <v>0</v>
      </c>
      <c r="E890" s="67">
        <v>83900.41</v>
      </c>
      <c r="F890" s="67">
        <v>25250</v>
      </c>
      <c r="H890" s="68">
        <v>40764</v>
      </c>
      <c r="I890" s="67" t="s">
        <v>148</v>
      </c>
    </row>
    <row r="891" spans="1:9" x14ac:dyDescent="0.25">
      <c r="B891" s="67" t="s">
        <v>4761</v>
      </c>
      <c r="C891" s="67">
        <v>0</v>
      </c>
      <c r="D891" s="67">
        <v>0</v>
      </c>
      <c r="E891" s="67">
        <v>83900.45</v>
      </c>
      <c r="H891" s="67" t="s">
        <v>146</v>
      </c>
    </row>
    <row r="893" spans="1:9" x14ac:dyDescent="0.25">
      <c r="A893" s="67" t="s">
        <v>4760</v>
      </c>
      <c r="B893" s="67" t="s">
        <v>4759</v>
      </c>
      <c r="C893" s="67">
        <v>0</v>
      </c>
      <c r="D893" s="67">
        <v>0</v>
      </c>
      <c r="E893" s="67">
        <v>83900.41</v>
      </c>
      <c r="F893" s="67">
        <v>25250</v>
      </c>
      <c r="H893" s="68">
        <v>40764</v>
      </c>
      <c r="I893" s="67" t="s">
        <v>148</v>
      </c>
    </row>
    <row r="894" spans="1:9" x14ac:dyDescent="0.25">
      <c r="B894" s="67" t="s">
        <v>4759</v>
      </c>
      <c r="C894" s="67">
        <v>0</v>
      </c>
      <c r="D894" s="67">
        <v>0</v>
      </c>
      <c r="E894" s="67">
        <v>83900.45</v>
      </c>
      <c r="H894" s="67" t="s">
        <v>146</v>
      </c>
    </row>
    <row r="896" spans="1:9" x14ac:dyDescent="0.25">
      <c r="A896" s="67" t="s">
        <v>4758</v>
      </c>
      <c r="B896" s="67" t="s">
        <v>4757</v>
      </c>
      <c r="C896" s="67">
        <v>0</v>
      </c>
      <c r="D896" s="67">
        <v>0</v>
      </c>
      <c r="E896" s="67">
        <v>83900.41</v>
      </c>
      <c r="F896" s="67">
        <v>25250</v>
      </c>
      <c r="H896" s="68">
        <v>40764</v>
      </c>
      <c r="I896" s="67" t="s">
        <v>148</v>
      </c>
    </row>
    <row r="897" spans="1:9" x14ac:dyDescent="0.25">
      <c r="B897" s="67" t="s">
        <v>4757</v>
      </c>
      <c r="C897" s="67">
        <v>0</v>
      </c>
      <c r="D897" s="67">
        <v>0</v>
      </c>
      <c r="E897" s="67">
        <v>83900.45</v>
      </c>
      <c r="H897" s="67" t="s">
        <v>146</v>
      </c>
    </row>
    <row r="899" spans="1:9" x14ac:dyDescent="0.25">
      <c r="A899" s="67" t="s">
        <v>4756</v>
      </c>
      <c r="B899" s="67" t="s">
        <v>4755</v>
      </c>
      <c r="C899" s="67">
        <v>0</v>
      </c>
      <c r="D899" s="67">
        <v>0</v>
      </c>
      <c r="E899" s="67">
        <v>83900.41</v>
      </c>
      <c r="F899" s="67">
        <v>25250</v>
      </c>
      <c r="H899" s="68">
        <v>40764</v>
      </c>
      <c r="I899" s="67" t="s">
        <v>148</v>
      </c>
    </row>
    <row r="900" spans="1:9" x14ac:dyDescent="0.25">
      <c r="B900" s="67" t="s">
        <v>4755</v>
      </c>
      <c r="C900" s="67">
        <v>0</v>
      </c>
      <c r="D900" s="67">
        <v>0</v>
      </c>
      <c r="E900" s="67">
        <v>83900.45</v>
      </c>
      <c r="H900" s="67" t="s">
        <v>146</v>
      </c>
    </row>
    <row r="902" spans="1:9" x14ac:dyDescent="0.25">
      <c r="A902" s="67" t="s">
        <v>4754</v>
      </c>
      <c r="B902" s="67" t="s">
        <v>4753</v>
      </c>
      <c r="C902" s="67">
        <v>0</v>
      </c>
      <c r="D902" s="67">
        <v>0</v>
      </c>
      <c r="E902" s="67">
        <v>83900.41</v>
      </c>
      <c r="F902" s="67">
        <v>25250</v>
      </c>
      <c r="H902" s="68">
        <v>40764</v>
      </c>
      <c r="I902" s="67" t="s">
        <v>148</v>
      </c>
    </row>
    <row r="903" spans="1:9" x14ac:dyDescent="0.25">
      <c r="B903" s="67" t="s">
        <v>4753</v>
      </c>
      <c r="C903" s="67">
        <v>0</v>
      </c>
      <c r="D903" s="67">
        <v>0</v>
      </c>
      <c r="E903" s="67">
        <v>83900.45</v>
      </c>
      <c r="H903" s="67" t="s">
        <v>146</v>
      </c>
    </row>
    <row r="904" spans="1:9" x14ac:dyDescent="0.25">
      <c r="A904" s="67" t="s">
        <v>233</v>
      </c>
    </row>
    <row r="906" spans="1:9" x14ac:dyDescent="0.25">
      <c r="A906" s="67" t="s">
        <v>232</v>
      </c>
      <c r="D906" s="67" t="s">
        <v>231</v>
      </c>
      <c r="H906" s="67" t="s">
        <v>148</v>
      </c>
      <c r="I906" s="67" t="s">
        <v>230</v>
      </c>
    </row>
    <row r="907" spans="1:9" x14ac:dyDescent="0.25">
      <c r="A907" s="67">
        <v>41.1</v>
      </c>
      <c r="C907" s="67" t="s">
        <v>215</v>
      </c>
      <c r="D907" s="67" t="s">
        <v>229</v>
      </c>
      <c r="H907" s="70">
        <v>44771</v>
      </c>
      <c r="I907" s="69">
        <v>0.56736111111111109</v>
      </c>
    </row>
    <row r="908" spans="1:9" x14ac:dyDescent="0.25">
      <c r="A908" s="67" t="s">
        <v>228</v>
      </c>
      <c r="C908" s="67" t="s">
        <v>227</v>
      </c>
      <c r="D908" s="67" t="s">
        <v>226</v>
      </c>
      <c r="E908" s="67">
        <v>589</v>
      </c>
      <c r="H908" s="67" t="s">
        <v>225</v>
      </c>
      <c r="I908" s="67">
        <v>18</v>
      </c>
    </row>
    <row r="909" spans="1:9" x14ac:dyDescent="0.25">
      <c r="A909" s="67" t="s">
        <v>884</v>
      </c>
    </row>
    <row r="910" spans="1:9" x14ac:dyDescent="0.25">
      <c r="A910" s="67" t="s">
        <v>223</v>
      </c>
      <c r="B910" s="67" t="s">
        <v>222</v>
      </c>
      <c r="C910" s="67" t="s">
        <v>221</v>
      </c>
      <c r="D910" s="67" t="s">
        <v>220</v>
      </c>
      <c r="E910" s="67" t="s">
        <v>219</v>
      </c>
      <c r="F910" s="67" t="s">
        <v>217</v>
      </c>
      <c r="G910" s="67" t="s">
        <v>218</v>
      </c>
      <c r="H910" s="67" t="s">
        <v>217</v>
      </c>
      <c r="I910" s="67" t="s">
        <v>216</v>
      </c>
    </row>
    <row r="911" spans="1:9" x14ac:dyDescent="0.25">
      <c r="A911" s="67" t="s">
        <v>215</v>
      </c>
      <c r="B911" s="67" t="s">
        <v>214</v>
      </c>
      <c r="C911" s="67" t="s">
        <v>213</v>
      </c>
      <c r="D911" s="67" t="s">
        <v>212</v>
      </c>
      <c r="E911" s="67" t="s">
        <v>211</v>
      </c>
      <c r="F911" s="67" t="s">
        <v>210</v>
      </c>
      <c r="G911" s="67" t="s">
        <v>209</v>
      </c>
      <c r="H911" s="67" t="s">
        <v>208</v>
      </c>
      <c r="I911" s="67" t="s">
        <v>207</v>
      </c>
    </row>
    <row r="912" spans="1:9" x14ac:dyDescent="0.25">
      <c r="A912" s="67" t="s">
        <v>206</v>
      </c>
      <c r="B912" s="67" t="s">
        <v>205</v>
      </c>
      <c r="C912" s="67" t="s">
        <v>204</v>
      </c>
      <c r="D912" s="67" t="s">
        <v>203</v>
      </c>
      <c r="E912" s="67" t="s">
        <v>202</v>
      </c>
      <c r="F912" s="67" t="s">
        <v>201</v>
      </c>
      <c r="G912" s="67" t="s">
        <v>200</v>
      </c>
      <c r="H912" s="67" t="s">
        <v>199</v>
      </c>
    </row>
    <row r="913" spans="1:9" x14ac:dyDescent="0.25">
      <c r="A913" s="67" t="s">
        <v>4752</v>
      </c>
      <c r="B913" s="67" t="s">
        <v>4751</v>
      </c>
      <c r="C913" s="67">
        <v>0</v>
      </c>
      <c r="D913" s="67">
        <v>0</v>
      </c>
      <c r="E913" s="67">
        <v>83900.41</v>
      </c>
      <c r="F913" s="67">
        <v>25250</v>
      </c>
      <c r="H913" s="68">
        <v>40764</v>
      </c>
      <c r="I913" s="67" t="s">
        <v>148</v>
      </c>
    </row>
    <row r="914" spans="1:9" x14ac:dyDescent="0.25">
      <c r="B914" s="67" t="s">
        <v>4751</v>
      </c>
      <c r="C914" s="67">
        <v>0</v>
      </c>
      <c r="D914" s="67">
        <v>0</v>
      </c>
      <c r="E914" s="67">
        <v>83900.45</v>
      </c>
      <c r="H914" s="67" t="s">
        <v>146</v>
      </c>
    </row>
    <row r="916" spans="1:9" x14ac:dyDescent="0.25">
      <c r="A916" s="67" t="s">
        <v>4750</v>
      </c>
      <c r="B916" s="67" t="s">
        <v>4749</v>
      </c>
      <c r="C916" s="67">
        <v>0</v>
      </c>
      <c r="D916" s="67">
        <v>0</v>
      </c>
      <c r="E916" s="67">
        <v>83900.41</v>
      </c>
      <c r="F916" s="67">
        <v>25250</v>
      </c>
      <c r="H916" s="68">
        <v>40764</v>
      </c>
      <c r="I916" s="67" t="s">
        <v>148</v>
      </c>
    </row>
    <row r="917" spans="1:9" x14ac:dyDescent="0.25">
      <c r="B917" s="67" t="s">
        <v>4749</v>
      </c>
      <c r="C917" s="67">
        <v>0</v>
      </c>
      <c r="D917" s="67">
        <v>0</v>
      </c>
      <c r="E917" s="67">
        <v>83900.45</v>
      </c>
      <c r="H917" s="67" t="s">
        <v>146</v>
      </c>
    </row>
    <row r="919" spans="1:9" x14ac:dyDescent="0.25">
      <c r="A919" s="67" t="s">
        <v>4748</v>
      </c>
      <c r="B919" s="67" t="s">
        <v>4747</v>
      </c>
      <c r="C919" s="67">
        <v>0</v>
      </c>
      <c r="D919" s="67">
        <v>0</v>
      </c>
      <c r="E919" s="67">
        <v>83900.41</v>
      </c>
      <c r="F919" s="67">
        <v>25250</v>
      </c>
      <c r="H919" s="68">
        <v>40764</v>
      </c>
      <c r="I919" s="67" t="s">
        <v>148</v>
      </c>
    </row>
    <row r="920" spans="1:9" x14ac:dyDescent="0.25">
      <c r="B920" s="67" t="s">
        <v>4747</v>
      </c>
      <c r="C920" s="67">
        <v>0</v>
      </c>
      <c r="D920" s="67">
        <v>0</v>
      </c>
      <c r="E920" s="67">
        <v>83900.45</v>
      </c>
      <c r="H920" s="67" t="s">
        <v>146</v>
      </c>
    </row>
    <row r="922" spans="1:9" x14ac:dyDescent="0.25">
      <c r="A922" s="67" t="s">
        <v>4746</v>
      </c>
      <c r="B922" s="67" t="s">
        <v>4745</v>
      </c>
      <c r="C922" s="67">
        <v>0</v>
      </c>
      <c r="D922" s="67">
        <v>0</v>
      </c>
      <c r="E922" s="67">
        <v>83900.41</v>
      </c>
      <c r="F922" s="67">
        <v>25250</v>
      </c>
      <c r="H922" s="68">
        <v>40764</v>
      </c>
      <c r="I922" s="67" t="s">
        <v>148</v>
      </c>
    </row>
    <row r="923" spans="1:9" x14ac:dyDescent="0.25">
      <c r="B923" s="67" t="s">
        <v>4745</v>
      </c>
      <c r="C923" s="67">
        <v>0</v>
      </c>
      <c r="D923" s="67">
        <v>0</v>
      </c>
      <c r="E923" s="67">
        <v>83900.45</v>
      </c>
      <c r="H923" s="67" t="s">
        <v>146</v>
      </c>
    </row>
    <row r="925" spans="1:9" x14ac:dyDescent="0.25">
      <c r="A925" s="67" t="s">
        <v>4744</v>
      </c>
      <c r="B925" s="67" t="s">
        <v>4743</v>
      </c>
      <c r="C925" s="67">
        <v>0</v>
      </c>
      <c r="D925" s="67">
        <v>0</v>
      </c>
      <c r="E925" s="67">
        <v>83900.41</v>
      </c>
      <c r="F925" s="67">
        <v>25250</v>
      </c>
      <c r="H925" s="68">
        <v>40764</v>
      </c>
      <c r="I925" s="67" t="s">
        <v>148</v>
      </c>
    </row>
    <row r="926" spans="1:9" x14ac:dyDescent="0.25">
      <c r="B926" s="67" t="s">
        <v>4743</v>
      </c>
      <c r="C926" s="67">
        <v>0</v>
      </c>
      <c r="D926" s="67">
        <v>0</v>
      </c>
      <c r="E926" s="67">
        <v>83900.45</v>
      </c>
      <c r="H926" s="67" t="s">
        <v>146</v>
      </c>
    </row>
    <row r="928" spans="1:9" x14ac:dyDescent="0.25">
      <c r="A928" s="67" t="s">
        <v>4742</v>
      </c>
      <c r="B928" s="67" t="s">
        <v>4741</v>
      </c>
      <c r="C928" s="67">
        <v>0</v>
      </c>
      <c r="D928" s="67">
        <v>0</v>
      </c>
      <c r="E928" s="67">
        <v>83900.41</v>
      </c>
      <c r="F928" s="67">
        <v>25250</v>
      </c>
      <c r="H928" s="68">
        <v>40764</v>
      </c>
      <c r="I928" s="67" t="s">
        <v>148</v>
      </c>
    </row>
    <row r="929" spans="1:9" x14ac:dyDescent="0.25">
      <c r="B929" s="67" t="s">
        <v>4741</v>
      </c>
      <c r="C929" s="67">
        <v>0</v>
      </c>
      <c r="D929" s="67">
        <v>0</v>
      </c>
      <c r="E929" s="67">
        <v>83900.45</v>
      </c>
      <c r="H929" s="67" t="s">
        <v>146</v>
      </c>
    </row>
    <row r="931" spans="1:9" x14ac:dyDescent="0.25">
      <c r="A931" s="67" t="s">
        <v>4740</v>
      </c>
      <c r="B931" s="67" t="s">
        <v>4739</v>
      </c>
      <c r="C931" s="67">
        <v>0</v>
      </c>
      <c r="D931" s="67">
        <v>0</v>
      </c>
      <c r="E931" s="67">
        <v>83900.41</v>
      </c>
      <c r="F931" s="67">
        <v>25250</v>
      </c>
      <c r="H931" s="68">
        <v>40764</v>
      </c>
      <c r="I931" s="67" t="s">
        <v>148</v>
      </c>
    </row>
    <row r="932" spans="1:9" x14ac:dyDescent="0.25">
      <c r="B932" s="67" t="s">
        <v>4739</v>
      </c>
      <c r="C932" s="67">
        <v>0</v>
      </c>
      <c r="D932" s="67">
        <v>0</v>
      </c>
      <c r="E932" s="67">
        <v>83900.45</v>
      </c>
      <c r="H932" s="67" t="s">
        <v>146</v>
      </c>
    </row>
    <row r="934" spans="1:9" x14ac:dyDescent="0.25">
      <c r="A934" s="67" t="s">
        <v>4738</v>
      </c>
      <c r="B934" s="67" t="s">
        <v>4737</v>
      </c>
      <c r="C934" s="67">
        <v>0</v>
      </c>
      <c r="D934" s="67">
        <v>0</v>
      </c>
      <c r="E934" s="67">
        <v>83900.41</v>
      </c>
      <c r="F934" s="67">
        <v>25250</v>
      </c>
      <c r="H934" s="68">
        <v>40764</v>
      </c>
      <c r="I934" s="67" t="s">
        <v>148</v>
      </c>
    </row>
    <row r="935" spans="1:9" x14ac:dyDescent="0.25">
      <c r="B935" s="67" t="s">
        <v>4737</v>
      </c>
      <c r="C935" s="67">
        <v>0</v>
      </c>
      <c r="D935" s="67">
        <v>0</v>
      </c>
      <c r="E935" s="67">
        <v>83900.45</v>
      </c>
      <c r="H935" s="67" t="s">
        <v>146</v>
      </c>
    </row>
    <row r="937" spans="1:9" x14ac:dyDescent="0.25">
      <c r="A937" s="67" t="s">
        <v>4736</v>
      </c>
      <c r="B937" s="67" t="s">
        <v>4735</v>
      </c>
      <c r="C937" s="67">
        <v>0</v>
      </c>
      <c r="D937" s="67">
        <v>0</v>
      </c>
      <c r="E937" s="67">
        <v>83900.41</v>
      </c>
      <c r="F937" s="67">
        <v>25250</v>
      </c>
      <c r="H937" s="68">
        <v>40764</v>
      </c>
      <c r="I937" s="67" t="s">
        <v>148</v>
      </c>
    </row>
    <row r="938" spans="1:9" x14ac:dyDescent="0.25">
      <c r="B938" s="67" t="s">
        <v>4735</v>
      </c>
      <c r="C938" s="67">
        <v>0</v>
      </c>
      <c r="D938" s="67">
        <v>0</v>
      </c>
      <c r="E938" s="67">
        <v>83900.45</v>
      </c>
      <c r="H938" s="67" t="s">
        <v>146</v>
      </c>
    </row>
    <row r="940" spans="1:9" x14ac:dyDescent="0.25">
      <c r="A940" s="67" t="s">
        <v>4734</v>
      </c>
      <c r="B940" s="67" t="s">
        <v>4733</v>
      </c>
      <c r="C940" s="67">
        <v>0</v>
      </c>
      <c r="D940" s="67">
        <v>0</v>
      </c>
      <c r="E940" s="67">
        <v>83900.41</v>
      </c>
      <c r="F940" s="67">
        <v>25250</v>
      </c>
      <c r="H940" s="68">
        <v>40764</v>
      </c>
      <c r="I940" s="67" t="s">
        <v>148</v>
      </c>
    </row>
    <row r="941" spans="1:9" x14ac:dyDescent="0.25">
      <c r="B941" s="67" t="s">
        <v>4733</v>
      </c>
      <c r="C941" s="67">
        <v>0</v>
      </c>
      <c r="D941" s="67">
        <v>0</v>
      </c>
      <c r="E941" s="67">
        <v>83900.45</v>
      </c>
      <c r="H941" s="67" t="s">
        <v>146</v>
      </c>
    </row>
    <row r="943" spans="1:9" x14ac:dyDescent="0.25">
      <c r="A943" s="67" t="s">
        <v>4732</v>
      </c>
      <c r="B943" s="67" t="s">
        <v>4731</v>
      </c>
      <c r="C943" s="67">
        <v>0</v>
      </c>
      <c r="D943" s="67">
        <v>0</v>
      </c>
      <c r="E943" s="67">
        <v>83900.41</v>
      </c>
      <c r="F943" s="67">
        <v>25250</v>
      </c>
      <c r="H943" s="68">
        <v>40764</v>
      </c>
      <c r="I943" s="67" t="s">
        <v>148</v>
      </c>
    </row>
    <row r="944" spans="1:9" x14ac:dyDescent="0.25">
      <c r="B944" s="67" t="s">
        <v>4731</v>
      </c>
      <c r="C944" s="67">
        <v>0</v>
      </c>
      <c r="D944" s="67">
        <v>0</v>
      </c>
      <c r="E944" s="67">
        <v>83900.45</v>
      </c>
      <c r="H944" s="67" t="s">
        <v>146</v>
      </c>
    </row>
    <row r="946" spans="1:9" x14ac:dyDescent="0.25">
      <c r="A946" s="67" t="s">
        <v>4730</v>
      </c>
      <c r="B946" s="67" t="s">
        <v>4729</v>
      </c>
      <c r="C946" s="67">
        <v>0</v>
      </c>
      <c r="D946" s="67">
        <v>0</v>
      </c>
      <c r="E946" s="67">
        <v>83900.41</v>
      </c>
      <c r="F946" s="67">
        <v>25250</v>
      </c>
      <c r="H946" s="68">
        <v>40764</v>
      </c>
      <c r="I946" s="67" t="s">
        <v>148</v>
      </c>
    </row>
    <row r="947" spans="1:9" x14ac:dyDescent="0.25">
      <c r="B947" s="67" t="s">
        <v>4729</v>
      </c>
      <c r="C947" s="67">
        <v>0</v>
      </c>
      <c r="D947" s="67">
        <v>0</v>
      </c>
      <c r="E947" s="67">
        <v>83900.45</v>
      </c>
      <c r="H947" s="67" t="s">
        <v>146</v>
      </c>
    </row>
    <row r="949" spans="1:9" x14ac:dyDescent="0.25">
      <c r="A949" s="67" t="s">
        <v>4728</v>
      </c>
      <c r="B949" s="67" t="s">
        <v>4727</v>
      </c>
      <c r="C949" s="67">
        <v>0</v>
      </c>
      <c r="D949" s="67">
        <v>0</v>
      </c>
      <c r="E949" s="67">
        <v>83900.41</v>
      </c>
      <c r="F949" s="67">
        <v>25250</v>
      </c>
      <c r="H949" s="68">
        <v>40764</v>
      </c>
      <c r="I949" s="67" t="s">
        <v>148</v>
      </c>
    </row>
    <row r="950" spans="1:9" x14ac:dyDescent="0.25">
      <c r="B950" s="67" t="s">
        <v>4727</v>
      </c>
      <c r="C950" s="67">
        <v>0</v>
      </c>
      <c r="D950" s="67">
        <v>0</v>
      </c>
      <c r="E950" s="67">
        <v>83900.45</v>
      </c>
      <c r="H950" s="67" t="s">
        <v>146</v>
      </c>
    </row>
    <row r="952" spans="1:9" x14ac:dyDescent="0.25">
      <c r="A952" s="67" t="s">
        <v>4726</v>
      </c>
      <c r="B952" s="67" t="s">
        <v>4725</v>
      </c>
      <c r="C952" s="67">
        <v>0</v>
      </c>
      <c r="D952" s="67">
        <v>0</v>
      </c>
      <c r="E952" s="67">
        <v>83900.41</v>
      </c>
      <c r="F952" s="67">
        <v>25250</v>
      </c>
      <c r="H952" s="68">
        <v>40764</v>
      </c>
      <c r="I952" s="67" t="s">
        <v>148</v>
      </c>
    </row>
    <row r="953" spans="1:9" x14ac:dyDescent="0.25">
      <c r="B953" s="67" t="s">
        <v>4725</v>
      </c>
      <c r="C953" s="67">
        <v>0</v>
      </c>
      <c r="D953" s="67">
        <v>0</v>
      </c>
      <c r="E953" s="67">
        <v>83900.45</v>
      </c>
      <c r="H953" s="67" t="s">
        <v>146</v>
      </c>
    </row>
    <row r="955" spans="1:9" x14ac:dyDescent="0.25">
      <c r="A955" s="67" t="s">
        <v>4724</v>
      </c>
      <c r="B955" s="67" t="s">
        <v>4723</v>
      </c>
      <c r="C955" s="67">
        <v>0</v>
      </c>
      <c r="D955" s="67">
        <v>0</v>
      </c>
      <c r="E955" s="67">
        <v>83900.41</v>
      </c>
      <c r="F955" s="67">
        <v>25250</v>
      </c>
      <c r="H955" s="68">
        <v>40764</v>
      </c>
      <c r="I955" s="67" t="s">
        <v>148</v>
      </c>
    </row>
    <row r="956" spans="1:9" x14ac:dyDescent="0.25">
      <c r="B956" s="67" t="s">
        <v>4723</v>
      </c>
      <c r="C956" s="67">
        <v>0</v>
      </c>
      <c r="D956" s="67">
        <v>0</v>
      </c>
      <c r="E956" s="67">
        <v>83900.45</v>
      </c>
      <c r="H956" s="67" t="s">
        <v>146</v>
      </c>
    </row>
    <row r="958" spans="1:9" x14ac:dyDescent="0.25">
      <c r="A958" s="67" t="s">
        <v>4722</v>
      </c>
      <c r="B958" s="67" t="s">
        <v>4721</v>
      </c>
      <c r="C958" s="67">
        <v>0</v>
      </c>
      <c r="D958" s="67">
        <v>0</v>
      </c>
      <c r="E958" s="67">
        <v>83900.41</v>
      </c>
      <c r="F958" s="67">
        <v>25250</v>
      </c>
      <c r="H958" s="68">
        <v>40764</v>
      </c>
      <c r="I958" s="67" t="s">
        <v>148</v>
      </c>
    </row>
    <row r="959" spans="1:9" x14ac:dyDescent="0.25">
      <c r="B959" s="67" t="s">
        <v>4721</v>
      </c>
      <c r="C959" s="67">
        <v>0</v>
      </c>
      <c r="D959" s="67">
        <v>0</v>
      </c>
      <c r="E959" s="67">
        <v>83900.45</v>
      </c>
      <c r="H959" s="67" t="s">
        <v>146</v>
      </c>
    </row>
    <row r="961" spans="1:9" x14ac:dyDescent="0.25">
      <c r="A961" s="67" t="s">
        <v>4720</v>
      </c>
      <c r="B961" s="67" t="s">
        <v>4719</v>
      </c>
      <c r="C961" s="67">
        <v>0</v>
      </c>
      <c r="D961" s="67">
        <v>0</v>
      </c>
      <c r="E961" s="67">
        <v>83900.41</v>
      </c>
      <c r="F961" s="67">
        <v>25250</v>
      </c>
      <c r="H961" s="68">
        <v>40764</v>
      </c>
      <c r="I961" s="67" t="s">
        <v>148</v>
      </c>
    </row>
    <row r="962" spans="1:9" x14ac:dyDescent="0.25">
      <c r="B962" s="67" t="s">
        <v>4719</v>
      </c>
      <c r="C962" s="67">
        <v>0</v>
      </c>
      <c r="D962" s="67">
        <v>0</v>
      </c>
      <c r="E962" s="67">
        <v>83900.45</v>
      </c>
      <c r="H962" s="67" t="s">
        <v>146</v>
      </c>
    </row>
    <row r="963" spans="1:9" x14ac:dyDescent="0.25">
      <c r="A963" s="67" t="s">
        <v>233</v>
      </c>
    </row>
    <row r="965" spans="1:9" x14ac:dyDescent="0.25">
      <c r="A965" s="67" t="s">
        <v>232</v>
      </c>
      <c r="D965" s="67" t="s">
        <v>231</v>
      </c>
      <c r="H965" s="67" t="s">
        <v>148</v>
      </c>
      <c r="I965" s="67" t="s">
        <v>230</v>
      </c>
    </row>
    <row r="966" spans="1:9" x14ac:dyDescent="0.25">
      <c r="A966" s="67">
        <v>41.1</v>
      </c>
      <c r="C966" s="67" t="s">
        <v>215</v>
      </c>
      <c r="D966" s="67" t="s">
        <v>229</v>
      </c>
      <c r="H966" s="70">
        <v>44771</v>
      </c>
      <c r="I966" s="69">
        <v>0.56736111111111109</v>
      </c>
    </row>
    <row r="967" spans="1:9" x14ac:dyDescent="0.25">
      <c r="A967" s="67" t="s">
        <v>228</v>
      </c>
      <c r="C967" s="67" t="s">
        <v>227</v>
      </c>
      <c r="D967" s="67" t="s">
        <v>226</v>
      </c>
      <c r="E967" s="67">
        <v>589</v>
      </c>
      <c r="H967" s="67" t="s">
        <v>225</v>
      </c>
      <c r="I967" s="67">
        <v>19</v>
      </c>
    </row>
    <row r="968" spans="1:9" x14ac:dyDescent="0.25">
      <c r="A968" s="67" t="s">
        <v>884</v>
      </c>
    </row>
    <row r="969" spans="1:9" x14ac:dyDescent="0.25">
      <c r="A969" s="67" t="s">
        <v>223</v>
      </c>
      <c r="B969" s="67" t="s">
        <v>222</v>
      </c>
      <c r="C969" s="67" t="s">
        <v>221</v>
      </c>
      <c r="D969" s="67" t="s">
        <v>220</v>
      </c>
      <c r="E969" s="67" t="s">
        <v>219</v>
      </c>
      <c r="F969" s="67" t="s">
        <v>217</v>
      </c>
      <c r="G969" s="67" t="s">
        <v>218</v>
      </c>
      <c r="H969" s="67" t="s">
        <v>217</v>
      </c>
      <c r="I969" s="67" t="s">
        <v>216</v>
      </c>
    </row>
    <row r="970" spans="1:9" x14ac:dyDescent="0.25">
      <c r="A970" s="67" t="s">
        <v>215</v>
      </c>
      <c r="B970" s="67" t="s">
        <v>214</v>
      </c>
      <c r="C970" s="67" t="s">
        <v>213</v>
      </c>
      <c r="D970" s="67" t="s">
        <v>212</v>
      </c>
      <c r="E970" s="67" t="s">
        <v>211</v>
      </c>
      <c r="F970" s="67" t="s">
        <v>210</v>
      </c>
      <c r="G970" s="67" t="s">
        <v>209</v>
      </c>
      <c r="H970" s="67" t="s">
        <v>208</v>
      </c>
      <c r="I970" s="67" t="s">
        <v>207</v>
      </c>
    </row>
    <row r="971" spans="1:9" x14ac:dyDescent="0.25">
      <c r="A971" s="67" t="s">
        <v>206</v>
      </c>
      <c r="B971" s="67" t="s">
        <v>205</v>
      </c>
      <c r="C971" s="67" t="s">
        <v>204</v>
      </c>
      <c r="D971" s="67" t="s">
        <v>203</v>
      </c>
      <c r="E971" s="67" t="s">
        <v>202</v>
      </c>
      <c r="F971" s="67" t="s">
        <v>201</v>
      </c>
      <c r="G971" s="67" t="s">
        <v>200</v>
      </c>
      <c r="H971" s="67" t="s">
        <v>199</v>
      </c>
    </row>
    <row r="972" spans="1:9" x14ac:dyDescent="0.25">
      <c r="A972" s="67" t="s">
        <v>4718</v>
      </c>
      <c r="B972" s="67" t="s">
        <v>4717</v>
      </c>
      <c r="C972" s="67">
        <v>0</v>
      </c>
      <c r="D972" s="67">
        <v>0</v>
      </c>
      <c r="E972" s="67">
        <v>83900.41</v>
      </c>
      <c r="F972" s="67">
        <v>25250</v>
      </c>
      <c r="H972" s="68">
        <v>40764</v>
      </c>
      <c r="I972" s="67" t="s">
        <v>148</v>
      </c>
    </row>
    <row r="973" spans="1:9" x14ac:dyDescent="0.25">
      <c r="B973" s="67" t="s">
        <v>4717</v>
      </c>
      <c r="C973" s="67">
        <v>0</v>
      </c>
      <c r="D973" s="67">
        <v>0</v>
      </c>
      <c r="E973" s="67">
        <v>83900.45</v>
      </c>
      <c r="H973" s="67" t="s">
        <v>146</v>
      </c>
    </row>
    <row r="975" spans="1:9" x14ac:dyDescent="0.25">
      <c r="A975" s="67" t="s">
        <v>4716</v>
      </c>
      <c r="B975" s="67" t="s">
        <v>4715</v>
      </c>
      <c r="C975" s="67">
        <v>0</v>
      </c>
      <c r="D975" s="67">
        <v>0</v>
      </c>
      <c r="E975" s="67">
        <v>83900.41</v>
      </c>
      <c r="F975" s="67">
        <v>25250</v>
      </c>
      <c r="H975" s="68">
        <v>40764</v>
      </c>
      <c r="I975" s="67" t="s">
        <v>148</v>
      </c>
    </row>
    <row r="976" spans="1:9" x14ac:dyDescent="0.25">
      <c r="B976" s="67" t="s">
        <v>4715</v>
      </c>
      <c r="C976" s="67">
        <v>0</v>
      </c>
      <c r="D976" s="67">
        <v>0</v>
      </c>
      <c r="E976" s="67">
        <v>83900.45</v>
      </c>
      <c r="H976" s="67" t="s">
        <v>146</v>
      </c>
    </row>
    <row r="978" spans="1:9" x14ac:dyDescent="0.25">
      <c r="A978" s="67" t="s">
        <v>4714</v>
      </c>
      <c r="B978" s="67" t="s">
        <v>4713</v>
      </c>
      <c r="C978" s="67">
        <v>0</v>
      </c>
      <c r="D978" s="67">
        <v>0</v>
      </c>
      <c r="E978" s="67">
        <v>83900.41</v>
      </c>
      <c r="F978" s="67">
        <v>25250</v>
      </c>
      <c r="H978" s="68">
        <v>40764</v>
      </c>
      <c r="I978" s="67" t="s">
        <v>148</v>
      </c>
    </row>
    <row r="979" spans="1:9" x14ac:dyDescent="0.25">
      <c r="B979" s="67" t="s">
        <v>4713</v>
      </c>
      <c r="C979" s="67">
        <v>0</v>
      </c>
      <c r="D979" s="67">
        <v>0</v>
      </c>
      <c r="E979" s="67">
        <v>83900.45</v>
      </c>
      <c r="H979" s="67" t="s">
        <v>146</v>
      </c>
    </row>
    <row r="981" spans="1:9" x14ac:dyDescent="0.25">
      <c r="A981" s="67" t="s">
        <v>4712</v>
      </c>
      <c r="B981" s="67" t="s">
        <v>4711</v>
      </c>
      <c r="C981" s="67">
        <v>0</v>
      </c>
      <c r="D981" s="67">
        <v>0</v>
      </c>
      <c r="E981" s="67">
        <v>83900.41</v>
      </c>
      <c r="F981" s="67">
        <v>25250</v>
      </c>
      <c r="H981" s="68">
        <v>40764</v>
      </c>
      <c r="I981" s="67" t="s">
        <v>148</v>
      </c>
    </row>
    <row r="982" spans="1:9" x14ac:dyDescent="0.25">
      <c r="B982" s="67" t="s">
        <v>4711</v>
      </c>
      <c r="C982" s="67">
        <v>0</v>
      </c>
      <c r="D982" s="67">
        <v>0</v>
      </c>
      <c r="E982" s="67">
        <v>83900.45</v>
      </c>
      <c r="H982" s="67" t="s">
        <v>146</v>
      </c>
    </row>
    <row r="984" spans="1:9" x14ac:dyDescent="0.25">
      <c r="A984" s="67" t="s">
        <v>4710</v>
      </c>
      <c r="B984" s="67" t="s">
        <v>4709</v>
      </c>
      <c r="C984" s="67">
        <v>0</v>
      </c>
      <c r="D984" s="67">
        <v>0</v>
      </c>
      <c r="E984" s="67">
        <v>83900.41</v>
      </c>
      <c r="F984" s="67">
        <v>25250</v>
      </c>
      <c r="H984" s="68">
        <v>40764</v>
      </c>
      <c r="I984" s="67" t="s">
        <v>148</v>
      </c>
    </row>
    <row r="985" spans="1:9" x14ac:dyDescent="0.25">
      <c r="B985" s="67" t="s">
        <v>4709</v>
      </c>
      <c r="C985" s="67">
        <v>0</v>
      </c>
      <c r="D985" s="67">
        <v>0</v>
      </c>
      <c r="E985" s="67">
        <v>83900.45</v>
      </c>
      <c r="H985" s="67" t="s">
        <v>146</v>
      </c>
    </row>
    <row r="987" spans="1:9" x14ac:dyDescent="0.25">
      <c r="A987" s="67" t="s">
        <v>4708</v>
      </c>
      <c r="B987" s="67" t="s">
        <v>4707</v>
      </c>
      <c r="C987" s="67">
        <v>0</v>
      </c>
      <c r="D987" s="67">
        <v>0</v>
      </c>
      <c r="E987" s="67">
        <v>83900.41</v>
      </c>
      <c r="F987" s="67">
        <v>25250</v>
      </c>
      <c r="H987" s="68">
        <v>40764</v>
      </c>
      <c r="I987" s="67" t="s">
        <v>148</v>
      </c>
    </row>
    <row r="988" spans="1:9" x14ac:dyDescent="0.25">
      <c r="B988" s="67" t="s">
        <v>4707</v>
      </c>
      <c r="C988" s="67">
        <v>0</v>
      </c>
      <c r="D988" s="67">
        <v>0</v>
      </c>
      <c r="E988" s="67">
        <v>83900.45</v>
      </c>
      <c r="H988" s="67" t="s">
        <v>146</v>
      </c>
    </row>
    <row r="990" spans="1:9" x14ac:dyDescent="0.25">
      <c r="A990" s="67" t="s">
        <v>4706</v>
      </c>
      <c r="B990" s="67" t="s">
        <v>4705</v>
      </c>
      <c r="C990" s="67">
        <v>0</v>
      </c>
      <c r="D990" s="67">
        <v>0</v>
      </c>
      <c r="E990" s="67">
        <v>83900.41</v>
      </c>
      <c r="F990" s="67">
        <v>25250</v>
      </c>
      <c r="H990" s="68">
        <v>40764</v>
      </c>
      <c r="I990" s="67" t="s">
        <v>148</v>
      </c>
    </row>
    <row r="991" spans="1:9" x14ac:dyDescent="0.25">
      <c r="B991" s="67" t="s">
        <v>4705</v>
      </c>
      <c r="C991" s="67">
        <v>0</v>
      </c>
      <c r="D991" s="67">
        <v>0</v>
      </c>
      <c r="E991" s="67">
        <v>83900.45</v>
      </c>
      <c r="H991" s="67" t="s">
        <v>146</v>
      </c>
    </row>
    <row r="993" spans="1:9" x14ac:dyDescent="0.25">
      <c r="A993" s="67" t="s">
        <v>4704</v>
      </c>
      <c r="B993" s="67" t="s">
        <v>4703</v>
      </c>
      <c r="C993" s="67">
        <v>0</v>
      </c>
      <c r="D993" s="67">
        <v>0</v>
      </c>
      <c r="E993" s="67">
        <v>83900.41</v>
      </c>
      <c r="F993" s="67">
        <v>25250</v>
      </c>
      <c r="H993" s="68">
        <v>40764</v>
      </c>
      <c r="I993" s="67" t="s">
        <v>148</v>
      </c>
    </row>
    <row r="994" spans="1:9" x14ac:dyDescent="0.25">
      <c r="B994" s="67" t="s">
        <v>4703</v>
      </c>
      <c r="C994" s="67">
        <v>0</v>
      </c>
      <c r="D994" s="67">
        <v>0</v>
      </c>
      <c r="E994" s="67">
        <v>83900.45</v>
      </c>
      <c r="H994" s="67" t="s">
        <v>146</v>
      </c>
    </row>
    <row r="996" spans="1:9" x14ac:dyDescent="0.25">
      <c r="A996" s="67" t="s">
        <v>4702</v>
      </c>
      <c r="B996" s="67" t="s">
        <v>4701</v>
      </c>
      <c r="C996" s="67">
        <v>0</v>
      </c>
      <c r="D996" s="67">
        <v>0</v>
      </c>
      <c r="E996" s="67">
        <v>83900.41</v>
      </c>
      <c r="F996" s="67">
        <v>25250</v>
      </c>
      <c r="H996" s="68">
        <v>40764</v>
      </c>
      <c r="I996" s="67" t="s">
        <v>148</v>
      </c>
    </row>
    <row r="997" spans="1:9" x14ac:dyDescent="0.25">
      <c r="B997" s="67" t="s">
        <v>4701</v>
      </c>
      <c r="C997" s="67">
        <v>0</v>
      </c>
      <c r="D997" s="67">
        <v>0</v>
      </c>
      <c r="E997" s="67">
        <v>83900.45</v>
      </c>
      <c r="H997" s="67" t="s">
        <v>146</v>
      </c>
    </row>
    <row r="999" spans="1:9" x14ac:dyDescent="0.25">
      <c r="A999" s="67" t="s">
        <v>4700</v>
      </c>
      <c r="B999" s="67" t="s">
        <v>4699</v>
      </c>
      <c r="C999" s="67">
        <v>0</v>
      </c>
      <c r="D999" s="67">
        <v>0</v>
      </c>
      <c r="E999" s="67">
        <v>83900.41</v>
      </c>
      <c r="F999" s="67">
        <v>25250</v>
      </c>
      <c r="H999" s="68">
        <v>40764</v>
      </c>
      <c r="I999" s="67" t="s">
        <v>148</v>
      </c>
    </row>
    <row r="1000" spans="1:9" x14ac:dyDescent="0.25">
      <c r="B1000" s="67" t="s">
        <v>4699</v>
      </c>
      <c r="C1000" s="67">
        <v>0</v>
      </c>
      <c r="D1000" s="67">
        <v>0</v>
      </c>
      <c r="E1000" s="67">
        <v>83900.45</v>
      </c>
      <c r="H1000" s="67" t="s">
        <v>146</v>
      </c>
    </row>
    <row r="1002" spans="1:9" x14ac:dyDescent="0.25">
      <c r="A1002" s="67" t="s">
        <v>4698</v>
      </c>
      <c r="B1002" s="67" t="s">
        <v>4697</v>
      </c>
      <c r="C1002" s="67">
        <v>0</v>
      </c>
      <c r="D1002" s="67">
        <v>0</v>
      </c>
      <c r="E1002" s="67">
        <v>83900.41</v>
      </c>
      <c r="F1002" s="67">
        <v>25250</v>
      </c>
      <c r="H1002" s="68">
        <v>40764</v>
      </c>
      <c r="I1002" s="67" t="s">
        <v>148</v>
      </c>
    </row>
    <row r="1003" spans="1:9" x14ac:dyDescent="0.25">
      <c r="B1003" s="67" t="s">
        <v>4697</v>
      </c>
      <c r="C1003" s="67">
        <v>0</v>
      </c>
      <c r="D1003" s="67">
        <v>0</v>
      </c>
      <c r="E1003" s="67">
        <v>83900.45</v>
      </c>
      <c r="H1003" s="67" t="s">
        <v>146</v>
      </c>
    </row>
    <row r="1005" spans="1:9" x14ac:dyDescent="0.25">
      <c r="A1005" s="67" t="s">
        <v>4696</v>
      </c>
      <c r="B1005" s="67" t="s">
        <v>4695</v>
      </c>
      <c r="C1005" s="67">
        <v>0</v>
      </c>
      <c r="D1005" s="67">
        <v>0</v>
      </c>
      <c r="E1005" s="67">
        <v>83900.41</v>
      </c>
      <c r="F1005" s="67">
        <v>25250</v>
      </c>
      <c r="H1005" s="68">
        <v>40764</v>
      </c>
      <c r="I1005" s="67" t="s">
        <v>148</v>
      </c>
    </row>
    <row r="1006" spans="1:9" x14ac:dyDescent="0.25">
      <c r="B1006" s="67" t="s">
        <v>4695</v>
      </c>
      <c r="C1006" s="67">
        <v>0</v>
      </c>
      <c r="D1006" s="67">
        <v>0</v>
      </c>
      <c r="E1006" s="67">
        <v>83900.45</v>
      </c>
      <c r="H1006" s="67" t="s">
        <v>146</v>
      </c>
    </row>
    <row r="1008" spans="1:9" x14ac:dyDescent="0.25">
      <c r="A1008" s="67" t="s">
        <v>4694</v>
      </c>
      <c r="B1008" s="67" t="s">
        <v>4693</v>
      </c>
      <c r="C1008" s="67">
        <v>0</v>
      </c>
      <c r="D1008" s="67">
        <v>0</v>
      </c>
      <c r="E1008" s="67">
        <v>83900.41</v>
      </c>
      <c r="F1008" s="67">
        <v>25250</v>
      </c>
      <c r="H1008" s="68">
        <v>40764</v>
      </c>
      <c r="I1008" s="67" t="s">
        <v>148</v>
      </c>
    </row>
    <row r="1009" spans="1:9" x14ac:dyDescent="0.25">
      <c r="B1009" s="67" t="s">
        <v>4693</v>
      </c>
      <c r="C1009" s="67">
        <v>0</v>
      </c>
      <c r="D1009" s="67">
        <v>0</v>
      </c>
      <c r="E1009" s="67">
        <v>83900.45</v>
      </c>
      <c r="H1009" s="67" t="s">
        <v>146</v>
      </c>
    </row>
    <row r="1011" spans="1:9" x14ac:dyDescent="0.25">
      <c r="A1011" s="67" t="s">
        <v>4692</v>
      </c>
      <c r="B1011" s="67" t="s">
        <v>4691</v>
      </c>
      <c r="C1011" s="67">
        <v>0</v>
      </c>
      <c r="D1011" s="67">
        <v>0</v>
      </c>
      <c r="E1011" s="67">
        <v>83900.41</v>
      </c>
      <c r="F1011" s="67">
        <v>25250</v>
      </c>
      <c r="H1011" s="68">
        <v>40764</v>
      </c>
      <c r="I1011" s="67" t="s">
        <v>148</v>
      </c>
    </row>
    <row r="1012" spans="1:9" x14ac:dyDescent="0.25">
      <c r="B1012" s="67" t="s">
        <v>4691</v>
      </c>
      <c r="C1012" s="67">
        <v>0</v>
      </c>
      <c r="D1012" s="67">
        <v>0</v>
      </c>
      <c r="E1012" s="67">
        <v>83900.45</v>
      </c>
      <c r="H1012" s="67" t="s">
        <v>146</v>
      </c>
    </row>
    <row r="1014" spans="1:9" x14ac:dyDescent="0.25">
      <c r="A1014" s="67" t="s">
        <v>4690</v>
      </c>
      <c r="B1014" s="67" t="s">
        <v>4689</v>
      </c>
      <c r="C1014" s="67">
        <v>0</v>
      </c>
      <c r="D1014" s="67">
        <v>0</v>
      </c>
      <c r="E1014" s="67">
        <v>83900.41</v>
      </c>
      <c r="F1014" s="67">
        <v>25250</v>
      </c>
      <c r="H1014" s="68">
        <v>40764</v>
      </c>
      <c r="I1014" s="67" t="s">
        <v>148</v>
      </c>
    </row>
    <row r="1015" spans="1:9" x14ac:dyDescent="0.25">
      <c r="B1015" s="67" t="s">
        <v>4689</v>
      </c>
      <c r="C1015" s="67">
        <v>0</v>
      </c>
      <c r="D1015" s="67">
        <v>0</v>
      </c>
      <c r="E1015" s="67">
        <v>83900.45</v>
      </c>
      <c r="H1015" s="67" t="s">
        <v>146</v>
      </c>
    </row>
    <row r="1017" spans="1:9" x14ac:dyDescent="0.25">
      <c r="A1017" s="67" t="s">
        <v>4688</v>
      </c>
      <c r="B1017" s="67" t="s">
        <v>4687</v>
      </c>
      <c r="C1017" s="67">
        <v>0</v>
      </c>
      <c r="D1017" s="67">
        <v>0</v>
      </c>
      <c r="E1017" s="67">
        <v>83900.41</v>
      </c>
      <c r="F1017" s="67">
        <v>25250</v>
      </c>
      <c r="H1017" s="68">
        <v>40764</v>
      </c>
      <c r="I1017" s="67" t="s">
        <v>148</v>
      </c>
    </row>
    <row r="1018" spans="1:9" x14ac:dyDescent="0.25">
      <c r="B1018" s="67" t="s">
        <v>4687</v>
      </c>
      <c r="C1018" s="67">
        <v>0</v>
      </c>
      <c r="D1018" s="67">
        <v>0</v>
      </c>
      <c r="E1018" s="67">
        <v>83900.45</v>
      </c>
      <c r="H1018" s="67" t="s">
        <v>146</v>
      </c>
    </row>
    <row r="1020" spans="1:9" x14ac:dyDescent="0.25">
      <c r="A1020" s="67" t="s">
        <v>4686</v>
      </c>
      <c r="B1020" s="67" t="s">
        <v>4685</v>
      </c>
      <c r="C1020" s="67">
        <v>0</v>
      </c>
      <c r="D1020" s="67">
        <v>0</v>
      </c>
      <c r="E1020" s="67">
        <v>83900.41</v>
      </c>
      <c r="F1020" s="67">
        <v>25250</v>
      </c>
      <c r="H1020" s="68">
        <v>40764</v>
      </c>
      <c r="I1020" s="67" t="s">
        <v>148</v>
      </c>
    </row>
    <row r="1021" spans="1:9" x14ac:dyDescent="0.25">
      <c r="B1021" s="67" t="s">
        <v>4685</v>
      </c>
      <c r="C1021" s="67">
        <v>0</v>
      </c>
      <c r="D1021" s="67">
        <v>0</v>
      </c>
      <c r="E1021" s="67">
        <v>83900.45</v>
      </c>
      <c r="H1021" s="67" t="s">
        <v>146</v>
      </c>
    </row>
    <row r="1022" spans="1:9" x14ac:dyDescent="0.25">
      <c r="A1022" s="67" t="s">
        <v>233</v>
      </c>
    </row>
    <row r="1024" spans="1:9" x14ac:dyDescent="0.25">
      <c r="A1024" s="67" t="s">
        <v>232</v>
      </c>
      <c r="D1024" s="67" t="s">
        <v>231</v>
      </c>
      <c r="H1024" s="67" t="s">
        <v>148</v>
      </c>
      <c r="I1024" s="67" t="s">
        <v>230</v>
      </c>
    </row>
    <row r="1025" spans="1:9" x14ac:dyDescent="0.25">
      <c r="A1025" s="67">
        <v>41.1</v>
      </c>
      <c r="C1025" s="67" t="s">
        <v>215</v>
      </c>
      <c r="D1025" s="67" t="s">
        <v>229</v>
      </c>
      <c r="H1025" s="70">
        <v>44771</v>
      </c>
      <c r="I1025" s="69">
        <v>0.56736111111111109</v>
      </c>
    </row>
    <row r="1026" spans="1:9" x14ac:dyDescent="0.25">
      <c r="A1026" s="67" t="s">
        <v>228</v>
      </c>
      <c r="C1026" s="67" t="s">
        <v>227</v>
      </c>
      <c r="D1026" s="67" t="s">
        <v>226</v>
      </c>
      <c r="E1026" s="67">
        <v>589</v>
      </c>
      <c r="H1026" s="67" t="s">
        <v>225</v>
      </c>
      <c r="I1026" s="67">
        <v>20</v>
      </c>
    </row>
    <row r="1027" spans="1:9" x14ac:dyDescent="0.25">
      <c r="A1027" s="67" t="s">
        <v>884</v>
      </c>
    </row>
    <row r="1028" spans="1:9" x14ac:dyDescent="0.25">
      <c r="A1028" s="67" t="s">
        <v>223</v>
      </c>
      <c r="B1028" s="67" t="s">
        <v>222</v>
      </c>
      <c r="C1028" s="67" t="s">
        <v>221</v>
      </c>
      <c r="D1028" s="67" t="s">
        <v>220</v>
      </c>
      <c r="E1028" s="67" t="s">
        <v>219</v>
      </c>
      <c r="F1028" s="67" t="s">
        <v>217</v>
      </c>
      <c r="G1028" s="67" t="s">
        <v>218</v>
      </c>
      <c r="H1028" s="67" t="s">
        <v>217</v>
      </c>
      <c r="I1028" s="67" t="s">
        <v>216</v>
      </c>
    </row>
    <row r="1029" spans="1:9" x14ac:dyDescent="0.25">
      <c r="A1029" s="67" t="s">
        <v>215</v>
      </c>
      <c r="B1029" s="67" t="s">
        <v>214</v>
      </c>
      <c r="C1029" s="67" t="s">
        <v>213</v>
      </c>
      <c r="D1029" s="67" t="s">
        <v>212</v>
      </c>
      <c r="E1029" s="67" t="s">
        <v>211</v>
      </c>
      <c r="F1029" s="67" t="s">
        <v>210</v>
      </c>
      <c r="G1029" s="67" t="s">
        <v>209</v>
      </c>
      <c r="H1029" s="67" t="s">
        <v>208</v>
      </c>
      <c r="I1029" s="67" t="s">
        <v>207</v>
      </c>
    </row>
    <row r="1030" spans="1:9" x14ac:dyDescent="0.25">
      <c r="A1030" s="67" t="s">
        <v>206</v>
      </c>
      <c r="B1030" s="67" t="s">
        <v>205</v>
      </c>
      <c r="C1030" s="67" t="s">
        <v>204</v>
      </c>
      <c r="D1030" s="67" t="s">
        <v>203</v>
      </c>
      <c r="E1030" s="67" t="s">
        <v>202</v>
      </c>
      <c r="F1030" s="67" t="s">
        <v>201</v>
      </c>
      <c r="G1030" s="67" t="s">
        <v>200</v>
      </c>
      <c r="H1030" s="67" t="s">
        <v>199</v>
      </c>
    </row>
    <row r="1031" spans="1:9" x14ac:dyDescent="0.25">
      <c r="A1031" s="67" t="s">
        <v>4684</v>
      </c>
      <c r="B1031" s="67" t="s">
        <v>4683</v>
      </c>
      <c r="C1031" s="67">
        <v>0</v>
      </c>
      <c r="D1031" s="67">
        <v>0</v>
      </c>
      <c r="E1031" s="67">
        <v>83900.41</v>
      </c>
      <c r="F1031" s="67">
        <v>25250</v>
      </c>
      <c r="H1031" s="68">
        <v>40764</v>
      </c>
      <c r="I1031" s="67" t="s">
        <v>148</v>
      </c>
    </row>
    <row r="1032" spans="1:9" x14ac:dyDescent="0.25">
      <c r="B1032" s="67" t="s">
        <v>4683</v>
      </c>
      <c r="C1032" s="67">
        <v>0</v>
      </c>
      <c r="D1032" s="67">
        <v>0</v>
      </c>
      <c r="E1032" s="67">
        <v>83900.45</v>
      </c>
      <c r="H1032" s="67" t="s">
        <v>146</v>
      </c>
    </row>
    <row r="1034" spans="1:9" x14ac:dyDescent="0.25">
      <c r="A1034" s="67" t="s">
        <v>4682</v>
      </c>
      <c r="B1034" s="67" t="s">
        <v>4681</v>
      </c>
      <c r="C1034" s="67">
        <v>0</v>
      </c>
      <c r="D1034" s="67">
        <v>0</v>
      </c>
      <c r="E1034" s="67">
        <v>83900.41</v>
      </c>
      <c r="F1034" s="67">
        <v>25250</v>
      </c>
      <c r="H1034" s="68">
        <v>40764</v>
      </c>
      <c r="I1034" s="67" t="s">
        <v>148</v>
      </c>
    </row>
    <row r="1035" spans="1:9" x14ac:dyDescent="0.25">
      <c r="B1035" s="67" t="s">
        <v>4681</v>
      </c>
      <c r="C1035" s="67">
        <v>0</v>
      </c>
      <c r="D1035" s="67">
        <v>0</v>
      </c>
      <c r="E1035" s="67">
        <v>83900.45</v>
      </c>
      <c r="H1035" s="67" t="s">
        <v>146</v>
      </c>
    </row>
    <row r="1037" spans="1:9" x14ac:dyDescent="0.25">
      <c r="A1037" s="67" t="s">
        <v>4680</v>
      </c>
      <c r="B1037" s="67" t="s">
        <v>4679</v>
      </c>
      <c r="C1037" s="67">
        <v>0</v>
      </c>
      <c r="D1037" s="67">
        <v>0</v>
      </c>
      <c r="E1037" s="67">
        <v>83900.41</v>
      </c>
      <c r="F1037" s="67">
        <v>25250</v>
      </c>
      <c r="H1037" s="68">
        <v>40764</v>
      </c>
      <c r="I1037" s="67" t="s">
        <v>148</v>
      </c>
    </row>
    <row r="1038" spans="1:9" x14ac:dyDescent="0.25">
      <c r="B1038" s="67" t="s">
        <v>4679</v>
      </c>
      <c r="C1038" s="67">
        <v>0</v>
      </c>
      <c r="D1038" s="67">
        <v>0</v>
      </c>
      <c r="E1038" s="67">
        <v>83900.45</v>
      </c>
      <c r="H1038" s="67" t="s">
        <v>146</v>
      </c>
    </row>
    <row r="1040" spans="1:9" x14ac:dyDescent="0.25">
      <c r="A1040" s="67" t="s">
        <v>4678</v>
      </c>
      <c r="B1040" s="67" t="s">
        <v>4677</v>
      </c>
      <c r="C1040" s="67">
        <v>0</v>
      </c>
      <c r="D1040" s="67">
        <v>0</v>
      </c>
      <c r="E1040" s="67">
        <v>83900.41</v>
      </c>
      <c r="F1040" s="67">
        <v>25250</v>
      </c>
      <c r="H1040" s="68">
        <v>40764</v>
      </c>
      <c r="I1040" s="67" t="s">
        <v>148</v>
      </c>
    </row>
    <row r="1041" spans="1:9" x14ac:dyDescent="0.25">
      <c r="B1041" s="67" t="s">
        <v>4677</v>
      </c>
      <c r="C1041" s="67">
        <v>0</v>
      </c>
      <c r="D1041" s="67">
        <v>0</v>
      </c>
      <c r="E1041" s="67">
        <v>83900.45</v>
      </c>
      <c r="H1041" s="67" t="s">
        <v>146</v>
      </c>
    </row>
    <row r="1043" spans="1:9" x14ac:dyDescent="0.25">
      <c r="A1043" s="67" t="s">
        <v>4676</v>
      </c>
      <c r="B1043" s="67" t="s">
        <v>1917</v>
      </c>
      <c r="C1043" s="67">
        <v>0</v>
      </c>
      <c r="D1043" s="67">
        <v>0</v>
      </c>
      <c r="E1043" s="67">
        <v>83900.41</v>
      </c>
      <c r="F1043" s="67">
        <v>25250</v>
      </c>
      <c r="H1043" s="68">
        <v>40764</v>
      </c>
      <c r="I1043" s="67" t="s">
        <v>148</v>
      </c>
    </row>
    <row r="1044" spans="1:9" x14ac:dyDescent="0.25">
      <c r="B1044" s="67" t="s">
        <v>1917</v>
      </c>
      <c r="C1044" s="67">
        <v>0</v>
      </c>
      <c r="D1044" s="67">
        <v>0</v>
      </c>
      <c r="E1044" s="67">
        <v>83900.45</v>
      </c>
      <c r="H1044" s="67" t="s">
        <v>146</v>
      </c>
    </row>
    <row r="1046" spans="1:9" x14ac:dyDescent="0.25">
      <c r="A1046" s="67" t="s">
        <v>4675</v>
      </c>
      <c r="B1046" s="67" t="s">
        <v>4674</v>
      </c>
      <c r="C1046" s="67">
        <v>0</v>
      </c>
      <c r="D1046" s="67">
        <v>0</v>
      </c>
      <c r="E1046" s="67">
        <v>83900.41</v>
      </c>
      <c r="F1046" s="67">
        <v>25250</v>
      </c>
      <c r="H1046" s="68">
        <v>40764</v>
      </c>
      <c r="I1046" s="67" t="s">
        <v>148</v>
      </c>
    </row>
    <row r="1047" spans="1:9" x14ac:dyDescent="0.25">
      <c r="B1047" s="67" t="s">
        <v>4674</v>
      </c>
      <c r="C1047" s="67">
        <v>0</v>
      </c>
      <c r="D1047" s="67">
        <v>0</v>
      </c>
      <c r="E1047" s="67">
        <v>83900.45</v>
      </c>
      <c r="H1047" s="67" t="s">
        <v>146</v>
      </c>
    </row>
    <row r="1049" spans="1:9" x14ac:dyDescent="0.25">
      <c r="A1049" s="67" t="s">
        <v>4673</v>
      </c>
      <c r="B1049" s="67" t="s">
        <v>4672</v>
      </c>
      <c r="C1049" s="67">
        <v>0</v>
      </c>
      <c r="D1049" s="67">
        <v>0</v>
      </c>
      <c r="E1049" s="67">
        <v>83900.41</v>
      </c>
      <c r="F1049" s="67">
        <v>25250</v>
      </c>
      <c r="H1049" s="68">
        <v>40764</v>
      </c>
      <c r="I1049" s="67" t="s">
        <v>148</v>
      </c>
    </row>
    <row r="1050" spans="1:9" x14ac:dyDescent="0.25">
      <c r="B1050" s="67" t="s">
        <v>4672</v>
      </c>
      <c r="C1050" s="67">
        <v>0</v>
      </c>
      <c r="D1050" s="67">
        <v>0</v>
      </c>
      <c r="E1050" s="67">
        <v>83900.45</v>
      </c>
      <c r="H1050" s="67" t="s">
        <v>146</v>
      </c>
    </row>
    <row r="1052" spans="1:9" x14ac:dyDescent="0.25">
      <c r="A1052" s="67" t="s">
        <v>4671</v>
      </c>
      <c r="B1052" s="67" t="s">
        <v>4670</v>
      </c>
      <c r="C1052" s="67">
        <v>0</v>
      </c>
      <c r="D1052" s="67">
        <v>0</v>
      </c>
      <c r="E1052" s="67">
        <v>83900.41</v>
      </c>
      <c r="F1052" s="67">
        <v>25250</v>
      </c>
      <c r="H1052" s="68">
        <v>40764</v>
      </c>
      <c r="I1052" s="67" t="s">
        <v>148</v>
      </c>
    </row>
    <row r="1053" spans="1:9" x14ac:dyDescent="0.25">
      <c r="B1053" s="67" t="s">
        <v>4670</v>
      </c>
      <c r="C1053" s="67">
        <v>0</v>
      </c>
      <c r="D1053" s="67">
        <v>0</v>
      </c>
      <c r="E1053" s="67">
        <v>83900.45</v>
      </c>
      <c r="H1053" s="67" t="s">
        <v>146</v>
      </c>
    </row>
    <row r="1055" spans="1:9" x14ac:dyDescent="0.25">
      <c r="A1055" s="67" t="s">
        <v>4669</v>
      </c>
      <c r="B1055" s="67" t="s">
        <v>4668</v>
      </c>
      <c r="C1055" s="67">
        <v>0</v>
      </c>
      <c r="D1055" s="67">
        <v>0</v>
      </c>
      <c r="E1055" s="67">
        <v>83900.41</v>
      </c>
      <c r="F1055" s="67">
        <v>25250</v>
      </c>
      <c r="H1055" s="68">
        <v>40764</v>
      </c>
      <c r="I1055" s="67" t="s">
        <v>148</v>
      </c>
    </row>
    <row r="1056" spans="1:9" x14ac:dyDescent="0.25">
      <c r="B1056" s="67" t="s">
        <v>4668</v>
      </c>
      <c r="C1056" s="67">
        <v>0</v>
      </c>
      <c r="D1056" s="67">
        <v>0</v>
      </c>
      <c r="E1056" s="67">
        <v>83900.45</v>
      </c>
      <c r="H1056" s="67" t="s">
        <v>146</v>
      </c>
    </row>
    <row r="1058" spans="1:9" x14ac:dyDescent="0.25">
      <c r="A1058" s="67" t="s">
        <v>4667</v>
      </c>
      <c r="B1058" s="67" t="s">
        <v>4666</v>
      </c>
      <c r="C1058" s="67">
        <v>0</v>
      </c>
      <c r="D1058" s="67">
        <v>0</v>
      </c>
      <c r="E1058" s="67">
        <v>83900.41</v>
      </c>
      <c r="F1058" s="67">
        <v>25250</v>
      </c>
      <c r="H1058" s="68">
        <v>40764</v>
      </c>
      <c r="I1058" s="67" t="s">
        <v>148</v>
      </c>
    </row>
    <row r="1059" spans="1:9" x14ac:dyDescent="0.25">
      <c r="B1059" s="67" t="s">
        <v>4666</v>
      </c>
      <c r="C1059" s="67">
        <v>0</v>
      </c>
      <c r="D1059" s="67">
        <v>0</v>
      </c>
      <c r="E1059" s="67">
        <v>83900.45</v>
      </c>
      <c r="H1059" s="67" t="s">
        <v>146</v>
      </c>
    </row>
    <row r="1061" spans="1:9" x14ac:dyDescent="0.25">
      <c r="A1061" s="67" t="s">
        <v>4665</v>
      </c>
      <c r="B1061" s="67" t="s">
        <v>4664</v>
      </c>
      <c r="C1061" s="67">
        <v>0</v>
      </c>
      <c r="D1061" s="67">
        <v>0</v>
      </c>
      <c r="E1061" s="67">
        <v>83900.41</v>
      </c>
      <c r="F1061" s="67">
        <v>25250</v>
      </c>
      <c r="H1061" s="68">
        <v>40764</v>
      </c>
      <c r="I1061" s="67" t="s">
        <v>148</v>
      </c>
    </row>
    <row r="1062" spans="1:9" x14ac:dyDescent="0.25">
      <c r="B1062" s="67" t="s">
        <v>4664</v>
      </c>
      <c r="C1062" s="67">
        <v>0</v>
      </c>
      <c r="D1062" s="67">
        <v>0</v>
      </c>
      <c r="E1062" s="67">
        <v>83900.45</v>
      </c>
      <c r="H1062" s="67" t="s">
        <v>146</v>
      </c>
    </row>
    <row r="1064" spans="1:9" x14ac:dyDescent="0.25">
      <c r="A1064" s="67" t="s">
        <v>4663</v>
      </c>
      <c r="B1064" s="67" t="s">
        <v>4662</v>
      </c>
      <c r="C1064" s="67">
        <v>0</v>
      </c>
      <c r="D1064" s="67">
        <v>0</v>
      </c>
      <c r="E1064" s="67">
        <v>83900.41</v>
      </c>
      <c r="F1064" s="67">
        <v>25250</v>
      </c>
      <c r="H1064" s="68">
        <v>40764</v>
      </c>
      <c r="I1064" s="67" t="s">
        <v>148</v>
      </c>
    </row>
    <row r="1065" spans="1:9" x14ac:dyDescent="0.25">
      <c r="B1065" s="67" t="s">
        <v>4662</v>
      </c>
      <c r="C1065" s="67">
        <v>0</v>
      </c>
      <c r="D1065" s="67">
        <v>0</v>
      </c>
      <c r="E1065" s="67">
        <v>83900.45</v>
      </c>
      <c r="H1065" s="67" t="s">
        <v>146</v>
      </c>
    </row>
    <row r="1067" spans="1:9" x14ac:dyDescent="0.25">
      <c r="A1067" s="67" t="s">
        <v>4661</v>
      </c>
      <c r="B1067" s="67" t="s">
        <v>4660</v>
      </c>
      <c r="C1067" s="67">
        <v>0</v>
      </c>
      <c r="D1067" s="67">
        <v>0</v>
      </c>
      <c r="E1067" s="67">
        <v>83900.41</v>
      </c>
      <c r="F1067" s="67">
        <v>25250</v>
      </c>
      <c r="H1067" s="68">
        <v>40764</v>
      </c>
      <c r="I1067" s="67" t="s">
        <v>148</v>
      </c>
    </row>
    <row r="1068" spans="1:9" x14ac:dyDescent="0.25">
      <c r="B1068" s="67" t="s">
        <v>4660</v>
      </c>
      <c r="C1068" s="67">
        <v>0</v>
      </c>
      <c r="D1068" s="67">
        <v>0</v>
      </c>
      <c r="E1068" s="67">
        <v>83900.45</v>
      </c>
      <c r="H1068" s="67" t="s">
        <v>146</v>
      </c>
    </row>
    <row r="1070" spans="1:9" x14ac:dyDescent="0.25">
      <c r="A1070" s="67" t="s">
        <v>4659</v>
      </c>
      <c r="B1070" s="67" t="s">
        <v>4658</v>
      </c>
      <c r="C1070" s="67">
        <v>0</v>
      </c>
      <c r="D1070" s="67">
        <v>0</v>
      </c>
      <c r="E1070" s="67">
        <v>83900.41</v>
      </c>
      <c r="F1070" s="67">
        <v>25250</v>
      </c>
      <c r="H1070" s="68">
        <v>40764</v>
      </c>
      <c r="I1070" s="67" t="s">
        <v>148</v>
      </c>
    </row>
    <row r="1071" spans="1:9" x14ac:dyDescent="0.25">
      <c r="B1071" s="67" t="s">
        <v>4658</v>
      </c>
      <c r="C1071" s="67">
        <v>0</v>
      </c>
      <c r="D1071" s="67">
        <v>0</v>
      </c>
      <c r="E1071" s="67">
        <v>83900.45</v>
      </c>
      <c r="H1071" s="67" t="s">
        <v>146</v>
      </c>
    </row>
    <row r="1073" spans="1:9" x14ac:dyDescent="0.25">
      <c r="A1073" s="67" t="s">
        <v>4657</v>
      </c>
      <c r="B1073" s="67" t="s">
        <v>4656</v>
      </c>
      <c r="C1073" s="67">
        <v>0</v>
      </c>
      <c r="D1073" s="67">
        <v>0</v>
      </c>
      <c r="E1073" s="67">
        <v>83900.41</v>
      </c>
      <c r="F1073" s="67">
        <v>25250</v>
      </c>
      <c r="H1073" s="68">
        <v>40764</v>
      </c>
      <c r="I1073" s="67" t="s">
        <v>148</v>
      </c>
    </row>
    <row r="1074" spans="1:9" x14ac:dyDescent="0.25">
      <c r="B1074" s="67" t="s">
        <v>4656</v>
      </c>
      <c r="C1074" s="67">
        <v>0</v>
      </c>
      <c r="D1074" s="67">
        <v>0</v>
      </c>
      <c r="E1074" s="67">
        <v>83900.45</v>
      </c>
      <c r="H1074" s="67" t="s">
        <v>146</v>
      </c>
    </row>
    <row r="1076" spans="1:9" x14ac:dyDescent="0.25">
      <c r="A1076" s="67" t="s">
        <v>4655</v>
      </c>
      <c r="B1076" s="67" t="s">
        <v>4654</v>
      </c>
      <c r="C1076" s="67">
        <v>0</v>
      </c>
      <c r="D1076" s="67">
        <v>0</v>
      </c>
      <c r="E1076" s="67">
        <v>83900.41</v>
      </c>
      <c r="F1076" s="67">
        <v>25250</v>
      </c>
      <c r="H1076" s="68">
        <v>40764</v>
      </c>
      <c r="I1076" s="67" t="s">
        <v>148</v>
      </c>
    </row>
    <row r="1077" spans="1:9" x14ac:dyDescent="0.25">
      <c r="B1077" s="67" t="s">
        <v>4654</v>
      </c>
      <c r="C1077" s="67">
        <v>0</v>
      </c>
      <c r="D1077" s="67">
        <v>0</v>
      </c>
      <c r="E1077" s="67">
        <v>83900.45</v>
      </c>
      <c r="H1077" s="67" t="s">
        <v>146</v>
      </c>
    </row>
    <row r="1079" spans="1:9" x14ac:dyDescent="0.25">
      <c r="A1079" s="67" t="s">
        <v>4653</v>
      </c>
      <c r="B1079" s="67" t="s">
        <v>4652</v>
      </c>
      <c r="C1079" s="67">
        <v>0</v>
      </c>
      <c r="D1079" s="67">
        <v>0</v>
      </c>
      <c r="E1079" s="67">
        <v>83900.41</v>
      </c>
      <c r="F1079" s="67">
        <v>25250</v>
      </c>
      <c r="H1079" s="68">
        <v>40764</v>
      </c>
      <c r="I1079" s="67" t="s">
        <v>148</v>
      </c>
    </row>
    <row r="1080" spans="1:9" x14ac:dyDescent="0.25">
      <c r="B1080" s="67" t="s">
        <v>4652</v>
      </c>
      <c r="C1080" s="67">
        <v>0</v>
      </c>
      <c r="D1080" s="67">
        <v>0</v>
      </c>
      <c r="E1080" s="67">
        <v>83900.45</v>
      </c>
      <c r="H1080" s="67" t="s">
        <v>146</v>
      </c>
    </row>
    <row r="1081" spans="1:9" x14ac:dyDescent="0.25">
      <c r="A1081" s="67" t="s">
        <v>233</v>
      </c>
    </row>
    <row r="1083" spans="1:9" x14ac:dyDescent="0.25">
      <c r="A1083" s="67" t="s">
        <v>232</v>
      </c>
      <c r="D1083" s="67" t="s">
        <v>231</v>
      </c>
      <c r="H1083" s="67" t="s">
        <v>148</v>
      </c>
      <c r="I1083" s="67" t="s">
        <v>230</v>
      </c>
    </row>
    <row r="1084" spans="1:9" x14ac:dyDescent="0.25">
      <c r="A1084" s="67">
        <v>41.1</v>
      </c>
      <c r="C1084" s="67" t="s">
        <v>215</v>
      </c>
      <c r="D1084" s="67" t="s">
        <v>229</v>
      </c>
      <c r="H1084" s="70">
        <v>44771</v>
      </c>
      <c r="I1084" s="69">
        <v>0.56736111111111109</v>
      </c>
    </row>
    <row r="1085" spans="1:9" x14ac:dyDescent="0.25">
      <c r="A1085" s="67" t="s">
        <v>228</v>
      </c>
      <c r="C1085" s="67" t="s">
        <v>227</v>
      </c>
      <c r="D1085" s="67" t="s">
        <v>226</v>
      </c>
      <c r="E1085" s="67">
        <v>589</v>
      </c>
      <c r="H1085" s="67" t="s">
        <v>225</v>
      </c>
      <c r="I1085" s="67">
        <v>21</v>
      </c>
    </row>
    <row r="1086" spans="1:9" x14ac:dyDescent="0.25">
      <c r="A1086" s="67" t="s">
        <v>884</v>
      </c>
    </row>
    <row r="1087" spans="1:9" x14ac:dyDescent="0.25">
      <c r="A1087" s="67" t="s">
        <v>223</v>
      </c>
      <c r="B1087" s="67" t="s">
        <v>222</v>
      </c>
      <c r="C1087" s="67" t="s">
        <v>221</v>
      </c>
      <c r="D1087" s="67" t="s">
        <v>220</v>
      </c>
      <c r="E1087" s="67" t="s">
        <v>219</v>
      </c>
      <c r="F1087" s="67" t="s">
        <v>217</v>
      </c>
      <c r="G1087" s="67" t="s">
        <v>218</v>
      </c>
      <c r="H1087" s="67" t="s">
        <v>217</v>
      </c>
      <c r="I1087" s="67" t="s">
        <v>216</v>
      </c>
    </row>
    <row r="1088" spans="1:9" x14ac:dyDescent="0.25">
      <c r="A1088" s="67" t="s">
        <v>215</v>
      </c>
      <c r="B1088" s="67" t="s">
        <v>214</v>
      </c>
      <c r="C1088" s="67" t="s">
        <v>213</v>
      </c>
      <c r="D1088" s="67" t="s">
        <v>212</v>
      </c>
      <c r="E1088" s="67" t="s">
        <v>211</v>
      </c>
      <c r="F1088" s="67" t="s">
        <v>210</v>
      </c>
      <c r="G1088" s="67" t="s">
        <v>209</v>
      </c>
      <c r="H1088" s="67" t="s">
        <v>208</v>
      </c>
      <c r="I1088" s="67" t="s">
        <v>207</v>
      </c>
    </row>
    <row r="1089" spans="1:9" x14ac:dyDescent="0.25">
      <c r="A1089" s="67" t="s">
        <v>206</v>
      </c>
      <c r="B1089" s="67" t="s">
        <v>205</v>
      </c>
      <c r="C1089" s="67" t="s">
        <v>204</v>
      </c>
      <c r="D1089" s="67" t="s">
        <v>203</v>
      </c>
      <c r="E1089" s="67" t="s">
        <v>202</v>
      </c>
      <c r="F1089" s="67" t="s">
        <v>201</v>
      </c>
      <c r="G1089" s="67" t="s">
        <v>200</v>
      </c>
      <c r="H1089" s="67" t="s">
        <v>199</v>
      </c>
    </row>
    <row r="1090" spans="1:9" x14ac:dyDescent="0.25">
      <c r="A1090" s="67" t="s">
        <v>4651</v>
      </c>
      <c r="B1090" s="67" t="s">
        <v>4650</v>
      </c>
      <c r="C1090" s="67">
        <v>0</v>
      </c>
      <c r="D1090" s="67">
        <v>0</v>
      </c>
      <c r="E1090" s="67">
        <v>83900.41</v>
      </c>
      <c r="F1090" s="67">
        <v>25250</v>
      </c>
      <c r="H1090" s="68">
        <v>40764</v>
      </c>
      <c r="I1090" s="67" t="s">
        <v>148</v>
      </c>
    </row>
    <row r="1091" spans="1:9" x14ac:dyDescent="0.25">
      <c r="B1091" s="67" t="s">
        <v>4650</v>
      </c>
      <c r="C1091" s="67">
        <v>0</v>
      </c>
      <c r="D1091" s="67">
        <v>0</v>
      </c>
      <c r="E1091" s="67">
        <v>83900.45</v>
      </c>
      <c r="H1091" s="67" t="s">
        <v>146</v>
      </c>
    </row>
    <row r="1093" spans="1:9" x14ac:dyDescent="0.25">
      <c r="A1093" s="67" t="s">
        <v>4649</v>
      </c>
      <c r="B1093" s="67" t="s">
        <v>4648</v>
      </c>
      <c r="C1093" s="67">
        <v>0</v>
      </c>
      <c r="D1093" s="67">
        <v>0</v>
      </c>
      <c r="E1093" s="67">
        <v>83900.41</v>
      </c>
      <c r="F1093" s="67">
        <v>25250</v>
      </c>
      <c r="H1093" s="68">
        <v>40764</v>
      </c>
      <c r="I1093" s="67" t="s">
        <v>148</v>
      </c>
    </row>
    <row r="1094" spans="1:9" x14ac:dyDescent="0.25">
      <c r="B1094" s="67" t="s">
        <v>4648</v>
      </c>
      <c r="C1094" s="67">
        <v>0</v>
      </c>
      <c r="D1094" s="67">
        <v>0</v>
      </c>
      <c r="E1094" s="67">
        <v>83900.45</v>
      </c>
      <c r="H1094" s="67" t="s">
        <v>146</v>
      </c>
    </row>
    <row r="1096" spans="1:9" x14ac:dyDescent="0.25">
      <c r="A1096" s="67" t="s">
        <v>4647</v>
      </c>
      <c r="B1096" s="67" t="s">
        <v>4646</v>
      </c>
      <c r="C1096" s="67">
        <v>0</v>
      </c>
      <c r="D1096" s="67">
        <v>0</v>
      </c>
      <c r="E1096" s="67">
        <v>83900.41</v>
      </c>
      <c r="F1096" s="67">
        <v>25250</v>
      </c>
      <c r="H1096" s="68">
        <v>40764</v>
      </c>
      <c r="I1096" s="67" t="s">
        <v>148</v>
      </c>
    </row>
    <row r="1097" spans="1:9" x14ac:dyDescent="0.25">
      <c r="B1097" s="67" t="s">
        <v>4646</v>
      </c>
      <c r="C1097" s="67">
        <v>0</v>
      </c>
      <c r="D1097" s="67">
        <v>0</v>
      </c>
      <c r="E1097" s="67">
        <v>83900.45</v>
      </c>
      <c r="H1097" s="67" t="s">
        <v>146</v>
      </c>
    </row>
    <row r="1099" spans="1:9" x14ac:dyDescent="0.25">
      <c r="A1099" s="67" t="s">
        <v>4645</v>
      </c>
      <c r="B1099" s="67" t="s">
        <v>4644</v>
      </c>
      <c r="C1099" s="67">
        <v>0</v>
      </c>
      <c r="D1099" s="67">
        <v>0</v>
      </c>
      <c r="E1099" s="67">
        <v>83900.41</v>
      </c>
      <c r="F1099" s="67">
        <v>25250</v>
      </c>
      <c r="H1099" s="68">
        <v>40764</v>
      </c>
      <c r="I1099" s="67" t="s">
        <v>148</v>
      </c>
    </row>
    <row r="1100" spans="1:9" x14ac:dyDescent="0.25">
      <c r="B1100" s="67" t="s">
        <v>4644</v>
      </c>
      <c r="C1100" s="67">
        <v>0</v>
      </c>
      <c r="D1100" s="67">
        <v>0</v>
      </c>
      <c r="E1100" s="67">
        <v>83900.45</v>
      </c>
      <c r="H1100" s="67" t="s">
        <v>146</v>
      </c>
    </row>
    <row r="1102" spans="1:9" x14ac:dyDescent="0.25">
      <c r="A1102" s="67" t="s">
        <v>4643</v>
      </c>
      <c r="B1102" s="67" t="s">
        <v>4642</v>
      </c>
      <c r="C1102" s="67">
        <v>0</v>
      </c>
      <c r="D1102" s="67">
        <v>0</v>
      </c>
      <c r="E1102" s="67">
        <v>83900.41</v>
      </c>
      <c r="F1102" s="67">
        <v>25250</v>
      </c>
      <c r="H1102" s="68">
        <v>40764</v>
      </c>
      <c r="I1102" s="67" t="s">
        <v>148</v>
      </c>
    </row>
    <row r="1103" spans="1:9" x14ac:dyDescent="0.25">
      <c r="B1103" s="67" t="s">
        <v>4642</v>
      </c>
      <c r="C1103" s="67">
        <v>0</v>
      </c>
      <c r="D1103" s="67">
        <v>0</v>
      </c>
      <c r="E1103" s="67">
        <v>83900.45</v>
      </c>
      <c r="H1103" s="67" t="s">
        <v>146</v>
      </c>
    </row>
    <row r="1105" spans="1:9" x14ac:dyDescent="0.25">
      <c r="A1105" s="67" t="s">
        <v>4641</v>
      </c>
      <c r="B1105" s="67" t="s">
        <v>4640</v>
      </c>
      <c r="C1105" s="67">
        <v>0</v>
      </c>
      <c r="D1105" s="67">
        <v>0</v>
      </c>
      <c r="E1105" s="67">
        <v>83900.41</v>
      </c>
      <c r="F1105" s="67">
        <v>25250</v>
      </c>
      <c r="H1105" s="68">
        <v>40764</v>
      </c>
      <c r="I1105" s="67" t="s">
        <v>148</v>
      </c>
    </row>
    <row r="1106" spans="1:9" x14ac:dyDescent="0.25">
      <c r="B1106" s="67" t="s">
        <v>4640</v>
      </c>
      <c r="C1106" s="67">
        <v>0</v>
      </c>
      <c r="D1106" s="67">
        <v>0</v>
      </c>
      <c r="E1106" s="67">
        <v>83900.45</v>
      </c>
      <c r="H1106" s="67" t="s">
        <v>146</v>
      </c>
    </row>
    <row r="1108" spans="1:9" x14ac:dyDescent="0.25">
      <c r="A1108" s="67" t="s">
        <v>4639</v>
      </c>
      <c r="B1108" s="67" t="s">
        <v>4638</v>
      </c>
      <c r="C1108" s="67">
        <v>0</v>
      </c>
      <c r="D1108" s="67">
        <v>0</v>
      </c>
      <c r="E1108" s="67">
        <v>83900.41</v>
      </c>
      <c r="F1108" s="67">
        <v>25250</v>
      </c>
      <c r="H1108" s="68">
        <v>40764</v>
      </c>
      <c r="I1108" s="67" t="s">
        <v>148</v>
      </c>
    </row>
    <row r="1109" spans="1:9" x14ac:dyDescent="0.25">
      <c r="B1109" s="67" t="s">
        <v>4638</v>
      </c>
      <c r="C1109" s="67">
        <v>0</v>
      </c>
      <c r="D1109" s="67">
        <v>0</v>
      </c>
      <c r="E1109" s="67">
        <v>83900.45</v>
      </c>
      <c r="H1109" s="67" t="s">
        <v>146</v>
      </c>
    </row>
    <row r="1111" spans="1:9" x14ac:dyDescent="0.25">
      <c r="A1111" s="67" t="s">
        <v>4637</v>
      </c>
      <c r="B1111" s="67" t="s">
        <v>4636</v>
      </c>
      <c r="C1111" s="67">
        <v>0</v>
      </c>
      <c r="D1111" s="67">
        <v>0</v>
      </c>
      <c r="E1111" s="67">
        <v>83900.41</v>
      </c>
      <c r="F1111" s="67">
        <v>25250</v>
      </c>
      <c r="H1111" s="68">
        <v>40764</v>
      </c>
      <c r="I1111" s="67" t="s">
        <v>148</v>
      </c>
    </row>
    <row r="1112" spans="1:9" x14ac:dyDescent="0.25">
      <c r="B1112" s="67" t="s">
        <v>4636</v>
      </c>
      <c r="C1112" s="67">
        <v>0</v>
      </c>
      <c r="D1112" s="67">
        <v>0</v>
      </c>
      <c r="E1112" s="67">
        <v>83900.45</v>
      </c>
      <c r="H1112" s="67" t="s">
        <v>146</v>
      </c>
    </row>
    <row r="1114" spans="1:9" x14ac:dyDescent="0.25">
      <c r="A1114" s="67" t="s">
        <v>4635</v>
      </c>
      <c r="B1114" s="67" t="s">
        <v>4634</v>
      </c>
      <c r="C1114" s="67">
        <v>0</v>
      </c>
      <c r="D1114" s="67">
        <v>0</v>
      </c>
      <c r="E1114" s="67">
        <v>83900.41</v>
      </c>
      <c r="F1114" s="67">
        <v>25250</v>
      </c>
      <c r="H1114" s="68">
        <v>40764</v>
      </c>
      <c r="I1114" s="67" t="s">
        <v>148</v>
      </c>
    </row>
    <row r="1115" spans="1:9" x14ac:dyDescent="0.25">
      <c r="B1115" s="67" t="s">
        <v>4634</v>
      </c>
      <c r="C1115" s="67">
        <v>0</v>
      </c>
      <c r="D1115" s="67">
        <v>0</v>
      </c>
      <c r="E1115" s="67">
        <v>83900.45</v>
      </c>
      <c r="H1115" s="67" t="s">
        <v>146</v>
      </c>
    </row>
    <row r="1117" spans="1:9" x14ac:dyDescent="0.25">
      <c r="A1117" s="67" t="s">
        <v>4633</v>
      </c>
      <c r="B1117" s="67" t="s">
        <v>4632</v>
      </c>
      <c r="C1117" s="67">
        <v>0</v>
      </c>
      <c r="D1117" s="67">
        <v>0</v>
      </c>
      <c r="E1117" s="67">
        <v>83900.41</v>
      </c>
      <c r="F1117" s="67">
        <v>25250</v>
      </c>
      <c r="H1117" s="68">
        <v>40764</v>
      </c>
      <c r="I1117" s="67" t="s">
        <v>148</v>
      </c>
    </row>
    <row r="1118" spans="1:9" x14ac:dyDescent="0.25">
      <c r="B1118" s="67" t="s">
        <v>4632</v>
      </c>
      <c r="C1118" s="67">
        <v>0</v>
      </c>
      <c r="D1118" s="67">
        <v>0</v>
      </c>
      <c r="E1118" s="67">
        <v>83900.45</v>
      </c>
      <c r="H1118" s="67" t="s">
        <v>146</v>
      </c>
    </row>
    <row r="1120" spans="1:9" x14ac:dyDescent="0.25">
      <c r="A1120" s="67" t="s">
        <v>4631</v>
      </c>
      <c r="B1120" s="67" t="s">
        <v>4630</v>
      </c>
      <c r="C1120" s="67">
        <v>0</v>
      </c>
      <c r="D1120" s="67">
        <v>0</v>
      </c>
      <c r="E1120" s="67">
        <v>83900.41</v>
      </c>
      <c r="F1120" s="67">
        <v>25250</v>
      </c>
      <c r="H1120" s="68">
        <v>40764</v>
      </c>
      <c r="I1120" s="67" t="s">
        <v>148</v>
      </c>
    </row>
    <row r="1121" spans="1:9" x14ac:dyDescent="0.25">
      <c r="B1121" s="67" t="s">
        <v>4630</v>
      </c>
      <c r="C1121" s="67">
        <v>0</v>
      </c>
      <c r="D1121" s="67">
        <v>0</v>
      </c>
      <c r="E1121" s="67">
        <v>83900.45</v>
      </c>
      <c r="H1121" s="67" t="s">
        <v>146</v>
      </c>
    </row>
    <row r="1123" spans="1:9" x14ac:dyDescent="0.25">
      <c r="A1123" s="67" t="s">
        <v>4629</v>
      </c>
      <c r="B1123" s="67" t="s">
        <v>4627</v>
      </c>
      <c r="C1123" s="67">
        <v>0</v>
      </c>
      <c r="D1123" s="67">
        <v>0</v>
      </c>
      <c r="E1123" s="67">
        <v>83900.41</v>
      </c>
      <c r="F1123" s="67">
        <v>25250</v>
      </c>
      <c r="H1123" s="68">
        <v>40764</v>
      </c>
      <c r="I1123" s="67" t="s">
        <v>148</v>
      </c>
    </row>
    <row r="1124" spans="1:9" x14ac:dyDescent="0.25">
      <c r="B1124" s="67" t="s">
        <v>4627</v>
      </c>
      <c r="C1124" s="67">
        <v>0</v>
      </c>
      <c r="D1124" s="67">
        <v>0</v>
      </c>
      <c r="E1124" s="67">
        <v>83900.45</v>
      </c>
      <c r="H1124" s="67" t="s">
        <v>146</v>
      </c>
    </row>
    <row r="1126" spans="1:9" x14ac:dyDescent="0.25">
      <c r="A1126" s="67" t="s">
        <v>4628</v>
      </c>
      <c r="B1126" s="67" t="s">
        <v>4627</v>
      </c>
      <c r="C1126" s="67">
        <v>0</v>
      </c>
      <c r="D1126" s="67">
        <v>0</v>
      </c>
      <c r="E1126" s="67">
        <v>83900.41</v>
      </c>
      <c r="F1126" s="67">
        <v>25250</v>
      </c>
      <c r="H1126" s="68">
        <v>40764</v>
      </c>
      <c r="I1126" s="67" t="s">
        <v>148</v>
      </c>
    </row>
    <row r="1127" spans="1:9" x14ac:dyDescent="0.25">
      <c r="B1127" s="67" t="s">
        <v>4627</v>
      </c>
      <c r="C1127" s="67">
        <v>0</v>
      </c>
      <c r="D1127" s="67">
        <v>0</v>
      </c>
      <c r="E1127" s="67">
        <v>83900.45</v>
      </c>
      <c r="H1127" s="67" t="s">
        <v>146</v>
      </c>
    </row>
    <row r="1129" spans="1:9" x14ac:dyDescent="0.25">
      <c r="A1129" s="67" t="s">
        <v>4626</v>
      </c>
      <c r="B1129" s="67" t="s">
        <v>4625</v>
      </c>
      <c r="C1129" s="67">
        <v>0</v>
      </c>
      <c r="D1129" s="67">
        <v>0</v>
      </c>
      <c r="E1129" s="67">
        <v>83900.41</v>
      </c>
      <c r="F1129" s="67">
        <v>25250</v>
      </c>
      <c r="H1129" s="68">
        <v>40764</v>
      </c>
      <c r="I1129" s="67" t="s">
        <v>148</v>
      </c>
    </row>
    <row r="1130" spans="1:9" x14ac:dyDescent="0.25">
      <c r="B1130" s="67" t="s">
        <v>4625</v>
      </c>
      <c r="C1130" s="67">
        <v>0</v>
      </c>
      <c r="D1130" s="67">
        <v>0</v>
      </c>
      <c r="E1130" s="67">
        <v>83900.45</v>
      </c>
      <c r="H1130" s="67" t="s">
        <v>146</v>
      </c>
    </row>
    <row r="1132" spans="1:9" x14ac:dyDescent="0.25">
      <c r="A1132" s="67" t="s">
        <v>4624</v>
      </c>
      <c r="B1132" s="67" t="s">
        <v>4623</v>
      </c>
      <c r="C1132" s="67">
        <v>0</v>
      </c>
      <c r="D1132" s="67">
        <v>0</v>
      </c>
      <c r="E1132" s="67">
        <v>83900.41</v>
      </c>
      <c r="F1132" s="67">
        <v>25250</v>
      </c>
      <c r="H1132" s="68">
        <v>40764</v>
      </c>
      <c r="I1132" s="67" t="s">
        <v>148</v>
      </c>
    </row>
    <row r="1133" spans="1:9" x14ac:dyDescent="0.25">
      <c r="B1133" s="67" t="s">
        <v>4623</v>
      </c>
      <c r="C1133" s="67">
        <v>0</v>
      </c>
      <c r="D1133" s="67">
        <v>0</v>
      </c>
      <c r="E1133" s="67">
        <v>83900.45</v>
      </c>
      <c r="H1133" s="67" t="s">
        <v>146</v>
      </c>
    </row>
    <row r="1135" spans="1:9" x14ac:dyDescent="0.25">
      <c r="A1135" s="67" t="s">
        <v>4622</v>
      </c>
      <c r="B1135" s="67" t="s">
        <v>4621</v>
      </c>
      <c r="C1135" s="67">
        <v>0</v>
      </c>
      <c r="D1135" s="67">
        <v>0</v>
      </c>
      <c r="E1135" s="67">
        <v>83900.41</v>
      </c>
      <c r="F1135" s="67">
        <v>25250</v>
      </c>
      <c r="H1135" s="68">
        <v>40764</v>
      </c>
      <c r="I1135" s="67" t="s">
        <v>148</v>
      </c>
    </row>
    <row r="1136" spans="1:9" x14ac:dyDescent="0.25">
      <c r="B1136" s="67" t="s">
        <v>4621</v>
      </c>
      <c r="C1136" s="67">
        <v>0</v>
      </c>
      <c r="D1136" s="67">
        <v>0</v>
      </c>
      <c r="E1136" s="67">
        <v>83900.45</v>
      </c>
      <c r="H1136" s="67" t="s">
        <v>146</v>
      </c>
    </row>
    <row r="1138" spans="1:9" x14ac:dyDescent="0.25">
      <c r="A1138" s="67" t="s">
        <v>4620</v>
      </c>
      <c r="B1138" s="67" t="s">
        <v>4619</v>
      </c>
      <c r="C1138" s="67">
        <v>0</v>
      </c>
      <c r="D1138" s="67">
        <v>0</v>
      </c>
      <c r="E1138" s="67">
        <v>83900.41</v>
      </c>
      <c r="F1138" s="67">
        <v>25250</v>
      </c>
      <c r="H1138" s="68">
        <v>40764</v>
      </c>
      <c r="I1138" s="67" t="s">
        <v>148</v>
      </c>
    </row>
    <row r="1139" spans="1:9" x14ac:dyDescent="0.25">
      <c r="B1139" s="67" t="s">
        <v>4619</v>
      </c>
      <c r="C1139" s="67">
        <v>0</v>
      </c>
      <c r="D1139" s="67">
        <v>0</v>
      </c>
      <c r="E1139" s="67">
        <v>83900.45</v>
      </c>
      <c r="H1139" s="67" t="s">
        <v>146</v>
      </c>
    </row>
    <row r="1140" spans="1:9" x14ac:dyDescent="0.25">
      <c r="A1140" s="67" t="s">
        <v>233</v>
      </c>
    </row>
    <row r="1142" spans="1:9" x14ac:dyDescent="0.25">
      <c r="A1142" s="67" t="s">
        <v>232</v>
      </c>
      <c r="D1142" s="67" t="s">
        <v>231</v>
      </c>
      <c r="H1142" s="67" t="s">
        <v>148</v>
      </c>
      <c r="I1142" s="67" t="s">
        <v>230</v>
      </c>
    </row>
    <row r="1143" spans="1:9" x14ac:dyDescent="0.25">
      <c r="A1143" s="67">
        <v>41.1</v>
      </c>
      <c r="C1143" s="67" t="s">
        <v>215</v>
      </c>
      <c r="D1143" s="67" t="s">
        <v>229</v>
      </c>
      <c r="H1143" s="70">
        <v>44771</v>
      </c>
      <c r="I1143" s="69">
        <v>0.56736111111111109</v>
      </c>
    </row>
    <row r="1144" spans="1:9" x14ac:dyDescent="0.25">
      <c r="A1144" s="67" t="s">
        <v>228</v>
      </c>
      <c r="C1144" s="67" t="s">
        <v>227</v>
      </c>
      <c r="D1144" s="67" t="s">
        <v>226</v>
      </c>
      <c r="E1144" s="67">
        <v>589</v>
      </c>
      <c r="H1144" s="67" t="s">
        <v>225</v>
      </c>
      <c r="I1144" s="67">
        <v>22</v>
      </c>
    </row>
    <row r="1145" spans="1:9" x14ac:dyDescent="0.25">
      <c r="A1145" s="67" t="s">
        <v>884</v>
      </c>
    </row>
    <row r="1146" spans="1:9" x14ac:dyDescent="0.25">
      <c r="A1146" s="67" t="s">
        <v>223</v>
      </c>
      <c r="B1146" s="67" t="s">
        <v>222</v>
      </c>
      <c r="C1146" s="67" t="s">
        <v>221</v>
      </c>
      <c r="D1146" s="67" t="s">
        <v>220</v>
      </c>
      <c r="E1146" s="67" t="s">
        <v>219</v>
      </c>
      <c r="F1146" s="67" t="s">
        <v>217</v>
      </c>
      <c r="G1146" s="67" t="s">
        <v>218</v>
      </c>
      <c r="H1146" s="67" t="s">
        <v>217</v>
      </c>
      <c r="I1146" s="67" t="s">
        <v>216</v>
      </c>
    </row>
    <row r="1147" spans="1:9" x14ac:dyDescent="0.25">
      <c r="A1147" s="67" t="s">
        <v>215</v>
      </c>
      <c r="B1147" s="67" t="s">
        <v>214</v>
      </c>
      <c r="C1147" s="67" t="s">
        <v>213</v>
      </c>
      <c r="D1147" s="67" t="s">
        <v>212</v>
      </c>
      <c r="E1147" s="67" t="s">
        <v>211</v>
      </c>
      <c r="F1147" s="67" t="s">
        <v>210</v>
      </c>
      <c r="G1147" s="67" t="s">
        <v>209</v>
      </c>
      <c r="H1147" s="67" t="s">
        <v>208</v>
      </c>
      <c r="I1147" s="67" t="s">
        <v>207</v>
      </c>
    </row>
    <row r="1148" spans="1:9" x14ac:dyDescent="0.25">
      <c r="A1148" s="67" t="s">
        <v>206</v>
      </c>
      <c r="B1148" s="67" t="s">
        <v>205</v>
      </c>
      <c r="C1148" s="67" t="s">
        <v>204</v>
      </c>
      <c r="D1148" s="67" t="s">
        <v>203</v>
      </c>
      <c r="E1148" s="67" t="s">
        <v>202</v>
      </c>
      <c r="F1148" s="67" t="s">
        <v>201</v>
      </c>
      <c r="G1148" s="67" t="s">
        <v>200</v>
      </c>
      <c r="H1148" s="67" t="s">
        <v>199</v>
      </c>
    </row>
    <row r="1149" spans="1:9" x14ac:dyDescent="0.25">
      <c r="A1149" s="67" t="s">
        <v>4618</v>
      </c>
      <c r="B1149" s="67" t="s">
        <v>4617</v>
      </c>
      <c r="C1149" s="67">
        <v>0</v>
      </c>
      <c r="D1149" s="67">
        <v>0</v>
      </c>
      <c r="E1149" s="67">
        <v>83900.41</v>
      </c>
      <c r="F1149" s="67">
        <v>25250</v>
      </c>
      <c r="H1149" s="68">
        <v>40764</v>
      </c>
      <c r="I1149" s="67" t="s">
        <v>148</v>
      </c>
    </row>
    <row r="1150" spans="1:9" x14ac:dyDescent="0.25">
      <c r="B1150" s="67" t="s">
        <v>4617</v>
      </c>
      <c r="C1150" s="67">
        <v>0</v>
      </c>
      <c r="D1150" s="67">
        <v>0</v>
      </c>
      <c r="E1150" s="67">
        <v>83900.45</v>
      </c>
      <c r="H1150" s="67" t="s">
        <v>146</v>
      </c>
    </row>
    <row r="1152" spans="1:9" x14ac:dyDescent="0.25">
      <c r="A1152" s="67" t="s">
        <v>4616</v>
      </c>
      <c r="B1152" s="67" t="s">
        <v>4615</v>
      </c>
      <c r="C1152" s="67">
        <v>0</v>
      </c>
      <c r="D1152" s="67">
        <v>0</v>
      </c>
      <c r="E1152" s="67">
        <v>83900.41</v>
      </c>
      <c r="F1152" s="67">
        <v>25250</v>
      </c>
      <c r="H1152" s="68">
        <v>40764</v>
      </c>
      <c r="I1152" s="67" t="s">
        <v>148</v>
      </c>
    </row>
    <row r="1153" spans="1:9" x14ac:dyDescent="0.25">
      <c r="B1153" s="67" t="s">
        <v>4615</v>
      </c>
      <c r="C1153" s="67">
        <v>0</v>
      </c>
      <c r="D1153" s="67">
        <v>0</v>
      </c>
      <c r="E1153" s="67">
        <v>83900.45</v>
      </c>
      <c r="H1153" s="67" t="s">
        <v>146</v>
      </c>
    </row>
    <row r="1155" spans="1:9" x14ac:dyDescent="0.25">
      <c r="A1155" s="67" t="s">
        <v>4614</v>
      </c>
      <c r="B1155" s="67" t="s">
        <v>4613</v>
      </c>
      <c r="C1155" s="67">
        <v>0</v>
      </c>
      <c r="D1155" s="67">
        <v>0</v>
      </c>
      <c r="E1155" s="67">
        <v>83900.41</v>
      </c>
      <c r="F1155" s="67">
        <v>25250</v>
      </c>
      <c r="H1155" s="68">
        <v>40764</v>
      </c>
      <c r="I1155" s="67" t="s">
        <v>148</v>
      </c>
    </row>
    <row r="1156" spans="1:9" x14ac:dyDescent="0.25">
      <c r="B1156" s="67" t="s">
        <v>4613</v>
      </c>
      <c r="C1156" s="67">
        <v>0</v>
      </c>
      <c r="D1156" s="67">
        <v>0</v>
      </c>
      <c r="E1156" s="67">
        <v>83900.45</v>
      </c>
      <c r="H1156" s="67" t="s">
        <v>146</v>
      </c>
    </row>
    <row r="1158" spans="1:9" x14ac:dyDescent="0.25">
      <c r="A1158" s="67" t="s">
        <v>4612</v>
      </c>
      <c r="B1158" s="67" t="s">
        <v>4611</v>
      </c>
      <c r="C1158" s="67">
        <v>0</v>
      </c>
      <c r="D1158" s="67">
        <v>0</v>
      </c>
      <c r="E1158" s="67">
        <v>83900.41</v>
      </c>
      <c r="F1158" s="67">
        <v>25250</v>
      </c>
      <c r="H1158" s="68">
        <v>40764</v>
      </c>
      <c r="I1158" s="67" t="s">
        <v>148</v>
      </c>
    </row>
    <row r="1159" spans="1:9" x14ac:dyDescent="0.25">
      <c r="B1159" s="67" t="s">
        <v>4611</v>
      </c>
      <c r="C1159" s="67">
        <v>0</v>
      </c>
      <c r="D1159" s="67">
        <v>0</v>
      </c>
      <c r="E1159" s="67">
        <v>83900.45</v>
      </c>
      <c r="H1159" s="67" t="s">
        <v>146</v>
      </c>
    </row>
    <row r="1161" spans="1:9" x14ac:dyDescent="0.25">
      <c r="A1161" s="67" t="s">
        <v>4610</v>
      </c>
      <c r="B1161" s="67" t="s">
        <v>4609</v>
      </c>
      <c r="C1161" s="67">
        <v>0</v>
      </c>
      <c r="D1161" s="67">
        <v>0</v>
      </c>
      <c r="E1161" s="67">
        <v>83900.41</v>
      </c>
      <c r="F1161" s="67">
        <v>25250</v>
      </c>
      <c r="H1161" s="68">
        <v>40764</v>
      </c>
      <c r="I1161" s="67" t="s">
        <v>148</v>
      </c>
    </row>
    <row r="1162" spans="1:9" x14ac:dyDescent="0.25">
      <c r="B1162" s="67" t="s">
        <v>4609</v>
      </c>
      <c r="C1162" s="67">
        <v>0</v>
      </c>
      <c r="D1162" s="67">
        <v>0</v>
      </c>
      <c r="E1162" s="67">
        <v>83900.45</v>
      </c>
      <c r="H1162" s="67" t="s">
        <v>146</v>
      </c>
    </row>
    <row r="1164" spans="1:9" x14ac:dyDescent="0.25">
      <c r="A1164" s="67" t="s">
        <v>4608</v>
      </c>
      <c r="B1164" s="67" t="s">
        <v>4607</v>
      </c>
      <c r="C1164" s="67">
        <v>0</v>
      </c>
      <c r="D1164" s="67">
        <v>0</v>
      </c>
      <c r="E1164" s="67">
        <v>83900.41</v>
      </c>
      <c r="F1164" s="67">
        <v>25250</v>
      </c>
      <c r="H1164" s="68">
        <v>40764</v>
      </c>
      <c r="I1164" s="67" t="s">
        <v>148</v>
      </c>
    </row>
    <row r="1165" spans="1:9" x14ac:dyDescent="0.25">
      <c r="B1165" s="67" t="s">
        <v>4607</v>
      </c>
      <c r="C1165" s="67">
        <v>0</v>
      </c>
      <c r="D1165" s="67">
        <v>0</v>
      </c>
      <c r="E1165" s="67">
        <v>83900.45</v>
      </c>
      <c r="H1165" s="67" t="s">
        <v>146</v>
      </c>
    </row>
    <row r="1167" spans="1:9" x14ac:dyDescent="0.25">
      <c r="A1167" s="67" t="s">
        <v>4606</v>
      </c>
      <c r="B1167" s="67" t="s">
        <v>4605</v>
      </c>
      <c r="C1167" s="67">
        <v>0</v>
      </c>
      <c r="D1167" s="67">
        <v>0</v>
      </c>
      <c r="E1167" s="67">
        <v>83900.41</v>
      </c>
      <c r="F1167" s="67">
        <v>25250</v>
      </c>
      <c r="H1167" s="68">
        <v>40764</v>
      </c>
      <c r="I1167" s="67" t="s">
        <v>148</v>
      </c>
    </row>
    <row r="1168" spans="1:9" x14ac:dyDescent="0.25">
      <c r="B1168" s="67" t="s">
        <v>4605</v>
      </c>
      <c r="C1168" s="67">
        <v>0</v>
      </c>
      <c r="D1168" s="67">
        <v>0</v>
      </c>
      <c r="E1168" s="67">
        <v>83900.45</v>
      </c>
      <c r="H1168" s="67" t="s">
        <v>146</v>
      </c>
    </row>
    <row r="1170" spans="1:9" x14ac:dyDescent="0.25">
      <c r="A1170" s="67" t="s">
        <v>4604</v>
      </c>
      <c r="B1170" s="67" t="s">
        <v>4603</v>
      </c>
      <c r="C1170" s="67">
        <v>0</v>
      </c>
      <c r="D1170" s="67">
        <v>0</v>
      </c>
      <c r="E1170" s="67">
        <v>83900.41</v>
      </c>
      <c r="F1170" s="67">
        <v>25250</v>
      </c>
      <c r="H1170" s="68">
        <v>40764</v>
      </c>
      <c r="I1170" s="67" t="s">
        <v>148</v>
      </c>
    </row>
    <row r="1171" spans="1:9" x14ac:dyDescent="0.25">
      <c r="B1171" s="67" t="s">
        <v>4603</v>
      </c>
      <c r="C1171" s="67">
        <v>0</v>
      </c>
      <c r="D1171" s="67">
        <v>0</v>
      </c>
      <c r="E1171" s="67">
        <v>83900.45</v>
      </c>
      <c r="H1171" s="67" t="s">
        <v>146</v>
      </c>
    </row>
    <row r="1173" spans="1:9" x14ac:dyDescent="0.25">
      <c r="A1173" s="67" t="s">
        <v>4602</v>
      </c>
      <c r="B1173" s="67" t="s">
        <v>4601</v>
      </c>
      <c r="C1173" s="67">
        <v>0</v>
      </c>
      <c r="D1173" s="67">
        <v>0</v>
      </c>
      <c r="E1173" s="67">
        <v>83900.41</v>
      </c>
      <c r="F1173" s="67">
        <v>25250</v>
      </c>
      <c r="H1173" s="68">
        <v>40764</v>
      </c>
      <c r="I1173" s="67" t="s">
        <v>148</v>
      </c>
    </row>
    <row r="1174" spans="1:9" x14ac:dyDescent="0.25">
      <c r="B1174" s="67" t="s">
        <v>4601</v>
      </c>
      <c r="C1174" s="67">
        <v>0</v>
      </c>
      <c r="D1174" s="67">
        <v>0</v>
      </c>
      <c r="E1174" s="67">
        <v>83900.45</v>
      </c>
      <c r="H1174" s="67" t="s">
        <v>146</v>
      </c>
    </row>
    <row r="1176" spans="1:9" x14ac:dyDescent="0.25">
      <c r="A1176" s="67" t="s">
        <v>4600</v>
      </c>
      <c r="B1176" s="67" t="s">
        <v>4599</v>
      </c>
      <c r="C1176" s="67">
        <v>0</v>
      </c>
      <c r="D1176" s="67">
        <v>0</v>
      </c>
      <c r="E1176" s="67">
        <v>83900.41</v>
      </c>
      <c r="F1176" s="67">
        <v>25250</v>
      </c>
      <c r="H1176" s="68">
        <v>40764</v>
      </c>
      <c r="I1176" s="67" t="s">
        <v>148</v>
      </c>
    </row>
    <row r="1177" spans="1:9" x14ac:dyDescent="0.25">
      <c r="B1177" s="67" t="s">
        <v>4599</v>
      </c>
      <c r="C1177" s="67">
        <v>0</v>
      </c>
      <c r="D1177" s="67">
        <v>0</v>
      </c>
      <c r="E1177" s="67">
        <v>83900.45</v>
      </c>
      <c r="H1177" s="67" t="s">
        <v>146</v>
      </c>
    </row>
    <row r="1179" spans="1:9" x14ac:dyDescent="0.25">
      <c r="A1179" s="67" t="s">
        <v>4598</v>
      </c>
      <c r="B1179" s="67" t="s">
        <v>4597</v>
      </c>
      <c r="C1179" s="67">
        <v>0</v>
      </c>
      <c r="D1179" s="67">
        <v>0</v>
      </c>
      <c r="E1179" s="67">
        <v>83900.41</v>
      </c>
      <c r="F1179" s="67">
        <v>25250</v>
      </c>
      <c r="H1179" s="68">
        <v>40764</v>
      </c>
      <c r="I1179" s="67" t="s">
        <v>148</v>
      </c>
    </row>
    <row r="1180" spans="1:9" x14ac:dyDescent="0.25">
      <c r="B1180" s="67" t="s">
        <v>4597</v>
      </c>
      <c r="C1180" s="67">
        <v>0</v>
      </c>
      <c r="D1180" s="67">
        <v>0</v>
      </c>
      <c r="E1180" s="67">
        <v>83900.45</v>
      </c>
      <c r="H1180" s="67" t="s">
        <v>146</v>
      </c>
    </row>
    <row r="1182" spans="1:9" x14ac:dyDescent="0.25">
      <c r="A1182" s="67" t="s">
        <v>4596</v>
      </c>
      <c r="B1182" s="67" t="s">
        <v>4595</v>
      </c>
      <c r="C1182" s="67">
        <v>0</v>
      </c>
      <c r="D1182" s="67">
        <v>0</v>
      </c>
      <c r="E1182" s="67">
        <v>83900.41</v>
      </c>
      <c r="F1182" s="67">
        <v>25250</v>
      </c>
      <c r="H1182" s="68">
        <v>40764</v>
      </c>
      <c r="I1182" s="67" t="s">
        <v>148</v>
      </c>
    </row>
    <row r="1183" spans="1:9" x14ac:dyDescent="0.25">
      <c r="B1183" s="67" t="s">
        <v>4595</v>
      </c>
      <c r="C1183" s="67">
        <v>0</v>
      </c>
      <c r="D1183" s="67">
        <v>0</v>
      </c>
      <c r="E1183" s="67">
        <v>83900.45</v>
      </c>
      <c r="H1183" s="67" t="s">
        <v>146</v>
      </c>
    </row>
    <row r="1185" spans="1:9" x14ac:dyDescent="0.25">
      <c r="A1185" s="67" t="s">
        <v>4594</v>
      </c>
      <c r="B1185" s="67" t="s">
        <v>4593</v>
      </c>
      <c r="C1185" s="67">
        <v>0</v>
      </c>
      <c r="D1185" s="67">
        <v>0</v>
      </c>
      <c r="E1185" s="67">
        <v>83900.41</v>
      </c>
      <c r="F1185" s="67">
        <v>25250</v>
      </c>
      <c r="H1185" s="68">
        <v>40764</v>
      </c>
      <c r="I1185" s="67" t="s">
        <v>148</v>
      </c>
    </row>
    <row r="1186" spans="1:9" x14ac:dyDescent="0.25">
      <c r="B1186" s="67" t="s">
        <v>4593</v>
      </c>
      <c r="C1186" s="67">
        <v>0</v>
      </c>
      <c r="D1186" s="67">
        <v>0</v>
      </c>
      <c r="E1186" s="67">
        <v>83900.45</v>
      </c>
      <c r="H1186" s="67" t="s">
        <v>146</v>
      </c>
    </row>
    <row r="1188" spans="1:9" x14ac:dyDescent="0.25">
      <c r="A1188" s="67" t="s">
        <v>4592</v>
      </c>
      <c r="B1188" s="67" t="s">
        <v>4591</v>
      </c>
      <c r="C1188" s="67">
        <v>0</v>
      </c>
      <c r="D1188" s="67">
        <v>0</v>
      </c>
      <c r="E1188" s="67">
        <v>83900.41</v>
      </c>
      <c r="F1188" s="67">
        <v>25250</v>
      </c>
      <c r="H1188" s="68">
        <v>40764</v>
      </c>
      <c r="I1188" s="67" t="s">
        <v>148</v>
      </c>
    </row>
    <row r="1189" spans="1:9" x14ac:dyDescent="0.25">
      <c r="B1189" s="67" t="s">
        <v>4591</v>
      </c>
      <c r="C1189" s="67">
        <v>0</v>
      </c>
      <c r="D1189" s="67">
        <v>0</v>
      </c>
      <c r="E1189" s="67">
        <v>83900.45</v>
      </c>
      <c r="H1189" s="67" t="s">
        <v>146</v>
      </c>
    </row>
    <row r="1191" spans="1:9" x14ac:dyDescent="0.25">
      <c r="A1191" s="67" t="s">
        <v>4590</v>
      </c>
      <c r="B1191" s="67" t="s">
        <v>4589</v>
      </c>
      <c r="C1191" s="67">
        <v>0</v>
      </c>
      <c r="D1191" s="67">
        <v>0</v>
      </c>
      <c r="E1191" s="67">
        <v>83900.41</v>
      </c>
      <c r="F1191" s="67">
        <v>25250</v>
      </c>
      <c r="H1191" s="68">
        <v>40764</v>
      </c>
      <c r="I1191" s="67" t="s">
        <v>148</v>
      </c>
    </row>
    <row r="1192" spans="1:9" x14ac:dyDescent="0.25">
      <c r="B1192" s="67" t="s">
        <v>4589</v>
      </c>
      <c r="C1192" s="67">
        <v>0</v>
      </c>
      <c r="D1192" s="67">
        <v>0</v>
      </c>
      <c r="E1192" s="67">
        <v>83900.45</v>
      </c>
      <c r="H1192" s="67" t="s">
        <v>146</v>
      </c>
    </row>
    <row r="1194" spans="1:9" x14ac:dyDescent="0.25">
      <c r="A1194" s="67" t="s">
        <v>4588</v>
      </c>
      <c r="B1194" s="67" t="s">
        <v>4587</v>
      </c>
      <c r="C1194" s="67">
        <v>0</v>
      </c>
      <c r="D1194" s="67">
        <v>0</v>
      </c>
      <c r="E1194" s="67">
        <v>83900.41</v>
      </c>
      <c r="F1194" s="67">
        <v>25250</v>
      </c>
      <c r="H1194" s="68">
        <v>40764</v>
      </c>
      <c r="I1194" s="67" t="s">
        <v>148</v>
      </c>
    </row>
    <row r="1195" spans="1:9" x14ac:dyDescent="0.25">
      <c r="B1195" s="67" t="s">
        <v>4587</v>
      </c>
      <c r="C1195" s="67">
        <v>0</v>
      </c>
      <c r="D1195" s="67">
        <v>0</v>
      </c>
      <c r="E1195" s="67">
        <v>83900.45</v>
      </c>
      <c r="H1195" s="67" t="s">
        <v>146</v>
      </c>
    </row>
    <row r="1197" spans="1:9" x14ac:dyDescent="0.25">
      <c r="A1197" s="67" t="s">
        <v>4586</v>
      </c>
      <c r="B1197" s="67" t="s">
        <v>4585</v>
      </c>
      <c r="C1197" s="67">
        <v>0</v>
      </c>
      <c r="D1197" s="67">
        <v>0</v>
      </c>
      <c r="E1197" s="67">
        <v>83900.41</v>
      </c>
      <c r="F1197" s="67">
        <v>25250</v>
      </c>
      <c r="H1197" s="68">
        <v>40764</v>
      </c>
      <c r="I1197" s="67" t="s">
        <v>148</v>
      </c>
    </row>
    <row r="1198" spans="1:9" x14ac:dyDescent="0.25">
      <c r="B1198" s="67" t="s">
        <v>4585</v>
      </c>
      <c r="C1198" s="67">
        <v>0</v>
      </c>
      <c r="D1198" s="67">
        <v>0</v>
      </c>
      <c r="E1198" s="67">
        <v>83900.45</v>
      </c>
      <c r="H1198" s="67" t="s">
        <v>146</v>
      </c>
    </row>
    <row r="1199" spans="1:9" x14ac:dyDescent="0.25">
      <c r="A1199" s="67" t="s">
        <v>233</v>
      </c>
    </row>
    <row r="1201" spans="1:9" x14ac:dyDescent="0.25">
      <c r="A1201" s="67" t="s">
        <v>232</v>
      </c>
      <c r="D1201" s="67" t="s">
        <v>231</v>
      </c>
      <c r="H1201" s="67" t="s">
        <v>148</v>
      </c>
      <c r="I1201" s="67" t="s">
        <v>230</v>
      </c>
    </row>
    <row r="1202" spans="1:9" x14ac:dyDescent="0.25">
      <c r="A1202" s="67">
        <v>41.1</v>
      </c>
      <c r="C1202" s="67" t="s">
        <v>215</v>
      </c>
      <c r="D1202" s="67" t="s">
        <v>229</v>
      </c>
      <c r="H1202" s="70">
        <v>44771</v>
      </c>
      <c r="I1202" s="69">
        <v>0.56736111111111109</v>
      </c>
    </row>
    <row r="1203" spans="1:9" x14ac:dyDescent="0.25">
      <c r="A1203" s="67" t="s">
        <v>228</v>
      </c>
      <c r="C1203" s="67" t="s">
        <v>227</v>
      </c>
      <c r="D1203" s="67" t="s">
        <v>226</v>
      </c>
      <c r="E1203" s="67">
        <v>589</v>
      </c>
      <c r="H1203" s="67" t="s">
        <v>225</v>
      </c>
      <c r="I1203" s="67">
        <v>23</v>
      </c>
    </row>
    <row r="1204" spans="1:9" x14ac:dyDescent="0.25">
      <c r="A1204" s="67" t="s">
        <v>884</v>
      </c>
    </row>
    <row r="1205" spans="1:9" x14ac:dyDescent="0.25">
      <c r="A1205" s="67" t="s">
        <v>223</v>
      </c>
      <c r="B1205" s="67" t="s">
        <v>222</v>
      </c>
      <c r="C1205" s="67" t="s">
        <v>221</v>
      </c>
      <c r="D1205" s="67" t="s">
        <v>220</v>
      </c>
      <c r="E1205" s="67" t="s">
        <v>219</v>
      </c>
      <c r="F1205" s="67" t="s">
        <v>217</v>
      </c>
      <c r="G1205" s="67" t="s">
        <v>218</v>
      </c>
      <c r="H1205" s="67" t="s">
        <v>217</v>
      </c>
      <c r="I1205" s="67" t="s">
        <v>216</v>
      </c>
    </row>
    <row r="1206" spans="1:9" x14ac:dyDescent="0.25">
      <c r="A1206" s="67" t="s">
        <v>215</v>
      </c>
      <c r="B1206" s="67" t="s">
        <v>214</v>
      </c>
      <c r="C1206" s="67" t="s">
        <v>213</v>
      </c>
      <c r="D1206" s="67" t="s">
        <v>212</v>
      </c>
      <c r="E1206" s="67" t="s">
        <v>211</v>
      </c>
      <c r="F1206" s="67" t="s">
        <v>210</v>
      </c>
      <c r="G1206" s="67" t="s">
        <v>209</v>
      </c>
      <c r="H1206" s="67" t="s">
        <v>208</v>
      </c>
      <c r="I1206" s="67" t="s">
        <v>207</v>
      </c>
    </row>
    <row r="1207" spans="1:9" x14ac:dyDescent="0.25">
      <c r="A1207" s="67" t="s">
        <v>206</v>
      </c>
      <c r="B1207" s="67" t="s">
        <v>205</v>
      </c>
      <c r="C1207" s="67" t="s">
        <v>204</v>
      </c>
      <c r="D1207" s="67" t="s">
        <v>203</v>
      </c>
      <c r="E1207" s="67" t="s">
        <v>202</v>
      </c>
      <c r="F1207" s="67" t="s">
        <v>201</v>
      </c>
      <c r="G1207" s="67" t="s">
        <v>200</v>
      </c>
      <c r="H1207" s="67" t="s">
        <v>199</v>
      </c>
    </row>
    <row r="1208" spans="1:9" x14ac:dyDescent="0.25">
      <c r="A1208" s="67" t="s">
        <v>4584</v>
      </c>
      <c r="B1208" s="67" t="s">
        <v>4583</v>
      </c>
      <c r="C1208" s="67">
        <v>0</v>
      </c>
      <c r="D1208" s="67">
        <v>0</v>
      </c>
      <c r="E1208" s="67">
        <v>83900.41</v>
      </c>
      <c r="F1208" s="67">
        <v>25250</v>
      </c>
      <c r="H1208" s="68">
        <v>40764</v>
      </c>
      <c r="I1208" s="67" t="s">
        <v>148</v>
      </c>
    </row>
    <row r="1209" spans="1:9" x14ac:dyDescent="0.25">
      <c r="B1209" s="67" t="s">
        <v>4583</v>
      </c>
      <c r="C1209" s="67">
        <v>0</v>
      </c>
      <c r="D1209" s="67">
        <v>0</v>
      </c>
      <c r="E1209" s="67">
        <v>83900.45</v>
      </c>
      <c r="H1209" s="67" t="s">
        <v>146</v>
      </c>
    </row>
    <row r="1211" spans="1:9" x14ac:dyDescent="0.25">
      <c r="A1211" s="67" t="s">
        <v>4582</v>
      </c>
      <c r="B1211" s="67" t="s">
        <v>4581</v>
      </c>
      <c r="C1211" s="67">
        <v>0</v>
      </c>
      <c r="D1211" s="67">
        <v>0</v>
      </c>
      <c r="E1211" s="67">
        <v>83900.41</v>
      </c>
      <c r="F1211" s="67">
        <v>25250</v>
      </c>
      <c r="H1211" s="68">
        <v>40764</v>
      </c>
      <c r="I1211" s="67" t="s">
        <v>148</v>
      </c>
    </row>
    <row r="1212" spans="1:9" x14ac:dyDescent="0.25">
      <c r="B1212" s="67" t="s">
        <v>4581</v>
      </c>
      <c r="C1212" s="67">
        <v>0</v>
      </c>
      <c r="D1212" s="67">
        <v>0</v>
      </c>
      <c r="E1212" s="67">
        <v>83900.45</v>
      </c>
      <c r="H1212" s="67" t="s">
        <v>146</v>
      </c>
    </row>
    <row r="1214" spans="1:9" x14ac:dyDescent="0.25">
      <c r="A1214" s="67" t="s">
        <v>4580</v>
      </c>
      <c r="B1214" s="67" t="s">
        <v>4579</v>
      </c>
      <c r="C1214" s="67">
        <v>0</v>
      </c>
      <c r="D1214" s="67">
        <v>0</v>
      </c>
      <c r="E1214" s="67">
        <v>83900.41</v>
      </c>
      <c r="F1214" s="67">
        <v>25250</v>
      </c>
      <c r="H1214" s="68">
        <v>40764</v>
      </c>
      <c r="I1214" s="67" t="s">
        <v>148</v>
      </c>
    </row>
    <row r="1215" spans="1:9" x14ac:dyDescent="0.25">
      <c r="B1215" s="67" t="s">
        <v>4579</v>
      </c>
      <c r="C1215" s="67">
        <v>0</v>
      </c>
      <c r="D1215" s="67">
        <v>0</v>
      </c>
      <c r="E1215" s="67">
        <v>83900.45</v>
      </c>
      <c r="H1215" s="67" t="s">
        <v>146</v>
      </c>
    </row>
    <row r="1217" spans="1:9" x14ac:dyDescent="0.25">
      <c r="A1217" s="67" t="s">
        <v>4578</v>
      </c>
      <c r="B1217" s="67" t="s">
        <v>4577</v>
      </c>
      <c r="C1217" s="67">
        <v>0</v>
      </c>
      <c r="D1217" s="67">
        <v>0</v>
      </c>
      <c r="E1217" s="67">
        <v>83900.41</v>
      </c>
      <c r="F1217" s="67">
        <v>25250</v>
      </c>
      <c r="H1217" s="68">
        <v>40764</v>
      </c>
      <c r="I1217" s="67" t="s">
        <v>148</v>
      </c>
    </row>
    <row r="1218" spans="1:9" x14ac:dyDescent="0.25">
      <c r="B1218" s="67" t="s">
        <v>4577</v>
      </c>
      <c r="C1218" s="67">
        <v>0</v>
      </c>
      <c r="D1218" s="67">
        <v>0</v>
      </c>
      <c r="E1218" s="67">
        <v>83900.45</v>
      </c>
      <c r="H1218" s="67" t="s">
        <v>146</v>
      </c>
    </row>
    <row r="1220" spans="1:9" x14ac:dyDescent="0.25">
      <c r="A1220" s="67" t="s">
        <v>4576</v>
      </c>
      <c r="B1220" s="67" t="s">
        <v>4575</v>
      </c>
      <c r="C1220" s="67">
        <v>0</v>
      </c>
      <c r="D1220" s="67">
        <v>0</v>
      </c>
      <c r="E1220" s="67">
        <v>83900.41</v>
      </c>
      <c r="F1220" s="67">
        <v>25250</v>
      </c>
      <c r="H1220" s="68">
        <v>40764</v>
      </c>
      <c r="I1220" s="67" t="s">
        <v>148</v>
      </c>
    </row>
    <row r="1221" spans="1:9" x14ac:dyDescent="0.25">
      <c r="B1221" s="67" t="s">
        <v>4575</v>
      </c>
      <c r="C1221" s="67">
        <v>0</v>
      </c>
      <c r="D1221" s="67">
        <v>0</v>
      </c>
      <c r="E1221" s="67">
        <v>83900.45</v>
      </c>
      <c r="H1221" s="67" t="s">
        <v>146</v>
      </c>
    </row>
    <row r="1223" spans="1:9" x14ac:dyDescent="0.25">
      <c r="A1223" s="67" t="s">
        <v>4574</v>
      </c>
      <c r="B1223" s="67" t="s">
        <v>4573</v>
      </c>
      <c r="C1223" s="67">
        <v>0</v>
      </c>
      <c r="D1223" s="67">
        <v>0</v>
      </c>
      <c r="E1223" s="67">
        <v>83900.41</v>
      </c>
      <c r="F1223" s="67">
        <v>25250</v>
      </c>
      <c r="H1223" s="68">
        <v>40764</v>
      </c>
      <c r="I1223" s="67" t="s">
        <v>148</v>
      </c>
    </row>
    <row r="1224" spans="1:9" x14ac:dyDescent="0.25">
      <c r="B1224" s="67" t="s">
        <v>4573</v>
      </c>
      <c r="C1224" s="67">
        <v>0</v>
      </c>
      <c r="D1224" s="67">
        <v>0</v>
      </c>
      <c r="E1224" s="67">
        <v>83900.45</v>
      </c>
      <c r="H1224" s="67" t="s">
        <v>146</v>
      </c>
    </row>
    <row r="1226" spans="1:9" x14ac:dyDescent="0.25">
      <c r="A1226" s="67" t="s">
        <v>4572</v>
      </c>
      <c r="B1226" s="67" t="s">
        <v>4571</v>
      </c>
      <c r="C1226" s="67">
        <v>0</v>
      </c>
      <c r="D1226" s="67">
        <v>0</v>
      </c>
      <c r="E1226" s="67">
        <v>83900.41</v>
      </c>
      <c r="F1226" s="67">
        <v>25250</v>
      </c>
      <c r="H1226" s="68">
        <v>40764</v>
      </c>
      <c r="I1226" s="67" t="s">
        <v>148</v>
      </c>
    </row>
    <row r="1227" spans="1:9" x14ac:dyDescent="0.25">
      <c r="B1227" s="67" t="s">
        <v>4571</v>
      </c>
      <c r="C1227" s="67">
        <v>0</v>
      </c>
      <c r="D1227" s="67">
        <v>0</v>
      </c>
      <c r="E1227" s="67">
        <v>83900.45</v>
      </c>
      <c r="H1227" s="67" t="s">
        <v>146</v>
      </c>
    </row>
    <row r="1229" spans="1:9" x14ac:dyDescent="0.25">
      <c r="A1229" s="67" t="s">
        <v>4570</v>
      </c>
      <c r="B1229" s="67" t="s">
        <v>4569</v>
      </c>
      <c r="C1229" s="67">
        <v>0</v>
      </c>
      <c r="D1229" s="67">
        <v>0</v>
      </c>
      <c r="E1229" s="67">
        <v>83900.41</v>
      </c>
      <c r="F1229" s="67">
        <v>25250</v>
      </c>
      <c r="H1229" s="68">
        <v>40764</v>
      </c>
      <c r="I1229" s="67" t="s">
        <v>148</v>
      </c>
    </row>
    <row r="1230" spans="1:9" x14ac:dyDescent="0.25">
      <c r="B1230" s="67" t="s">
        <v>4569</v>
      </c>
      <c r="C1230" s="67">
        <v>0</v>
      </c>
      <c r="D1230" s="67">
        <v>0</v>
      </c>
      <c r="E1230" s="67">
        <v>83900.45</v>
      </c>
      <c r="H1230" s="67" t="s">
        <v>146</v>
      </c>
    </row>
    <row r="1232" spans="1:9" x14ac:dyDescent="0.25">
      <c r="A1232" s="67" t="s">
        <v>4568</v>
      </c>
      <c r="B1232" s="67" t="s">
        <v>4567</v>
      </c>
      <c r="C1232" s="67">
        <v>0</v>
      </c>
      <c r="D1232" s="67">
        <v>0</v>
      </c>
      <c r="E1232" s="67">
        <v>83900.41</v>
      </c>
      <c r="F1232" s="67">
        <v>25250</v>
      </c>
      <c r="H1232" s="68">
        <v>40764</v>
      </c>
      <c r="I1232" s="67" t="s">
        <v>148</v>
      </c>
    </row>
    <row r="1233" spans="1:9" x14ac:dyDescent="0.25">
      <c r="B1233" s="67" t="s">
        <v>4567</v>
      </c>
      <c r="C1233" s="67">
        <v>0</v>
      </c>
      <c r="D1233" s="67">
        <v>0</v>
      </c>
      <c r="E1233" s="67">
        <v>83900.45</v>
      </c>
      <c r="H1233" s="67" t="s">
        <v>146</v>
      </c>
    </row>
    <row r="1235" spans="1:9" x14ac:dyDescent="0.25">
      <c r="A1235" s="67" t="s">
        <v>4566</v>
      </c>
      <c r="B1235" s="67" t="s">
        <v>4565</v>
      </c>
      <c r="C1235" s="67">
        <v>0</v>
      </c>
      <c r="D1235" s="67">
        <v>0</v>
      </c>
      <c r="E1235" s="67">
        <v>83900.41</v>
      </c>
      <c r="F1235" s="67">
        <v>25250</v>
      </c>
      <c r="H1235" s="68">
        <v>40764</v>
      </c>
      <c r="I1235" s="67" t="s">
        <v>148</v>
      </c>
    </row>
    <row r="1236" spans="1:9" x14ac:dyDescent="0.25">
      <c r="B1236" s="67" t="s">
        <v>4565</v>
      </c>
      <c r="C1236" s="67">
        <v>0</v>
      </c>
      <c r="D1236" s="67">
        <v>0</v>
      </c>
      <c r="E1236" s="67">
        <v>83900.45</v>
      </c>
      <c r="H1236" s="67" t="s">
        <v>146</v>
      </c>
    </row>
    <row r="1238" spans="1:9" x14ac:dyDescent="0.25">
      <c r="A1238" s="67" t="s">
        <v>4564</v>
      </c>
      <c r="B1238" s="67" t="s">
        <v>4563</v>
      </c>
      <c r="C1238" s="67">
        <v>0</v>
      </c>
      <c r="D1238" s="67">
        <v>0</v>
      </c>
      <c r="E1238" s="67">
        <v>83900.41</v>
      </c>
      <c r="F1238" s="67">
        <v>25250</v>
      </c>
      <c r="H1238" s="68">
        <v>40764</v>
      </c>
      <c r="I1238" s="67" t="s">
        <v>148</v>
      </c>
    </row>
    <row r="1239" spans="1:9" x14ac:dyDescent="0.25">
      <c r="B1239" s="67" t="s">
        <v>4563</v>
      </c>
      <c r="C1239" s="67">
        <v>0</v>
      </c>
      <c r="D1239" s="67">
        <v>0</v>
      </c>
      <c r="E1239" s="67">
        <v>83900.45</v>
      </c>
      <c r="H1239" s="67" t="s">
        <v>146</v>
      </c>
    </row>
    <row r="1241" spans="1:9" x14ac:dyDescent="0.25">
      <c r="A1241" s="67" t="s">
        <v>4562</v>
      </c>
      <c r="B1241" s="67" t="s">
        <v>4561</v>
      </c>
      <c r="C1241" s="67">
        <v>0</v>
      </c>
      <c r="D1241" s="67">
        <v>0</v>
      </c>
      <c r="E1241" s="67">
        <v>83900.41</v>
      </c>
      <c r="F1241" s="67">
        <v>25250</v>
      </c>
      <c r="H1241" s="68">
        <v>40764</v>
      </c>
      <c r="I1241" s="67" t="s">
        <v>148</v>
      </c>
    </row>
    <row r="1242" spans="1:9" x14ac:dyDescent="0.25">
      <c r="B1242" s="67" t="s">
        <v>4561</v>
      </c>
      <c r="C1242" s="67">
        <v>0</v>
      </c>
      <c r="D1242" s="67">
        <v>0</v>
      </c>
      <c r="E1242" s="67">
        <v>83900.45</v>
      </c>
      <c r="H1242" s="67" t="s">
        <v>146</v>
      </c>
    </row>
    <row r="1244" spans="1:9" x14ac:dyDescent="0.25">
      <c r="A1244" s="67" t="s">
        <v>4560</v>
      </c>
      <c r="B1244" s="67" t="s">
        <v>4559</v>
      </c>
      <c r="C1244" s="67">
        <v>0</v>
      </c>
      <c r="D1244" s="67">
        <v>0</v>
      </c>
      <c r="E1244" s="67">
        <v>83900.41</v>
      </c>
      <c r="F1244" s="67">
        <v>25250</v>
      </c>
      <c r="H1244" s="68">
        <v>40764</v>
      </c>
      <c r="I1244" s="67" t="s">
        <v>148</v>
      </c>
    </row>
    <row r="1245" spans="1:9" x14ac:dyDescent="0.25">
      <c r="B1245" s="67" t="s">
        <v>4559</v>
      </c>
      <c r="C1245" s="67">
        <v>0</v>
      </c>
      <c r="D1245" s="67">
        <v>0</v>
      </c>
      <c r="E1245" s="67">
        <v>83900.45</v>
      </c>
      <c r="H1245" s="67" t="s">
        <v>146</v>
      </c>
    </row>
    <row r="1247" spans="1:9" x14ac:dyDescent="0.25">
      <c r="A1247" s="67" t="s">
        <v>4558</v>
      </c>
      <c r="B1247" s="67" t="s">
        <v>4557</v>
      </c>
      <c r="C1247" s="67">
        <v>0</v>
      </c>
      <c r="D1247" s="67">
        <v>0</v>
      </c>
      <c r="E1247" s="67">
        <v>83900.41</v>
      </c>
      <c r="F1247" s="67">
        <v>25250</v>
      </c>
      <c r="H1247" s="68">
        <v>40764</v>
      </c>
      <c r="I1247" s="67" t="s">
        <v>148</v>
      </c>
    </row>
    <row r="1248" spans="1:9" x14ac:dyDescent="0.25">
      <c r="B1248" s="67" t="s">
        <v>4557</v>
      </c>
      <c r="C1248" s="67">
        <v>0</v>
      </c>
      <c r="D1248" s="67">
        <v>0</v>
      </c>
      <c r="E1248" s="67">
        <v>83900.45</v>
      </c>
      <c r="H1248" s="67" t="s">
        <v>146</v>
      </c>
    </row>
    <row r="1250" spans="1:9" x14ac:dyDescent="0.25">
      <c r="A1250" s="67" t="s">
        <v>4556</v>
      </c>
      <c r="B1250" s="67" t="s">
        <v>4555</v>
      </c>
      <c r="C1250" s="67">
        <v>0</v>
      </c>
      <c r="D1250" s="67">
        <v>0</v>
      </c>
      <c r="E1250" s="67">
        <v>83900.41</v>
      </c>
      <c r="F1250" s="67">
        <v>25250</v>
      </c>
      <c r="H1250" s="68">
        <v>40764</v>
      </c>
      <c r="I1250" s="67" t="s">
        <v>148</v>
      </c>
    </row>
    <row r="1251" spans="1:9" x14ac:dyDescent="0.25">
      <c r="B1251" s="67" t="s">
        <v>4555</v>
      </c>
      <c r="C1251" s="67">
        <v>0</v>
      </c>
      <c r="D1251" s="67">
        <v>0</v>
      </c>
      <c r="E1251" s="67">
        <v>83900.45</v>
      </c>
      <c r="H1251" s="67" t="s">
        <v>146</v>
      </c>
    </row>
    <row r="1253" spans="1:9" x14ac:dyDescent="0.25">
      <c r="A1253" s="67" t="s">
        <v>4554</v>
      </c>
      <c r="B1253" s="67" t="s">
        <v>4553</v>
      </c>
      <c r="C1253" s="67">
        <v>0</v>
      </c>
      <c r="D1253" s="67">
        <v>0</v>
      </c>
      <c r="E1253" s="67">
        <v>83900.41</v>
      </c>
      <c r="F1253" s="67">
        <v>25250</v>
      </c>
      <c r="H1253" s="68">
        <v>40764</v>
      </c>
      <c r="I1253" s="67" t="s">
        <v>148</v>
      </c>
    </row>
    <row r="1254" spans="1:9" x14ac:dyDescent="0.25">
      <c r="B1254" s="67" t="s">
        <v>4553</v>
      </c>
      <c r="C1254" s="67">
        <v>0</v>
      </c>
      <c r="D1254" s="67">
        <v>0</v>
      </c>
      <c r="E1254" s="67">
        <v>83900.45</v>
      </c>
      <c r="H1254" s="67" t="s">
        <v>146</v>
      </c>
    </row>
    <row r="1256" spans="1:9" x14ac:dyDescent="0.25">
      <c r="A1256" s="67" t="s">
        <v>4552</v>
      </c>
      <c r="B1256" s="67" t="s">
        <v>4551</v>
      </c>
      <c r="C1256" s="67">
        <v>0</v>
      </c>
      <c r="D1256" s="67">
        <v>0</v>
      </c>
      <c r="E1256" s="67">
        <v>83900.41</v>
      </c>
      <c r="F1256" s="67">
        <v>25250</v>
      </c>
      <c r="H1256" s="68">
        <v>40764</v>
      </c>
      <c r="I1256" s="67" t="s">
        <v>148</v>
      </c>
    </row>
    <row r="1257" spans="1:9" x14ac:dyDescent="0.25">
      <c r="B1257" s="67" t="s">
        <v>4551</v>
      </c>
      <c r="C1257" s="67">
        <v>0</v>
      </c>
      <c r="D1257" s="67">
        <v>0</v>
      </c>
      <c r="E1257" s="67">
        <v>83900.45</v>
      </c>
      <c r="H1257" s="67" t="s">
        <v>146</v>
      </c>
    </row>
    <row r="1258" spans="1:9" x14ac:dyDescent="0.25">
      <c r="A1258" s="67" t="s">
        <v>233</v>
      </c>
    </row>
    <row r="1260" spans="1:9" x14ac:dyDescent="0.25">
      <c r="A1260" s="67" t="s">
        <v>232</v>
      </c>
      <c r="D1260" s="67" t="s">
        <v>231</v>
      </c>
      <c r="H1260" s="67" t="s">
        <v>148</v>
      </c>
      <c r="I1260" s="67" t="s">
        <v>230</v>
      </c>
    </row>
    <row r="1261" spans="1:9" x14ac:dyDescent="0.25">
      <c r="A1261" s="67">
        <v>41.1</v>
      </c>
      <c r="C1261" s="67" t="s">
        <v>215</v>
      </c>
      <c r="D1261" s="67" t="s">
        <v>229</v>
      </c>
      <c r="H1261" s="70">
        <v>44771</v>
      </c>
      <c r="I1261" s="69">
        <v>0.56736111111111109</v>
      </c>
    </row>
    <row r="1262" spans="1:9" x14ac:dyDescent="0.25">
      <c r="A1262" s="67" t="s">
        <v>228</v>
      </c>
      <c r="C1262" s="67" t="s">
        <v>227</v>
      </c>
      <c r="D1262" s="67" t="s">
        <v>226</v>
      </c>
      <c r="E1262" s="67">
        <v>589</v>
      </c>
      <c r="H1262" s="67" t="s">
        <v>225</v>
      </c>
      <c r="I1262" s="67">
        <v>24</v>
      </c>
    </row>
    <row r="1263" spans="1:9" x14ac:dyDescent="0.25">
      <c r="A1263" s="67" t="s">
        <v>884</v>
      </c>
    </row>
    <row r="1264" spans="1:9" x14ac:dyDescent="0.25">
      <c r="A1264" s="67" t="s">
        <v>223</v>
      </c>
      <c r="B1264" s="67" t="s">
        <v>222</v>
      </c>
      <c r="C1264" s="67" t="s">
        <v>221</v>
      </c>
      <c r="D1264" s="67" t="s">
        <v>220</v>
      </c>
      <c r="E1264" s="67" t="s">
        <v>219</v>
      </c>
      <c r="F1264" s="67" t="s">
        <v>217</v>
      </c>
      <c r="G1264" s="67" t="s">
        <v>218</v>
      </c>
      <c r="H1264" s="67" t="s">
        <v>217</v>
      </c>
      <c r="I1264" s="67" t="s">
        <v>216</v>
      </c>
    </row>
    <row r="1265" spans="1:9" x14ac:dyDescent="0.25">
      <c r="A1265" s="67" t="s">
        <v>215</v>
      </c>
      <c r="B1265" s="67" t="s">
        <v>214</v>
      </c>
      <c r="C1265" s="67" t="s">
        <v>213</v>
      </c>
      <c r="D1265" s="67" t="s">
        <v>212</v>
      </c>
      <c r="E1265" s="67" t="s">
        <v>211</v>
      </c>
      <c r="F1265" s="67" t="s">
        <v>210</v>
      </c>
      <c r="G1265" s="67" t="s">
        <v>209</v>
      </c>
      <c r="H1265" s="67" t="s">
        <v>208</v>
      </c>
      <c r="I1265" s="67" t="s">
        <v>207</v>
      </c>
    </row>
    <row r="1266" spans="1:9" x14ac:dyDescent="0.25">
      <c r="A1266" s="67" t="s">
        <v>206</v>
      </c>
      <c r="B1266" s="67" t="s">
        <v>205</v>
      </c>
      <c r="C1266" s="67" t="s">
        <v>204</v>
      </c>
      <c r="D1266" s="67" t="s">
        <v>203</v>
      </c>
      <c r="E1266" s="67" t="s">
        <v>202</v>
      </c>
      <c r="F1266" s="67" t="s">
        <v>201</v>
      </c>
      <c r="G1266" s="67" t="s">
        <v>200</v>
      </c>
      <c r="H1266" s="67" t="s">
        <v>199</v>
      </c>
    </row>
    <row r="1267" spans="1:9" x14ac:dyDescent="0.25">
      <c r="A1267" s="67" t="s">
        <v>4550</v>
      </c>
      <c r="B1267" s="67" t="s">
        <v>4549</v>
      </c>
      <c r="C1267" s="67">
        <v>0</v>
      </c>
      <c r="D1267" s="67">
        <v>0</v>
      </c>
      <c r="E1267" s="67">
        <v>83900.41</v>
      </c>
      <c r="F1267" s="67">
        <v>25250</v>
      </c>
      <c r="H1267" s="68">
        <v>40764</v>
      </c>
      <c r="I1267" s="67" t="s">
        <v>148</v>
      </c>
    </row>
    <row r="1268" spans="1:9" x14ac:dyDescent="0.25">
      <c r="B1268" s="67" t="s">
        <v>4549</v>
      </c>
      <c r="C1268" s="67">
        <v>0</v>
      </c>
      <c r="D1268" s="67">
        <v>0</v>
      </c>
      <c r="E1268" s="67">
        <v>83900.45</v>
      </c>
      <c r="H1268" s="67" t="s">
        <v>146</v>
      </c>
    </row>
    <row r="1270" spans="1:9" x14ac:dyDescent="0.25">
      <c r="A1270" s="67" t="s">
        <v>4548</v>
      </c>
      <c r="B1270" s="67" t="s">
        <v>4547</v>
      </c>
      <c r="C1270" s="67">
        <v>0</v>
      </c>
      <c r="D1270" s="67">
        <v>0</v>
      </c>
      <c r="E1270" s="67">
        <v>83900.41</v>
      </c>
      <c r="F1270" s="67">
        <v>25250</v>
      </c>
      <c r="H1270" s="68">
        <v>40764</v>
      </c>
      <c r="I1270" s="67" t="s">
        <v>148</v>
      </c>
    </row>
    <row r="1271" spans="1:9" x14ac:dyDescent="0.25">
      <c r="B1271" s="67" t="s">
        <v>4547</v>
      </c>
      <c r="C1271" s="67">
        <v>0</v>
      </c>
      <c r="D1271" s="67">
        <v>0</v>
      </c>
      <c r="E1271" s="67">
        <v>83900.45</v>
      </c>
      <c r="H1271" s="67" t="s">
        <v>146</v>
      </c>
    </row>
    <row r="1273" spans="1:9" x14ac:dyDescent="0.25">
      <c r="A1273" s="67" t="s">
        <v>4546</v>
      </c>
      <c r="B1273" s="67" t="s">
        <v>4545</v>
      </c>
      <c r="C1273" s="67">
        <v>0</v>
      </c>
      <c r="D1273" s="67">
        <v>0</v>
      </c>
      <c r="E1273" s="67">
        <v>83900.41</v>
      </c>
      <c r="F1273" s="67">
        <v>25250</v>
      </c>
      <c r="H1273" s="68">
        <v>40764</v>
      </c>
      <c r="I1273" s="67" t="s">
        <v>148</v>
      </c>
    </row>
    <row r="1274" spans="1:9" x14ac:dyDescent="0.25">
      <c r="B1274" s="67" t="s">
        <v>4545</v>
      </c>
      <c r="C1274" s="67">
        <v>0</v>
      </c>
      <c r="D1274" s="67">
        <v>0</v>
      </c>
      <c r="E1274" s="67">
        <v>83900.45</v>
      </c>
      <c r="H1274" s="67" t="s">
        <v>146</v>
      </c>
    </row>
    <row r="1276" spans="1:9" x14ac:dyDescent="0.25">
      <c r="A1276" s="67" t="s">
        <v>4544</v>
      </c>
      <c r="B1276" s="67" t="s">
        <v>4543</v>
      </c>
      <c r="C1276" s="67">
        <v>0</v>
      </c>
      <c r="D1276" s="67">
        <v>0</v>
      </c>
      <c r="E1276" s="67">
        <v>83900.41</v>
      </c>
      <c r="F1276" s="67">
        <v>25250</v>
      </c>
      <c r="H1276" s="68">
        <v>40764</v>
      </c>
      <c r="I1276" s="67" t="s">
        <v>148</v>
      </c>
    </row>
    <row r="1277" spans="1:9" x14ac:dyDescent="0.25">
      <c r="B1277" s="67" t="s">
        <v>4543</v>
      </c>
      <c r="C1277" s="67">
        <v>0</v>
      </c>
      <c r="D1277" s="67">
        <v>0</v>
      </c>
      <c r="E1277" s="67">
        <v>83900.45</v>
      </c>
      <c r="H1277" s="67" t="s">
        <v>146</v>
      </c>
    </row>
    <row r="1279" spans="1:9" x14ac:dyDescent="0.25">
      <c r="A1279" s="67" t="s">
        <v>4542</v>
      </c>
      <c r="B1279" s="67" t="s">
        <v>4541</v>
      </c>
      <c r="C1279" s="67">
        <v>0</v>
      </c>
      <c r="D1279" s="67">
        <v>0</v>
      </c>
      <c r="E1279" s="67">
        <v>83900.41</v>
      </c>
      <c r="F1279" s="67">
        <v>25250</v>
      </c>
      <c r="H1279" s="68">
        <v>40764</v>
      </c>
      <c r="I1279" s="67" t="s">
        <v>148</v>
      </c>
    </row>
    <row r="1280" spans="1:9" x14ac:dyDescent="0.25">
      <c r="B1280" s="67" t="s">
        <v>4541</v>
      </c>
      <c r="C1280" s="67">
        <v>0</v>
      </c>
      <c r="D1280" s="67">
        <v>0</v>
      </c>
      <c r="E1280" s="67">
        <v>83900.45</v>
      </c>
      <c r="H1280" s="67" t="s">
        <v>146</v>
      </c>
    </row>
    <row r="1282" spans="1:9" x14ac:dyDescent="0.25">
      <c r="A1282" s="67" t="s">
        <v>4540</v>
      </c>
      <c r="B1282" s="67" t="s">
        <v>4539</v>
      </c>
      <c r="C1282" s="67">
        <v>0</v>
      </c>
      <c r="D1282" s="67">
        <v>0</v>
      </c>
      <c r="E1282" s="67">
        <v>83900.41</v>
      </c>
      <c r="F1282" s="67">
        <v>25250</v>
      </c>
      <c r="H1282" s="68">
        <v>40764</v>
      </c>
      <c r="I1282" s="67" t="s">
        <v>148</v>
      </c>
    </row>
    <row r="1283" spans="1:9" x14ac:dyDescent="0.25">
      <c r="B1283" s="67" t="s">
        <v>4539</v>
      </c>
      <c r="C1283" s="67">
        <v>0</v>
      </c>
      <c r="D1283" s="67">
        <v>0</v>
      </c>
      <c r="E1283" s="67">
        <v>83900.45</v>
      </c>
      <c r="H1283" s="67" t="s">
        <v>146</v>
      </c>
    </row>
    <row r="1285" spans="1:9" x14ac:dyDescent="0.25">
      <c r="A1285" s="67" t="s">
        <v>4538</v>
      </c>
      <c r="B1285" s="67" t="s">
        <v>4537</v>
      </c>
      <c r="C1285" s="67">
        <v>0</v>
      </c>
      <c r="D1285" s="67">
        <v>0</v>
      </c>
      <c r="E1285" s="67">
        <v>83900.41</v>
      </c>
      <c r="F1285" s="67">
        <v>25250</v>
      </c>
      <c r="H1285" s="68">
        <v>40764</v>
      </c>
      <c r="I1285" s="67" t="s">
        <v>148</v>
      </c>
    </row>
    <row r="1286" spans="1:9" x14ac:dyDescent="0.25">
      <c r="B1286" s="67" t="s">
        <v>4537</v>
      </c>
      <c r="C1286" s="67">
        <v>0</v>
      </c>
      <c r="D1286" s="67">
        <v>0</v>
      </c>
      <c r="E1286" s="67">
        <v>83900.45</v>
      </c>
      <c r="H1286" s="67" t="s">
        <v>146</v>
      </c>
    </row>
    <row r="1288" spans="1:9" x14ac:dyDescent="0.25">
      <c r="A1288" s="67" t="s">
        <v>4536</v>
      </c>
      <c r="B1288" s="67" t="s">
        <v>4535</v>
      </c>
      <c r="C1288" s="67">
        <v>0</v>
      </c>
      <c r="D1288" s="67">
        <v>0</v>
      </c>
      <c r="E1288" s="67">
        <v>83900.41</v>
      </c>
      <c r="F1288" s="67">
        <v>25250</v>
      </c>
      <c r="H1288" s="68">
        <v>40764</v>
      </c>
      <c r="I1288" s="67" t="s">
        <v>148</v>
      </c>
    </row>
    <row r="1289" spans="1:9" x14ac:dyDescent="0.25">
      <c r="B1289" s="67" t="s">
        <v>4535</v>
      </c>
      <c r="C1289" s="67">
        <v>0</v>
      </c>
      <c r="D1289" s="67">
        <v>0</v>
      </c>
      <c r="E1289" s="67">
        <v>83900.45</v>
      </c>
      <c r="H1289" s="67" t="s">
        <v>146</v>
      </c>
    </row>
    <row r="1291" spans="1:9" x14ac:dyDescent="0.25">
      <c r="A1291" s="67" t="s">
        <v>4534</v>
      </c>
      <c r="B1291" s="67" t="s">
        <v>4533</v>
      </c>
      <c r="C1291" s="67">
        <v>0</v>
      </c>
      <c r="D1291" s="67">
        <v>0</v>
      </c>
      <c r="E1291" s="67">
        <v>83900.41</v>
      </c>
      <c r="F1291" s="67">
        <v>25250</v>
      </c>
      <c r="H1291" s="68">
        <v>40764</v>
      </c>
      <c r="I1291" s="67" t="s">
        <v>148</v>
      </c>
    </row>
    <row r="1292" spans="1:9" x14ac:dyDescent="0.25">
      <c r="B1292" s="67" t="s">
        <v>4533</v>
      </c>
      <c r="C1292" s="67">
        <v>0</v>
      </c>
      <c r="D1292" s="67">
        <v>0</v>
      </c>
      <c r="E1292" s="67">
        <v>83900.45</v>
      </c>
      <c r="H1292" s="67" t="s">
        <v>146</v>
      </c>
    </row>
    <row r="1294" spans="1:9" x14ac:dyDescent="0.25">
      <c r="A1294" s="67" t="s">
        <v>4532</v>
      </c>
      <c r="B1294" s="67" t="s">
        <v>4531</v>
      </c>
      <c r="C1294" s="67">
        <v>0</v>
      </c>
      <c r="D1294" s="67">
        <v>0</v>
      </c>
      <c r="E1294" s="67">
        <v>83900.41</v>
      </c>
      <c r="F1294" s="67">
        <v>25250</v>
      </c>
      <c r="H1294" s="68">
        <v>40764</v>
      </c>
      <c r="I1294" s="67" t="s">
        <v>148</v>
      </c>
    </row>
    <row r="1295" spans="1:9" x14ac:dyDescent="0.25">
      <c r="B1295" s="67" t="s">
        <v>4531</v>
      </c>
      <c r="C1295" s="67">
        <v>0</v>
      </c>
      <c r="D1295" s="67">
        <v>0</v>
      </c>
      <c r="E1295" s="67">
        <v>83900.45</v>
      </c>
      <c r="H1295" s="67" t="s">
        <v>146</v>
      </c>
    </row>
    <row r="1297" spans="1:9" x14ac:dyDescent="0.25">
      <c r="A1297" s="67" t="s">
        <v>4530</v>
      </c>
      <c r="B1297" s="67" t="s">
        <v>4529</v>
      </c>
      <c r="C1297" s="67">
        <v>0</v>
      </c>
      <c r="D1297" s="67">
        <v>0</v>
      </c>
      <c r="E1297" s="67">
        <v>83900.41</v>
      </c>
      <c r="F1297" s="67">
        <v>25250</v>
      </c>
      <c r="H1297" s="68">
        <v>40764</v>
      </c>
      <c r="I1297" s="67" t="s">
        <v>148</v>
      </c>
    </row>
    <row r="1298" spans="1:9" x14ac:dyDescent="0.25">
      <c r="B1298" s="67" t="s">
        <v>4529</v>
      </c>
      <c r="C1298" s="67">
        <v>0</v>
      </c>
      <c r="D1298" s="67">
        <v>0</v>
      </c>
      <c r="E1298" s="67">
        <v>83900.45</v>
      </c>
      <c r="H1298" s="67" t="s">
        <v>146</v>
      </c>
    </row>
    <row r="1300" spans="1:9" x14ac:dyDescent="0.25">
      <c r="A1300" s="67" t="s">
        <v>4528</v>
      </c>
      <c r="B1300" s="67" t="s">
        <v>4527</v>
      </c>
      <c r="C1300" s="67">
        <v>0</v>
      </c>
      <c r="D1300" s="67">
        <v>0</v>
      </c>
      <c r="E1300" s="67">
        <v>83900.41</v>
      </c>
      <c r="F1300" s="67">
        <v>25250</v>
      </c>
      <c r="H1300" s="68">
        <v>40764</v>
      </c>
      <c r="I1300" s="67" t="s">
        <v>148</v>
      </c>
    </row>
    <row r="1301" spans="1:9" x14ac:dyDescent="0.25">
      <c r="B1301" s="67" t="s">
        <v>4527</v>
      </c>
      <c r="C1301" s="67">
        <v>0</v>
      </c>
      <c r="D1301" s="67">
        <v>0</v>
      </c>
      <c r="E1301" s="67">
        <v>83900.45</v>
      </c>
      <c r="H1301" s="67" t="s">
        <v>146</v>
      </c>
    </row>
    <row r="1303" spans="1:9" x14ac:dyDescent="0.25">
      <c r="A1303" s="67" t="s">
        <v>4526</v>
      </c>
      <c r="B1303" s="67" t="s">
        <v>4525</v>
      </c>
      <c r="C1303" s="67">
        <v>0</v>
      </c>
      <c r="D1303" s="67">
        <v>0</v>
      </c>
      <c r="E1303" s="67">
        <v>83900.41</v>
      </c>
      <c r="F1303" s="67">
        <v>25250</v>
      </c>
      <c r="H1303" s="68">
        <v>40764</v>
      </c>
      <c r="I1303" s="67" t="s">
        <v>148</v>
      </c>
    </row>
    <row r="1304" spans="1:9" x14ac:dyDescent="0.25">
      <c r="B1304" s="67" t="s">
        <v>4525</v>
      </c>
      <c r="C1304" s="67">
        <v>0</v>
      </c>
      <c r="D1304" s="67">
        <v>0</v>
      </c>
      <c r="E1304" s="67">
        <v>83900.45</v>
      </c>
      <c r="H1304" s="67" t="s">
        <v>146</v>
      </c>
    </row>
    <row r="1306" spans="1:9" x14ac:dyDescent="0.25">
      <c r="A1306" s="67" t="s">
        <v>4524</v>
      </c>
      <c r="B1306" s="67" t="s">
        <v>4523</v>
      </c>
      <c r="C1306" s="67">
        <v>0</v>
      </c>
      <c r="D1306" s="67">
        <v>0</v>
      </c>
      <c r="E1306" s="67">
        <v>83900.41</v>
      </c>
      <c r="F1306" s="67">
        <v>25250</v>
      </c>
      <c r="H1306" s="68">
        <v>40764</v>
      </c>
      <c r="I1306" s="67" t="s">
        <v>148</v>
      </c>
    </row>
    <row r="1307" spans="1:9" x14ac:dyDescent="0.25">
      <c r="B1307" s="67" t="s">
        <v>4523</v>
      </c>
      <c r="C1307" s="67">
        <v>0</v>
      </c>
      <c r="D1307" s="67">
        <v>0</v>
      </c>
      <c r="E1307" s="67">
        <v>83900.45</v>
      </c>
      <c r="H1307" s="67" t="s">
        <v>146</v>
      </c>
    </row>
    <row r="1309" spans="1:9" x14ac:dyDescent="0.25">
      <c r="A1309" s="67" t="s">
        <v>4522</v>
      </c>
      <c r="B1309" s="67" t="s">
        <v>4521</v>
      </c>
      <c r="C1309" s="67">
        <v>0</v>
      </c>
      <c r="D1309" s="67">
        <v>0</v>
      </c>
      <c r="E1309" s="67">
        <v>83900.41</v>
      </c>
      <c r="F1309" s="67">
        <v>25250</v>
      </c>
      <c r="H1309" s="68">
        <v>40764</v>
      </c>
      <c r="I1309" s="67" t="s">
        <v>148</v>
      </c>
    </row>
    <row r="1310" spans="1:9" x14ac:dyDescent="0.25">
      <c r="B1310" s="67" t="s">
        <v>4521</v>
      </c>
      <c r="C1310" s="67">
        <v>0</v>
      </c>
      <c r="D1310" s="67">
        <v>0</v>
      </c>
      <c r="E1310" s="67">
        <v>83900.45</v>
      </c>
      <c r="H1310" s="67" t="s">
        <v>146</v>
      </c>
    </row>
    <row r="1312" spans="1:9" x14ac:dyDescent="0.25">
      <c r="A1312" s="67" t="s">
        <v>4520</v>
      </c>
      <c r="B1312" s="67" t="s">
        <v>4519</v>
      </c>
      <c r="C1312" s="67">
        <v>0</v>
      </c>
      <c r="D1312" s="67">
        <v>0</v>
      </c>
      <c r="E1312" s="67">
        <v>83900.41</v>
      </c>
      <c r="F1312" s="67">
        <v>25250</v>
      </c>
      <c r="H1312" s="68">
        <v>40764</v>
      </c>
      <c r="I1312" s="67" t="s">
        <v>148</v>
      </c>
    </row>
    <row r="1313" spans="1:9" x14ac:dyDescent="0.25">
      <c r="B1313" s="67" t="s">
        <v>4519</v>
      </c>
      <c r="C1313" s="67">
        <v>0</v>
      </c>
      <c r="D1313" s="67">
        <v>0</v>
      </c>
      <c r="E1313" s="67">
        <v>83900.45</v>
      </c>
      <c r="H1313" s="67" t="s">
        <v>146</v>
      </c>
    </row>
    <row r="1315" spans="1:9" x14ac:dyDescent="0.25">
      <c r="A1315" s="67" t="s">
        <v>4518</v>
      </c>
      <c r="B1315" s="67" t="s">
        <v>4517</v>
      </c>
      <c r="C1315" s="67">
        <v>0</v>
      </c>
      <c r="D1315" s="67">
        <v>0</v>
      </c>
      <c r="E1315" s="67">
        <v>83900.41</v>
      </c>
      <c r="F1315" s="67">
        <v>25250</v>
      </c>
      <c r="H1315" s="68">
        <v>40764</v>
      </c>
      <c r="I1315" s="67" t="s">
        <v>148</v>
      </c>
    </row>
    <row r="1316" spans="1:9" x14ac:dyDescent="0.25">
      <c r="B1316" s="67" t="s">
        <v>4517</v>
      </c>
      <c r="C1316" s="67">
        <v>0</v>
      </c>
      <c r="D1316" s="67">
        <v>0</v>
      </c>
      <c r="E1316" s="67">
        <v>83900.45</v>
      </c>
      <c r="H1316" s="67" t="s">
        <v>146</v>
      </c>
    </row>
    <row r="1317" spans="1:9" x14ac:dyDescent="0.25">
      <c r="A1317" s="67" t="s">
        <v>233</v>
      </c>
    </row>
    <row r="1319" spans="1:9" x14ac:dyDescent="0.25">
      <c r="A1319" s="67" t="s">
        <v>232</v>
      </c>
      <c r="D1319" s="67" t="s">
        <v>231</v>
      </c>
      <c r="H1319" s="67" t="s">
        <v>148</v>
      </c>
      <c r="I1319" s="67" t="s">
        <v>230</v>
      </c>
    </row>
    <row r="1320" spans="1:9" x14ac:dyDescent="0.25">
      <c r="A1320" s="67">
        <v>41.1</v>
      </c>
      <c r="C1320" s="67" t="s">
        <v>215</v>
      </c>
      <c r="D1320" s="67" t="s">
        <v>229</v>
      </c>
      <c r="H1320" s="70">
        <v>44771</v>
      </c>
      <c r="I1320" s="69">
        <v>0.56736111111111109</v>
      </c>
    </row>
    <row r="1321" spans="1:9" x14ac:dyDescent="0.25">
      <c r="A1321" s="67" t="s">
        <v>228</v>
      </c>
      <c r="C1321" s="67" t="s">
        <v>227</v>
      </c>
      <c r="D1321" s="67" t="s">
        <v>226</v>
      </c>
      <c r="E1321" s="67">
        <v>589</v>
      </c>
      <c r="H1321" s="67" t="s">
        <v>225</v>
      </c>
      <c r="I1321" s="67">
        <v>25</v>
      </c>
    </row>
    <row r="1322" spans="1:9" x14ac:dyDescent="0.25">
      <c r="A1322" s="67" t="s">
        <v>884</v>
      </c>
    </row>
    <row r="1323" spans="1:9" x14ac:dyDescent="0.25">
      <c r="A1323" s="67" t="s">
        <v>223</v>
      </c>
      <c r="B1323" s="67" t="s">
        <v>222</v>
      </c>
      <c r="C1323" s="67" t="s">
        <v>221</v>
      </c>
      <c r="D1323" s="67" t="s">
        <v>220</v>
      </c>
      <c r="E1323" s="67" t="s">
        <v>219</v>
      </c>
      <c r="F1323" s="67" t="s">
        <v>217</v>
      </c>
      <c r="G1323" s="67" t="s">
        <v>218</v>
      </c>
      <c r="H1323" s="67" t="s">
        <v>217</v>
      </c>
      <c r="I1323" s="67" t="s">
        <v>216</v>
      </c>
    </row>
    <row r="1324" spans="1:9" x14ac:dyDescent="0.25">
      <c r="A1324" s="67" t="s">
        <v>215</v>
      </c>
      <c r="B1324" s="67" t="s">
        <v>214</v>
      </c>
      <c r="C1324" s="67" t="s">
        <v>213</v>
      </c>
      <c r="D1324" s="67" t="s">
        <v>212</v>
      </c>
      <c r="E1324" s="67" t="s">
        <v>211</v>
      </c>
      <c r="F1324" s="67" t="s">
        <v>210</v>
      </c>
      <c r="G1324" s="67" t="s">
        <v>209</v>
      </c>
      <c r="H1324" s="67" t="s">
        <v>208</v>
      </c>
      <c r="I1324" s="67" t="s">
        <v>207</v>
      </c>
    </row>
    <row r="1325" spans="1:9" x14ac:dyDescent="0.25">
      <c r="A1325" s="67" t="s">
        <v>206</v>
      </c>
      <c r="B1325" s="67" t="s">
        <v>205</v>
      </c>
      <c r="C1325" s="67" t="s">
        <v>204</v>
      </c>
      <c r="D1325" s="67" t="s">
        <v>203</v>
      </c>
      <c r="E1325" s="67" t="s">
        <v>202</v>
      </c>
      <c r="F1325" s="67" t="s">
        <v>201</v>
      </c>
      <c r="G1325" s="67" t="s">
        <v>200</v>
      </c>
      <c r="H1325" s="67" t="s">
        <v>199</v>
      </c>
    </row>
    <row r="1326" spans="1:9" x14ac:dyDescent="0.25">
      <c r="A1326" s="67" t="s">
        <v>4516</v>
      </c>
      <c r="B1326" s="67" t="s">
        <v>4515</v>
      </c>
      <c r="C1326" s="67">
        <v>0</v>
      </c>
      <c r="D1326" s="67">
        <v>0</v>
      </c>
      <c r="E1326" s="67">
        <v>83900.41</v>
      </c>
      <c r="F1326" s="67">
        <v>25250</v>
      </c>
      <c r="H1326" s="68">
        <v>40764</v>
      </c>
      <c r="I1326" s="67" t="s">
        <v>148</v>
      </c>
    </row>
    <row r="1327" spans="1:9" x14ac:dyDescent="0.25">
      <c r="B1327" s="67" t="s">
        <v>4515</v>
      </c>
      <c r="C1327" s="67">
        <v>0</v>
      </c>
      <c r="D1327" s="67">
        <v>0</v>
      </c>
      <c r="E1327" s="67">
        <v>83900.45</v>
      </c>
      <c r="H1327" s="67" t="s">
        <v>146</v>
      </c>
    </row>
    <row r="1329" spans="1:9" x14ac:dyDescent="0.25">
      <c r="A1329" s="67" t="s">
        <v>4514</v>
      </c>
      <c r="B1329" s="67" t="s">
        <v>4513</v>
      </c>
      <c r="C1329" s="67">
        <v>0</v>
      </c>
      <c r="D1329" s="67">
        <v>0</v>
      </c>
      <c r="E1329" s="67">
        <v>83900.41</v>
      </c>
      <c r="F1329" s="67">
        <v>25250</v>
      </c>
      <c r="H1329" s="68">
        <v>40764</v>
      </c>
      <c r="I1329" s="67" t="s">
        <v>148</v>
      </c>
    </row>
    <row r="1330" spans="1:9" x14ac:dyDescent="0.25">
      <c r="B1330" s="67" t="s">
        <v>4513</v>
      </c>
      <c r="C1330" s="67">
        <v>0</v>
      </c>
      <c r="D1330" s="67">
        <v>0</v>
      </c>
      <c r="E1330" s="67">
        <v>83900.45</v>
      </c>
      <c r="H1330" s="67" t="s">
        <v>146</v>
      </c>
    </row>
    <row r="1332" spans="1:9" x14ac:dyDescent="0.25">
      <c r="A1332" s="67" t="s">
        <v>4512</v>
      </c>
      <c r="B1332" s="67" t="s">
        <v>4511</v>
      </c>
      <c r="C1332" s="67">
        <v>0</v>
      </c>
      <c r="D1332" s="67">
        <v>0</v>
      </c>
      <c r="E1332" s="67">
        <v>83900.41</v>
      </c>
      <c r="F1332" s="67">
        <v>25250</v>
      </c>
      <c r="H1332" s="68">
        <v>40764</v>
      </c>
      <c r="I1332" s="67" t="s">
        <v>148</v>
      </c>
    </row>
    <row r="1333" spans="1:9" x14ac:dyDescent="0.25">
      <c r="B1333" s="67" t="s">
        <v>4511</v>
      </c>
      <c r="C1333" s="67">
        <v>0</v>
      </c>
      <c r="D1333" s="67">
        <v>0</v>
      </c>
      <c r="E1333" s="67">
        <v>83900.45</v>
      </c>
      <c r="H1333" s="67" t="s">
        <v>146</v>
      </c>
    </row>
    <row r="1335" spans="1:9" x14ac:dyDescent="0.25">
      <c r="A1335" s="67" t="s">
        <v>4510</v>
      </c>
      <c r="B1335" s="67" t="s">
        <v>4509</v>
      </c>
      <c r="C1335" s="67">
        <v>0</v>
      </c>
      <c r="D1335" s="67">
        <v>0</v>
      </c>
      <c r="E1335" s="67">
        <v>83900.41</v>
      </c>
      <c r="F1335" s="67">
        <v>25250</v>
      </c>
      <c r="H1335" s="68">
        <v>40764</v>
      </c>
      <c r="I1335" s="67" t="s">
        <v>148</v>
      </c>
    </row>
    <row r="1336" spans="1:9" x14ac:dyDescent="0.25">
      <c r="B1336" s="67" t="s">
        <v>4509</v>
      </c>
      <c r="C1336" s="67">
        <v>0</v>
      </c>
      <c r="D1336" s="67">
        <v>0</v>
      </c>
      <c r="E1336" s="67">
        <v>83900.45</v>
      </c>
      <c r="H1336" s="67" t="s">
        <v>146</v>
      </c>
    </row>
    <row r="1338" spans="1:9" x14ac:dyDescent="0.25">
      <c r="A1338" s="67" t="s">
        <v>4508</v>
      </c>
      <c r="B1338" s="67" t="s">
        <v>4507</v>
      </c>
      <c r="C1338" s="67">
        <v>0</v>
      </c>
      <c r="D1338" s="67">
        <v>0</v>
      </c>
      <c r="E1338" s="67">
        <v>83900.41</v>
      </c>
      <c r="F1338" s="67">
        <v>25250</v>
      </c>
      <c r="H1338" s="68">
        <v>40764</v>
      </c>
      <c r="I1338" s="67" t="s">
        <v>148</v>
      </c>
    </row>
    <row r="1339" spans="1:9" x14ac:dyDescent="0.25">
      <c r="B1339" s="67" t="s">
        <v>4507</v>
      </c>
      <c r="C1339" s="67">
        <v>0</v>
      </c>
      <c r="D1339" s="67">
        <v>0</v>
      </c>
      <c r="E1339" s="67">
        <v>83900.45</v>
      </c>
      <c r="H1339" s="67" t="s">
        <v>146</v>
      </c>
    </row>
    <row r="1341" spans="1:9" x14ac:dyDescent="0.25">
      <c r="A1341" s="67" t="s">
        <v>4506</v>
      </c>
      <c r="B1341" s="67" t="s">
        <v>4505</v>
      </c>
      <c r="C1341" s="67">
        <v>0</v>
      </c>
      <c r="D1341" s="67">
        <v>0</v>
      </c>
      <c r="E1341" s="67">
        <v>83900.41</v>
      </c>
      <c r="F1341" s="67">
        <v>25250</v>
      </c>
      <c r="H1341" s="68">
        <v>40764</v>
      </c>
      <c r="I1341" s="67" t="s">
        <v>148</v>
      </c>
    </row>
    <row r="1342" spans="1:9" x14ac:dyDescent="0.25">
      <c r="B1342" s="67" t="s">
        <v>4505</v>
      </c>
      <c r="C1342" s="67">
        <v>0</v>
      </c>
      <c r="D1342" s="67">
        <v>0</v>
      </c>
      <c r="E1342" s="67">
        <v>83900.45</v>
      </c>
      <c r="H1342" s="67" t="s">
        <v>146</v>
      </c>
    </row>
    <row r="1344" spans="1:9" x14ac:dyDescent="0.25">
      <c r="A1344" s="67" t="s">
        <v>4504</v>
      </c>
      <c r="B1344" s="67" t="s">
        <v>4503</v>
      </c>
      <c r="C1344" s="67">
        <v>0</v>
      </c>
      <c r="D1344" s="67">
        <v>0</v>
      </c>
      <c r="E1344" s="67">
        <v>83900.41</v>
      </c>
      <c r="F1344" s="67">
        <v>25250</v>
      </c>
      <c r="H1344" s="68">
        <v>40764</v>
      </c>
      <c r="I1344" s="67" t="s">
        <v>148</v>
      </c>
    </row>
    <row r="1345" spans="1:9" x14ac:dyDescent="0.25">
      <c r="B1345" s="67" t="s">
        <v>4503</v>
      </c>
      <c r="C1345" s="67">
        <v>0</v>
      </c>
      <c r="D1345" s="67">
        <v>0</v>
      </c>
      <c r="E1345" s="67">
        <v>83900.45</v>
      </c>
      <c r="H1345" s="67" t="s">
        <v>146</v>
      </c>
    </row>
    <row r="1347" spans="1:9" x14ac:dyDescent="0.25">
      <c r="A1347" s="67" t="s">
        <v>4502</v>
      </c>
      <c r="B1347" s="67" t="s">
        <v>4501</v>
      </c>
      <c r="C1347" s="67">
        <v>0</v>
      </c>
      <c r="D1347" s="67">
        <v>0</v>
      </c>
      <c r="E1347" s="67">
        <v>83900.41</v>
      </c>
      <c r="F1347" s="67">
        <v>25250</v>
      </c>
      <c r="H1347" s="68">
        <v>40764</v>
      </c>
      <c r="I1347" s="67" t="s">
        <v>148</v>
      </c>
    </row>
    <row r="1348" spans="1:9" x14ac:dyDescent="0.25">
      <c r="B1348" s="67" t="s">
        <v>4501</v>
      </c>
      <c r="C1348" s="67">
        <v>0</v>
      </c>
      <c r="D1348" s="67">
        <v>0</v>
      </c>
      <c r="E1348" s="67">
        <v>83900.45</v>
      </c>
      <c r="H1348" s="67" t="s">
        <v>146</v>
      </c>
    </row>
    <row r="1350" spans="1:9" x14ac:dyDescent="0.25">
      <c r="A1350" s="67" t="s">
        <v>4500</v>
      </c>
      <c r="B1350" s="67" t="s">
        <v>4499</v>
      </c>
      <c r="C1350" s="67">
        <v>0</v>
      </c>
      <c r="D1350" s="67">
        <v>0</v>
      </c>
      <c r="E1350" s="67">
        <v>83900.41</v>
      </c>
      <c r="F1350" s="67">
        <v>25250</v>
      </c>
      <c r="H1350" s="68">
        <v>40764</v>
      </c>
      <c r="I1350" s="67" t="s">
        <v>148</v>
      </c>
    </row>
    <row r="1351" spans="1:9" x14ac:dyDescent="0.25">
      <c r="B1351" s="67" t="s">
        <v>4499</v>
      </c>
      <c r="C1351" s="67">
        <v>0</v>
      </c>
      <c r="D1351" s="67">
        <v>0</v>
      </c>
      <c r="E1351" s="67">
        <v>83900.45</v>
      </c>
      <c r="H1351" s="67" t="s">
        <v>146</v>
      </c>
    </row>
    <row r="1353" spans="1:9" x14ac:dyDescent="0.25">
      <c r="A1353" s="67" t="s">
        <v>4498</v>
      </c>
      <c r="B1353" s="67" t="s">
        <v>4497</v>
      </c>
      <c r="C1353" s="67">
        <v>0</v>
      </c>
      <c r="D1353" s="67">
        <v>0</v>
      </c>
      <c r="E1353" s="67">
        <v>83900.41</v>
      </c>
      <c r="F1353" s="67">
        <v>25250</v>
      </c>
      <c r="H1353" s="68">
        <v>40764</v>
      </c>
      <c r="I1353" s="67" t="s">
        <v>148</v>
      </c>
    </row>
    <row r="1354" spans="1:9" x14ac:dyDescent="0.25">
      <c r="B1354" s="67" t="s">
        <v>4497</v>
      </c>
      <c r="C1354" s="67">
        <v>0</v>
      </c>
      <c r="D1354" s="67">
        <v>0</v>
      </c>
      <c r="E1354" s="67">
        <v>83900.45</v>
      </c>
      <c r="H1354" s="67" t="s">
        <v>146</v>
      </c>
    </row>
    <row r="1356" spans="1:9" x14ac:dyDescent="0.25">
      <c r="A1356" s="67" t="s">
        <v>4496</v>
      </c>
      <c r="B1356" s="67" t="s">
        <v>4495</v>
      </c>
      <c r="C1356" s="67">
        <v>0</v>
      </c>
      <c r="D1356" s="67">
        <v>0</v>
      </c>
      <c r="E1356" s="67">
        <v>83900.41</v>
      </c>
      <c r="F1356" s="67">
        <v>25250</v>
      </c>
      <c r="H1356" s="68">
        <v>40764</v>
      </c>
      <c r="I1356" s="67" t="s">
        <v>148</v>
      </c>
    </row>
    <row r="1357" spans="1:9" x14ac:dyDescent="0.25">
      <c r="B1357" s="67" t="s">
        <v>4495</v>
      </c>
      <c r="C1357" s="67">
        <v>0</v>
      </c>
      <c r="D1357" s="67">
        <v>0</v>
      </c>
      <c r="E1357" s="67">
        <v>83900.45</v>
      </c>
      <c r="H1357" s="67" t="s">
        <v>146</v>
      </c>
    </row>
    <row r="1359" spans="1:9" x14ac:dyDescent="0.25">
      <c r="A1359" s="67" t="s">
        <v>4494</v>
      </c>
      <c r="B1359" s="67" t="s">
        <v>4493</v>
      </c>
      <c r="C1359" s="67">
        <v>0</v>
      </c>
      <c r="D1359" s="67">
        <v>0</v>
      </c>
      <c r="E1359" s="67">
        <v>83900.41</v>
      </c>
      <c r="F1359" s="67">
        <v>25250</v>
      </c>
      <c r="H1359" s="68">
        <v>40764</v>
      </c>
      <c r="I1359" s="67" t="s">
        <v>148</v>
      </c>
    </row>
    <row r="1360" spans="1:9" x14ac:dyDescent="0.25">
      <c r="B1360" s="67" t="s">
        <v>4493</v>
      </c>
      <c r="C1360" s="67">
        <v>0</v>
      </c>
      <c r="D1360" s="67">
        <v>0</v>
      </c>
      <c r="E1360" s="67">
        <v>83900.45</v>
      </c>
      <c r="H1360" s="67" t="s">
        <v>146</v>
      </c>
    </row>
    <row r="1362" spans="1:9" x14ac:dyDescent="0.25">
      <c r="A1362" s="67" t="s">
        <v>4492</v>
      </c>
      <c r="B1362" s="67" t="s">
        <v>4491</v>
      </c>
      <c r="C1362" s="67">
        <v>0</v>
      </c>
      <c r="D1362" s="67">
        <v>0</v>
      </c>
      <c r="E1362" s="67">
        <v>83900.41</v>
      </c>
      <c r="F1362" s="67">
        <v>25250</v>
      </c>
      <c r="H1362" s="68">
        <v>40764</v>
      </c>
      <c r="I1362" s="67" t="s">
        <v>148</v>
      </c>
    </row>
    <row r="1363" spans="1:9" x14ac:dyDescent="0.25">
      <c r="B1363" s="67" t="s">
        <v>4491</v>
      </c>
      <c r="C1363" s="67">
        <v>0</v>
      </c>
      <c r="D1363" s="67">
        <v>0</v>
      </c>
      <c r="E1363" s="67">
        <v>83900.45</v>
      </c>
      <c r="H1363" s="67" t="s">
        <v>146</v>
      </c>
    </row>
    <row r="1365" spans="1:9" x14ac:dyDescent="0.25">
      <c r="A1365" s="67" t="s">
        <v>4490</v>
      </c>
      <c r="B1365" s="67" t="s">
        <v>4489</v>
      </c>
      <c r="C1365" s="67">
        <v>0</v>
      </c>
      <c r="D1365" s="67">
        <v>0</v>
      </c>
      <c r="E1365" s="67">
        <v>83900.41</v>
      </c>
      <c r="F1365" s="67">
        <v>25250</v>
      </c>
      <c r="H1365" s="68">
        <v>40764</v>
      </c>
      <c r="I1365" s="67" t="s">
        <v>148</v>
      </c>
    </row>
    <row r="1366" spans="1:9" x14ac:dyDescent="0.25">
      <c r="B1366" s="67" t="s">
        <v>4489</v>
      </c>
      <c r="C1366" s="67">
        <v>0</v>
      </c>
      <c r="D1366" s="67">
        <v>0</v>
      </c>
      <c r="E1366" s="67">
        <v>83900.45</v>
      </c>
      <c r="H1366" s="67" t="s">
        <v>146</v>
      </c>
    </row>
    <row r="1368" spans="1:9" x14ac:dyDescent="0.25">
      <c r="A1368" s="67" t="s">
        <v>4488</v>
      </c>
      <c r="B1368" s="67" t="s">
        <v>4487</v>
      </c>
      <c r="C1368" s="67">
        <v>0</v>
      </c>
      <c r="D1368" s="67">
        <v>0</v>
      </c>
      <c r="E1368" s="67">
        <v>83900.41</v>
      </c>
      <c r="F1368" s="67">
        <v>25250</v>
      </c>
      <c r="H1368" s="68">
        <v>40764</v>
      </c>
      <c r="I1368" s="67" t="s">
        <v>148</v>
      </c>
    </row>
    <row r="1369" spans="1:9" x14ac:dyDescent="0.25">
      <c r="B1369" s="67" t="s">
        <v>4487</v>
      </c>
      <c r="C1369" s="67">
        <v>0</v>
      </c>
      <c r="D1369" s="67">
        <v>0</v>
      </c>
      <c r="E1369" s="67">
        <v>83900.45</v>
      </c>
      <c r="H1369" s="67" t="s">
        <v>146</v>
      </c>
    </row>
    <row r="1371" spans="1:9" x14ac:dyDescent="0.25">
      <c r="A1371" s="67" t="s">
        <v>4486</v>
      </c>
      <c r="B1371" s="67" t="s">
        <v>4485</v>
      </c>
      <c r="C1371" s="67">
        <v>0</v>
      </c>
      <c r="D1371" s="67">
        <v>0</v>
      </c>
      <c r="E1371" s="67">
        <v>83900.41</v>
      </c>
      <c r="F1371" s="67">
        <v>25250</v>
      </c>
      <c r="H1371" s="68">
        <v>40764</v>
      </c>
      <c r="I1371" s="67" t="s">
        <v>148</v>
      </c>
    </row>
    <row r="1372" spans="1:9" x14ac:dyDescent="0.25">
      <c r="B1372" s="67" t="s">
        <v>4485</v>
      </c>
      <c r="C1372" s="67">
        <v>0</v>
      </c>
      <c r="D1372" s="67">
        <v>0</v>
      </c>
      <c r="E1372" s="67">
        <v>83900.45</v>
      </c>
      <c r="H1372" s="67" t="s">
        <v>146</v>
      </c>
    </row>
    <row r="1374" spans="1:9" x14ac:dyDescent="0.25">
      <c r="A1374" s="67" t="s">
        <v>4484</v>
      </c>
      <c r="B1374" s="67" t="s">
        <v>4483</v>
      </c>
      <c r="C1374" s="67">
        <v>0</v>
      </c>
      <c r="D1374" s="67">
        <v>0</v>
      </c>
      <c r="E1374" s="67">
        <v>83900.41</v>
      </c>
      <c r="F1374" s="67">
        <v>25250</v>
      </c>
      <c r="H1374" s="68">
        <v>40764</v>
      </c>
      <c r="I1374" s="67" t="s">
        <v>148</v>
      </c>
    </row>
    <row r="1375" spans="1:9" x14ac:dyDescent="0.25">
      <c r="B1375" s="67" t="s">
        <v>4483</v>
      </c>
      <c r="C1375" s="67">
        <v>0</v>
      </c>
      <c r="D1375" s="67">
        <v>0</v>
      </c>
      <c r="E1375" s="67">
        <v>83900.45</v>
      </c>
      <c r="H1375" s="67" t="s">
        <v>146</v>
      </c>
    </row>
    <row r="1376" spans="1:9" x14ac:dyDescent="0.25">
      <c r="A1376" s="67" t="s">
        <v>233</v>
      </c>
    </row>
    <row r="1378" spans="1:9" x14ac:dyDescent="0.25">
      <c r="A1378" s="67" t="s">
        <v>232</v>
      </c>
      <c r="D1378" s="67" t="s">
        <v>231</v>
      </c>
      <c r="H1378" s="67" t="s">
        <v>148</v>
      </c>
      <c r="I1378" s="67" t="s">
        <v>230</v>
      </c>
    </row>
    <row r="1379" spans="1:9" x14ac:dyDescent="0.25">
      <c r="A1379" s="67">
        <v>41.1</v>
      </c>
      <c r="C1379" s="67" t="s">
        <v>215</v>
      </c>
      <c r="D1379" s="67" t="s">
        <v>229</v>
      </c>
      <c r="H1379" s="70">
        <v>44771</v>
      </c>
      <c r="I1379" s="69">
        <v>0.56736111111111109</v>
      </c>
    </row>
    <row r="1380" spans="1:9" x14ac:dyDescent="0.25">
      <c r="A1380" s="67" t="s">
        <v>228</v>
      </c>
      <c r="C1380" s="67" t="s">
        <v>227</v>
      </c>
      <c r="D1380" s="67" t="s">
        <v>226</v>
      </c>
      <c r="E1380" s="67">
        <v>589</v>
      </c>
      <c r="H1380" s="67" t="s">
        <v>225</v>
      </c>
      <c r="I1380" s="67">
        <v>26</v>
      </c>
    </row>
    <row r="1381" spans="1:9" x14ac:dyDescent="0.25">
      <c r="A1381" s="67" t="s">
        <v>884</v>
      </c>
    </row>
    <row r="1382" spans="1:9" x14ac:dyDescent="0.25">
      <c r="A1382" s="67" t="s">
        <v>223</v>
      </c>
      <c r="B1382" s="67" t="s">
        <v>222</v>
      </c>
      <c r="C1382" s="67" t="s">
        <v>221</v>
      </c>
      <c r="D1382" s="67" t="s">
        <v>220</v>
      </c>
      <c r="E1382" s="67" t="s">
        <v>219</v>
      </c>
      <c r="F1382" s="67" t="s">
        <v>217</v>
      </c>
      <c r="G1382" s="67" t="s">
        <v>218</v>
      </c>
      <c r="H1382" s="67" t="s">
        <v>217</v>
      </c>
      <c r="I1382" s="67" t="s">
        <v>216</v>
      </c>
    </row>
    <row r="1383" spans="1:9" x14ac:dyDescent="0.25">
      <c r="A1383" s="67" t="s">
        <v>215</v>
      </c>
      <c r="B1383" s="67" t="s">
        <v>214</v>
      </c>
      <c r="C1383" s="67" t="s">
        <v>213</v>
      </c>
      <c r="D1383" s="67" t="s">
        <v>212</v>
      </c>
      <c r="E1383" s="67" t="s">
        <v>211</v>
      </c>
      <c r="F1383" s="67" t="s">
        <v>210</v>
      </c>
      <c r="G1383" s="67" t="s">
        <v>209</v>
      </c>
      <c r="H1383" s="67" t="s">
        <v>208</v>
      </c>
      <c r="I1383" s="67" t="s">
        <v>207</v>
      </c>
    </row>
    <row r="1384" spans="1:9" x14ac:dyDescent="0.25">
      <c r="A1384" s="67" t="s">
        <v>206</v>
      </c>
      <c r="B1384" s="67" t="s">
        <v>205</v>
      </c>
      <c r="C1384" s="67" t="s">
        <v>204</v>
      </c>
      <c r="D1384" s="67" t="s">
        <v>203</v>
      </c>
      <c r="E1384" s="67" t="s">
        <v>202</v>
      </c>
      <c r="F1384" s="67" t="s">
        <v>201</v>
      </c>
      <c r="G1384" s="67" t="s">
        <v>200</v>
      </c>
      <c r="H1384" s="67" t="s">
        <v>199</v>
      </c>
    </row>
    <row r="1385" spans="1:9" x14ac:dyDescent="0.25">
      <c r="A1385" s="67" t="s">
        <v>4482</v>
      </c>
      <c r="B1385" s="67" t="s">
        <v>4481</v>
      </c>
      <c r="C1385" s="67">
        <v>0</v>
      </c>
      <c r="D1385" s="67">
        <v>0</v>
      </c>
      <c r="E1385" s="67">
        <v>83900.41</v>
      </c>
      <c r="F1385" s="67">
        <v>25250</v>
      </c>
      <c r="H1385" s="68">
        <v>40764</v>
      </c>
      <c r="I1385" s="67" t="s">
        <v>148</v>
      </c>
    </row>
    <row r="1386" spans="1:9" x14ac:dyDescent="0.25">
      <c r="B1386" s="67" t="s">
        <v>4481</v>
      </c>
      <c r="C1386" s="67">
        <v>0</v>
      </c>
      <c r="D1386" s="67">
        <v>0</v>
      </c>
      <c r="E1386" s="67">
        <v>83900.45</v>
      </c>
      <c r="H1386" s="67" t="s">
        <v>146</v>
      </c>
    </row>
    <row r="1388" spans="1:9" x14ac:dyDescent="0.25">
      <c r="A1388" s="67" t="s">
        <v>4480</v>
      </c>
      <c r="B1388" s="67" t="s">
        <v>4479</v>
      </c>
      <c r="C1388" s="67">
        <v>0</v>
      </c>
      <c r="D1388" s="67">
        <v>0</v>
      </c>
      <c r="E1388" s="67">
        <v>83900.41</v>
      </c>
      <c r="F1388" s="67">
        <v>25250</v>
      </c>
      <c r="H1388" s="68">
        <v>40764</v>
      </c>
      <c r="I1388" s="67" t="s">
        <v>148</v>
      </c>
    </row>
    <row r="1389" spans="1:9" x14ac:dyDescent="0.25">
      <c r="B1389" s="67" t="s">
        <v>4479</v>
      </c>
      <c r="C1389" s="67">
        <v>0</v>
      </c>
      <c r="D1389" s="67">
        <v>0</v>
      </c>
      <c r="E1389" s="67">
        <v>83900.45</v>
      </c>
      <c r="H1389" s="67" t="s">
        <v>146</v>
      </c>
    </row>
    <row r="1391" spans="1:9" x14ac:dyDescent="0.25">
      <c r="A1391" s="67" t="s">
        <v>4478</v>
      </c>
      <c r="B1391" s="67" t="s">
        <v>4477</v>
      </c>
      <c r="C1391" s="67">
        <v>0</v>
      </c>
      <c r="D1391" s="67">
        <v>0</v>
      </c>
      <c r="E1391" s="67">
        <v>83900.41</v>
      </c>
      <c r="F1391" s="67">
        <v>25250</v>
      </c>
      <c r="H1391" s="68">
        <v>40764</v>
      </c>
      <c r="I1391" s="67" t="s">
        <v>148</v>
      </c>
    </row>
    <row r="1392" spans="1:9" x14ac:dyDescent="0.25">
      <c r="B1392" s="67" t="s">
        <v>4477</v>
      </c>
      <c r="C1392" s="67">
        <v>0</v>
      </c>
      <c r="D1392" s="67">
        <v>0</v>
      </c>
      <c r="E1392" s="67">
        <v>83900.45</v>
      </c>
      <c r="H1392" s="67" t="s">
        <v>146</v>
      </c>
    </row>
    <row r="1394" spans="1:9" x14ac:dyDescent="0.25">
      <c r="A1394" s="67" t="s">
        <v>4476</v>
      </c>
      <c r="B1394" s="67" t="s">
        <v>4475</v>
      </c>
      <c r="C1394" s="67">
        <v>0</v>
      </c>
      <c r="D1394" s="67">
        <v>0</v>
      </c>
      <c r="E1394" s="67">
        <v>83900.41</v>
      </c>
      <c r="F1394" s="67">
        <v>25250</v>
      </c>
      <c r="H1394" s="68">
        <v>40764</v>
      </c>
      <c r="I1394" s="67" t="s">
        <v>148</v>
      </c>
    </row>
    <row r="1395" spans="1:9" x14ac:dyDescent="0.25">
      <c r="B1395" s="67" t="s">
        <v>4475</v>
      </c>
      <c r="C1395" s="67">
        <v>0</v>
      </c>
      <c r="D1395" s="67">
        <v>0</v>
      </c>
      <c r="E1395" s="67">
        <v>83900.45</v>
      </c>
      <c r="H1395" s="67" t="s">
        <v>146</v>
      </c>
    </row>
    <row r="1397" spans="1:9" x14ac:dyDescent="0.25">
      <c r="A1397" s="67" t="s">
        <v>4474</v>
      </c>
      <c r="B1397" s="67" t="s">
        <v>4473</v>
      </c>
      <c r="C1397" s="67">
        <v>0</v>
      </c>
      <c r="D1397" s="67">
        <v>0</v>
      </c>
      <c r="E1397" s="67">
        <v>83900.41</v>
      </c>
      <c r="F1397" s="67">
        <v>25250</v>
      </c>
      <c r="H1397" s="68">
        <v>40764</v>
      </c>
      <c r="I1397" s="67" t="s">
        <v>148</v>
      </c>
    </row>
    <row r="1398" spans="1:9" x14ac:dyDescent="0.25">
      <c r="B1398" s="67" t="s">
        <v>4473</v>
      </c>
      <c r="C1398" s="67">
        <v>0</v>
      </c>
      <c r="D1398" s="67">
        <v>0</v>
      </c>
      <c r="E1398" s="67">
        <v>83900.45</v>
      </c>
      <c r="H1398" s="67" t="s">
        <v>146</v>
      </c>
    </row>
    <row r="1400" spans="1:9" x14ac:dyDescent="0.25">
      <c r="A1400" s="67" t="s">
        <v>4472</v>
      </c>
      <c r="B1400" s="67" t="s">
        <v>4471</v>
      </c>
      <c r="C1400" s="67">
        <v>0</v>
      </c>
      <c r="D1400" s="67">
        <v>0</v>
      </c>
      <c r="E1400" s="67">
        <v>83900.41</v>
      </c>
      <c r="F1400" s="67">
        <v>25250</v>
      </c>
      <c r="H1400" s="68">
        <v>40764</v>
      </c>
      <c r="I1400" s="67" t="s">
        <v>148</v>
      </c>
    </row>
    <row r="1401" spans="1:9" x14ac:dyDescent="0.25">
      <c r="B1401" s="67" t="s">
        <v>4471</v>
      </c>
      <c r="C1401" s="67">
        <v>0</v>
      </c>
      <c r="D1401" s="67">
        <v>0</v>
      </c>
      <c r="E1401" s="67">
        <v>83900.45</v>
      </c>
      <c r="H1401" s="67" t="s">
        <v>146</v>
      </c>
    </row>
    <row r="1403" spans="1:9" x14ac:dyDescent="0.25">
      <c r="A1403" s="67" t="s">
        <v>4470</v>
      </c>
      <c r="B1403" s="67" t="s">
        <v>4469</v>
      </c>
      <c r="C1403" s="67">
        <v>0</v>
      </c>
      <c r="D1403" s="67">
        <v>0</v>
      </c>
      <c r="E1403" s="67">
        <v>83900.41</v>
      </c>
      <c r="F1403" s="67">
        <v>25250</v>
      </c>
      <c r="H1403" s="68">
        <v>40764</v>
      </c>
      <c r="I1403" s="67" t="s">
        <v>148</v>
      </c>
    </row>
    <row r="1404" spans="1:9" x14ac:dyDescent="0.25">
      <c r="B1404" s="67" t="s">
        <v>4469</v>
      </c>
      <c r="C1404" s="67">
        <v>0</v>
      </c>
      <c r="D1404" s="67">
        <v>0</v>
      </c>
      <c r="E1404" s="67">
        <v>83900.45</v>
      </c>
      <c r="H1404" s="67" t="s">
        <v>146</v>
      </c>
    </row>
    <row r="1406" spans="1:9" x14ac:dyDescent="0.25">
      <c r="A1406" s="67" t="s">
        <v>4468</v>
      </c>
      <c r="B1406" s="67" t="s">
        <v>4467</v>
      </c>
      <c r="C1406" s="67">
        <v>0</v>
      </c>
      <c r="D1406" s="67">
        <v>0</v>
      </c>
      <c r="E1406" s="67">
        <v>83900.41</v>
      </c>
      <c r="F1406" s="67">
        <v>25250</v>
      </c>
      <c r="H1406" s="68">
        <v>40764</v>
      </c>
      <c r="I1406" s="67" t="s">
        <v>148</v>
      </c>
    </row>
    <row r="1407" spans="1:9" x14ac:dyDescent="0.25">
      <c r="B1407" s="67" t="s">
        <v>4467</v>
      </c>
      <c r="C1407" s="67">
        <v>0</v>
      </c>
      <c r="D1407" s="67">
        <v>0</v>
      </c>
      <c r="E1407" s="67">
        <v>83900.45</v>
      </c>
      <c r="H1407" s="67" t="s">
        <v>146</v>
      </c>
    </row>
    <row r="1409" spans="1:9" x14ac:dyDescent="0.25">
      <c r="A1409" s="67" t="s">
        <v>4466</v>
      </c>
      <c r="B1409" s="67" t="s">
        <v>4465</v>
      </c>
      <c r="C1409" s="67">
        <v>0</v>
      </c>
      <c r="D1409" s="67">
        <v>0</v>
      </c>
      <c r="E1409" s="67">
        <v>83900.41</v>
      </c>
      <c r="F1409" s="67">
        <v>25250</v>
      </c>
      <c r="H1409" s="68">
        <v>40764</v>
      </c>
      <c r="I1409" s="67" t="s">
        <v>148</v>
      </c>
    </row>
    <row r="1410" spans="1:9" x14ac:dyDescent="0.25">
      <c r="B1410" s="67" t="s">
        <v>4465</v>
      </c>
      <c r="C1410" s="67">
        <v>0</v>
      </c>
      <c r="D1410" s="67">
        <v>0</v>
      </c>
      <c r="E1410" s="67">
        <v>83900.45</v>
      </c>
      <c r="H1410" s="67" t="s">
        <v>146</v>
      </c>
    </row>
    <row r="1412" spans="1:9" x14ac:dyDescent="0.25">
      <c r="A1412" s="67" t="s">
        <v>4464</v>
      </c>
      <c r="B1412" s="67" t="s">
        <v>4463</v>
      </c>
      <c r="C1412" s="67">
        <v>0</v>
      </c>
      <c r="D1412" s="67">
        <v>0</v>
      </c>
      <c r="E1412" s="67">
        <v>83900.41</v>
      </c>
      <c r="F1412" s="67">
        <v>25250</v>
      </c>
      <c r="H1412" s="68">
        <v>40764</v>
      </c>
      <c r="I1412" s="67" t="s">
        <v>148</v>
      </c>
    </row>
    <row r="1413" spans="1:9" x14ac:dyDescent="0.25">
      <c r="B1413" s="67" t="s">
        <v>4463</v>
      </c>
      <c r="C1413" s="67">
        <v>0</v>
      </c>
      <c r="D1413" s="67">
        <v>0</v>
      </c>
      <c r="E1413" s="67">
        <v>83900.45</v>
      </c>
      <c r="H1413" s="67" t="s">
        <v>146</v>
      </c>
    </row>
    <row r="1415" spans="1:9" x14ac:dyDescent="0.25">
      <c r="A1415" s="67" t="s">
        <v>4462</v>
      </c>
      <c r="B1415" s="67" t="s">
        <v>4461</v>
      </c>
      <c r="C1415" s="67">
        <v>0</v>
      </c>
      <c r="D1415" s="67">
        <v>0</v>
      </c>
      <c r="E1415" s="67">
        <v>83900.41</v>
      </c>
      <c r="F1415" s="67">
        <v>25250</v>
      </c>
      <c r="H1415" s="68">
        <v>40764</v>
      </c>
      <c r="I1415" s="67" t="s">
        <v>148</v>
      </c>
    </row>
    <row r="1416" spans="1:9" x14ac:dyDescent="0.25">
      <c r="B1416" s="67" t="s">
        <v>4461</v>
      </c>
      <c r="C1416" s="67">
        <v>0</v>
      </c>
      <c r="D1416" s="67">
        <v>0</v>
      </c>
      <c r="E1416" s="67">
        <v>83900.45</v>
      </c>
      <c r="H1416" s="67" t="s">
        <v>146</v>
      </c>
    </row>
    <row r="1418" spans="1:9" x14ac:dyDescent="0.25">
      <c r="A1418" s="67" t="s">
        <v>4460</v>
      </c>
      <c r="B1418" s="67" t="s">
        <v>4459</v>
      </c>
      <c r="C1418" s="67">
        <v>0</v>
      </c>
      <c r="D1418" s="67">
        <v>0</v>
      </c>
      <c r="E1418" s="67">
        <v>83900.41</v>
      </c>
      <c r="F1418" s="67">
        <v>25250</v>
      </c>
      <c r="H1418" s="68">
        <v>40764</v>
      </c>
      <c r="I1418" s="67" t="s">
        <v>148</v>
      </c>
    </row>
    <row r="1419" spans="1:9" x14ac:dyDescent="0.25">
      <c r="B1419" s="67" t="s">
        <v>4459</v>
      </c>
      <c r="C1419" s="67">
        <v>0</v>
      </c>
      <c r="D1419" s="67">
        <v>0</v>
      </c>
      <c r="E1419" s="67">
        <v>83900.45</v>
      </c>
      <c r="H1419" s="67" t="s">
        <v>146</v>
      </c>
    </row>
    <row r="1421" spans="1:9" x14ac:dyDescent="0.25">
      <c r="A1421" s="67" t="s">
        <v>4458</v>
      </c>
      <c r="B1421" s="67" t="s">
        <v>1771</v>
      </c>
      <c r="C1421" s="67">
        <v>0</v>
      </c>
      <c r="D1421" s="67">
        <v>0</v>
      </c>
      <c r="E1421" s="67">
        <v>83900.41</v>
      </c>
      <c r="F1421" s="67">
        <v>25250</v>
      </c>
      <c r="H1421" s="68">
        <v>40764</v>
      </c>
      <c r="I1421" s="67" t="s">
        <v>148</v>
      </c>
    </row>
    <row r="1422" spans="1:9" x14ac:dyDescent="0.25">
      <c r="B1422" s="67" t="s">
        <v>1771</v>
      </c>
      <c r="C1422" s="67">
        <v>0</v>
      </c>
      <c r="D1422" s="67">
        <v>0</v>
      </c>
      <c r="E1422" s="67">
        <v>83900.45</v>
      </c>
      <c r="H1422" s="67" t="s">
        <v>146</v>
      </c>
    </row>
    <row r="1424" spans="1:9" x14ac:dyDescent="0.25">
      <c r="A1424" s="67" t="s">
        <v>4457</v>
      </c>
      <c r="B1424" s="67" t="s">
        <v>4456</v>
      </c>
      <c r="C1424" s="67">
        <v>0</v>
      </c>
      <c r="D1424" s="67">
        <v>0</v>
      </c>
      <c r="E1424" s="67">
        <v>83900.41</v>
      </c>
      <c r="F1424" s="67">
        <v>25250</v>
      </c>
      <c r="H1424" s="68">
        <v>40764</v>
      </c>
      <c r="I1424" s="67" t="s">
        <v>148</v>
      </c>
    </row>
    <row r="1425" spans="1:9" x14ac:dyDescent="0.25">
      <c r="B1425" s="67" t="s">
        <v>4456</v>
      </c>
      <c r="C1425" s="67">
        <v>0</v>
      </c>
      <c r="D1425" s="67">
        <v>0</v>
      </c>
      <c r="E1425" s="67">
        <v>83900.45</v>
      </c>
      <c r="H1425" s="67" t="s">
        <v>146</v>
      </c>
    </row>
    <row r="1427" spans="1:9" x14ac:dyDescent="0.25">
      <c r="A1427" s="67" t="s">
        <v>4455</v>
      </c>
      <c r="B1427" s="67" t="s">
        <v>4454</v>
      </c>
      <c r="C1427" s="67">
        <v>0</v>
      </c>
      <c r="D1427" s="67">
        <v>0</v>
      </c>
      <c r="E1427" s="67">
        <v>83900.41</v>
      </c>
      <c r="F1427" s="67">
        <v>25250</v>
      </c>
      <c r="H1427" s="68">
        <v>40764</v>
      </c>
      <c r="I1427" s="67" t="s">
        <v>148</v>
      </c>
    </row>
    <row r="1428" spans="1:9" x14ac:dyDescent="0.25">
      <c r="B1428" s="67" t="s">
        <v>4454</v>
      </c>
      <c r="C1428" s="67">
        <v>0</v>
      </c>
      <c r="D1428" s="67">
        <v>0</v>
      </c>
      <c r="E1428" s="67">
        <v>83900.45</v>
      </c>
      <c r="H1428" s="67" t="s">
        <v>146</v>
      </c>
    </row>
    <row r="1430" spans="1:9" x14ac:dyDescent="0.25">
      <c r="A1430" s="67" t="s">
        <v>4453</v>
      </c>
      <c r="B1430" s="67" t="s">
        <v>4452</v>
      </c>
      <c r="C1430" s="67">
        <v>0</v>
      </c>
      <c r="D1430" s="67">
        <v>0</v>
      </c>
      <c r="E1430" s="67">
        <v>83900.41</v>
      </c>
      <c r="F1430" s="67">
        <v>25250</v>
      </c>
      <c r="H1430" s="68">
        <v>40764</v>
      </c>
      <c r="I1430" s="67" t="s">
        <v>148</v>
      </c>
    </row>
    <row r="1431" spans="1:9" x14ac:dyDescent="0.25">
      <c r="B1431" s="67" t="s">
        <v>4452</v>
      </c>
      <c r="C1431" s="67">
        <v>0</v>
      </c>
      <c r="D1431" s="67">
        <v>0</v>
      </c>
      <c r="E1431" s="67">
        <v>83900.45</v>
      </c>
      <c r="H1431" s="67" t="s">
        <v>146</v>
      </c>
    </row>
    <row r="1433" spans="1:9" x14ac:dyDescent="0.25">
      <c r="A1433" s="67" t="s">
        <v>4451</v>
      </c>
      <c r="B1433" s="67" t="s">
        <v>4450</v>
      </c>
      <c r="C1433" s="67">
        <v>0</v>
      </c>
      <c r="D1433" s="67">
        <v>0</v>
      </c>
      <c r="E1433" s="67">
        <v>83900.41</v>
      </c>
      <c r="F1433" s="67">
        <v>25250</v>
      </c>
      <c r="H1433" s="68">
        <v>40764</v>
      </c>
      <c r="I1433" s="67" t="s">
        <v>148</v>
      </c>
    </row>
    <row r="1434" spans="1:9" x14ac:dyDescent="0.25">
      <c r="B1434" s="67" t="s">
        <v>4450</v>
      </c>
      <c r="C1434" s="67">
        <v>0</v>
      </c>
      <c r="D1434" s="67">
        <v>0</v>
      </c>
      <c r="E1434" s="67">
        <v>83900.45</v>
      </c>
      <c r="H1434" s="67" t="s">
        <v>146</v>
      </c>
    </row>
    <row r="1435" spans="1:9" x14ac:dyDescent="0.25">
      <c r="A1435" s="67" t="s">
        <v>233</v>
      </c>
    </row>
    <row r="1437" spans="1:9" x14ac:dyDescent="0.25">
      <c r="A1437" s="67" t="s">
        <v>232</v>
      </c>
      <c r="D1437" s="67" t="s">
        <v>231</v>
      </c>
      <c r="H1437" s="67" t="s">
        <v>148</v>
      </c>
      <c r="I1437" s="67" t="s">
        <v>230</v>
      </c>
    </row>
    <row r="1438" spans="1:9" x14ac:dyDescent="0.25">
      <c r="A1438" s="67">
        <v>41.1</v>
      </c>
      <c r="C1438" s="67" t="s">
        <v>215</v>
      </c>
      <c r="D1438" s="67" t="s">
        <v>229</v>
      </c>
      <c r="H1438" s="70">
        <v>44771</v>
      </c>
      <c r="I1438" s="69">
        <v>0.56736111111111109</v>
      </c>
    </row>
    <row r="1439" spans="1:9" x14ac:dyDescent="0.25">
      <c r="A1439" s="67" t="s">
        <v>228</v>
      </c>
      <c r="C1439" s="67" t="s">
        <v>227</v>
      </c>
      <c r="D1439" s="67" t="s">
        <v>226</v>
      </c>
      <c r="E1439" s="67">
        <v>589</v>
      </c>
      <c r="H1439" s="67" t="s">
        <v>225</v>
      </c>
      <c r="I1439" s="67">
        <v>27</v>
      </c>
    </row>
    <row r="1440" spans="1:9" x14ac:dyDescent="0.25">
      <c r="A1440" s="67" t="s">
        <v>884</v>
      </c>
    </row>
    <row r="1441" spans="1:9" x14ac:dyDescent="0.25">
      <c r="A1441" s="67" t="s">
        <v>223</v>
      </c>
      <c r="B1441" s="67" t="s">
        <v>222</v>
      </c>
      <c r="C1441" s="67" t="s">
        <v>221</v>
      </c>
      <c r="D1441" s="67" t="s">
        <v>220</v>
      </c>
      <c r="E1441" s="67" t="s">
        <v>219</v>
      </c>
      <c r="F1441" s="67" t="s">
        <v>217</v>
      </c>
      <c r="G1441" s="67" t="s">
        <v>218</v>
      </c>
      <c r="H1441" s="67" t="s">
        <v>217</v>
      </c>
      <c r="I1441" s="67" t="s">
        <v>216</v>
      </c>
    </row>
    <row r="1442" spans="1:9" x14ac:dyDescent="0.25">
      <c r="A1442" s="67" t="s">
        <v>215</v>
      </c>
      <c r="B1442" s="67" t="s">
        <v>214</v>
      </c>
      <c r="C1442" s="67" t="s">
        <v>213</v>
      </c>
      <c r="D1442" s="67" t="s">
        <v>212</v>
      </c>
      <c r="E1442" s="67" t="s">
        <v>211</v>
      </c>
      <c r="F1442" s="67" t="s">
        <v>210</v>
      </c>
      <c r="G1442" s="67" t="s">
        <v>209</v>
      </c>
      <c r="H1442" s="67" t="s">
        <v>208</v>
      </c>
      <c r="I1442" s="67" t="s">
        <v>207</v>
      </c>
    </row>
    <row r="1443" spans="1:9" x14ac:dyDescent="0.25">
      <c r="A1443" s="67" t="s">
        <v>206</v>
      </c>
      <c r="B1443" s="67" t="s">
        <v>205</v>
      </c>
      <c r="C1443" s="67" t="s">
        <v>204</v>
      </c>
      <c r="D1443" s="67" t="s">
        <v>203</v>
      </c>
      <c r="E1443" s="67" t="s">
        <v>202</v>
      </c>
      <c r="F1443" s="67" t="s">
        <v>201</v>
      </c>
      <c r="G1443" s="67" t="s">
        <v>200</v>
      </c>
      <c r="H1443" s="67" t="s">
        <v>199</v>
      </c>
    </row>
    <row r="1444" spans="1:9" x14ac:dyDescent="0.25">
      <c r="A1444" s="67" t="s">
        <v>4449</v>
      </c>
      <c r="B1444" s="67" t="s">
        <v>4448</v>
      </c>
      <c r="C1444" s="67">
        <v>0</v>
      </c>
      <c r="D1444" s="67">
        <v>0</v>
      </c>
      <c r="E1444" s="67">
        <v>83900.41</v>
      </c>
      <c r="F1444" s="67">
        <v>25250</v>
      </c>
      <c r="H1444" s="68">
        <v>40764</v>
      </c>
      <c r="I1444" s="67" t="s">
        <v>148</v>
      </c>
    </row>
    <row r="1445" spans="1:9" x14ac:dyDescent="0.25">
      <c r="B1445" s="67" t="s">
        <v>4448</v>
      </c>
      <c r="C1445" s="67">
        <v>0</v>
      </c>
      <c r="D1445" s="67">
        <v>0</v>
      </c>
      <c r="E1445" s="67">
        <v>83900.45</v>
      </c>
      <c r="H1445" s="67" t="s">
        <v>146</v>
      </c>
    </row>
    <row r="1447" spans="1:9" x14ac:dyDescent="0.25">
      <c r="A1447" s="67" t="s">
        <v>4447</v>
      </c>
      <c r="B1447" s="67" t="s">
        <v>4446</v>
      </c>
      <c r="C1447" s="67">
        <v>0</v>
      </c>
      <c r="D1447" s="67">
        <v>0</v>
      </c>
      <c r="E1447" s="67">
        <v>83900.41</v>
      </c>
      <c r="F1447" s="67">
        <v>25250</v>
      </c>
      <c r="H1447" s="68">
        <v>40764</v>
      </c>
      <c r="I1447" s="67" t="s">
        <v>148</v>
      </c>
    </row>
    <row r="1448" spans="1:9" x14ac:dyDescent="0.25">
      <c r="B1448" s="67" t="s">
        <v>4446</v>
      </c>
      <c r="C1448" s="67">
        <v>0</v>
      </c>
      <c r="D1448" s="67">
        <v>0</v>
      </c>
      <c r="E1448" s="67">
        <v>83900.45</v>
      </c>
      <c r="H1448" s="67" t="s">
        <v>146</v>
      </c>
    </row>
    <row r="1450" spans="1:9" x14ac:dyDescent="0.25">
      <c r="A1450" s="67" t="s">
        <v>4445</v>
      </c>
      <c r="B1450" s="67" t="s">
        <v>4444</v>
      </c>
      <c r="C1450" s="67">
        <v>0</v>
      </c>
      <c r="D1450" s="67">
        <v>0</v>
      </c>
      <c r="E1450" s="67">
        <v>83900.41</v>
      </c>
      <c r="F1450" s="67">
        <v>25250</v>
      </c>
      <c r="H1450" s="68">
        <v>40764</v>
      </c>
      <c r="I1450" s="67" t="s">
        <v>148</v>
      </c>
    </row>
    <row r="1451" spans="1:9" x14ac:dyDescent="0.25">
      <c r="B1451" s="67" t="s">
        <v>4444</v>
      </c>
      <c r="C1451" s="67">
        <v>0</v>
      </c>
      <c r="D1451" s="67">
        <v>0</v>
      </c>
      <c r="E1451" s="67">
        <v>83900.45</v>
      </c>
      <c r="H1451" s="67" t="s">
        <v>146</v>
      </c>
    </row>
    <row r="1453" spans="1:9" x14ac:dyDescent="0.25">
      <c r="A1453" s="67" t="s">
        <v>4443</v>
      </c>
      <c r="B1453" s="67" t="s">
        <v>4442</v>
      </c>
      <c r="C1453" s="67">
        <v>0</v>
      </c>
      <c r="D1453" s="67">
        <v>0</v>
      </c>
      <c r="E1453" s="67">
        <v>83900.41</v>
      </c>
      <c r="F1453" s="67">
        <v>25250</v>
      </c>
      <c r="H1453" s="68">
        <v>40764</v>
      </c>
      <c r="I1453" s="67" t="s">
        <v>148</v>
      </c>
    </row>
    <row r="1454" spans="1:9" x14ac:dyDescent="0.25">
      <c r="B1454" s="67" t="s">
        <v>4442</v>
      </c>
      <c r="C1454" s="67">
        <v>0</v>
      </c>
      <c r="D1454" s="67">
        <v>0</v>
      </c>
      <c r="E1454" s="67">
        <v>83900.45</v>
      </c>
      <c r="H1454" s="67" t="s">
        <v>146</v>
      </c>
    </row>
    <row r="1456" spans="1:9" x14ac:dyDescent="0.25">
      <c r="A1456" s="67" t="s">
        <v>4441</v>
      </c>
      <c r="B1456" s="67" t="s">
        <v>4440</v>
      </c>
      <c r="C1456" s="67">
        <v>0</v>
      </c>
      <c r="D1456" s="67">
        <v>0</v>
      </c>
      <c r="E1456" s="67">
        <v>83900.41</v>
      </c>
      <c r="F1456" s="67">
        <v>25250</v>
      </c>
      <c r="H1456" s="68">
        <v>40764</v>
      </c>
      <c r="I1456" s="67" t="s">
        <v>148</v>
      </c>
    </row>
    <row r="1457" spans="1:9" x14ac:dyDescent="0.25">
      <c r="B1457" s="67" t="s">
        <v>4440</v>
      </c>
      <c r="C1457" s="67">
        <v>0</v>
      </c>
      <c r="D1457" s="67">
        <v>0</v>
      </c>
      <c r="E1457" s="67">
        <v>83900.45</v>
      </c>
      <c r="H1457" s="67" t="s">
        <v>146</v>
      </c>
    </row>
    <row r="1459" spans="1:9" x14ac:dyDescent="0.25">
      <c r="A1459" s="67" t="s">
        <v>4439</v>
      </c>
      <c r="B1459" s="67" t="s">
        <v>4438</v>
      </c>
      <c r="C1459" s="67">
        <v>0</v>
      </c>
      <c r="D1459" s="67">
        <v>0</v>
      </c>
      <c r="E1459" s="67">
        <v>83900.41</v>
      </c>
      <c r="F1459" s="67">
        <v>25250</v>
      </c>
      <c r="H1459" s="68">
        <v>40764</v>
      </c>
      <c r="I1459" s="67" t="s">
        <v>148</v>
      </c>
    </row>
    <row r="1460" spans="1:9" x14ac:dyDescent="0.25">
      <c r="B1460" s="67" t="s">
        <v>4438</v>
      </c>
      <c r="C1460" s="67">
        <v>0</v>
      </c>
      <c r="D1460" s="67">
        <v>0</v>
      </c>
      <c r="E1460" s="67">
        <v>83900.45</v>
      </c>
      <c r="H1460" s="67" t="s">
        <v>146</v>
      </c>
    </row>
    <row r="1462" spans="1:9" x14ac:dyDescent="0.25">
      <c r="A1462" s="67" t="s">
        <v>4437</v>
      </c>
      <c r="B1462" s="67" t="s">
        <v>4436</v>
      </c>
      <c r="C1462" s="67">
        <v>0</v>
      </c>
      <c r="D1462" s="67">
        <v>0</v>
      </c>
      <c r="E1462" s="67">
        <v>83900.41</v>
      </c>
      <c r="F1462" s="67">
        <v>25250</v>
      </c>
      <c r="H1462" s="68">
        <v>40764</v>
      </c>
      <c r="I1462" s="67" t="s">
        <v>148</v>
      </c>
    </row>
    <row r="1463" spans="1:9" x14ac:dyDescent="0.25">
      <c r="B1463" s="67" t="s">
        <v>4436</v>
      </c>
      <c r="C1463" s="67">
        <v>0</v>
      </c>
      <c r="D1463" s="67">
        <v>0</v>
      </c>
      <c r="E1463" s="67">
        <v>83900.45</v>
      </c>
      <c r="H1463" s="67" t="s">
        <v>146</v>
      </c>
    </row>
    <row r="1465" spans="1:9" x14ac:dyDescent="0.25">
      <c r="A1465" s="67" t="s">
        <v>4435</v>
      </c>
      <c r="B1465" s="67" t="s">
        <v>4434</v>
      </c>
      <c r="C1465" s="67">
        <v>0</v>
      </c>
      <c r="D1465" s="67">
        <v>0</v>
      </c>
      <c r="E1465" s="67">
        <v>83900.41</v>
      </c>
      <c r="F1465" s="67">
        <v>25250</v>
      </c>
      <c r="H1465" s="68">
        <v>40764</v>
      </c>
      <c r="I1465" s="67" t="s">
        <v>148</v>
      </c>
    </row>
    <row r="1466" spans="1:9" x14ac:dyDescent="0.25">
      <c r="B1466" s="67" t="s">
        <v>4434</v>
      </c>
      <c r="C1466" s="67">
        <v>0</v>
      </c>
      <c r="D1466" s="67">
        <v>0</v>
      </c>
      <c r="E1466" s="67">
        <v>83900.45</v>
      </c>
      <c r="H1466" s="67" t="s">
        <v>146</v>
      </c>
    </row>
    <row r="1468" spans="1:9" x14ac:dyDescent="0.25">
      <c r="A1468" s="67" t="s">
        <v>4433</v>
      </c>
      <c r="B1468" s="67" t="s">
        <v>4432</v>
      </c>
      <c r="C1468" s="67">
        <v>0</v>
      </c>
      <c r="D1468" s="67">
        <v>0</v>
      </c>
      <c r="E1468" s="67">
        <v>83900.41</v>
      </c>
      <c r="F1468" s="67">
        <v>25250</v>
      </c>
      <c r="H1468" s="68">
        <v>40764</v>
      </c>
      <c r="I1468" s="67" t="s">
        <v>148</v>
      </c>
    </row>
    <row r="1469" spans="1:9" x14ac:dyDescent="0.25">
      <c r="B1469" s="67" t="s">
        <v>4432</v>
      </c>
      <c r="C1469" s="67">
        <v>0</v>
      </c>
      <c r="D1469" s="67">
        <v>0</v>
      </c>
      <c r="E1469" s="67">
        <v>83900.45</v>
      </c>
      <c r="H1469" s="67" t="s">
        <v>146</v>
      </c>
    </row>
    <row r="1471" spans="1:9" x14ac:dyDescent="0.25">
      <c r="A1471" s="67" t="s">
        <v>4431</v>
      </c>
      <c r="B1471" s="67" t="s">
        <v>4430</v>
      </c>
      <c r="C1471" s="67">
        <v>0</v>
      </c>
      <c r="D1471" s="67">
        <v>0</v>
      </c>
      <c r="E1471" s="67">
        <v>83900.41</v>
      </c>
      <c r="F1471" s="67">
        <v>25250</v>
      </c>
      <c r="H1471" s="68">
        <v>40764</v>
      </c>
      <c r="I1471" s="67" t="s">
        <v>148</v>
      </c>
    </row>
    <row r="1472" spans="1:9" x14ac:dyDescent="0.25">
      <c r="B1472" s="67" t="s">
        <v>4430</v>
      </c>
      <c r="C1472" s="67">
        <v>0</v>
      </c>
      <c r="D1472" s="67">
        <v>0</v>
      </c>
      <c r="E1472" s="67">
        <v>83900.45</v>
      </c>
      <c r="H1472" s="67" t="s">
        <v>146</v>
      </c>
    </row>
    <row r="1474" spans="1:9" x14ac:dyDescent="0.25">
      <c r="A1474" s="67" t="s">
        <v>4429</v>
      </c>
      <c r="B1474" s="67" t="s">
        <v>4428</v>
      </c>
      <c r="C1474" s="67">
        <v>0</v>
      </c>
      <c r="D1474" s="67">
        <v>0</v>
      </c>
      <c r="E1474" s="67">
        <v>83900.41</v>
      </c>
      <c r="F1474" s="67">
        <v>25250</v>
      </c>
      <c r="H1474" s="68">
        <v>40764</v>
      </c>
      <c r="I1474" s="67" t="s">
        <v>148</v>
      </c>
    </row>
    <row r="1475" spans="1:9" x14ac:dyDescent="0.25">
      <c r="B1475" s="67" t="s">
        <v>4428</v>
      </c>
      <c r="C1475" s="67">
        <v>0</v>
      </c>
      <c r="D1475" s="67">
        <v>0</v>
      </c>
      <c r="E1475" s="67">
        <v>83900.45</v>
      </c>
      <c r="H1475" s="67" t="s">
        <v>146</v>
      </c>
    </row>
    <row r="1477" spans="1:9" x14ac:dyDescent="0.25">
      <c r="A1477" s="67" t="s">
        <v>4427</v>
      </c>
      <c r="B1477" s="67" t="s">
        <v>4426</v>
      </c>
      <c r="C1477" s="67">
        <v>0</v>
      </c>
      <c r="D1477" s="67">
        <v>0</v>
      </c>
      <c r="E1477" s="67">
        <v>83900.41</v>
      </c>
      <c r="F1477" s="67">
        <v>25250</v>
      </c>
      <c r="H1477" s="68">
        <v>40764</v>
      </c>
      <c r="I1477" s="67" t="s">
        <v>148</v>
      </c>
    </row>
    <row r="1478" spans="1:9" x14ac:dyDescent="0.25">
      <c r="B1478" s="67" t="s">
        <v>4426</v>
      </c>
      <c r="C1478" s="67">
        <v>0</v>
      </c>
      <c r="D1478" s="67">
        <v>0</v>
      </c>
      <c r="E1478" s="67">
        <v>83900.45</v>
      </c>
      <c r="H1478" s="67" t="s">
        <v>146</v>
      </c>
    </row>
    <row r="1480" spans="1:9" x14ac:dyDescent="0.25">
      <c r="A1480" s="67" t="s">
        <v>4425</v>
      </c>
      <c r="B1480" s="67" t="s">
        <v>4424</v>
      </c>
      <c r="C1480" s="67">
        <v>0</v>
      </c>
      <c r="D1480" s="67">
        <v>0</v>
      </c>
      <c r="E1480" s="67">
        <v>83900.41</v>
      </c>
      <c r="F1480" s="67">
        <v>25250</v>
      </c>
      <c r="H1480" s="68">
        <v>40764</v>
      </c>
      <c r="I1480" s="67" t="s">
        <v>148</v>
      </c>
    </row>
    <row r="1481" spans="1:9" x14ac:dyDescent="0.25">
      <c r="B1481" s="67" t="s">
        <v>4424</v>
      </c>
      <c r="C1481" s="67">
        <v>0</v>
      </c>
      <c r="D1481" s="67">
        <v>0</v>
      </c>
      <c r="E1481" s="67">
        <v>83900.45</v>
      </c>
      <c r="H1481" s="67" t="s">
        <v>146</v>
      </c>
    </row>
    <row r="1483" spans="1:9" x14ac:dyDescent="0.25">
      <c r="A1483" s="67" t="s">
        <v>4423</v>
      </c>
      <c r="B1483" s="67" t="s">
        <v>4422</v>
      </c>
      <c r="C1483" s="67">
        <v>0</v>
      </c>
      <c r="D1483" s="67">
        <v>0</v>
      </c>
      <c r="E1483" s="67">
        <v>83900.41</v>
      </c>
      <c r="F1483" s="67">
        <v>25250</v>
      </c>
      <c r="H1483" s="68">
        <v>40764</v>
      </c>
      <c r="I1483" s="67" t="s">
        <v>148</v>
      </c>
    </row>
    <row r="1484" spans="1:9" x14ac:dyDescent="0.25">
      <c r="B1484" s="67" t="s">
        <v>4422</v>
      </c>
      <c r="C1484" s="67">
        <v>0</v>
      </c>
      <c r="D1484" s="67">
        <v>0</v>
      </c>
      <c r="E1484" s="67">
        <v>83900.45</v>
      </c>
      <c r="H1484" s="67" t="s">
        <v>146</v>
      </c>
    </row>
    <row r="1486" spans="1:9" x14ac:dyDescent="0.25">
      <c r="A1486" s="67" t="s">
        <v>4421</v>
      </c>
      <c r="B1486" s="67" t="s">
        <v>4420</v>
      </c>
      <c r="C1486" s="67">
        <v>0</v>
      </c>
      <c r="D1486" s="67">
        <v>0</v>
      </c>
      <c r="E1486" s="67">
        <v>83900.41</v>
      </c>
      <c r="F1486" s="67">
        <v>25250</v>
      </c>
      <c r="H1486" s="68">
        <v>40764</v>
      </c>
      <c r="I1486" s="67" t="s">
        <v>148</v>
      </c>
    </row>
    <row r="1487" spans="1:9" x14ac:dyDescent="0.25">
      <c r="B1487" s="67" t="s">
        <v>4420</v>
      </c>
      <c r="C1487" s="67">
        <v>0</v>
      </c>
      <c r="D1487" s="67">
        <v>0</v>
      </c>
      <c r="E1487" s="67">
        <v>83900.45</v>
      </c>
      <c r="H1487" s="67" t="s">
        <v>146</v>
      </c>
    </row>
    <row r="1489" spans="1:9" x14ac:dyDescent="0.25">
      <c r="A1489" s="67" t="s">
        <v>4419</v>
      </c>
      <c r="B1489" s="67" t="s">
        <v>4418</v>
      </c>
      <c r="C1489" s="67">
        <v>0</v>
      </c>
      <c r="D1489" s="67">
        <v>0</v>
      </c>
      <c r="E1489" s="67">
        <v>83900.41</v>
      </c>
      <c r="F1489" s="67">
        <v>25250</v>
      </c>
      <c r="H1489" s="68">
        <v>40764</v>
      </c>
      <c r="I1489" s="67" t="s">
        <v>148</v>
      </c>
    </row>
    <row r="1490" spans="1:9" x14ac:dyDescent="0.25">
      <c r="B1490" s="67" t="s">
        <v>4418</v>
      </c>
      <c r="C1490" s="67">
        <v>0</v>
      </c>
      <c r="D1490" s="67">
        <v>0</v>
      </c>
      <c r="E1490" s="67">
        <v>83900.45</v>
      </c>
      <c r="H1490" s="67" t="s">
        <v>146</v>
      </c>
    </row>
    <row r="1492" spans="1:9" x14ac:dyDescent="0.25">
      <c r="A1492" s="67" t="s">
        <v>4417</v>
      </c>
      <c r="B1492" s="67" t="s">
        <v>4416</v>
      </c>
      <c r="C1492" s="67">
        <v>0</v>
      </c>
      <c r="D1492" s="67">
        <v>0</v>
      </c>
      <c r="E1492" s="67">
        <v>83900.41</v>
      </c>
      <c r="F1492" s="67">
        <v>25250</v>
      </c>
      <c r="H1492" s="68">
        <v>40764</v>
      </c>
      <c r="I1492" s="67" t="s">
        <v>148</v>
      </c>
    </row>
    <row r="1493" spans="1:9" x14ac:dyDescent="0.25">
      <c r="B1493" s="67" t="s">
        <v>4416</v>
      </c>
      <c r="C1493" s="67">
        <v>0</v>
      </c>
      <c r="D1493" s="67">
        <v>0</v>
      </c>
      <c r="E1493" s="67">
        <v>83900.45</v>
      </c>
      <c r="H1493" s="67" t="s">
        <v>146</v>
      </c>
    </row>
    <row r="1494" spans="1:9" x14ac:dyDescent="0.25">
      <c r="A1494" s="67" t="s">
        <v>233</v>
      </c>
    </row>
    <row r="1496" spans="1:9" x14ac:dyDescent="0.25">
      <c r="A1496" s="67" t="s">
        <v>232</v>
      </c>
      <c r="D1496" s="67" t="s">
        <v>231</v>
      </c>
      <c r="H1496" s="67" t="s">
        <v>148</v>
      </c>
      <c r="I1496" s="67" t="s">
        <v>230</v>
      </c>
    </row>
    <row r="1497" spans="1:9" x14ac:dyDescent="0.25">
      <c r="A1497" s="67">
        <v>41.1</v>
      </c>
      <c r="C1497" s="67" t="s">
        <v>215</v>
      </c>
      <c r="D1497" s="67" t="s">
        <v>229</v>
      </c>
      <c r="H1497" s="70">
        <v>44771</v>
      </c>
      <c r="I1497" s="69">
        <v>0.56736111111111109</v>
      </c>
    </row>
    <row r="1498" spans="1:9" x14ac:dyDescent="0.25">
      <c r="A1498" s="67" t="s">
        <v>228</v>
      </c>
      <c r="C1498" s="67" t="s">
        <v>227</v>
      </c>
      <c r="D1498" s="67" t="s">
        <v>226</v>
      </c>
      <c r="E1498" s="67">
        <v>589</v>
      </c>
      <c r="H1498" s="67" t="s">
        <v>225</v>
      </c>
      <c r="I1498" s="67">
        <v>28</v>
      </c>
    </row>
    <row r="1499" spans="1:9" x14ac:dyDescent="0.25">
      <c r="A1499" s="67" t="s">
        <v>884</v>
      </c>
    </row>
    <row r="1500" spans="1:9" x14ac:dyDescent="0.25">
      <c r="A1500" s="67" t="s">
        <v>223</v>
      </c>
      <c r="B1500" s="67" t="s">
        <v>222</v>
      </c>
      <c r="C1500" s="67" t="s">
        <v>221</v>
      </c>
      <c r="D1500" s="67" t="s">
        <v>220</v>
      </c>
      <c r="E1500" s="67" t="s">
        <v>219</v>
      </c>
      <c r="F1500" s="67" t="s">
        <v>217</v>
      </c>
      <c r="G1500" s="67" t="s">
        <v>218</v>
      </c>
      <c r="H1500" s="67" t="s">
        <v>217</v>
      </c>
      <c r="I1500" s="67" t="s">
        <v>216</v>
      </c>
    </row>
    <row r="1501" spans="1:9" x14ac:dyDescent="0.25">
      <c r="A1501" s="67" t="s">
        <v>215</v>
      </c>
      <c r="B1501" s="67" t="s">
        <v>214</v>
      </c>
      <c r="C1501" s="67" t="s">
        <v>213</v>
      </c>
      <c r="D1501" s="67" t="s">
        <v>212</v>
      </c>
      <c r="E1501" s="67" t="s">
        <v>211</v>
      </c>
      <c r="F1501" s="67" t="s">
        <v>210</v>
      </c>
      <c r="G1501" s="67" t="s">
        <v>209</v>
      </c>
      <c r="H1501" s="67" t="s">
        <v>208</v>
      </c>
      <c r="I1501" s="67" t="s">
        <v>207</v>
      </c>
    </row>
    <row r="1502" spans="1:9" x14ac:dyDescent="0.25">
      <c r="A1502" s="67" t="s">
        <v>206</v>
      </c>
      <c r="B1502" s="67" t="s">
        <v>205</v>
      </c>
      <c r="C1502" s="67" t="s">
        <v>204</v>
      </c>
      <c r="D1502" s="67" t="s">
        <v>203</v>
      </c>
      <c r="E1502" s="67" t="s">
        <v>202</v>
      </c>
      <c r="F1502" s="67" t="s">
        <v>201</v>
      </c>
      <c r="G1502" s="67" t="s">
        <v>200</v>
      </c>
      <c r="H1502" s="67" t="s">
        <v>199</v>
      </c>
    </row>
    <row r="1503" spans="1:9" x14ac:dyDescent="0.25">
      <c r="A1503" s="67" t="s">
        <v>4415</v>
      </c>
      <c r="B1503" s="67" t="s">
        <v>4414</v>
      </c>
      <c r="C1503" s="67">
        <v>0</v>
      </c>
      <c r="D1503" s="67">
        <v>0</v>
      </c>
      <c r="E1503" s="67">
        <v>83900.41</v>
      </c>
      <c r="F1503" s="67">
        <v>25250</v>
      </c>
      <c r="H1503" s="68">
        <v>40764</v>
      </c>
      <c r="I1503" s="67" t="s">
        <v>148</v>
      </c>
    </row>
    <row r="1504" spans="1:9" x14ac:dyDescent="0.25">
      <c r="B1504" s="67" t="s">
        <v>4414</v>
      </c>
      <c r="C1504" s="67">
        <v>0</v>
      </c>
      <c r="D1504" s="67">
        <v>0</v>
      </c>
      <c r="E1504" s="67">
        <v>83900.45</v>
      </c>
      <c r="H1504" s="67" t="s">
        <v>146</v>
      </c>
    </row>
    <row r="1506" spans="1:9" x14ac:dyDescent="0.25">
      <c r="A1506" s="67" t="s">
        <v>4413</v>
      </c>
      <c r="B1506" s="67" t="s">
        <v>4412</v>
      </c>
      <c r="C1506" s="67">
        <v>0</v>
      </c>
      <c r="D1506" s="67">
        <v>0</v>
      </c>
      <c r="E1506" s="67">
        <v>83900.41</v>
      </c>
      <c r="F1506" s="67">
        <v>25250</v>
      </c>
      <c r="H1506" s="68">
        <v>40764</v>
      </c>
      <c r="I1506" s="67" t="s">
        <v>148</v>
      </c>
    </row>
    <row r="1507" spans="1:9" x14ac:dyDescent="0.25">
      <c r="B1507" s="67" t="s">
        <v>4412</v>
      </c>
      <c r="C1507" s="67">
        <v>0</v>
      </c>
      <c r="D1507" s="67">
        <v>0</v>
      </c>
      <c r="E1507" s="67">
        <v>83900.45</v>
      </c>
      <c r="H1507" s="67" t="s">
        <v>146</v>
      </c>
    </row>
    <row r="1509" spans="1:9" x14ac:dyDescent="0.25">
      <c r="A1509" s="67" t="s">
        <v>4411</v>
      </c>
      <c r="B1509" s="67" t="s">
        <v>4410</v>
      </c>
      <c r="C1509" s="67">
        <v>0</v>
      </c>
      <c r="D1509" s="67">
        <v>0</v>
      </c>
      <c r="E1509" s="67">
        <v>83900.41</v>
      </c>
      <c r="F1509" s="67">
        <v>25250</v>
      </c>
      <c r="H1509" s="68">
        <v>40764</v>
      </c>
      <c r="I1509" s="67" t="s">
        <v>148</v>
      </c>
    </row>
    <row r="1510" spans="1:9" x14ac:dyDescent="0.25">
      <c r="B1510" s="67" t="s">
        <v>4410</v>
      </c>
      <c r="C1510" s="67">
        <v>0</v>
      </c>
      <c r="D1510" s="67">
        <v>0</v>
      </c>
      <c r="E1510" s="67">
        <v>83900.45</v>
      </c>
      <c r="H1510" s="67" t="s">
        <v>146</v>
      </c>
    </row>
    <row r="1512" spans="1:9" x14ac:dyDescent="0.25">
      <c r="A1512" s="67" t="s">
        <v>4409</v>
      </c>
      <c r="B1512" s="67" t="s">
        <v>4408</v>
      </c>
      <c r="C1512" s="67">
        <v>0</v>
      </c>
      <c r="D1512" s="67">
        <v>0</v>
      </c>
      <c r="E1512" s="67">
        <v>83900.41</v>
      </c>
      <c r="F1512" s="67">
        <v>25250</v>
      </c>
      <c r="H1512" s="68">
        <v>40764</v>
      </c>
      <c r="I1512" s="67" t="s">
        <v>148</v>
      </c>
    </row>
    <row r="1513" spans="1:9" x14ac:dyDescent="0.25">
      <c r="B1513" s="67" t="s">
        <v>4408</v>
      </c>
      <c r="C1513" s="67">
        <v>0</v>
      </c>
      <c r="D1513" s="67">
        <v>0</v>
      </c>
      <c r="E1513" s="67">
        <v>83900.45</v>
      </c>
      <c r="H1513" s="67" t="s">
        <v>146</v>
      </c>
    </row>
    <row r="1515" spans="1:9" x14ac:dyDescent="0.25">
      <c r="A1515" s="67" t="s">
        <v>4407</v>
      </c>
      <c r="B1515" s="67" t="s">
        <v>4406</v>
      </c>
      <c r="C1515" s="67">
        <v>0</v>
      </c>
      <c r="D1515" s="67">
        <v>0</v>
      </c>
      <c r="E1515" s="67">
        <v>83900.41</v>
      </c>
      <c r="F1515" s="67">
        <v>25250</v>
      </c>
      <c r="H1515" s="68">
        <v>40764</v>
      </c>
      <c r="I1515" s="67" t="s">
        <v>148</v>
      </c>
    </row>
    <row r="1516" spans="1:9" x14ac:dyDescent="0.25">
      <c r="B1516" s="67" t="s">
        <v>4406</v>
      </c>
      <c r="C1516" s="67">
        <v>0</v>
      </c>
      <c r="D1516" s="67">
        <v>0</v>
      </c>
      <c r="E1516" s="67">
        <v>83900.45</v>
      </c>
      <c r="H1516" s="67" t="s">
        <v>146</v>
      </c>
    </row>
    <row r="1518" spans="1:9" x14ac:dyDescent="0.25">
      <c r="A1518" s="67" t="s">
        <v>4405</v>
      </c>
      <c r="B1518" s="67" t="s">
        <v>4404</v>
      </c>
      <c r="C1518" s="67">
        <v>0</v>
      </c>
      <c r="D1518" s="67">
        <v>0</v>
      </c>
      <c r="E1518" s="67">
        <v>83900.41</v>
      </c>
      <c r="F1518" s="67">
        <v>25250</v>
      </c>
      <c r="H1518" s="68">
        <v>40764</v>
      </c>
      <c r="I1518" s="67" t="s">
        <v>148</v>
      </c>
    </row>
    <row r="1519" spans="1:9" x14ac:dyDescent="0.25">
      <c r="B1519" s="67" t="s">
        <v>4404</v>
      </c>
      <c r="C1519" s="67">
        <v>0</v>
      </c>
      <c r="D1519" s="67">
        <v>0</v>
      </c>
      <c r="E1519" s="67">
        <v>83900.45</v>
      </c>
      <c r="H1519" s="67" t="s">
        <v>146</v>
      </c>
    </row>
    <row r="1521" spans="1:9" x14ac:dyDescent="0.25">
      <c r="A1521" s="67" t="s">
        <v>4403</v>
      </c>
      <c r="B1521" s="67" t="s">
        <v>4402</v>
      </c>
      <c r="C1521" s="67">
        <v>0</v>
      </c>
      <c r="D1521" s="67">
        <v>0</v>
      </c>
      <c r="E1521" s="67">
        <v>83900.41</v>
      </c>
      <c r="F1521" s="67">
        <v>25250</v>
      </c>
      <c r="H1521" s="68">
        <v>40764</v>
      </c>
      <c r="I1521" s="67" t="s">
        <v>148</v>
      </c>
    </row>
    <row r="1522" spans="1:9" x14ac:dyDescent="0.25">
      <c r="B1522" s="67" t="s">
        <v>4402</v>
      </c>
      <c r="C1522" s="67">
        <v>0</v>
      </c>
      <c r="D1522" s="67">
        <v>0</v>
      </c>
      <c r="E1522" s="67">
        <v>83900.45</v>
      </c>
      <c r="H1522" s="67" t="s">
        <v>146</v>
      </c>
    </row>
    <row r="1524" spans="1:9" x14ac:dyDescent="0.25">
      <c r="A1524" s="67" t="s">
        <v>4401</v>
      </c>
      <c r="B1524" s="67" t="s">
        <v>4400</v>
      </c>
      <c r="C1524" s="67">
        <v>0</v>
      </c>
      <c r="D1524" s="67">
        <v>0</v>
      </c>
      <c r="E1524" s="67">
        <v>83900.41</v>
      </c>
      <c r="F1524" s="67">
        <v>25250</v>
      </c>
      <c r="H1524" s="68">
        <v>40764</v>
      </c>
      <c r="I1524" s="67" t="s">
        <v>148</v>
      </c>
    </row>
    <row r="1525" spans="1:9" x14ac:dyDescent="0.25">
      <c r="B1525" s="67" t="s">
        <v>4400</v>
      </c>
      <c r="C1525" s="67">
        <v>0</v>
      </c>
      <c r="D1525" s="67">
        <v>0</v>
      </c>
      <c r="E1525" s="67">
        <v>83900.45</v>
      </c>
      <c r="H1525" s="67" t="s">
        <v>146</v>
      </c>
    </row>
    <row r="1527" spans="1:9" x14ac:dyDescent="0.25">
      <c r="A1527" s="67" t="s">
        <v>4399</v>
      </c>
      <c r="B1527" s="67" t="s">
        <v>4398</v>
      </c>
      <c r="C1527" s="67">
        <v>0</v>
      </c>
      <c r="D1527" s="67">
        <v>0</v>
      </c>
      <c r="E1527" s="67">
        <v>83900.41</v>
      </c>
      <c r="F1527" s="67">
        <v>25250</v>
      </c>
      <c r="H1527" s="68">
        <v>40764</v>
      </c>
      <c r="I1527" s="67" t="s">
        <v>148</v>
      </c>
    </row>
    <row r="1528" spans="1:9" x14ac:dyDescent="0.25">
      <c r="B1528" s="67" t="s">
        <v>4398</v>
      </c>
      <c r="C1528" s="67">
        <v>0</v>
      </c>
      <c r="D1528" s="67">
        <v>0</v>
      </c>
      <c r="E1528" s="67">
        <v>83900.45</v>
      </c>
      <c r="H1528" s="67" t="s">
        <v>146</v>
      </c>
    </row>
    <row r="1530" spans="1:9" x14ac:dyDescent="0.25">
      <c r="A1530" s="67" t="s">
        <v>4397</v>
      </c>
      <c r="B1530" s="67" t="s">
        <v>4396</v>
      </c>
      <c r="C1530" s="67">
        <v>0</v>
      </c>
      <c r="D1530" s="67">
        <v>0</v>
      </c>
      <c r="E1530" s="67">
        <v>83900.41</v>
      </c>
      <c r="F1530" s="67">
        <v>25250</v>
      </c>
      <c r="H1530" s="68">
        <v>40764</v>
      </c>
      <c r="I1530" s="67" t="s">
        <v>148</v>
      </c>
    </row>
    <row r="1531" spans="1:9" x14ac:dyDescent="0.25">
      <c r="B1531" s="67" t="s">
        <v>4396</v>
      </c>
      <c r="C1531" s="67">
        <v>0</v>
      </c>
      <c r="D1531" s="67">
        <v>0</v>
      </c>
      <c r="E1531" s="67">
        <v>83900.45</v>
      </c>
      <c r="H1531" s="67" t="s">
        <v>146</v>
      </c>
    </row>
    <row r="1533" spans="1:9" x14ac:dyDescent="0.25">
      <c r="A1533" s="67" t="s">
        <v>4395</v>
      </c>
      <c r="B1533" s="67" t="s">
        <v>4394</v>
      </c>
      <c r="C1533" s="67">
        <v>0</v>
      </c>
      <c r="D1533" s="67">
        <v>0</v>
      </c>
      <c r="E1533" s="67">
        <v>83900.41</v>
      </c>
      <c r="F1533" s="67">
        <v>25250</v>
      </c>
      <c r="H1533" s="68">
        <v>40764</v>
      </c>
      <c r="I1533" s="67" t="s">
        <v>148</v>
      </c>
    </row>
    <row r="1534" spans="1:9" x14ac:dyDescent="0.25">
      <c r="B1534" s="67" t="s">
        <v>4394</v>
      </c>
      <c r="C1534" s="67">
        <v>0</v>
      </c>
      <c r="D1534" s="67">
        <v>0</v>
      </c>
      <c r="E1534" s="67">
        <v>83900.45</v>
      </c>
      <c r="H1534" s="67" t="s">
        <v>146</v>
      </c>
    </row>
    <row r="1536" spans="1:9" x14ac:dyDescent="0.25">
      <c r="A1536" s="67" t="s">
        <v>4393</v>
      </c>
      <c r="B1536" s="67" t="s">
        <v>4392</v>
      </c>
      <c r="C1536" s="67">
        <v>0</v>
      </c>
      <c r="D1536" s="67">
        <v>0</v>
      </c>
      <c r="E1536" s="67">
        <v>83900.41</v>
      </c>
      <c r="F1536" s="67">
        <v>25250</v>
      </c>
      <c r="H1536" s="68">
        <v>40764</v>
      </c>
      <c r="I1536" s="67" t="s">
        <v>148</v>
      </c>
    </row>
    <row r="1537" spans="1:9" x14ac:dyDescent="0.25">
      <c r="B1537" s="67" t="s">
        <v>4392</v>
      </c>
      <c r="C1537" s="67">
        <v>0</v>
      </c>
      <c r="D1537" s="67">
        <v>0</v>
      </c>
      <c r="E1537" s="67">
        <v>83900.45</v>
      </c>
      <c r="H1537" s="67" t="s">
        <v>146</v>
      </c>
    </row>
    <row r="1539" spans="1:9" x14ac:dyDescent="0.25">
      <c r="A1539" s="67" t="s">
        <v>4391</v>
      </c>
      <c r="B1539" s="67" t="s">
        <v>4390</v>
      </c>
      <c r="C1539" s="67">
        <v>0</v>
      </c>
      <c r="D1539" s="67">
        <v>0</v>
      </c>
      <c r="E1539" s="67">
        <v>83900.41</v>
      </c>
      <c r="F1539" s="67">
        <v>25250</v>
      </c>
      <c r="H1539" s="68">
        <v>40764</v>
      </c>
      <c r="I1539" s="67" t="s">
        <v>148</v>
      </c>
    </row>
    <row r="1540" spans="1:9" x14ac:dyDescent="0.25">
      <c r="B1540" s="67" t="s">
        <v>4390</v>
      </c>
      <c r="C1540" s="67">
        <v>0</v>
      </c>
      <c r="D1540" s="67">
        <v>0</v>
      </c>
      <c r="E1540" s="67">
        <v>83900.45</v>
      </c>
      <c r="H1540" s="67" t="s">
        <v>146</v>
      </c>
    </row>
    <row r="1542" spans="1:9" x14ac:dyDescent="0.25">
      <c r="A1542" s="67" t="s">
        <v>4389</v>
      </c>
      <c r="B1542" s="67" t="s">
        <v>4388</v>
      </c>
      <c r="C1542" s="67">
        <v>0</v>
      </c>
      <c r="D1542" s="67">
        <v>0</v>
      </c>
      <c r="E1542" s="67">
        <v>83900.41</v>
      </c>
      <c r="F1542" s="67">
        <v>25250</v>
      </c>
      <c r="H1542" s="68">
        <v>40764</v>
      </c>
      <c r="I1542" s="67" t="s">
        <v>148</v>
      </c>
    </row>
    <row r="1543" spans="1:9" x14ac:dyDescent="0.25">
      <c r="B1543" s="67" t="s">
        <v>4388</v>
      </c>
      <c r="C1543" s="67">
        <v>0</v>
      </c>
      <c r="D1543" s="67">
        <v>0</v>
      </c>
      <c r="E1543" s="67">
        <v>83900.45</v>
      </c>
      <c r="H1543" s="67" t="s">
        <v>146</v>
      </c>
    </row>
    <row r="1545" spans="1:9" x14ac:dyDescent="0.25">
      <c r="A1545" s="67" t="s">
        <v>4387</v>
      </c>
      <c r="B1545" s="67" t="s">
        <v>4386</v>
      </c>
      <c r="C1545" s="67">
        <v>0</v>
      </c>
      <c r="D1545" s="67">
        <v>0</v>
      </c>
      <c r="E1545" s="67">
        <v>83900.41</v>
      </c>
      <c r="F1545" s="67">
        <v>25250</v>
      </c>
      <c r="H1545" s="68">
        <v>40764</v>
      </c>
      <c r="I1545" s="67" t="s">
        <v>148</v>
      </c>
    </row>
    <row r="1546" spans="1:9" x14ac:dyDescent="0.25">
      <c r="B1546" s="67" t="s">
        <v>4386</v>
      </c>
      <c r="C1546" s="67">
        <v>0</v>
      </c>
      <c r="D1546" s="67">
        <v>0</v>
      </c>
      <c r="E1546" s="67">
        <v>83900.45</v>
      </c>
      <c r="H1546" s="67" t="s">
        <v>146</v>
      </c>
    </row>
    <row r="1548" spans="1:9" x14ac:dyDescent="0.25">
      <c r="A1548" s="67" t="s">
        <v>4385</v>
      </c>
      <c r="B1548" s="67" t="s">
        <v>4384</v>
      </c>
      <c r="C1548" s="67">
        <v>0</v>
      </c>
      <c r="D1548" s="67">
        <v>0</v>
      </c>
      <c r="E1548" s="67">
        <v>83900.41</v>
      </c>
      <c r="F1548" s="67">
        <v>25250</v>
      </c>
      <c r="H1548" s="68">
        <v>40764</v>
      </c>
      <c r="I1548" s="67" t="s">
        <v>148</v>
      </c>
    </row>
    <row r="1549" spans="1:9" x14ac:dyDescent="0.25">
      <c r="B1549" s="67" t="s">
        <v>4384</v>
      </c>
      <c r="C1549" s="67">
        <v>0</v>
      </c>
      <c r="D1549" s="67">
        <v>0</v>
      </c>
      <c r="E1549" s="67">
        <v>83900.45</v>
      </c>
      <c r="H1549" s="67" t="s">
        <v>146</v>
      </c>
    </row>
    <row r="1551" spans="1:9" x14ac:dyDescent="0.25">
      <c r="A1551" s="67" t="s">
        <v>4383</v>
      </c>
      <c r="B1551" s="67" t="s">
        <v>4382</v>
      </c>
      <c r="C1551" s="67">
        <v>0</v>
      </c>
      <c r="D1551" s="67">
        <v>0</v>
      </c>
      <c r="E1551" s="67">
        <v>83900.41</v>
      </c>
      <c r="F1551" s="67">
        <v>25250</v>
      </c>
      <c r="H1551" s="68">
        <v>40764</v>
      </c>
      <c r="I1551" s="67" t="s">
        <v>148</v>
      </c>
    </row>
    <row r="1552" spans="1:9" x14ac:dyDescent="0.25">
      <c r="B1552" s="67" t="s">
        <v>4382</v>
      </c>
      <c r="C1552" s="67">
        <v>0</v>
      </c>
      <c r="D1552" s="67">
        <v>0</v>
      </c>
      <c r="E1552" s="67">
        <v>83900.45</v>
      </c>
      <c r="H1552" s="67" t="s">
        <v>146</v>
      </c>
    </row>
    <row r="1553" spans="1:9" x14ac:dyDescent="0.25">
      <c r="A1553" s="67" t="s">
        <v>233</v>
      </c>
    </row>
    <row r="1555" spans="1:9" x14ac:dyDescent="0.25">
      <c r="A1555" s="67" t="s">
        <v>232</v>
      </c>
      <c r="D1555" s="67" t="s">
        <v>231</v>
      </c>
      <c r="H1555" s="67" t="s">
        <v>148</v>
      </c>
      <c r="I1555" s="67" t="s">
        <v>230</v>
      </c>
    </row>
    <row r="1556" spans="1:9" x14ac:dyDescent="0.25">
      <c r="A1556" s="67">
        <v>41.1</v>
      </c>
      <c r="C1556" s="67" t="s">
        <v>215</v>
      </c>
      <c r="D1556" s="67" t="s">
        <v>229</v>
      </c>
      <c r="H1556" s="70">
        <v>44771</v>
      </c>
      <c r="I1556" s="69">
        <v>0.56736111111111109</v>
      </c>
    </row>
    <row r="1557" spans="1:9" x14ac:dyDescent="0.25">
      <c r="A1557" s="67" t="s">
        <v>228</v>
      </c>
      <c r="C1557" s="67" t="s">
        <v>227</v>
      </c>
      <c r="D1557" s="67" t="s">
        <v>226</v>
      </c>
      <c r="E1557" s="67">
        <v>589</v>
      </c>
      <c r="H1557" s="67" t="s">
        <v>225</v>
      </c>
      <c r="I1557" s="67">
        <v>29</v>
      </c>
    </row>
    <row r="1558" spans="1:9" x14ac:dyDescent="0.25">
      <c r="A1558" s="67" t="s">
        <v>884</v>
      </c>
    </row>
    <row r="1559" spans="1:9" x14ac:dyDescent="0.25">
      <c r="A1559" s="67" t="s">
        <v>223</v>
      </c>
      <c r="B1559" s="67" t="s">
        <v>222</v>
      </c>
      <c r="C1559" s="67" t="s">
        <v>221</v>
      </c>
      <c r="D1559" s="67" t="s">
        <v>220</v>
      </c>
      <c r="E1559" s="67" t="s">
        <v>219</v>
      </c>
      <c r="F1559" s="67" t="s">
        <v>217</v>
      </c>
      <c r="G1559" s="67" t="s">
        <v>218</v>
      </c>
      <c r="H1559" s="67" t="s">
        <v>217</v>
      </c>
      <c r="I1559" s="67" t="s">
        <v>216</v>
      </c>
    </row>
    <row r="1560" spans="1:9" x14ac:dyDescent="0.25">
      <c r="A1560" s="67" t="s">
        <v>215</v>
      </c>
      <c r="B1560" s="67" t="s">
        <v>214</v>
      </c>
      <c r="C1560" s="67" t="s">
        <v>213</v>
      </c>
      <c r="D1560" s="67" t="s">
        <v>212</v>
      </c>
      <c r="E1560" s="67" t="s">
        <v>211</v>
      </c>
      <c r="F1560" s="67" t="s">
        <v>210</v>
      </c>
      <c r="G1560" s="67" t="s">
        <v>209</v>
      </c>
      <c r="H1560" s="67" t="s">
        <v>208</v>
      </c>
      <c r="I1560" s="67" t="s">
        <v>207</v>
      </c>
    </row>
    <row r="1561" spans="1:9" x14ac:dyDescent="0.25">
      <c r="A1561" s="67" t="s">
        <v>206</v>
      </c>
      <c r="B1561" s="67" t="s">
        <v>205</v>
      </c>
      <c r="C1561" s="67" t="s">
        <v>204</v>
      </c>
      <c r="D1561" s="67" t="s">
        <v>203</v>
      </c>
      <c r="E1561" s="67" t="s">
        <v>202</v>
      </c>
      <c r="F1561" s="67" t="s">
        <v>201</v>
      </c>
      <c r="G1561" s="67" t="s">
        <v>200</v>
      </c>
      <c r="H1561" s="67" t="s">
        <v>199</v>
      </c>
    </row>
    <row r="1562" spans="1:9" x14ac:dyDescent="0.25">
      <c r="A1562" s="67" t="s">
        <v>4381</v>
      </c>
      <c r="B1562" s="67" t="s">
        <v>4380</v>
      </c>
      <c r="C1562" s="67">
        <v>0</v>
      </c>
      <c r="D1562" s="67">
        <v>0</v>
      </c>
      <c r="E1562" s="67">
        <v>83900.41</v>
      </c>
      <c r="F1562" s="67">
        <v>25250</v>
      </c>
      <c r="H1562" s="68">
        <v>40764</v>
      </c>
      <c r="I1562" s="67" t="s">
        <v>148</v>
      </c>
    </row>
    <row r="1563" spans="1:9" x14ac:dyDescent="0.25">
      <c r="B1563" s="67" t="s">
        <v>4380</v>
      </c>
      <c r="C1563" s="67">
        <v>0</v>
      </c>
      <c r="D1563" s="67">
        <v>0</v>
      </c>
      <c r="E1563" s="67">
        <v>83900.45</v>
      </c>
      <c r="H1563" s="67" t="s">
        <v>146</v>
      </c>
    </row>
    <row r="1565" spans="1:9" x14ac:dyDescent="0.25">
      <c r="A1565" s="67" t="s">
        <v>4379</v>
      </c>
      <c r="B1565" s="67" t="s">
        <v>4378</v>
      </c>
      <c r="C1565" s="67">
        <v>0</v>
      </c>
      <c r="D1565" s="67">
        <v>0</v>
      </c>
      <c r="E1565" s="67">
        <v>83900.41</v>
      </c>
      <c r="F1565" s="67">
        <v>25250</v>
      </c>
      <c r="H1565" s="68">
        <v>40764</v>
      </c>
      <c r="I1565" s="67" t="s">
        <v>148</v>
      </c>
    </row>
    <row r="1566" spans="1:9" x14ac:dyDescent="0.25">
      <c r="B1566" s="67" t="s">
        <v>4378</v>
      </c>
      <c r="C1566" s="67">
        <v>0</v>
      </c>
      <c r="D1566" s="67">
        <v>0</v>
      </c>
      <c r="E1566" s="67">
        <v>83900.45</v>
      </c>
      <c r="H1566" s="67" t="s">
        <v>146</v>
      </c>
    </row>
    <row r="1568" spans="1:9" x14ac:dyDescent="0.25">
      <c r="A1568" s="67" t="s">
        <v>4377</v>
      </c>
      <c r="B1568" s="67" t="s">
        <v>4376</v>
      </c>
      <c r="C1568" s="67">
        <v>0</v>
      </c>
      <c r="D1568" s="67">
        <v>0</v>
      </c>
      <c r="E1568" s="67">
        <v>83900.41</v>
      </c>
      <c r="F1568" s="67">
        <v>25250</v>
      </c>
      <c r="H1568" s="68">
        <v>40764</v>
      </c>
      <c r="I1568" s="67" t="s">
        <v>148</v>
      </c>
    </row>
    <row r="1569" spans="1:9" x14ac:dyDescent="0.25">
      <c r="B1569" s="67" t="s">
        <v>4376</v>
      </c>
      <c r="C1569" s="67">
        <v>0</v>
      </c>
      <c r="D1569" s="67">
        <v>0</v>
      </c>
      <c r="E1569" s="67">
        <v>83900.45</v>
      </c>
      <c r="H1569" s="67" t="s">
        <v>146</v>
      </c>
    </row>
    <row r="1571" spans="1:9" x14ac:dyDescent="0.25">
      <c r="A1571" s="67" t="s">
        <v>4375</v>
      </c>
      <c r="B1571" s="67" t="s">
        <v>4374</v>
      </c>
      <c r="C1571" s="67">
        <v>0</v>
      </c>
      <c r="D1571" s="67">
        <v>0</v>
      </c>
      <c r="E1571" s="67">
        <v>83900.41</v>
      </c>
      <c r="F1571" s="67">
        <v>25250</v>
      </c>
      <c r="H1571" s="68">
        <v>40764</v>
      </c>
      <c r="I1571" s="67" t="s">
        <v>148</v>
      </c>
    </row>
    <row r="1572" spans="1:9" x14ac:dyDescent="0.25">
      <c r="B1572" s="67" t="s">
        <v>4374</v>
      </c>
      <c r="C1572" s="67">
        <v>0</v>
      </c>
      <c r="D1572" s="67">
        <v>0</v>
      </c>
      <c r="E1572" s="67">
        <v>83900.45</v>
      </c>
      <c r="H1572" s="67" t="s">
        <v>146</v>
      </c>
    </row>
    <row r="1574" spans="1:9" x14ac:dyDescent="0.25">
      <c r="A1574" s="67" t="s">
        <v>4373</v>
      </c>
      <c r="B1574" s="67" t="s">
        <v>4372</v>
      </c>
      <c r="C1574" s="67">
        <v>0</v>
      </c>
      <c r="D1574" s="67">
        <v>0</v>
      </c>
      <c r="E1574" s="67">
        <v>83900.41</v>
      </c>
      <c r="F1574" s="67">
        <v>25250</v>
      </c>
      <c r="H1574" s="68">
        <v>40764</v>
      </c>
      <c r="I1574" s="67" t="s">
        <v>148</v>
      </c>
    </row>
    <row r="1575" spans="1:9" x14ac:dyDescent="0.25">
      <c r="B1575" s="67" t="s">
        <v>4372</v>
      </c>
      <c r="C1575" s="67">
        <v>0</v>
      </c>
      <c r="D1575" s="67">
        <v>0</v>
      </c>
      <c r="E1575" s="67">
        <v>83900.45</v>
      </c>
      <c r="H1575" s="67" t="s">
        <v>146</v>
      </c>
    </row>
    <row r="1577" spans="1:9" x14ac:dyDescent="0.25">
      <c r="A1577" s="67" t="s">
        <v>4371</v>
      </c>
      <c r="B1577" s="67" t="s">
        <v>4370</v>
      </c>
      <c r="C1577" s="67">
        <v>0</v>
      </c>
      <c r="D1577" s="67">
        <v>0</v>
      </c>
      <c r="E1577" s="67">
        <v>83900.41</v>
      </c>
      <c r="F1577" s="67">
        <v>25250</v>
      </c>
      <c r="H1577" s="68">
        <v>40764</v>
      </c>
      <c r="I1577" s="67" t="s">
        <v>148</v>
      </c>
    </row>
    <row r="1578" spans="1:9" x14ac:dyDescent="0.25">
      <c r="B1578" s="67" t="s">
        <v>4370</v>
      </c>
      <c r="C1578" s="67">
        <v>0</v>
      </c>
      <c r="D1578" s="67">
        <v>0</v>
      </c>
      <c r="E1578" s="67">
        <v>83900.45</v>
      </c>
      <c r="H1578" s="67" t="s">
        <v>146</v>
      </c>
    </row>
    <row r="1580" spans="1:9" x14ac:dyDescent="0.25">
      <c r="A1580" s="67" t="s">
        <v>4369</v>
      </c>
      <c r="B1580" s="67" t="s">
        <v>4368</v>
      </c>
      <c r="C1580" s="67">
        <v>0</v>
      </c>
      <c r="D1580" s="67">
        <v>0</v>
      </c>
      <c r="E1580" s="67">
        <v>83900.41</v>
      </c>
      <c r="F1580" s="67">
        <v>25250</v>
      </c>
      <c r="H1580" s="68">
        <v>40764</v>
      </c>
      <c r="I1580" s="67" t="s">
        <v>148</v>
      </c>
    </row>
    <row r="1581" spans="1:9" x14ac:dyDescent="0.25">
      <c r="B1581" s="67" t="s">
        <v>4368</v>
      </c>
      <c r="C1581" s="67">
        <v>0</v>
      </c>
      <c r="D1581" s="67">
        <v>0</v>
      </c>
      <c r="E1581" s="67">
        <v>83900.45</v>
      </c>
      <c r="H1581" s="67" t="s">
        <v>146</v>
      </c>
    </row>
    <row r="1583" spans="1:9" x14ac:dyDescent="0.25">
      <c r="A1583" s="67" t="s">
        <v>4367</v>
      </c>
      <c r="B1583" s="67" t="s">
        <v>4366</v>
      </c>
      <c r="C1583" s="67">
        <v>0</v>
      </c>
      <c r="D1583" s="67">
        <v>0</v>
      </c>
      <c r="E1583" s="67">
        <v>83900.41</v>
      </c>
      <c r="F1583" s="67">
        <v>25250</v>
      </c>
      <c r="H1583" s="68">
        <v>40764</v>
      </c>
      <c r="I1583" s="67" t="s">
        <v>148</v>
      </c>
    </row>
    <row r="1584" spans="1:9" x14ac:dyDescent="0.25">
      <c r="B1584" s="67" t="s">
        <v>4366</v>
      </c>
      <c r="C1584" s="67">
        <v>0</v>
      </c>
      <c r="D1584" s="67">
        <v>0</v>
      </c>
      <c r="E1584" s="67">
        <v>83900.45</v>
      </c>
      <c r="H1584" s="67" t="s">
        <v>146</v>
      </c>
    </row>
    <row r="1586" spans="1:9" x14ac:dyDescent="0.25">
      <c r="A1586" s="67" t="s">
        <v>4365</v>
      </c>
      <c r="B1586" s="67" t="s">
        <v>4364</v>
      </c>
      <c r="C1586" s="67">
        <v>0</v>
      </c>
      <c r="D1586" s="67">
        <v>0</v>
      </c>
      <c r="E1586" s="67">
        <v>83900.41</v>
      </c>
      <c r="F1586" s="67">
        <v>25250</v>
      </c>
      <c r="H1586" s="68">
        <v>40764</v>
      </c>
      <c r="I1586" s="67" t="s">
        <v>148</v>
      </c>
    </row>
    <row r="1587" spans="1:9" x14ac:dyDescent="0.25">
      <c r="B1587" s="67" t="s">
        <v>4364</v>
      </c>
      <c r="C1587" s="67">
        <v>0</v>
      </c>
      <c r="D1587" s="67">
        <v>0</v>
      </c>
      <c r="E1587" s="67">
        <v>83900.45</v>
      </c>
      <c r="H1587" s="67" t="s">
        <v>146</v>
      </c>
    </row>
    <row r="1589" spans="1:9" x14ac:dyDescent="0.25">
      <c r="A1589" s="67" t="s">
        <v>4363</v>
      </c>
      <c r="B1589" s="67" t="s">
        <v>4362</v>
      </c>
      <c r="C1589" s="67">
        <v>0</v>
      </c>
      <c r="D1589" s="67">
        <v>0</v>
      </c>
      <c r="E1589" s="67">
        <v>83900.41</v>
      </c>
      <c r="F1589" s="67">
        <v>25250</v>
      </c>
      <c r="H1589" s="68">
        <v>40764</v>
      </c>
      <c r="I1589" s="67" t="s">
        <v>148</v>
      </c>
    </row>
    <row r="1590" spans="1:9" x14ac:dyDescent="0.25">
      <c r="B1590" s="67" t="s">
        <v>4362</v>
      </c>
      <c r="C1590" s="67">
        <v>0</v>
      </c>
      <c r="D1590" s="67">
        <v>0</v>
      </c>
      <c r="E1590" s="67">
        <v>83900.45</v>
      </c>
      <c r="H1590" s="67" t="s">
        <v>146</v>
      </c>
    </row>
    <row r="1592" spans="1:9" x14ac:dyDescent="0.25">
      <c r="A1592" s="67" t="s">
        <v>4361</v>
      </c>
      <c r="B1592" s="67" t="s">
        <v>4360</v>
      </c>
      <c r="C1592" s="67">
        <v>0</v>
      </c>
      <c r="D1592" s="67">
        <v>0</v>
      </c>
      <c r="E1592" s="67">
        <v>83900.41</v>
      </c>
      <c r="F1592" s="67">
        <v>25250</v>
      </c>
      <c r="H1592" s="68">
        <v>40764</v>
      </c>
      <c r="I1592" s="67" t="s">
        <v>148</v>
      </c>
    </row>
    <row r="1593" spans="1:9" x14ac:dyDescent="0.25">
      <c r="B1593" s="67" t="s">
        <v>4360</v>
      </c>
      <c r="C1593" s="67">
        <v>0</v>
      </c>
      <c r="D1593" s="67">
        <v>0</v>
      </c>
      <c r="E1593" s="67">
        <v>83900.45</v>
      </c>
      <c r="H1593" s="67" t="s">
        <v>146</v>
      </c>
    </row>
    <row r="1595" spans="1:9" x14ac:dyDescent="0.25">
      <c r="A1595" s="67" t="s">
        <v>4359</v>
      </c>
      <c r="B1595" s="67" t="s">
        <v>4358</v>
      </c>
      <c r="C1595" s="67">
        <v>0</v>
      </c>
      <c r="D1595" s="67">
        <v>0</v>
      </c>
      <c r="E1595" s="67">
        <v>83900.41</v>
      </c>
      <c r="F1595" s="67">
        <v>25250</v>
      </c>
      <c r="H1595" s="68">
        <v>40764</v>
      </c>
      <c r="I1595" s="67" t="s">
        <v>148</v>
      </c>
    </row>
    <row r="1596" spans="1:9" x14ac:dyDescent="0.25">
      <c r="B1596" s="67" t="s">
        <v>4358</v>
      </c>
      <c r="C1596" s="67">
        <v>0</v>
      </c>
      <c r="D1596" s="67">
        <v>0</v>
      </c>
      <c r="E1596" s="67">
        <v>83900.45</v>
      </c>
      <c r="H1596" s="67" t="s">
        <v>146</v>
      </c>
    </row>
    <row r="1598" spans="1:9" x14ac:dyDescent="0.25">
      <c r="A1598" s="67" t="s">
        <v>4357</v>
      </c>
      <c r="B1598" s="67" t="s">
        <v>4356</v>
      </c>
      <c r="C1598" s="67">
        <v>0</v>
      </c>
      <c r="D1598" s="67">
        <v>0</v>
      </c>
      <c r="E1598" s="67">
        <v>83900.41</v>
      </c>
      <c r="F1598" s="67">
        <v>25250</v>
      </c>
      <c r="H1598" s="68">
        <v>40764</v>
      </c>
      <c r="I1598" s="67" t="s">
        <v>148</v>
      </c>
    </row>
    <row r="1599" spans="1:9" x14ac:dyDescent="0.25">
      <c r="B1599" s="67" t="s">
        <v>4356</v>
      </c>
      <c r="C1599" s="67">
        <v>0</v>
      </c>
      <c r="D1599" s="67">
        <v>0</v>
      </c>
      <c r="E1599" s="67">
        <v>83900.45</v>
      </c>
      <c r="H1599" s="67" t="s">
        <v>146</v>
      </c>
    </row>
    <row r="1601" spans="1:9" x14ac:dyDescent="0.25">
      <c r="A1601" s="67" t="s">
        <v>4355</v>
      </c>
      <c r="B1601" s="67" t="s">
        <v>4354</v>
      </c>
      <c r="C1601" s="67">
        <v>0</v>
      </c>
      <c r="D1601" s="67">
        <v>0</v>
      </c>
      <c r="E1601" s="67">
        <v>83900.41</v>
      </c>
      <c r="F1601" s="67">
        <v>25250</v>
      </c>
      <c r="H1601" s="68">
        <v>40764</v>
      </c>
      <c r="I1601" s="67" t="s">
        <v>148</v>
      </c>
    </row>
    <row r="1602" spans="1:9" x14ac:dyDescent="0.25">
      <c r="B1602" s="67" t="s">
        <v>4354</v>
      </c>
      <c r="C1602" s="67">
        <v>0</v>
      </c>
      <c r="D1602" s="67">
        <v>0</v>
      </c>
      <c r="E1602" s="67">
        <v>83900.45</v>
      </c>
      <c r="H1602" s="67" t="s">
        <v>146</v>
      </c>
    </row>
    <row r="1604" spans="1:9" x14ac:dyDescent="0.25">
      <c r="A1604" s="67" t="s">
        <v>4353</v>
      </c>
      <c r="B1604" s="67" t="s">
        <v>4352</v>
      </c>
      <c r="C1604" s="67">
        <v>0</v>
      </c>
      <c r="D1604" s="67">
        <v>0</v>
      </c>
      <c r="E1604" s="67">
        <v>83900.41</v>
      </c>
      <c r="F1604" s="67">
        <v>25250</v>
      </c>
      <c r="H1604" s="68">
        <v>40764</v>
      </c>
      <c r="I1604" s="67" t="s">
        <v>148</v>
      </c>
    </row>
    <row r="1605" spans="1:9" x14ac:dyDescent="0.25">
      <c r="B1605" s="67" t="s">
        <v>4352</v>
      </c>
      <c r="C1605" s="67">
        <v>0</v>
      </c>
      <c r="D1605" s="67">
        <v>0</v>
      </c>
      <c r="E1605" s="67">
        <v>83900.45</v>
      </c>
      <c r="H1605" s="67" t="s">
        <v>146</v>
      </c>
    </row>
    <row r="1607" spans="1:9" x14ac:dyDescent="0.25">
      <c r="A1607" s="67" t="s">
        <v>4351</v>
      </c>
      <c r="B1607" s="67" t="s">
        <v>4350</v>
      </c>
      <c r="C1607" s="67">
        <v>0</v>
      </c>
      <c r="D1607" s="67">
        <v>0</v>
      </c>
      <c r="E1607" s="67">
        <v>83900.41</v>
      </c>
      <c r="F1607" s="67">
        <v>25250</v>
      </c>
      <c r="H1607" s="68">
        <v>40764</v>
      </c>
      <c r="I1607" s="67" t="s">
        <v>148</v>
      </c>
    </row>
    <row r="1608" spans="1:9" x14ac:dyDescent="0.25">
      <c r="B1608" s="67" t="s">
        <v>4350</v>
      </c>
      <c r="C1608" s="67">
        <v>0</v>
      </c>
      <c r="D1608" s="67">
        <v>0</v>
      </c>
      <c r="E1608" s="67">
        <v>83900.45</v>
      </c>
      <c r="H1608" s="67" t="s">
        <v>146</v>
      </c>
    </row>
    <row r="1610" spans="1:9" x14ac:dyDescent="0.25">
      <c r="A1610" s="67" t="s">
        <v>4349</v>
      </c>
      <c r="B1610" s="67" t="s">
        <v>4348</v>
      </c>
      <c r="C1610" s="67">
        <v>0</v>
      </c>
      <c r="D1610" s="67">
        <v>0</v>
      </c>
      <c r="E1610" s="67">
        <v>83900.41</v>
      </c>
      <c r="F1610" s="67">
        <v>25250</v>
      </c>
      <c r="H1610" s="68">
        <v>40764</v>
      </c>
      <c r="I1610" s="67" t="s">
        <v>148</v>
      </c>
    </row>
    <row r="1611" spans="1:9" x14ac:dyDescent="0.25">
      <c r="B1611" s="67" t="s">
        <v>4348</v>
      </c>
      <c r="C1611" s="67">
        <v>0</v>
      </c>
      <c r="D1611" s="67">
        <v>0</v>
      </c>
      <c r="E1611" s="67">
        <v>83900.45</v>
      </c>
      <c r="H1611" s="67" t="s">
        <v>146</v>
      </c>
    </row>
    <row r="1612" spans="1:9" x14ac:dyDescent="0.25">
      <c r="A1612" s="67" t="s">
        <v>233</v>
      </c>
    </row>
    <row r="1614" spans="1:9" x14ac:dyDescent="0.25">
      <c r="A1614" s="67" t="s">
        <v>232</v>
      </c>
      <c r="D1614" s="67" t="s">
        <v>231</v>
      </c>
      <c r="H1614" s="67" t="s">
        <v>148</v>
      </c>
      <c r="I1614" s="67" t="s">
        <v>230</v>
      </c>
    </row>
    <row r="1615" spans="1:9" x14ac:dyDescent="0.25">
      <c r="A1615" s="67">
        <v>41.1</v>
      </c>
      <c r="C1615" s="67" t="s">
        <v>215</v>
      </c>
      <c r="D1615" s="67" t="s">
        <v>229</v>
      </c>
      <c r="H1615" s="70">
        <v>44771</v>
      </c>
      <c r="I1615" s="69">
        <v>0.56736111111111109</v>
      </c>
    </row>
    <row r="1616" spans="1:9" x14ac:dyDescent="0.25">
      <c r="A1616" s="67" t="s">
        <v>228</v>
      </c>
      <c r="C1616" s="67" t="s">
        <v>227</v>
      </c>
      <c r="D1616" s="67" t="s">
        <v>226</v>
      </c>
      <c r="E1616" s="67">
        <v>589</v>
      </c>
      <c r="H1616" s="67" t="s">
        <v>225</v>
      </c>
      <c r="I1616" s="67">
        <v>30</v>
      </c>
    </row>
    <row r="1617" spans="1:9" x14ac:dyDescent="0.25">
      <c r="A1617" s="67" t="s">
        <v>884</v>
      </c>
    </row>
    <row r="1618" spans="1:9" x14ac:dyDescent="0.25">
      <c r="A1618" s="67" t="s">
        <v>223</v>
      </c>
      <c r="B1618" s="67" t="s">
        <v>222</v>
      </c>
      <c r="C1618" s="67" t="s">
        <v>221</v>
      </c>
      <c r="D1618" s="67" t="s">
        <v>220</v>
      </c>
      <c r="E1618" s="67" t="s">
        <v>219</v>
      </c>
      <c r="F1618" s="67" t="s">
        <v>217</v>
      </c>
      <c r="G1618" s="67" t="s">
        <v>218</v>
      </c>
      <c r="H1618" s="67" t="s">
        <v>217</v>
      </c>
      <c r="I1618" s="67" t="s">
        <v>216</v>
      </c>
    </row>
    <row r="1619" spans="1:9" x14ac:dyDescent="0.25">
      <c r="A1619" s="67" t="s">
        <v>215</v>
      </c>
      <c r="B1619" s="67" t="s">
        <v>214</v>
      </c>
      <c r="C1619" s="67" t="s">
        <v>213</v>
      </c>
      <c r="D1619" s="67" t="s">
        <v>212</v>
      </c>
      <c r="E1619" s="67" t="s">
        <v>211</v>
      </c>
      <c r="F1619" s="67" t="s">
        <v>210</v>
      </c>
      <c r="G1619" s="67" t="s">
        <v>209</v>
      </c>
      <c r="H1619" s="67" t="s">
        <v>208</v>
      </c>
      <c r="I1619" s="67" t="s">
        <v>207</v>
      </c>
    </row>
    <row r="1620" spans="1:9" x14ac:dyDescent="0.25">
      <c r="A1620" s="67" t="s">
        <v>206</v>
      </c>
      <c r="B1620" s="67" t="s">
        <v>205</v>
      </c>
      <c r="C1620" s="67" t="s">
        <v>204</v>
      </c>
      <c r="D1620" s="67" t="s">
        <v>203</v>
      </c>
      <c r="E1620" s="67" t="s">
        <v>202</v>
      </c>
      <c r="F1620" s="67" t="s">
        <v>201</v>
      </c>
      <c r="G1620" s="67" t="s">
        <v>200</v>
      </c>
      <c r="H1620" s="67" t="s">
        <v>199</v>
      </c>
    </row>
    <row r="1621" spans="1:9" x14ac:dyDescent="0.25">
      <c r="A1621" s="67" t="s">
        <v>4347</v>
      </c>
      <c r="B1621" s="67" t="s">
        <v>4346</v>
      </c>
      <c r="C1621" s="67">
        <v>0</v>
      </c>
      <c r="D1621" s="67">
        <v>0</v>
      </c>
      <c r="E1621" s="67">
        <v>83900.41</v>
      </c>
      <c r="F1621" s="67">
        <v>25250</v>
      </c>
      <c r="H1621" s="68">
        <v>40764</v>
      </c>
      <c r="I1621" s="67" t="s">
        <v>148</v>
      </c>
    </row>
    <row r="1622" spans="1:9" x14ac:dyDescent="0.25">
      <c r="B1622" s="67" t="s">
        <v>4346</v>
      </c>
      <c r="C1622" s="67">
        <v>0</v>
      </c>
      <c r="D1622" s="67">
        <v>0</v>
      </c>
      <c r="E1622" s="67">
        <v>83900.45</v>
      </c>
      <c r="H1622" s="67" t="s">
        <v>146</v>
      </c>
    </row>
    <row r="1624" spans="1:9" x14ac:dyDescent="0.25">
      <c r="A1624" s="67" t="s">
        <v>4345</v>
      </c>
      <c r="B1624" s="67" t="s">
        <v>4344</v>
      </c>
      <c r="C1624" s="67">
        <v>0</v>
      </c>
      <c r="D1624" s="67">
        <v>0</v>
      </c>
      <c r="E1624" s="67">
        <v>83900.41</v>
      </c>
      <c r="F1624" s="67">
        <v>25250</v>
      </c>
      <c r="H1624" s="68">
        <v>40764</v>
      </c>
      <c r="I1624" s="67" t="s">
        <v>148</v>
      </c>
    </row>
    <row r="1625" spans="1:9" x14ac:dyDescent="0.25">
      <c r="B1625" s="67" t="s">
        <v>4344</v>
      </c>
      <c r="C1625" s="67">
        <v>0</v>
      </c>
      <c r="D1625" s="67">
        <v>0</v>
      </c>
      <c r="E1625" s="67">
        <v>83900.45</v>
      </c>
      <c r="H1625" s="67" t="s">
        <v>146</v>
      </c>
    </row>
    <row r="1627" spans="1:9" x14ac:dyDescent="0.25">
      <c r="A1627" s="67" t="s">
        <v>4343</v>
      </c>
      <c r="B1627" s="67" t="s">
        <v>4342</v>
      </c>
      <c r="C1627" s="67">
        <v>0</v>
      </c>
      <c r="D1627" s="67">
        <v>0</v>
      </c>
      <c r="E1627" s="67">
        <v>83900.41</v>
      </c>
      <c r="F1627" s="67">
        <v>25250</v>
      </c>
      <c r="H1627" s="68">
        <v>40764</v>
      </c>
      <c r="I1627" s="67" t="s">
        <v>148</v>
      </c>
    </row>
    <row r="1628" spans="1:9" x14ac:dyDescent="0.25">
      <c r="B1628" s="67" t="s">
        <v>4342</v>
      </c>
      <c r="C1628" s="67">
        <v>0</v>
      </c>
      <c r="D1628" s="67">
        <v>0</v>
      </c>
      <c r="E1628" s="67">
        <v>83900.45</v>
      </c>
      <c r="H1628" s="67" t="s">
        <v>146</v>
      </c>
    </row>
    <row r="1630" spans="1:9" x14ac:dyDescent="0.25">
      <c r="A1630" s="67" t="s">
        <v>4341</v>
      </c>
      <c r="B1630" s="67" t="s">
        <v>4340</v>
      </c>
      <c r="C1630" s="67">
        <v>0</v>
      </c>
      <c r="D1630" s="67">
        <v>0</v>
      </c>
      <c r="E1630" s="67">
        <v>83900.41</v>
      </c>
      <c r="F1630" s="67">
        <v>25250</v>
      </c>
      <c r="H1630" s="68">
        <v>40764</v>
      </c>
      <c r="I1630" s="67" t="s">
        <v>148</v>
      </c>
    </row>
    <row r="1631" spans="1:9" x14ac:dyDescent="0.25">
      <c r="B1631" s="67" t="s">
        <v>4340</v>
      </c>
      <c r="C1631" s="67">
        <v>0</v>
      </c>
      <c r="D1631" s="67">
        <v>0</v>
      </c>
      <c r="E1631" s="67">
        <v>83900.45</v>
      </c>
      <c r="H1631" s="67" t="s">
        <v>146</v>
      </c>
    </row>
    <row r="1633" spans="1:9" x14ac:dyDescent="0.25">
      <c r="A1633" s="67" t="s">
        <v>4339</v>
      </c>
      <c r="B1633" s="67" t="s">
        <v>4338</v>
      </c>
      <c r="C1633" s="67">
        <v>0</v>
      </c>
      <c r="D1633" s="67">
        <v>0</v>
      </c>
      <c r="E1633" s="67">
        <v>83900.41</v>
      </c>
      <c r="F1633" s="67">
        <v>25250</v>
      </c>
      <c r="H1633" s="68">
        <v>40764</v>
      </c>
      <c r="I1633" s="67" t="s">
        <v>148</v>
      </c>
    </row>
    <row r="1634" spans="1:9" x14ac:dyDescent="0.25">
      <c r="B1634" s="67" t="s">
        <v>4338</v>
      </c>
      <c r="C1634" s="67">
        <v>0</v>
      </c>
      <c r="D1634" s="67">
        <v>0</v>
      </c>
      <c r="E1634" s="67">
        <v>83900.45</v>
      </c>
      <c r="H1634" s="67" t="s">
        <v>146</v>
      </c>
    </row>
    <row r="1636" spans="1:9" x14ac:dyDescent="0.25">
      <c r="A1636" s="67" t="s">
        <v>4337</v>
      </c>
      <c r="B1636" s="67" t="s">
        <v>4336</v>
      </c>
      <c r="C1636" s="67">
        <v>0</v>
      </c>
      <c r="D1636" s="67">
        <v>0</v>
      </c>
      <c r="E1636" s="67">
        <v>83900.41</v>
      </c>
      <c r="F1636" s="67">
        <v>25250</v>
      </c>
      <c r="H1636" s="68">
        <v>40764</v>
      </c>
      <c r="I1636" s="67" t="s">
        <v>148</v>
      </c>
    </row>
    <row r="1637" spans="1:9" x14ac:dyDescent="0.25">
      <c r="B1637" s="67" t="s">
        <v>4336</v>
      </c>
      <c r="C1637" s="67">
        <v>0</v>
      </c>
      <c r="D1637" s="67">
        <v>0</v>
      </c>
      <c r="E1637" s="67">
        <v>83900.45</v>
      </c>
      <c r="H1637" s="67" t="s">
        <v>146</v>
      </c>
    </row>
    <row r="1639" spans="1:9" x14ac:dyDescent="0.25">
      <c r="A1639" s="67" t="s">
        <v>4335</v>
      </c>
      <c r="B1639" s="67" t="s">
        <v>4334</v>
      </c>
      <c r="C1639" s="67">
        <v>0</v>
      </c>
      <c r="D1639" s="67">
        <v>0</v>
      </c>
      <c r="E1639" s="67">
        <v>83900.41</v>
      </c>
      <c r="F1639" s="67">
        <v>25250</v>
      </c>
      <c r="H1639" s="68">
        <v>40764</v>
      </c>
      <c r="I1639" s="67" t="s">
        <v>148</v>
      </c>
    </row>
    <row r="1640" spans="1:9" x14ac:dyDescent="0.25">
      <c r="B1640" s="67" t="s">
        <v>4334</v>
      </c>
      <c r="C1640" s="67">
        <v>0</v>
      </c>
      <c r="D1640" s="67">
        <v>0</v>
      </c>
      <c r="E1640" s="67">
        <v>83900.45</v>
      </c>
      <c r="H1640" s="67" t="s">
        <v>146</v>
      </c>
    </row>
    <row r="1642" spans="1:9" x14ac:dyDescent="0.25">
      <c r="A1642" s="67" t="s">
        <v>4333</v>
      </c>
      <c r="B1642" s="67" t="s">
        <v>4332</v>
      </c>
      <c r="C1642" s="67">
        <v>0</v>
      </c>
      <c r="D1642" s="67">
        <v>0</v>
      </c>
      <c r="E1642" s="67">
        <v>83900.41</v>
      </c>
      <c r="F1642" s="67">
        <v>25250</v>
      </c>
      <c r="H1642" s="68">
        <v>40764</v>
      </c>
      <c r="I1642" s="67" t="s">
        <v>148</v>
      </c>
    </row>
    <row r="1643" spans="1:9" x14ac:dyDescent="0.25">
      <c r="B1643" s="67" t="s">
        <v>4332</v>
      </c>
      <c r="C1643" s="67">
        <v>0</v>
      </c>
      <c r="D1643" s="67">
        <v>0</v>
      </c>
      <c r="E1643" s="67">
        <v>83900.45</v>
      </c>
      <c r="H1643" s="67" t="s">
        <v>146</v>
      </c>
    </row>
    <row r="1645" spans="1:9" x14ac:dyDescent="0.25">
      <c r="A1645" s="67" t="s">
        <v>4331</v>
      </c>
      <c r="B1645" s="67" t="s">
        <v>4330</v>
      </c>
      <c r="C1645" s="67">
        <v>0</v>
      </c>
      <c r="D1645" s="67">
        <v>0</v>
      </c>
      <c r="E1645" s="67">
        <v>83900.41</v>
      </c>
      <c r="F1645" s="67">
        <v>25250</v>
      </c>
      <c r="H1645" s="68">
        <v>40764</v>
      </c>
      <c r="I1645" s="67" t="s">
        <v>148</v>
      </c>
    </row>
    <row r="1646" spans="1:9" x14ac:dyDescent="0.25">
      <c r="B1646" s="67" t="s">
        <v>4330</v>
      </c>
      <c r="C1646" s="67">
        <v>0</v>
      </c>
      <c r="D1646" s="67">
        <v>0</v>
      </c>
      <c r="E1646" s="67">
        <v>83900.45</v>
      </c>
      <c r="H1646" s="67" t="s">
        <v>146</v>
      </c>
    </row>
    <row r="1648" spans="1:9" x14ac:dyDescent="0.25">
      <c r="A1648" s="67" t="s">
        <v>4329</v>
      </c>
      <c r="B1648" s="67" t="s">
        <v>4328</v>
      </c>
      <c r="C1648" s="67">
        <v>0</v>
      </c>
      <c r="D1648" s="67">
        <v>0</v>
      </c>
      <c r="E1648" s="67">
        <v>83900.41</v>
      </c>
      <c r="F1648" s="67">
        <v>25250</v>
      </c>
      <c r="H1648" s="68">
        <v>40764</v>
      </c>
      <c r="I1648" s="67" t="s">
        <v>148</v>
      </c>
    </row>
    <row r="1649" spans="1:9" x14ac:dyDescent="0.25">
      <c r="B1649" s="67" t="s">
        <v>4328</v>
      </c>
      <c r="C1649" s="67">
        <v>0</v>
      </c>
      <c r="D1649" s="67">
        <v>0</v>
      </c>
      <c r="E1649" s="67">
        <v>83900.45</v>
      </c>
      <c r="H1649" s="67" t="s">
        <v>146</v>
      </c>
    </row>
    <row r="1651" spans="1:9" x14ac:dyDescent="0.25">
      <c r="A1651" s="67" t="s">
        <v>4327</v>
      </c>
      <c r="B1651" s="67" t="s">
        <v>4326</v>
      </c>
      <c r="C1651" s="67">
        <v>0</v>
      </c>
      <c r="D1651" s="67">
        <v>0</v>
      </c>
      <c r="E1651" s="67">
        <v>83900.41</v>
      </c>
      <c r="F1651" s="67">
        <v>25250</v>
      </c>
      <c r="H1651" s="68">
        <v>40764</v>
      </c>
      <c r="I1651" s="67" t="s">
        <v>148</v>
      </c>
    </row>
    <row r="1652" spans="1:9" x14ac:dyDescent="0.25">
      <c r="B1652" s="67" t="s">
        <v>4326</v>
      </c>
      <c r="C1652" s="67">
        <v>0</v>
      </c>
      <c r="D1652" s="67">
        <v>0</v>
      </c>
      <c r="E1652" s="67">
        <v>83900.45</v>
      </c>
      <c r="H1652" s="67" t="s">
        <v>146</v>
      </c>
    </row>
    <row r="1654" spans="1:9" x14ac:dyDescent="0.25">
      <c r="A1654" s="67" t="s">
        <v>4325</v>
      </c>
      <c r="B1654" s="67" t="s">
        <v>4324</v>
      </c>
      <c r="C1654" s="67">
        <v>0</v>
      </c>
      <c r="D1654" s="67">
        <v>0</v>
      </c>
      <c r="E1654" s="67">
        <v>83900.41</v>
      </c>
      <c r="F1654" s="67">
        <v>25250</v>
      </c>
      <c r="H1654" s="68">
        <v>40764</v>
      </c>
      <c r="I1654" s="67" t="s">
        <v>148</v>
      </c>
    </row>
    <row r="1655" spans="1:9" x14ac:dyDescent="0.25">
      <c r="B1655" s="67" t="s">
        <v>4324</v>
      </c>
      <c r="C1655" s="67">
        <v>0</v>
      </c>
      <c r="D1655" s="67">
        <v>0</v>
      </c>
      <c r="E1655" s="67">
        <v>83900.45</v>
      </c>
      <c r="H1655" s="67" t="s">
        <v>146</v>
      </c>
    </row>
    <row r="1657" spans="1:9" x14ac:dyDescent="0.25">
      <c r="A1657" s="67" t="s">
        <v>4323</v>
      </c>
      <c r="B1657" s="67" t="s">
        <v>4322</v>
      </c>
      <c r="C1657" s="67">
        <v>0</v>
      </c>
      <c r="D1657" s="67">
        <v>0</v>
      </c>
      <c r="E1657" s="67">
        <v>83900.41</v>
      </c>
      <c r="F1657" s="67">
        <v>25250</v>
      </c>
      <c r="H1657" s="68">
        <v>40764</v>
      </c>
      <c r="I1657" s="67" t="s">
        <v>148</v>
      </c>
    </row>
    <row r="1658" spans="1:9" x14ac:dyDescent="0.25">
      <c r="B1658" s="67" t="s">
        <v>4322</v>
      </c>
      <c r="C1658" s="67">
        <v>0</v>
      </c>
      <c r="D1658" s="67">
        <v>0</v>
      </c>
      <c r="E1658" s="67">
        <v>83900.45</v>
      </c>
      <c r="H1658" s="67" t="s">
        <v>146</v>
      </c>
    </row>
    <row r="1660" spans="1:9" x14ac:dyDescent="0.25">
      <c r="A1660" s="67" t="s">
        <v>4321</v>
      </c>
      <c r="B1660" s="67" t="s">
        <v>4320</v>
      </c>
      <c r="C1660" s="67">
        <v>0</v>
      </c>
      <c r="D1660" s="67">
        <v>0</v>
      </c>
      <c r="E1660" s="67">
        <v>83900.41</v>
      </c>
      <c r="F1660" s="67">
        <v>25250</v>
      </c>
      <c r="H1660" s="68">
        <v>40764</v>
      </c>
      <c r="I1660" s="67" t="s">
        <v>148</v>
      </c>
    </row>
    <row r="1661" spans="1:9" x14ac:dyDescent="0.25">
      <c r="B1661" s="67" t="s">
        <v>4320</v>
      </c>
      <c r="C1661" s="67">
        <v>0</v>
      </c>
      <c r="D1661" s="67">
        <v>0</v>
      </c>
      <c r="E1661" s="67">
        <v>83900.45</v>
      </c>
      <c r="H1661" s="67" t="s">
        <v>146</v>
      </c>
    </row>
    <row r="1663" spans="1:9" x14ac:dyDescent="0.25">
      <c r="A1663" s="67" t="s">
        <v>4319</v>
      </c>
      <c r="B1663" s="67" t="s">
        <v>4318</v>
      </c>
      <c r="C1663" s="67">
        <v>0</v>
      </c>
      <c r="D1663" s="67">
        <v>0</v>
      </c>
      <c r="E1663" s="67">
        <v>83900.41</v>
      </c>
      <c r="F1663" s="67">
        <v>25250</v>
      </c>
      <c r="H1663" s="68">
        <v>40764</v>
      </c>
      <c r="I1663" s="67" t="s">
        <v>148</v>
      </c>
    </row>
    <row r="1664" spans="1:9" x14ac:dyDescent="0.25">
      <c r="B1664" s="67" t="s">
        <v>4318</v>
      </c>
      <c r="C1664" s="67">
        <v>0</v>
      </c>
      <c r="D1664" s="67">
        <v>0</v>
      </c>
      <c r="E1664" s="67">
        <v>83900.45</v>
      </c>
      <c r="H1664" s="67" t="s">
        <v>146</v>
      </c>
    </row>
    <row r="1666" spans="1:9" x14ac:dyDescent="0.25">
      <c r="A1666" s="67" t="s">
        <v>4317</v>
      </c>
      <c r="B1666" s="67" t="s">
        <v>4316</v>
      </c>
      <c r="C1666" s="67">
        <v>0</v>
      </c>
      <c r="D1666" s="67">
        <v>0</v>
      </c>
      <c r="E1666" s="67">
        <v>83900.41</v>
      </c>
      <c r="F1666" s="67">
        <v>25250</v>
      </c>
      <c r="H1666" s="68">
        <v>40764</v>
      </c>
      <c r="I1666" s="67" t="s">
        <v>148</v>
      </c>
    </row>
    <row r="1667" spans="1:9" x14ac:dyDescent="0.25">
      <c r="B1667" s="67" t="s">
        <v>4316</v>
      </c>
      <c r="C1667" s="67">
        <v>0</v>
      </c>
      <c r="D1667" s="67">
        <v>0</v>
      </c>
      <c r="E1667" s="67">
        <v>83900.45</v>
      </c>
      <c r="H1667" s="67" t="s">
        <v>146</v>
      </c>
    </row>
    <row r="1669" spans="1:9" x14ac:dyDescent="0.25">
      <c r="A1669" s="67" t="s">
        <v>4315</v>
      </c>
      <c r="B1669" s="67" t="s">
        <v>4314</v>
      </c>
      <c r="C1669" s="67">
        <v>0</v>
      </c>
      <c r="D1669" s="67">
        <v>0</v>
      </c>
      <c r="E1669" s="67">
        <v>83900.41</v>
      </c>
      <c r="F1669" s="67">
        <v>25250</v>
      </c>
      <c r="H1669" s="68">
        <v>40764</v>
      </c>
      <c r="I1669" s="67" t="s">
        <v>148</v>
      </c>
    </row>
    <row r="1670" spans="1:9" x14ac:dyDescent="0.25">
      <c r="B1670" s="67" t="s">
        <v>4314</v>
      </c>
      <c r="C1670" s="67">
        <v>0</v>
      </c>
      <c r="D1670" s="67">
        <v>0</v>
      </c>
      <c r="E1670" s="67">
        <v>83900.45</v>
      </c>
      <c r="H1670" s="67" t="s">
        <v>146</v>
      </c>
    </row>
    <row r="1671" spans="1:9" x14ac:dyDescent="0.25">
      <c r="A1671" s="67" t="s">
        <v>233</v>
      </c>
    </row>
    <row r="1673" spans="1:9" x14ac:dyDescent="0.25">
      <c r="A1673" s="67" t="s">
        <v>232</v>
      </c>
      <c r="D1673" s="67" t="s">
        <v>231</v>
      </c>
      <c r="H1673" s="67" t="s">
        <v>148</v>
      </c>
      <c r="I1673" s="67" t="s">
        <v>230</v>
      </c>
    </row>
    <row r="1674" spans="1:9" x14ac:dyDescent="0.25">
      <c r="A1674" s="67">
        <v>41.1</v>
      </c>
      <c r="C1674" s="67" t="s">
        <v>215</v>
      </c>
      <c r="D1674" s="67" t="s">
        <v>229</v>
      </c>
      <c r="H1674" s="70">
        <v>44771</v>
      </c>
      <c r="I1674" s="69">
        <v>0.56736111111111109</v>
      </c>
    </row>
    <row r="1675" spans="1:9" x14ac:dyDescent="0.25">
      <c r="A1675" s="67" t="s">
        <v>228</v>
      </c>
      <c r="C1675" s="67" t="s">
        <v>227</v>
      </c>
      <c r="D1675" s="67" t="s">
        <v>226</v>
      </c>
      <c r="E1675" s="67">
        <v>589</v>
      </c>
      <c r="H1675" s="67" t="s">
        <v>225</v>
      </c>
      <c r="I1675" s="67">
        <v>31</v>
      </c>
    </row>
    <row r="1676" spans="1:9" x14ac:dyDescent="0.25">
      <c r="A1676" s="67" t="s">
        <v>884</v>
      </c>
    </row>
    <row r="1677" spans="1:9" x14ac:dyDescent="0.25">
      <c r="A1677" s="67" t="s">
        <v>223</v>
      </c>
      <c r="B1677" s="67" t="s">
        <v>222</v>
      </c>
      <c r="C1677" s="67" t="s">
        <v>221</v>
      </c>
      <c r="D1677" s="67" t="s">
        <v>220</v>
      </c>
      <c r="E1677" s="67" t="s">
        <v>219</v>
      </c>
      <c r="F1677" s="67" t="s">
        <v>217</v>
      </c>
      <c r="G1677" s="67" t="s">
        <v>218</v>
      </c>
      <c r="H1677" s="67" t="s">
        <v>217</v>
      </c>
      <c r="I1677" s="67" t="s">
        <v>216</v>
      </c>
    </row>
    <row r="1678" spans="1:9" x14ac:dyDescent="0.25">
      <c r="A1678" s="67" t="s">
        <v>215</v>
      </c>
      <c r="B1678" s="67" t="s">
        <v>214</v>
      </c>
      <c r="C1678" s="67" t="s">
        <v>213</v>
      </c>
      <c r="D1678" s="67" t="s">
        <v>212</v>
      </c>
      <c r="E1678" s="67" t="s">
        <v>211</v>
      </c>
      <c r="F1678" s="67" t="s">
        <v>210</v>
      </c>
      <c r="G1678" s="67" t="s">
        <v>209</v>
      </c>
      <c r="H1678" s="67" t="s">
        <v>208</v>
      </c>
      <c r="I1678" s="67" t="s">
        <v>207</v>
      </c>
    </row>
    <row r="1679" spans="1:9" x14ac:dyDescent="0.25">
      <c r="A1679" s="67" t="s">
        <v>206</v>
      </c>
      <c r="B1679" s="67" t="s">
        <v>205</v>
      </c>
      <c r="C1679" s="67" t="s">
        <v>204</v>
      </c>
      <c r="D1679" s="67" t="s">
        <v>203</v>
      </c>
      <c r="E1679" s="67" t="s">
        <v>202</v>
      </c>
      <c r="F1679" s="67" t="s">
        <v>201</v>
      </c>
      <c r="G1679" s="67" t="s">
        <v>200</v>
      </c>
      <c r="H1679" s="67" t="s">
        <v>199</v>
      </c>
    </row>
    <row r="1680" spans="1:9" x14ac:dyDescent="0.25">
      <c r="A1680" s="67" t="s">
        <v>4313</v>
      </c>
      <c r="B1680" s="67" t="s">
        <v>4312</v>
      </c>
      <c r="C1680" s="67">
        <v>0</v>
      </c>
      <c r="D1680" s="67">
        <v>0</v>
      </c>
      <c r="E1680" s="67">
        <v>83900.41</v>
      </c>
      <c r="F1680" s="67">
        <v>25250</v>
      </c>
      <c r="H1680" s="68">
        <v>40764</v>
      </c>
      <c r="I1680" s="67" t="s">
        <v>148</v>
      </c>
    </row>
    <row r="1681" spans="1:9" x14ac:dyDescent="0.25">
      <c r="B1681" s="67" t="s">
        <v>4312</v>
      </c>
      <c r="C1681" s="67">
        <v>0</v>
      </c>
      <c r="D1681" s="67">
        <v>0</v>
      </c>
      <c r="E1681" s="67">
        <v>83900.45</v>
      </c>
      <c r="H1681" s="67" t="s">
        <v>146</v>
      </c>
    </row>
    <row r="1683" spans="1:9" x14ac:dyDescent="0.25">
      <c r="A1683" s="67" t="s">
        <v>4311</v>
      </c>
      <c r="B1683" s="67" t="s">
        <v>4310</v>
      </c>
      <c r="C1683" s="67">
        <v>0</v>
      </c>
      <c r="D1683" s="67">
        <v>0</v>
      </c>
      <c r="E1683" s="67">
        <v>83900.41</v>
      </c>
      <c r="F1683" s="67">
        <v>25250</v>
      </c>
      <c r="H1683" s="68">
        <v>40764</v>
      </c>
      <c r="I1683" s="67" t="s">
        <v>148</v>
      </c>
    </row>
    <row r="1684" spans="1:9" x14ac:dyDescent="0.25">
      <c r="B1684" s="67" t="s">
        <v>4310</v>
      </c>
      <c r="C1684" s="67">
        <v>0</v>
      </c>
      <c r="D1684" s="67">
        <v>0</v>
      </c>
      <c r="E1684" s="67">
        <v>83900.45</v>
      </c>
      <c r="H1684" s="67" t="s">
        <v>146</v>
      </c>
    </row>
    <row r="1686" spans="1:9" x14ac:dyDescent="0.25">
      <c r="A1686" s="67" t="s">
        <v>4309</v>
      </c>
      <c r="B1686" s="67" t="s">
        <v>4308</v>
      </c>
      <c r="C1686" s="67">
        <v>0</v>
      </c>
      <c r="D1686" s="67">
        <v>0</v>
      </c>
      <c r="E1686" s="67">
        <v>83900.41</v>
      </c>
      <c r="F1686" s="67">
        <v>25250</v>
      </c>
      <c r="H1686" s="68">
        <v>40764</v>
      </c>
      <c r="I1686" s="67" t="s">
        <v>148</v>
      </c>
    </row>
    <row r="1687" spans="1:9" x14ac:dyDescent="0.25">
      <c r="B1687" s="67" t="s">
        <v>4308</v>
      </c>
      <c r="C1687" s="67">
        <v>0</v>
      </c>
      <c r="D1687" s="67">
        <v>0</v>
      </c>
      <c r="E1687" s="67">
        <v>83900.45</v>
      </c>
      <c r="H1687" s="67" t="s">
        <v>146</v>
      </c>
    </row>
    <row r="1689" spans="1:9" x14ac:dyDescent="0.25">
      <c r="A1689" s="67" t="s">
        <v>4307</v>
      </c>
      <c r="B1689" s="67" t="s">
        <v>4306</v>
      </c>
      <c r="C1689" s="67">
        <v>0</v>
      </c>
      <c r="D1689" s="67">
        <v>0</v>
      </c>
      <c r="E1689" s="67">
        <v>83900.41</v>
      </c>
      <c r="F1689" s="67">
        <v>25250</v>
      </c>
      <c r="H1689" s="68">
        <v>40764</v>
      </c>
      <c r="I1689" s="67" t="s">
        <v>148</v>
      </c>
    </row>
    <row r="1690" spans="1:9" x14ac:dyDescent="0.25">
      <c r="B1690" s="67" t="s">
        <v>4306</v>
      </c>
      <c r="C1690" s="67">
        <v>0</v>
      </c>
      <c r="D1690" s="67">
        <v>0</v>
      </c>
      <c r="E1690" s="67">
        <v>83900.45</v>
      </c>
      <c r="H1690" s="67" t="s">
        <v>146</v>
      </c>
    </row>
    <row r="1692" spans="1:9" x14ac:dyDescent="0.25">
      <c r="A1692" s="67" t="s">
        <v>4305</v>
      </c>
      <c r="B1692" s="67" t="s">
        <v>4304</v>
      </c>
      <c r="C1692" s="67">
        <v>0</v>
      </c>
      <c r="D1692" s="67">
        <v>0</v>
      </c>
      <c r="E1692" s="67">
        <v>83900.41</v>
      </c>
      <c r="F1692" s="67">
        <v>25250</v>
      </c>
      <c r="H1692" s="68">
        <v>40764</v>
      </c>
      <c r="I1692" s="67" t="s">
        <v>148</v>
      </c>
    </row>
    <row r="1693" spans="1:9" x14ac:dyDescent="0.25">
      <c r="B1693" s="67" t="s">
        <v>4304</v>
      </c>
      <c r="C1693" s="67">
        <v>0</v>
      </c>
      <c r="D1693" s="67">
        <v>0</v>
      </c>
      <c r="E1693" s="67">
        <v>83900.45</v>
      </c>
      <c r="H1693" s="67" t="s">
        <v>146</v>
      </c>
    </row>
    <row r="1695" spans="1:9" x14ac:dyDescent="0.25">
      <c r="A1695" s="67" t="s">
        <v>4303</v>
      </c>
      <c r="B1695" s="67" t="s">
        <v>4302</v>
      </c>
      <c r="C1695" s="67">
        <v>0</v>
      </c>
      <c r="D1695" s="67">
        <v>0</v>
      </c>
      <c r="E1695" s="67">
        <v>83900.41</v>
      </c>
      <c r="F1695" s="67">
        <v>25250</v>
      </c>
      <c r="H1695" s="68">
        <v>40764</v>
      </c>
      <c r="I1695" s="67" t="s">
        <v>148</v>
      </c>
    </row>
    <row r="1696" spans="1:9" x14ac:dyDescent="0.25">
      <c r="B1696" s="67" t="s">
        <v>4302</v>
      </c>
      <c r="C1696" s="67">
        <v>0</v>
      </c>
      <c r="D1696" s="67">
        <v>0</v>
      </c>
      <c r="E1696" s="67">
        <v>83900.45</v>
      </c>
      <c r="H1696" s="67" t="s">
        <v>146</v>
      </c>
    </row>
    <row r="1698" spans="1:9" x14ac:dyDescent="0.25">
      <c r="A1698" s="67" t="s">
        <v>4301</v>
      </c>
      <c r="B1698" s="67" t="s">
        <v>4300</v>
      </c>
      <c r="C1698" s="67">
        <v>0</v>
      </c>
      <c r="D1698" s="67">
        <v>0</v>
      </c>
      <c r="E1698" s="67">
        <v>83900.41</v>
      </c>
      <c r="F1698" s="67">
        <v>25250</v>
      </c>
      <c r="H1698" s="68">
        <v>40764</v>
      </c>
      <c r="I1698" s="67" t="s">
        <v>148</v>
      </c>
    </row>
    <row r="1699" spans="1:9" x14ac:dyDescent="0.25">
      <c r="B1699" s="67" t="s">
        <v>4300</v>
      </c>
      <c r="C1699" s="67">
        <v>0</v>
      </c>
      <c r="D1699" s="67">
        <v>0</v>
      </c>
      <c r="E1699" s="67">
        <v>83900.45</v>
      </c>
      <c r="H1699" s="67" t="s">
        <v>146</v>
      </c>
    </row>
    <row r="1701" spans="1:9" x14ac:dyDescent="0.25">
      <c r="A1701" s="67" t="s">
        <v>4299</v>
      </c>
      <c r="B1701" s="67" t="s">
        <v>4298</v>
      </c>
      <c r="C1701" s="67">
        <v>0</v>
      </c>
      <c r="D1701" s="67">
        <v>0</v>
      </c>
      <c r="E1701" s="67">
        <v>83900.41</v>
      </c>
      <c r="F1701" s="67">
        <v>25250</v>
      </c>
      <c r="H1701" s="68">
        <v>40764</v>
      </c>
      <c r="I1701" s="67" t="s">
        <v>148</v>
      </c>
    </row>
    <row r="1702" spans="1:9" x14ac:dyDescent="0.25">
      <c r="B1702" s="67" t="s">
        <v>4298</v>
      </c>
      <c r="C1702" s="67">
        <v>0</v>
      </c>
      <c r="D1702" s="67">
        <v>0</v>
      </c>
      <c r="E1702" s="67">
        <v>83900.45</v>
      </c>
      <c r="H1702" s="67" t="s">
        <v>146</v>
      </c>
    </row>
    <row r="1704" spans="1:9" x14ac:dyDescent="0.25">
      <c r="A1704" s="67" t="s">
        <v>4297</v>
      </c>
      <c r="B1704" s="67" t="s">
        <v>4296</v>
      </c>
      <c r="C1704" s="67">
        <v>0</v>
      </c>
      <c r="D1704" s="67">
        <v>0</v>
      </c>
      <c r="E1704" s="67">
        <v>83900.41</v>
      </c>
      <c r="F1704" s="67">
        <v>25250</v>
      </c>
      <c r="H1704" s="68">
        <v>40764</v>
      </c>
      <c r="I1704" s="67" t="s">
        <v>148</v>
      </c>
    </row>
    <row r="1705" spans="1:9" x14ac:dyDescent="0.25">
      <c r="B1705" s="67" t="s">
        <v>4296</v>
      </c>
      <c r="C1705" s="67">
        <v>0</v>
      </c>
      <c r="D1705" s="67">
        <v>0</v>
      </c>
      <c r="E1705" s="67">
        <v>83900.45</v>
      </c>
      <c r="H1705" s="67" t="s">
        <v>146</v>
      </c>
    </row>
    <row r="1707" spans="1:9" x14ac:dyDescent="0.25">
      <c r="A1707" s="67" t="s">
        <v>4295</v>
      </c>
      <c r="B1707" s="67" t="s">
        <v>4294</v>
      </c>
      <c r="C1707" s="67">
        <v>0</v>
      </c>
      <c r="D1707" s="67">
        <v>0</v>
      </c>
      <c r="E1707" s="67">
        <v>83900.41</v>
      </c>
      <c r="F1707" s="67">
        <v>25250</v>
      </c>
      <c r="H1707" s="68">
        <v>40764</v>
      </c>
      <c r="I1707" s="67" t="s">
        <v>148</v>
      </c>
    </row>
    <row r="1708" spans="1:9" x14ac:dyDescent="0.25">
      <c r="B1708" s="67" t="s">
        <v>4294</v>
      </c>
      <c r="C1708" s="67">
        <v>0</v>
      </c>
      <c r="D1708" s="67">
        <v>0</v>
      </c>
      <c r="E1708" s="67">
        <v>83900.45</v>
      </c>
      <c r="H1708" s="67" t="s">
        <v>146</v>
      </c>
    </row>
    <row r="1710" spans="1:9" x14ac:dyDescent="0.25">
      <c r="A1710" s="67" t="s">
        <v>4293</v>
      </c>
      <c r="B1710" s="67" t="s">
        <v>4292</v>
      </c>
      <c r="C1710" s="67">
        <v>0</v>
      </c>
      <c r="D1710" s="67">
        <v>0</v>
      </c>
      <c r="E1710" s="67">
        <v>83900.41</v>
      </c>
      <c r="F1710" s="67">
        <v>25250</v>
      </c>
      <c r="H1710" s="68">
        <v>40764</v>
      </c>
      <c r="I1710" s="67" t="s">
        <v>148</v>
      </c>
    </row>
    <row r="1711" spans="1:9" x14ac:dyDescent="0.25">
      <c r="B1711" s="67" t="s">
        <v>4292</v>
      </c>
      <c r="C1711" s="67">
        <v>0</v>
      </c>
      <c r="D1711" s="67">
        <v>0</v>
      </c>
      <c r="E1711" s="67">
        <v>83900.45</v>
      </c>
      <c r="H1711" s="67" t="s">
        <v>146</v>
      </c>
    </row>
    <row r="1713" spans="1:9" x14ac:dyDescent="0.25">
      <c r="A1713" s="67" t="s">
        <v>4291</v>
      </c>
      <c r="B1713" s="67" t="s">
        <v>4290</v>
      </c>
      <c r="C1713" s="67">
        <v>0</v>
      </c>
      <c r="D1713" s="67">
        <v>0</v>
      </c>
      <c r="E1713" s="67">
        <v>83900.41</v>
      </c>
      <c r="F1713" s="67">
        <v>25250</v>
      </c>
      <c r="H1713" s="68">
        <v>40764</v>
      </c>
      <c r="I1713" s="67" t="s">
        <v>148</v>
      </c>
    </row>
    <row r="1714" spans="1:9" x14ac:dyDescent="0.25">
      <c r="B1714" s="67" t="s">
        <v>4290</v>
      </c>
      <c r="C1714" s="67">
        <v>0</v>
      </c>
      <c r="D1714" s="67">
        <v>0</v>
      </c>
      <c r="E1714" s="67">
        <v>83900.45</v>
      </c>
      <c r="H1714" s="67" t="s">
        <v>146</v>
      </c>
    </row>
    <row r="1716" spans="1:9" x14ac:dyDescent="0.25">
      <c r="A1716" s="67" t="s">
        <v>4289</v>
      </c>
      <c r="B1716" s="67" t="s">
        <v>4288</v>
      </c>
      <c r="C1716" s="67">
        <v>0</v>
      </c>
      <c r="D1716" s="67">
        <v>0</v>
      </c>
      <c r="E1716" s="67">
        <v>83900.41</v>
      </c>
      <c r="F1716" s="67">
        <v>25250</v>
      </c>
      <c r="H1716" s="68">
        <v>40764</v>
      </c>
      <c r="I1716" s="67" t="s">
        <v>148</v>
      </c>
    </row>
    <row r="1717" spans="1:9" x14ac:dyDescent="0.25">
      <c r="B1717" s="67" t="s">
        <v>4288</v>
      </c>
      <c r="C1717" s="67">
        <v>0</v>
      </c>
      <c r="D1717" s="67">
        <v>0</v>
      </c>
      <c r="E1717" s="67">
        <v>83900.45</v>
      </c>
      <c r="H1717" s="67" t="s">
        <v>146</v>
      </c>
    </row>
    <row r="1719" spans="1:9" x14ac:dyDescent="0.25">
      <c r="A1719" s="67" t="s">
        <v>4287</v>
      </c>
      <c r="B1719" s="67" t="s">
        <v>4286</v>
      </c>
      <c r="C1719" s="67">
        <v>0</v>
      </c>
      <c r="D1719" s="67">
        <v>0</v>
      </c>
      <c r="E1719" s="67">
        <v>83900.41</v>
      </c>
      <c r="F1719" s="67">
        <v>25250</v>
      </c>
      <c r="H1719" s="68">
        <v>40764</v>
      </c>
      <c r="I1719" s="67" t="s">
        <v>148</v>
      </c>
    </row>
    <row r="1720" spans="1:9" x14ac:dyDescent="0.25">
      <c r="B1720" s="67" t="s">
        <v>4286</v>
      </c>
      <c r="C1720" s="67">
        <v>0</v>
      </c>
      <c r="D1720" s="67">
        <v>0</v>
      </c>
      <c r="E1720" s="67">
        <v>83900.45</v>
      </c>
      <c r="H1720" s="67" t="s">
        <v>146</v>
      </c>
    </row>
    <row r="1722" spans="1:9" x14ac:dyDescent="0.25">
      <c r="A1722" s="67" t="s">
        <v>4285</v>
      </c>
      <c r="B1722" s="67" t="s">
        <v>4284</v>
      </c>
      <c r="C1722" s="67">
        <v>0</v>
      </c>
      <c r="D1722" s="67">
        <v>0</v>
      </c>
      <c r="E1722" s="67">
        <v>83900.41</v>
      </c>
      <c r="F1722" s="67">
        <v>25250</v>
      </c>
      <c r="H1722" s="68">
        <v>40764</v>
      </c>
      <c r="I1722" s="67" t="s">
        <v>148</v>
      </c>
    </row>
    <row r="1723" spans="1:9" x14ac:dyDescent="0.25">
      <c r="B1723" s="67" t="s">
        <v>4284</v>
      </c>
      <c r="C1723" s="67">
        <v>0</v>
      </c>
      <c r="D1723" s="67">
        <v>0</v>
      </c>
      <c r="E1723" s="67">
        <v>83900.45</v>
      </c>
      <c r="H1723" s="67" t="s">
        <v>146</v>
      </c>
    </row>
    <row r="1725" spans="1:9" x14ac:dyDescent="0.25">
      <c r="A1725" s="67" t="s">
        <v>4283</v>
      </c>
      <c r="B1725" s="67" t="s">
        <v>4282</v>
      </c>
      <c r="C1725" s="67">
        <v>0</v>
      </c>
      <c r="D1725" s="67">
        <v>0</v>
      </c>
      <c r="E1725" s="67">
        <v>83900.41</v>
      </c>
      <c r="F1725" s="67">
        <v>25250</v>
      </c>
      <c r="H1725" s="68">
        <v>40764</v>
      </c>
      <c r="I1725" s="67" t="s">
        <v>148</v>
      </c>
    </row>
    <row r="1726" spans="1:9" x14ac:dyDescent="0.25">
      <c r="B1726" s="67" t="s">
        <v>4282</v>
      </c>
      <c r="C1726" s="67">
        <v>0</v>
      </c>
      <c r="D1726" s="67">
        <v>0</v>
      </c>
      <c r="E1726" s="67">
        <v>83900.45</v>
      </c>
      <c r="H1726" s="67" t="s">
        <v>146</v>
      </c>
    </row>
    <row r="1728" spans="1:9" x14ac:dyDescent="0.25">
      <c r="A1728" s="67" t="s">
        <v>4281</v>
      </c>
      <c r="B1728" s="67" t="s">
        <v>4280</v>
      </c>
      <c r="C1728" s="67">
        <v>0</v>
      </c>
      <c r="D1728" s="67">
        <v>0</v>
      </c>
      <c r="E1728" s="67">
        <v>83900.41</v>
      </c>
      <c r="F1728" s="67">
        <v>25250</v>
      </c>
      <c r="H1728" s="68">
        <v>40764</v>
      </c>
      <c r="I1728" s="67" t="s">
        <v>148</v>
      </c>
    </row>
    <row r="1729" spans="1:9" x14ac:dyDescent="0.25">
      <c r="B1729" s="67" t="s">
        <v>4280</v>
      </c>
      <c r="C1729" s="67">
        <v>0</v>
      </c>
      <c r="D1729" s="67">
        <v>0</v>
      </c>
      <c r="E1729" s="67">
        <v>83900.45</v>
      </c>
      <c r="H1729" s="67" t="s">
        <v>146</v>
      </c>
    </row>
    <row r="1730" spans="1:9" x14ac:dyDescent="0.25">
      <c r="A1730" s="67" t="s">
        <v>233</v>
      </c>
    </row>
    <row r="1732" spans="1:9" x14ac:dyDescent="0.25">
      <c r="A1732" s="67" t="s">
        <v>232</v>
      </c>
      <c r="D1732" s="67" t="s">
        <v>231</v>
      </c>
      <c r="H1732" s="67" t="s">
        <v>148</v>
      </c>
      <c r="I1732" s="67" t="s">
        <v>230</v>
      </c>
    </row>
    <row r="1733" spans="1:9" x14ac:dyDescent="0.25">
      <c r="A1733" s="67">
        <v>41.1</v>
      </c>
      <c r="C1733" s="67" t="s">
        <v>215</v>
      </c>
      <c r="D1733" s="67" t="s">
        <v>229</v>
      </c>
      <c r="H1733" s="70">
        <v>44771</v>
      </c>
      <c r="I1733" s="69">
        <v>0.56736111111111109</v>
      </c>
    </row>
    <row r="1734" spans="1:9" x14ac:dyDescent="0.25">
      <c r="A1734" s="67" t="s">
        <v>228</v>
      </c>
      <c r="C1734" s="67" t="s">
        <v>227</v>
      </c>
      <c r="D1734" s="67" t="s">
        <v>226</v>
      </c>
      <c r="E1734" s="67">
        <v>589</v>
      </c>
      <c r="H1734" s="67" t="s">
        <v>225</v>
      </c>
      <c r="I1734" s="67">
        <v>32</v>
      </c>
    </row>
    <row r="1735" spans="1:9" x14ac:dyDescent="0.25">
      <c r="A1735" s="67" t="s">
        <v>884</v>
      </c>
    </row>
    <row r="1736" spans="1:9" x14ac:dyDescent="0.25">
      <c r="A1736" s="67" t="s">
        <v>223</v>
      </c>
      <c r="B1736" s="67" t="s">
        <v>222</v>
      </c>
      <c r="C1736" s="67" t="s">
        <v>221</v>
      </c>
      <c r="D1736" s="67" t="s">
        <v>220</v>
      </c>
      <c r="E1736" s="67" t="s">
        <v>219</v>
      </c>
      <c r="F1736" s="67" t="s">
        <v>217</v>
      </c>
      <c r="G1736" s="67" t="s">
        <v>218</v>
      </c>
      <c r="H1736" s="67" t="s">
        <v>217</v>
      </c>
      <c r="I1736" s="67" t="s">
        <v>216</v>
      </c>
    </row>
    <row r="1737" spans="1:9" x14ac:dyDescent="0.25">
      <c r="A1737" s="67" t="s">
        <v>215</v>
      </c>
      <c r="B1737" s="67" t="s">
        <v>214</v>
      </c>
      <c r="C1737" s="67" t="s">
        <v>213</v>
      </c>
      <c r="D1737" s="67" t="s">
        <v>212</v>
      </c>
      <c r="E1737" s="67" t="s">
        <v>211</v>
      </c>
      <c r="F1737" s="67" t="s">
        <v>210</v>
      </c>
      <c r="G1737" s="67" t="s">
        <v>209</v>
      </c>
      <c r="H1737" s="67" t="s">
        <v>208</v>
      </c>
      <c r="I1737" s="67" t="s">
        <v>207</v>
      </c>
    </row>
    <row r="1738" spans="1:9" x14ac:dyDescent="0.25">
      <c r="A1738" s="67" t="s">
        <v>206</v>
      </c>
      <c r="B1738" s="67" t="s">
        <v>205</v>
      </c>
      <c r="C1738" s="67" t="s">
        <v>204</v>
      </c>
      <c r="D1738" s="67" t="s">
        <v>203</v>
      </c>
      <c r="E1738" s="67" t="s">
        <v>202</v>
      </c>
      <c r="F1738" s="67" t="s">
        <v>201</v>
      </c>
      <c r="G1738" s="67" t="s">
        <v>200</v>
      </c>
      <c r="H1738" s="67" t="s">
        <v>199</v>
      </c>
    </row>
    <row r="1739" spans="1:9" x14ac:dyDescent="0.25">
      <c r="A1739" s="67" t="s">
        <v>4279</v>
      </c>
      <c r="B1739" s="67" t="s">
        <v>4278</v>
      </c>
      <c r="C1739" s="67">
        <v>0</v>
      </c>
      <c r="D1739" s="67">
        <v>0</v>
      </c>
      <c r="E1739" s="67">
        <v>83900.41</v>
      </c>
      <c r="F1739" s="67">
        <v>25250</v>
      </c>
      <c r="H1739" s="68">
        <v>40764</v>
      </c>
      <c r="I1739" s="67" t="s">
        <v>148</v>
      </c>
    </row>
    <row r="1740" spans="1:9" x14ac:dyDescent="0.25">
      <c r="B1740" s="67" t="s">
        <v>4278</v>
      </c>
      <c r="C1740" s="67">
        <v>0</v>
      </c>
      <c r="D1740" s="67">
        <v>0</v>
      </c>
      <c r="E1740" s="67">
        <v>83900.45</v>
      </c>
      <c r="H1740" s="67" t="s">
        <v>146</v>
      </c>
    </row>
    <row r="1742" spans="1:9" x14ac:dyDescent="0.25">
      <c r="A1742" s="67" t="s">
        <v>4277</v>
      </c>
      <c r="B1742" s="67" t="s">
        <v>4276</v>
      </c>
      <c r="C1742" s="67">
        <v>0</v>
      </c>
      <c r="D1742" s="67">
        <v>0</v>
      </c>
      <c r="E1742" s="67">
        <v>83900.41</v>
      </c>
      <c r="F1742" s="67">
        <v>25250</v>
      </c>
      <c r="H1742" s="68">
        <v>40764</v>
      </c>
      <c r="I1742" s="67" t="s">
        <v>148</v>
      </c>
    </row>
    <row r="1743" spans="1:9" x14ac:dyDescent="0.25">
      <c r="B1743" s="67" t="s">
        <v>4276</v>
      </c>
      <c r="C1743" s="67">
        <v>0</v>
      </c>
      <c r="D1743" s="67">
        <v>0</v>
      </c>
      <c r="E1743" s="67">
        <v>83900.45</v>
      </c>
      <c r="H1743" s="67" t="s">
        <v>146</v>
      </c>
    </row>
    <row r="1745" spans="1:9" x14ac:dyDescent="0.25">
      <c r="A1745" s="67" t="s">
        <v>4275</v>
      </c>
      <c r="B1745" s="67" t="s">
        <v>4274</v>
      </c>
      <c r="C1745" s="67">
        <v>0</v>
      </c>
      <c r="D1745" s="67">
        <v>0</v>
      </c>
      <c r="E1745" s="67">
        <v>83900.41</v>
      </c>
      <c r="F1745" s="67">
        <v>25250</v>
      </c>
      <c r="H1745" s="68">
        <v>40764</v>
      </c>
      <c r="I1745" s="67" t="s">
        <v>148</v>
      </c>
    </row>
    <row r="1746" spans="1:9" x14ac:dyDescent="0.25">
      <c r="B1746" s="67" t="s">
        <v>4274</v>
      </c>
      <c r="C1746" s="67">
        <v>0</v>
      </c>
      <c r="D1746" s="67">
        <v>0</v>
      </c>
      <c r="E1746" s="67">
        <v>83900.45</v>
      </c>
      <c r="H1746" s="67" t="s">
        <v>146</v>
      </c>
    </row>
    <row r="1748" spans="1:9" x14ac:dyDescent="0.25">
      <c r="A1748" s="67" t="s">
        <v>4273</v>
      </c>
      <c r="B1748" s="67" t="s">
        <v>4272</v>
      </c>
      <c r="C1748" s="67">
        <v>0</v>
      </c>
      <c r="D1748" s="67">
        <v>0</v>
      </c>
      <c r="E1748" s="67">
        <v>83900.41</v>
      </c>
      <c r="F1748" s="67">
        <v>25250</v>
      </c>
      <c r="H1748" s="68">
        <v>40764</v>
      </c>
      <c r="I1748" s="67" t="s">
        <v>148</v>
      </c>
    </row>
    <row r="1749" spans="1:9" x14ac:dyDescent="0.25">
      <c r="B1749" s="67" t="s">
        <v>4272</v>
      </c>
      <c r="C1749" s="67">
        <v>0</v>
      </c>
      <c r="D1749" s="67">
        <v>0</v>
      </c>
      <c r="E1749" s="67">
        <v>83900.45</v>
      </c>
      <c r="H1749" s="67" t="s">
        <v>146</v>
      </c>
    </row>
    <row r="1751" spans="1:9" x14ac:dyDescent="0.25">
      <c r="A1751" s="67" t="s">
        <v>4271</v>
      </c>
      <c r="B1751" s="67" t="s">
        <v>4270</v>
      </c>
      <c r="C1751" s="67">
        <v>0</v>
      </c>
      <c r="D1751" s="67">
        <v>0</v>
      </c>
      <c r="E1751" s="67">
        <v>83900.41</v>
      </c>
      <c r="F1751" s="67">
        <v>25250</v>
      </c>
      <c r="H1751" s="68">
        <v>40764</v>
      </c>
      <c r="I1751" s="67" t="s">
        <v>148</v>
      </c>
    </row>
    <row r="1752" spans="1:9" x14ac:dyDescent="0.25">
      <c r="B1752" s="67" t="s">
        <v>4270</v>
      </c>
      <c r="C1752" s="67">
        <v>0</v>
      </c>
      <c r="D1752" s="67">
        <v>0</v>
      </c>
      <c r="E1752" s="67">
        <v>83900.45</v>
      </c>
      <c r="H1752" s="67" t="s">
        <v>146</v>
      </c>
    </row>
    <row r="1754" spans="1:9" x14ac:dyDescent="0.25">
      <c r="A1754" s="67" t="s">
        <v>4269</v>
      </c>
      <c r="B1754" s="67" t="s">
        <v>4268</v>
      </c>
      <c r="C1754" s="67">
        <v>0</v>
      </c>
      <c r="D1754" s="67">
        <v>0</v>
      </c>
      <c r="E1754" s="67">
        <v>83900.41</v>
      </c>
      <c r="F1754" s="67">
        <v>25250</v>
      </c>
      <c r="H1754" s="68">
        <v>40764</v>
      </c>
      <c r="I1754" s="67" t="s">
        <v>148</v>
      </c>
    </row>
    <row r="1755" spans="1:9" x14ac:dyDescent="0.25">
      <c r="B1755" s="67" t="s">
        <v>4268</v>
      </c>
      <c r="C1755" s="67">
        <v>0</v>
      </c>
      <c r="D1755" s="67">
        <v>0</v>
      </c>
      <c r="E1755" s="67">
        <v>83900.45</v>
      </c>
      <c r="H1755" s="67" t="s">
        <v>146</v>
      </c>
    </row>
    <row r="1757" spans="1:9" x14ac:dyDescent="0.25">
      <c r="A1757" s="67" t="s">
        <v>4267</v>
      </c>
      <c r="B1757" s="67" t="s">
        <v>4266</v>
      </c>
      <c r="C1757" s="67">
        <v>0</v>
      </c>
      <c r="D1757" s="67">
        <v>0</v>
      </c>
      <c r="E1757" s="67">
        <v>83900.41</v>
      </c>
      <c r="F1757" s="67">
        <v>25250</v>
      </c>
      <c r="H1757" s="68">
        <v>40764</v>
      </c>
      <c r="I1757" s="67" t="s">
        <v>148</v>
      </c>
    </row>
    <row r="1758" spans="1:9" x14ac:dyDescent="0.25">
      <c r="B1758" s="67" t="s">
        <v>4266</v>
      </c>
      <c r="C1758" s="67">
        <v>0</v>
      </c>
      <c r="D1758" s="67">
        <v>0</v>
      </c>
      <c r="E1758" s="67">
        <v>83900.45</v>
      </c>
      <c r="H1758" s="67" t="s">
        <v>146</v>
      </c>
    </row>
    <row r="1760" spans="1:9" x14ac:dyDescent="0.25">
      <c r="A1760" s="67" t="s">
        <v>4265</v>
      </c>
      <c r="B1760" s="67" t="s">
        <v>4264</v>
      </c>
      <c r="C1760" s="67">
        <v>0</v>
      </c>
      <c r="D1760" s="67">
        <v>0</v>
      </c>
      <c r="E1760" s="67">
        <v>83900.41</v>
      </c>
      <c r="F1760" s="67">
        <v>25250</v>
      </c>
      <c r="H1760" s="68">
        <v>40764</v>
      </c>
      <c r="I1760" s="67" t="s">
        <v>148</v>
      </c>
    </row>
    <row r="1761" spans="1:9" x14ac:dyDescent="0.25">
      <c r="B1761" s="67" t="s">
        <v>4264</v>
      </c>
      <c r="C1761" s="67">
        <v>0</v>
      </c>
      <c r="D1761" s="67">
        <v>0</v>
      </c>
      <c r="E1761" s="67">
        <v>83900.45</v>
      </c>
      <c r="H1761" s="67" t="s">
        <v>146</v>
      </c>
    </row>
    <row r="1763" spans="1:9" x14ac:dyDescent="0.25">
      <c r="A1763" s="67" t="s">
        <v>4263</v>
      </c>
      <c r="B1763" s="67" t="s">
        <v>4262</v>
      </c>
      <c r="C1763" s="67">
        <v>0</v>
      </c>
      <c r="D1763" s="67">
        <v>0</v>
      </c>
      <c r="E1763" s="67">
        <v>83900.41</v>
      </c>
      <c r="F1763" s="67">
        <v>25250</v>
      </c>
      <c r="H1763" s="68">
        <v>40764</v>
      </c>
      <c r="I1763" s="67" t="s">
        <v>148</v>
      </c>
    </row>
    <row r="1764" spans="1:9" x14ac:dyDescent="0.25">
      <c r="B1764" s="67" t="s">
        <v>4262</v>
      </c>
      <c r="C1764" s="67">
        <v>0</v>
      </c>
      <c r="D1764" s="67">
        <v>0</v>
      </c>
      <c r="E1764" s="67">
        <v>83900.45</v>
      </c>
      <c r="H1764" s="67" t="s">
        <v>146</v>
      </c>
    </row>
    <row r="1766" spans="1:9" x14ac:dyDescent="0.25">
      <c r="A1766" s="67" t="s">
        <v>4261</v>
      </c>
      <c r="B1766" s="67" t="s">
        <v>4260</v>
      </c>
      <c r="C1766" s="67">
        <v>0</v>
      </c>
      <c r="D1766" s="67">
        <v>0</v>
      </c>
      <c r="E1766" s="67">
        <v>83900.41</v>
      </c>
      <c r="F1766" s="67">
        <v>25250</v>
      </c>
      <c r="H1766" s="68">
        <v>40764</v>
      </c>
      <c r="I1766" s="67" t="s">
        <v>148</v>
      </c>
    </row>
    <row r="1767" spans="1:9" x14ac:dyDescent="0.25">
      <c r="B1767" s="67" t="s">
        <v>4260</v>
      </c>
      <c r="C1767" s="67">
        <v>0</v>
      </c>
      <c r="D1767" s="67">
        <v>0</v>
      </c>
      <c r="E1767" s="67">
        <v>83900.45</v>
      </c>
      <c r="H1767" s="67" t="s">
        <v>146</v>
      </c>
    </row>
    <row r="1769" spans="1:9" x14ac:dyDescent="0.25">
      <c r="A1769" s="67" t="s">
        <v>4259</v>
      </c>
      <c r="B1769" s="67" t="s">
        <v>4258</v>
      </c>
      <c r="C1769" s="67">
        <v>0</v>
      </c>
      <c r="D1769" s="67">
        <v>0</v>
      </c>
      <c r="E1769" s="67">
        <v>83900.41</v>
      </c>
      <c r="F1769" s="67">
        <v>25250</v>
      </c>
      <c r="H1769" s="68">
        <v>40764</v>
      </c>
      <c r="I1769" s="67" t="s">
        <v>148</v>
      </c>
    </row>
    <row r="1770" spans="1:9" x14ac:dyDescent="0.25">
      <c r="B1770" s="67" t="s">
        <v>4258</v>
      </c>
      <c r="C1770" s="67">
        <v>0</v>
      </c>
      <c r="D1770" s="67">
        <v>0</v>
      </c>
      <c r="E1770" s="67">
        <v>83900.45</v>
      </c>
      <c r="H1770" s="67" t="s">
        <v>146</v>
      </c>
    </row>
    <row r="1772" spans="1:9" x14ac:dyDescent="0.25">
      <c r="A1772" s="67" t="s">
        <v>4257</v>
      </c>
      <c r="B1772" s="67" t="s">
        <v>4256</v>
      </c>
      <c r="C1772" s="67">
        <v>0</v>
      </c>
      <c r="D1772" s="67">
        <v>0</v>
      </c>
      <c r="E1772" s="67">
        <v>83900.41</v>
      </c>
      <c r="F1772" s="67">
        <v>25250</v>
      </c>
      <c r="H1772" s="68">
        <v>40764</v>
      </c>
      <c r="I1772" s="67" t="s">
        <v>148</v>
      </c>
    </row>
    <row r="1773" spans="1:9" x14ac:dyDescent="0.25">
      <c r="B1773" s="67" t="s">
        <v>4256</v>
      </c>
      <c r="C1773" s="67">
        <v>0</v>
      </c>
      <c r="D1773" s="67">
        <v>0</v>
      </c>
      <c r="E1773" s="67">
        <v>83900.45</v>
      </c>
      <c r="H1773" s="67" t="s">
        <v>146</v>
      </c>
    </row>
    <row r="1775" spans="1:9" x14ac:dyDescent="0.25">
      <c r="A1775" s="67" t="s">
        <v>4255</v>
      </c>
      <c r="B1775" s="67" t="s">
        <v>4254</v>
      </c>
      <c r="C1775" s="67">
        <v>0</v>
      </c>
      <c r="D1775" s="67">
        <v>0</v>
      </c>
      <c r="E1775" s="67">
        <v>83900.41</v>
      </c>
      <c r="F1775" s="67">
        <v>25250</v>
      </c>
      <c r="H1775" s="68">
        <v>40764</v>
      </c>
      <c r="I1775" s="67" t="s">
        <v>148</v>
      </c>
    </row>
    <row r="1776" spans="1:9" x14ac:dyDescent="0.25">
      <c r="B1776" s="67" t="s">
        <v>4254</v>
      </c>
      <c r="C1776" s="67">
        <v>0</v>
      </c>
      <c r="D1776" s="67">
        <v>0</v>
      </c>
      <c r="E1776" s="67">
        <v>83900.45</v>
      </c>
      <c r="H1776" s="67" t="s">
        <v>146</v>
      </c>
    </row>
    <row r="1778" spans="1:9" x14ac:dyDescent="0.25">
      <c r="A1778" s="67" t="s">
        <v>4253</v>
      </c>
      <c r="B1778" s="67" t="s">
        <v>4252</v>
      </c>
      <c r="C1778" s="67">
        <v>0</v>
      </c>
      <c r="D1778" s="67">
        <v>0</v>
      </c>
      <c r="E1778" s="67">
        <v>83900.41</v>
      </c>
      <c r="F1778" s="67">
        <v>25250</v>
      </c>
      <c r="H1778" s="68">
        <v>40764</v>
      </c>
      <c r="I1778" s="67" t="s">
        <v>148</v>
      </c>
    </row>
    <row r="1779" spans="1:9" x14ac:dyDescent="0.25">
      <c r="B1779" s="67" t="s">
        <v>4252</v>
      </c>
      <c r="C1779" s="67">
        <v>0</v>
      </c>
      <c r="D1779" s="67">
        <v>0</v>
      </c>
      <c r="E1779" s="67">
        <v>83900.45</v>
      </c>
      <c r="H1779" s="67" t="s">
        <v>146</v>
      </c>
    </row>
    <row r="1781" spans="1:9" x14ac:dyDescent="0.25">
      <c r="A1781" s="67" t="s">
        <v>4251</v>
      </c>
      <c r="B1781" s="67" t="s">
        <v>4250</v>
      </c>
      <c r="C1781" s="67">
        <v>0</v>
      </c>
      <c r="D1781" s="67">
        <v>0</v>
      </c>
      <c r="E1781" s="67">
        <v>83900.41</v>
      </c>
      <c r="F1781" s="67">
        <v>25250</v>
      </c>
      <c r="H1781" s="68">
        <v>40764</v>
      </c>
      <c r="I1781" s="67" t="s">
        <v>148</v>
      </c>
    </row>
    <row r="1782" spans="1:9" x14ac:dyDescent="0.25">
      <c r="B1782" s="67" t="s">
        <v>4250</v>
      </c>
      <c r="C1782" s="67">
        <v>0</v>
      </c>
      <c r="D1782" s="67">
        <v>0</v>
      </c>
      <c r="E1782" s="67">
        <v>83900.45</v>
      </c>
      <c r="H1782" s="67" t="s">
        <v>146</v>
      </c>
    </row>
    <row r="1784" spans="1:9" x14ac:dyDescent="0.25">
      <c r="A1784" s="67" t="s">
        <v>4249</v>
      </c>
      <c r="B1784" s="67" t="s">
        <v>4248</v>
      </c>
      <c r="C1784" s="67">
        <v>0</v>
      </c>
      <c r="D1784" s="67">
        <v>0</v>
      </c>
      <c r="E1784" s="67">
        <v>83900.41</v>
      </c>
      <c r="F1784" s="67">
        <v>25250</v>
      </c>
      <c r="H1784" s="68">
        <v>40764</v>
      </c>
      <c r="I1784" s="67" t="s">
        <v>148</v>
      </c>
    </row>
    <row r="1785" spans="1:9" x14ac:dyDescent="0.25">
      <c r="B1785" s="67" t="s">
        <v>4248</v>
      </c>
      <c r="C1785" s="67">
        <v>0</v>
      </c>
      <c r="D1785" s="67">
        <v>0</v>
      </c>
      <c r="E1785" s="67">
        <v>83900.45</v>
      </c>
      <c r="H1785" s="67" t="s">
        <v>146</v>
      </c>
    </row>
    <row r="1787" spans="1:9" x14ac:dyDescent="0.25">
      <c r="A1787" s="67" t="s">
        <v>4247</v>
      </c>
      <c r="B1787" s="67" t="s">
        <v>4246</v>
      </c>
      <c r="C1787" s="67">
        <v>0</v>
      </c>
      <c r="D1787" s="67">
        <v>0</v>
      </c>
      <c r="E1787" s="67">
        <v>83900.41</v>
      </c>
      <c r="F1787" s="67">
        <v>25250</v>
      </c>
      <c r="H1787" s="68">
        <v>40764</v>
      </c>
      <c r="I1787" s="67" t="s">
        <v>148</v>
      </c>
    </row>
    <row r="1788" spans="1:9" x14ac:dyDescent="0.25">
      <c r="B1788" s="67" t="s">
        <v>4246</v>
      </c>
      <c r="C1788" s="67">
        <v>0</v>
      </c>
      <c r="D1788" s="67">
        <v>0</v>
      </c>
      <c r="E1788" s="67">
        <v>83900.45</v>
      </c>
      <c r="H1788" s="67" t="s">
        <v>146</v>
      </c>
    </row>
    <row r="1789" spans="1:9" x14ac:dyDescent="0.25">
      <c r="A1789" s="67" t="s">
        <v>233</v>
      </c>
    </row>
    <row r="1791" spans="1:9" x14ac:dyDescent="0.25">
      <c r="A1791" s="67" t="s">
        <v>232</v>
      </c>
      <c r="D1791" s="67" t="s">
        <v>231</v>
      </c>
      <c r="H1791" s="67" t="s">
        <v>148</v>
      </c>
      <c r="I1791" s="67" t="s">
        <v>230</v>
      </c>
    </row>
    <row r="1792" spans="1:9" x14ac:dyDescent="0.25">
      <c r="A1792" s="67">
        <v>41.1</v>
      </c>
      <c r="C1792" s="67" t="s">
        <v>215</v>
      </c>
      <c r="D1792" s="67" t="s">
        <v>229</v>
      </c>
      <c r="H1792" s="70">
        <v>44771</v>
      </c>
      <c r="I1792" s="69">
        <v>0.56736111111111109</v>
      </c>
    </row>
    <row r="1793" spans="1:9" x14ac:dyDescent="0.25">
      <c r="A1793" s="67" t="s">
        <v>228</v>
      </c>
      <c r="C1793" s="67" t="s">
        <v>227</v>
      </c>
      <c r="D1793" s="67" t="s">
        <v>226</v>
      </c>
      <c r="E1793" s="67">
        <v>589</v>
      </c>
      <c r="H1793" s="67" t="s">
        <v>225</v>
      </c>
      <c r="I1793" s="67">
        <v>33</v>
      </c>
    </row>
    <row r="1794" spans="1:9" x14ac:dyDescent="0.25">
      <c r="A1794" s="67" t="s">
        <v>884</v>
      </c>
    </row>
    <row r="1795" spans="1:9" x14ac:dyDescent="0.25">
      <c r="A1795" s="67" t="s">
        <v>223</v>
      </c>
      <c r="B1795" s="67" t="s">
        <v>222</v>
      </c>
      <c r="C1795" s="67" t="s">
        <v>221</v>
      </c>
      <c r="D1795" s="67" t="s">
        <v>220</v>
      </c>
      <c r="E1795" s="67" t="s">
        <v>219</v>
      </c>
      <c r="F1795" s="67" t="s">
        <v>217</v>
      </c>
      <c r="G1795" s="67" t="s">
        <v>218</v>
      </c>
      <c r="H1795" s="67" t="s">
        <v>217</v>
      </c>
      <c r="I1795" s="67" t="s">
        <v>216</v>
      </c>
    </row>
    <row r="1796" spans="1:9" x14ac:dyDescent="0.25">
      <c r="A1796" s="67" t="s">
        <v>215</v>
      </c>
      <c r="B1796" s="67" t="s">
        <v>214</v>
      </c>
      <c r="C1796" s="67" t="s">
        <v>213</v>
      </c>
      <c r="D1796" s="67" t="s">
        <v>212</v>
      </c>
      <c r="E1796" s="67" t="s">
        <v>211</v>
      </c>
      <c r="F1796" s="67" t="s">
        <v>210</v>
      </c>
      <c r="G1796" s="67" t="s">
        <v>209</v>
      </c>
      <c r="H1796" s="67" t="s">
        <v>208</v>
      </c>
      <c r="I1796" s="67" t="s">
        <v>207</v>
      </c>
    </row>
    <row r="1797" spans="1:9" x14ac:dyDescent="0.25">
      <c r="A1797" s="67" t="s">
        <v>206</v>
      </c>
      <c r="B1797" s="67" t="s">
        <v>205</v>
      </c>
      <c r="C1797" s="67" t="s">
        <v>204</v>
      </c>
      <c r="D1797" s="67" t="s">
        <v>203</v>
      </c>
      <c r="E1797" s="67" t="s">
        <v>202</v>
      </c>
      <c r="F1797" s="67" t="s">
        <v>201</v>
      </c>
      <c r="G1797" s="67" t="s">
        <v>200</v>
      </c>
      <c r="H1797" s="67" t="s">
        <v>199</v>
      </c>
    </row>
    <row r="1798" spans="1:9" x14ac:dyDescent="0.25">
      <c r="A1798" s="67" t="s">
        <v>4245</v>
      </c>
      <c r="B1798" s="67" t="s">
        <v>4244</v>
      </c>
      <c r="C1798" s="67">
        <v>0</v>
      </c>
      <c r="D1798" s="67">
        <v>0</v>
      </c>
      <c r="E1798" s="67">
        <v>83900.41</v>
      </c>
      <c r="F1798" s="67">
        <v>25250</v>
      </c>
      <c r="H1798" s="68">
        <v>40764</v>
      </c>
      <c r="I1798" s="67" t="s">
        <v>148</v>
      </c>
    </row>
    <row r="1799" spans="1:9" x14ac:dyDescent="0.25">
      <c r="B1799" s="67" t="s">
        <v>4244</v>
      </c>
      <c r="C1799" s="67">
        <v>0</v>
      </c>
      <c r="D1799" s="67">
        <v>0</v>
      </c>
      <c r="E1799" s="67">
        <v>83900.45</v>
      </c>
      <c r="H1799" s="67" t="s">
        <v>146</v>
      </c>
    </row>
    <row r="1801" spans="1:9" x14ac:dyDescent="0.25">
      <c r="A1801" s="67" t="s">
        <v>4243</v>
      </c>
      <c r="B1801" s="67" t="s">
        <v>4242</v>
      </c>
      <c r="C1801" s="67">
        <v>0</v>
      </c>
      <c r="D1801" s="67">
        <v>0</v>
      </c>
      <c r="E1801" s="67">
        <v>83900.41</v>
      </c>
      <c r="F1801" s="67">
        <v>25250</v>
      </c>
      <c r="H1801" s="68">
        <v>40764</v>
      </c>
      <c r="I1801" s="67" t="s">
        <v>148</v>
      </c>
    </row>
    <row r="1802" spans="1:9" x14ac:dyDescent="0.25">
      <c r="B1802" s="67" t="s">
        <v>4242</v>
      </c>
      <c r="C1802" s="67">
        <v>0</v>
      </c>
      <c r="D1802" s="67">
        <v>0</v>
      </c>
      <c r="E1802" s="67">
        <v>83900.45</v>
      </c>
      <c r="H1802" s="67" t="s">
        <v>146</v>
      </c>
    </row>
    <row r="1804" spans="1:9" x14ac:dyDescent="0.25">
      <c r="A1804" s="67" t="s">
        <v>4241</v>
      </c>
      <c r="B1804" s="67" t="s">
        <v>4240</v>
      </c>
      <c r="C1804" s="67">
        <v>0</v>
      </c>
      <c r="D1804" s="67">
        <v>0</v>
      </c>
      <c r="E1804" s="67">
        <v>83900.41</v>
      </c>
      <c r="F1804" s="67">
        <v>25250</v>
      </c>
      <c r="H1804" s="68">
        <v>40764</v>
      </c>
      <c r="I1804" s="67" t="s">
        <v>148</v>
      </c>
    </row>
    <row r="1805" spans="1:9" x14ac:dyDescent="0.25">
      <c r="B1805" s="67" t="s">
        <v>4240</v>
      </c>
      <c r="C1805" s="67">
        <v>0</v>
      </c>
      <c r="D1805" s="67">
        <v>0</v>
      </c>
      <c r="E1805" s="67">
        <v>83900.45</v>
      </c>
      <c r="H1805" s="67" t="s">
        <v>146</v>
      </c>
    </row>
    <row r="1807" spans="1:9" x14ac:dyDescent="0.25">
      <c r="A1807" s="67" t="s">
        <v>4239</v>
      </c>
      <c r="B1807" s="67" t="s">
        <v>4238</v>
      </c>
      <c r="C1807" s="67">
        <v>0</v>
      </c>
      <c r="D1807" s="67">
        <v>0</v>
      </c>
      <c r="E1807" s="67">
        <v>83900.41</v>
      </c>
      <c r="F1807" s="67">
        <v>25250</v>
      </c>
      <c r="H1807" s="68">
        <v>40764</v>
      </c>
      <c r="I1807" s="67" t="s">
        <v>148</v>
      </c>
    </row>
    <row r="1808" spans="1:9" x14ac:dyDescent="0.25">
      <c r="B1808" s="67" t="s">
        <v>4238</v>
      </c>
      <c r="C1808" s="67">
        <v>0</v>
      </c>
      <c r="D1808" s="67">
        <v>0</v>
      </c>
      <c r="E1808" s="67">
        <v>83900.45</v>
      </c>
      <c r="H1808" s="67" t="s">
        <v>146</v>
      </c>
    </row>
    <row r="1810" spans="1:9" x14ac:dyDescent="0.25">
      <c r="A1810" s="67" t="s">
        <v>4237</v>
      </c>
      <c r="B1810" s="67" t="s">
        <v>4236</v>
      </c>
      <c r="C1810" s="67">
        <v>0</v>
      </c>
      <c r="D1810" s="67">
        <v>0</v>
      </c>
      <c r="E1810" s="67">
        <v>83900.41</v>
      </c>
      <c r="F1810" s="67">
        <v>25250</v>
      </c>
      <c r="H1810" s="68">
        <v>40764</v>
      </c>
      <c r="I1810" s="67" t="s">
        <v>148</v>
      </c>
    </row>
    <row r="1811" spans="1:9" x14ac:dyDescent="0.25">
      <c r="B1811" s="67" t="s">
        <v>4236</v>
      </c>
      <c r="C1811" s="67">
        <v>0</v>
      </c>
      <c r="D1811" s="67">
        <v>0</v>
      </c>
      <c r="E1811" s="67">
        <v>83900.45</v>
      </c>
      <c r="H1811" s="67" t="s">
        <v>146</v>
      </c>
    </row>
    <row r="1813" spans="1:9" x14ac:dyDescent="0.25">
      <c r="A1813" s="67" t="s">
        <v>4235</v>
      </c>
      <c r="B1813" s="67" t="s">
        <v>4234</v>
      </c>
      <c r="C1813" s="67">
        <v>0</v>
      </c>
      <c r="D1813" s="67">
        <v>0</v>
      </c>
      <c r="E1813" s="67">
        <v>83900.41</v>
      </c>
      <c r="F1813" s="67">
        <v>25250</v>
      </c>
      <c r="H1813" s="68">
        <v>40764</v>
      </c>
      <c r="I1813" s="67" t="s">
        <v>148</v>
      </c>
    </row>
    <row r="1814" spans="1:9" x14ac:dyDescent="0.25">
      <c r="B1814" s="67" t="s">
        <v>4234</v>
      </c>
      <c r="C1814" s="67">
        <v>0</v>
      </c>
      <c r="D1814" s="67">
        <v>0</v>
      </c>
      <c r="E1814" s="67">
        <v>83900.45</v>
      </c>
      <c r="H1814" s="67" t="s">
        <v>146</v>
      </c>
    </row>
    <row r="1816" spans="1:9" x14ac:dyDescent="0.25">
      <c r="A1816" s="67" t="s">
        <v>4233</v>
      </c>
      <c r="B1816" s="67" t="s">
        <v>4232</v>
      </c>
      <c r="C1816" s="67">
        <v>0</v>
      </c>
      <c r="D1816" s="67">
        <v>0</v>
      </c>
      <c r="E1816" s="67">
        <v>83900.41</v>
      </c>
      <c r="F1816" s="67">
        <v>25250</v>
      </c>
      <c r="H1816" s="68">
        <v>40764</v>
      </c>
      <c r="I1816" s="67" t="s">
        <v>148</v>
      </c>
    </row>
    <row r="1817" spans="1:9" x14ac:dyDescent="0.25">
      <c r="B1817" s="67" t="s">
        <v>4232</v>
      </c>
      <c r="C1817" s="67">
        <v>0</v>
      </c>
      <c r="D1817" s="67">
        <v>0</v>
      </c>
      <c r="E1817" s="67">
        <v>83900.45</v>
      </c>
      <c r="H1817" s="67" t="s">
        <v>146</v>
      </c>
    </row>
    <row r="1819" spans="1:9" x14ac:dyDescent="0.25">
      <c r="A1819" s="67" t="s">
        <v>4231</v>
      </c>
      <c r="B1819" s="67" t="s">
        <v>4230</v>
      </c>
      <c r="C1819" s="67">
        <v>0</v>
      </c>
      <c r="D1819" s="67">
        <v>0</v>
      </c>
      <c r="E1819" s="67">
        <v>83900.41</v>
      </c>
      <c r="F1819" s="67">
        <v>25250</v>
      </c>
      <c r="H1819" s="68">
        <v>40764</v>
      </c>
      <c r="I1819" s="67" t="s">
        <v>148</v>
      </c>
    </row>
    <row r="1820" spans="1:9" x14ac:dyDescent="0.25">
      <c r="B1820" s="67" t="s">
        <v>4230</v>
      </c>
      <c r="C1820" s="67">
        <v>0</v>
      </c>
      <c r="D1820" s="67">
        <v>0</v>
      </c>
      <c r="E1820" s="67">
        <v>83900.45</v>
      </c>
      <c r="H1820" s="67" t="s">
        <v>146</v>
      </c>
    </row>
    <row r="1822" spans="1:9" x14ac:dyDescent="0.25">
      <c r="A1822" s="67" t="s">
        <v>4229</v>
      </c>
      <c r="B1822" s="67" t="s">
        <v>4228</v>
      </c>
      <c r="C1822" s="67">
        <v>0</v>
      </c>
      <c r="D1822" s="67">
        <v>0</v>
      </c>
      <c r="E1822" s="67">
        <v>83900.41</v>
      </c>
      <c r="F1822" s="67">
        <v>25250</v>
      </c>
      <c r="H1822" s="68">
        <v>40764</v>
      </c>
      <c r="I1822" s="67" t="s">
        <v>148</v>
      </c>
    </row>
    <row r="1823" spans="1:9" x14ac:dyDescent="0.25">
      <c r="B1823" s="67" t="s">
        <v>4228</v>
      </c>
      <c r="C1823" s="67">
        <v>0</v>
      </c>
      <c r="D1823" s="67">
        <v>0</v>
      </c>
      <c r="E1823" s="67">
        <v>83900.45</v>
      </c>
      <c r="H1823" s="67" t="s">
        <v>146</v>
      </c>
    </row>
    <row r="1825" spans="1:9" x14ac:dyDescent="0.25">
      <c r="A1825" s="67" t="s">
        <v>4227</v>
      </c>
      <c r="B1825" s="67" t="s">
        <v>4226</v>
      </c>
      <c r="C1825" s="67">
        <v>0</v>
      </c>
      <c r="D1825" s="67">
        <v>0</v>
      </c>
      <c r="E1825" s="67">
        <v>83900.41</v>
      </c>
      <c r="F1825" s="67">
        <v>25250</v>
      </c>
      <c r="H1825" s="68">
        <v>40764</v>
      </c>
      <c r="I1825" s="67" t="s">
        <v>148</v>
      </c>
    </row>
    <row r="1826" spans="1:9" x14ac:dyDescent="0.25">
      <c r="B1826" s="67" t="s">
        <v>4226</v>
      </c>
      <c r="C1826" s="67">
        <v>0</v>
      </c>
      <c r="D1826" s="67">
        <v>0</v>
      </c>
      <c r="E1826" s="67">
        <v>83900.45</v>
      </c>
      <c r="H1826" s="67" t="s">
        <v>146</v>
      </c>
    </row>
    <row r="1828" spans="1:9" x14ac:dyDescent="0.25">
      <c r="A1828" s="67" t="s">
        <v>4225</v>
      </c>
      <c r="B1828" s="67" t="s">
        <v>4224</v>
      </c>
      <c r="C1828" s="67">
        <v>0</v>
      </c>
      <c r="D1828" s="67">
        <v>0</v>
      </c>
      <c r="E1828" s="67">
        <v>83900.41</v>
      </c>
      <c r="F1828" s="67">
        <v>25250</v>
      </c>
      <c r="H1828" s="68">
        <v>40764</v>
      </c>
      <c r="I1828" s="67" t="s">
        <v>148</v>
      </c>
    </row>
    <row r="1829" spans="1:9" x14ac:dyDescent="0.25">
      <c r="B1829" s="67" t="s">
        <v>4224</v>
      </c>
      <c r="C1829" s="67">
        <v>0</v>
      </c>
      <c r="D1829" s="67">
        <v>0</v>
      </c>
      <c r="E1829" s="67">
        <v>83900.45</v>
      </c>
      <c r="H1829" s="67" t="s">
        <v>146</v>
      </c>
    </row>
    <row r="1831" spans="1:9" x14ac:dyDescent="0.25">
      <c r="A1831" s="67" t="s">
        <v>4223</v>
      </c>
      <c r="B1831" s="67" t="s">
        <v>4222</v>
      </c>
      <c r="C1831" s="67">
        <v>0</v>
      </c>
      <c r="D1831" s="67">
        <v>0</v>
      </c>
      <c r="E1831" s="67">
        <v>83900.41</v>
      </c>
      <c r="F1831" s="67">
        <v>25250</v>
      </c>
      <c r="H1831" s="68">
        <v>40764</v>
      </c>
      <c r="I1831" s="67" t="s">
        <v>148</v>
      </c>
    </row>
    <row r="1832" spans="1:9" x14ac:dyDescent="0.25">
      <c r="B1832" s="67" t="s">
        <v>4222</v>
      </c>
      <c r="C1832" s="67">
        <v>0</v>
      </c>
      <c r="D1832" s="67">
        <v>0</v>
      </c>
      <c r="E1832" s="67">
        <v>83900.45</v>
      </c>
      <c r="H1832" s="67" t="s">
        <v>146</v>
      </c>
    </row>
    <row r="1834" spans="1:9" x14ac:dyDescent="0.25">
      <c r="A1834" s="67" t="s">
        <v>4221</v>
      </c>
      <c r="B1834" s="67" t="s">
        <v>4220</v>
      </c>
      <c r="C1834" s="67">
        <v>0</v>
      </c>
      <c r="D1834" s="67">
        <v>0</v>
      </c>
      <c r="E1834" s="67">
        <v>83900.41</v>
      </c>
      <c r="F1834" s="67">
        <v>25250</v>
      </c>
      <c r="H1834" s="68">
        <v>40764</v>
      </c>
      <c r="I1834" s="67" t="s">
        <v>148</v>
      </c>
    </row>
    <row r="1835" spans="1:9" x14ac:dyDescent="0.25">
      <c r="B1835" s="67" t="s">
        <v>4220</v>
      </c>
      <c r="C1835" s="67">
        <v>0</v>
      </c>
      <c r="D1835" s="67">
        <v>0</v>
      </c>
      <c r="E1835" s="67">
        <v>83900.45</v>
      </c>
      <c r="H1835" s="67" t="s">
        <v>146</v>
      </c>
    </row>
    <row r="1837" spans="1:9" x14ac:dyDescent="0.25">
      <c r="A1837" s="67" t="s">
        <v>4219</v>
      </c>
      <c r="B1837" s="67" t="s">
        <v>4218</v>
      </c>
      <c r="C1837" s="67">
        <v>0</v>
      </c>
      <c r="D1837" s="67">
        <v>0</v>
      </c>
      <c r="E1837" s="67">
        <v>83900.41</v>
      </c>
      <c r="F1837" s="67">
        <v>25250</v>
      </c>
      <c r="H1837" s="68">
        <v>40764</v>
      </c>
      <c r="I1837" s="67" t="s">
        <v>148</v>
      </c>
    </row>
    <row r="1838" spans="1:9" x14ac:dyDescent="0.25">
      <c r="B1838" s="67" t="s">
        <v>4218</v>
      </c>
      <c r="C1838" s="67">
        <v>0</v>
      </c>
      <c r="D1838" s="67">
        <v>0</v>
      </c>
      <c r="E1838" s="67">
        <v>83900.45</v>
      </c>
      <c r="H1838" s="67" t="s">
        <v>146</v>
      </c>
    </row>
    <row r="1840" spans="1:9" x14ac:dyDescent="0.25">
      <c r="A1840" s="67" t="s">
        <v>4217</v>
      </c>
      <c r="B1840" s="67" t="s">
        <v>4216</v>
      </c>
      <c r="C1840" s="67">
        <v>0</v>
      </c>
      <c r="D1840" s="67">
        <v>0</v>
      </c>
      <c r="E1840" s="67">
        <v>83900.41</v>
      </c>
      <c r="F1840" s="67">
        <v>25250</v>
      </c>
      <c r="H1840" s="68">
        <v>40764</v>
      </c>
      <c r="I1840" s="67" t="s">
        <v>148</v>
      </c>
    </row>
    <row r="1841" spans="1:9" x14ac:dyDescent="0.25">
      <c r="B1841" s="67" t="s">
        <v>4216</v>
      </c>
      <c r="C1841" s="67">
        <v>0</v>
      </c>
      <c r="D1841" s="67">
        <v>0</v>
      </c>
      <c r="E1841" s="67">
        <v>83900.45</v>
      </c>
      <c r="H1841" s="67" t="s">
        <v>146</v>
      </c>
    </row>
    <row r="1843" spans="1:9" x14ac:dyDescent="0.25">
      <c r="A1843" s="67" t="s">
        <v>4215</v>
      </c>
      <c r="B1843" s="67" t="s">
        <v>4214</v>
      </c>
      <c r="C1843" s="67">
        <v>0</v>
      </c>
      <c r="D1843" s="67">
        <v>0</v>
      </c>
      <c r="E1843" s="67">
        <v>83900.41</v>
      </c>
      <c r="F1843" s="67">
        <v>25250</v>
      </c>
      <c r="H1843" s="68">
        <v>40764</v>
      </c>
      <c r="I1843" s="67" t="s">
        <v>148</v>
      </c>
    </row>
    <row r="1844" spans="1:9" x14ac:dyDescent="0.25">
      <c r="B1844" s="67" t="s">
        <v>4214</v>
      </c>
      <c r="C1844" s="67">
        <v>0</v>
      </c>
      <c r="D1844" s="67">
        <v>0</v>
      </c>
      <c r="E1844" s="67">
        <v>83900.45</v>
      </c>
      <c r="H1844" s="67" t="s">
        <v>146</v>
      </c>
    </row>
    <row r="1846" spans="1:9" x14ac:dyDescent="0.25">
      <c r="A1846" s="67" t="s">
        <v>4213</v>
      </c>
      <c r="B1846" s="67" t="s">
        <v>4212</v>
      </c>
      <c r="C1846" s="67">
        <v>0</v>
      </c>
      <c r="D1846" s="67">
        <v>0</v>
      </c>
      <c r="E1846" s="67">
        <v>83900.41</v>
      </c>
      <c r="F1846" s="67">
        <v>25250</v>
      </c>
      <c r="H1846" s="68">
        <v>40764</v>
      </c>
      <c r="I1846" s="67" t="s">
        <v>148</v>
      </c>
    </row>
    <row r="1847" spans="1:9" x14ac:dyDescent="0.25">
      <c r="B1847" s="67" t="s">
        <v>4212</v>
      </c>
      <c r="C1847" s="67">
        <v>0</v>
      </c>
      <c r="D1847" s="67">
        <v>0</v>
      </c>
      <c r="E1847" s="67">
        <v>83900.45</v>
      </c>
      <c r="H1847" s="67" t="s">
        <v>146</v>
      </c>
    </row>
    <row r="1848" spans="1:9" x14ac:dyDescent="0.25">
      <c r="A1848" s="67" t="s">
        <v>233</v>
      </c>
    </row>
    <row r="1850" spans="1:9" x14ac:dyDescent="0.25">
      <c r="A1850" s="67" t="s">
        <v>232</v>
      </c>
      <c r="D1850" s="67" t="s">
        <v>231</v>
      </c>
      <c r="H1850" s="67" t="s">
        <v>148</v>
      </c>
      <c r="I1850" s="67" t="s">
        <v>230</v>
      </c>
    </row>
    <row r="1851" spans="1:9" x14ac:dyDescent="0.25">
      <c r="A1851" s="67">
        <v>41.1</v>
      </c>
      <c r="C1851" s="67" t="s">
        <v>215</v>
      </c>
      <c r="D1851" s="67" t="s">
        <v>229</v>
      </c>
      <c r="H1851" s="70">
        <v>44771</v>
      </c>
      <c r="I1851" s="69">
        <v>0.56736111111111109</v>
      </c>
    </row>
    <row r="1852" spans="1:9" x14ac:dyDescent="0.25">
      <c r="A1852" s="67" t="s">
        <v>228</v>
      </c>
      <c r="C1852" s="67" t="s">
        <v>227</v>
      </c>
      <c r="D1852" s="67" t="s">
        <v>226</v>
      </c>
      <c r="E1852" s="67">
        <v>589</v>
      </c>
      <c r="H1852" s="67" t="s">
        <v>225</v>
      </c>
      <c r="I1852" s="67">
        <v>34</v>
      </c>
    </row>
    <row r="1853" spans="1:9" x14ac:dyDescent="0.25">
      <c r="A1853" s="67" t="s">
        <v>884</v>
      </c>
    </row>
    <row r="1854" spans="1:9" x14ac:dyDescent="0.25">
      <c r="A1854" s="67" t="s">
        <v>223</v>
      </c>
      <c r="B1854" s="67" t="s">
        <v>222</v>
      </c>
      <c r="C1854" s="67" t="s">
        <v>221</v>
      </c>
      <c r="D1854" s="67" t="s">
        <v>220</v>
      </c>
      <c r="E1854" s="67" t="s">
        <v>219</v>
      </c>
      <c r="F1854" s="67" t="s">
        <v>217</v>
      </c>
      <c r="G1854" s="67" t="s">
        <v>218</v>
      </c>
      <c r="H1854" s="67" t="s">
        <v>217</v>
      </c>
      <c r="I1854" s="67" t="s">
        <v>216</v>
      </c>
    </row>
    <row r="1855" spans="1:9" x14ac:dyDescent="0.25">
      <c r="A1855" s="67" t="s">
        <v>215</v>
      </c>
      <c r="B1855" s="67" t="s">
        <v>214</v>
      </c>
      <c r="C1855" s="67" t="s">
        <v>213</v>
      </c>
      <c r="D1855" s="67" t="s">
        <v>212</v>
      </c>
      <c r="E1855" s="67" t="s">
        <v>211</v>
      </c>
      <c r="F1855" s="67" t="s">
        <v>210</v>
      </c>
      <c r="G1855" s="67" t="s">
        <v>209</v>
      </c>
      <c r="H1855" s="67" t="s">
        <v>208</v>
      </c>
      <c r="I1855" s="67" t="s">
        <v>207</v>
      </c>
    </row>
    <row r="1856" spans="1:9" x14ac:dyDescent="0.25">
      <c r="A1856" s="67" t="s">
        <v>206</v>
      </c>
      <c r="B1856" s="67" t="s">
        <v>205</v>
      </c>
      <c r="C1856" s="67" t="s">
        <v>204</v>
      </c>
      <c r="D1856" s="67" t="s">
        <v>203</v>
      </c>
      <c r="E1856" s="67" t="s">
        <v>202</v>
      </c>
      <c r="F1856" s="67" t="s">
        <v>201</v>
      </c>
      <c r="G1856" s="67" t="s">
        <v>200</v>
      </c>
      <c r="H1856" s="67" t="s">
        <v>199</v>
      </c>
    </row>
    <row r="1857" spans="1:9" x14ac:dyDescent="0.25">
      <c r="A1857" s="67" t="s">
        <v>4211</v>
      </c>
      <c r="B1857" s="67" t="s">
        <v>4210</v>
      </c>
      <c r="C1857" s="67">
        <v>0</v>
      </c>
      <c r="D1857" s="67">
        <v>0</v>
      </c>
      <c r="E1857" s="67">
        <v>83900.41</v>
      </c>
      <c r="F1857" s="67">
        <v>25250</v>
      </c>
      <c r="H1857" s="68">
        <v>40764</v>
      </c>
      <c r="I1857" s="67" t="s">
        <v>148</v>
      </c>
    </row>
    <row r="1858" spans="1:9" x14ac:dyDescent="0.25">
      <c r="B1858" s="67" t="s">
        <v>4210</v>
      </c>
      <c r="C1858" s="67">
        <v>0</v>
      </c>
      <c r="D1858" s="67">
        <v>0</v>
      </c>
      <c r="E1858" s="67">
        <v>83900.45</v>
      </c>
      <c r="H1858" s="67" t="s">
        <v>146</v>
      </c>
    </row>
    <row r="1860" spans="1:9" x14ac:dyDescent="0.25">
      <c r="A1860" s="67" t="s">
        <v>4209</v>
      </c>
      <c r="B1860" s="67" t="s">
        <v>4208</v>
      </c>
      <c r="C1860" s="67">
        <v>0</v>
      </c>
      <c r="D1860" s="67">
        <v>0</v>
      </c>
      <c r="E1860" s="67">
        <v>83900.41</v>
      </c>
      <c r="F1860" s="67">
        <v>25250</v>
      </c>
      <c r="H1860" s="68">
        <v>40764</v>
      </c>
      <c r="I1860" s="67" t="s">
        <v>148</v>
      </c>
    </row>
    <row r="1861" spans="1:9" x14ac:dyDescent="0.25">
      <c r="B1861" s="67" t="s">
        <v>4208</v>
      </c>
      <c r="C1861" s="67">
        <v>0</v>
      </c>
      <c r="D1861" s="67">
        <v>0</v>
      </c>
      <c r="E1861" s="67">
        <v>83900.45</v>
      </c>
      <c r="H1861" s="67" t="s">
        <v>146</v>
      </c>
    </row>
    <row r="1863" spans="1:9" x14ac:dyDescent="0.25">
      <c r="A1863" s="67" t="s">
        <v>4207</v>
      </c>
      <c r="B1863" s="67" t="s">
        <v>4206</v>
      </c>
      <c r="C1863" s="67">
        <v>0</v>
      </c>
      <c r="D1863" s="67">
        <v>0</v>
      </c>
      <c r="E1863" s="67">
        <v>83900.41</v>
      </c>
      <c r="F1863" s="67">
        <v>25250</v>
      </c>
      <c r="H1863" s="68">
        <v>40764</v>
      </c>
      <c r="I1863" s="67" t="s">
        <v>148</v>
      </c>
    </row>
    <row r="1864" spans="1:9" x14ac:dyDescent="0.25">
      <c r="B1864" s="67" t="s">
        <v>4206</v>
      </c>
      <c r="C1864" s="67">
        <v>0</v>
      </c>
      <c r="D1864" s="67">
        <v>0</v>
      </c>
      <c r="E1864" s="67">
        <v>83900.45</v>
      </c>
      <c r="H1864" s="67" t="s">
        <v>146</v>
      </c>
    </row>
    <row r="1866" spans="1:9" x14ac:dyDescent="0.25">
      <c r="A1866" s="67" t="s">
        <v>4205</v>
      </c>
      <c r="B1866" s="67" t="s">
        <v>4204</v>
      </c>
      <c r="C1866" s="67">
        <v>0</v>
      </c>
      <c r="D1866" s="67">
        <v>0</v>
      </c>
      <c r="E1866" s="67">
        <v>83900.41</v>
      </c>
      <c r="F1866" s="67">
        <v>25250</v>
      </c>
      <c r="H1866" s="68">
        <v>40764</v>
      </c>
      <c r="I1866" s="67" t="s">
        <v>148</v>
      </c>
    </row>
    <row r="1867" spans="1:9" x14ac:dyDescent="0.25">
      <c r="B1867" s="67" t="s">
        <v>4204</v>
      </c>
      <c r="C1867" s="67">
        <v>0</v>
      </c>
      <c r="D1867" s="67">
        <v>0</v>
      </c>
      <c r="E1867" s="67">
        <v>83900.45</v>
      </c>
      <c r="H1867" s="67" t="s">
        <v>146</v>
      </c>
    </row>
    <row r="1869" spans="1:9" x14ac:dyDescent="0.25">
      <c r="A1869" s="67" t="s">
        <v>4203</v>
      </c>
      <c r="B1869" s="67" t="s">
        <v>4202</v>
      </c>
      <c r="C1869" s="67">
        <v>0</v>
      </c>
      <c r="D1869" s="67">
        <v>0</v>
      </c>
      <c r="E1869" s="67">
        <v>83900.41</v>
      </c>
      <c r="F1869" s="67">
        <v>25250</v>
      </c>
      <c r="H1869" s="68">
        <v>40764</v>
      </c>
      <c r="I1869" s="67" t="s">
        <v>148</v>
      </c>
    </row>
    <row r="1870" spans="1:9" x14ac:dyDescent="0.25">
      <c r="B1870" s="67" t="s">
        <v>4202</v>
      </c>
      <c r="C1870" s="67">
        <v>0</v>
      </c>
      <c r="D1870" s="67">
        <v>0</v>
      </c>
      <c r="E1870" s="67">
        <v>83900.45</v>
      </c>
      <c r="H1870" s="67" t="s">
        <v>146</v>
      </c>
    </row>
    <row r="1872" spans="1:9" x14ac:dyDescent="0.25">
      <c r="A1872" s="67" t="s">
        <v>4201</v>
      </c>
      <c r="B1872" s="67" t="s">
        <v>4200</v>
      </c>
      <c r="C1872" s="67">
        <v>0</v>
      </c>
      <c r="D1872" s="67">
        <v>0</v>
      </c>
      <c r="E1872" s="67">
        <v>83900.41</v>
      </c>
      <c r="F1872" s="67">
        <v>25250</v>
      </c>
      <c r="H1872" s="68">
        <v>40764</v>
      </c>
      <c r="I1872" s="67" t="s">
        <v>148</v>
      </c>
    </row>
    <row r="1873" spans="1:9" x14ac:dyDescent="0.25">
      <c r="B1873" s="67" t="s">
        <v>4200</v>
      </c>
      <c r="C1873" s="67">
        <v>0</v>
      </c>
      <c r="D1873" s="67">
        <v>0</v>
      </c>
      <c r="E1873" s="67">
        <v>83900.45</v>
      </c>
      <c r="H1873" s="67" t="s">
        <v>146</v>
      </c>
    </row>
    <row r="1875" spans="1:9" x14ac:dyDescent="0.25">
      <c r="A1875" s="67" t="s">
        <v>4199</v>
      </c>
      <c r="B1875" s="67" t="s">
        <v>4198</v>
      </c>
      <c r="C1875" s="67">
        <v>0</v>
      </c>
      <c r="D1875" s="67">
        <v>0</v>
      </c>
      <c r="E1875" s="67">
        <v>83900.41</v>
      </c>
      <c r="F1875" s="67">
        <v>25250</v>
      </c>
      <c r="H1875" s="68">
        <v>40764</v>
      </c>
      <c r="I1875" s="67" t="s">
        <v>148</v>
      </c>
    </row>
    <row r="1876" spans="1:9" x14ac:dyDescent="0.25">
      <c r="B1876" s="67" t="s">
        <v>4198</v>
      </c>
      <c r="C1876" s="67">
        <v>0</v>
      </c>
      <c r="D1876" s="67">
        <v>0</v>
      </c>
      <c r="E1876" s="67">
        <v>83900.45</v>
      </c>
      <c r="H1876" s="67" t="s">
        <v>146</v>
      </c>
    </row>
    <row r="1878" spans="1:9" x14ac:dyDescent="0.25">
      <c r="A1878" s="67" t="s">
        <v>4197</v>
      </c>
      <c r="B1878" s="67" t="s">
        <v>4196</v>
      </c>
      <c r="C1878" s="67">
        <v>0</v>
      </c>
      <c r="D1878" s="67">
        <v>0</v>
      </c>
      <c r="E1878" s="67">
        <v>83900.41</v>
      </c>
      <c r="F1878" s="67">
        <v>25250</v>
      </c>
      <c r="H1878" s="68">
        <v>40764</v>
      </c>
      <c r="I1878" s="67" t="s">
        <v>148</v>
      </c>
    </row>
    <row r="1879" spans="1:9" x14ac:dyDescent="0.25">
      <c r="B1879" s="67" t="s">
        <v>4196</v>
      </c>
      <c r="C1879" s="67">
        <v>0</v>
      </c>
      <c r="D1879" s="67">
        <v>0</v>
      </c>
      <c r="E1879" s="67">
        <v>83900.45</v>
      </c>
      <c r="H1879" s="67" t="s">
        <v>146</v>
      </c>
    </row>
    <row r="1881" spans="1:9" x14ac:dyDescent="0.25">
      <c r="A1881" s="67" t="s">
        <v>4195</v>
      </c>
      <c r="B1881" s="67" t="s">
        <v>4194</v>
      </c>
      <c r="C1881" s="67">
        <v>0</v>
      </c>
      <c r="D1881" s="67">
        <v>0</v>
      </c>
      <c r="E1881" s="67">
        <v>83900.41</v>
      </c>
      <c r="F1881" s="67">
        <v>25250</v>
      </c>
      <c r="H1881" s="68">
        <v>40764</v>
      </c>
      <c r="I1881" s="67" t="s">
        <v>148</v>
      </c>
    </row>
    <row r="1882" spans="1:9" x14ac:dyDescent="0.25">
      <c r="B1882" s="67" t="s">
        <v>4194</v>
      </c>
      <c r="C1882" s="67">
        <v>0</v>
      </c>
      <c r="D1882" s="67">
        <v>0</v>
      </c>
      <c r="E1882" s="67">
        <v>83900.45</v>
      </c>
      <c r="H1882" s="67" t="s">
        <v>146</v>
      </c>
    </row>
    <row r="1884" spans="1:9" x14ac:dyDescent="0.25">
      <c r="A1884" s="67" t="s">
        <v>4193</v>
      </c>
      <c r="B1884" s="67" t="s">
        <v>4192</v>
      </c>
      <c r="C1884" s="67">
        <v>0</v>
      </c>
      <c r="D1884" s="67">
        <v>0</v>
      </c>
      <c r="E1884" s="67">
        <v>83900.41</v>
      </c>
      <c r="F1884" s="67">
        <v>25250</v>
      </c>
      <c r="H1884" s="68">
        <v>40764</v>
      </c>
      <c r="I1884" s="67" t="s">
        <v>148</v>
      </c>
    </row>
    <row r="1885" spans="1:9" x14ac:dyDescent="0.25">
      <c r="B1885" s="67" t="s">
        <v>4192</v>
      </c>
      <c r="C1885" s="67">
        <v>0</v>
      </c>
      <c r="D1885" s="67">
        <v>0</v>
      </c>
      <c r="E1885" s="67">
        <v>83900.45</v>
      </c>
      <c r="H1885" s="67" t="s">
        <v>146</v>
      </c>
    </row>
    <row r="1887" spans="1:9" x14ac:dyDescent="0.25">
      <c r="A1887" s="67" t="s">
        <v>4191</v>
      </c>
      <c r="B1887" s="67" t="s">
        <v>4190</v>
      </c>
      <c r="C1887" s="67">
        <v>0</v>
      </c>
      <c r="D1887" s="67">
        <v>0</v>
      </c>
      <c r="E1887" s="67">
        <v>83900.41</v>
      </c>
      <c r="F1887" s="67">
        <v>25250</v>
      </c>
      <c r="H1887" s="68">
        <v>40764</v>
      </c>
      <c r="I1887" s="67" t="s">
        <v>148</v>
      </c>
    </row>
    <row r="1888" spans="1:9" x14ac:dyDescent="0.25">
      <c r="B1888" s="67" t="s">
        <v>4190</v>
      </c>
      <c r="C1888" s="67">
        <v>0</v>
      </c>
      <c r="D1888" s="67">
        <v>0</v>
      </c>
      <c r="E1888" s="67">
        <v>83900.45</v>
      </c>
      <c r="H1888" s="67" t="s">
        <v>146</v>
      </c>
    </row>
    <row r="1890" spans="1:9" x14ac:dyDescent="0.25">
      <c r="A1890" s="67" t="s">
        <v>4189</v>
      </c>
      <c r="B1890" s="67" t="s">
        <v>4188</v>
      </c>
      <c r="C1890" s="67">
        <v>0</v>
      </c>
      <c r="D1890" s="67">
        <v>0</v>
      </c>
      <c r="E1890" s="67">
        <v>83900.41</v>
      </c>
      <c r="F1890" s="67">
        <v>25250</v>
      </c>
      <c r="H1890" s="68">
        <v>40764</v>
      </c>
      <c r="I1890" s="67" t="s">
        <v>148</v>
      </c>
    </row>
    <row r="1891" spans="1:9" x14ac:dyDescent="0.25">
      <c r="B1891" s="67" t="s">
        <v>4188</v>
      </c>
      <c r="C1891" s="67">
        <v>0</v>
      </c>
      <c r="D1891" s="67">
        <v>0</v>
      </c>
      <c r="E1891" s="67">
        <v>83900.45</v>
      </c>
      <c r="H1891" s="67" t="s">
        <v>146</v>
      </c>
    </row>
    <row r="1893" spans="1:9" x14ac:dyDescent="0.25">
      <c r="A1893" s="67" t="s">
        <v>4187</v>
      </c>
      <c r="B1893" s="67" t="s">
        <v>4186</v>
      </c>
      <c r="C1893" s="67">
        <v>0</v>
      </c>
      <c r="D1893" s="67">
        <v>0</v>
      </c>
      <c r="E1893" s="67">
        <v>83900.41</v>
      </c>
      <c r="F1893" s="67">
        <v>25250</v>
      </c>
      <c r="H1893" s="68">
        <v>40764</v>
      </c>
      <c r="I1893" s="67" t="s">
        <v>148</v>
      </c>
    </row>
    <row r="1894" spans="1:9" x14ac:dyDescent="0.25">
      <c r="B1894" s="67" t="s">
        <v>4186</v>
      </c>
      <c r="C1894" s="67">
        <v>0</v>
      </c>
      <c r="D1894" s="67">
        <v>0</v>
      </c>
      <c r="E1894" s="67">
        <v>83900.45</v>
      </c>
      <c r="H1894" s="67" t="s">
        <v>146</v>
      </c>
    </row>
    <row r="1896" spans="1:9" x14ac:dyDescent="0.25">
      <c r="A1896" s="67" t="s">
        <v>4185</v>
      </c>
      <c r="B1896" s="67" t="s">
        <v>4184</v>
      </c>
      <c r="C1896" s="67">
        <v>0</v>
      </c>
      <c r="D1896" s="67">
        <v>0</v>
      </c>
      <c r="E1896" s="67">
        <v>83900.41</v>
      </c>
      <c r="F1896" s="67">
        <v>25250</v>
      </c>
      <c r="H1896" s="68">
        <v>40764</v>
      </c>
      <c r="I1896" s="67" t="s">
        <v>148</v>
      </c>
    </row>
    <row r="1897" spans="1:9" x14ac:dyDescent="0.25">
      <c r="B1897" s="67" t="s">
        <v>4184</v>
      </c>
      <c r="C1897" s="67">
        <v>0</v>
      </c>
      <c r="D1897" s="67">
        <v>0</v>
      </c>
      <c r="E1897" s="67">
        <v>83900.45</v>
      </c>
      <c r="H1897" s="67" t="s">
        <v>146</v>
      </c>
    </row>
    <row r="1899" spans="1:9" x14ac:dyDescent="0.25">
      <c r="A1899" s="67" t="s">
        <v>4183</v>
      </c>
      <c r="B1899" s="67" t="s">
        <v>4182</v>
      </c>
      <c r="C1899" s="67">
        <v>0</v>
      </c>
      <c r="D1899" s="67">
        <v>0</v>
      </c>
      <c r="E1899" s="67">
        <v>83900.41</v>
      </c>
      <c r="F1899" s="67">
        <v>25250</v>
      </c>
      <c r="H1899" s="68">
        <v>40764</v>
      </c>
      <c r="I1899" s="67" t="s">
        <v>148</v>
      </c>
    </row>
    <row r="1900" spans="1:9" x14ac:dyDescent="0.25">
      <c r="B1900" s="67" t="s">
        <v>4182</v>
      </c>
      <c r="C1900" s="67">
        <v>0</v>
      </c>
      <c r="D1900" s="67">
        <v>0</v>
      </c>
      <c r="E1900" s="67">
        <v>83900.45</v>
      </c>
      <c r="H1900" s="67" t="s">
        <v>146</v>
      </c>
    </row>
    <row r="1902" spans="1:9" x14ac:dyDescent="0.25">
      <c r="A1902" s="67" t="s">
        <v>4181</v>
      </c>
      <c r="B1902" s="67" t="s">
        <v>4180</v>
      </c>
      <c r="C1902" s="67">
        <v>0</v>
      </c>
      <c r="D1902" s="67">
        <v>0</v>
      </c>
      <c r="E1902" s="67">
        <v>83900.41</v>
      </c>
      <c r="F1902" s="67">
        <v>25250</v>
      </c>
      <c r="H1902" s="68">
        <v>40764</v>
      </c>
      <c r="I1902" s="67" t="s">
        <v>148</v>
      </c>
    </row>
    <row r="1903" spans="1:9" x14ac:dyDescent="0.25">
      <c r="B1903" s="67" t="s">
        <v>4180</v>
      </c>
      <c r="C1903" s="67">
        <v>0</v>
      </c>
      <c r="D1903" s="67">
        <v>0</v>
      </c>
      <c r="E1903" s="67">
        <v>83900.45</v>
      </c>
      <c r="H1903" s="67" t="s">
        <v>146</v>
      </c>
    </row>
    <row r="1905" spans="1:9" x14ac:dyDescent="0.25">
      <c r="A1905" s="67" t="s">
        <v>4179</v>
      </c>
      <c r="B1905" s="67" t="s">
        <v>4178</v>
      </c>
      <c r="C1905" s="67">
        <v>0</v>
      </c>
      <c r="D1905" s="67">
        <v>0</v>
      </c>
      <c r="E1905" s="67">
        <v>83900.41</v>
      </c>
      <c r="F1905" s="67">
        <v>25250</v>
      </c>
      <c r="H1905" s="68">
        <v>40764</v>
      </c>
      <c r="I1905" s="67" t="s">
        <v>148</v>
      </c>
    </row>
    <row r="1906" spans="1:9" x14ac:dyDescent="0.25">
      <c r="B1906" s="67" t="s">
        <v>4178</v>
      </c>
      <c r="C1906" s="67">
        <v>0</v>
      </c>
      <c r="D1906" s="67">
        <v>0</v>
      </c>
      <c r="E1906" s="67">
        <v>83900.45</v>
      </c>
      <c r="H1906" s="67" t="s">
        <v>146</v>
      </c>
    </row>
    <row r="1907" spans="1:9" x14ac:dyDescent="0.25">
      <c r="A1907" s="67" t="s">
        <v>233</v>
      </c>
    </row>
    <row r="1909" spans="1:9" x14ac:dyDescent="0.25">
      <c r="A1909" s="67" t="s">
        <v>232</v>
      </c>
      <c r="D1909" s="67" t="s">
        <v>231</v>
      </c>
      <c r="H1909" s="67" t="s">
        <v>148</v>
      </c>
      <c r="I1909" s="67" t="s">
        <v>230</v>
      </c>
    </row>
    <row r="1910" spans="1:9" x14ac:dyDescent="0.25">
      <c r="A1910" s="67">
        <v>41.1</v>
      </c>
      <c r="C1910" s="67" t="s">
        <v>215</v>
      </c>
      <c r="D1910" s="67" t="s">
        <v>229</v>
      </c>
      <c r="H1910" s="70">
        <v>44771</v>
      </c>
      <c r="I1910" s="69">
        <v>0.56736111111111109</v>
      </c>
    </row>
    <row r="1911" spans="1:9" x14ac:dyDescent="0.25">
      <c r="A1911" s="67" t="s">
        <v>228</v>
      </c>
      <c r="C1911" s="67" t="s">
        <v>227</v>
      </c>
      <c r="D1911" s="67" t="s">
        <v>226</v>
      </c>
      <c r="E1911" s="67">
        <v>589</v>
      </c>
      <c r="H1911" s="67" t="s">
        <v>225</v>
      </c>
      <c r="I1911" s="67">
        <v>35</v>
      </c>
    </row>
    <row r="1912" spans="1:9" x14ac:dyDescent="0.25">
      <c r="A1912" s="67" t="s">
        <v>884</v>
      </c>
    </row>
    <row r="1913" spans="1:9" x14ac:dyDescent="0.25">
      <c r="A1913" s="67" t="s">
        <v>223</v>
      </c>
      <c r="B1913" s="67" t="s">
        <v>222</v>
      </c>
      <c r="C1913" s="67" t="s">
        <v>221</v>
      </c>
      <c r="D1913" s="67" t="s">
        <v>220</v>
      </c>
      <c r="E1913" s="67" t="s">
        <v>219</v>
      </c>
      <c r="F1913" s="67" t="s">
        <v>217</v>
      </c>
      <c r="G1913" s="67" t="s">
        <v>218</v>
      </c>
      <c r="H1913" s="67" t="s">
        <v>217</v>
      </c>
      <c r="I1913" s="67" t="s">
        <v>216</v>
      </c>
    </row>
    <row r="1914" spans="1:9" x14ac:dyDescent="0.25">
      <c r="A1914" s="67" t="s">
        <v>215</v>
      </c>
      <c r="B1914" s="67" t="s">
        <v>214</v>
      </c>
      <c r="C1914" s="67" t="s">
        <v>213</v>
      </c>
      <c r="D1914" s="67" t="s">
        <v>212</v>
      </c>
      <c r="E1914" s="67" t="s">
        <v>211</v>
      </c>
      <c r="F1914" s="67" t="s">
        <v>210</v>
      </c>
      <c r="G1914" s="67" t="s">
        <v>209</v>
      </c>
      <c r="H1914" s="67" t="s">
        <v>208</v>
      </c>
      <c r="I1914" s="67" t="s">
        <v>207</v>
      </c>
    </row>
    <row r="1915" spans="1:9" x14ac:dyDescent="0.25">
      <c r="A1915" s="67" t="s">
        <v>206</v>
      </c>
      <c r="B1915" s="67" t="s">
        <v>205</v>
      </c>
      <c r="C1915" s="67" t="s">
        <v>204</v>
      </c>
      <c r="D1915" s="67" t="s">
        <v>203</v>
      </c>
      <c r="E1915" s="67" t="s">
        <v>202</v>
      </c>
      <c r="F1915" s="67" t="s">
        <v>201</v>
      </c>
      <c r="G1915" s="67" t="s">
        <v>200</v>
      </c>
      <c r="H1915" s="67" t="s">
        <v>199</v>
      </c>
    </row>
    <row r="1916" spans="1:9" x14ac:dyDescent="0.25">
      <c r="A1916" s="67" t="s">
        <v>4177</v>
      </c>
      <c r="B1916" s="67" t="s">
        <v>4176</v>
      </c>
      <c r="C1916" s="67">
        <v>0</v>
      </c>
      <c r="D1916" s="67">
        <v>0</v>
      </c>
      <c r="E1916" s="67">
        <v>83900.41</v>
      </c>
      <c r="F1916" s="67">
        <v>25250</v>
      </c>
      <c r="H1916" s="68">
        <v>40764</v>
      </c>
      <c r="I1916" s="67" t="s">
        <v>148</v>
      </c>
    </row>
    <row r="1917" spans="1:9" x14ac:dyDescent="0.25">
      <c r="B1917" s="67" t="s">
        <v>4176</v>
      </c>
      <c r="C1917" s="67">
        <v>0</v>
      </c>
      <c r="D1917" s="67">
        <v>0</v>
      </c>
      <c r="E1917" s="67">
        <v>83900.45</v>
      </c>
      <c r="H1917" s="67" t="s">
        <v>146</v>
      </c>
    </row>
    <row r="1919" spans="1:9" x14ac:dyDescent="0.25">
      <c r="A1919" s="67" t="s">
        <v>4175</v>
      </c>
      <c r="B1919" s="67" t="s">
        <v>4174</v>
      </c>
      <c r="C1919" s="67">
        <v>0</v>
      </c>
      <c r="D1919" s="67">
        <v>0</v>
      </c>
      <c r="E1919" s="67">
        <v>83900.41</v>
      </c>
      <c r="F1919" s="67">
        <v>25250</v>
      </c>
      <c r="H1919" s="68">
        <v>40764</v>
      </c>
      <c r="I1919" s="67" t="s">
        <v>148</v>
      </c>
    </row>
    <row r="1920" spans="1:9" x14ac:dyDescent="0.25">
      <c r="B1920" s="67" t="s">
        <v>4174</v>
      </c>
      <c r="C1920" s="67">
        <v>0</v>
      </c>
      <c r="D1920" s="67">
        <v>0</v>
      </c>
      <c r="E1920" s="67">
        <v>83900.45</v>
      </c>
      <c r="H1920" s="67" t="s">
        <v>146</v>
      </c>
    </row>
    <row r="1922" spans="1:9" x14ac:dyDescent="0.25">
      <c r="A1922" s="67" t="s">
        <v>4173</v>
      </c>
      <c r="B1922" s="67" t="s">
        <v>4172</v>
      </c>
      <c r="C1922" s="67">
        <v>0</v>
      </c>
      <c r="D1922" s="67">
        <v>0</v>
      </c>
      <c r="E1922" s="67">
        <v>83900.41</v>
      </c>
      <c r="F1922" s="67">
        <v>25250</v>
      </c>
      <c r="H1922" s="68">
        <v>40764</v>
      </c>
      <c r="I1922" s="67" t="s">
        <v>148</v>
      </c>
    </row>
    <row r="1923" spans="1:9" x14ac:dyDescent="0.25">
      <c r="B1923" s="67" t="s">
        <v>4172</v>
      </c>
      <c r="C1923" s="67">
        <v>0</v>
      </c>
      <c r="D1923" s="67">
        <v>0</v>
      </c>
      <c r="E1923" s="67">
        <v>83900.45</v>
      </c>
      <c r="H1923" s="67" t="s">
        <v>146</v>
      </c>
    </row>
    <row r="1925" spans="1:9" x14ac:dyDescent="0.25">
      <c r="A1925" s="67" t="s">
        <v>4171</v>
      </c>
      <c r="B1925" s="67" t="s">
        <v>4170</v>
      </c>
      <c r="C1925" s="67">
        <v>0</v>
      </c>
      <c r="D1925" s="67">
        <v>0</v>
      </c>
      <c r="E1925" s="67">
        <v>83900.41</v>
      </c>
      <c r="F1925" s="67">
        <v>25250</v>
      </c>
      <c r="H1925" s="68">
        <v>40764</v>
      </c>
      <c r="I1925" s="67" t="s">
        <v>148</v>
      </c>
    </row>
    <row r="1926" spans="1:9" x14ac:dyDescent="0.25">
      <c r="B1926" s="67" t="s">
        <v>4170</v>
      </c>
      <c r="C1926" s="67">
        <v>0</v>
      </c>
      <c r="D1926" s="67">
        <v>0</v>
      </c>
      <c r="E1926" s="67">
        <v>83900.45</v>
      </c>
      <c r="H1926" s="67" t="s">
        <v>146</v>
      </c>
    </row>
    <row r="1928" spans="1:9" x14ac:dyDescent="0.25">
      <c r="A1928" s="67" t="s">
        <v>4169</v>
      </c>
      <c r="B1928" s="67" t="s">
        <v>4168</v>
      </c>
      <c r="C1928" s="67">
        <v>0</v>
      </c>
      <c r="D1928" s="67">
        <v>0</v>
      </c>
      <c r="E1928" s="67">
        <v>83900.41</v>
      </c>
      <c r="F1928" s="67">
        <v>25250</v>
      </c>
      <c r="H1928" s="68">
        <v>40764</v>
      </c>
      <c r="I1928" s="67" t="s">
        <v>148</v>
      </c>
    </row>
    <row r="1929" spans="1:9" x14ac:dyDescent="0.25">
      <c r="B1929" s="67" t="s">
        <v>4168</v>
      </c>
      <c r="C1929" s="67">
        <v>0</v>
      </c>
      <c r="D1929" s="67">
        <v>0</v>
      </c>
      <c r="E1929" s="67">
        <v>83900.45</v>
      </c>
      <c r="H1929" s="67" t="s">
        <v>146</v>
      </c>
    </row>
    <row r="1931" spans="1:9" x14ac:dyDescent="0.25">
      <c r="A1931" s="67" t="s">
        <v>4167</v>
      </c>
      <c r="B1931" s="67" t="s">
        <v>4166</v>
      </c>
      <c r="C1931" s="67">
        <v>0</v>
      </c>
      <c r="D1931" s="67">
        <v>0</v>
      </c>
      <c r="E1931" s="67">
        <v>83900.41</v>
      </c>
      <c r="F1931" s="67">
        <v>25250</v>
      </c>
      <c r="H1931" s="68">
        <v>40764</v>
      </c>
      <c r="I1931" s="67" t="s">
        <v>148</v>
      </c>
    </row>
    <row r="1932" spans="1:9" x14ac:dyDescent="0.25">
      <c r="B1932" s="67" t="s">
        <v>4166</v>
      </c>
      <c r="C1932" s="67">
        <v>0</v>
      </c>
      <c r="D1932" s="67">
        <v>0</v>
      </c>
      <c r="E1932" s="67">
        <v>83900.45</v>
      </c>
      <c r="H1932" s="67" t="s">
        <v>146</v>
      </c>
    </row>
    <row r="1934" spans="1:9" x14ac:dyDescent="0.25">
      <c r="A1934" s="67" t="s">
        <v>4165</v>
      </c>
      <c r="B1934" s="67" t="s">
        <v>4164</v>
      </c>
      <c r="C1934" s="67">
        <v>0</v>
      </c>
      <c r="D1934" s="67">
        <v>0</v>
      </c>
      <c r="E1934" s="67">
        <v>83900.41</v>
      </c>
      <c r="F1934" s="67">
        <v>25250</v>
      </c>
      <c r="H1934" s="68">
        <v>40764</v>
      </c>
      <c r="I1934" s="67" t="s">
        <v>148</v>
      </c>
    </row>
    <row r="1935" spans="1:9" x14ac:dyDescent="0.25">
      <c r="B1935" s="67" t="s">
        <v>4164</v>
      </c>
      <c r="C1935" s="67">
        <v>0</v>
      </c>
      <c r="D1935" s="67">
        <v>0</v>
      </c>
      <c r="E1935" s="67">
        <v>83900.45</v>
      </c>
      <c r="H1935" s="67" t="s">
        <v>146</v>
      </c>
    </row>
    <row r="1937" spans="1:9" x14ac:dyDescent="0.25">
      <c r="A1937" s="67" t="s">
        <v>4163</v>
      </c>
      <c r="B1937" s="67" t="s">
        <v>4162</v>
      </c>
      <c r="C1937" s="67">
        <v>0</v>
      </c>
      <c r="D1937" s="67">
        <v>0</v>
      </c>
      <c r="E1937" s="67">
        <v>83900.41</v>
      </c>
      <c r="F1937" s="67">
        <v>25250</v>
      </c>
      <c r="H1937" s="68">
        <v>40764</v>
      </c>
      <c r="I1937" s="67" t="s">
        <v>148</v>
      </c>
    </row>
    <row r="1938" spans="1:9" x14ac:dyDescent="0.25">
      <c r="B1938" s="67" t="s">
        <v>4162</v>
      </c>
      <c r="C1938" s="67">
        <v>0</v>
      </c>
      <c r="D1938" s="67">
        <v>0</v>
      </c>
      <c r="E1938" s="67">
        <v>83900.45</v>
      </c>
      <c r="H1938" s="67" t="s">
        <v>146</v>
      </c>
    </row>
    <row r="1940" spans="1:9" x14ac:dyDescent="0.25">
      <c r="A1940" s="67" t="s">
        <v>4161</v>
      </c>
      <c r="B1940" s="67" t="s">
        <v>4160</v>
      </c>
      <c r="C1940" s="67">
        <v>0</v>
      </c>
      <c r="D1940" s="67">
        <v>0</v>
      </c>
      <c r="E1940" s="67">
        <v>83900.41</v>
      </c>
      <c r="F1940" s="67">
        <v>25250</v>
      </c>
      <c r="H1940" s="68">
        <v>40764</v>
      </c>
      <c r="I1940" s="67" t="s">
        <v>148</v>
      </c>
    </row>
    <row r="1941" spans="1:9" x14ac:dyDescent="0.25">
      <c r="B1941" s="67" t="s">
        <v>4160</v>
      </c>
      <c r="C1941" s="67">
        <v>0</v>
      </c>
      <c r="D1941" s="67">
        <v>0</v>
      </c>
      <c r="E1941" s="67">
        <v>83900.45</v>
      </c>
      <c r="H1941" s="67" t="s">
        <v>146</v>
      </c>
    </row>
    <row r="1943" spans="1:9" x14ac:dyDescent="0.25">
      <c r="A1943" s="67" t="s">
        <v>4159</v>
      </c>
      <c r="B1943" s="67" t="s">
        <v>4158</v>
      </c>
      <c r="C1943" s="67">
        <v>0</v>
      </c>
      <c r="D1943" s="67">
        <v>0</v>
      </c>
      <c r="E1943" s="67">
        <v>83900.41</v>
      </c>
      <c r="F1943" s="67">
        <v>25250</v>
      </c>
      <c r="H1943" s="68">
        <v>40764</v>
      </c>
      <c r="I1943" s="67" t="s">
        <v>148</v>
      </c>
    </row>
    <row r="1944" spans="1:9" x14ac:dyDescent="0.25">
      <c r="B1944" s="67" t="s">
        <v>4158</v>
      </c>
      <c r="C1944" s="67">
        <v>0</v>
      </c>
      <c r="D1944" s="67">
        <v>0</v>
      </c>
      <c r="E1944" s="67">
        <v>83900.45</v>
      </c>
      <c r="H1944" s="67" t="s">
        <v>146</v>
      </c>
    </row>
    <row r="1946" spans="1:9" x14ac:dyDescent="0.25">
      <c r="A1946" s="67" t="s">
        <v>4157</v>
      </c>
      <c r="B1946" s="67" t="s">
        <v>4156</v>
      </c>
      <c r="C1946" s="67">
        <v>0</v>
      </c>
      <c r="D1946" s="67">
        <v>0</v>
      </c>
      <c r="E1946" s="67">
        <v>83900.41</v>
      </c>
      <c r="F1946" s="67">
        <v>25250</v>
      </c>
      <c r="H1946" s="68">
        <v>40764</v>
      </c>
      <c r="I1946" s="67" t="s">
        <v>148</v>
      </c>
    </row>
    <row r="1947" spans="1:9" x14ac:dyDescent="0.25">
      <c r="B1947" s="67" t="s">
        <v>4156</v>
      </c>
      <c r="C1947" s="67">
        <v>0</v>
      </c>
      <c r="D1947" s="67">
        <v>0</v>
      </c>
      <c r="E1947" s="67">
        <v>83900.45</v>
      </c>
      <c r="H1947" s="67" t="s">
        <v>146</v>
      </c>
    </row>
    <row r="1949" spans="1:9" x14ac:dyDescent="0.25">
      <c r="A1949" s="67" t="s">
        <v>4155</v>
      </c>
      <c r="B1949" s="67" t="s">
        <v>4154</v>
      </c>
      <c r="C1949" s="67">
        <v>0</v>
      </c>
      <c r="D1949" s="67">
        <v>0</v>
      </c>
      <c r="E1949" s="67">
        <v>83900.41</v>
      </c>
      <c r="F1949" s="67">
        <v>25250</v>
      </c>
      <c r="H1949" s="68">
        <v>40764</v>
      </c>
      <c r="I1949" s="67" t="s">
        <v>148</v>
      </c>
    </row>
    <row r="1950" spans="1:9" x14ac:dyDescent="0.25">
      <c r="B1950" s="67" t="s">
        <v>4154</v>
      </c>
      <c r="C1950" s="67">
        <v>0</v>
      </c>
      <c r="D1950" s="67">
        <v>0</v>
      </c>
      <c r="E1950" s="67">
        <v>83900.45</v>
      </c>
      <c r="H1950" s="67" t="s">
        <v>146</v>
      </c>
    </row>
    <row r="1952" spans="1:9" x14ac:dyDescent="0.25">
      <c r="A1952" s="67" t="s">
        <v>4153</v>
      </c>
      <c r="B1952" s="67" t="s">
        <v>4152</v>
      </c>
      <c r="C1952" s="67">
        <v>0</v>
      </c>
      <c r="D1952" s="67">
        <v>0</v>
      </c>
      <c r="E1952" s="67">
        <v>83900.41</v>
      </c>
      <c r="F1952" s="67">
        <v>25250</v>
      </c>
      <c r="H1952" s="68">
        <v>40764</v>
      </c>
      <c r="I1952" s="67" t="s">
        <v>148</v>
      </c>
    </row>
    <row r="1953" spans="1:9" x14ac:dyDescent="0.25">
      <c r="B1953" s="67" t="s">
        <v>4152</v>
      </c>
      <c r="C1953" s="67">
        <v>0</v>
      </c>
      <c r="D1953" s="67">
        <v>0</v>
      </c>
      <c r="E1953" s="67">
        <v>83900.45</v>
      </c>
      <c r="H1953" s="67" t="s">
        <v>146</v>
      </c>
    </row>
    <row r="1955" spans="1:9" x14ac:dyDescent="0.25">
      <c r="A1955" s="67" t="s">
        <v>4151</v>
      </c>
      <c r="B1955" s="67" t="s">
        <v>4150</v>
      </c>
      <c r="C1955" s="67">
        <v>0</v>
      </c>
      <c r="D1955" s="67">
        <v>0</v>
      </c>
      <c r="E1955" s="67">
        <v>83900.41</v>
      </c>
      <c r="F1955" s="67">
        <v>25250</v>
      </c>
      <c r="H1955" s="68">
        <v>40764</v>
      </c>
      <c r="I1955" s="67" t="s">
        <v>148</v>
      </c>
    </row>
    <row r="1956" spans="1:9" x14ac:dyDescent="0.25">
      <c r="B1956" s="67" t="s">
        <v>4150</v>
      </c>
      <c r="C1956" s="67">
        <v>0</v>
      </c>
      <c r="D1956" s="67">
        <v>0</v>
      </c>
      <c r="E1956" s="67">
        <v>83900.45</v>
      </c>
      <c r="H1956" s="67" t="s">
        <v>146</v>
      </c>
    </row>
    <row r="1958" spans="1:9" x14ac:dyDescent="0.25">
      <c r="A1958" s="67" t="s">
        <v>4149</v>
      </c>
      <c r="B1958" s="67" t="s">
        <v>4148</v>
      </c>
      <c r="C1958" s="67">
        <v>0</v>
      </c>
      <c r="D1958" s="67">
        <v>0</v>
      </c>
      <c r="E1958" s="67">
        <v>83900.41</v>
      </c>
      <c r="F1958" s="67">
        <v>25250</v>
      </c>
      <c r="H1958" s="68">
        <v>40764</v>
      </c>
      <c r="I1958" s="67" t="s">
        <v>148</v>
      </c>
    </row>
    <row r="1959" spans="1:9" x14ac:dyDescent="0.25">
      <c r="B1959" s="67" t="s">
        <v>4148</v>
      </c>
      <c r="C1959" s="67">
        <v>0</v>
      </c>
      <c r="D1959" s="67">
        <v>0</v>
      </c>
      <c r="E1959" s="67">
        <v>83900.45</v>
      </c>
      <c r="H1959" s="67" t="s">
        <v>146</v>
      </c>
    </row>
    <row r="1961" spans="1:9" x14ac:dyDescent="0.25">
      <c r="A1961" s="67" t="s">
        <v>4147</v>
      </c>
      <c r="B1961" s="67" t="s">
        <v>4146</v>
      </c>
      <c r="C1961" s="67">
        <v>0</v>
      </c>
      <c r="D1961" s="67">
        <v>0</v>
      </c>
      <c r="E1961" s="67">
        <v>83900.41</v>
      </c>
      <c r="F1961" s="67">
        <v>25250</v>
      </c>
      <c r="H1961" s="68">
        <v>40764</v>
      </c>
      <c r="I1961" s="67" t="s">
        <v>148</v>
      </c>
    </row>
    <row r="1962" spans="1:9" x14ac:dyDescent="0.25">
      <c r="B1962" s="67" t="s">
        <v>4146</v>
      </c>
      <c r="C1962" s="67">
        <v>0</v>
      </c>
      <c r="D1962" s="67">
        <v>0</v>
      </c>
      <c r="E1962" s="67">
        <v>83900.45</v>
      </c>
      <c r="H1962" s="67" t="s">
        <v>146</v>
      </c>
    </row>
    <row r="1964" spans="1:9" x14ac:dyDescent="0.25">
      <c r="A1964" s="67" t="s">
        <v>4145</v>
      </c>
      <c r="B1964" s="67" t="s">
        <v>4144</v>
      </c>
      <c r="C1964" s="67">
        <v>0</v>
      </c>
      <c r="D1964" s="67">
        <v>0</v>
      </c>
      <c r="E1964" s="67">
        <v>83900.41</v>
      </c>
      <c r="F1964" s="67">
        <v>25250</v>
      </c>
      <c r="H1964" s="68">
        <v>40764</v>
      </c>
      <c r="I1964" s="67" t="s">
        <v>148</v>
      </c>
    </row>
    <row r="1965" spans="1:9" x14ac:dyDescent="0.25">
      <c r="B1965" s="67" t="s">
        <v>4144</v>
      </c>
      <c r="C1965" s="67">
        <v>0</v>
      </c>
      <c r="D1965" s="67">
        <v>0</v>
      </c>
      <c r="E1965" s="67">
        <v>83900.45</v>
      </c>
      <c r="H1965" s="67" t="s">
        <v>146</v>
      </c>
    </row>
    <row r="1966" spans="1:9" x14ac:dyDescent="0.25">
      <c r="A1966" s="67" t="s">
        <v>233</v>
      </c>
    </row>
    <row r="1968" spans="1:9" x14ac:dyDescent="0.25">
      <c r="A1968" s="67" t="s">
        <v>232</v>
      </c>
      <c r="D1968" s="67" t="s">
        <v>231</v>
      </c>
      <c r="H1968" s="67" t="s">
        <v>148</v>
      </c>
      <c r="I1968" s="67" t="s">
        <v>230</v>
      </c>
    </row>
    <row r="1969" spans="1:9" x14ac:dyDescent="0.25">
      <c r="A1969" s="67">
        <v>41.1</v>
      </c>
      <c r="C1969" s="67" t="s">
        <v>215</v>
      </c>
      <c r="D1969" s="67" t="s">
        <v>229</v>
      </c>
      <c r="H1969" s="70">
        <v>44771</v>
      </c>
      <c r="I1969" s="69">
        <v>0.56736111111111109</v>
      </c>
    </row>
    <row r="1970" spans="1:9" x14ac:dyDescent="0.25">
      <c r="A1970" s="67" t="s">
        <v>228</v>
      </c>
      <c r="C1970" s="67" t="s">
        <v>227</v>
      </c>
      <c r="D1970" s="67" t="s">
        <v>226</v>
      </c>
      <c r="E1970" s="67">
        <v>589</v>
      </c>
      <c r="H1970" s="67" t="s">
        <v>225</v>
      </c>
      <c r="I1970" s="67">
        <v>36</v>
      </c>
    </row>
    <row r="1971" spans="1:9" x14ac:dyDescent="0.25">
      <c r="A1971" s="67" t="s">
        <v>884</v>
      </c>
    </row>
    <row r="1972" spans="1:9" x14ac:dyDescent="0.25">
      <c r="A1972" s="67" t="s">
        <v>223</v>
      </c>
      <c r="B1972" s="67" t="s">
        <v>222</v>
      </c>
      <c r="C1972" s="67" t="s">
        <v>221</v>
      </c>
      <c r="D1972" s="67" t="s">
        <v>220</v>
      </c>
      <c r="E1972" s="67" t="s">
        <v>219</v>
      </c>
      <c r="F1972" s="67" t="s">
        <v>217</v>
      </c>
      <c r="G1972" s="67" t="s">
        <v>218</v>
      </c>
      <c r="H1972" s="67" t="s">
        <v>217</v>
      </c>
      <c r="I1972" s="67" t="s">
        <v>216</v>
      </c>
    </row>
    <row r="1973" spans="1:9" x14ac:dyDescent="0.25">
      <c r="A1973" s="67" t="s">
        <v>215</v>
      </c>
      <c r="B1973" s="67" t="s">
        <v>214</v>
      </c>
      <c r="C1973" s="67" t="s">
        <v>213</v>
      </c>
      <c r="D1973" s="67" t="s">
        <v>212</v>
      </c>
      <c r="E1973" s="67" t="s">
        <v>211</v>
      </c>
      <c r="F1973" s="67" t="s">
        <v>210</v>
      </c>
      <c r="G1973" s="67" t="s">
        <v>209</v>
      </c>
      <c r="H1973" s="67" t="s">
        <v>208</v>
      </c>
      <c r="I1973" s="67" t="s">
        <v>207</v>
      </c>
    </row>
    <row r="1974" spans="1:9" x14ac:dyDescent="0.25">
      <c r="A1974" s="67" t="s">
        <v>206</v>
      </c>
      <c r="B1974" s="67" t="s">
        <v>205</v>
      </c>
      <c r="C1974" s="67" t="s">
        <v>204</v>
      </c>
      <c r="D1974" s="67" t="s">
        <v>203</v>
      </c>
      <c r="E1974" s="67" t="s">
        <v>202</v>
      </c>
      <c r="F1974" s="67" t="s">
        <v>201</v>
      </c>
      <c r="G1974" s="67" t="s">
        <v>200</v>
      </c>
      <c r="H1974" s="67" t="s">
        <v>199</v>
      </c>
    </row>
    <row r="1975" spans="1:9" x14ac:dyDescent="0.25">
      <c r="A1975" s="67" t="s">
        <v>4143</v>
      </c>
      <c r="B1975" s="67" t="s">
        <v>4142</v>
      </c>
      <c r="C1975" s="67">
        <v>0</v>
      </c>
      <c r="D1975" s="67">
        <v>0</v>
      </c>
      <c r="E1975" s="67">
        <v>83900.41</v>
      </c>
      <c r="F1975" s="67">
        <v>25250</v>
      </c>
      <c r="H1975" s="68">
        <v>40764</v>
      </c>
      <c r="I1975" s="67" t="s">
        <v>148</v>
      </c>
    </row>
    <row r="1976" spans="1:9" x14ac:dyDescent="0.25">
      <c r="B1976" s="67" t="s">
        <v>4142</v>
      </c>
      <c r="C1976" s="67">
        <v>0</v>
      </c>
      <c r="D1976" s="67">
        <v>0</v>
      </c>
      <c r="E1976" s="67">
        <v>83900.45</v>
      </c>
      <c r="H1976" s="67" t="s">
        <v>146</v>
      </c>
    </row>
    <row r="1978" spans="1:9" x14ac:dyDescent="0.25">
      <c r="A1978" s="67" t="s">
        <v>4141</v>
      </c>
      <c r="B1978" s="67" t="s">
        <v>4140</v>
      </c>
      <c r="C1978" s="67">
        <v>0</v>
      </c>
      <c r="D1978" s="67">
        <v>0</v>
      </c>
      <c r="E1978" s="67">
        <v>83900.41</v>
      </c>
      <c r="F1978" s="67">
        <v>25250</v>
      </c>
      <c r="H1978" s="68">
        <v>40764</v>
      </c>
      <c r="I1978" s="67" t="s">
        <v>148</v>
      </c>
    </row>
    <row r="1979" spans="1:9" x14ac:dyDescent="0.25">
      <c r="B1979" s="67" t="s">
        <v>4140</v>
      </c>
      <c r="C1979" s="67">
        <v>0</v>
      </c>
      <c r="D1979" s="67">
        <v>0</v>
      </c>
      <c r="E1979" s="67">
        <v>83900.45</v>
      </c>
      <c r="H1979" s="67" t="s">
        <v>146</v>
      </c>
    </row>
    <row r="1981" spans="1:9" x14ac:dyDescent="0.25">
      <c r="A1981" s="67" t="s">
        <v>4139</v>
      </c>
      <c r="B1981" s="67" t="s">
        <v>4138</v>
      </c>
      <c r="C1981" s="67">
        <v>0</v>
      </c>
      <c r="D1981" s="67">
        <v>0</v>
      </c>
      <c r="E1981" s="67">
        <v>83900.41</v>
      </c>
      <c r="F1981" s="67">
        <v>25250</v>
      </c>
      <c r="H1981" s="68">
        <v>40764</v>
      </c>
      <c r="I1981" s="67" t="s">
        <v>148</v>
      </c>
    </row>
    <row r="1982" spans="1:9" x14ac:dyDescent="0.25">
      <c r="B1982" s="67" t="s">
        <v>4138</v>
      </c>
      <c r="C1982" s="67">
        <v>0</v>
      </c>
      <c r="D1982" s="67">
        <v>0</v>
      </c>
      <c r="E1982" s="67">
        <v>83900.45</v>
      </c>
      <c r="H1982" s="67" t="s">
        <v>146</v>
      </c>
    </row>
    <row r="1984" spans="1:9" x14ac:dyDescent="0.25">
      <c r="A1984" s="67" t="s">
        <v>4137</v>
      </c>
      <c r="B1984" s="67" t="s">
        <v>4136</v>
      </c>
      <c r="C1984" s="67">
        <v>0</v>
      </c>
      <c r="D1984" s="67">
        <v>0</v>
      </c>
      <c r="E1984" s="67">
        <v>83900.41</v>
      </c>
      <c r="F1984" s="67">
        <v>25250</v>
      </c>
      <c r="H1984" s="68">
        <v>40764</v>
      </c>
      <c r="I1984" s="67" t="s">
        <v>148</v>
      </c>
    </row>
    <row r="1985" spans="1:9" x14ac:dyDescent="0.25">
      <c r="B1985" s="67" t="s">
        <v>4136</v>
      </c>
      <c r="C1985" s="67">
        <v>0</v>
      </c>
      <c r="D1985" s="67">
        <v>0</v>
      </c>
      <c r="E1985" s="67">
        <v>83900.45</v>
      </c>
      <c r="H1985" s="67" t="s">
        <v>146</v>
      </c>
    </row>
    <row r="1987" spans="1:9" x14ac:dyDescent="0.25">
      <c r="A1987" s="67" t="s">
        <v>4135</v>
      </c>
      <c r="B1987" s="67" t="s">
        <v>4134</v>
      </c>
      <c r="C1987" s="67">
        <v>0</v>
      </c>
      <c r="D1987" s="67">
        <v>0</v>
      </c>
      <c r="E1987" s="67">
        <v>83900.41</v>
      </c>
      <c r="F1987" s="67">
        <v>25250</v>
      </c>
      <c r="H1987" s="68">
        <v>40764</v>
      </c>
      <c r="I1987" s="67" t="s">
        <v>148</v>
      </c>
    </row>
    <row r="1988" spans="1:9" x14ac:dyDescent="0.25">
      <c r="B1988" s="67" t="s">
        <v>4134</v>
      </c>
      <c r="C1988" s="67">
        <v>0</v>
      </c>
      <c r="D1988" s="67">
        <v>0</v>
      </c>
      <c r="E1988" s="67">
        <v>83900.45</v>
      </c>
      <c r="H1988" s="67" t="s">
        <v>146</v>
      </c>
    </row>
    <row r="1990" spans="1:9" x14ac:dyDescent="0.25">
      <c r="A1990" s="67" t="s">
        <v>4133</v>
      </c>
      <c r="B1990" s="67" t="s">
        <v>4132</v>
      </c>
      <c r="C1990" s="67">
        <v>0</v>
      </c>
      <c r="D1990" s="67">
        <v>0</v>
      </c>
      <c r="E1990" s="67">
        <v>83900.41</v>
      </c>
      <c r="F1990" s="67">
        <v>25250</v>
      </c>
      <c r="H1990" s="68">
        <v>40764</v>
      </c>
      <c r="I1990" s="67" t="s">
        <v>148</v>
      </c>
    </row>
    <row r="1991" spans="1:9" x14ac:dyDescent="0.25">
      <c r="B1991" s="67" t="s">
        <v>4132</v>
      </c>
      <c r="C1991" s="67">
        <v>0</v>
      </c>
      <c r="D1991" s="67">
        <v>0</v>
      </c>
      <c r="E1991" s="67">
        <v>83900.45</v>
      </c>
      <c r="H1991" s="67" t="s">
        <v>146</v>
      </c>
    </row>
    <row r="1993" spans="1:9" x14ac:dyDescent="0.25">
      <c r="A1993" s="67" t="s">
        <v>4131</v>
      </c>
      <c r="B1993" s="67" t="s">
        <v>4130</v>
      </c>
      <c r="C1993" s="67">
        <v>0</v>
      </c>
      <c r="D1993" s="67">
        <v>0</v>
      </c>
      <c r="E1993" s="67">
        <v>83900.41</v>
      </c>
      <c r="F1993" s="67">
        <v>25250</v>
      </c>
      <c r="H1993" s="68">
        <v>40764</v>
      </c>
      <c r="I1993" s="67" t="s">
        <v>148</v>
      </c>
    </row>
    <row r="1994" spans="1:9" x14ac:dyDescent="0.25">
      <c r="B1994" s="67" t="s">
        <v>4130</v>
      </c>
      <c r="C1994" s="67">
        <v>0</v>
      </c>
      <c r="D1994" s="67">
        <v>0</v>
      </c>
      <c r="E1994" s="67">
        <v>83900.45</v>
      </c>
      <c r="H1994" s="67" t="s">
        <v>146</v>
      </c>
    </row>
    <row r="1996" spans="1:9" x14ac:dyDescent="0.25">
      <c r="A1996" s="67" t="s">
        <v>4129</v>
      </c>
      <c r="B1996" s="67" t="s">
        <v>4128</v>
      </c>
      <c r="C1996" s="67">
        <v>0</v>
      </c>
      <c r="D1996" s="67">
        <v>0</v>
      </c>
      <c r="E1996" s="67">
        <v>83900.41</v>
      </c>
      <c r="F1996" s="67">
        <v>25250</v>
      </c>
      <c r="H1996" s="68">
        <v>40764</v>
      </c>
      <c r="I1996" s="67" t="s">
        <v>148</v>
      </c>
    </row>
    <row r="1997" spans="1:9" x14ac:dyDescent="0.25">
      <c r="B1997" s="67" t="s">
        <v>4128</v>
      </c>
      <c r="C1997" s="67">
        <v>0</v>
      </c>
      <c r="D1997" s="67">
        <v>0</v>
      </c>
      <c r="E1997" s="67">
        <v>83900.45</v>
      </c>
      <c r="H1997" s="67" t="s">
        <v>146</v>
      </c>
    </row>
    <row r="1999" spans="1:9" x14ac:dyDescent="0.25">
      <c r="A1999" s="67" t="s">
        <v>4127</v>
      </c>
      <c r="B1999" s="67" t="s">
        <v>4126</v>
      </c>
      <c r="C1999" s="67">
        <v>0</v>
      </c>
      <c r="D1999" s="67">
        <v>0</v>
      </c>
      <c r="E1999" s="67">
        <v>83900.41</v>
      </c>
      <c r="F1999" s="67">
        <v>25250</v>
      </c>
      <c r="H1999" s="68">
        <v>40764</v>
      </c>
      <c r="I1999" s="67" t="s">
        <v>148</v>
      </c>
    </row>
    <row r="2000" spans="1:9" x14ac:dyDescent="0.25">
      <c r="B2000" s="67" t="s">
        <v>4126</v>
      </c>
      <c r="C2000" s="67">
        <v>0</v>
      </c>
      <c r="D2000" s="67">
        <v>0</v>
      </c>
      <c r="E2000" s="67">
        <v>83900.45</v>
      </c>
      <c r="H2000" s="67" t="s">
        <v>146</v>
      </c>
    </row>
    <row r="2002" spans="1:9" x14ac:dyDescent="0.25">
      <c r="A2002" s="67" t="s">
        <v>4125</v>
      </c>
      <c r="B2002" s="67" t="s">
        <v>4124</v>
      </c>
      <c r="C2002" s="67">
        <v>0</v>
      </c>
      <c r="D2002" s="67">
        <v>0</v>
      </c>
      <c r="E2002" s="67">
        <v>83900.41</v>
      </c>
      <c r="F2002" s="67">
        <v>25250</v>
      </c>
      <c r="H2002" s="68">
        <v>40764</v>
      </c>
      <c r="I2002" s="67" t="s">
        <v>148</v>
      </c>
    </row>
    <row r="2003" spans="1:9" x14ac:dyDescent="0.25">
      <c r="B2003" s="67" t="s">
        <v>4124</v>
      </c>
      <c r="C2003" s="67">
        <v>0</v>
      </c>
      <c r="D2003" s="67">
        <v>0</v>
      </c>
      <c r="E2003" s="67">
        <v>83900.45</v>
      </c>
      <c r="H2003" s="67" t="s">
        <v>146</v>
      </c>
    </row>
    <row r="2005" spans="1:9" x14ac:dyDescent="0.25">
      <c r="A2005" s="67" t="s">
        <v>4123</v>
      </c>
      <c r="B2005" s="67" t="s">
        <v>4122</v>
      </c>
      <c r="C2005" s="67">
        <v>0</v>
      </c>
      <c r="D2005" s="67">
        <v>0</v>
      </c>
      <c r="E2005" s="67">
        <v>83900.41</v>
      </c>
      <c r="F2005" s="67">
        <v>25250</v>
      </c>
      <c r="H2005" s="68">
        <v>40764</v>
      </c>
      <c r="I2005" s="67" t="s">
        <v>148</v>
      </c>
    </row>
    <row r="2006" spans="1:9" x14ac:dyDescent="0.25">
      <c r="B2006" s="67" t="s">
        <v>4122</v>
      </c>
      <c r="C2006" s="67">
        <v>0</v>
      </c>
      <c r="D2006" s="67">
        <v>0</v>
      </c>
      <c r="E2006" s="67">
        <v>83900.45</v>
      </c>
      <c r="H2006" s="67" t="s">
        <v>146</v>
      </c>
    </row>
    <row r="2008" spans="1:9" x14ac:dyDescent="0.25">
      <c r="A2008" s="67" t="s">
        <v>4121</v>
      </c>
      <c r="B2008" s="67" t="s">
        <v>4120</v>
      </c>
      <c r="C2008" s="67">
        <v>0</v>
      </c>
      <c r="D2008" s="67">
        <v>0</v>
      </c>
      <c r="E2008" s="67">
        <v>83900.41</v>
      </c>
      <c r="F2008" s="67">
        <v>25250</v>
      </c>
      <c r="H2008" s="68">
        <v>40764</v>
      </c>
      <c r="I2008" s="67" t="s">
        <v>148</v>
      </c>
    </row>
    <row r="2009" spans="1:9" x14ac:dyDescent="0.25">
      <c r="B2009" s="67" t="s">
        <v>4120</v>
      </c>
      <c r="C2009" s="67">
        <v>0</v>
      </c>
      <c r="D2009" s="67">
        <v>0</v>
      </c>
      <c r="E2009" s="67">
        <v>83900.45</v>
      </c>
      <c r="H2009" s="67" t="s">
        <v>146</v>
      </c>
    </row>
    <row r="2011" spans="1:9" x14ac:dyDescent="0.25">
      <c r="A2011" s="67" t="s">
        <v>4119</v>
      </c>
      <c r="B2011" s="67" t="s">
        <v>4118</v>
      </c>
      <c r="C2011" s="67">
        <v>0</v>
      </c>
      <c r="D2011" s="67">
        <v>0</v>
      </c>
      <c r="E2011" s="67">
        <v>83900.41</v>
      </c>
      <c r="F2011" s="67">
        <v>25250</v>
      </c>
      <c r="H2011" s="68">
        <v>40764</v>
      </c>
      <c r="I2011" s="67" t="s">
        <v>148</v>
      </c>
    </row>
    <row r="2012" spans="1:9" x14ac:dyDescent="0.25">
      <c r="B2012" s="67" t="s">
        <v>4118</v>
      </c>
      <c r="C2012" s="67">
        <v>0</v>
      </c>
      <c r="D2012" s="67">
        <v>0</v>
      </c>
      <c r="E2012" s="67">
        <v>83900.45</v>
      </c>
      <c r="H2012" s="67" t="s">
        <v>146</v>
      </c>
    </row>
    <row r="2014" spans="1:9" x14ac:dyDescent="0.25">
      <c r="A2014" s="67" t="s">
        <v>4117</v>
      </c>
      <c r="B2014" s="67" t="s">
        <v>4116</v>
      </c>
      <c r="C2014" s="67">
        <v>0</v>
      </c>
      <c r="D2014" s="67">
        <v>0</v>
      </c>
      <c r="E2014" s="67">
        <v>83900.41</v>
      </c>
      <c r="F2014" s="67">
        <v>25250</v>
      </c>
      <c r="H2014" s="68">
        <v>40764</v>
      </c>
      <c r="I2014" s="67" t="s">
        <v>148</v>
      </c>
    </row>
    <row r="2015" spans="1:9" x14ac:dyDescent="0.25">
      <c r="B2015" s="67" t="s">
        <v>4116</v>
      </c>
      <c r="C2015" s="67">
        <v>0</v>
      </c>
      <c r="D2015" s="67">
        <v>0</v>
      </c>
      <c r="E2015" s="67">
        <v>83900.45</v>
      </c>
      <c r="H2015" s="67" t="s">
        <v>146</v>
      </c>
    </row>
    <row r="2017" spans="1:9" x14ac:dyDescent="0.25">
      <c r="A2017" s="67" t="s">
        <v>4115</v>
      </c>
      <c r="B2017" s="67" t="s">
        <v>4114</v>
      </c>
      <c r="C2017" s="67">
        <v>0</v>
      </c>
      <c r="D2017" s="67">
        <v>0</v>
      </c>
      <c r="E2017" s="67">
        <v>83900.41</v>
      </c>
      <c r="F2017" s="67">
        <v>25250</v>
      </c>
      <c r="H2017" s="68">
        <v>40764</v>
      </c>
      <c r="I2017" s="67" t="s">
        <v>148</v>
      </c>
    </row>
    <row r="2018" spans="1:9" x14ac:dyDescent="0.25">
      <c r="B2018" s="67" t="s">
        <v>4114</v>
      </c>
      <c r="C2018" s="67">
        <v>0</v>
      </c>
      <c r="D2018" s="67">
        <v>0</v>
      </c>
      <c r="E2018" s="67">
        <v>83900.45</v>
      </c>
      <c r="H2018" s="67" t="s">
        <v>146</v>
      </c>
    </row>
    <row r="2020" spans="1:9" x14ac:dyDescent="0.25">
      <c r="A2020" s="67" t="s">
        <v>4113</v>
      </c>
      <c r="B2020" s="67" t="s">
        <v>4112</v>
      </c>
      <c r="C2020" s="67">
        <v>0</v>
      </c>
      <c r="D2020" s="67">
        <v>0</v>
      </c>
      <c r="E2020" s="67">
        <v>83900.41</v>
      </c>
      <c r="F2020" s="67">
        <v>25250</v>
      </c>
      <c r="H2020" s="68">
        <v>40764</v>
      </c>
      <c r="I2020" s="67" t="s">
        <v>148</v>
      </c>
    </row>
    <row r="2021" spans="1:9" x14ac:dyDescent="0.25">
      <c r="B2021" s="67" t="s">
        <v>4112</v>
      </c>
      <c r="C2021" s="67">
        <v>0</v>
      </c>
      <c r="D2021" s="67">
        <v>0</v>
      </c>
      <c r="E2021" s="67">
        <v>83900.45</v>
      </c>
      <c r="H2021" s="67" t="s">
        <v>146</v>
      </c>
    </row>
    <row r="2023" spans="1:9" x14ac:dyDescent="0.25">
      <c r="A2023" s="67" t="s">
        <v>4111</v>
      </c>
      <c r="B2023" s="67" t="s">
        <v>4110</v>
      </c>
      <c r="C2023" s="67">
        <v>0</v>
      </c>
      <c r="D2023" s="67">
        <v>0</v>
      </c>
      <c r="E2023" s="67">
        <v>83900.41</v>
      </c>
      <c r="F2023" s="67">
        <v>25250</v>
      </c>
      <c r="H2023" s="68">
        <v>40764</v>
      </c>
      <c r="I2023" s="67" t="s">
        <v>148</v>
      </c>
    </row>
    <row r="2024" spans="1:9" x14ac:dyDescent="0.25">
      <c r="B2024" s="67" t="s">
        <v>4110</v>
      </c>
      <c r="C2024" s="67">
        <v>0</v>
      </c>
      <c r="D2024" s="67">
        <v>0</v>
      </c>
      <c r="E2024" s="67">
        <v>83900.45</v>
      </c>
      <c r="H2024" s="67" t="s">
        <v>146</v>
      </c>
    </row>
    <row r="2025" spans="1:9" x14ac:dyDescent="0.25">
      <c r="A2025" s="67" t="s">
        <v>233</v>
      </c>
    </row>
    <row r="2027" spans="1:9" x14ac:dyDescent="0.25">
      <c r="A2027" s="67" t="s">
        <v>232</v>
      </c>
      <c r="D2027" s="67" t="s">
        <v>231</v>
      </c>
      <c r="H2027" s="67" t="s">
        <v>148</v>
      </c>
      <c r="I2027" s="67" t="s">
        <v>230</v>
      </c>
    </row>
    <row r="2028" spans="1:9" x14ac:dyDescent="0.25">
      <c r="A2028" s="67">
        <v>41.1</v>
      </c>
      <c r="C2028" s="67" t="s">
        <v>215</v>
      </c>
      <c r="D2028" s="67" t="s">
        <v>229</v>
      </c>
      <c r="H2028" s="70">
        <v>44771</v>
      </c>
      <c r="I2028" s="69">
        <v>0.56736111111111109</v>
      </c>
    </row>
    <row r="2029" spans="1:9" x14ac:dyDescent="0.25">
      <c r="A2029" s="67" t="s">
        <v>228</v>
      </c>
      <c r="C2029" s="67" t="s">
        <v>227</v>
      </c>
      <c r="D2029" s="67" t="s">
        <v>226</v>
      </c>
      <c r="E2029" s="67">
        <v>589</v>
      </c>
      <c r="H2029" s="67" t="s">
        <v>225</v>
      </c>
      <c r="I2029" s="67">
        <v>37</v>
      </c>
    </row>
    <row r="2030" spans="1:9" x14ac:dyDescent="0.25">
      <c r="A2030" s="67" t="s">
        <v>884</v>
      </c>
    </row>
    <row r="2031" spans="1:9" x14ac:dyDescent="0.25">
      <c r="A2031" s="67" t="s">
        <v>223</v>
      </c>
      <c r="B2031" s="67" t="s">
        <v>222</v>
      </c>
      <c r="C2031" s="67" t="s">
        <v>221</v>
      </c>
      <c r="D2031" s="67" t="s">
        <v>220</v>
      </c>
      <c r="E2031" s="67" t="s">
        <v>219</v>
      </c>
      <c r="F2031" s="67" t="s">
        <v>217</v>
      </c>
      <c r="G2031" s="67" t="s">
        <v>218</v>
      </c>
      <c r="H2031" s="67" t="s">
        <v>217</v>
      </c>
      <c r="I2031" s="67" t="s">
        <v>216</v>
      </c>
    </row>
    <row r="2032" spans="1:9" x14ac:dyDescent="0.25">
      <c r="A2032" s="67" t="s">
        <v>215</v>
      </c>
      <c r="B2032" s="67" t="s">
        <v>214</v>
      </c>
      <c r="C2032" s="67" t="s">
        <v>213</v>
      </c>
      <c r="D2032" s="67" t="s">
        <v>212</v>
      </c>
      <c r="E2032" s="67" t="s">
        <v>211</v>
      </c>
      <c r="F2032" s="67" t="s">
        <v>210</v>
      </c>
      <c r="G2032" s="67" t="s">
        <v>209</v>
      </c>
      <c r="H2032" s="67" t="s">
        <v>208</v>
      </c>
      <c r="I2032" s="67" t="s">
        <v>207</v>
      </c>
    </row>
    <row r="2033" spans="1:9" x14ac:dyDescent="0.25">
      <c r="A2033" s="67" t="s">
        <v>206</v>
      </c>
      <c r="B2033" s="67" t="s">
        <v>205</v>
      </c>
      <c r="C2033" s="67" t="s">
        <v>204</v>
      </c>
      <c r="D2033" s="67" t="s">
        <v>203</v>
      </c>
      <c r="E2033" s="67" t="s">
        <v>202</v>
      </c>
      <c r="F2033" s="67" t="s">
        <v>201</v>
      </c>
      <c r="G2033" s="67" t="s">
        <v>200</v>
      </c>
      <c r="H2033" s="67" t="s">
        <v>199</v>
      </c>
    </row>
    <row r="2034" spans="1:9" x14ac:dyDescent="0.25">
      <c r="A2034" s="67" t="s">
        <v>4109</v>
      </c>
      <c r="B2034" s="67" t="s">
        <v>4108</v>
      </c>
      <c r="C2034" s="67">
        <v>0</v>
      </c>
      <c r="D2034" s="67">
        <v>0</v>
      </c>
      <c r="E2034" s="67">
        <v>83900.41</v>
      </c>
      <c r="F2034" s="67">
        <v>25250</v>
      </c>
      <c r="H2034" s="68">
        <v>40764</v>
      </c>
      <c r="I2034" s="67" t="s">
        <v>148</v>
      </c>
    </row>
    <row r="2035" spans="1:9" x14ac:dyDescent="0.25">
      <c r="B2035" s="67" t="s">
        <v>4108</v>
      </c>
      <c r="C2035" s="67">
        <v>0</v>
      </c>
      <c r="D2035" s="67">
        <v>0</v>
      </c>
      <c r="E2035" s="67">
        <v>83900.45</v>
      </c>
      <c r="H2035" s="67" t="s">
        <v>146</v>
      </c>
    </row>
    <row r="2037" spans="1:9" x14ac:dyDescent="0.25">
      <c r="A2037" s="67" t="s">
        <v>4107</v>
      </c>
      <c r="B2037" s="67" t="s">
        <v>4106</v>
      </c>
      <c r="C2037" s="67">
        <v>0</v>
      </c>
      <c r="D2037" s="67">
        <v>0</v>
      </c>
      <c r="E2037" s="67">
        <v>83900.41</v>
      </c>
      <c r="F2037" s="67">
        <v>25250</v>
      </c>
      <c r="H2037" s="68">
        <v>40764</v>
      </c>
      <c r="I2037" s="67" t="s">
        <v>148</v>
      </c>
    </row>
    <row r="2038" spans="1:9" x14ac:dyDescent="0.25">
      <c r="B2038" s="67" t="s">
        <v>4106</v>
      </c>
      <c r="C2038" s="67">
        <v>0</v>
      </c>
      <c r="D2038" s="67">
        <v>0</v>
      </c>
      <c r="E2038" s="67">
        <v>83900.45</v>
      </c>
      <c r="H2038" s="67" t="s">
        <v>146</v>
      </c>
    </row>
    <row r="2040" spans="1:9" x14ac:dyDescent="0.25">
      <c r="A2040" s="67" t="s">
        <v>4105</v>
      </c>
      <c r="B2040" s="67" t="s">
        <v>4104</v>
      </c>
      <c r="C2040" s="67">
        <v>0</v>
      </c>
      <c r="D2040" s="67">
        <v>0</v>
      </c>
      <c r="E2040" s="67">
        <v>83900.41</v>
      </c>
      <c r="F2040" s="67">
        <v>25250</v>
      </c>
      <c r="H2040" s="68">
        <v>40764</v>
      </c>
      <c r="I2040" s="67" t="s">
        <v>148</v>
      </c>
    </row>
    <row r="2041" spans="1:9" x14ac:dyDescent="0.25">
      <c r="B2041" s="67" t="s">
        <v>4104</v>
      </c>
      <c r="C2041" s="67">
        <v>0</v>
      </c>
      <c r="D2041" s="67">
        <v>0</v>
      </c>
      <c r="E2041" s="67">
        <v>83900.45</v>
      </c>
      <c r="H2041" s="67" t="s">
        <v>146</v>
      </c>
    </row>
    <row r="2043" spans="1:9" x14ac:dyDescent="0.25">
      <c r="A2043" s="67" t="s">
        <v>4103</v>
      </c>
      <c r="B2043" s="67" t="s">
        <v>4102</v>
      </c>
      <c r="C2043" s="67">
        <v>0</v>
      </c>
      <c r="D2043" s="67">
        <v>0</v>
      </c>
      <c r="E2043" s="67">
        <v>83900.41</v>
      </c>
      <c r="F2043" s="67">
        <v>25250</v>
      </c>
      <c r="H2043" s="68">
        <v>40764</v>
      </c>
      <c r="I2043" s="67" t="s">
        <v>148</v>
      </c>
    </row>
    <row r="2044" spans="1:9" x14ac:dyDescent="0.25">
      <c r="B2044" s="67" t="s">
        <v>4102</v>
      </c>
      <c r="C2044" s="67">
        <v>0</v>
      </c>
      <c r="D2044" s="67">
        <v>0</v>
      </c>
      <c r="E2044" s="67">
        <v>83900.45</v>
      </c>
      <c r="H2044" s="67" t="s">
        <v>146</v>
      </c>
    </row>
    <row r="2046" spans="1:9" x14ac:dyDescent="0.25">
      <c r="A2046" s="67" t="s">
        <v>4101</v>
      </c>
      <c r="B2046" s="67" t="s">
        <v>4100</v>
      </c>
      <c r="C2046" s="67">
        <v>0</v>
      </c>
      <c r="D2046" s="67">
        <v>0</v>
      </c>
      <c r="E2046" s="67">
        <v>83900.41</v>
      </c>
      <c r="F2046" s="67">
        <v>25250</v>
      </c>
      <c r="H2046" s="68">
        <v>40764</v>
      </c>
      <c r="I2046" s="67" t="s">
        <v>148</v>
      </c>
    </row>
    <row r="2047" spans="1:9" x14ac:dyDescent="0.25">
      <c r="B2047" s="67" t="s">
        <v>4100</v>
      </c>
      <c r="C2047" s="67">
        <v>0</v>
      </c>
      <c r="D2047" s="67">
        <v>0</v>
      </c>
      <c r="E2047" s="67">
        <v>83900.45</v>
      </c>
      <c r="H2047" s="67" t="s">
        <v>146</v>
      </c>
    </row>
    <row r="2049" spans="1:9" x14ac:dyDescent="0.25">
      <c r="A2049" s="67" t="s">
        <v>4099</v>
      </c>
      <c r="B2049" s="67" t="s">
        <v>4098</v>
      </c>
      <c r="C2049" s="67">
        <v>0</v>
      </c>
      <c r="D2049" s="67">
        <v>0</v>
      </c>
      <c r="E2049" s="67">
        <v>83900.41</v>
      </c>
      <c r="F2049" s="67">
        <v>25250</v>
      </c>
      <c r="H2049" s="68">
        <v>40764</v>
      </c>
      <c r="I2049" s="67" t="s">
        <v>148</v>
      </c>
    </row>
    <row r="2050" spans="1:9" x14ac:dyDescent="0.25">
      <c r="B2050" s="67" t="s">
        <v>4098</v>
      </c>
      <c r="C2050" s="67">
        <v>0</v>
      </c>
      <c r="D2050" s="67">
        <v>0</v>
      </c>
      <c r="E2050" s="67">
        <v>83900.45</v>
      </c>
      <c r="H2050" s="67" t="s">
        <v>146</v>
      </c>
    </row>
    <row r="2052" spans="1:9" x14ac:dyDescent="0.25">
      <c r="A2052" s="67" t="s">
        <v>4097</v>
      </c>
      <c r="B2052" s="67" t="s">
        <v>4096</v>
      </c>
      <c r="C2052" s="67">
        <v>0</v>
      </c>
      <c r="D2052" s="67">
        <v>0</v>
      </c>
      <c r="E2052" s="67">
        <v>83900.41</v>
      </c>
      <c r="F2052" s="67">
        <v>25250</v>
      </c>
      <c r="H2052" s="68">
        <v>40764</v>
      </c>
      <c r="I2052" s="67" t="s">
        <v>148</v>
      </c>
    </row>
    <row r="2053" spans="1:9" x14ac:dyDescent="0.25">
      <c r="B2053" s="67" t="s">
        <v>4096</v>
      </c>
      <c r="C2053" s="67">
        <v>0</v>
      </c>
      <c r="D2053" s="67">
        <v>0</v>
      </c>
      <c r="E2053" s="67">
        <v>83900.45</v>
      </c>
      <c r="H2053" s="67" t="s">
        <v>146</v>
      </c>
    </row>
    <row r="2055" spans="1:9" x14ac:dyDescent="0.25">
      <c r="A2055" s="67" t="s">
        <v>4095</v>
      </c>
      <c r="B2055" s="67" t="s">
        <v>4094</v>
      </c>
      <c r="C2055" s="67">
        <v>0</v>
      </c>
      <c r="D2055" s="67">
        <v>0</v>
      </c>
      <c r="E2055" s="67">
        <v>83900.41</v>
      </c>
      <c r="F2055" s="67">
        <v>25250</v>
      </c>
      <c r="H2055" s="68">
        <v>40764</v>
      </c>
      <c r="I2055" s="67" t="s">
        <v>148</v>
      </c>
    </row>
    <row r="2056" spans="1:9" x14ac:dyDescent="0.25">
      <c r="B2056" s="67" t="s">
        <v>4094</v>
      </c>
      <c r="C2056" s="67">
        <v>0</v>
      </c>
      <c r="D2056" s="67">
        <v>0</v>
      </c>
      <c r="E2056" s="67">
        <v>83900.45</v>
      </c>
      <c r="H2056" s="67" t="s">
        <v>146</v>
      </c>
    </row>
    <row r="2058" spans="1:9" x14ac:dyDescent="0.25">
      <c r="A2058" s="67" t="s">
        <v>4093</v>
      </c>
      <c r="B2058" s="67" t="s">
        <v>4092</v>
      </c>
      <c r="C2058" s="67">
        <v>0</v>
      </c>
      <c r="D2058" s="67">
        <v>0</v>
      </c>
      <c r="E2058" s="67">
        <v>83900.41</v>
      </c>
      <c r="F2058" s="67">
        <v>25250</v>
      </c>
      <c r="H2058" s="68">
        <v>40764</v>
      </c>
      <c r="I2058" s="67" t="s">
        <v>148</v>
      </c>
    </row>
    <row r="2059" spans="1:9" x14ac:dyDescent="0.25">
      <c r="B2059" s="67" t="s">
        <v>4092</v>
      </c>
      <c r="C2059" s="67">
        <v>0</v>
      </c>
      <c r="D2059" s="67">
        <v>0</v>
      </c>
      <c r="E2059" s="67">
        <v>83900.45</v>
      </c>
      <c r="H2059" s="67" t="s">
        <v>146</v>
      </c>
    </row>
    <row r="2061" spans="1:9" x14ac:dyDescent="0.25">
      <c r="A2061" s="67" t="s">
        <v>4091</v>
      </c>
      <c r="B2061" s="67" t="s">
        <v>4090</v>
      </c>
      <c r="C2061" s="67">
        <v>0</v>
      </c>
      <c r="D2061" s="67">
        <v>0</v>
      </c>
      <c r="E2061" s="67">
        <v>83900.41</v>
      </c>
      <c r="F2061" s="67">
        <v>25250</v>
      </c>
      <c r="H2061" s="68">
        <v>40764</v>
      </c>
      <c r="I2061" s="67" t="s">
        <v>148</v>
      </c>
    </row>
    <row r="2062" spans="1:9" x14ac:dyDescent="0.25">
      <c r="B2062" s="67" t="s">
        <v>4090</v>
      </c>
      <c r="C2062" s="67">
        <v>0</v>
      </c>
      <c r="D2062" s="67">
        <v>0</v>
      </c>
      <c r="E2062" s="67">
        <v>83900.45</v>
      </c>
      <c r="H2062" s="67" t="s">
        <v>146</v>
      </c>
    </row>
    <row r="2064" spans="1:9" x14ac:dyDescent="0.25">
      <c r="A2064" s="67" t="s">
        <v>4089</v>
      </c>
      <c r="B2064" s="67" t="s">
        <v>4088</v>
      </c>
      <c r="C2064" s="67">
        <v>0</v>
      </c>
      <c r="D2064" s="67">
        <v>0</v>
      </c>
      <c r="E2064" s="67">
        <v>83900.41</v>
      </c>
      <c r="F2064" s="67">
        <v>25250</v>
      </c>
      <c r="H2064" s="68">
        <v>40764</v>
      </c>
      <c r="I2064" s="67" t="s">
        <v>148</v>
      </c>
    </row>
    <row r="2065" spans="1:9" x14ac:dyDescent="0.25">
      <c r="B2065" s="67" t="s">
        <v>4088</v>
      </c>
      <c r="C2065" s="67">
        <v>0</v>
      </c>
      <c r="D2065" s="67">
        <v>0</v>
      </c>
      <c r="E2065" s="67">
        <v>83900.45</v>
      </c>
      <c r="H2065" s="67" t="s">
        <v>146</v>
      </c>
    </row>
    <row r="2067" spans="1:9" x14ac:dyDescent="0.25">
      <c r="A2067" s="67" t="s">
        <v>4087</v>
      </c>
      <c r="B2067" s="67" t="s">
        <v>4086</v>
      </c>
      <c r="C2067" s="67">
        <v>0</v>
      </c>
      <c r="D2067" s="67">
        <v>0</v>
      </c>
      <c r="E2067" s="67">
        <v>83900.41</v>
      </c>
      <c r="F2067" s="67">
        <v>25250</v>
      </c>
      <c r="H2067" s="68">
        <v>40764</v>
      </c>
      <c r="I2067" s="67" t="s">
        <v>148</v>
      </c>
    </row>
    <row r="2068" spans="1:9" x14ac:dyDescent="0.25">
      <c r="B2068" s="67" t="s">
        <v>4086</v>
      </c>
      <c r="C2068" s="67">
        <v>0</v>
      </c>
      <c r="D2068" s="67">
        <v>0</v>
      </c>
      <c r="E2068" s="67">
        <v>83900.45</v>
      </c>
      <c r="H2068" s="67" t="s">
        <v>146</v>
      </c>
    </row>
    <row r="2070" spans="1:9" x14ac:dyDescent="0.25">
      <c r="A2070" s="67" t="s">
        <v>4085</v>
      </c>
      <c r="B2070" s="67" t="s">
        <v>4084</v>
      </c>
      <c r="C2070" s="67">
        <v>0</v>
      </c>
      <c r="D2070" s="67">
        <v>0</v>
      </c>
      <c r="E2070" s="67">
        <v>83900.41</v>
      </c>
      <c r="F2070" s="67">
        <v>25250</v>
      </c>
      <c r="H2070" s="68">
        <v>40764</v>
      </c>
      <c r="I2070" s="67" t="s">
        <v>148</v>
      </c>
    </row>
    <row r="2071" spans="1:9" x14ac:dyDescent="0.25">
      <c r="B2071" s="67" t="s">
        <v>4084</v>
      </c>
      <c r="C2071" s="67">
        <v>0</v>
      </c>
      <c r="D2071" s="67">
        <v>0</v>
      </c>
      <c r="E2071" s="67">
        <v>83900.45</v>
      </c>
      <c r="H2071" s="67" t="s">
        <v>146</v>
      </c>
    </row>
    <row r="2073" spans="1:9" x14ac:dyDescent="0.25">
      <c r="A2073" s="67" t="s">
        <v>4083</v>
      </c>
      <c r="B2073" s="67" t="s">
        <v>4082</v>
      </c>
      <c r="C2073" s="67">
        <v>0</v>
      </c>
      <c r="D2073" s="67">
        <v>0</v>
      </c>
      <c r="E2073" s="67">
        <v>83900.41</v>
      </c>
      <c r="F2073" s="67">
        <v>25250</v>
      </c>
      <c r="H2073" s="68">
        <v>40764</v>
      </c>
      <c r="I2073" s="67" t="s">
        <v>148</v>
      </c>
    </row>
    <row r="2074" spans="1:9" x14ac:dyDescent="0.25">
      <c r="B2074" s="67" t="s">
        <v>4082</v>
      </c>
      <c r="C2074" s="67">
        <v>0</v>
      </c>
      <c r="D2074" s="67">
        <v>0</v>
      </c>
      <c r="E2074" s="67">
        <v>83900.45</v>
      </c>
      <c r="H2074" s="67" t="s">
        <v>146</v>
      </c>
    </row>
    <row r="2076" spans="1:9" x14ac:dyDescent="0.25">
      <c r="A2076" s="67" t="s">
        <v>4081</v>
      </c>
      <c r="B2076" s="67" t="s">
        <v>4080</v>
      </c>
      <c r="C2076" s="67">
        <v>0</v>
      </c>
      <c r="D2076" s="67">
        <v>0</v>
      </c>
      <c r="E2076" s="67">
        <v>83900.41</v>
      </c>
      <c r="F2076" s="67">
        <v>25250</v>
      </c>
      <c r="H2076" s="68">
        <v>40764</v>
      </c>
      <c r="I2076" s="67" t="s">
        <v>148</v>
      </c>
    </row>
    <row r="2077" spans="1:9" x14ac:dyDescent="0.25">
      <c r="B2077" s="67" t="s">
        <v>4080</v>
      </c>
      <c r="C2077" s="67">
        <v>0</v>
      </c>
      <c r="D2077" s="67">
        <v>0</v>
      </c>
      <c r="E2077" s="67">
        <v>83900.45</v>
      </c>
      <c r="H2077" s="67" t="s">
        <v>146</v>
      </c>
    </row>
    <row r="2079" spans="1:9" x14ac:dyDescent="0.25">
      <c r="A2079" s="67" t="s">
        <v>4079</v>
      </c>
      <c r="B2079" s="67" t="s">
        <v>4078</v>
      </c>
      <c r="C2079" s="67">
        <v>0</v>
      </c>
      <c r="D2079" s="67">
        <v>0</v>
      </c>
      <c r="E2079" s="67">
        <v>83900.41</v>
      </c>
      <c r="F2079" s="67">
        <v>25250</v>
      </c>
      <c r="H2079" s="68">
        <v>40764</v>
      </c>
      <c r="I2079" s="67" t="s">
        <v>148</v>
      </c>
    </row>
    <row r="2080" spans="1:9" x14ac:dyDescent="0.25">
      <c r="B2080" s="67" t="s">
        <v>4078</v>
      </c>
      <c r="C2080" s="67">
        <v>0</v>
      </c>
      <c r="D2080" s="67">
        <v>0</v>
      </c>
      <c r="E2080" s="67">
        <v>83900.45</v>
      </c>
      <c r="H2080" s="67" t="s">
        <v>146</v>
      </c>
    </row>
    <row r="2082" spans="1:9" x14ac:dyDescent="0.25">
      <c r="A2082" s="67" t="s">
        <v>4077</v>
      </c>
      <c r="B2082" s="67" t="s">
        <v>4076</v>
      </c>
      <c r="C2082" s="67">
        <v>0</v>
      </c>
      <c r="D2082" s="67">
        <v>0</v>
      </c>
      <c r="E2082" s="67">
        <v>83900.41</v>
      </c>
      <c r="F2082" s="67">
        <v>25250</v>
      </c>
      <c r="H2082" s="68">
        <v>40764</v>
      </c>
      <c r="I2082" s="67" t="s">
        <v>148</v>
      </c>
    </row>
    <row r="2083" spans="1:9" x14ac:dyDescent="0.25">
      <c r="B2083" s="67" t="s">
        <v>4076</v>
      </c>
      <c r="C2083" s="67">
        <v>0</v>
      </c>
      <c r="D2083" s="67">
        <v>0</v>
      </c>
      <c r="E2083" s="67">
        <v>83900.45</v>
      </c>
      <c r="H2083" s="67" t="s">
        <v>146</v>
      </c>
    </row>
    <row r="2084" spans="1:9" x14ac:dyDescent="0.25">
      <c r="A2084" s="67" t="s">
        <v>233</v>
      </c>
    </row>
    <row r="2086" spans="1:9" x14ac:dyDescent="0.25">
      <c r="A2086" s="67" t="s">
        <v>232</v>
      </c>
      <c r="D2086" s="67" t="s">
        <v>231</v>
      </c>
      <c r="H2086" s="67" t="s">
        <v>148</v>
      </c>
      <c r="I2086" s="67" t="s">
        <v>230</v>
      </c>
    </row>
    <row r="2087" spans="1:9" x14ac:dyDescent="0.25">
      <c r="A2087" s="67">
        <v>41.1</v>
      </c>
      <c r="C2087" s="67" t="s">
        <v>215</v>
      </c>
      <c r="D2087" s="67" t="s">
        <v>229</v>
      </c>
      <c r="H2087" s="70">
        <v>44771</v>
      </c>
      <c r="I2087" s="69">
        <v>0.56736111111111109</v>
      </c>
    </row>
    <row r="2088" spans="1:9" x14ac:dyDescent="0.25">
      <c r="A2088" s="67" t="s">
        <v>228</v>
      </c>
      <c r="C2088" s="67" t="s">
        <v>227</v>
      </c>
      <c r="D2088" s="67" t="s">
        <v>226</v>
      </c>
      <c r="E2088" s="67">
        <v>589</v>
      </c>
      <c r="H2088" s="67" t="s">
        <v>225</v>
      </c>
      <c r="I2088" s="67">
        <v>38</v>
      </c>
    </row>
    <row r="2089" spans="1:9" x14ac:dyDescent="0.25">
      <c r="A2089" s="67" t="s">
        <v>884</v>
      </c>
    </row>
    <row r="2090" spans="1:9" x14ac:dyDescent="0.25">
      <c r="A2090" s="67" t="s">
        <v>223</v>
      </c>
      <c r="B2090" s="67" t="s">
        <v>222</v>
      </c>
      <c r="C2090" s="67" t="s">
        <v>221</v>
      </c>
      <c r="D2090" s="67" t="s">
        <v>220</v>
      </c>
      <c r="E2090" s="67" t="s">
        <v>219</v>
      </c>
      <c r="F2090" s="67" t="s">
        <v>217</v>
      </c>
      <c r="G2090" s="67" t="s">
        <v>218</v>
      </c>
      <c r="H2090" s="67" t="s">
        <v>217</v>
      </c>
      <c r="I2090" s="67" t="s">
        <v>216</v>
      </c>
    </row>
    <row r="2091" spans="1:9" x14ac:dyDescent="0.25">
      <c r="A2091" s="67" t="s">
        <v>215</v>
      </c>
      <c r="B2091" s="67" t="s">
        <v>214</v>
      </c>
      <c r="C2091" s="67" t="s">
        <v>213</v>
      </c>
      <c r="D2091" s="67" t="s">
        <v>212</v>
      </c>
      <c r="E2091" s="67" t="s">
        <v>211</v>
      </c>
      <c r="F2091" s="67" t="s">
        <v>210</v>
      </c>
      <c r="G2091" s="67" t="s">
        <v>209</v>
      </c>
      <c r="H2091" s="67" t="s">
        <v>208</v>
      </c>
      <c r="I2091" s="67" t="s">
        <v>207</v>
      </c>
    </row>
    <row r="2092" spans="1:9" x14ac:dyDescent="0.25">
      <c r="A2092" s="67" t="s">
        <v>206</v>
      </c>
      <c r="B2092" s="67" t="s">
        <v>205</v>
      </c>
      <c r="C2092" s="67" t="s">
        <v>204</v>
      </c>
      <c r="D2092" s="67" t="s">
        <v>203</v>
      </c>
      <c r="E2092" s="67" t="s">
        <v>202</v>
      </c>
      <c r="F2092" s="67" t="s">
        <v>201</v>
      </c>
      <c r="G2092" s="67" t="s">
        <v>200</v>
      </c>
      <c r="H2092" s="67" t="s">
        <v>199</v>
      </c>
    </row>
    <row r="2093" spans="1:9" x14ac:dyDescent="0.25">
      <c r="A2093" s="67" t="s">
        <v>4075</v>
      </c>
      <c r="B2093" s="67" t="s">
        <v>4074</v>
      </c>
      <c r="C2093" s="67">
        <v>0</v>
      </c>
      <c r="D2093" s="67">
        <v>0</v>
      </c>
      <c r="E2093" s="67">
        <v>83900.41</v>
      </c>
      <c r="F2093" s="67">
        <v>25250</v>
      </c>
      <c r="H2093" s="68">
        <v>40764</v>
      </c>
      <c r="I2093" s="67" t="s">
        <v>148</v>
      </c>
    </row>
    <row r="2094" spans="1:9" x14ac:dyDescent="0.25">
      <c r="B2094" s="67" t="s">
        <v>4074</v>
      </c>
      <c r="C2094" s="67">
        <v>0</v>
      </c>
      <c r="D2094" s="67">
        <v>0</v>
      </c>
      <c r="E2094" s="67">
        <v>83900.45</v>
      </c>
      <c r="H2094" s="67" t="s">
        <v>146</v>
      </c>
    </row>
    <row r="2096" spans="1:9" x14ac:dyDescent="0.25">
      <c r="A2096" s="67" t="s">
        <v>4073</v>
      </c>
      <c r="B2096" s="67" t="s">
        <v>4072</v>
      </c>
      <c r="C2096" s="67">
        <v>0</v>
      </c>
      <c r="D2096" s="67">
        <v>0</v>
      </c>
      <c r="E2096" s="67">
        <v>83900.41</v>
      </c>
      <c r="F2096" s="67">
        <v>25250</v>
      </c>
      <c r="H2096" s="68">
        <v>40764</v>
      </c>
      <c r="I2096" s="67" t="s">
        <v>148</v>
      </c>
    </row>
    <row r="2097" spans="1:9" x14ac:dyDescent="0.25">
      <c r="B2097" s="67" t="s">
        <v>4072</v>
      </c>
      <c r="C2097" s="67">
        <v>0</v>
      </c>
      <c r="D2097" s="67">
        <v>0</v>
      </c>
      <c r="E2097" s="67">
        <v>83900.45</v>
      </c>
      <c r="H2097" s="67" t="s">
        <v>146</v>
      </c>
    </row>
    <row r="2099" spans="1:9" x14ac:dyDescent="0.25">
      <c r="A2099" s="67" t="s">
        <v>4071</v>
      </c>
      <c r="B2099" s="67" t="s">
        <v>4070</v>
      </c>
      <c r="C2099" s="67">
        <v>0</v>
      </c>
      <c r="D2099" s="67">
        <v>0</v>
      </c>
      <c r="E2099" s="67">
        <v>83900.41</v>
      </c>
      <c r="F2099" s="67">
        <v>25250</v>
      </c>
      <c r="H2099" s="68">
        <v>40764</v>
      </c>
      <c r="I2099" s="67" t="s">
        <v>148</v>
      </c>
    </row>
    <row r="2100" spans="1:9" x14ac:dyDescent="0.25">
      <c r="B2100" s="67" t="s">
        <v>4070</v>
      </c>
      <c r="C2100" s="67">
        <v>0</v>
      </c>
      <c r="D2100" s="67">
        <v>0</v>
      </c>
      <c r="E2100" s="67">
        <v>83900.45</v>
      </c>
      <c r="H2100" s="67" t="s">
        <v>146</v>
      </c>
    </row>
    <row r="2102" spans="1:9" x14ac:dyDescent="0.25">
      <c r="A2102" s="67" t="s">
        <v>4069</v>
      </c>
      <c r="B2102" s="67" t="s">
        <v>4068</v>
      </c>
      <c r="C2102" s="67">
        <v>0</v>
      </c>
      <c r="D2102" s="67">
        <v>0</v>
      </c>
      <c r="E2102" s="67">
        <v>83900.41</v>
      </c>
      <c r="F2102" s="67">
        <v>25250</v>
      </c>
      <c r="H2102" s="68">
        <v>40764</v>
      </c>
      <c r="I2102" s="67" t="s">
        <v>148</v>
      </c>
    </row>
    <row r="2103" spans="1:9" x14ac:dyDescent="0.25">
      <c r="B2103" s="67" t="s">
        <v>4068</v>
      </c>
      <c r="C2103" s="67">
        <v>0</v>
      </c>
      <c r="D2103" s="67">
        <v>0</v>
      </c>
      <c r="E2103" s="67">
        <v>83900.45</v>
      </c>
      <c r="H2103" s="67" t="s">
        <v>146</v>
      </c>
    </row>
    <row r="2105" spans="1:9" x14ac:dyDescent="0.25">
      <c r="A2105" s="67" t="s">
        <v>4067</v>
      </c>
      <c r="B2105" s="67" t="s">
        <v>4066</v>
      </c>
      <c r="C2105" s="67">
        <v>0</v>
      </c>
      <c r="D2105" s="67">
        <v>0</v>
      </c>
      <c r="E2105" s="67">
        <v>83900.41</v>
      </c>
      <c r="F2105" s="67">
        <v>25250</v>
      </c>
      <c r="H2105" s="68">
        <v>40764</v>
      </c>
      <c r="I2105" s="67" t="s">
        <v>148</v>
      </c>
    </row>
    <row r="2106" spans="1:9" x14ac:dyDescent="0.25">
      <c r="B2106" s="67" t="s">
        <v>4066</v>
      </c>
      <c r="C2106" s="67">
        <v>0</v>
      </c>
      <c r="D2106" s="67">
        <v>0</v>
      </c>
      <c r="E2106" s="67">
        <v>83900.45</v>
      </c>
      <c r="H2106" s="67" t="s">
        <v>146</v>
      </c>
    </row>
    <row r="2108" spans="1:9" x14ac:dyDescent="0.25">
      <c r="A2108" s="67" t="s">
        <v>4065</v>
      </c>
      <c r="B2108" s="67" t="s">
        <v>4064</v>
      </c>
      <c r="C2108" s="67">
        <v>0</v>
      </c>
      <c r="D2108" s="67">
        <v>0</v>
      </c>
      <c r="E2108" s="67">
        <v>83900.41</v>
      </c>
      <c r="F2108" s="67">
        <v>25250</v>
      </c>
      <c r="H2108" s="68">
        <v>40764</v>
      </c>
      <c r="I2108" s="67" t="s">
        <v>148</v>
      </c>
    </row>
    <row r="2109" spans="1:9" x14ac:dyDescent="0.25">
      <c r="B2109" s="67" t="s">
        <v>4064</v>
      </c>
      <c r="C2109" s="67">
        <v>0</v>
      </c>
      <c r="D2109" s="67">
        <v>0</v>
      </c>
      <c r="E2109" s="67">
        <v>83900.45</v>
      </c>
      <c r="H2109" s="67" t="s">
        <v>146</v>
      </c>
    </row>
    <row r="2111" spans="1:9" x14ac:dyDescent="0.25">
      <c r="A2111" s="67" t="s">
        <v>4063</v>
      </c>
      <c r="B2111" s="67" t="s">
        <v>4062</v>
      </c>
      <c r="C2111" s="67">
        <v>0</v>
      </c>
      <c r="D2111" s="67">
        <v>0</v>
      </c>
      <c r="E2111" s="67">
        <v>83900.41</v>
      </c>
      <c r="F2111" s="67">
        <v>25250</v>
      </c>
      <c r="H2111" s="68">
        <v>40764</v>
      </c>
      <c r="I2111" s="67" t="s">
        <v>148</v>
      </c>
    </row>
    <row r="2112" spans="1:9" x14ac:dyDescent="0.25">
      <c r="B2112" s="67" t="s">
        <v>4062</v>
      </c>
      <c r="C2112" s="67">
        <v>0</v>
      </c>
      <c r="D2112" s="67">
        <v>0</v>
      </c>
      <c r="E2112" s="67">
        <v>83900.45</v>
      </c>
      <c r="H2112" s="67" t="s">
        <v>146</v>
      </c>
    </row>
    <row r="2114" spans="1:9" x14ac:dyDescent="0.25">
      <c r="A2114" s="67" t="s">
        <v>4061</v>
      </c>
      <c r="B2114" s="67" t="s">
        <v>4060</v>
      </c>
      <c r="C2114" s="67">
        <v>0</v>
      </c>
      <c r="D2114" s="67">
        <v>0</v>
      </c>
      <c r="E2114" s="67">
        <v>83900.41</v>
      </c>
      <c r="F2114" s="67">
        <v>25250</v>
      </c>
      <c r="H2114" s="68">
        <v>40764</v>
      </c>
      <c r="I2114" s="67" t="s">
        <v>148</v>
      </c>
    </row>
    <row r="2115" spans="1:9" x14ac:dyDescent="0.25">
      <c r="B2115" s="67" t="s">
        <v>4060</v>
      </c>
      <c r="C2115" s="67">
        <v>0</v>
      </c>
      <c r="D2115" s="67">
        <v>0</v>
      </c>
      <c r="E2115" s="67">
        <v>83900.45</v>
      </c>
      <c r="H2115" s="67" t="s">
        <v>146</v>
      </c>
    </row>
    <row r="2117" spans="1:9" x14ac:dyDescent="0.25">
      <c r="A2117" s="67" t="s">
        <v>4059</v>
      </c>
      <c r="B2117" s="67" t="s">
        <v>4058</v>
      </c>
      <c r="C2117" s="67">
        <v>0</v>
      </c>
      <c r="D2117" s="67">
        <v>0</v>
      </c>
      <c r="E2117" s="67">
        <v>83900.41</v>
      </c>
      <c r="F2117" s="67">
        <v>25250</v>
      </c>
      <c r="H2117" s="68">
        <v>40764</v>
      </c>
      <c r="I2117" s="67" t="s">
        <v>148</v>
      </c>
    </row>
    <row r="2118" spans="1:9" x14ac:dyDescent="0.25">
      <c r="B2118" s="67" t="s">
        <v>4058</v>
      </c>
      <c r="C2118" s="67">
        <v>0</v>
      </c>
      <c r="D2118" s="67">
        <v>0</v>
      </c>
      <c r="E2118" s="67">
        <v>83900.45</v>
      </c>
      <c r="H2118" s="67" t="s">
        <v>146</v>
      </c>
    </row>
    <row r="2120" spans="1:9" x14ac:dyDescent="0.25">
      <c r="A2120" s="67" t="s">
        <v>4057</v>
      </c>
      <c r="B2120" s="67" t="s">
        <v>4056</v>
      </c>
      <c r="C2120" s="67">
        <v>0</v>
      </c>
      <c r="D2120" s="67">
        <v>0</v>
      </c>
      <c r="E2120" s="67">
        <v>83900.41</v>
      </c>
      <c r="F2120" s="67">
        <v>25250</v>
      </c>
      <c r="H2120" s="68">
        <v>40764</v>
      </c>
      <c r="I2120" s="67" t="s">
        <v>148</v>
      </c>
    </row>
    <row r="2121" spans="1:9" x14ac:dyDescent="0.25">
      <c r="B2121" s="67" t="s">
        <v>4056</v>
      </c>
      <c r="C2121" s="67">
        <v>0</v>
      </c>
      <c r="D2121" s="67">
        <v>0</v>
      </c>
      <c r="E2121" s="67">
        <v>83900.45</v>
      </c>
      <c r="H2121" s="67" t="s">
        <v>146</v>
      </c>
    </row>
    <row r="2123" spans="1:9" x14ac:dyDescent="0.25">
      <c r="A2123" s="67" t="s">
        <v>4055</v>
      </c>
      <c r="B2123" s="67" t="s">
        <v>4054</v>
      </c>
      <c r="C2123" s="67">
        <v>0</v>
      </c>
      <c r="D2123" s="67">
        <v>0</v>
      </c>
      <c r="E2123" s="67">
        <v>83900.41</v>
      </c>
      <c r="F2123" s="67">
        <v>25250</v>
      </c>
      <c r="H2123" s="68">
        <v>40764</v>
      </c>
      <c r="I2123" s="67" t="s">
        <v>148</v>
      </c>
    </row>
    <row r="2124" spans="1:9" x14ac:dyDescent="0.25">
      <c r="B2124" s="67" t="s">
        <v>4054</v>
      </c>
      <c r="C2124" s="67">
        <v>0</v>
      </c>
      <c r="D2124" s="67">
        <v>0</v>
      </c>
      <c r="E2124" s="67">
        <v>83900.45</v>
      </c>
      <c r="H2124" s="67" t="s">
        <v>146</v>
      </c>
    </row>
    <row r="2126" spans="1:9" x14ac:dyDescent="0.25">
      <c r="A2126" s="67" t="s">
        <v>4053</v>
      </c>
      <c r="B2126" s="67" t="s">
        <v>4052</v>
      </c>
      <c r="C2126" s="67">
        <v>0</v>
      </c>
      <c r="D2126" s="67">
        <v>0</v>
      </c>
      <c r="E2126" s="67">
        <v>83900.41</v>
      </c>
      <c r="F2126" s="67">
        <v>25250</v>
      </c>
      <c r="H2126" s="68">
        <v>40764</v>
      </c>
      <c r="I2126" s="67" t="s">
        <v>148</v>
      </c>
    </row>
    <row r="2127" spans="1:9" x14ac:dyDescent="0.25">
      <c r="B2127" s="67" t="s">
        <v>4052</v>
      </c>
      <c r="C2127" s="67">
        <v>0</v>
      </c>
      <c r="D2127" s="67">
        <v>0</v>
      </c>
      <c r="E2127" s="67">
        <v>83900.45</v>
      </c>
      <c r="H2127" s="67" t="s">
        <v>146</v>
      </c>
    </row>
    <row r="2129" spans="1:9" x14ac:dyDescent="0.25">
      <c r="A2129" s="67" t="s">
        <v>4051</v>
      </c>
      <c r="B2129" s="67" t="s">
        <v>4050</v>
      </c>
      <c r="C2129" s="67">
        <v>0</v>
      </c>
      <c r="D2129" s="67">
        <v>0</v>
      </c>
      <c r="E2129" s="67">
        <v>83900.41</v>
      </c>
      <c r="F2129" s="67">
        <v>25250</v>
      </c>
      <c r="H2129" s="68">
        <v>40764</v>
      </c>
      <c r="I2129" s="67" t="s">
        <v>148</v>
      </c>
    </row>
    <row r="2130" spans="1:9" x14ac:dyDescent="0.25">
      <c r="B2130" s="67" t="s">
        <v>4050</v>
      </c>
      <c r="C2130" s="67">
        <v>0</v>
      </c>
      <c r="D2130" s="67">
        <v>0</v>
      </c>
      <c r="E2130" s="67">
        <v>83900.45</v>
      </c>
      <c r="H2130" s="67" t="s">
        <v>146</v>
      </c>
    </row>
    <row r="2132" spans="1:9" x14ac:dyDescent="0.25">
      <c r="A2132" s="67" t="s">
        <v>4049</v>
      </c>
      <c r="B2132" s="67" t="s">
        <v>4048</v>
      </c>
      <c r="C2132" s="67">
        <v>0</v>
      </c>
      <c r="D2132" s="67">
        <v>0</v>
      </c>
      <c r="E2132" s="67">
        <v>83900.41</v>
      </c>
      <c r="F2132" s="67">
        <v>25250</v>
      </c>
      <c r="H2132" s="68">
        <v>40764</v>
      </c>
      <c r="I2132" s="67" t="s">
        <v>148</v>
      </c>
    </row>
    <row r="2133" spans="1:9" x14ac:dyDescent="0.25">
      <c r="B2133" s="67" t="s">
        <v>4048</v>
      </c>
      <c r="C2133" s="67">
        <v>0</v>
      </c>
      <c r="D2133" s="67">
        <v>0</v>
      </c>
      <c r="E2133" s="67">
        <v>83900.45</v>
      </c>
      <c r="H2133" s="67" t="s">
        <v>146</v>
      </c>
    </row>
    <row r="2135" spans="1:9" x14ac:dyDescent="0.25">
      <c r="A2135" s="67" t="s">
        <v>4047</v>
      </c>
      <c r="B2135" s="67" t="s">
        <v>4046</v>
      </c>
      <c r="C2135" s="67">
        <v>0</v>
      </c>
      <c r="D2135" s="67">
        <v>0</v>
      </c>
      <c r="E2135" s="67">
        <v>83900.41</v>
      </c>
      <c r="F2135" s="67">
        <v>25250</v>
      </c>
      <c r="H2135" s="68">
        <v>40764</v>
      </c>
      <c r="I2135" s="67" t="s">
        <v>148</v>
      </c>
    </row>
    <row r="2136" spans="1:9" x14ac:dyDescent="0.25">
      <c r="B2136" s="67" t="s">
        <v>4046</v>
      </c>
      <c r="C2136" s="67">
        <v>0</v>
      </c>
      <c r="D2136" s="67">
        <v>0</v>
      </c>
      <c r="E2136" s="67">
        <v>83900.45</v>
      </c>
      <c r="H2136" s="67" t="s">
        <v>146</v>
      </c>
    </row>
    <row r="2138" spans="1:9" x14ac:dyDescent="0.25">
      <c r="A2138" s="67" t="s">
        <v>4045</v>
      </c>
      <c r="B2138" s="67" t="s">
        <v>4044</v>
      </c>
      <c r="C2138" s="67">
        <v>0</v>
      </c>
      <c r="D2138" s="67">
        <v>0</v>
      </c>
      <c r="E2138" s="67">
        <v>83900.41</v>
      </c>
      <c r="F2138" s="67">
        <v>25250</v>
      </c>
      <c r="H2138" s="68">
        <v>40764</v>
      </c>
      <c r="I2138" s="67" t="s">
        <v>148</v>
      </c>
    </row>
    <row r="2139" spans="1:9" x14ac:dyDescent="0.25">
      <c r="B2139" s="67" t="s">
        <v>4044</v>
      </c>
      <c r="C2139" s="67">
        <v>0</v>
      </c>
      <c r="D2139" s="67">
        <v>0</v>
      </c>
      <c r="E2139" s="67">
        <v>83900.45</v>
      </c>
      <c r="H2139" s="67" t="s">
        <v>146</v>
      </c>
    </row>
    <row r="2141" spans="1:9" x14ac:dyDescent="0.25">
      <c r="A2141" s="67" t="s">
        <v>4043</v>
      </c>
      <c r="B2141" s="67" t="s">
        <v>4042</v>
      </c>
      <c r="C2141" s="67">
        <v>0</v>
      </c>
      <c r="D2141" s="67">
        <v>0</v>
      </c>
      <c r="E2141" s="67">
        <v>83900.41</v>
      </c>
      <c r="F2141" s="67">
        <v>25250</v>
      </c>
      <c r="H2141" s="68">
        <v>40764</v>
      </c>
      <c r="I2141" s="67" t="s">
        <v>148</v>
      </c>
    </row>
    <row r="2142" spans="1:9" x14ac:dyDescent="0.25">
      <c r="B2142" s="67" t="s">
        <v>4042</v>
      </c>
      <c r="C2142" s="67">
        <v>0</v>
      </c>
      <c r="D2142" s="67">
        <v>0</v>
      </c>
      <c r="E2142" s="67">
        <v>83900.45</v>
      </c>
      <c r="H2142" s="67" t="s">
        <v>146</v>
      </c>
    </row>
    <row r="2143" spans="1:9" x14ac:dyDescent="0.25">
      <c r="A2143" s="67" t="s">
        <v>233</v>
      </c>
    </row>
    <row r="2145" spans="1:9" x14ac:dyDescent="0.25">
      <c r="A2145" s="67" t="s">
        <v>232</v>
      </c>
      <c r="D2145" s="67" t="s">
        <v>231</v>
      </c>
      <c r="H2145" s="67" t="s">
        <v>148</v>
      </c>
      <c r="I2145" s="67" t="s">
        <v>230</v>
      </c>
    </row>
    <row r="2146" spans="1:9" x14ac:dyDescent="0.25">
      <c r="A2146" s="67">
        <v>41.1</v>
      </c>
      <c r="C2146" s="67" t="s">
        <v>215</v>
      </c>
      <c r="D2146" s="67" t="s">
        <v>229</v>
      </c>
      <c r="H2146" s="70">
        <v>44771</v>
      </c>
      <c r="I2146" s="69">
        <v>0.56736111111111109</v>
      </c>
    </row>
    <row r="2147" spans="1:9" x14ac:dyDescent="0.25">
      <c r="A2147" s="67" t="s">
        <v>228</v>
      </c>
      <c r="C2147" s="67" t="s">
        <v>227</v>
      </c>
      <c r="D2147" s="67" t="s">
        <v>226</v>
      </c>
      <c r="E2147" s="67">
        <v>589</v>
      </c>
      <c r="H2147" s="67" t="s">
        <v>225</v>
      </c>
      <c r="I2147" s="67">
        <v>39</v>
      </c>
    </row>
    <row r="2148" spans="1:9" x14ac:dyDescent="0.25">
      <c r="A2148" s="67" t="s">
        <v>884</v>
      </c>
    </row>
    <row r="2149" spans="1:9" x14ac:dyDescent="0.25">
      <c r="A2149" s="67" t="s">
        <v>223</v>
      </c>
      <c r="B2149" s="67" t="s">
        <v>222</v>
      </c>
      <c r="C2149" s="67" t="s">
        <v>221</v>
      </c>
      <c r="D2149" s="67" t="s">
        <v>220</v>
      </c>
      <c r="E2149" s="67" t="s">
        <v>219</v>
      </c>
      <c r="F2149" s="67" t="s">
        <v>217</v>
      </c>
      <c r="G2149" s="67" t="s">
        <v>218</v>
      </c>
      <c r="H2149" s="67" t="s">
        <v>217</v>
      </c>
      <c r="I2149" s="67" t="s">
        <v>216</v>
      </c>
    </row>
    <row r="2150" spans="1:9" x14ac:dyDescent="0.25">
      <c r="A2150" s="67" t="s">
        <v>215</v>
      </c>
      <c r="B2150" s="67" t="s">
        <v>214</v>
      </c>
      <c r="C2150" s="67" t="s">
        <v>213</v>
      </c>
      <c r="D2150" s="67" t="s">
        <v>212</v>
      </c>
      <c r="E2150" s="67" t="s">
        <v>211</v>
      </c>
      <c r="F2150" s="67" t="s">
        <v>210</v>
      </c>
      <c r="G2150" s="67" t="s">
        <v>209</v>
      </c>
      <c r="H2150" s="67" t="s">
        <v>208</v>
      </c>
      <c r="I2150" s="67" t="s">
        <v>207</v>
      </c>
    </row>
    <row r="2151" spans="1:9" x14ac:dyDescent="0.25">
      <c r="A2151" s="67" t="s">
        <v>206</v>
      </c>
      <c r="B2151" s="67" t="s">
        <v>205</v>
      </c>
      <c r="C2151" s="67" t="s">
        <v>204</v>
      </c>
      <c r="D2151" s="67" t="s">
        <v>203</v>
      </c>
      <c r="E2151" s="67" t="s">
        <v>202</v>
      </c>
      <c r="F2151" s="67" t="s">
        <v>201</v>
      </c>
      <c r="G2151" s="67" t="s">
        <v>200</v>
      </c>
      <c r="H2151" s="67" t="s">
        <v>199</v>
      </c>
    </row>
    <row r="2152" spans="1:9" x14ac:dyDescent="0.25">
      <c r="A2152" s="67" t="s">
        <v>4041</v>
      </c>
      <c r="B2152" s="67" t="s">
        <v>4040</v>
      </c>
      <c r="C2152" s="67">
        <v>0</v>
      </c>
      <c r="D2152" s="67">
        <v>0</v>
      </c>
      <c r="E2152" s="67">
        <v>83900.41</v>
      </c>
      <c r="F2152" s="67">
        <v>25250</v>
      </c>
      <c r="H2152" s="68">
        <v>40764</v>
      </c>
      <c r="I2152" s="67" t="s">
        <v>148</v>
      </c>
    </row>
    <row r="2153" spans="1:9" x14ac:dyDescent="0.25">
      <c r="B2153" s="67" t="s">
        <v>4040</v>
      </c>
      <c r="C2153" s="67">
        <v>0</v>
      </c>
      <c r="D2153" s="67">
        <v>0</v>
      </c>
      <c r="E2153" s="67">
        <v>83900.45</v>
      </c>
      <c r="H2153" s="67" t="s">
        <v>146</v>
      </c>
    </row>
    <row r="2155" spans="1:9" x14ac:dyDescent="0.25">
      <c r="A2155" s="67" t="s">
        <v>4039</v>
      </c>
      <c r="B2155" s="67" t="s">
        <v>4038</v>
      </c>
      <c r="C2155" s="67">
        <v>0</v>
      </c>
      <c r="D2155" s="67">
        <v>0</v>
      </c>
      <c r="E2155" s="67">
        <v>83900.41</v>
      </c>
      <c r="F2155" s="67">
        <v>25250</v>
      </c>
      <c r="H2155" s="68">
        <v>40764</v>
      </c>
      <c r="I2155" s="67" t="s">
        <v>148</v>
      </c>
    </row>
    <row r="2156" spans="1:9" x14ac:dyDescent="0.25">
      <c r="B2156" s="67" t="s">
        <v>4038</v>
      </c>
      <c r="C2156" s="67">
        <v>0</v>
      </c>
      <c r="D2156" s="67">
        <v>0</v>
      </c>
      <c r="E2156" s="67">
        <v>83900.45</v>
      </c>
      <c r="H2156" s="67" t="s">
        <v>146</v>
      </c>
    </row>
    <row r="2158" spans="1:9" x14ac:dyDescent="0.25">
      <c r="A2158" s="67" t="s">
        <v>4037</v>
      </c>
      <c r="B2158" s="67" t="s">
        <v>4036</v>
      </c>
      <c r="C2158" s="67">
        <v>0</v>
      </c>
      <c r="D2158" s="67">
        <v>0</v>
      </c>
      <c r="E2158" s="67">
        <v>83900.41</v>
      </c>
      <c r="F2158" s="67">
        <v>25250</v>
      </c>
      <c r="H2158" s="68">
        <v>40764</v>
      </c>
      <c r="I2158" s="67" t="s">
        <v>148</v>
      </c>
    </row>
    <row r="2159" spans="1:9" x14ac:dyDescent="0.25">
      <c r="B2159" s="67" t="s">
        <v>4036</v>
      </c>
      <c r="C2159" s="67">
        <v>0</v>
      </c>
      <c r="D2159" s="67">
        <v>0</v>
      </c>
      <c r="E2159" s="67">
        <v>83900.45</v>
      </c>
      <c r="H2159" s="67" t="s">
        <v>146</v>
      </c>
    </row>
    <row r="2161" spans="1:9" x14ac:dyDescent="0.25">
      <c r="A2161" s="67" t="s">
        <v>4035</v>
      </c>
      <c r="B2161" s="67" t="s">
        <v>4034</v>
      </c>
      <c r="C2161" s="67">
        <v>0</v>
      </c>
      <c r="D2161" s="67">
        <v>0</v>
      </c>
      <c r="E2161" s="67">
        <v>83900.41</v>
      </c>
      <c r="F2161" s="67">
        <v>25250</v>
      </c>
      <c r="H2161" s="68">
        <v>40764</v>
      </c>
      <c r="I2161" s="67" t="s">
        <v>148</v>
      </c>
    </row>
    <row r="2162" spans="1:9" x14ac:dyDescent="0.25">
      <c r="B2162" s="67" t="s">
        <v>4034</v>
      </c>
      <c r="C2162" s="67">
        <v>0</v>
      </c>
      <c r="D2162" s="67">
        <v>0</v>
      </c>
      <c r="E2162" s="67">
        <v>83900.45</v>
      </c>
      <c r="H2162" s="67" t="s">
        <v>146</v>
      </c>
    </row>
    <row r="2164" spans="1:9" x14ac:dyDescent="0.25">
      <c r="A2164" s="67" t="s">
        <v>4033</v>
      </c>
      <c r="B2164" s="67" t="s">
        <v>4032</v>
      </c>
      <c r="C2164" s="67">
        <v>0</v>
      </c>
      <c r="D2164" s="67">
        <v>0</v>
      </c>
      <c r="E2164" s="67">
        <v>83900.41</v>
      </c>
      <c r="F2164" s="67">
        <v>25250</v>
      </c>
      <c r="H2164" s="68">
        <v>40764</v>
      </c>
      <c r="I2164" s="67" t="s">
        <v>148</v>
      </c>
    </row>
    <row r="2165" spans="1:9" x14ac:dyDescent="0.25">
      <c r="B2165" s="67" t="s">
        <v>4032</v>
      </c>
      <c r="C2165" s="67">
        <v>0</v>
      </c>
      <c r="D2165" s="67">
        <v>0</v>
      </c>
      <c r="E2165" s="67">
        <v>83900.45</v>
      </c>
      <c r="H2165" s="67" t="s">
        <v>146</v>
      </c>
    </row>
    <row r="2167" spans="1:9" x14ac:dyDescent="0.25">
      <c r="A2167" s="67" t="s">
        <v>4031</v>
      </c>
      <c r="B2167" s="67" t="s">
        <v>4030</v>
      </c>
      <c r="C2167" s="67">
        <v>0</v>
      </c>
      <c r="D2167" s="67">
        <v>0</v>
      </c>
      <c r="E2167" s="67">
        <v>83900.41</v>
      </c>
      <c r="F2167" s="67">
        <v>25250</v>
      </c>
      <c r="H2167" s="68">
        <v>40764</v>
      </c>
      <c r="I2167" s="67" t="s">
        <v>148</v>
      </c>
    </row>
    <row r="2168" spans="1:9" x14ac:dyDescent="0.25">
      <c r="B2168" s="67" t="s">
        <v>4030</v>
      </c>
      <c r="C2168" s="67">
        <v>0</v>
      </c>
      <c r="D2168" s="67">
        <v>0</v>
      </c>
      <c r="E2168" s="67">
        <v>83900.45</v>
      </c>
      <c r="H2168" s="67" t="s">
        <v>146</v>
      </c>
    </row>
    <row r="2170" spans="1:9" x14ac:dyDescent="0.25">
      <c r="A2170" s="67" t="s">
        <v>4029</v>
      </c>
      <c r="B2170" s="67" t="s">
        <v>4028</v>
      </c>
      <c r="C2170" s="67">
        <v>0</v>
      </c>
      <c r="D2170" s="67">
        <v>0</v>
      </c>
      <c r="E2170" s="67">
        <v>83900.41</v>
      </c>
      <c r="F2170" s="67">
        <v>25250</v>
      </c>
      <c r="H2170" s="68">
        <v>40764</v>
      </c>
      <c r="I2170" s="67" t="s">
        <v>148</v>
      </c>
    </row>
    <row r="2171" spans="1:9" x14ac:dyDescent="0.25">
      <c r="B2171" s="67" t="s">
        <v>4028</v>
      </c>
      <c r="C2171" s="67">
        <v>0</v>
      </c>
      <c r="D2171" s="67">
        <v>0</v>
      </c>
      <c r="E2171" s="67">
        <v>83900.45</v>
      </c>
      <c r="H2171" s="67" t="s">
        <v>146</v>
      </c>
    </row>
    <row r="2173" spans="1:9" x14ac:dyDescent="0.25">
      <c r="A2173" s="67" t="s">
        <v>4027</v>
      </c>
      <c r="B2173" s="67" t="s">
        <v>4026</v>
      </c>
      <c r="C2173" s="67">
        <v>0</v>
      </c>
      <c r="D2173" s="67">
        <v>0</v>
      </c>
      <c r="E2173" s="67">
        <v>83900.41</v>
      </c>
      <c r="F2173" s="67">
        <v>25250</v>
      </c>
      <c r="H2173" s="68">
        <v>40764</v>
      </c>
      <c r="I2173" s="67" t="s">
        <v>148</v>
      </c>
    </row>
    <row r="2174" spans="1:9" x14ac:dyDescent="0.25">
      <c r="B2174" s="67" t="s">
        <v>4026</v>
      </c>
      <c r="C2174" s="67">
        <v>0</v>
      </c>
      <c r="D2174" s="67">
        <v>0</v>
      </c>
      <c r="E2174" s="67">
        <v>83900.45</v>
      </c>
      <c r="H2174" s="67" t="s">
        <v>146</v>
      </c>
    </row>
    <row r="2176" spans="1:9" x14ac:dyDescent="0.25">
      <c r="A2176" s="67" t="s">
        <v>4025</v>
      </c>
      <c r="B2176" s="67" t="s">
        <v>4024</v>
      </c>
      <c r="C2176" s="67">
        <v>0</v>
      </c>
      <c r="D2176" s="67">
        <v>0</v>
      </c>
      <c r="E2176" s="67">
        <v>83900.41</v>
      </c>
      <c r="F2176" s="67">
        <v>25250</v>
      </c>
      <c r="H2176" s="68">
        <v>40764</v>
      </c>
      <c r="I2176" s="67" t="s">
        <v>148</v>
      </c>
    </row>
    <row r="2177" spans="1:9" x14ac:dyDescent="0.25">
      <c r="B2177" s="67" t="s">
        <v>4024</v>
      </c>
      <c r="C2177" s="67">
        <v>0</v>
      </c>
      <c r="D2177" s="67">
        <v>0</v>
      </c>
      <c r="E2177" s="67">
        <v>83900.45</v>
      </c>
      <c r="H2177" s="67" t="s">
        <v>146</v>
      </c>
    </row>
    <row r="2179" spans="1:9" x14ac:dyDescent="0.25">
      <c r="A2179" s="67" t="s">
        <v>4023</v>
      </c>
      <c r="B2179" s="67" t="s">
        <v>4022</v>
      </c>
      <c r="C2179" s="67">
        <v>0</v>
      </c>
      <c r="D2179" s="67">
        <v>0</v>
      </c>
      <c r="E2179" s="67">
        <v>83900.41</v>
      </c>
      <c r="F2179" s="67">
        <v>25250</v>
      </c>
      <c r="H2179" s="68">
        <v>40764</v>
      </c>
      <c r="I2179" s="67" t="s">
        <v>148</v>
      </c>
    </row>
    <row r="2180" spans="1:9" x14ac:dyDescent="0.25">
      <c r="B2180" s="67" t="s">
        <v>4022</v>
      </c>
      <c r="C2180" s="67">
        <v>0</v>
      </c>
      <c r="D2180" s="67">
        <v>0</v>
      </c>
      <c r="E2180" s="67">
        <v>83900.45</v>
      </c>
      <c r="H2180" s="67" t="s">
        <v>146</v>
      </c>
    </row>
    <row r="2182" spans="1:9" x14ac:dyDescent="0.25">
      <c r="A2182" s="67" t="s">
        <v>4021</v>
      </c>
      <c r="B2182" s="67" t="s">
        <v>4020</v>
      </c>
      <c r="C2182" s="67">
        <v>0</v>
      </c>
      <c r="D2182" s="67">
        <v>0</v>
      </c>
      <c r="E2182" s="67">
        <v>83900.41</v>
      </c>
      <c r="F2182" s="67">
        <v>25250</v>
      </c>
      <c r="H2182" s="68">
        <v>40764</v>
      </c>
      <c r="I2182" s="67" t="s">
        <v>148</v>
      </c>
    </row>
    <row r="2183" spans="1:9" x14ac:dyDescent="0.25">
      <c r="B2183" s="67" t="s">
        <v>4020</v>
      </c>
      <c r="C2183" s="67">
        <v>0</v>
      </c>
      <c r="D2183" s="67">
        <v>0</v>
      </c>
      <c r="E2183" s="67">
        <v>83900.45</v>
      </c>
      <c r="H2183" s="67" t="s">
        <v>146</v>
      </c>
    </row>
    <row r="2185" spans="1:9" x14ac:dyDescent="0.25">
      <c r="A2185" s="67" t="s">
        <v>4019</v>
      </c>
      <c r="B2185" s="67" t="s">
        <v>4018</v>
      </c>
      <c r="C2185" s="67">
        <v>0</v>
      </c>
      <c r="D2185" s="67">
        <v>0</v>
      </c>
      <c r="E2185" s="67">
        <v>83900.41</v>
      </c>
      <c r="F2185" s="67">
        <v>25250</v>
      </c>
      <c r="H2185" s="68">
        <v>40764</v>
      </c>
      <c r="I2185" s="67" t="s">
        <v>148</v>
      </c>
    </row>
    <row r="2186" spans="1:9" x14ac:dyDescent="0.25">
      <c r="B2186" s="67" t="s">
        <v>4018</v>
      </c>
      <c r="C2186" s="67">
        <v>0</v>
      </c>
      <c r="D2186" s="67">
        <v>0</v>
      </c>
      <c r="E2186" s="67">
        <v>83900.45</v>
      </c>
      <c r="H2186" s="67" t="s">
        <v>146</v>
      </c>
    </row>
    <row r="2188" spans="1:9" x14ac:dyDescent="0.25">
      <c r="A2188" s="67" t="s">
        <v>4017</v>
      </c>
      <c r="B2188" s="67" t="s">
        <v>4016</v>
      </c>
      <c r="C2188" s="67">
        <v>0</v>
      </c>
      <c r="D2188" s="67">
        <v>0</v>
      </c>
      <c r="E2188" s="67">
        <v>83900.41</v>
      </c>
      <c r="F2188" s="67">
        <v>25250</v>
      </c>
      <c r="H2188" s="68">
        <v>40764</v>
      </c>
      <c r="I2188" s="67" t="s">
        <v>148</v>
      </c>
    </row>
    <row r="2189" spans="1:9" x14ac:dyDescent="0.25">
      <c r="B2189" s="67" t="s">
        <v>4016</v>
      </c>
      <c r="C2189" s="67">
        <v>0</v>
      </c>
      <c r="D2189" s="67">
        <v>0</v>
      </c>
      <c r="E2189" s="67">
        <v>83900.45</v>
      </c>
      <c r="H2189" s="67" t="s">
        <v>146</v>
      </c>
    </row>
    <row r="2191" spans="1:9" x14ac:dyDescent="0.25">
      <c r="A2191" s="67" t="s">
        <v>4015</v>
      </c>
      <c r="B2191" s="67" t="s">
        <v>4014</v>
      </c>
      <c r="C2191" s="67">
        <v>0</v>
      </c>
      <c r="D2191" s="67">
        <v>0</v>
      </c>
      <c r="E2191" s="67">
        <v>83900.41</v>
      </c>
      <c r="F2191" s="67">
        <v>25250</v>
      </c>
      <c r="H2191" s="68">
        <v>40764</v>
      </c>
      <c r="I2191" s="67" t="s">
        <v>148</v>
      </c>
    </row>
    <row r="2192" spans="1:9" x14ac:dyDescent="0.25">
      <c r="B2192" s="67" t="s">
        <v>4014</v>
      </c>
      <c r="C2192" s="67">
        <v>0</v>
      </c>
      <c r="D2192" s="67">
        <v>0</v>
      </c>
      <c r="E2192" s="67">
        <v>83900.45</v>
      </c>
      <c r="H2192" s="67" t="s">
        <v>146</v>
      </c>
    </row>
    <row r="2194" spans="1:9" x14ac:dyDescent="0.25">
      <c r="A2194" s="67" t="s">
        <v>4013</v>
      </c>
      <c r="B2194" s="67" t="s">
        <v>4012</v>
      </c>
      <c r="C2194" s="67">
        <v>0</v>
      </c>
      <c r="D2194" s="67">
        <v>0</v>
      </c>
      <c r="E2194" s="67">
        <v>83900.41</v>
      </c>
      <c r="F2194" s="67">
        <v>25250</v>
      </c>
      <c r="H2194" s="68">
        <v>40764</v>
      </c>
      <c r="I2194" s="67" t="s">
        <v>148</v>
      </c>
    </row>
    <row r="2195" spans="1:9" x14ac:dyDescent="0.25">
      <c r="B2195" s="67" t="s">
        <v>4012</v>
      </c>
      <c r="C2195" s="67">
        <v>0</v>
      </c>
      <c r="D2195" s="67">
        <v>0</v>
      </c>
      <c r="E2195" s="67">
        <v>83900.45</v>
      </c>
      <c r="H2195" s="67" t="s">
        <v>146</v>
      </c>
    </row>
    <row r="2197" spans="1:9" x14ac:dyDescent="0.25">
      <c r="A2197" s="67" t="s">
        <v>4011</v>
      </c>
      <c r="B2197" s="67" t="s">
        <v>4010</v>
      </c>
      <c r="C2197" s="67">
        <v>0</v>
      </c>
      <c r="D2197" s="67">
        <v>0</v>
      </c>
      <c r="E2197" s="67">
        <v>83900.41</v>
      </c>
      <c r="F2197" s="67">
        <v>25250</v>
      </c>
      <c r="H2197" s="68">
        <v>40764</v>
      </c>
      <c r="I2197" s="67" t="s">
        <v>148</v>
      </c>
    </row>
    <row r="2198" spans="1:9" x14ac:dyDescent="0.25">
      <c r="B2198" s="67" t="s">
        <v>4010</v>
      </c>
      <c r="C2198" s="67">
        <v>0</v>
      </c>
      <c r="D2198" s="67">
        <v>0</v>
      </c>
      <c r="E2198" s="67">
        <v>83900.45</v>
      </c>
      <c r="H2198" s="67" t="s">
        <v>146</v>
      </c>
    </row>
    <row r="2200" spans="1:9" x14ac:dyDescent="0.25">
      <c r="A2200" s="67" t="s">
        <v>4009</v>
      </c>
      <c r="B2200" s="67" t="s">
        <v>4008</v>
      </c>
      <c r="C2200" s="67">
        <v>0</v>
      </c>
      <c r="D2200" s="67">
        <v>0</v>
      </c>
      <c r="E2200" s="67">
        <v>83900.41</v>
      </c>
      <c r="F2200" s="67">
        <v>25250</v>
      </c>
      <c r="H2200" s="68">
        <v>40764</v>
      </c>
      <c r="I2200" s="67" t="s">
        <v>148</v>
      </c>
    </row>
    <row r="2201" spans="1:9" x14ac:dyDescent="0.25">
      <c r="B2201" s="67" t="s">
        <v>4008</v>
      </c>
      <c r="C2201" s="67">
        <v>0</v>
      </c>
      <c r="D2201" s="67">
        <v>0</v>
      </c>
      <c r="E2201" s="67">
        <v>83900.45</v>
      </c>
      <c r="H2201" s="67" t="s">
        <v>146</v>
      </c>
    </row>
    <row r="2202" spans="1:9" x14ac:dyDescent="0.25">
      <c r="A2202" s="67" t="s">
        <v>233</v>
      </c>
    </row>
    <row r="2204" spans="1:9" x14ac:dyDescent="0.25">
      <c r="A2204" s="67" t="s">
        <v>232</v>
      </c>
      <c r="D2204" s="67" t="s">
        <v>231</v>
      </c>
      <c r="H2204" s="67" t="s">
        <v>148</v>
      </c>
      <c r="I2204" s="67" t="s">
        <v>230</v>
      </c>
    </row>
    <row r="2205" spans="1:9" x14ac:dyDescent="0.25">
      <c r="A2205" s="67">
        <v>41.1</v>
      </c>
      <c r="C2205" s="67" t="s">
        <v>215</v>
      </c>
      <c r="D2205" s="67" t="s">
        <v>229</v>
      </c>
      <c r="H2205" s="70">
        <v>44771</v>
      </c>
      <c r="I2205" s="69">
        <v>0.56736111111111109</v>
      </c>
    </row>
    <row r="2206" spans="1:9" x14ac:dyDescent="0.25">
      <c r="A2206" s="67" t="s">
        <v>228</v>
      </c>
      <c r="C2206" s="67" t="s">
        <v>227</v>
      </c>
      <c r="D2206" s="67" t="s">
        <v>226</v>
      </c>
      <c r="E2206" s="67">
        <v>589</v>
      </c>
      <c r="H2206" s="67" t="s">
        <v>225</v>
      </c>
      <c r="I2206" s="67">
        <v>40</v>
      </c>
    </row>
    <row r="2207" spans="1:9" x14ac:dyDescent="0.25">
      <c r="A2207" s="67" t="s">
        <v>884</v>
      </c>
    </row>
    <row r="2208" spans="1:9" x14ac:dyDescent="0.25">
      <c r="A2208" s="67" t="s">
        <v>223</v>
      </c>
      <c r="B2208" s="67" t="s">
        <v>222</v>
      </c>
      <c r="C2208" s="67" t="s">
        <v>221</v>
      </c>
      <c r="D2208" s="67" t="s">
        <v>220</v>
      </c>
      <c r="E2208" s="67" t="s">
        <v>219</v>
      </c>
      <c r="F2208" s="67" t="s">
        <v>217</v>
      </c>
      <c r="G2208" s="67" t="s">
        <v>218</v>
      </c>
      <c r="H2208" s="67" t="s">
        <v>217</v>
      </c>
      <c r="I2208" s="67" t="s">
        <v>216</v>
      </c>
    </row>
    <row r="2209" spans="1:9" x14ac:dyDescent="0.25">
      <c r="A2209" s="67" t="s">
        <v>215</v>
      </c>
      <c r="B2209" s="67" t="s">
        <v>214</v>
      </c>
      <c r="C2209" s="67" t="s">
        <v>213</v>
      </c>
      <c r="D2209" s="67" t="s">
        <v>212</v>
      </c>
      <c r="E2209" s="67" t="s">
        <v>211</v>
      </c>
      <c r="F2209" s="67" t="s">
        <v>210</v>
      </c>
      <c r="G2209" s="67" t="s">
        <v>209</v>
      </c>
      <c r="H2209" s="67" t="s">
        <v>208</v>
      </c>
      <c r="I2209" s="67" t="s">
        <v>207</v>
      </c>
    </row>
    <row r="2210" spans="1:9" x14ac:dyDescent="0.25">
      <c r="A2210" s="67" t="s">
        <v>206</v>
      </c>
      <c r="B2210" s="67" t="s">
        <v>205</v>
      </c>
      <c r="C2210" s="67" t="s">
        <v>204</v>
      </c>
      <c r="D2210" s="67" t="s">
        <v>203</v>
      </c>
      <c r="E2210" s="67" t="s">
        <v>202</v>
      </c>
      <c r="F2210" s="67" t="s">
        <v>201</v>
      </c>
      <c r="G2210" s="67" t="s">
        <v>200</v>
      </c>
      <c r="H2210" s="67" t="s">
        <v>199</v>
      </c>
    </row>
    <row r="2211" spans="1:9" x14ac:dyDescent="0.25">
      <c r="A2211" s="67" t="s">
        <v>4007</v>
      </c>
      <c r="B2211" s="67" t="s">
        <v>4006</v>
      </c>
      <c r="C2211" s="67">
        <v>0</v>
      </c>
      <c r="D2211" s="67">
        <v>0</v>
      </c>
      <c r="E2211" s="67">
        <v>83900.41</v>
      </c>
      <c r="F2211" s="67">
        <v>25250</v>
      </c>
      <c r="H2211" s="68">
        <v>40764</v>
      </c>
      <c r="I2211" s="67" t="s">
        <v>148</v>
      </c>
    </row>
    <row r="2212" spans="1:9" x14ac:dyDescent="0.25">
      <c r="B2212" s="67" t="s">
        <v>4006</v>
      </c>
      <c r="C2212" s="67">
        <v>0</v>
      </c>
      <c r="D2212" s="67">
        <v>0</v>
      </c>
      <c r="E2212" s="67">
        <v>83900.45</v>
      </c>
      <c r="H2212" s="67" t="s">
        <v>146</v>
      </c>
    </row>
    <row r="2214" spans="1:9" x14ac:dyDescent="0.25">
      <c r="A2214" s="67" t="s">
        <v>4005</v>
      </c>
      <c r="B2214" s="67" t="s">
        <v>4004</v>
      </c>
      <c r="C2214" s="67">
        <v>0</v>
      </c>
      <c r="D2214" s="67">
        <v>0</v>
      </c>
      <c r="E2214" s="67">
        <v>83900.41</v>
      </c>
      <c r="F2214" s="67">
        <v>25250</v>
      </c>
      <c r="H2214" s="68">
        <v>40764</v>
      </c>
      <c r="I2214" s="67" t="s">
        <v>148</v>
      </c>
    </row>
    <row r="2215" spans="1:9" x14ac:dyDescent="0.25">
      <c r="B2215" s="67" t="s">
        <v>4004</v>
      </c>
      <c r="C2215" s="67">
        <v>0</v>
      </c>
      <c r="D2215" s="67">
        <v>0</v>
      </c>
      <c r="E2215" s="67">
        <v>83900.45</v>
      </c>
      <c r="H2215" s="67" t="s">
        <v>146</v>
      </c>
    </row>
    <row r="2217" spans="1:9" x14ac:dyDescent="0.25">
      <c r="A2217" s="67" t="s">
        <v>4003</v>
      </c>
      <c r="B2217" s="67" t="s">
        <v>4002</v>
      </c>
      <c r="C2217" s="67">
        <v>0</v>
      </c>
      <c r="D2217" s="67">
        <v>0</v>
      </c>
      <c r="E2217" s="67">
        <v>83900.41</v>
      </c>
      <c r="F2217" s="67">
        <v>25250</v>
      </c>
      <c r="H2217" s="68">
        <v>40764</v>
      </c>
      <c r="I2217" s="67" t="s">
        <v>148</v>
      </c>
    </row>
    <row r="2218" spans="1:9" x14ac:dyDescent="0.25">
      <c r="B2218" s="67" t="s">
        <v>4002</v>
      </c>
      <c r="C2218" s="67">
        <v>0</v>
      </c>
      <c r="D2218" s="67">
        <v>0</v>
      </c>
      <c r="E2218" s="67">
        <v>83900.45</v>
      </c>
      <c r="H2218" s="67" t="s">
        <v>146</v>
      </c>
    </row>
    <row r="2220" spans="1:9" x14ac:dyDescent="0.25">
      <c r="A2220" s="67" t="s">
        <v>4001</v>
      </c>
      <c r="B2220" s="67" t="s">
        <v>4000</v>
      </c>
      <c r="C2220" s="67">
        <v>0</v>
      </c>
      <c r="D2220" s="67">
        <v>0</v>
      </c>
      <c r="E2220" s="67">
        <v>83900.41</v>
      </c>
      <c r="F2220" s="67">
        <v>25250</v>
      </c>
      <c r="H2220" s="68">
        <v>40764</v>
      </c>
      <c r="I2220" s="67" t="s">
        <v>148</v>
      </c>
    </row>
    <row r="2221" spans="1:9" x14ac:dyDescent="0.25">
      <c r="B2221" s="67" t="s">
        <v>4000</v>
      </c>
      <c r="C2221" s="67">
        <v>0</v>
      </c>
      <c r="D2221" s="67">
        <v>0</v>
      </c>
      <c r="E2221" s="67">
        <v>83900.45</v>
      </c>
      <c r="H2221" s="67" t="s">
        <v>146</v>
      </c>
    </row>
    <row r="2223" spans="1:9" x14ac:dyDescent="0.25">
      <c r="A2223" s="67" t="s">
        <v>3999</v>
      </c>
      <c r="B2223" s="67" t="s">
        <v>3998</v>
      </c>
      <c r="C2223" s="67">
        <v>0</v>
      </c>
      <c r="D2223" s="67">
        <v>0</v>
      </c>
      <c r="E2223" s="67">
        <v>83900.41</v>
      </c>
      <c r="F2223" s="67">
        <v>25250</v>
      </c>
      <c r="H2223" s="68">
        <v>40764</v>
      </c>
      <c r="I2223" s="67" t="s">
        <v>148</v>
      </c>
    </row>
    <row r="2224" spans="1:9" x14ac:dyDescent="0.25">
      <c r="B2224" s="67" t="s">
        <v>3998</v>
      </c>
      <c r="C2224" s="67">
        <v>0</v>
      </c>
      <c r="D2224" s="67">
        <v>0</v>
      </c>
      <c r="E2224" s="67">
        <v>83900.45</v>
      </c>
      <c r="H2224" s="67" t="s">
        <v>146</v>
      </c>
    </row>
    <row r="2226" spans="1:9" x14ac:dyDescent="0.25">
      <c r="A2226" s="67" t="s">
        <v>3997</v>
      </c>
      <c r="B2226" s="67" t="s">
        <v>3996</v>
      </c>
      <c r="C2226" s="67">
        <v>0</v>
      </c>
      <c r="D2226" s="67">
        <v>0</v>
      </c>
      <c r="E2226" s="67">
        <v>83900.41</v>
      </c>
      <c r="F2226" s="67">
        <v>25250</v>
      </c>
      <c r="H2226" s="68">
        <v>40764</v>
      </c>
      <c r="I2226" s="67" t="s">
        <v>148</v>
      </c>
    </row>
    <row r="2227" spans="1:9" x14ac:dyDescent="0.25">
      <c r="B2227" s="67" t="s">
        <v>3996</v>
      </c>
      <c r="C2227" s="67">
        <v>0</v>
      </c>
      <c r="D2227" s="67">
        <v>0</v>
      </c>
      <c r="E2227" s="67">
        <v>83900.45</v>
      </c>
      <c r="H2227" s="67" t="s">
        <v>146</v>
      </c>
    </row>
    <row r="2229" spans="1:9" x14ac:dyDescent="0.25">
      <c r="A2229" s="67" t="s">
        <v>3995</v>
      </c>
      <c r="B2229" s="67" t="s">
        <v>3994</v>
      </c>
      <c r="C2229" s="67">
        <v>0</v>
      </c>
      <c r="D2229" s="67">
        <v>0</v>
      </c>
      <c r="E2229" s="67">
        <v>83900.41</v>
      </c>
      <c r="F2229" s="67">
        <v>25250</v>
      </c>
      <c r="H2229" s="68">
        <v>40764</v>
      </c>
      <c r="I2229" s="67" t="s">
        <v>148</v>
      </c>
    </row>
    <row r="2230" spans="1:9" x14ac:dyDescent="0.25">
      <c r="B2230" s="67" t="s">
        <v>3994</v>
      </c>
      <c r="C2230" s="67">
        <v>0</v>
      </c>
      <c r="D2230" s="67">
        <v>0</v>
      </c>
      <c r="E2230" s="67">
        <v>83900.45</v>
      </c>
      <c r="H2230" s="67" t="s">
        <v>146</v>
      </c>
    </row>
    <row r="2232" spans="1:9" x14ac:dyDescent="0.25">
      <c r="A2232" s="67" t="s">
        <v>3993</v>
      </c>
      <c r="B2232" s="67" t="s">
        <v>3992</v>
      </c>
      <c r="C2232" s="67">
        <v>0</v>
      </c>
      <c r="D2232" s="67">
        <v>0</v>
      </c>
      <c r="E2232" s="67">
        <v>83900.41</v>
      </c>
      <c r="F2232" s="67">
        <v>25250</v>
      </c>
      <c r="H2232" s="68">
        <v>40764</v>
      </c>
      <c r="I2232" s="67" t="s">
        <v>148</v>
      </c>
    </row>
    <row r="2233" spans="1:9" x14ac:dyDescent="0.25">
      <c r="B2233" s="67" t="s">
        <v>3992</v>
      </c>
      <c r="C2233" s="67">
        <v>0</v>
      </c>
      <c r="D2233" s="67">
        <v>0</v>
      </c>
      <c r="E2233" s="67">
        <v>83900.45</v>
      </c>
      <c r="H2233" s="67" t="s">
        <v>146</v>
      </c>
    </row>
    <row r="2235" spans="1:9" x14ac:dyDescent="0.25">
      <c r="A2235" s="67" t="s">
        <v>3991</v>
      </c>
      <c r="B2235" s="67" t="s">
        <v>3990</v>
      </c>
      <c r="C2235" s="67">
        <v>0</v>
      </c>
      <c r="D2235" s="67">
        <v>0</v>
      </c>
      <c r="E2235" s="67">
        <v>83900.41</v>
      </c>
      <c r="F2235" s="67">
        <v>25250</v>
      </c>
      <c r="H2235" s="68">
        <v>40764</v>
      </c>
      <c r="I2235" s="67" t="s">
        <v>148</v>
      </c>
    </row>
    <row r="2236" spans="1:9" x14ac:dyDescent="0.25">
      <c r="B2236" s="67" t="s">
        <v>3990</v>
      </c>
      <c r="C2236" s="67">
        <v>0</v>
      </c>
      <c r="D2236" s="67">
        <v>0</v>
      </c>
      <c r="E2236" s="67">
        <v>83900.45</v>
      </c>
      <c r="H2236" s="67" t="s">
        <v>146</v>
      </c>
    </row>
    <row r="2238" spans="1:9" x14ac:dyDescent="0.25">
      <c r="A2238" s="67" t="s">
        <v>3989</v>
      </c>
      <c r="B2238" s="67" t="s">
        <v>3988</v>
      </c>
      <c r="C2238" s="67">
        <v>0</v>
      </c>
      <c r="D2238" s="67">
        <v>0</v>
      </c>
      <c r="E2238" s="67">
        <v>83900.41</v>
      </c>
      <c r="F2238" s="67">
        <v>25250</v>
      </c>
      <c r="H2238" s="68">
        <v>40764</v>
      </c>
      <c r="I2238" s="67" t="s">
        <v>148</v>
      </c>
    </row>
    <row r="2239" spans="1:9" x14ac:dyDescent="0.25">
      <c r="B2239" s="67" t="s">
        <v>3988</v>
      </c>
      <c r="C2239" s="67">
        <v>0</v>
      </c>
      <c r="D2239" s="67">
        <v>0</v>
      </c>
      <c r="E2239" s="67">
        <v>83900.45</v>
      </c>
      <c r="H2239" s="67" t="s">
        <v>146</v>
      </c>
    </row>
    <row r="2241" spans="1:9" x14ac:dyDescent="0.25">
      <c r="A2241" s="67" t="s">
        <v>3987</v>
      </c>
      <c r="B2241" s="67" t="s">
        <v>3986</v>
      </c>
      <c r="C2241" s="67">
        <v>0</v>
      </c>
      <c r="D2241" s="67">
        <v>0</v>
      </c>
      <c r="E2241" s="67">
        <v>83900.41</v>
      </c>
      <c r="F2241" s="67">
        <v>25250</v>
      </c>
      <c r="H2241" s="68">
        <v>40764</v>
      </c>
      <c r="I2241" s="67" t="s">
        <v>148</v>
      </c>
    </row>
    <row r="2242" spans="1:9" x14ac:dyDescent="0.25">
      <c r="B2242" s="67" t="s">
        <v>3986</v>
      </c>
      <c r="C2242" s="67">
        <v>0</v>
      </c>
      <c r="D2242" s="67">
        <v>0</v>
      </c>
      <c r="E2242" s="67">
        <v>83900.45</v>
      </c>
      <c r="H2242" s="67" t="s">
        <v>146</v>
      </c>
    </row>
    <row r="2244" spans="1:9" x14ac:dyDescent="0.25">
      <c r="A2244" s="67" t="s">
        <v>3985</v>
      </c>
      <c r="B2244" s="67" t="s">
        <v>3984</v>
      </c>
      <c r="C2244" s="67">
        <v>0</v>
      </c>
      <c r="D2244" s="67">
        <v>0</v>
      </c>
      <c r="E2244" s="67">
        <v>83900.41</v>
      </c>
      <c r="F2244" s="67">
        <v>25250</v>
      </c>
      <c r="H2244" s="68">
        <v>40764</v>
      </c>
      <c r="I2244" s="67" t="s">
        <v>148</v>
      </c>
    </row>
    <row r="2245" spans="1:9" x14ac:dyDescent="0.25">
      <c r="B2245" s="67" t="s">
        <v>3984</v>
      </c>
      <c r="C2245" s="67">
        <v>0</v>
      </c>
      <c r="D2245" s="67">
        <v>0</v>
      </c>
      <c r="E2245" s="67">
        <v>83900.45</v>
      </c>
      <c r="H2245" s="67" t="s">
        <v>146</v>
      </c>
    </row>
    <row r="2247" spans="1:9" x14ac:dyDescent="0.25">
      <c r="A2247" s="67" t="s">
        <v>3983</v>
      </c>
      <c r="B2247" s="67" t="s">
        <v>3982</v>
      </c>
      <c r="C2247" s="67">
        <v>0</v>
      </c>
      <c r="D2247" s="67">
        <v>0</v>
      </c>
      <c r="E2247" s="67">
        <v>83900.41</v>
      </c>
      <c r="F2247" s="67">
        <v>25250</v>
      </c>
      <c r="H2247" s="68">
        <v>40764</v>
      </c>
      <c r="I2247" s="67" t="s">
        <v>148</v>
      </c>
    </row>
    <row r="2248" spans="1:9" x14ac:dyDescent="0.25">
      <c r="B2248" s="67" t="s">
        <v>3982</v>
      </c>
      <c r="C2248" s="67">
        <v>0</v>
      </c>
      <c r="D2248" s="67">
        <v>0</v>
      </c>
      <c r="E2248" s="67">
        <v>83900.45</v>
      </c>
      <c r="H2248" s="67" t="s">
        <v>146</v>
      </c>
    </row>
    <row r="2250" spans="1:9" x14ac:dyDescent="0.25">
      <c r="A2250" s="67" t="s">
        <v>3981</v>
      </c>
      <c r="B2250" s="67" t="s">
        <v>3980</v>
      </c>
      <c r="C2250" s="67">
        <v>0</v>
      </c>
      <c r="D2250" s="67">
        <v>0</v>
      </c>
      <c r="E2250" s="67">
        <v>83900.41</v>
      </c>
      <c r="F2250" s="67">
        <v>25250</v>
      </c>
      <c r="H2250" s="68">
        <v>40764</v>
      </c>
      <c r="I2250" s="67" t="s">
        <v>148</v>
      </c>
    </row>
    <row r="2251" spans="1:9" x14ac:dyDescent="0.25">
      <c r="B2251" s="67" t="s">
        <v>3980</v>
      </c>
      <c r="C2251" s="67">
        <v>0</v>
      </c>
      <c r="D2251" s="67">
        <v>0</v>
      </c>
      <c r="E2251" s="67">
        <v>83900.45</v>
      </c>
      <c r="H2251" s="67" t="s">
        <v>146</v>
      </c>
    </row>
    <row r="2253" spans="1:9" x14ac:dyDescent="0.25">
      <c r="A2253" s="67" t="s">
        <v>3979</v>
      </c>
      <c r="B2253" s="67" t="s">
        <v>3978</v>
      </c>
      <c r="C2253" s="67">
        <v>0</v>
      </c>
      <c r="D2253" s="67">
        <v>0</v>
      </c>
      <c r="E2253" s="67">
        <v>83900.41</v>
      </c>
      <c r="F2253" s="67">
        <v>25250</v>
      </c>
      <c r="H2253" s="68">
        <v>40764</v>
      </c>
      <c r="I2253" s="67" t="s">
        <v>148</v>
      </c>
    </row>
    <row r="2254" spans="1:9" x14ac:dyDescent="0.25">
      <c r="B2254" s="67" t="s">
        <v>3978</v>
      </c>
      <c r="C2254" s="67">
        <v>0</v>
      </c>
      <c r="D2254" s="67">
        <v>0</v>
      </c>
      <c r="E2254" s="67">
        <v>83900.45</v>
      </c>
      <c r="H2254" s="67" t="s">
        <v>146</v>
      </c>
    </row>
    <row r="2256" spans="1:9" x14ac:dyDescent="0.25">
      <c r="A2256" s="67" t="s">
        <v>3977</v>
      </c>
      <c r="B2256" s="67" t="s">
        <v>3976</v>
      </c>
      <c r="C2256" s="67">
        <v>0</v>
      </c>
      <c r="D2256" s="67">
        <v>0</v>
      </c>
      <c r="E2256" s="67">
        <v>83900.41</v>
      </c>
      <c r="F2256" s="67">
        <v>25250</v>
      </c>
      <c r="H2256" s="68">
        <v>40764</v>
      </c>
      <c r="I2256" s="67" t="s">
        <v>148</v>
      </c>
    </row>
    <row r="2257" spans="1:9" x14ac:dyDescent="0.25">
      <c r="B2257" s="67" t="s">
        <v>3976</v>
      </c>
      <c r="C2257" s="67">
        <v>0</v>
      </c>
      <c r="D2257" s="67">
        <v>0</v>
      </c>
      <c r="E2257" s="67">
        <v>83900.45</v>
      </c>
      <c r="H2257" s="67" t="s">
        <v>146</v>
      </c>
    </row>
    <row r="2259" spans="1:9" x14ac:dyDescent="0.25">
      <c r="A2259" s="67" t="s">
        <v>3975</v>
      </c>
      <c r="B2259" s="67" t="s">
        <v>3974</v>
      </c>
      <c r="C2259" s="67">
        <v>0</v>
      </c>
      <c r="D2259" s="67">
        <v>0</v>
      </c>
      <c r="E2259" s="67">
        <v>83900.41</v>
      </c>
      <c r="F2259" s="67">
        <v>25250</v>
      </c>
      <c r="H2259" s="68">
        <v>40764</v>
      </c>
      <c r="I2259" s="67" t="s">
        <v>148</v>
      </c>
    </row>
    <row r="2260" spans="1:9" x14ac:dyDescent="0.25">
      <c r="B2260" s="67" t="s">
        <v>3974</v>
      </c>
      <c r="C2260" s="67">
        <v>0</v>
      </c>
      <c r="D2260" s="67">
        <v>0</v>
      </c>
      <c r="E2260" s="67">
        <v>83900.45</v>
      </c>
      <c r="H2260" s="67" t="s">
        <v>146</v>
      </c>
    </row>
    <row r="2261" spans="1:9" x14ac:dyDescent="0.25">
      <c r="A2261" s="67" t="s">
        <v>233</v>
      </c>
    </row>
    <row r="2263" spans="1:9" x14ac:dyDescent="0.25">
      <c r="A2263" s="67" t="s">
        <v>232</v>
      </c>
      <c r="D2263" s="67" t="s">
        <v>231</v>
      </c>
      <c r="H2263" s="67" t="s">
        <v>148</v>
      </c>
      <c r="I2263" s="67" t="s">
        <v>230</v>
      </c>
    </row>
    <row r="2264" spans="1:9" x14ac:dyDescent="0.25">
      <c r="A2264" s="67">
        <v>41.1</v>
      </c>
      <c r="C2264" s="67" t="s">
        <v>215</v>
      </c>
      <c r="D2264" s="67" t="s">
        <v>229</v>
      </c>
      <c r="H2264" s="70">
        <v>44771</v>
      </c>
      <c r="I2264" s="69">
        <v>0.56736111111111109</v>
      </c>
    </row>
    <row r="2265" spans="1:9" x14ac:dyDescent="0.25">
      <c r="A2265" s="67" t="s">
        <v>228</v>
      </c>
      <c r="C2265" s="67" t="s">
        <v>227</v>
      </c>
      <c r="D2265" s="67" t="s">
        <v>226</v>
      </c>
      <c r="E2265" s="67">
        <v>589</v>
      </c>
      <c r="H2265" s="67" t="s">
        <v>225</v>
      </c>
      <c r="I2265" s="67">
        <v>41</v>
      </c>
    </row>
    <row r="2266" spans="1:9" x14ac:dyDescent="0.25">
      <c r="A2266" s="67" t="s">
        <v>884</v>
      </c>
    </row>
    <row r="2267" spans="1:9" x14ac:dyDescent="0.25">
      <c r="A2267" s="67" t="s">
        <v>223</v>
      </c>
      <c r="B2267" s="67" t="s">
        <v>222</v>
      </c>
      <c r="C2267" s="67" t="s">
        <v>221</v>
      </c>
      <c r="D2267" s="67" t="s">
        <v>220</v>
      </c>
      <c r="E2267" s="67" t="s">
        <v>219</v>
      </c>
      <c r="F2267" s="67" t="s">
        <v>217</v>
      </c>
      <c r="G2267" s="67" t="s">
        <v>218</v>
      </c>
      <c r="H2267" s="67" t="s">
        <v>217</v>
      </c>
      <c r="I2267" s="67" t="s">
        <v>216</v>
      </c>
    </row>
    <row r="2268" spans="1:9" x14ac:dyDescent="0.25">
      <c r="A2268" s="67" t="s">
        <v>215</v>
      </c>
      <c r="B2268" s="67" t="s">
        <v>214</v>
      </c>
      <c r="C2268" s="67" t="s">
        <v>213</v>
      </c>
      <c r="D2268" s="67" t="s">
        <v>212</v>
      </c>
      <c r="E2268" s="67" t="s">
        <v>211</v>
      </c>
      <c r="F2268" s="67" t="s">
        <v>210</v>
      </c>
      <c r="G2268" s="67" t="s">
        <v>209</v>
      </c>
      <c r="H2268" s="67" t="s">
        <v>208</v>
      </c>
      <c r="I2268" s="67" t="s">
        <v>207</v>
      </c>
    </row>
    <row r="2269" spans="1:9" x14ac:dyDescent="0.25">
      <c r="A2269" s="67" t="s">
        <v>206</v>
      </c>
      <c r="B2269" s="67" t="s">
        <v>205</v>
      </c>
      <c r="C2269" s="67" t="s">
        <v>204</v>
      </c>
      <c r="D2269" s="67" t="s">
        <v>203</v>
      </c>
      <c r="E2269" s="67" t="s">
        <v>202</v>
      </c>
      <c r="F2269" s="67" t="s">
        <v>201</v>
      </c>
      <c r="G2269" s="67" t="s">
        <v>200</v>
      </c>
      <c r="H2269" s="67" t="s">
        <v>199</v>
      </c>
    </row>
    <row r="2270" spans="1:9" x14ac:dyDescent="0.25">
      <c r="A2270" s="67" t="s">
        <v>3973</v>
      </c>
      <c r="B2270" s="67" t="s">
        <v>3972</v>
      </c>
      <c r="C2270" s="67">
        <v>0</v>
      </c>
      <c r="D2270" s="67">
        <v>0</v>
      </c>
      <c r="E2270" s="67">
        <v>83900.41</v>
      </c>
      <c r="F2270" s="67">
        <v>25250</v>
      </c>
      <c r="H2270" s="68">
        <v>40764</v>
      </c>
      <c r="I2270" s="67" t="s">
        <v>148</v>
      </c>
    </row>
    <row r="2271" spans="1:9" x14ac:dyDescent="0.25">
      <c r="B2271" s="67" t="s">
        <v>3972</v>
      </c>
      <c r="C2271" s="67">
        <v>0</v>
      </c>
      <c r="D2271" s="67">
        <v>0</v>
      </c>
      <c r="E2271" s="67">
        <v>83900.45</v>
      </c>
      <c r="H2271" s="67" t="s">
        <v>146</v>
      </c>
    </row>
    <row r="2273" spans="1:9" x14ac:dyDescent="0.25">
      <c r="A2273" s="67" t="s">
        <v>3971</v>
      </c>
      <c r="B2273" s="67" t="s">
        <v>3970</v>
      </c>
      <c r="C2273" s="67">
        <v>0</v>
      </c>
      <c r="D2273" s="67">
        <v>0</v>
      </c>
      <c r="E2273" s="67">
        <v>83900.41</v>
      </c>
      <c r="F2273" s="67">
        <v>25250</v>
      </c>
      <c r="H2273" s="68">
        <v>40764</v>
      </c>
      <c r="I2273" s="67" t="s">
        <v>148</v>
      </c>
    </row>
    <row r="2274" spans="1:9" x14ac:dyDescent="0.25">
      <c r="B2274" s="67" t="s">
        <v>3970</v>
      </c>
      <c r="C2274" s="67">
        <v>0</v>
      </c>
      <c r="D2274" s="67">
        <v>0</v>
      </c>
      <c r="E2274" s="67">
        <v>83900.45</v>
      </c>
      <c r="H2274" s="67" t="s">
        <v>146</v>
      </c>
    </row>
    <row r="2276" spans="1:9" x14ac:dyDescent="0.25">
      <c r="A2276" s="67" t="s">
        <v>3969</v>
      </c>
      <c r="B2276" s="67" t="s">
        <v>3968</v>
      </c>
      <c r="C2276" s="67">
        <v>0</v>
      </c>
      <c r="D2276" s="67">
        <v>0</v>
      </c>
      <c r="E2276" s="67">
        <v>83900.41</v>
      </c>
      <c r="F2276" s="67">
        <v>25250</v>
      </c>
      <c r="H2276" s="68">
        <v>40764</v>
      </c>
      <c r="I2276" s="67" t="s">
        <v>148</v>
      </c>
    </row>
    <row r="2277" spans="1:9" x14ac:dyDescent="0.25">
      <c r="B2277" s="67" t="s">
        <v>3968</v>
      </c>
      <c r="C2277" s="67">
        <v>0</v>
      </c>
      <c r="D2277" s="67">
        <v>0</v>
      </c>
      <c r="E2277" s="67">
        <v>83900.45</v>
      </c>
      <c r="H2277" s="67" t="s">
        <v>146</v>
      </c>
    </row>
    <row r="2279" spans="1:9" x14ac:dyDescent="0.25">
      <c r="A2279" s="67" t="s">
        <v>3967</v>
      </c>
      <c r="B2279" s="67" t="s">
        <v>3966</v>
      </c>
      <c r="C2279" s="67">
        <v>0</v>
      </c>
      <c r="D2279" s="67">
        <v>0</v>
      </c>
      <c r="E2279" s="67">
        <v>83900.41</v>
      </c>
      <c r="F2279" s="67">
        <v>25250</v>
      </c>
      <c r="H2279" s="68">
        <v>40764</v>
      </c>
      <c r="I2279" s="67" t="s">
        <v>148</v>
      </c>
    </row>
    <row r="2280" spans="1:9" x14ac:dyDescent="0.25">
      <c r="B2280" s="67" t="s">
        <v>3966</v>
      </c>
      <c r="C2280" s="67">
        <v>0</v>
      </c>
      <c r="D2280" s="67">
        <v>0</v>
      </c>
      <c r="E2280" s="67">
        <v>83900.45</v>
      </c>
      <c r="H2280" s="67" t="s">
        <v>146</v>
      </c>
    </row>
    <row r="2282" spans="1:9" x14ac:dyDescent="0.25">
      <c r="A2282" s="67" t="s">
        <v>3965</v>
      </c>
      <c r="B2282" s="67" t="s">
        <v>3964</v>
      </c>
      <c r="C2282" s="67">
        <v>0</v>
      </c>
      <c r="D2282" s="67">
        <v>0</v>
      </c>
      <c r="E2282" s="67">
        <v>83900.41</v>
      </c>
      <c r="F2282" s="67">
        <v>25250</v>
      </c>
      <c r="H2282" s="68">
        <v>40764</v>
      </c>
      <c r="I2282" s="67" t="s">
        <v>148</v>
      </c>
    </row>
    <row r="2283" spans="1:9" x14ac:dyDescent="0.25">
      <c r="B2283" s="67" t="s">
        <v>3964</v>
      </c>
      <c r="C2283" s="67">
        <v>0</v>
      </c>
      <c r="D2283" s="67">
        <v>0</v>
      </c>
      <c r="E2283" s="67">
        <v>83900.45</v>
      </c>
      <c r="H2283" s="67" t="s">
        <v>146</v>
      </c>
    </row>
    <row r="2285" spans="1:9" x14ac:dyDescent="0.25">
      <c r="A2285" s="67" t="s">
        <v>3963</v>
      </c>
      <c r="B2285" s="67" t="s">
        <v>3962</v>
      </c>
      <c r="C2285" s="67">
        <v>0</v>
      </c>
      <c r="D2285" s="67">
        <v>0</v>
      </c>
      <c r="E2285" s="67">
        <v>83900.41</v>
      </c>
      <c r="F2285" s="67">
        <v>25250</v>
      </c>
      <c r="H2285" s="68">
        <v>40764</v>
      </c>
      <c r="I2285" s="67" t="s">
        <v>148</v>
      </c>
    </row>
    <row r="2286" spans="1:9" x14ac:dyDescent="0.25">
      <c r="B2286" s="67" t="s">
        <v>3962</v>
      </c>
      <c r="C2286" s="67">
        <v>0</v>
      </c>
      <c r="D2286" s="67">
        <v>0</v>
      </c>
      <c r="E2286" s="67">
        <v>83900.45</v>
      </c>
      <c r="H2286" s="67" t="s">
        <v>146</v>
      </c>
    </row>
    <row r="2288" spans="1:9" x14ac:dyDescent="0.25">
      <c r="A2288" s="67" t="s">
        <v>3961</v>
      </c>
      <c r="B2288" s="67" t="s">
        <v>3960</v>
      </c>
      <c r="C2288" s="67">
        <v>0</v>
      </c>
      <c r="D2288" s="67">
        <v>0</v>
      </c>
      <c r="E2288" s="67">
        <v>83900.41</v>
      </c>
      <c r="F2288" s="67">
        <v>25250</v>
      </c>
      <c r="H2288" s="68">
        <v>40764</v>
      </c>
      <c r="I2288" s="67" t="s">
        <v>148</v>
      </c>
    </row>
    <row r="2289" spans="1:9" x14ac:dyDescent="0.25">
      <c r="B2289" s="67" t="s">
        <v>3960</v>
      </c>
      <c r="C2289" s="67">
        <v>0</v>
      </c>
      <c r="D2289" s="67">
        <v>0</v>
      </c>
      <c r="E2289" s="67">
        <v>83900.45</v>
      </c>
      <c r="H2289" s="67" t="s">
        <v>146</v>
      </c>
    </row>
    <row r="2291" spans="1:9" x14ac:dyDescent="0.25">
      <c r="A2291" s="67" t="s">
        <v>3959</v>
      </c>
      <c r="B2291" s="67" t="s">
        <v>3958</v>
      </c>
      <c r="C2291" s="67">
        <v>0</v>
      </c>
      <c r="D2291" s="67">
        <v>0</v>
      </c>
      <c r="E2291" s="67">
        <v>83900.41</v>
      </c>
      <c r="F2291" s="67">
        <v>25250</v>
      </c>
      <c r="H2291" s="68">
        <v>40764</v>
      </c>
      <c r="I2291" s="67" t="s">
        <v>148</v>
      </c>
    </row>
    <row r="2292" spans="1:9" x14ac:dyDescent="0.25">
      <c r="B2292" s="67" t="s">
        <v>3958</v>
      </c>
      <c r="C2292" s="67">
        <v>0</v>
      </c>
      <c r="D2292" s="67">
        <v>0</v>
      </c>
      <c r="E2292" s="67">
        <v>83900.45</v>
      </c>
      <c r="H2292" s="67" t="s">
        <v>146</v>
      </c>
    </row>
    <row r="2294" spans="1:9" x14ac:dyDescent="0.25">
      <c r="A2294" s="67" t="s">
        <v>3957</v>
      </c>
      <c r="B2294" s="67" t="s">
        <v>3956</v>
      </c>
      <c r="C2294" s="67">
        <v>0</v>
      </c>
      <c r="D2294" s="67">
        <v>0</v>
      </c>
      <c r="E2294" s="67">
        <v>83900.41</v>
      </c>
      <c r="F2294" s="67">
        <v>25250</v>
      </c>
      <c r="H2294" s="68">
        <v>40764</v>
      </c>
      <c r="I2294" s="67" t="s">
        <v>148</v>
      </c>
    </row>
    <row r="2295" spans="1:9" x14ac:dyDescent="0.25">
      <c r="B2295" s="67" t="s">
        <v>3956</v>
      </c>
      <c r="C2295" s="67">
        <v>0</v>
      </c>
      <c r="D2295" s="67">
        <v>0</v>
      </c>
      <c r="E2295" s="67">
        <v>83900.45</v>
      </c>
      <c r="H2295" s="67" t="s">
        <v>146</v>
      </c>
    </row>
    <row r="2297" spans="1:9" x14ac:dyDescent="0.25">
      <c r="A2297" s="67" t="s">
        <v>3955</v>
      </c>
      <c r="B2297" s="67" t="s">
        <v>3954</v>
      </c>
      <c r="C2297" s="67">
        <v>0</v>
      </c>
      <c r="D2297" s="67">
        <v>0</v>
      </c>
      <c r="E2297" s="67">
        <v>83900.41</v>
      </c>
      <c r="F2297" s="67">
        <v>25250</v>
      </c>
      <c r="H2297" s="68">
        <v>40764</v>
      </c>
      <c r="I2297" s="67" t="s">
        <v>148</v>
      </c>
    </row>
    <row r="2298" spans="1:9" x14ac:dyDescent="0.25">
      <c r="B2298" s="67" t="s">
        <v>3954</v>
      </c>
      <c r="C2298" s="67">
        <v>0</v>
      </c>
      <c r="D2298" s="67">
        <v>0</v>
      </c>
      <c r="E2298" s="67">
        <v>83900.45</v>
      </c>
      <c r="H2298" s="67" t="s">
        <v>146</v>
      </c>
    </row>
    <row r="2300" spans="1:9" x14ac:dyDescent="0.25">
      <c r="A2300" s="67" t="s">
        <v>3953</v>
      </c>
      <c r="B2300" s="67" t="s">
        <v>3952</v>
      </c>
      <c r="C2300" s="67">
        <v>0</v>
      </c>
      <c r="D2300" s="67">
        <v>0</v>
      </c>
      <c r="E2300" s="67">
        <v>83900.41</v>
      </c>
      <c r="F2300" s="67">
        <v>25250</v>
      </c>
      <c r="H2300" s="68">
        <v>40764</v>
      </c>
      <c r="I2300" s="67" t="s">
        <v>148</v>
      </c>
    </row>
    <row r="2301" spans="1:9" x14ac:dyDescent="0.25">
      <c r="B2301" s="67" t="s">
        <v>3952</v>
      </c>
      <c r="C2301" s="67">
        <v>0</v>
      </c>
      <c r="D2301" s="67">
        <v>0</v>
      </c>
      <c r="E2301" s="67">
        <v>83900.45</v>
      </c>
      <c r="H2301" s="67" t="s">
        <v>146</v>
      </c>
    </row>
    <row r="2303" spans="1:9" x14ac:dyDescent="0.25">
      <c r="A2303" s="67" t="s">
        <v>3951</v>
      </c>
      <c r="B2303" s="67" t="s">
        <v>3950</v>
      </c>
      <c r="C2303" s="67">
        <v>0</v>
      </c>
      <c r="D2303" s="67">
        <v>0</v>
      </c>
      <c r="E2303" s="67">
        <v>83900.41</v>
      </c>
      <c r="F2303" s="67">
        <v>25250</v>
      </c>
      <c r="H2303" s="68">
        <v>40764</v>
      </c>
      <c r="I2303" s="67" t="s">
        <v>148</v>
      </c>
    </row>
    <row r="2304" spans="1:9" x14ac:dyDescent="0.25">
      <c r="B2304" s="67" t="s">
        <v>3950</v>
      </c>
      <c r="C2304" s="67">
        <v>0</v>
      </c>
      <c r="D2304" s="67">
        <v>0</v>
      </c>
      <c r="E2304" s="67">
        <v>83900.45</v>
      </c>
      <c r="H2304" s="67" t="s">
        <v>146</v>
      </c>
    </row>
    <row r="2306" spans="1:9" x14ac:dyDescent="0.25">
      <c r="A2306" s="67" t="s">
        <v>3949</v>
      </c>
      <c r="B2306" s="67" t="s">
        <v>3948</v>
      </c>
      <c r="C2306" s="67">
        <v>0</v>
      </c>
      <c r="D2306" s="67">
        <v>0</v>
      </c>
      <c r="E2306" s="67">
        <v>83900.41</v>
      </c>
      <c r="F2306" s="67">
        <v>25250</v>
      </c>
      <c r="H2306" s="68">
        <v>40764</v>
      </c>
      <c r="I2306" s="67" t="s">
        <v>148</v>
      </c>
    </row>
    <row r="2307" spans="1:9" x14ac:dyDescent="0.25">
      <c r="B2307" s="67" t="s">
        <v>3948</v>
      </c>
      <c r="C2307" s="67">
        <v>0</v>
      </c>
      <c r="D2307" s="67">
        <v>0</v>
      </c>
      <c r="E2307" s="67">
        <v>83900.45</v>
      </c>
      <c r="H2307" s="67" t="s">
        <v>146</v>
      </c>
    </row>
    <row r="2309" spans="1:9" x14ac:dyDescent="0.25">
      <c r="A2309" s="67" t="s">
        <v>3947</v>
      </c>
      <c r="B2309" s="67" t="s">
        <v>3946</v>
      </c>
      <c r="C2309" s="67">
        <v>0</v>
      </c>
      <c r="D2309" s="67">
        <v>0</v>
      </c>
      <c r="E2309" s="67">
        <v>83900.41</v>
      </c>
      <c r="F2309" s="67">
        <v>25250</v>
      </c>
      <c r="H2309" s="68">
        <v>40764</v>
      </c>
      <c r="I2309" s="67" t="s">
        <v>148</v>
      </c>
    </row>
    <row r="2310" spans="1:9" x14ac:dyDescent="0.25">
      <c r="B2310" s="67" t="s">
        <v>3946</v>
      </c>
      <c r="C2310" s="67">
        <v>0</v>
      </c>
      <c r="D2310" s="67">
        <v>0</v>
      </c>
      <c r="E2310" s="67">
        <v>83900.45</v>
      </c>
      <c r="H2310" s="67" t="s">
        <v>146</v>
      </c>
    </row>
    <row r="2312" spans="1:9" x14ac:dyDescent="0.25">
      <c r="A2312" s="67" t="s">
        <v>3945</v>
      </c>
      <c r="B2312" s="67" t="s">
        <v>3944</v>
      </c>
      <c r="C2312" s="67">
        <v>0</v>
      </c>
      <c r="D2312" s="67">
        <v>0</v>
      </c>
      <c r="E2312" s="67">
        <v>83900.41</v>
      </c>
      <c r="F2312" s="67">
        <v>25250</v>
      </c>
      <c r="H2312" s="68">
        <v>40764</v>
      </c>
      <c r="I2312" s="67" t="s">
        <v>148</v>
      </c>
    </row>
    <row r="2313" spans="1:9" x14ac:dyDescent="0.25">
      <c r="B2313" s="67" t="s">
        <v>3944</v>
      </c>
      <c r="C2313" s="67">
        <v>0</v>
      </c>
      <c r="D2313" s="67">
        <v>0</v>
      </c>
      <c r="E2313" s="67">
        <v>83900.45</v>
      </c>
      <c r="H2313" s="67" t="s">
        <v>146</v>
      </c>
    </row>
    <row r="2315" spans="1:9" x14ac:dyDescent="0.25">
      <c r="A2315" s="67" t="s">
        <v>3943</v>
      </c>
      <c r="B2315" s="67" t="s">
        <v>3942</v>
      </c>
      <c r="C2315" s="67">
        <v>0</v>
      </c>
      <c r="D2315" s="67">
        <v>0</v>
      </c>
      <c r="E2315" s="67">
        <v>83900.41</v>
      </c>
      <c r="F2315" s="67">
        <v>25250</v>
      </c>
      <c r="H2315" s="68">
        <v>40764</v>
      </c>
      <c r="I2315" s="67" t="s">
        <v>148</v>
      </c>
    </row>
    <row r="2316" spans="1:9" x14ac:dyDescent="0.25">
      <c r="B2316" s="67" t="s">
        <v>3942</v>
      </c>
      <c r="C2316" s="67">
        <v>0</v>
      </c>
      <c r="D2316" s="67">
        <v>0</v>
      </c>
      <c r="E2316" s="67">
        <v>83900.45</v>
      </c>
      <c r="H2316" s="67" t="s">
        <v>146</v>
      </c>
    </row>
    <row r="2318" spans="1:9" x14ac:dyDescent="0.25">
      <c r="A2318" s="67" t="s">
        <v>3941</v>
      </c>
      <c r="B2318" s="67" t="s">
        <v>3940</v>
      </c>
      <c r="C2318" s="67">
        <v>0</v>
      </c>
      <c r="D2318" s="67">
        <v>0</v>
      </c>
      <c r="E2318" s="67">
        <v>83900.41</v>
      </c>
      <c r="F2318" s="67">
        <v>25250</v>
      </c>
      <c r="H2318" s="68">
        <v>40764</v>
      </c>
      <c r="I2318" s="67" t="s">
        <v>148</v>
      </c>
    </row>
    <row r="2319" spans="1:9" x14ac:dyDescent="0.25">
      <c r="B2319" s="67" t="s">
        <v>3940</v>
      </c>
      <c r="C2319" s="67">
        <v>0</v>
      </c>
      <c r="D2319" s="67">
        <v>0</v>
      </c>
      <c r="E2319" s="67">
        <v>83900.45</v>
      </c>
      <c r="H2319" s="67" t="s">
        <v>146</v>
      </c>
    </row>
    <row r="2320" spans="1:9" x14ac:dyDescent="0.25">
      <c r="A2320" s="67" t="s">
        <v>233</v>
      </c>
    </row>
    <row r="2322" spans="1:9" x14ac:dyDescent="0.25">
      <c r="A2322" s="67" t="s">
        <v>232</v>
      </c>
      <c r="D2322" s="67" t="s">
        <v>231</v>
      </c>
      <c r="H2322" s="67" t="s">
        <v>148</v>
      </c>
      <c r="I2322" s="67" t="s">
        <v>230</v>
      </c>
    </row>
    <row r="2323" spans="1:9" x14ac:dyDescent="0.25">
      <c r="A2323" s="67">
        <v>41.1</v>
      </c>
      <c r="C2323" s="67" t="s">
        <v>215</v>
      </c>
      <c r="D2323" s="67" t="s">
        <v>229</v>
      </c>
      <c r="H2323" s="70">
        <v>44771</v>
      </c>
      <c r="I2323" s="69">
        <v>0.56736111111111109</v>
      </c>
    </row>
    <row r="2324" spans="1:9" x14ac:dyDescent="0.25">
      <c r="A2324" s="67" t="s">
        <v>228</v>
      </c>
      <c r="C2324" s="67" t="s">
        <v>227</v>
      </c>
      <c r="D2324" s="67" t="s">
        <v>226</v>
      </c>
      <c r="E2324" s="67">
        <v>589</v>
      </c>
      <c r="H2324" s="67" t="s">
        <v>225</v>
      </c>
      <c r="I2324" s="67">
        <v>42</v>
      </c>
    </row>
    <row r="2325" spans="1:9" x14ac:dyDescent="0.25">
      <c r="A2325" s="67" t="s">
        <v>884</v>
      </c>
    </row>
    <row r="2326" spans="1:9" x14ac:dyDescent="0.25">
      <c r="A2326" s="67" t="s">
        <v>223</v>
      </c>
      <c r="B2326" s="67" t="s">
        <v>222</v>
      </c>
      <c r="C2326" s="67" t="s">
        <v>221</v>
      </c>
      <c r="D2326" s="67" t="s">
        <v>220</v>
      </c>
      <c r="E2326" s="67" t="s">
        <v>219</v>
      </c>
      <c r="F2326" s="67" t="s">
        <v>217</v>
      </c>
      <c r="G2326" s="67" t="s">
        <v>218</v>
      </c>
      <c r="H2326" s="67" t="s">
        <v>217</v>
      </c>
      <c r="I2326" s="67" t="s">
        <v>216</v>
      </c>
    </row>
    <row r="2327" spans="1:9" x14ac:dyDescent="0.25">
      <c r="A2327" s="67" t="s">
        <v>215</v>
      </c>
      <c r="B2327" s="67" t="s">
        <v>214</v>
      </c>
      <c r="C2327" s="67" t="s">
        <v>213</v>
      </c>
      <c r="D2327" s="67" t="s">
        <v>212</v>
      </c>
      <c r="E2327" s="67" t="s">
        <v>211</v>
      </c>
      <c r="F2327" s="67" t="s">
        <v>210</v>
      </c>
      <c r="G2327" s="67" t="s">
        <v>209</v>
      </c>
      <c r="H2327" s="67" t="s">
        <v>208</v>
      </c>
      <c r="I2327" s="67" t="s">
        <v>207</v>
      </c>
    </row>
    <row r="2328" spans="1:9" x14ac:dyDescent="0.25">
      <c r="A2328" s="67" t="s">
        <v>206</v>
      </c>
      <c r="B2328" s="67" t="s">
        <v>205</v>
      </c>
      <c r="C2328" s="67" t="s">
        <v>204</v>
      </c>
      <c r="D2328" s="67" t="s">
        <v>203</v>
      </c>
      <c r="E2328" s="67" t="s">
        <v>202</v>
      </c>
      <c r="F2328" s="67" t="s">
        <v>201</v>
      </c>
      <c r="G2328" s="67" t="s">
        <v>200</v>
      </c>
      <c r="H2328" s="67" t="s">
        <v>199</v>
      </c>
    </row>
    <row r="2329" spans="1:9" x14ac:dyDescent="0.25">
      <c r="A2329" s="67" t="s">
        <v>3939</v>
      </c>
      <c r="B2329" s="67" t="s">
        <v>3938</v>
      </c>
      <c r="C2329" s="67">
        <v>0</v>
      </c>
      <c r="D2329" s="67">
        <v>0</v>
      </c>
      <c r="E2329" s="67">
        <v>83900.41</v>
      </c>
      <c r="F2329" s="67">
        <v>25250</v>
      </c>
      <c r="H2329" s="68">
        <v>40764</v>
      </c>
      <c r="I2329" s="67" t="s">
        <v>148</v>
      </c>
    </row>
    <row r="2330" spans="1:9" x14ac:dyDescent="0.25">
      <c r="B2330" s="67" t="s">
        <v>3938</v>
      </c>
      <c r="C2330" s="67">
        <v>0</v>
      </c>
      <c r="D2330" s="67">
        <v>0</v>
      </c>
      <c r="E2330" s="67">
        <v>83900.45</v>
      </c>
      <c r="H2330" s="67" t="s">
        <v>146</v>
      </c>
    </row>
    <row r="2332" spans="1:9" x14ac:dyDescent="0.25">
      <c r="A2332" s="67" t="s">
        <v>3937</v>
      </c>
      <c r="B2332" s="67" t="s">
        <v>3936</v>
      </c>
      <c r="C2332" s="67">
        <v>0</v>
      </c>
      <c r="D2332" s="67">
        <v>0</v>
      </c>
      <c r="E2332" s="67">
        <v>83900.41</v>
      </c>
      <c r="F2332" s="67">
        <v>25250</v>
      </c>
      <c r="H2332" s="68">
        <v>40764</v>
      </c>
      <c r="I2332" s="67" t="s">
        <v>148</v>
      </c>
    </row>
    <row r="2333" spans="1:9" x14ac:dyDescent="0.25">
      <c r="B2333" s="67" t="s">
        <v>3936</v>
      </c>
      <c r="C2333" s="67">
        <v>0</v>
      </c>
      <c r="D2333" s="67">
        <v>0</v>
      </c>
      <c r="E2333" s="67">
        <v>83900.45</v>
      </c>
      <c r="H2333" s="67" t="s">
        <v>146</v>
      </c>
    </row>
    <row r="2335" spans="1:9" x14ac:dyDescent="0.25">
      <c r="A2335" s="67" t="s">
        <v>3935</v>
      </c>
      <c r="B2335" s="67" t="s">
        <v>3934</v>
      </c>
      <c r="C2335" s="67">
        <v>0</v>
      </c>
      <c r="D2335" s="67">
        <v>0</v>
      </c>
      <c r="E2335" s="67">
        <v>83900.41</v>
      </c>
      <c r="F2335" s="67">
        <v>25250</v>
      </c>
      <c r="H2335" s="68">
        <v>40764</v>
      </c>
      <c r="I2335" s="67" t="s">
        <v>148</v>
      </c>
    </row>
    <row r="2336" spans="1:9" x14ac:dyDescent="0.25">
      <c r="B2336" s="67" t="s">
        <v>3934</v>
      </c>
      <c r="C2336" s="67">
        <v>0</v>
      </c>
      <c r="D2336" s="67">
        <v>0</v>
      </c>
      <c r="E2336" s="67">
        <v>83900.45</v>
      </c>
      <c r="H2336" s="67" t="s">
        <v>146</v>
      </c>
    </row>
    <row r="2338" spans="1:9" x14ac:dyDescent="0.25">
      <c r="A2338" s="67" t="s">
        <v>3933</v>
      </c>
      <c r="B2338" s="67" t="s">
        <v>3932</v>
      </c>
      <c r="C2338" s="67">
        <v>0</v>
      </c>
      <c r="D2338" s="67">
        <v>0</v>
      </c>
      <c r="E2338" s="67">
        <v>83900.41</v>
      </c>
      <c r="F2338" s="67">
        <v>25250</v>
      </c>
      <c r="H2338" s="68">
        <v>40764</v>
      </c>
      <c r="I2338" s="67" t="s">
        <v>148</v>
      </c>
    </row>
    <row r="2339" spans="1:9" x14ac:dyDescent="0.25">
      <c r="B2339" s="67" t="s">
        <v>3932</v>
      </c>
      <c r="C2339" s="67">
        <v>0</v>
      </c>
      <c r="D2339" s="67">
        <v>0</v>
      </c>
      <c r="E2339" s="67">
        <v>83900.45</v>
      </c>
      <c r="H2339" s="67" t="s">
        <v>146</v>
      </c>
    </row>
    <row r="2341" spans="1:9" x14ac:dyDescent="0.25">
      <c r="A2341" s="67" t="s">
        <v>3931</v>
      </c>
      <c r="B2341" s="67" t="s">
        <v>3930</v>
      </c>
      <c r="C2341" s="67">
        <v>0</v>
      </c>
      <c r="D2341" s="67">
        <v>0</v>
      </c>
      <c r="E2341" s="67">
        <v>83900.41</v>
      </c>
      <c r="F2341" s="67">
        <v>25250</v>
      </c>
      <c r="H2341" s="68">
        <v>40764</v>
      </c>
      <c r="I2341" s="67" t="s">
        <v>148</v>
      </c>
    </row>
    <row r="2342" spans="1:9" x14ac:dyDescent="0.25">
      <c r="B2342" s="67" t="s">
        <v>3930</v>
      </c>
      <c r="C2342" s="67">
        <v>0</v>
      </c>
      <c r="D2342" s="67">
        <v>0</v>
      </c>
      <c r="E2342" s="67">
        <v>83900.45</v>
      </c>
      <c r="H2342" s="67" t="s">
        <v>146</v>
      </c>
    </row>
    <row r="2344" spans="1:9" x14ac:dyDescent="0.25">
      <c r="A2344" s="67" t="s">
        <v>3929</v>
      </c>
      <c r="B2344" s="67" t="s">
        <v>3928</v>
      </c>
      <c r="C2344" s="67">
        <v>0</v>
      </c>
      <c r="D2344" s="67">
        <v>0</v>
      </c>
      <c r="E2344" s="67">
        <v>83900.41</v>
      </c>
      <c r="F2344" s="67">
        <v>25250</v>
      </c>
      <c r="H2344" s="68">
        <v>40764</v>
      </c>
      <c r="I2344" s="67" t="s">
        <v>148</v>
      </c>
    </row>
    <row r="2345" spans="1:9" x14ac:dyDescent="0.25">
      <c r="B2345" s="67" t="s">
        <v>3928</v>
      </c>
      <c r="C2345" s="67">
        <v>0</v>
      </c>
      <c r="D2345" s="67">
        <v>0</v>
      </c>
      <c r="E2345" s="67">
        <v>83900.45</v>
      </c>
      <c r="H2345" s="67" t="s">
        <v>146</v>
      </c>
    </row>
    <row r="2347" spans="1:9" x14ac:dyDescent="0.25">
      <c r="A2347" s="67" t="s">
        <v>3927</v>
      </c>
      <c r="B2347" s="67" t="s">
        <v>3926</v>
      </c>
      <c r="C2347" s="67">
        <v>0</v>
      </c>
      <c r="D2347" s="67">
        <v>0</v>
      </c>
      <c r="E2347" s="67">
        <v>83900.41</v>
      </c>
      <c r="F2347" s="67">
        <v>25250</v>
      </c>
      <c r="H2347" s="68">
        <v>40764</v>
      </c>
      <c r="I2347" s="67" t="s">
        <v>148</v>
      </c>
    </row>
    <row r="2348" spans="1:9" x14ac:dyDescent="0.25">
      <c r="B2348" s="67" t="s">
        <v>3926</v>
      </c>
      <c r="C2348" s="67">
        <v>0</v>
      </c>
      <c r="D2348" s="67">
        <v>0</v>
      </c>
      <c r="E2348" s="67">
        <v>83900.45</v>
      </c>
      <c r="H2348" s="67" t="s">
        <v>146</v>
      </c>
    </row>
    <row r="2350" spans="1:9" x14ac:dyDescent="0.25">
      <c r="A2350" s="67" t="s">
        <v>3925</v>
      </c>
      <c r="B2350" s="67" t="s">
        <v>3924</v>
      </c>
      <c r="C2350" s="67">
        <v>0</v>
      </c>
      <c r="D2350" s="67">
        <v>0</v>
      </c>
      <c r="E2350" s="67">
        <v>83900.41</v>
      </c>
      <c r="F2350" s="67">
        <v>25250</v>
      </c>
      <c r="H2350" s="68">
        <v>40764</v>
      </c>
      <c r="I2350" s="67" t="s">
        <v>148</v>
      </c>
    </row>
    <row r="2351" spans="1:9" x14ac:dyDescent="0.25">
      <c r="B2351" s="67" t="s">
        <v>3924</v>
      </c>
      <c r="C2351" s="67">
        <v>0</v>
      </c>
      <c r="D2351" s="67">
        <v>0</v>
      </c>
      <c r="E2351" s="67">
        <v>83900.45</v>
      </c>
      <c r="H2351" s="67" t="s">
        <v>146</v>
      </c>
    </row>
    <row r="2353" spans="1:9" x14ac:dyDescent="0.25">
      <c r="A2353" s="67" t="s">
        <v>3923</v>
      </c>
      <c r="B2353" s="67" t="s">
        <v>3921</v>
      </c>
      <c r="C2353" s="67">
        <v>0</v>
      </c>
      <c r="D2353" s="67">
        <v>0</v>
      </c>
      <c r="E2353" s="67">
        <v>83900.41</v>
      </c>
      <c r="F2353" s="67">
        <v>25250</v>
      </c>
      <c r="H2353" s="68">
        <v>40764</v>
      </c>
      <c r="I2353" s="67" t="s">
        <v>148</v>
      </c>
    </row>
    <row r="2354" spans="1:9" x14ac:dyDescent="0.25">
      <c r="B2354" s="67" t="s">
        <v>3921</v>
      </c>
      <c r="C2354" s="67">
        <v>0</v>
      </c>
      <c r="D2354" s="67">
        <v>0</v>
      </c>
      <c r="E2354" s="67">
        <v>83900.45</v>
      </c>
      <c r="H2354" s="67" t="s">
        <v>146</v>
      </c>
    </row>
    <row r="2356" spans="1:9" x14ac:dyDescent="0.25">
      <c r="A2356" s="67" t="s">
        <v>3922</v>
      </c>
      <c r="B2356" s="67" t="s">
        <v>3921</v>
      </c>
      <c r="C2356" s="67">
        <v>0</v>
      </c>
      <c r="D2356" s="67">
        <v>0</v>
      </c>
      <c r="E2356" s="67">
        <v>83900.41</v>
      </c>
      <c r="F2356" s="67">
        <v>25250</v>
      </c>
      <c r="H2356" s="68">
        <v>40764</v>
      </c>
      <c r="I2356" s="67" t="s">
        <v>148</v>
      </c>
    </row>
    <row r="2357" spans="1:9" x14ac:dyDescent="0.25">
      <c r="B2357" s="67" t="s">
        <v>3921</v>
      </c>
      <c r="C2357" s="67">
        <v>0</v>
      </c>
      <c r="D2357" s="67">
        <v>0</v>
      </c>
      <c r="E2357" s="67">
        <v>83900.45</v>
      </c>
      <c r="H2357" s="67" t="s">
        <v>146</v>
      </c>
    </row>
    <row r="2359" spans="1:9" x14ac:dyDescent="0.25">
      <c r="A2359" s="67" t="s">
        <v>3920</v>
      </c>
      <c r="B2359" s="67" t="s">
        <v>3919</v>
      </c>
      <c r="C2359" s="67">
        <v>0</v>
      </c>
      <c r="D2359" s="67">
        <v>0</v>
      </c>
      <c r="E2359" s="67">
        <v>83900.41</v>
      </c>
      <c r="F2359" s="67">
        <v>25250</v>
      </c>
      <c r="H2359" s="68">
        <v>40764</v>
      </c>
      <c r="I2359" s="67" t="s">
        <v>148</v>
      </c>
    </row>
    <row r="2360" spans="1:9" x14ac:dyDescent="0.25">
      <c r="B2360" s="67" t="s">
        <v>3919</v>
      </c>
      <c r="C2360" s="67">
        <v>0</v>
      </c>
      <c r="D2360" s="67">
        <v>0</v>
      </c>
      <c r="E2360" s="67">
        <v>83900.45</v>
      </c>
      <c r="H2360" s="67" t="s">
        <v>146</v>
      </c>
    </row>
    <row r="2362" spans="1:9" x14ac:dyDescent="0.25">
      <c r="A2362" s="67" t="s">
        <v>3918</v>
      </c>
      <c r="B2362" s="67" t="s">
        <v>3917</v>
      </c>
      <c r="C2362" s="67">
        <v>0</v>
      </c>
      <c r="D2362" s="67">
        <v>0</v>
      </c>
      <c r="E2362" s="67">
        <v>83900.41</v>
      </c>
      <c r="F2362" s="67">
        <v>25250</v>
      </c>
      <c r="H2362" s="68">
        <v>40764</v>
      </c>
      <c r="I2362" s="67" t="s">
        <v>148</v>
      </c>
    </row>
    <row r="2363" spans="1:9" x14ac:dyDescent="0.25">
      <c r="B2363" s="67" t="s">
        <v>3917</v>
      </c>
      <c r="C2363" s="67">
        <v>0</v>
      </c>
      <c r="D2363" s="67">
        <v>0</v>
      </c>
      <c r="E2363" s="67">
        <v>83900.45</v>
      </c>
      <c r="H2363" s="67" t="s">
        <v>146</v>
      </c>
    </row>
    <row r="2365" spans="1:9" x14ac:dyDescent="0.25">
      <c r="A2365" s="67" t="s">
        <v>3916</v>
      </c>
      <c r="B2365" s="67" t="s">
        <v>3915</v>
      </c>
      <c r="C2365" s="67">
        <v>0</v>
      </c>
      <c r="D2365" s="67">
        <v>0</v>
      </c>
      <c r="E2365" s="67">
        <v>83900.41</v>
      </c>
      <c r="F2365" s="67">
        <v>25250</v>
      </c>
      <c r="H2365" s="68">
        <v>40764</v>
      </c>
      <c r="I2365" s="67" t="s">
        <v>148</v>
      </c>
    </row>
    <row r="2366" spans="1:9" x14ac:dyDescent="0.25">
      <c r="B2366" s="67" t="s">
        <v>3915</v>
      </c>
      <c r="C2366" s="67">
        <v>0</v>
      </c>
      <c r="D2366" s="67">
        <v>0</v>
      </c>
      <c r="E2366" s="67">
        <v>83900.45</v>
      </c>
      <c r="H2366" s="67" t="s">
        <v>146</v>
      </c>
    </row>
    <row r="2368" spans="1:9" x14ac:dyDescent="0.25">
      <c r="A2368" s="67" t="s">
        <v>3914</v>
      </c>
      <c r="B2368" s="67" t="s">
        <v>3913</v>
      </c>
      <c r="C2368" s="67">
        <v>0</v>
      </c>
      <c r="D2368" s="67">
        <v>0</v>
      </c>
      <c r="E2368" s="67">
        <v>83900.41</v>
      </c>
      <c r="F2368" s="67">
        <v>25250</v>
      </c>
      <c r="H2368" s="68">
        <v>40764</v>
      </c>
      <c r="I2368" s="67" t="s">
        <v>148</v>
      </c>
    </row>
    <row r="2369" spans="1:9" x14ac:dyDescent="0.25">
      <c r="B2369" s="67" t="s">
        <v>3913</v>
      </c>
      <c r="C2369" s="67">
        <v>0</v>
      </c>
      <c r="D2369" s="67">
        <v>0</v>
      </c>
      <c r="E2369" s="67">
        <v>83900.45</v>
      </c>
      <c r="H2369" s="67" t="s">
        <v>146</v>
      </c>
    </row>
    <row r="2371" spans="1:9" x14ac:dyDescent="0.25">
      <c r="A2371" s="67" t="s">
        <v>3912</v>
      </c>
      <c r="B2371" s="67" t="s">
        <v>3911</v>
      </c>
      <c r="C2371" s="67">
        <v>0</v>
      </c>
      <c r="D2371" s="67">
        <v>0</v>
      </c>
      <c r="E2371" s="67">
        <v>83900.41</v>
      </c>
      <c r="F2371" s="67">
        <v>25250</v>
      </c>
      <c r="H2371" s="68">
        <v>40764</v>
      </c>
      <c r="I2371" s="67" t="s">
        <v>148</v>
      </c>
    </row>
    <row r="2372" spans="1:9" x14ac:dyDescent="0.25">
      <c r="B2372" s="67" t="s">
        <v>3911</v>
      </c>
      <c r="C2372" s="67">
        <v>0</v>
      </c>
      <c r="D2372" s="67">
        <v>0</v>
      </c>
      <c r="E2372" s="67">
        <v>83900.45</v>
      </c>
      <c r="H2372" s="67" t="s">
        <v>146</v>
      </c>
    </row>
    <row r="2374" spans="1:9" x14ac:dyDescent="0.25">
      <c r="A2374" s="67" t="s">
        <v>3910</v>
      </c>
      <c r="B2374" s="67" t="s">
        <v>3909</v>
      </c>
      <c r="C2374" s="67">
        <v>0</v>
      </c>
      <c r="D2374" s="67">
        <v>0</v>
      </c>
      <c r="E2374" s="67">
        <v>83900.41</v>
      </c>
      <c r="F2374" s="67">
        <v>25250</v>
      </c>
      <c r="H2374" s="68">
        <v>40764</v>
      </c>
      <c r="I2374" s="67" t="s">
        <v>148</v>
      </c>
    </row>
    <row r="2375" spans="1:9" x14ac:dyDescent="0.25">
      <c r="B2375" s="67" t="s">
        <v>3909</v>
      </c>
      <c r="C2375" s="67">
        <v>0</v>
      </c>
      <c r="D2375" s="67">
        <v>0</v>
      </c>
      <c r="E2375" s="67">
        <v>83900.45</v>
      </c>
      <c r="H2375" s="67" t="s">
        <v>146</v>
      </c>
    </row>
    <row r="2377" spans="1:9" x14ac:dyDescent="0.25">
      <c r="A2377" s="67" t="s">
        <v>3908</v>
      </c>
      <c r="B2377" s="67" t="s">
        <v>3907</v>
      </c>
      <c r="C2377" s="67">
        <v>0</v>
      </c>
      <c r="D2377" s="67">
        <v>0</v>
      </c>
      <c r="E2377" s="67">
        <v>83900.41</v>
      </c>
      <c r="F2377" s="67">
        <v>25250</v>
      </c>
      <c r="H2377" s="68">
        <v>40764</v>
      </c>
      <c r="I2377" s="67" t="s">
        <v>148</v>
      </c>
    </row>
    <row r="2378" spans="1:9" x14ac:dyDescent="0.25">
      <c r="B2378" s="67" t="s">
        <v>3907</v>
      </c>
      <c r="C2378" s="67">
        <v>0</v>
      </c>
      <c r="D2378" s="67">
        <v>0</v>
      </c>
      <c r="E2378" s="67">
        <v>83900.45</v>
      </c>
      <c r="H2378" s="67" t="s">
        <v>146</v>
      </c>
    </row>
    <row r="2379" spans="1:9" x14ac:dyDescent="0.25">
      <c r="A2379" s="67" t="s">
        <v>233</v>
      </c>
    </row>
    <row r="2381" spans="1:9" x14ac:dyDescent="0.25">
      <c r="A2381" s="67" t="s">
        <v>232</v>
      </c>
      <c r="D2381" s="67" t="s">
        <v>231</v>
      </c>
      <c r="H2381" s="67" t="s">
        <v>148</v>
      </c>
      <c r="I2381" s="67" t="s">
        <v>230</v>
      </c>
    </row>
    <row r="2382" spans="1:9" x14ac:dyDescent="0.25">
      <c r="A2382" s="67">
        <v>41.1</v>
      </c>
      <c r="C2382" s="67" t="s">
        <v>215</v>
      </c>
      <c r="D2382" s="67" t="s">
        <v>229</v>
      </c>
      <c r="H2382" s="70">
        <v>44771</v>
      </c>
      <c r="I2382" s="69">
        <v>0.56736111111111109</v>
      </c>
    </row>
    <row r="2383" spans="1:9" x14ac:dyDescent="0.25">
      <c r="A2383" s="67" t="s">
        <v>228</v>
      </c>
      <c r="C2383" s="67" t="s">
        <v>227</v>
      </c>
      <c r="D2383" s="67" t="s">
        <v>226</v>
      </c>
      <c r="E2383" s="67">
        <v>589</v>
      </c>
      <c r="H2383" s="67" t="s">
        <v>225</v>
      </c>
      <c r="I2383" s="67">
        <v>43</v>
      </c>
    </row>
    <row r="2384" spans="1:9" x14ac:dyDescent="0.25">
      <c r="A2384" s="67" t="s">
        <v>884</v>
      </c>
    </row>
    <row r="2385" spans="1:9" x14ac:dyDescent="0.25">
      <c r="A2385" s="67" t="s">
        <v>223</v>
      </c>
      <c r="B2385" s="67" t="s">
        <v>222</v>
      </c>
      <c r="C2385" s="67" t="s">
        <v>221</v>
      </c>
      <c r="D2385" s="67" t="s">
        <v>220</v>
      </c>
      <c r="E2385" s="67" t="s">
        <v>219</v>
      </c>
      <c r="F2385" s="67" t="s">
        <v>217</v>
      </c>
      <c r="G2385" s="67" t="s">
        <v>218</v>
      </c>
      <c r="H2385" s="67" t="s">
        <v>217</v>
      </c>
      <c r="I2385" s="67" t="s">
        <v>216</v>
      </c>
    </row>
    <row r="2386" spans="1:9" x14ac:dyDescent="0.25">
      <c r="A2386" s="67" t="s">
        <v>215</v>
      </c>
      <c r="B2386" s="67" t="s">
        <v>214</v>
      </c>
      <c r="C2386" s="67" t="s">
        <v>213</v>
      </c>
      <c r="D2386" s="67" t="s">
        <v>212</v>
      </c>
      <c r="E2386" s="67" t="s">
        <v>211</v>
      </c>
      <c r="F2386" s="67" t="s">
        <v>210</v>
      </c>
      <c r="G2386" s="67" t="s">
        <v>209</v>
      </c>
      <c r="H2386" s="67" t="s">
        <v>208</v>
      </c>
      <c r="I2386" s="67" t="s">
        <v>207</v>
      </c>
    </row>
    <row r="2387" spans="1:9" x14ac:dyDescent="0.25">
      <c r="A2387" s="67" t="s">
        <v>206</v>
      </c>
      <c r="B2387" s="67" t="s">
        <v>205</v>
      </c>
      <c r="C2387" s="67" t="s">
        <v>204</v>
      </c>
      <c r="D2387" s="67" t="s">
        <v>203</v>
      </c>
      <c r="E2387" s="67" t="s">
        <v>202</v>
      </c>
      <c r="F2387" s="67" t="s">
        <v>201</v>
      </c>
      <c r="G2387" s="67" t="s">
        <v>200</v>
      </c>
      <c r="H2387" s="67" t="s">
        <v>199</v>
      </c>
    </row>
    <row r="2388" spans="1:9" x14ac:dyDescent="0.25">
      <c r="A2388" s="67" t="s">
        <v>3906</v>
      </c>
      <c r="B2388" s="67" t="s">
        <v>3905</v>
      </c>
      <c r="C2388" s="67">
        <v>0</v>
      </c>
      <c r="D2388" s="67">
        <v>0</v>
      </c>
      <c r="E2388" s="67">
        <v>83900.41</v>
      </c>
      <c r="F2388" s="67">
        <v>25250</v>
      </c>
      <c r="H2388" s="68">
        <v>40764</v>
      </c>
      <c r="I2388" s="67" t="s">
        <v>148</v>
      </c>
    </row>
    <row r="2389" spans="1:9" x14ac:dyDescent="0.25">
      <c r="B2389" s="67" t="s">
        <v>3905</v>
      </c>
      <c r="C2389" s="67">
        <v>0</v>
      </c>
      <c r="D2389" s="67">
        <v>0</v>
      </c>
      <c r="E2389" s="67">
        <v>83900.45</v>
      </c>
      <c r="H2389" s="67" t="s">
        <v>146</v>
      </c>
    </row>
    <row r="2391" spans="1:9" x14ac:dyDescent="0.25">
      <c r="A2391" s="67" t="s">
        <v>3904</v>
      </c>
      <c r="B2391" s="67" t="s">
        <v>3903</v>
      </c>
      <c r="C2391" s="67">
        <v>0</v>
      </c>
      <c r="D2391" s="67">
        <v>0</v>
      </c>
      <c r="E2391" s="67">
        <v>83900.41</v>
      </c>
      <c r="F2391" s="67">
        <v>25250</v>
      </c>
      <c r="H2391" s="68">
        <v>40764</v>
      </c>
      <c r="I2391" s="67" t="s">
        <v>148</v>
      </c>
    </row>
    <row r="2392" spans="1:9" x14ac:dyDescent="0.25">
      <c r="B2392" s="67" t="s">
        <v>3903</v>
      </c>
      <c r="C2392" s="67">
        <v>0</v>
      </c>
      <c r="D2392" s="67">
        <v>0</v>
      </c>
      <c r="E2392" s="67">
        <v>83900.45</v>
      </c>
      <c r="H2392" s="67" t="s">
        <v>146</v>
      </c>
    </row>
    <row r="2394" spans="1:9" x14ac:dyDescent="0.25">
      <c r="A2394" s="67" t="s">
        <v>3902</v>
      </c>
      <c r="B2394" s="67" t="s">
        <v>3901</v>
      </c>
      <c r="C2394" s="67">
        <v>0</v>
      </c>
      <c r="D2394" s="67">
        <v>0</v>
      </c>
      <c r="E2394" s="67">
        <v>83900.41</v>
      </c>
      <c r="F2394" s="67">
        <v>25250</v>
      </c>
      <c r="H2394" s="68">
        <v>40764</v>
      </c>
      <c r="I2394" s="67" t="s">
        <v>148</v>
      </c>
    </row>
    <row r="2395" spans="1:9" x14ac:dyDescent="0.25">
      <c r="B2395" s="67" t="s">
        <v>3901</v>
      </c>
      <c r="C2395" s="67">
        <v>0</v>
      </c>
      <c r="D2395" s="67">
        <v>0</v>
      </c>
      <c r="E2395" s="67">
        <v>83900.45</v>
      </c>
      <c r="H2395" s="67" t="s">
        <v>146</v>
      </c>
    </row>
    <row r="2397" spans="1:9" x14ac:dyDescent="0.25">
      <c r="A2397" s="67" t="s">
        <v>3900</v>
      </c>
      <c r="B2397" s="67" t="s">
        <v>3899</v>
      </c>
      <c r="C2397" s="67">
        <v>0</v>
      </c>
      <c r="D2397" s="67">
        <v>0</v>
      </c>
      <c r="E2397" s="67">
        <v>83900.41</v>
      </c>
      <c r="F2397" s="67">
        <v>25250</v>
      </c>
      <c r="H2397" s="68">
        <v>40764</v>
      </c>
      <c r="I2397" s="67" t="s">
        <v>148</v>
      </c>
    </row>
    <row r="2398" spans="1:9" x14ac:dyDescent="0.25">
      <c r="B2398" s="67" t="s">
        <v>3899</v>
      </c>
      <c r="C2398" s="67">
        <v>0</v>
      </c>
      <c r="D2398" s="67">
        <v>0</v>
      </c>
      <c r="E2398" s="67">
        <v>83900.45</v>
      </c>
      <c r="H2398" s="67" t="s">
        <v>146</v>
      </c>
    </row>
    <row r="2400" spans="1:9" x14ac:dyDescent="0.25">
      <c r="A2400" s="67" t="s">
        <v>3898</v>
      </c>
      <c r="B2400" s="67" t="s">
        <v>3897</v>
      </c>
      <c r="C2400" s="67">
        <v>0</v>
      </c>
      <c r="D2400" s="67">
        <v>0</v>
      </c>
      <c r="E2400" s="67">
        <v>83900.41</v>
      </c>
      <c r="F2400" s="67">
        <v>25250</v>
      </c>
      <c r="H2400" s="68">
        <v>40764</v>
      </c>
      <c r="I2400" s="67" t="s">
        <v>148</v>
      </c>
    </row>
    <row r="2401" spans="1:9" x14ac:dyDescent="0.25">
      <c r="B2401" s="67" t="s">
        <v>3897</v>
      </c>
      <c r="C2401" s="67">
        <v>0</v>
      </c>
      <c r="D2401" s="67">
        <v>0</v>
      </c>
      <c r="E2401" s="67">
        <v>83900.45</v>
      </c>
      <c r="H2401" s="67" t="s">
        <v>146</v>
      </c>
    </row>
    <row r="2403" spans="1:9" x14ac:dyDescent="0.25">
      <c r="A2403" s="67" t="s">
        <v>3896</v>
      </c>
      <c r="B2403" s="67" t="s">
        <v>3895</v>
      </c>
      <c r="C2403" s="67">
        <v>0</v>
      </c>
      <c r="D2403" s="67">
        <v>0</v>
      </c>
      <c r="E2403" s="67">
        <v>83900.41</v>
      </c>
      <c r="F2403" s="67">
        <v>25250</v>
      </c>
      <c r="H2403" s="68">
        <v>40764</v>
      </c>
      <c r="I2403" s="67" t="s">
        <v>148</v>
      </c>
    </row>
    <row r="2404" spans="1:9" x14ac:dyDescent="0.25">
      <c r="B2404" s="67" t="s">
        <v>3895</v>
      </c>
      <c r="C2404" s="67">
        <v>0</v>
      </c>
      <c r="D2404" s="67">
        <v>0</v>
      </c>
      <c r="E2404" s="67">
        <v>83900.45</v>
      </c>
      <c r="H2404" s="67" t="s">
        <v>146</v>
      </c>
    </row>
    <row r="2406" spans="1:9" x14ac:dyDescent="0.25">
      <c r="A2406" s="67" t="s">
        <v>3894</v>
      </c>
      <c r="B2406" s="67" t="s">
        <v>3893</v>
      </c>
      <c r="C2406" s="67">
        <v>0</v>
      </c>
      <c r="D2406" s="67">
        <v>0</v>
      </c>
      <c r="E2406" s="67">
        <v>83900.41</v>
      </c>
      <c r="F2406" s="67">
        <v>25250</v>
      </c>
      <c r="H2406" s="68">
        <v>40764</v>
      </c>
      <c r="I2406" s="67" t="s">
        <v>148</v>
      </c>
    </row>
    <row r="2407" spans="1:9" x14ac:dyDescent="0.25">
      <c r="B2407" s="67" t="s">
        <v>3893</v>
      </c>
      <c r="C2407" s="67">
        <v>0</v>
      </c>
      <c r="D2407" s="67">
        <v>0</v>
      </c>
      <c r="E2407" s="67">
        <v>83900.45</v>
      </c>
      <c r="H2407" s="67" t="s">
        <v>146</v>
      </c>
    </row>
    <row r="2409" spans="1:9" x14ac:dyDescent="0.25">
      <c r="A2409" s="67" t="s">
        <v>3892</v>
      </c>
      <c r="B2409" s="67" t="s">
        <v>3891</v>
      </c>
      <c r="C2409" s="67">
        <v>0</v>
      </c>
      <c r="D2409" s="67">
        <v>0</v>
      </c>
      <c r="E2409" s="67">
        <v>83900.41</v>
      </c>
      <c r="F2409" s="67">
        <v>25250</v>
      </c>
      <c r="H2409" s="68">
        <v>40764</v>
      </c>
      <c r="I2409" s="67" t="s">
        <v>148</v>
      </c>
    </row>
    <row r="2410" spans="1:9" x14ac:dyDescent="0.25">
      <c r="B2410" s="67" t="s">
        <v>3891</v>
      </c>
      <c r="C2410" s="67">
        <v>0</v>
      </c>
      <c r="D2410" s="67">
        <v>0</v>
      </c>
      <c r="E2410" s="67">
        <v>83900.45</v>
      </c>
      <c r="H2410" s="67" t="s">
        <v>146</v>
      </c>
    </row>
    <row r="2412" spans="1:9" x14ac:dyDescent="0.25">
      <c r="A2412" s="67" t="s">
        <v>3890</v>
      </c>
      <c r="B2412" s="67" t="s">
        <v>3889</v>
      </c>
      <c r="C2412" s="67">
        <v>0</v>
      </c>
      <c r="D2412" s="67">
        <v>0</v>
      </c>
      <c r="E2412" s="67">
        <v>83900.41</v>
      </c>
      <c r="F2412" s="67">
        <v>25250</v>
      </c>
      <c r="H2412" s="68">
        <v>40764</v>
      </c>
      <c r="I2412" s="67" t="s">
        <v>148</v>
      </c>
    </row>
    <row r="2413" spans="1:9" x14ac:dyDescent="0.25">
      <c r="B2413" s="67" t="s">
        <v>3889</v>
      </c>
      <c r="C2413" s="67">
        <v>0</v>
      </c>
      <c r="D2413" s="67">
        <v>0</v>
      </c>
      <c r="E2413" s="67">
        <v>83900.45</v>
      </c>
      <c r="H2413" s="67" t="s">
        <v>146</v>
      </c>
    </row>
    <row r="2415" spans="1:9" x14ac:dyDescent="0.25">
      <c r="A2415" s="67" t="s">
        <v>3888</v>
      </c>
      <c r="B2415" s="67" t="s">
        <v>3887</v>
      </c>
      <c r="C2415" s="67">
        <v>0</v>
      </c>
      <c r="D2415" s="67">
        <v>0</v>
      </c>
      <c r="E2415" s="67">
        <v>83900.41</v>
      </c>
      <c r="F2415" s="67">
        <v>25250</v>
      </c>
      <c r="H2415" s="68">
        <v>40764</v>
      </c>
      <c r="I2415" s="67" t="s">
        <v>148</v>
      </c>
    </row>
    <row r="2416" spans="1:9" x14ac:dyDescent="0.25">
      <c r="B2416" s="67" t="s">
        <v>3887</v>
      </c>
      <c r="C2416" s="67">
        <v>0</v>
      </c>
      <c r="D2416" s="67">
        <v>0</v>
      </c>
      <c r="E2416" s="67">
        <v>83900.45</v>
      </c>
      <c r="H2416" s="67" t="s">
        <v>146</v>
      </c>
    </row>
    <row r="2418" spans="1:9" x14ac:dyDescent="0.25">
      <c r="A2418" s="67" t="s">
        <v>3886</v>
      </c>
      <c r="B2418" s="67" t="s">
        <v>3885</v>
      </c>
      <c r="C2418" s="67">
        <v>0</v>
      </c>
      <c r="D2418" s="67">
        <v>0</v>
      </c>
      <c r="E2418" s="67">
        <v>83900.41</v>
      </c>
      <c r="F2418" s="67">
        <v>25250</v>
      </c>
      <c r="H2418" s="68">
        <v>40764</v>
      </c>
      <c r="I2418" s="67" t="s">
        <v>148</v>
      </c>
    </row>
    <row r="2419" spans="1:9" x14ac:dyDescent="0.25">
      <c r="B2419" s="67" t="s">
        <v>3885</v>
      </c>
      <c r="C2419" s="67">
        <v>0</v>
      </c>
      <c r="D2419" s="67">
        <v>0</v>
      </c>
      <c r="E2419" s="67">
        <v>83900.45</v>
      </c>
      <c r="H2419" s="67" t="s">
        <v>146</v>
      </c>
    </row>
    <row r="2421" spans="1:9" x14ac:dyDescent="0.25">
      <c r="A2421" s="67" t="s">
        <v>3884</v>
      </c>
      <c r="B2421" s="67" t="s">
        <v>3883</v>
      </c>
      <c r="C2421" s="67">
        <v>0</v>
      </c>
      <c r="D2421" s="67">
        <v>0</v>
      </c>
      <c r="E2421" s="67">
        <v>83900.41</v>
      </c>
      <c r="F2421" s="67">
        <v>25250</v>
      </c>
      <c r="H2421" s="68">
        <v>40764</v>
      </c>
      <c r="I2421" s="67" t="s">
        <v>148</v>
      </c>
    </row>
    <row r="2422" spans="1:9" x14ac:dyDescent="0.25">
      <c r="B2422" s="67" t="s">
        <v>3883</v>
      </c>
      <c r="C2422" s="67">
        <v>0</v>
      </c>
      <c r="D2422" s="67">
        <v>0</v>
      </c>
      <c r="E2422" s="67">
        <v>83900.45</v>
      </c>
      <c r="H2422" s="67" t="s">
        <v>146</v>
      </c>
    </row>
    <row r="2424" spans="1:9" x14ac:dyDescent="0.25">
      <c r="A2424" s="67" t="s">
        <v>3882</v>
      </c>
      <c r="B2424" s="67" t="s">
        <v>3881</v>
      </c>
      <c r="C2424" s="67">
        <v>0</v>
      </c>
      <c r="D2424" s="67">
        <v>0</v>
      </c>
      <c r="E2424" s="67">
        <v>83900.41</v>
      </c>
      <c r="F2424" s="67">
        <v>25250</v>
      </c>
      <c r="H2424" s="68">
        <v>40764</v>
      </c>
      <c r="I2424" s="67" t="s">
        <v>148</v>
      </c>
    </row>
    <row r="2425" spans="1:9" x14ac:dyDescent="0.25">
      <c r="B2425" s="67" t="s">
        <v>3881</v>
      </c>
      <c r="C2425" s="67">
        <v>0</v>
      </c>
      <c r="D2425" s="67">
        <v>0</v>
      </c>
      <c r="E2425" s="67">
        <v>83900.45</v>
      </c>
      <c r="H2425" s="67" t="s">
        <v>146</v>
      </c>
    </row>
    <row r="2427" spans="1:9" x14ac:dyDescent="0.25">
      <c r="A2427" s="67" t="s">
        <v>3880</v>
      </c>
      <c r="B2427" s="67" t="s">
        <v>3879</v>
      </c>
      <c r="C2427" s="67">
        <v>0</v>
      </c>
      <c r="D2427" s="67">
        <v>0</v>
      </c>
      <c r="E2427" s="67">
        <v>83900.41</v>
      </c>
      <c r="F2427" s="67">
        <v>25250</v>
      </c>
      <c r="H2427" s="68">
        <v>40764</v>
      </c>
      <c r="I2427" s="67" t="s">
        <v>148</v>
      </c>
    </row>
    <row r="2428" spans="1:9" x14ac:dyDescent="0.25">
      <c r="B2428" s="67" t="s">
        <v>3879</v>
      </c>
      <c r="C2428" s="67">
        <v>0</v>
      </c>
      <c r="D2428" s="67">
        <v>0</v>
      </c>
      <c r="E2428" s="67">
        <v>83900.45</v>
      </c>
      <c r="H2428" s="67" t="s">
        <v>146</v>
      </c>
    </row>
    <row r="2430" spans="1:9" x14ac:dyDescent="0.25">
      <c r="A2430" s="67" t="s">
        <v>3878</v>
      </c>
      <c r="B2430" s="67" t="s">
        <v>3877</v>
      </c>
      <c r="C2430" s="67">
        <v>0</v>
      </c>
      <c r="D2430" s="67">
        <v>0</v>
      </c>
      <c r="E2430" s="67">
        <v>83900.41</v>
      </c>
      <c r="F2430" s="67">
        <v>25250</v>
      </c>
      <c r="H2430" s="68">
        <v>40764</v>
      </c>
      <c r="I2430" s="67" t="s">
        <v>148</v>
      </c>
    </row>
    <row r="2431" spans="1:9" x14ac:dyDescent="0.25">
      <c r="B2431" s="67" t="s">
        <v>3877</v>
      </c>
      <c r="C2431" s="67">
        <v>0</v>
      </c>
      <c r="D2431" s="67">
        <v>0</v>
      </c>
      <c r="E2431" s="67">
        <v>83900.45</v>
      </c>
      <c r="H2431" s="67" t="s">
        <v>146</v>
      </c>
    </row>
    <row r="2433" spans="1:9" x14ac:dyDescent="0.25">
      <c r="A2433" s="67" t="s">
        <v>3876</v>
      </c>
      <c r="B2433" s="67" t="s">
        <v>3875</v>
      </c>
      <c r="C2433" s="67">
        <v>0</v>
      </c>
      <c r="D2433" s="67">
        <v>0</v>
      </c>
      <c r="E2433" s="67">
        <v>83900.41</v>
      </c>
      <c r="F2433" s="67">
        <v>25250</v>
      </c>
      <c r="H2433" s="68">
        <v>40764</v>
      </c>
      <c r="I2433" s="67" t="s">
        <v>148</v>
      </c>
    </row>
    <row r="2434" spans="1:9" x14ac:dyDescent="0.25">
      <c r="B2434" s="67" t="s">
        <v>3875</v>
      </c>
      <c r="C2434" s="67">
        <v>0</v>
      </c>
      <c r="D2434" s="67">
        <v>0</v>
      </c>
      <c r="E2434" s="67">
        <v>83900.45</v>
      </c>
      <c r="H2434" s="67" t="s">
        <v>146</v>
      </c>
    </row>
    <row r="2436" spans="1:9" x14ac:dyDescent="0.25">
      <c r="A2436" s="67" t="s">
        <v>3874</v>
      </c>
      <c r="B2436" s="67" t="s">
        <v>3873</v>
      </c>
      <c r="C2436" s="67">
        <v>0</v>
      </c>
      <c r="D2436" s="67">
        <v>0</v>
      </c>
      <c r="E2436" s="67">
        <v>83900.41</v>
      </c>
      <c r="F2436" s="67">
        <v>25250</v>
      </c>
      <c r="H2436" s="68">
        <v>40764</v>
      </c>
      <c r="I2436" s="67" t="s">
        <v>148</v>
      </c>
    </row>
    <row r="2437" spans="1:9" x14ac:dyDescent="0.25">
      <c r="B2437" s="67" t="s">
        <v>3873</v>
      </c>
      <c r="C2437" s="67">
        <v>0</v>
      </c>
      <c r="D2437" s="67">
        <v>0</v>
      </c>
      <c r="E2437" s="67">
        <v>83900.45</v>
      </c>
      <c r="H2437" s="67" t="s">
        <v>146</v>
      </c>
    </row>
    <row r="2438" spans="1:9" x14ac:dyDescent="0.25">
      <c r="A2438" s="67" t="s">
        <v>233</v>
      </c>
    </row>
    <row r="2440" spans="1:9" x14ac:dyDescent="0.25">
      <c r="A2440" s="67" t="s">
        <v>232</v>
      </c>
      <c r="D2440" s="67" t="s">
        <v>231</v>
      </c>
      <c r="H2440" s="67" t="s">
        <v>148</v>
      </c>
      <c r="I2440" s="67" t="s">
        <v>230</v>
      </c>
    </row>
    <row r="2441" spans="1:9" x14ac:dyDescent="0.25">
      <c r="A2441" s="67">
        <v>41.1</v>
      </c>
      <c r="C2441" s="67" t="s">
        <v>215</v>
      </c>
      <c r="D2441" s="67" t="s">
        <v>229</v>
      </c>
      <c r="H2441" s="70">
        <v>44771</v>
      </c>
      <c r="I2441" s="69">
        <v>0.56736111111111109</v>
      </c>
    </row>
    <row r="2442" spans="1:9" x14ac:dyDescent="0.25">
      <c r="A2442" s="67" t="s">
        <v>228</v>
      </c>
      <c r="C2442" s="67" t="s">
        <v>227</v>
      </c>
      <c r="D2442" s="67" t="s">
        <v>226</v>
      </c>
      <c r="E2442" s="67">
        <v>589</v>
      </c>
      <c r="H2442" s="67" t="s">
        <v>225</v>
      </c>
      <c r="I2442" s="67">
        <v>44</v>
      </c>
    </row>
    <row r="2443" spans="1:9" x14ac:dyDescent="0.25">
      <c r="A2443" s="67" t="s">
        <v>884</v>
      </c>
    </row>
    <row r="2444" spans="1:9" x14ac:dyDescent="0.25">
      <c r="A2444" s="67" t="s">
        <v>223</v>
      </c>
      <c r="B2444" s="67" t="s">
        <v>222</v>
      </c>
      <c r="C2444" s="67" t="s">
        <v>221</v>
      </c>
      <c r="D2444" s="67" t="s">
        <v>220</v>
      </c>
      <c r="E2444" s="67" t="s">
        <v>219</v>
      </c>
      <c r="F2444" s="67" t="s">
        <v>217</v>
      </c>
      <c r="G2444" s="67" t="s">
        <v>218</v>
      </c>
      <c r="H2444" s="67" t="s">
        <v>217</v>
      </c>
      <c r="I2444" s="67" t="s">
        <v>216</v>
      </c>
    </row>
    <row r="2445" spans="1:9" x14ac:dyDescent="0.25">
      <c r="A2445" s="67" t="s">
        <v>215</v>
      </c>
      <c r="B2445" s="67" t="s">
        <v>214</v>
      </c>
      <c r="C2445" s="67" t="s">
        <v>213</v>
      </c>
      <c r="D2445" s="67" t="s">
        <v>212</v>
      </c>
      <c r="E2445" s="67" t="s">
        <v>211</v>
      </c>
      <c r="F2445" s="67" t="s">
        <v>210</v>
      </c>
      <c r="G2445" s="67" t="s">
        <v>209</v>
      </c>
      <c r="H2445" s="67" t="s">
        <v>208</v>
      </c>
      <c r="I2445" s="67" t="s">
        <v>207</v>
      </c>
    </row>
    <row r="2446" spans="1:9" x14ac:dyDescent="0.25">
      <c r="A2446" s="67" t="s">
        <v>206</v>
      </c>
      <c r="B2446" s="67" t="s">
        <v>205</v>
      </c>
      <c r="C2446" s="67" t="s">
        <v>204</v>
      </c>
      <c r="D2446" s="67" t="s">
        <v>203</v>
      </c>
      <c r="E2446" s="67" t="s">
        <v>202</v>
      </c>
      <c r="F2446" s="67" t="s">
        <v>201</v>
      </c>
      <c r="G2446" s="67" t="s">
        <v>200</v>
      </c>
      <c r="H2446" s="67" t="s">
        <v>199</v>
      </c>
    </row>
    <row r="2447" spans="1:9" x14ac:dyDescent="0.25">
      <c r="A2447" s="67" t="s">
        <v>3872</v>
      </c>
      <c r="B2447" s="67" t="s">
        <v>3871</v>
      </c>
      <c r="C2447" s="67">
        <v>0</v>
      </c>
      <c r="D2447" s="67">
        <v>0</v>
      </c>
      <c r="E2447" s="67">
        <v>83900.41</v>
      </c>
      <c r="F2447" s="67">
        <v>25250</v>
      </c>
      <c r="H2447" s="68">
        <v>40764</v>
      </c>
      <c r="I2447" s="67" t="s">
        <v>148</v>
      </c>
    </row>
    <row r="2448" spans="1:9" x14ac:dyDescent="0.25">
      <c r="B2448" s="67" t="s">
        <v>3871</v>
      </c>
      <c r="C2448" s="67">
        <v>0</v>
      </c>
      <c r="D2448" s="67">
        <v>0</v>
      </c>
      <c r="E2448" s="67">
        <v>83900.45</v>
      </c>
      <c r="H2448" s="67" t="s">
        <v>146</v>
      </c>
    </row>
    <row r="2450" spans="1:9" x14ac:dyDescent="0.25">
      <c r="A2450" s="67" t="s">
        <v>3870</v>
      </c>
      <c r="B2450" s="67" t="s">
        <v>3869</v>
      </c>
      <c r="C2450" s="67">
        <v>0</v>
      </c>
      <c r="D2450" s="67">
        <v>0</v>
      </c>
      <c r="E2450" s="67">
        <v>83900.41</v>
      </c>
      <c r="F2450" s="67">
        <v>25250</v>
      </c>
      <c r="H2450" s="68">
        <v>40764</v>
      </c>
      <c r="I2450" s="67" t="s">
        <v>148</v>
      </c>
    </row>
    <row r="2451" spans="1:9" x14ac:dyDescent="0.25">
      <c r="B2451" s="67" t="s">
        <v>3869</v>
      </c>
      <c r="C2451" s="67">
        <v>0</v>
      </c>
      <c r="D2451" s="67">
        <v>0</v>
      </c>
      <c r="E2451" s="67">
        <v>83900.45</v>
      </c>
      <c r="H2451" s="67" t="s">
        <v>146</v>
      </c>
    </row>
    <row r="2453" spans="1:9" x14ac:dyDescent="0.25">
      <c r="A2453" s="67" t="s">
        <v>3868</v>
      </c>
      <c r="B2453" s="67" t="s">
        <v>3867</v>
      </c>
      <c r="C2453" s="67">
        <v>0</v>
      </c>
      <c r="D2453" s="67">
        <v>0</v>
      </c>
      <c r="E2453" s="67">
        <v>83900.41</v>
      </c>
      <c r="F2453" s="67">
        <v>25250</v>
      </c>
      <c r="H2453" s="68">
        <v>40764</v>
      </c>
      <c r="I2453" s="67" t="s">
        <v>148</v>
      </c>
    </row>
    <row r="2454" spans="1:9" x14ac:dyDescent="0.25">
      <c r="B2454" s="67" t="s">
        <v>3867</v>
      </c>
      <c r="C2454" s="67">
        <v>0</v>
      </c>
      <c r="D2454" s="67">
        <v>0</v>
      </c>
      <c r="E2454" s="67">
        <v>83900.45</v>
      </c>
      <c r="H2454" s="67" t="s">
        <v>146</v>
      </c>
    </row>
    <row r="2456" spans="1:9" x14ac:dyDescent="0.25">
      <c r="A2456" s="67" t="s">
        <v>3866</v>
      </c>
      <c r="B2456" s="67" t="s">
        <v>3865</v>
      </c>
      <c r="C2456" s="67">
        <v>0</v>
      </c>
      <c r="D2456" s="67">
        <v>0</v>
      </c>
      <c r="E2456" s="67">
        <v>83900.41</v>
      </c>
      <c r="F2456" s="67">
        <v>25250</v>
      </c>
      <c r="H2456" s="68">
        <v>40764</v>
      </c>
      <c r="I2456" s="67" t="s">
        <v>148</v>
      </c>
    </row>
    <row r="2457" spans="1:9" x14ac:dyDescent="0.25">
      <c r="B2457" s="67" t="s">
        <v>3865</v>
      </c>
      <c r="C2457" s="67">
        <v>0</v>
      </c>
      <c r="D2457" s="67">
        <v>0</v>
      </c>
      <c r="E2457" s="67">
        <v>83900.45</v>
      </c>
      <c r="H2457" s="67" t="s">
        <v>146</v>
      </c>
    </row>
    <row r="2459" spans="1:9" x14ac:dyDescent="0.25">
      <c r="A2459" s="67" t="s">
        <v>3864</v>
      </c>
      <c r="B2459" s="67" t="s">
        <v>3863</v>
      </c>
      <c r="C2459" s="67">
        <v>0</v>
      </c>
      <c r="D2459" s="67">
        <v>0</v>
      </c>
      <c r="E2459" s="67">
        <v>83900.41</v>
      </c>
      <c r="F2459" s="67">
        <v>25250</v>
      </c>
      <c r="H2459" s="68">
        <v>40764</v>
      </c>
      <c r="I2459" s="67" t="s">
        <v>148</v>
      </c>
    </row>
    <row r="2460" spans="1:9" x14ac:dyDescent="0.25">
      <c r="B2460" s="67" t="s">
        <v>3863</v>
      </c>
      <c r="C2460" s="67">
        <v>0</v>
      </c>
      <c r="D2460" s="67">
        <v>0</v>
      </c>
      <c r="E2460" s="67">
        <v>83900.45</v>
      </c>
      <c r="H2460" s="67" t="s">
        <v>146</v>
      </c>
    </row>
    <row r="2462" spans="1:9" x14ac:dyDescent="0.25">
      <c r="A2462" s="67" t="s">
        <v>3862</v>
      </c>
      <c r="B2462" s="67" t="s">
        <v>3861</v>
      </c>
      <c r="C2462" s="67">
        <v>0</v>
      </c>
      <c r="D2462" s="67">
        <v>0</v>
      </c>
      <c r="E2462" s="67">
        <v>83900.41</v>
      </c>
      <c r="F2462" s="67">
        <v>25250</v>
      </c>
      <c r="H2462" s="68">
        <v>40764</v>
      </c>
      <c r="I2462" s="67" t="s">
        <v>148</v>
      </c>
    </row>
    <row r="2463" spans="1:9" x14ac:dyDescent="0.25">
      <c r="B2463" s="67" t="s">
        <v>3861</v>
      </c>
      <c r="C2463" s="67">
        <v>0</v>
      </c>
      <c r="D2463" s="67">
        <v>0</v>
      </c>
      <c r="E2463" s="67">
        <v>83900.45</v>
      </c>
      <c r="H2463" s="67" t="s">
        <v>146</v>
      </c>
    </row>
    <row r="2465" spans="1:9" x14ac:dyDescent="0.25">
      <c r="A2465" s="67" t="s">
        <v>3860</v>
      </c>
      <c r="B2465" s="67" t="s">
        <v>3859</v>
      </c>
      <c r="C2465" s="67">
        <v>0</v>
      </c>
      <c r="D2465" s="67">
        <v>0</v>
      </c>
      <c r="E2465" s="67">
        <v>83900.41</v>
      </c>
      <c r="F2465" s="67">
        <v>25250</v>
      </c>
      <c r="H2465" s="68">
        <v>40764</v>
      </c>
      <c r="I2465" s="67" t="s">
        <v>148</v>
      </c>
    </row>
    <row r="2466" spans="1:9" x14ac:dyDescent="0.25">
      <c r="B2466" s="67" t="s">
        <v>3859</v>
      </c>
      <c r="C2466" s="67">
        <v>0</v>
      </c>
      <c r="D2466" s="67">
        <v>0</v>
      </c>
      <c r="E2466" s="67">
        <v>83900.45</v>
      </c>
      <c r="H2466" s="67" t="s">
        <v>146</v>
      </c>
    </row>
    <row r="2468" spans="1:9" x14ac:dyDescent="0.25">
      <c r="A2468" s="67" t="s">
        <v>3858</v>
      </c>
      <c r="B2468" s="67" t="s">
        <v>3857</v>
      </c>
      <c r="C2468" s="67">
        <v>0</v>
      </c>
      <c r="D2468" s="67">
        <v>0</v>
      </c>
      <c r="E2468" s="67">
        <v>83900.41</v>
      </c>
      <c r="F2468" s="67">
        <v>25250</v>
      </c>
      <c r="H2468" s="68">
        <v>40764</v>
      </c>
      <c r="I2468" s="67" t="s">
        <v>148</v>
      </c>
    </row>
    <row r="2469" spans="1:9" x14ac:dyDescent="0.25">
      <c r="B2469" s="67" t="s">
        <v>3857</v>
      </c>
      <c r="C2469" s="67">
        <v>0</v>
      </c>
      <c r="D2469" s="67">
        <v>0</v>
      </c>
      <c r="E2469" s="67">
        <v>83900.45</v>
      </c>
      <c r="H2469" s="67" t="s">
        <v>146</v>
      </c>
    </row>
    <row r="2471" spans="1:9" x14ac:dyDescent="0.25">
      <c r="A2471" s="67" t="s">
        <v>3856</v>
      </c>
      <c r="B2471" s="67" t="s">
        <v>3855</v>
      </c>
      <c r="C2471" s="67">
        <v>0</v>
      </c>
      <c r="D2471" s="67">
        <v>0</v>
      </c>
      <c r="E2471" s="67">
        <v>83900.41</v>
      </c>
      <c r="F2471" s="67">
        <v>25250</v>
      </c>
      <c r="H2471" s="68">
        <v>40764</v>
      </c>
      <c r="I2471" s="67" t="s">
        <v>148</v>
      </c>
    </row>
    <row r="2472" spans="1:9" x14ac:dyDescent="0.25">
      <c r="B2472" s="67" t="s">
        <v>3855</v>
      </c>
      <c r="C2472" s="67">
        <v>0</v>
      </c>
      <c r="D2472" s="67">
        <v>0</v>
      </c>
      <c r="E2472" s="67">
        <v>83900.45</v>
      </c>
      <c r="H2472" s="67" t="s">
        <v>146</v>
      </c>
    </row>
    <row r="2474" spans="1:9" x14ac:dyDescent="0.25">
      <c r="A2474" s="67" t="s">
        <v>3854</v>
      </c>
      <c r="B2474" s="67" t="s">
        <v>3853</v>
      </c>
      <c r="C2474" s="67">
        <v>0</v>
      </c>
      <c r="D2474" s="67">
        <v>0</v>
      </c>
      <c r="E2474" s="67">
        <v>83900.41</v>
      </c>
      <c r="F2474" s="67">
        <v>25250</v>
      </c>
      <c r="H2474" s="68">
        <v>40764</v>
      </c>
      <c r="I2474" s="67" t="s">
        <v>148</v>
      </c>
    </row>
    <row r="2475" spans="1:9" x14ac:dyDescent="0.25">
      <c r="B2475" s="67" t="s">
        <v>3853</v>
      </c>
      <c r="C2475" s="67">
        <v>0</v>
      </c>
      <c r="D2475" s="67">
        <v>0</v>
      </c>
      <c r="E2475" s="67">
        <v>83900.45</v>
      </c>
      <c r="H2475" s="67" t="s">
        <v>146</v>
      </c>
    </row>
    <row r="2477" spans="1:9" x14ac:dyDescent="0.25">
      <c r="A2477" s="67" t="s">
        <v>3852</v>
      </c>
      <c r="B2477" s="67" t="s">
        <v>3851</v>
      </c>
      <c r="C2477" s="67">
        <v>0</v>
      </c>
      <c r="D2477" s="67">
        <v>0</v>
      </c>
      <c r="E2477" s="67">
        <v>83900.41</v>
      </c>
      <c r="F2477" s="67">
        <v>25250</v>
      </c>
      <c r="H2477" s="68">
        <v>40764</v>
      </c>
      <c r="I2477" s="67" t="s">
        <v>148</v>
      </c>
    </row>
    <row r="2478" spans="1:9" x14ac:dyDescent="0.25">
      <c r="B2478" s="67" t="s">
        <v>3851</v>
      </c>
      <c r="C2478" s="67">
        <v>0</v>
      </c>
      <c r="D2478" s="67">
        <v>0</v>
      </c>
      <c r="E2478" s="67">
        <v>83900.45</v>
      </c>
      <c r="H2478" s="67" t="s">
        <v>146</v>
      </c>
    </row>
    <row r="2480" spans="1:9" x14ac:dyDescent="0.25">
      <c r="A2480" s="67" t="s">
        <v>3850</v>
      </c>
      <c r="B2480" s="67" t="s">
        <v>3849</v>
      </c>
      <c r="C2480" s="67">
        <v>0</v>
      </c>
      <c r="D2480" s="67">
        <v>0</v>
      </c>
      <c r="E2480" s="67">
        <v>83900.41</v>
      </c>
      <c r="F2480" s="67">
        <v>25250</v>
      </c>
      <c r="H2480" s="68">
        <v>40764</v>
      </c>
      <c r="I2480" s="67" t="s">
        <v>148</v>
      </c>
    </row>
    <row r="2481" spans="1:9" x14ac:dyDescent="0.25">
      <c r="B2481" s="67" t="s">
        <v>3849</v>
      </c>
      <c r="C2481" s="67">
        <v>0</v>
      </c>
      <c r="D2481" s="67">
        <v>0</v>
      </c>
      <c r="E2481" s="67">
        <v>83900.45</v>
      </c>
      <c r="H2481" s="67" t="s">
        <v>146</v>
      </c>
    </row>
    <row r="2483" spans="1:9" x14ac:dyDescent="0.25">
      <c r="A2483" s="67" t="s">
        <v>3848</v>
      </c>
      <c r="B2483" s="67" t="s">
        <v>3847</v>
      </c>
      <c r="C2483" s="67">
        <v>0</v>
      </c>
      <c r="D2483" s="67">
        <v>0</v>
      </c>
      <c r="E2483" s="67">
        <v>83900.41</v>
      </c>
      <c r="F2483" s="67">
        <v>25250</v>
      </c>
      <c r="H2483" s="68">
        <v>40764</v>
      </c>
      <c r="I2483" s="67" t="s">
        <v>148</v>
      </c>
    </row>
    <row r="2484" spans="1:9" x14ac:dyDescent="0.25">
      <c r="B2484" s="67" t="s">
        <v>3847</v>
      </c>
      <c r="C2484" s="67">
        <v>0</v>
      </c>
      <c r="D2484" s="67">
        <v>0</v>
      </c>
      <c r="E2484" s="67">
        <v>83900.45</v>
      </c>
      <c r="H2484" s="67" t="s">
        <v>146</v>
      </c>
    </row>
    <row r="2486" spans="1:9" x14ac:dyDescent="0.25">
      <c r="A2486" s="67" t="s">
        <v>3846</v>
      </c>
      <c r="B2486" s="67" t="s">
        <v>3845</v>
      </c>
      <c r="C2486" s="67">
        <v>0</v>
      </c>
      <c r="D2486" s="67">
        <v>0</v>
      </c>
      <c r="E2486" s="67">
        <v>83900.41</v>
      </c>
      <c r="F2486" s="67">
        <v>25250</v>
      </c>
      <c r="H2486" s="68">
        <v>40764</v>
      </c>
      <c r="I2486" s="67" t="s">
        <v>148</v>
      </c>
    </row>
    <row r="2487" spans="1:9" x14ac:dyDescent="0.25">
      <c r="B2487" s="67" t="s">
        <v>3845</v>
      </c>
      <c r="C2487" s="67">
        <v>0</v>
      </c>
      <c r="D2487" s="67">
        <v>0</v>
      </c>
      <c r="E2487" s="67">
        <v>83900.45</v>
      </c>
      <c r="H2487" s="67" t="s">
        <v>146</v>
      </c>
    </row>
    <row r="2489" spans="1:9" x14ac:dyDescent="0.25">
      <c r="A2489" s="67" t="s">
        <v>3844</v>
      </c>
      <c r="B2489" s="67" t="s">
        <v>3843</v>
      </c>
      <c r="C2489" s="67">
        <v>0</v>
      </c>
      <c r="D2489" s="67">
        <v>0</v>
      </c>
      <c r="E2489" s="67">
        <v>83900.41</v>
      </c>
      <c r="F2489" s="67">
        <v>25250</v>
      </c>
      <c r="H2489" s="68">
        <v>40764</v>
      </c>
      <c r="I2489" s="67" t="s">
        <v>148</v>
      </c>
    </row>
    <row r="2490" spans="1:9" x14ac:dyDescent="0.25">
      <c r="B2490" s="67" t="s">
        <v>3843</v>
      </c>
      <c r="C2490" s="67">
        <v>0</v>
      </c>
      <c r="D2490" s="67">
        <v>0</v>
      </c>
      <c r="E2490" s="67">
        <v>83900.45</v>
      </c>
      <c r="H2490" s="67" t="s">
        <v>146</v>
      </c>
    </row>
    <row r="2492" spans="1:9" x14ac:dyDescent="0.25">
      <c r="A2492" s="67" t="s">
        <v>3842</v>
      </c>
      <c r="B2492" s="67" t="s">
        <v>3841</v>
      </c>
      <c r="C2492" s="67">
        <v>0</v>
      </c>
      <c r="D2492" s="67">
        <v>0</v>
      </c>
      <c r="E2492" s="67">
        <v>83900.41</v>
      </c>
      <c r="F2492" s="67">
        <v>25250</v>
      </c>
      <c r="H2492" s="68">
        <v>40764</v>
      </c>
      <c r="I2492" s="67" t="s">
        <v>148</v>
      </c>
    </row>
    <row r="2493" spans="1:9" x14ac:dyDescent="0.25">
      <c r="B2493" s="67" t="s">
        <v>3841</v>
      </c>
      <c r="C2493" s="67">
        <v>0</v>
      </c>
      <c r="D2493" s="67">
        <v>0</v>
      </c>
      <c r="E2493" s="67">
        <v>83900.45</v>
      </c>
      <c r="H2493" s="67" t="s">
        <v>146</v>
      </c>
    </row>
    <row r="2495" spans="1:9" x14ac:dyDescent="0.25">
      <c r="A2495" s="67" t="s">
        <v>3840</v>
      </c>
      <c r="B2495" s="67" t="s">
        <v>3839</v>
      </c>
      <c r="C2495" s="67">
        <v>0</v>
      </c>
      <c r="D2495" s="67">
        <v>0</v>
      </c>
      <c r="E2495" s="67">
        <v>83900.41</v>
      </c>
      <c r="F2495" s="67">
        <v>25250</v>
      </c>
      <c r="H2495" s="68">
        <v>40764</v>
      </c>
      <c r="I2495" s="67" t="s">
        <v>148</v>
      </c>
    </row>
    <row r="2496" spans="1:9" x14ac:dyDescent="0.25">
      <c r="B2496" s="67" t="s">
        <v>3839</v>
      </c>
      <c r="C2496" s="67">
        <v>0</v>
      </c>
      <c r="D2496" s="67">
        <v>0</v>
      </c>
      <c r="E2496" s="67">
        <v>83900.45</v>
      </c>
      <c r="H2496" s="67" t="s">
        <v>146</v>
      </c>
    </row>
    <row r="2497" spans="1:9" x14ac:dyDescent="0.25">
      <c r="A2497" s="67" t="s">
        <v>233</v>
      </c>
    </row>
    <row r="2499" spans="1:9" x14ac:dyDescent="0.25">
      <c r="A2499" s="67" t="s">
        <v>232</v>
      </c>
      <c r="D2499" s="67" t="s">
        <v>231</v>
      </c>
      <c r="H2499" s="67" t="s">
        <v>148</v>
      </c>
      <c r="I2499" s="67" t="s">
        <v>230</v>
      </c>
    </row>
    <row r="2500" spans="1:9" x14ac:dyDescent="0.25">
      <c r="A2500" s="67">
        <v>41.1</v>
      </c>
      <c r="C2500" s="67" t="s">
        <v>215</v>
      </c>
      <c r="D2500" s="67" t="s">
        <v>229</v>
      </c>
      <c r="H2500" s="70">
        <v>44771</v>
      </c>
      <c r="I2500" s="69">
        <v>0.56736111111111109</v>
      </c>
    </row>
    <row r="2501" spans="1:9" x14ac:dyDescent="0.25">
      <c r="A2501" s="67" t="s">
        <v>228</v>
      </c>
      <c r="C2501" s="67" t="s">
        <v>227</v>
      </c>
      <c r="D2501" s="67" t="s">
        <v>226</v>
      </c>
      <c r="E2501" s="67">
        <v>589</v>
      </c>
      <c r="H2501" s="67" t="s">
        <v>225</v>
      </c>
      <c r="I2501" s="67">
        <v>45</v>
      </c>
    </row>
    <row r="2502" spans="1:9" x14ac:dyDescent="0.25">
      <c r="A2502" s="67" t="s">
        <v>884</v>
      </c>
    </row>
    <row r="2503" spans="1:9" x14ac:dyDescent="0.25">
      <c r="A2503" s="67" t="s">
        <v>223</v>
      </c>
      <c r="B2503" s="67" t="s">
        <v>222</v>
      </c>
      <c r="C2503" s="67" t="s">
        <v>221</v>
      </c>
      <c r="D2503" s="67" t="s">
        <v>220</v>
      </c>
      <c r="E2503" s="67" t="s">
        <v>219</v>
      </c>
      <c r="F2503" s="67" t="s">
        <v>217</v>
      </c>
      <c r="G2503" s="67" t="s">
        <v>218</v>
      </c>
      <c r="H2503" s="67" t="s">
        <v>217</v>
      </c>
      <c r="I2503" s="67" t="s">
        <v>216</v>
      </c>
    </row>
    <row r="2504" spans="1:9" x14ac:dyDescent="0.25">
      <c r="A2504" s="67" t="s">
        <v>215</v>
      </c>
      <c r="B2504" s="67" t="s">
        <v>214</v>
      </c>
      <c r="C2504" s="67" t="s">
        <v>213</v>
      </c>
      <c r="D2504" s="67" t="s">
        <v>212</v>
      </c>
      <c r="E2504" s="67" t="s">
        <v>211</v>
      </c>
      <c r="F2504" s="67" t="s">
        <v>210</v>
      </c>
      <c r="G2504" s="67" t="s">
        <v>209</v>
      </c>
      <c r="H2504" s="67" t="s">
        <v>208</v>
      </c>
      <c r="I2504" s="67" t="s">
        <v>207</v>
      </c>
    </row>
    <row r="2505" spans="1:9" x14ac:dyDescent="0.25">
      <c r="A2505" s="67" t="s">
        <v>206</v>
      </c>
      <c r="B2505" s="67" t="s">
        <v>205</v>
      </c>
      <c r="C2505" s="67" t="s">
        <v>204</v>
      </c>
      <c r="D2505" s="67" t="s">
        <v>203</v>
      </c>
      <c r="E2505" s="67" t="s">
        <v>202</v>
      </c>
      <c r="F2505" s="67" t="s">
        <v>201</v>
      </c>
      <c r="G2505" s="67" t="s">
        <v>200</v>
      </c>
      <c r="H2505" s="67" t="s">
        <v>199</v>
      </c>
    </row>
    <row r="2506" spans="1:9" x14ac:dyDescent="0.25">
      <c r="A2506" s="67" t="s">
        <v>3838</v>
      </c>
      <c r="B2506" s="67" t="s">
        <v>3837</v>
      </c>
      <c r="C2506" s="67">
        <v>0</v>
      </c>
      <c r="D2506" s="67">
        <v>0</v>
      </c>
      <c r="E2506" s="67">
        <v>83900.41</v>
      </c>
      <c r="F2506" s="67">
        <v>25250</v>
      </c>
      <c r="H2506" s="68">
        <v>40764</v>
      </c>
      <c r="I2506" s="67" t="s">
        <v>148</v>
      </c>
    </row>
    <row r="2507" spans="1:9" x14ac:dyDescent="0.25">
      <c r="B2507" s="67" t="s">
        <v>3837</v>
      </c>
      <c r="C2507" s="67">
        <v>0</v>
      </c>
      <c r="D2507" s="67">
        <v>0</v>
      </c>
      <c r="E2507" s="67">
        <v>83900.45</v>
      </c>
      <c r="H2507" s="67" t="s">
        <v>146</v>
      </c>
    </row>
    <row r="2509" spans="1:9" x14ac:dyDescent="0.25">
      <c r="A2509" s="67" t="s">
        <v>3836</v>
      </c>
      <c r="B2509" s="67" t="s">
        <v>3835</v>
      </c>
      <c r="C2509" s="67">
        <v>0</v>
      </c>
      <c r="D2509" s="67">
        <v>0</v>
      </c>
      <c r="E2509" s="67">
        <v>83900.41</v>
      </c>
      <c r="F2509" s="67">
        <v>25250</v>
      </c>
      <c r="H2509" s="68">
        <v>40764</v>
      </c>
      <c r="I2509" s="67" t="s">
        <v>148</v>
      </c>
    </row>
    <row r="2510" spans="1:9" x14ac:dyDescent="0.25">
      <c r="B2510" s="67" t="s">
        <v>3835</v>
      </c>
      <c r="C2510" s="67">
        <v>0</v>
      </c>
      <c r="D2510" s="67">
        <v>0</v>
      </c>
      <c r="E2510" s="67">
        <v>83900.45</v>
      </c>
      <c r="H2510" s="67" t="s">
        <v>146</v>
      </c>
    </row>
    <row r="2512" spans="1:9" x14ac:dyDescent="0.25">
      <c r="A2512" s="67" t="s">
        <v>3834</v>
      </c>
      <c r="B2512" s="67" t="s">
        <v>3833</v>
      </c>
      <c r="C2512" s="67">
        <v>0</v>
      </c>
      <c r="D2512" s="67">
        <v>0</v>
      </c>
      <c r="E2512" s="67">
        <v>83900.41</v>
      </c>
      <c r="F2512" s="67">
        <v>25250</v>
      </c>
      <c r="H2512" s="68">
        <v>40764</v>
      </c>
      <c r="I2512" s="67" t="s">
        <v>148</v>
      </c>
    </row>
    <row r="2513" spans="1:9" x14ac:dyDescent="0.25">
      <c r="B2513" s="67" t="s">
        <v>3833</v>
      </c>
      <c r="C2513" s="67">
        <v>0</v>
      </c>
      <c r="D2513" s="67">
        <v>0</v>
      </c>
      <c r="E2513" s="67">
        <v>83900.45</v>
      </c>
      <c r="H2513" s="67" t="s">
        <v>146</v>
      </c>
    </row>
    <row r="2515" spans="1:9" x14ac:dyDescent="0.25">
      <c r="A2515" s="67" t="s">
        <v>3832</v>
      </c>
      <c r="B2515" s="67" t="s">
        <v>3831</v>
      </c>
      <c r="C2515" s="67">
        <v>0</v>
      </c>
      <c r="D2515" s="67">
        <v>0</v>
      </c>
      <c r="E2515" s="67">
        <v>83900.41</v>
      </c>
      <c r="F2515" s="67">
        <v>25250</v>
      </c>
      <c r="H2515" s="68">
        <v>40764</v>
      </c>
      <c r="I2515" s="67" t="s">
        <v>148</v>
      </c>
    </row>
    <row r="2516" spans="1:9" x14ac:dyDescent="0.25">
      <c r="B2516" s="67" t="s">
        <v>3831</v>
      </c>
      <c r="C2516" s="67">
        <v>0</v>
      </c>
      <c r="D2516" s="67">
        <v>0</v>
      </c>
      <c r="E2516" s="67">
        <v>83900.45</v>
      </c>
      <c r="H2516" s="67" t="s">
        <v>146</v>
      </c>
    </row>
    <row r="2518" spans="1:9" x14ac:dyDescent="0.25">
      <c r="A2518" s="67" t="s">
        <v>3830</v>
      </c>
      <c r="B2518" s="67" t="s">
        <v>3829</v>
      </c>
      <c r="C2518" s="67">
        <v>0</v>
      </c>
      <c r="D2518" s="67">
        <v>0</v>
      </c>
      <c r="E2518" s="67">
        <v>83900.41</v>
      </c>
      <c r="F2518" s="67">
        <v>25250</v>
      </c>
      <c r="H2518" s="68">
        <v>40764</v>
      </c>
      <c r="I2518" s="67" t="s">
        <v>148</v>
      </c>
    </row>
    <row r="2519" spans="1:9" x14ac:dyDescent="0.25">
      <c r="B2519" s="67" t="s">
        <v>3829</v>
      </c>
      <c r="C2519" s="67">
        <v>0</v>
      </c>
      <c r="D2519" s="67">
        <v>0</v>
      </c>
      <c r="E2519" s="67">
        <v>83900.45</v>
      </c>
      <c r="H2519" s="67" t="s">
        <v>146</v>
      </c>
    </row>
    <row r="2521" spans="1:9" x14ac:dyDescent="0.25">
      <c r="A2521" s="67" t="s">
        <v>3828</v>
      </c>
      <c r="B2521" s="67" t="s">
        <v>3827</v>
      </c>
      <c r="C2521" s="67">
        <v>0</v>
      </c>
      <c r="D2521" s="67">
        <v>0</v>
      </c>
      <c r="E2521" s="67">
        <v>83900.41</v>
      </c>
      <c r="F2521" s="67">
        <v>25250</v>
      </c>
      <c r="H2521" s="68">
        <v>40764</v>
      </c>
      <c r="I2521" s="67" t="s">
        <v>148</v>
      </c>
    </row>
    <row r="2522" spans="1:9" x14ac:dyDescent="0.25">
      <c r="B2522" s="67" t="s">
        <v>3827</v>
      </c>
      <c r="C2522" s="67">
        <v>0</v>
      </c>
      <c r="D2522" s="67">
        <v>0</v>
      </c>
      <c r="E2522" s="67">
        <v>83900.45</v>
      </c>
      <c r="H2522" s="67" t="s">
        <v>146</v>
      </c>
    </row>
    <row r="2524" spans="1:9" x14ac:dyDescent="0.25">
      <c r="A2524" s="67" t="s">
        <v>3826</v>
      </c>
      <c r="B2524" s="67" t="s">
        <v>3825</v>
      </c>
      <c r="C2524" s="67">
        <v>0</v>
      </c>
      <c r="D2524" s="67">
        <v>0</v>
      </c>
      <c r="E2524" s="67">
        <v>83900.41</v>
      </c>
      <c r="F2524" s="67">
        <v>25250</v>
      </c>
      <c r="H2524" s="68">
        <v>40764</v>
      </c>
      <c r="I2524" s="67" t="s">
        <v>148</v>
      </c>
    </row>
    <row r="2525" spans="1:9" x14ac:dyDescent="0.25">
      <c r="B2525" s="67" t="s">
        <v>3825</v>
      </c>
      <c r="C2525" s="67">
        <v>0</v>
      </c>
      <c r="D2525" s="67">
        <v>0</v>
      </c>
      <c r="E2525" s="67">
        <v>83900.45</v>
      </c>
      <c r="H2525" s="67" t="s">
        <v>146</v>
      </c>
    </row>
    <row r="2527" spans="1:9" x14ac:dyDescent="0.25">
      <c r="A2527" s="67" t="s">
        <v>3824</v>
      </c>
      <c r="B2527" s="67" t="s">
        <v>3823</v>
      </c>
      <c r="C2527" s="67">
        <v>0</v>
      </c>
      <c r="D2527" s="67">
        <v>0</v>
      </c>
      <c r="E2527" s="67">
        <v>83900.41</v>
      </c>
      <c r="F2527" s="67">
        <v>25250</v>
      </c>
      <c r="H2527" s="68">
        <v>40764</v>
      </c>
      <c r="I2527" s="67" t="s">
        <v>148</v>
      </c>
    </row>
    <row r="2528" spans="1:9" x14ac:dyDescent="0.25">
      <c r="B2528" s="67" t="s">
        <v>3823</v>
      </c>
      <c r="C2528" s="67">
        <v>0</v>
      </c>
      <c r="D2528" s="67">
        <v>0</v>
      </c>
      <c r="E2528" s="67">
        <v>83900.45</v>
      </c>
      <c r="H2528" s="67" t="s">
        <v>146</v>
      </c>
    </row>
    <row r="2530" spans="1:9" x14ac:dyDescent="0.25">
      <c r="A2530" s="67" t="s">
        <v>3822</v>
      </c>
      <c r="B2530" s="67" t="s">
        <v>3821</v>
      </c>
      <c r="C2530" s="67">
        <v>0</v>
      </c>
      <c r="D2530" s="67">
        <v>0</v>
      </c>
      <c r="E2530" s="67">
        <v>83900.41</v>
      </c>
      <c r="F2530" s="67">
        <v>25250</v>
      </c>
      <c r="H2530" s="68">
        <v>40764</v>
      </c>
      <c r="I2530" s="67" t="s">
        <v>148</v>
      </c>
    </row>
    <row r="2531" spans="1:9" x14ac:dyDescent="0.25">
      <c r="B2531" s="67" t="s">
        <v>3821</v>
      </c>
      <c r="C2531" s="67">
        <v>0</v>
      </c>
      <c r="D2531" s="67">
        <v>0</v>
      </c>
      <c r="E2531" s="67">
        <v>83900.45</v>
      </c>
      <c r="H2531" s="67" t="s">
        <v>146</v>
      </c>
    </row>
    <row r="2533" spans="1:9" x14ac:dyDescent="0.25">
      <c r="A2533" s="67" t="s">
        <v>3820</v>
      </c>
      <c r="B2533" s="67" t="s">
        <v>3819</v>
      </c>
      <c r="C2533" s="67">
        <v>0</v>
      </c>
      <c r="D2533" s="67">
        <v>0</v>
      </c>
      <c r="E2533" s="67">
        <v>83900.41</v>
      </c>
      <c r="F2533" s="67">
        <v>25250</v>
      </c>
      <c r="H2533" s="68">
        <v>40764</v>
      </c>
      <c r="I2533" s="67" t="s">
        <v>148</v>
      </c>
    </row>
    <row r="2534" spans="1:9" x14ac:dyDescent="0.25">
      <c r="B2534" s="67" t="s">
        <v>3819</v>
      </c>
      <c r="C2534" s="67">
        <v>0</v>
      </c>
      <c r="D2534" s="67">
        <v>0</v>
      </c>
      <c r="E2534" s="67">
        <v>83900.45</v>
      </c>
      <c r="H2534" s="67" t="s">
        <v>146</v>
      </c>
    </row>
    <row r="2536" spans="1:9" x14ac:dyDescent="0.25">
      <c r="A2536" s="67" t="s">
        <v>3818</v>
      </c>
      <c r="B2536" s="67" t="s">
        <v>3817</v>
      </c>
      <c r="C2536" s="67">
        <v>0</v>
      </c>
      <c r="D2536" s="67">
        <v>0</v>
      </c>
      <c r="E2536" s="67">
        <v>83900.41</v>
      </c>
      <c r="F2536" s="67">
        <v>25250</v>
      </c>
      <c r="H2536" s="68">
        <v>40764</v>
      </c>
      <c r="I2536" s="67" t="s">
        <v>148</v>
      </c>
    </row>
    <row r="2537" spans="1:9" x14ac:dyDescent="0.25">
      <c r="B2537" s="67" t="s">
        <v>3817</v>
      </c>
      <c r="C2537" s="67">
        <v>0</v>
      </c>
      <c r="D2537" s="67">
        <v>0</v>
      </c>
      <c r="E2537" s="67">
        <v>83900.45</v>
      </c>
      <c r="H2537" s="67" t="s">
        <v>146</v>
      </c>
    </row>
    <row r="2539" spans="1:9" x14ac:dyDescent="0.25">
      <c r="A2539" s="67" t="s">
        <v>3816</v>
      </c>
      <c r="B2539" s="67" t="s">
        <v>3815</v>
      </c>
      <c r="C2539" s="67">
        <v>0</v>
      </c>
      <c r="D2539" s="67">
        <v>0</v>
      </c>
      <c r="E2539" s="67">
        <v>83900.41</v>
      </c>
      <c r="F2539" s="67">
        <v>25250</v>
      </c>
      <c r="H2539" s="68">
        <v>40764</v>
      </c>
      <c r="I2539" s="67" t="s">
        <v>148</v>
      </c>
    </row>
    <row r="2540" spans="1:9" x14ac:dyDescent="0.25">
      <c r="B2540" s="67" t="s">
        <v>3815</v>
      </c>
      <c r="C2540" s="67">
        <v>0</v>
      </c>
      <c r="D2540" s="67">
        <v>0</v>
      </c>
      <c r="E2540" s="67">
        <v>83900.45</v>
      </c>
      <c r="H2540" s="67" t="s">
        <v>146</v>
      </c>
    </row>
    <row r="2542" spans="1:9" x14ac:dyDescent="0.25">
      <c r="A2542" s="67" t="s">
        <v>3814</v>
      </c>
      <c r="B2542" s="67" t="s">
        <v>3813</v>
      </c>
      <c r="C2542" s="67">
        <v>0</v>
      </c>
      <c r="D2542" s="67">
        <v>0</v>
      </c>
      <c r="E2542" s="67">
        <v>83900.41</v>
      </c>
      <c r="F2542" s="67">
        <v>25250</v>
      </c>
      <c r="H2542" s="68">
        <v>40764</v>
      </c>
      <c r="I2542" s="67" t="s">
        <v>148</v>
      </c>
    </row>
    <row r="2543" spans="1:9" x14ac:dyDescent="0.25">
      <c r="B2543" s="67" t="s">
        <v>3813</v>
      </c>
      <c r="C2543" s="67">
        <v>0</v>
      </c>
      <c r="D2543" s="67">
        <v>0</v>
      </c>
      <c r="E2543" s="67">
        <v>83900.45</v>
      </c>
      <c r="H2543" s="67" t="s">
        <v>146</v>
      </c>
    </row>
    <row r="2545" spans="1:9" x14ac:dyDescent="0.25">
      <c r="A2545" s="67" t="s">
        <v>3812</v>
      </c>
      <c r="B2545" s="67" t="s">
        <v>3811</v>
      </c>
      <c r="C2545" s="67">
        <v>0</v>
      </c>
      <c r="D2545" s="67">
        <v>0</v>
      </c>
      <c r="E2545" s="67">
        <v>83900.41</v>
      </c>
      <c r="F2545" s="67">
        <v>25250</v>
      </c>
      <c r="H2545" s="68">
        <v>40764</v>
      </c>
      <c r="I2545" s="67" t="s">
        <v>148</v>
      </c>
    </row>
    <row r="2546" spans="1:9" x14ac:dyDescent="0.25">
      <c r="B2546" s="67" t="s">
        <v>3811</v>
      </c>
      <c r="C2546" s="67">
        <v>0</v>
      </c>
      <c r="D2546" s="67">
        <v>0</v>
      </c>
      <c r="E2546" s="67">
        <v>83900.45</v>
      </c>
      <c r="H2546" s="67" t="s">
        <v>146</v>
      </c>
    </row>
    <row r="2548" spans="1:9" x14ac:dyDescent="0.25">
      <c r="A2548" s="67" t="s">
        <v>3810</v>
      </c>
      <c r="B2548" s="67" t="s">
        <v>3809</v>
      </c>
      <c r="C2548" s="67">
        <v>0</v>
      </c>
      <c r="D2548" s="67">
        <v>0</v>
      </c>
      <c r="E2548" s="67">
        <v>83900.41</v>
      </c>
      <c r="F2548" s="67">
        <v>25250</v>
      </c>
      <c r="H2548" s="68">
        <v>40764</v>
      </c>
      <c r="I2548" s="67" t="s">
        <v>148</v>
      </c>
    </row>
    <row r="2549" spans="1:9" x14ac:dyDescent="0.25">
      <c r="B2549" s="67" t="s">
        <v>3809</v>
      </c>
      <c r="C2549" s="67">
        <v>0</v>
      </c>
      <c r="D2549" s="67">
        <v>0</v>
      </c>
      <c r="E2549" s="67">
        <v>83900.45</v>
      </c>
      <c r="H2549" s="67" t="s">
        <v>146</v>
      </c>
    </row>
    <row r="2551" spans="1:9" x14ac:dyDescent="0.25">
      <c r="A2551" s="67" t="s">
        <v>3808</v>
      </c>
      <c r="B2551" s="67" t="s">
        <v>3807</v>
      </c>
      <c r="C2551" s="67">
        <v>0</v>
      </c>
      <c r="D2551" s="67">
        <v>0</v>
      </c>
      <c r="E2551" s="67">
        <v>83900.41</v>
      </c>
      <c r="F2551" s="67">
        <v>25250</v>
      </c>
      <c r="H2551" s="68">
        <v>40764</v>
      </c>
      <c r="I2551" s="67" t="s">
        <v>148</v>
      </c>
    </row>
    <row r="2552" spans="1:9" x14ac:dyDescent="0.25">
      <c r="B2552" s="67" t="s">
        <v>3807</v>
      </c>
      <c r="C2552" s="67">
        <v>0</v>
      </c>
      <c r="D2552" s="67">
        <v>0</v>
      </c>
      <c r="E2552" s="67">
        <v>83900.45</v>
      </c>
      <c r="H2552" s="67" t="s">
        <v>146</v>
      </c>
    </row>
    <row r="2554" spans="1:9" x14ac:dyDescent="0.25">
      <c r="A2554" s="67" t="s">
        <v>3806</v>
      </c>
      <c r="B2554" s="67" t="s">
        <v>3805</v>
      </c>
      <c r="C2554" s="67">
        <v>0</v>
      </c>
      <c r="D2554" s="67">
        <v>0</v>
      </c>
      <c r="E2554" s="67">
        <v>83900.41</v>
      </c>
      <c r="F2554" s="67">
        <v>25250</v>
      </c>
      <c r="H2554" s="68">
        <v>40764</v>
      </c>
      <c r="I2554" s="67" t="s">
        <v>148</v>
      </c>
    </row>
    <row r="2555" spans="1:9" x14ac:dyDescent="0.25">
      <c r="B2555" s="67" t="s">
        <v>3805</v>
      </c>
      <c r="C2555" s="67">
        <v>0</v>
      </c>
      <c r="D2555" s="67">
        <v>0</v>
      </c>
      <c r="E2555" s="67">
        <v>83900.45</v>
      </c>
      <c r="H2555" s="67" t="s">
        <v>146</v>
      </c>
    </row>
    <row r="2556" spans="1:9" x14ac:dyDescent="0.25">
      <c r="A2556" s="67" t="s">
        <v>233</v>
      </c>
    </row>
    <row r="2558" spans="1:9" x14ac:dyDescent="0.25">
      <c r="A2558" s="67" t="s">
        <v>232</v>
      </c>
      <c r="D2558" s="67" t="s">
        <v>231</v>
      </c>
      <c r="H2558" s="67" t="s">
        <v>148</v>
      </c>
      <c r="I2558" s="67" t="s">
        <v>230</v>
      </c>
    </row>
    <row r="2559" spans="1:9" x14ac:dyDescent="0.25">
      <c r="A2559" s="67">
        <v>41.1</v>
      </c>
      <c r="C2559" s="67" t="s">
        <v>215</v>
      </c>
      <c r="D2559" s="67" t="s">
        <v>229</v>
      </c>
      <c r="H2559" s="70">
        <v>44771</v>
      </c>
      <c r="I2559" s="69">
        <v>0.56736111111111109</v>
      </c>
    </row>
    <row r="2560" spans="1:9" x14ac:dyDescent="0.25">
      <c r="A2560" s="67" t="s">
        <v>228</v>
      </c>
      <c r="C2560" s="67" t="s">
        <v>227</v>
      </c>
      <c r="D2560" s="67" t="s">
        <v>226</v>
      </c>
      <c r="E2560" s="67">
        <v>589</v>
      </c>
      <c r="H2560" s="67" t="s">
        <v>225</v>
      </c>
      <c r="I2560" s="67">
        <v>46</v>
      </c>
    </row>
    <row r="2561" spans="1:9" x14ac:dyDescent="0.25">
      <c r="A2561" s="67" t="s">
        <v>884</v>
      </c>
    </row>
    <row r="2562" spans="1:9" x14ac:dyDescent="0.25">
      <c r="A2562" s="67" t="s">
        <v>223</v>
      </c>
      <c r="B2562" s="67" t="s">
        <v>222</v>
      </c>
      <c r="C2562" s="67" t="s">
        <v>221</v>
      </c>
      <c r="D2562" s="67" t="s">
        <v>220</v>
      </c>
      <c r="E2562" s="67" t="s">
        <v>219</v>
      </c>
      <c r="F2562" s="67" t="s">
        <v>217</v>
      </c>
      <c r="G2562" s="67" t="s">
        <v>218</v>
      </c>
      <c r="H2562" s="67" t="s">
        <v>217</v>
      </c>
      <c r="I2562" s="67" t="s">
        <v>216</v>
      </c>
    </row>
    <row r="2563" spans="1:9" x14ac:dyDescent="0.25">
      <c r="A2563" s="67" t="s">
        <v>215</v>
      </c>
      <c r="B2563" s="67" t="s">
        <v>214</v>
      </c>
      <c r="C2563" s="67" t="s">
        <v>213</v>
      </c>
      <c r="D2563" s="67" t="s">
        <v>212</v>
      </c>
      <c r="E2563" s="67" t="s">
        <v>211</v>
      </c>
      <c r="F2563" s="67" t="s">
        <v>210</v>
      </c>
      <c r="G2563" s="67" t="s">
        <v>209</v>
      </c>
      <c r="H2563" s="67" t="s">
        <v>208</v>
      </c>
      <c r="I2563" s="67" t="s">
        <v>207</v>
      </c>
    </row>
    <row r="2564" spans="1:9" x14ac:dyDescent="0.25">
      <c r="A2564" s="67" t="s">
        <v>206</v>
      </c>
      <c r="B2564" s="67" t="s">
        <v>205</v>
      </c>
      <c r="C2564" s="67" t="s">
        <v>204</v>
      </c>
      <c r="D2564" s="67" t="s">
        <v>203</v>
      </c>
      <c r="E2564" s="67" t="s">
        <v>202</v>
      </c>
      <c r="F2564" s="67" t="s">
        <v>201</v>
      </c>
      <c r="G2564" s="67" t="s">
        <v>200</v>
      </c>
      <c r="H2564" s="67" t="s">
        <v>199</v>
      </c>
    </row>
    <row r="2565" spans="1:9" x14ac:dyDescent="0.25">
      <c r="A2565" s="67" t="s">
        <v>3804</v>
      </c>
      <c r="B2565" s="67" t="s">
        <v>3803</v>
      </c>
      <c r="C2565" s="67">
        <v>0</v>
      </c>
      <c r="D2565" s="67">
        <v>0</v>
      </c>
      <c r="E2565" s="67">
        <v>83900.41</v>
      </c>
      <c r="F2565" s="67">
        <v>25250</v>
      </c>
      <c r="H2565" s="68">
        <v>40764</v>
      </c>
      <c r="I2565" s="67" t="s">
        <v>148</v>
      </c>
    </row>
    <row r="2566" spans="1:9" x14ac:dyDescent="0.25">
      <c r="B2566" s="67" t="s">
        <v>3803</v>
      </c>
      <c r="C2566" s="67">
        <v>0</v>
      </c>
      <c r="D2566" s="67">
        <v>0</v>
      </c>
      <c r="E2566" s="67">
        <v>83900.45</v>
      </c>
      <c r="H2566" s="67" t="s">
        <v>146</v>
      </c>
    </row>
    <row r="2568" spans="1:9" x14ac:dyDescent="0.25">
      <c r="A2568" s="67" t="s">
        <v>3802</v>
      </c>
      <c r="B2568" s="67" t="s">
        <v>3801</v>
      </c>
      <c r="C2568" s="67">
        <v>0</v>
      </c>
      <c r="D2568" s="67">
        <v>0</v>
      </c>
      <c r="E2568" s="67">
        <v>83900.41</v>
      </c>
      <c r="F2568" s="67">
        <v>25250</v>
      </c>
      <c r="H2568" s="68">
        <v>40764</v>
      </c>
      <c r="I2568" s="67" t="s">
        <v>148</v>
      </c>
    </row>
    <row r="2569" spans="1:9" x14ac:dyDescent="0.25">
      <c r="B2569" s="67" t="s">
        <v>3801</v>
      </c>
      <c r="C2569" s="67">
        <v>0</v>
      </c>
      <c r="D2569" s="67">
        <v>0</v>
      </c>
      <c r="E2569" s="67">
        <v>83900.45</v>
      </c>
      <c r="H2569" s="67" t="s">
        <v>146</v>
      </c>
    </row>
    <row r="2571" spans="1:9" x14ac:dyDescent="0.25">
      <c r="A2571" s="67" t="s">
        <v>3800</v>
      </c>
      <c r="B2571" s="67" t="s">
        <v>3799</v>
      </c>
      <c r="C2571" s="67">
        <v>0</v>
      </c>
      <c r="D2571" s="67">
        <v>0</v>
      </c>
      <c r="E2571" s="67">
        <v>83900.41</v>
      </c>
      <c r="F2571" s="67">
        <v>25250</v>
      </c>
      <c r="H2571" s="68">
        <v>40764</v>
      </c>
      <c r="I2571" s="67" t="s">
        <v>148</v>
      </c>
    </row>
    <row r="2572" spans="1:9" x14ac:dyDescent="0.25">
      <c r="B2572" s="67" t="s">
        <v>3799</v>
      </c>
      <c r="C2572" s="67">
        <v>0</v>
      </c>
      <c r="D2572" s="67">
        <v>0</v>
      </c>
      <c r="E2572" s="67">
        <v>83900.45</v>
      </c>
      <c r="H2572" s="67" t="s">
        <v>146</v>
      </c>
    </row>
    <row r="2574" spans="1:9" x14ac:dyDescent="0.25">
      <c r="A2574" s="67" t="s">
        <v>3798</v>
      </c>
      <c r="B2574" s="67" t="s">
        <v>3797</v>
      </c>
      <c r="C2574" s="67">
        <v>0</v>
      </c>
      <c r="D2574" s="67">
        <v>0</v>
      </c>
      <c r="E2574" s="67">
        <v>83900.41</v>
      </c>
      <c r="F2574" s="67">
        <v>25250</v>
      </c>
      <c r="H2574" s="68">
        <v>40764</v>
      </c>
      <c r="I2574" s="67" t="s">
        <v>148</v>
      </c>
    </row>
    <row r="2575" spans="1:9" x14ac:dyDescent="0.25">
      <c r="B2575" s="67" t="s">
        <v>3797</v>
      </c>
      <c r="C2575" s="67">
        <v>0</v>
      </c>
      <c r="D2575" s="67">
        <v>0</v>
      </c>
      <c r="E2575" s="67">
        <v>83900.45</v>
      </c>
      <c r="H2575" s="67" t="s">
        <v>146</v>
      </c>
    </row>
    <row r="2577" spans="1:9" x14ac:dyDescent="0.25">
      <c r="A2577" s="67" t="s">
        <v>3796</v>
      </c>
      <c r="B2577" s="67" t="s">
        <v>3795</v>
      </c>
      <c r="C2577" s="67">
        <v>0</v>
      </c>
      <c r="D2577" s="67">
        <v>0</v>
      </c>
      <c r="E2577" s="67">
        <v>83900.41</v>
      </c>
      <c r="F2577" s="67">
        <v>25250</v>
      </c>
      <c r="H2577" s="68">
        <v>40764</v>
      </c>
      <c r="I2577" s="67" t="s">
        <v>148</v>
      </c>
    </row>
    <row r="2578" spans="1:9" x14ac:dyDescent="0.25">
      <c r="B2578" s="67" t="s">
        <v>3795</v>
      </c>
      <c r="C2578" s="67">
        <v>0</v>
      </c>
      <c r="D2578" s="67">
        <v>0</v>
      </c>
      <c r="E2578" s="67">
        <v>83900.45</v>
      </c>
      <c r="H2578" s="67" t="s">
        <v>146</v>
      </c>
    </row>
    <row r="2580" spans="1:9" x14ac:dyDescent="0.25">
      <c r="A2580" s="67" t="s">
        <v>3794</v>
      </c>
      <c r="B2580" s="67" t="s">
        <v>3793</v>
      </c>
      <c r="C2580" s="67">
        <v>0</v>
      </c>
      <c r="D2580" s="67">
        <v>0</v>
      </c>
      <c r="E2580" s="67">
        <v>83900.41</v>
      </c>
      <c r="F2580" s="67">
        <v>25250</v>
      </c>
      <c r="H2580" s="68">
        <v>40764</v>
      </c>
      <c r="I2580" s="67" t="s">
        <v>148</v>
      </c>
    </row>
    <row r="2581" spans="1:9" x14ac:dyDescent="0.25">
      <c r="B2581" s="67" t="s">
        <v>3793</v>
      </c>
      <c r="C2581" s="67">
        <v>0</v>
      </c>
      <c r="D2581" s="67">
        <v>0</v>
      </c>
      <c r="E2581" s="67">
        <v>83900.45</v>
      </c>
      <c r="H2581" s="67" t="s">
        <v>146</v>
      </c>
    </row>
    <row r="2583" spans="1:9" x14ac:dyDescent="0.25">
      <c r="A2583" s="67" t="s">
        <v>3792</v>
      </c>
      <c r="B2583" s="67" t="s">
        <v>3791</v>
      </c>
      <c r="C2583" s="67">
        <v>0</v>
      </c>
      <c r="D2583" s="67">
        <v>0</v>
      </c>
      <c r="E2583" s="67">
        <v>83900.41</v>
      </c>
      <c r="F2583" s="67">
        <v>25250</v>
      </c>
      <c r="H2583" s="68">
        <v>40764</v>
      </c>
      <c r="I2583" s="67" t="s">
        <v>148</v>
      </c>
    </row>
    <row r="2584" spans="1:9" x14ac:dyDescent="0.25">
      <c r="B2584" s="67" t="s">
        <v>3791</v>
      </c>
      <c r="C2584" s="67">
        <v>0</v>
      </c>
      <c r="D2584" s="67">
        <v>0</v>
      </c>
      <c r="E2584" s="67">
        <v>83900.45</v>
      </c>
      <c r="H2584" s="67" t="s">
        <v>146</v>
      </c>
    </row>
    <row r="2586" spans="1:9" x14ac:dyDescent="0.25">
      <c r="A2586" s="67" t="s">
        <v>3790</v>
      </c>
      <c r="B2586" s="67" t="s">
        <v>3789</v>
      </c>
      <c r="C2586" s="67">
        <v>0</v>
      </c>
      <c r="D2586" s="67">
        <v>0</v>
      </c>
      <c r="E2586" s="67">
        <v>83900.41</v>
      </c>
      <c r="F2586" s="67">
        <v>25250</v>
      </c>
      <c r="H2586" s="68">
        <v>40764</v>
      </c>
      <c r="I2586" s="67" t="s">
        <v>148</v>
      </c>
    </row>
    <row r="2587" spans="1:9" x14ac:dyDescent="0.25">
      <c r="B2587" s="67" t="s">
        <v>3789</v>
      </c>
      <c r="C2587" s="67">
        <v>0</v>
      </c>
      <c r="D2587" s="67">
        <v>0</v>
      </c>
      <c r="E2587" s="67">
        <v>83900.45</v>
      </c>
      <c r="H2587" s="67" t="s">
        <v>146</v>
      </c>
    </row>
    <row r="2589" spans="1:9" x14ac:dyDescent="0.25">
      <c r="A2589" s="67" t="s">
        <v>3788</v>
      </c>
      <c r="B2589" s="67" t="s">
        <v>3787</v>
      </c>
      <c r="C2589" s="67">
        <v>0</v>
      </c>
      <c r="D2589" s="67">
        <v>0</v>
      </c>
      <c r="E2589" s="67">
        <v>83900.41</v>
      </c>
      <c r="F2589" s="67">
        <v>25250</v>
      </c>
      <c r="H2589" s="68">
        <v>40764</v>
      </c>
      <c r="I2589" s="67" t="s">
        <v>148</v>
      </c>
    </row>
    <row r="2590" spans="1:9" x14ac:dyDescent="0.25">
      <c r="B2590" s="67" t="s">
        <v>3787</v>
      </c>
      <c r="C2590" s="67">
        <v>0</v>
      </c>
      <c r="D2590" s="67">
        <v>0</v>
      </c>
      <c r="E2590" s="67">
        <v>83900.45</v>
      </c>
      <c r="H2590" s="67" t="s">
        <v>146</v>
      </c>
    </row>
    <row r="2592" spans="1:9" x14ac:dyDescent="0.25">
      <c r="A2592" s="67" t="s">
        <v>3786</v>
      </c>
      <c r="B2592" s="67" t="s">
        <v>3785</v>
      </c>
      <c r="C2592" s="67">
        <v>0</v>
      </c>
      <c r="D2592" s="67">
        <v>0</v>
      </c>
      <c r="E2592" s="67">
        <v>83900.41</v>
      </c>
      <c r="F2592" s="67">
        <v>25250</v>
      </c>
      <c r="H2592" s="68">
        <v>40764</v>
      </c>
      <c r="I2592" s="67" t="s">
        <v>148</v>
      </c>
    </row>
    <row r="2593" spans="1:9" x14ac:dyDescent="0.25">
      <c r="B2593" s="67" t="s">
        <v>3785</v>
      </c>
      <c r="C2593" s="67">
        <v>0</v>
      </c>
      <c r="D2593" s="67">
        <v>0</v>
      </c>
      <c r="E2593" s="67">
        <v>83900.45</v>
      </c>
      <c r="H2593" s="67" t="s">
        <v>146</v>
      </c>
    </row>
    <row r="2595" spans="1:9" x14ac:dyDescent="0.25">
      <c r="A2595" s="67" t="s">
        <v>3784</v>
      </c>
      <c r="B2595" s="67" t="s">
        <v>3783</v>
      </c>
      <c r="C2595" s="67">
        <v>0</v>
      </c>
      <c r="D2595" s="67">
        <v>0</v>
      </c>
      <c r="E2595" s="67">
        <v>83900.41</v>
      </c>
      <c r="F2595" s="67">
        <v>25250</v>
      </c>
      <c r="H2595" s="68">
        <v>40764</v>
      </c>
      <c r="I2595" s="67" t="s">
        <v>148</v>
      </c>
    </row>
    <row r="2596" spans="1:9" x14ac:dyDescent="0.25">
      <c r="B2596" s="67" t="s">
        <v>3783</v>
      </c>
      <c r="C2596" s="67">
        <v>0</v>
      </c>
      <c r="D2596" s="67">
        <v>0</v>
      </c>
      <c r="E2596" s="67">
        <v>83900.45</v>
      </c>
      <c r="H2596" s="67" t="s">
        <v>146</v>
      </c>
    </row>
    <row r="2598" spans="1:9" x14ac:dyDescent="0.25">
      <c r="A2598" s="67" t="s">
        <v>3782</v>
      </c>
      <c r="B2598" s="67" t="s">
        <v>3781</v>
      </c>
      <c r="C2598" s="67">
        <v>0</v>
      </c>
      <c r="D2598" s="67">
        <v>0</v>
      </c>
      <c r="E2598" s="67">
        <v>83900.41</v>
      </c>
      <c r="F2598" s="67">
        <v>25250</v>
      </c>
      <c r="H2598" s="68">
        <v>40764</v>
      </c>
      <c r="I2598" s="67" t="s">
        <v>148</v>
      </c>
    </row>
    <row r="2599" spans="1:9" x14ac:dyDescent="0.25">
      <c r="B2599" s="67" t="s">
        <v>3781</v>
      </c>
      <c r="C2599" s="67">
        <v>0</v>
      </c>
      <c r="D2599" s="67">
        <v>0</v>
      </c>
      <c r="E2599" s="67">
        <v>83900.45</v>
      </c>
      <c r="H2599" s="67" t="s">
        <v>146</v>
      </c>
    </row>
    <row r="2601" spans="1:9" x14ac:dyDescent="0.25">
      <c r="A2601" s="67" t="s">
        <v>3780</v>
      </c>
      <c r="B2601" s="67" t="s">
        <v>3779</v>
      </c>
      <c r="C2601" s="67">
        <v>0</v>
      </c>
      <c r="D2601" s="67">
        <v>0</v>
      </c>
      <c r="E2601" s="67">
        <v>83900.41</v>
      </c>
      <c r="F2601" s="67">
        <v>25250</v>
      </c>
      <c r="H2601" s="68">
        <v>40764</v>
      </c>
      <c r="I2601" s="67" t="s">
        <v>148</v>
      </c>
    </row>
    <row r="2602" spans="1:9" x14ac:dyDescent="0.25">
      <c r="B2602" s="67" t="s">
        <v>3779</v>
      </c>
      <c r="C2602" s="67">
        <v>0</v>
      </c>
      <c r="D2602" s="67">
        <v>0</v>
      </c>
      <c r="E2602" s="67">
        <v>83900.45</v>
      </c>
      <c r="H2602" s="67" t="s">
        <v>146</v>
      </c>
    </row>
    <row r="2604" spans="1:9" x14ac:dyDescent="0.25">
      <c r="A2604" s="67" t="s">
        <v>3778</v>
      </c>
      <c r="B2604" s="67" t="s">
        <v>3777</v>
      </c>
      <c r="C2604" s="67">
        <v>0</v>
      </c>
      <c r="D2604" s="67">
        <v>0</v>
      </c>
      <c r="E2604" s="67">
        <v>83900.41</v>
      </c>
      <c r="F2604" s="67">
        <v>25250</v>
      </c>
      <c r="H2604" s="68">
        <v>40764</v>
      </c>
      <c r="I2604" s="67" t="s">
        <v>148</v>
      </c>
    </row>
    <row r="2605" spans="1:9" x14ac:dyDescent="0.25">
      <c r="B2605" s="67" t="s">
        <v>3777</v>
      </c>
      <c r="C2605" s="67">
        <v>0</v>
      </c>
      <c r="D2605" s="67">
        <v>0</v>
      </c>
      <c r="E2605" s="67">
        <v>83900.45</v>
      </c>
      <c r="H2605" s="67" t="s">
        <v>146</v>
      </c>
    </row>
    <row r="2607" spans="1:9" x14ac:dyDescent="0.25">
      <c r="A2607" s="67" t="s">
        <v>3776</v>
      </c>
      <c r="B2607" s="67" t="s">
        <v>3775</v>
      </c>
      <c r="C2607" s="67">
        <v>0</v>
      </c>
      <c r="D2607" s="67">
        <v>0</v>
      </c>
      <c r="E2607" s="67">
        <v>83900.41</v>
      </c>
      <c r="F2607" s="67">
        <v>25250</v>
      </c>
      <c r="H2607" s="68">
        <v>40764</v>
      </c>
      <c r="I2607" s="67" t="s">
        <v>148</v>
      </c>
    </row>
    <row r="2608" spans="1:9" x14ac:dyDescent="0.25">
      <c r="B2608" s="67" t="s">
        <v>3775</v>
      </c>
      <c r="C2608" s="67">
        <v>0</v>
      </c>
      <c r="D2608" s="67">
        <v>0</v>
      </c>
      <c r="E2608" s="67">
        <v>83900.45</v>
      </c>
      <c r="H2608" s="67" t="s">
        <v>146</v>
      </c>
    </row>
    <row r="2610" spans="1:9" x14ac:dyDescent="0.25">
      <c r="A2610" s="67" t="s">
        <v>3774</v>
      </c>
      <c r="B2610" s="67" t="s">
        <v>3773</v>
      </c>
      <c r="C2610" s="67">
        <v>0</v>
      </c>
      <c r="D2610" s="67">
        <v>0</v>
      </c>
      <c r="E2610" s="67">
        <v>83900.41</v>
      </c>
      <c r="F2610" s="67">
        <v>25250</v>
      </c>
      <c r="H2610" s="68">
        <v>40764</v>
      </c>
      <c r="I2610" s="67" t="s">
        <v>148</v>
      </c>
    </row>
    <row r="2611" spans="1:9" x14ac:dyDescent="0.25">
      <c r="B2611" s="67" t="s">
        <v>3773</v>
      </c>
      <c r="C2611" s="67">
        <v>0</v>
      </c>
      <c r="D2611" s="67">
        <v>0</v>
      </c>
      <c r="E2611" s="67">
        <v>83900.45</v>
      </c>
      <c r="H2611" s="67" t="s">
        <v>146</v>
      </c>
    </row>
    <row r="2613" spans="1:9" x14ac:dyDescent="0.25">
      <c r="A2613" s="67" t="s">
        <v>3772</v>
      </c>
      <c r="B2613" s="67" t="s">
        <v>3771</v>
      </c>
      <c r="C2613" s="67">
        <v>0</v>
      </c>
      <c r="D2613" s="67">
        <v>0</v>
      </c>
      <c r="E2613" s="67">
        <v>83900.41</v>
      </c>
      <c r="F2613" s="67">
        <v>25250</v>
      </c>
      <c r="H2613" s="68">
        <v>40764</v>
      </c>
      <c r="I2613" s="67" t="s">
        <v>148</v>
      </c>
    </row>
    <row r="2614" spans="1:9" x14ac:dyDescent="0.25">
      <c r="B2614" s="67" t="s">
        <v>3771</v>
      </c>
      <c r="C2614" s="67">
        <v>0</v>
      </c>
      <c r="D2614" s="67">
        <v>0</v>
      </c>
      <c r="E2614" s="67">
        <v>83900.45</v>
      </c>
      <c r="H2614" s="67" t="s">
        <v>146</v>
      </c>
    </row>
    <row r="2615" spans="1:9" x14ac:dyDescent="0.25">
      <c r="A2615" s="67" t="s">
        <v>233</v>
      </c>
    </row>
    <row r="2617" spans="1:9" x14ac:dyDescent="0.25">
      <c r="A2617" s="67" t="s">
        <v>232</v>
      </c>
      <c r="D2617" s="67" t="s">
        <v>231</v>
      </c>
      <c r="H2617" s="67" t="s">
        <v>148</v>
      </c>
      <c r="I2617" s="67" t="s">
        <v>230</v>
      </c>
    </row>
    <row r="2618" spans="1:9" x14ac:dyDescent="0.25">
      <c r="A2618" s="67">
        <v>41.1</v>
      </c>
      <c r="C2618" s="67" t="s">
        <v>215</v>
      </c>
      <c r="D2618" s="67" t="s">
        <v>229</v>
      </c>
      <c r="H2618" s="70">
        <v>44771</v>
      </c>
      <c r="I2618" s="69">
        <v>0.56736111111111109</v>
      </c>
    </row>
    <row r="2619" spans="1:9" x14ac:dyDescent="0.25">
      <c r="A2619" s="67" t="s">
        <v>228</v>
      </c>
      <c r="C2619" s="67" t="s">
        <v>227</v>
      </c>
      <c r="D2619" s="67" t="s">
        <v>226</v>
      </c>
      <c r="E2619" s="67">
        <v>589</v>
      </c>
      <c r="H2619" s="67" t="s">
        <v>225</v>
      </c>
      <c r="I2619" s="67">
        <v>47</v>
      </c>
    </row>
    <row r="2620" spans="1:9" x14ac:dyDescent="0.25">
      <c r="A2620" s="67" t="s">
        <v>884</v>
      </c>
    </row>
    <row r="2621" spans="1:9" x14ac:dyDescent="0.25">
      <c r="A2621" s="67" t="s">
        <v>223</v>
      </c>
      <c r="B2621" s="67" t="s">
        <v>222</v>
      </c>
      <c r="C2621" s="67" t="s">
        <v>221</v>
      </c>
      <c r="D2621" s="67" t="s">
        <v>220</v>
      </c>
      <c r="E2621" s="67" t="s">
        <v>219</v>
      </c>
      <c r="F2621" s="67" t="s">
        <v>217</v>
      </c>
      <c r="G2621" s="67" t="s">
        <v>218</v>
      </c>
      <c r="H2621" s="67" t="s">
        <v>217</v>
      </c>
      <c r="I2621" s="67" t="s">
        <v>216</v>
      </c>
    </row>
    <row r="2622" spans="1:9" x14ac:dyDescent="0.25">
      <c r="A2622" s="67" t="s">
        <v>215</v>
      </c>
      <c r="B2622" s="67" t="s">
        <v>214</v>
      </c>
      <c r="C2622" s="67" t="s">
        <v>213</v>
      </c>
      <c r="D2622" s="67" t="s">
        <v>212</v>
      </c>
      <c r="E2622" s="67" t="s">
        <v>211</v>
      </c>
      <c r="F2622" s="67" t="s">
        <v>210</v>
      </c>
      <c r="G2622" s="67" t="s">
        <v>209</v>
      </c>
      <c r="H2622" s="67" t="s">
        <v>208</v>
      </c>
      <c r="I2622" s="67" t="s">
        <v>207</v>
      </c>
    </row>
    <row r="2623" spans="1:9" x14ac:dyDescent="0.25">
      <c r="A2623" s="67" t="s">
        <v>206</v>
      </c>
      <c r="B2623" s="67" t="s">
        <v>205</v>
      </c>
      <c r="C2623" s="67" t="s">
        <v>204</v>
      </c>
      <c r="D2623" s="67" t="s">
        <v>203</v>
      </c>
      <c r="E2623" s="67" t="s">
        <v>202</v>
      </c>
      <c r="F2623" s="67" t="s">
        <v>201</v>
      </c>
      <c r="G2623" s="67" t="s">
        <v>200</v>
      </c>
      <c r="H2623" s="67" t="s">
        <v>199</v>
      </c>
    </row>
    <row r="2624" spans="1:9" x14ac:dyDescent="0.25">
      <c r="A2624" s="67" t="s">
        <v>3770</v>
      </c>
      <c r="B2624" s="67" t="s">
        <v>3769</v>
      </c>
      <c r="C2624" s="67">
        <v>0</v>
      </c>
      <c r="D2624" s="67">
        <v>0</v>
      </c>
      <c r="E2624" s="67">
        <v>83900.41</v>
      </c>
      <c r="F2624" s="67">
        <v>25250</v>
      </c>
      <c r="H2624" s="68">
        <v>40764</v>
      </c>
      <c r="I2624" s="67" t="s">
        <v>148</v>
      </c>
    </row>
    <row r="2625" spans="1:9" x14ac:dyDescent="0.25">
      <c r="B2625" s="67" t="s">
        <v>3769</v>
      </c>
      <c r="C2625" s="67">
        <v>0</v>
      </c>
      <c r="D2625" s="67">
        <v>0</v>
      </c>
      <c r="E2625" s="67">
        <v>83900.45</v>
      </c>
      <c r="H2625" s="67" t="s">
        <v>146</v>
      </c>
    </row>
    <row r="2627" spans="1:9" x14ac:dyDescent="0.25">
      <c r="A2627" s="67" t="s">
        <v>3768</v>
      </c>
      <c r="B2627" s="67" t="s">
        <v>3767</v>
      </c>
      <c r="C2627" s="67">
        <v>0</v>
      </c>
      <c r="D2627" s="67">
        <v>0</v>
      </c>
      <c r="E2627" s="67">
        <v>83900.41</v>
      </c>
      <c r="F2627" s="67">
        <v>25250</v>
      </c>
      <c r="H2627" s="68">
        <v>40764</v>
      </c>
      <c r="I2627" s="67" t="s">
        <v>148</v>
      </c>
    </row>
    <row r="2628" spans="1:9" x14ac:dyDescent="0.25">
      <c r="B2628" s="67" t="s">
        <v>3767</v>
      </c>
      <c r="C2628" s="67">
        <v>0</v>
      </c>
      <c r="D2628" s="67">
        <v>0</v>
      </c>
      <c r="E2628" s="67">
        <v>83900.45</v>
      </c>
      <c r="H2628" s="67" t="s">
        <v>146</v>
      </c>
    </row>
    <row r="2630" spans="1:9" x14ac:dyDescent="0.25">
      <c r="A2630" s="67" t="s">
        <v>3766</v>
      </c>
      <c r="B2630" s="67" t="s">
        <v>3765</v>
      </c>
      <c r="C2630" s="67">
        <v>0</v>
      </c>
      <c r="D2630" s="67">
        <v>0</v>
      </c>
      <c r="E2630" s="67">
        <v>83900.41</v>
      </c>
      <c r="F2630" s="67">
        <v>25250</v>
      </c>
      <c r="H2630" s="68">
        <v>40764</v>
      </c>
      <c r="I2630" s="67" t="s">
        <v>148</v>
      </c>
    </row>
    <row r="2631" spans="1:9" x14ac:dyDescent="0.25">
      <c r="B2631" s="67" t="s">
        <v>3765</v>
      </c>
      <c r="C2631" s="67">
        <v>0</v>
      </c>
      <c r="D2631" s="67">
        <v>0</v>
      </c>
      <c r="E2631" s="67">
        <v>83900.45</v>
      </c>
      <c r="H2631" s="67" t="s">
        <v>146</v>
      </c>
    </row>
    <row r="2633" spans="1:9" x14ac:dyDescent="0.25">
      <c r="A2633" s="67" t="s">
        <v>3764</v>
      </c>
      <c r="B2633" s="67" t="s">
        <v>3763</v>
      </c>
      <c r="C2633" s="67">
        <v>0</v>
      </c>
      <c r="D2633" s="67">
        <v>0</v>
      </c>
      <c r="E2633" s="67">
        <v>83900.41</v>
      </c>
      <c r="F2633" s="67">
        <v>25250</v>
      </c>
      <c r="H2633" s="68">
        <v>40764</v>
      </c>
      <c r="I2633" s="67" t="s">
        <v>148</v>
      </c>
    </row>
    <row r="2634" spans="1:9" x14ac:dyDescent="0.25">
      <c r="B2634" s="67" t="s">
        <v>3763</v>
      </c>
      <c r="C2634" s="67">
        <v>0</v>
      </c>
      <c r="D2634" s="67">
        <v>0</v>
      </c>
      <c r="E2634" s="67">
        <v>83900.45</v>
      </c>
      <c r="H2634" s="67" t="s">
        <v>146</v>
      </c>
    </row>
    <row r="2636" spans="1:9" x14ac:dyDescent="0.25">
      <c r="A2636" s="67" t="s">
        <v>3762</v>
      </c>
      <c r="B2636" s="67" t="s">
        <v>3761</v>
      </c>
      <c r="C2636" s="67">
        <v>0</v>
      </c>
      <c r="D2636" s="67">
        <v>0</v>
      </c>
      <c r="E2636" s="67">
        <v>83900.41</v>
      </c>
      <c r="F2636" s="67">
        <v>25250</v>
      </c>
      <c r="H2636" s="68">
        <v>40764</v>
      </c>
      <c r="I2636" s="67" t="s">
        <v>148</v>
      </c>
    </row>
    <row r="2637" spans="1:9" x14ac:dyDescent="0.25">
      <c r="B2637" s="67" t="s">
        <v>3761</v>
      </c>
      <c r="C2637" s="67">
        <v>0</v>
      </c>
      <c r="D2637" s="67">
        <v>0</v>
      </c>
      <c r="E2637" s="67">
        <v>83900.45</v>
      </c>
      <c r="H2637" s="67" t="s">
        <v>146</v>
      </c>
    </row>
    <row r="2639" spans="1:9" x14ac:dyDescent="0.25">
      <c r="A2639" s="67" t="s">
        <v>3760</v>
      </c>
      <c r="B2639" s="67" t="s">
        <v>3759</v>
      </c>
      <c r="C2639" s="67">
        <v>0</v>
      </c>
      <c r="D2639" s="67">
        <v>0</v>
      </c>
      <c r="E2639" s="67">
        <v>83900.41</v>
      </c>
      <c r="F2639" s="67">
        <v>25250</v>
      </c>
      <c r="H2639" s="68">
        <v>40764</v>
      </c>
      <c r="I2639" s="67" t="s">
        <v>148</v>
      </c>
    </row>
    <row r="2640" spans="1:9" x14ac:dyDescent="0.25">
      <c r="B2640" s="67" t="s">
        <v>3759</v>
      </c>
      <c r="C2640" s="67">
        <v>0</v>
      </c>
      <c r="D2640" s="67">
        <v>0</v>
      </c>
      <c r="E2640" s="67">
        <v>83900.45</v>
      </c>
      <c r="H2640" s="67" t="s">
        <v>146</v>
      </c>
    </row>
    <row r="2642" spans="1:9" x14ac:dyDescent="0.25">
      <c r="A2642" s="67" t="s">
        <v>3758</v>
      </c>
      <c r="B2642" s="67" t="s">
        <v>3757</v>
      </c>
      <c r="C2642" s="67">
        <v>0</v>
      </c>
      <c r="D2642" s="67">
        <v>0</v>
      </c>
      <c r="E2642" s="67">
        <v>83900.41</v>
      </c>
      <c r="F2642" s="67">
        <v>25250</v>
      </c>
      <c r="H2642" s="68">
        <v>40764</v>
      </c>
      <c r="I2642" s="67" t="s">
        <v>148</v>
      </c>
    </row>
    <row r="2643" spans="1:9" x14ac:dyDescent="0.25">
      <c r="B2643" s="67" t="s">
        <v>3757</v>
      </c>
      <c r="C2643" s="67">
        <v>0</v>
      </c>
      <c r="D2643" s="67">
        <v>0</v>
      </c>
      <c r="E2643" s="67">
        <v>83900.45</v>
      </c>
      <c r="H2643" s="67" t="s">
        <v>146</v>
      </c>
    </row>
    <row r="2645" spans="1:9" x14ac:dyDescent="0.25">
      <c r="A2645" s="67" t="s">
        <v>3756</v>
      </c>
      <c r="B2645" s="67" t="s">
        <v>3755</v>
      </c>
      <c r="C2645" s="67">
        <v>0</v>
      </c>
      <c r="D2645" s="67">
        <v>0</v>
      </c>
      <c r="E2645" s="67">
        <v>83900.41</v>
      </c>
      <c r="F2645" s="67">
        <v>25250</v>
      </c>
      <c r="H2645" s="68">
        <v>40764</v>
      </c>
      <c r="I2645" s="67" t="s">
        <v>148</v>
      </c>
    </row>
    <row r="2646" spans="1:9" x14ac:dyDescent="0.25">
      <c r="B2646" s="67" t="s">
        <v>3755</v>
      </c>
      <c r="C2646" s="67">
        <v>0</v>
      </c>
      <c r="D2646" s="67">
        <v>0</v>
      </c>
      <c r="E2646" s="67">
        <v>83900.45</v>
      </c>
      <c r="H2646" s="67" t="s">
        <v>146</v>
      </c>
    </row>
    <row r="2648" spans="1:9" x14ac:dyDescent="0.25">
      <c r="A2648" s="67" t="s">
        <v>3754</v>
      </c>
      <c r="B2648" s="67" t="s">
        <v>3753</v>
      </c>
      <c r="C2648" s="67">
        <v>0</v>
      </c>
      <c r="D2648" s="67">
        <v>0</v>
      </c>
      <c r="E2648" s="67">
        <v>83900.41</v>
      </c>
      <c r="F2648" s="67">
        <v>25250</v>
      </c>
      <c r="H2648" s="68">
        <v>40764</v>
      </c>
      <c r="I2648" s="67" t="s">
        <v>148</v>
      </c>
    </row>
    <row r="2649" spans="1:9" x14ac:dyDescent="0.25">
      <c r="B2649" s="67" t="s">
        <v>3753</v>
      </c>
      <c r="C2649" s="67">
        <v>0</v>
      </c>
      <c r="D2649" s="67">
        <v>0</v>
      </c>
      <c r="E2649" s="67">
        <v>83900.45</v>
      </c>
      <c r="H2649" s="67" t="s">
        <v>146</v>
      </c>
    </row>
    <row r="2651" spans="1:9" x14ac:dyDescent="0.25">
      <c r="A2651" s="67" t="s">
        <v>3752</v>
      </c>
      <c r="B2651" s="67" t="s">
        <v>3751</v>
      </c>
      <c r="C2651" s="67">
        <v>0</v>
      </c>
      <c r="D2651" s="67">
        <v>0</v>
      </c>
      <c r="E2651" s="67">
        <v>83900.41</v>
      </c>
      <c r="F2651" s="67">
        <v>25250</v>
      </c>
      <c r="H2651" s="68">
        <v>40764</v>
      </c>
      <c r="I2651" s="67" t="s">
        <v>148</v>
      </c>
    </row>
    <row r="2652" spans="1:9" x14ac:dyDescent="0.25">
      <c r="B2652" s="67" t="s">
        <v>3751</v>
      </c>
      <c r="C2652" s="67">
        <v>0</v>
      </c>
      <c r="D2652" s="67">
        <v>0</v>
      </c>
      <c r="E2652" s="67">
        <v>83900.45</v>
      </c>
      <c r="H2652" s="67" t="s">
        <v>146</v>
      </c>
    </row>
    <row r="2654" spans="1:9" x14ac:dyDescent="0.25">
      <c r="A2654" s="67" t="s">
        <v>3750</v>
      </c>
      <c r="B2654" s="67" t="s">
        <v>3749</v>
      </c>
      <c r="C2654" s="67">
        <v>0</v>
      </c>
      <c r="D2654" s="67">
        <v>0</v>
      </c>
      <c r="E2654" s="67">
        <v>83900.41</v>
      </c>
      <c r="F2654" s="67">
        <v>25250</v>
      </c>
      <c r="H2654" s="68">
        <v>40764</v>
      </c>
      <c r="I2654" s="67" t="s">
        <v>148</v>
      </c>
    </row>
    <row r="2655" spans="1:9" x14ac:dyDescent="0.25">
      <c r="B2655" s="67" t="s">
        <v>3749</v>
      </c>
      <c r="C2655" s="67">
        <v>0</v>
      </c>
      <c r="D2655" s="67">
        <v>0</v>
      </c>
      <c r="E2655" s="67">
        <v>83900.45</v>
      </c>
      <c r="H2655" s="67" t="s">
        <v>146</v>
      </c>
    </row>
    <row r="2657" spans="1:9" x14ac:dyDescent="0.25">
      <c r="A2657" s="67" t="s">
        <v>3748</v>
      </c>
      <c r="B2657" s="67" t="s">
        <v>3747</v>
      </c>
      <c r="C2657" s="67">
        <v>0</v>
      </c>
      <c r="D2657" s="67">
        <v>0</v>
      </c>
      <c r="E2657" s="67">
        <v>83900.41</v>
      </c>
      <c r="F2657" s="67">
        <v>25250</v>
      </c>
      <c r="H2657" s="68">
        <v>40764</v>
      </c>
      <c r="I2657" s="67" t="s">
        <v>148</v>
      </c>
    </row>
    <row r="2658" spans="1:9" x14ac:dyDescent="0.25">
      <c r="B2658" s="67" t="s">
        <v>3747</v>
      </c>
      <c r="C2658" s="67">
        <v>0</v>
      </c>
      <c r="D2658" s="67">
        <v>0</v>
      </c>
      <c r="E2658" s="67">
        <v>83900.45</v>
      </c>
      <c r="H2658" s="67" t="s">
        <v>146</v>
      </c>
    </row>
    <row r="2660" spans="1:9" x14ac:dyDescent="0.25">
      <c r="A2660" s="67" t="s">
        <v>3746</v>
      </c>
      <c r="B2660" s="67" t="s">
        <v>3745</v>
      </c>
      <c r="C2660" s="67">
        <v>0</v>
      </c>
      <c r="D2660" s="67">
        <v>0</v>
      </c>
      <c r="E2660" s="67">
        <v>83900.41</v>
      </c>
      <c r="F2660" s="67">
        <v>25250</v>
      </c>
      <c r="H2660" s="68">
        <v>40764</v>
      </c>
      <c r="I2660" s="67" t="s">
        <v>148</v>
      </c>
    </row>
    <row r="2661" spans="1:9" x14ac:dyDescent="0.25">
      <c r="B2661" s="67" t="s">
        <v>3745</v>
      </c>
      <c r="C2661" s="67">
        <v>0</v>
      </c>
      <c r="D2661" s="67">
        <v>0</v>
      </c>
      <c r="E2661" s="67">
        <v>83900.45</v>
      </c>
      <c r="H2661" s="67" t="s">
        <v>146</v>
      </c>
    </row>
    <row r="2663" spans="1:9" x14ac:dyDescent="0.25">
      <c r="A2663" s="67" t="s">
        <v>3744</v>
      </c>
      <c r="B2663" s="67" t="s">
        <v>3743</v>
      </c>
      <c r="C2663" s="67">
        <v>0</v>
      </c>
      <c r="D2663" s="67">
        <v>0</v>
      </c>
      <c r="E2663" s="67">
        <v>83900.41</v>
      </c>
      <c r="F2663" s="67">
        <v>25250</v>
      </c>
      <c r="H2663" s="68">
        <v>40764</v>
      </c>
      <c r="I2663" s="67" t="s">
        <v>148</v>
      </c>
    </row>
    <row r="2664" spans="1:9" x14ac:dyDescent="0.25">
      <c r="B2664" s="67" t="s">
        <v>3743</v>
      </c>
      <c r="C2664" s="67">
        <v>0</v>
      </c>
      <c r="D2664" s="67">
        <v>0</v>
      </c>
      <c r="E2664" s="67">
        <v>83900.45</v>
      </c>
      <c r="H2664" s="67" t="s">
        <v>146</v>
      </c>
    </row>
    <row r="2666" spans="1:9" x14ac:dyDescent="0.25">
      <c r="A2666" s="67" t="s">
        <v>3742</v>
      </c>
      <c r="B2666" s="67" t="s">
        <v>3741</v>
      </c>
      <c r="C2666" s="67">
        <v>0</v>
      </c>
      <c r="D2666" s="67">
        <v>0</v>
      </c>
      <c r="E2666" s="67">
        <v>83900.41</v>
      </c>
      <c r="F2666" s="67">
        <v>25250</v>
      </c>
      <c r="H2666" s="68">
        <v>40764</v>
      </c>
      <c r="I2666" s="67" t="s">
        <v>148</v>
      </c>
    </row>
    <row r="2667" spans="1:9" x14ac:dyDescent="0.25">
      <c r="B2667" s="67" t="s">
        <v>3741</v>
      </c>
      <c r="C2667" s="67">
        <v>0</v>
      </c>
      <c r="D2667" s="67">
        <v>0</v>
      </c>
      <c r="E2667" s="67">
        <v>83900.45</v>
      </c>
      <c r="H2667" s="67" t="s">
        <v>146</v>
      </c>
    </row>
    <row r="2669" spans="1:9" x14ac:dyDescent="0.25">
      <c r="A2669" s="67" t="s">
        <v>3740</v>
      </c>
      <c r="B2669" s="67" t="s">
        <v>3739</v>
      </c>
      <c r="C2669" s="67">
        <v>0</v>
      </c>
      <c r="D2669" s="67">
        <v>0</v>
      </c>
      <c r="E2669" s="67">
        <v>83900.41</v>
      </c>
      <c r="F2669" s="67">
        <v>25250</v>
      </c>
      <c r="H2669" s="68">
        <v>40764</v>
      </c>
      <c r="I2669" s="67" t="s">
        <v>148</v>
      </c>
    </row>
    <row r="2670" spans="1:9" x14ac:dyDescent="0.25">
      <c r="B2670" s="67" t="s">
        <v>3739</v>
      </c>
      <c r="C2670" s="67">
        <v>0</v>
      </c>
      <c r="D2670" s="67">
        <v>0</v>
      </c>
      <c r="E2670" s="67">
        <v>83900.45</v>
      </c>
      <c r="H2670" s="67" t="s">
        <v>146</v>
      </c>
    </row>
    <row r="2672" spans="1:9" x14ac:dyDescent="0.25">
      <c r="A2672" s="67" t="s">
        <v>3738</v>
      </c>
      <c r="B2672" s="67" t="s">
        <v>3737</v>
      </c>
      <c r="C2672" s="67">
        <v>0</v>
      </c>
      <c r="D2672" s="67">
        <v>0</v>
      </c>
      <c r="E2672" s="67">
        <v>83900.41</v>
      </c>
      <c r="F2672" s="67">
        <v>25250</v>
      </c>
      <c r="H2672" s="68">
        <v>40764</v>
      </c>
      <c r="I2672" s="67" t="s">
        <v>148</v>
      </c>
    </row>
    <row r="2673" spans="1:9" x14ac:dyDescent="0.25">
      <c r="B2673" s="67" t="s">
        <v>3737</v>
      </c>
      <c r="C2673" s="67">
        <v>0</v>
      </c>
      <c r="D2673" s="67">
        <v>0</v>
      </c>
      <c r="E2673" s="67">
        <v>83900.45</v>
      </c>
      <c r="H2673" s="67" t="s">
        <v>146</v>
      </c>
    </row>
    <row r="2674" spans="1:9" x14ac:dyDescent="0.25">
      <c r="A2674" s="67" t="s">
        <v>233</v>
      </c>
    </row>
    <row r="2676" spans="1:9" x14ac:dyDescent="0.25">
      <c r="A2676" s="67" t="s">
        <v>232</v>
      </c>
      <c r="D2676" s="67" t="s">
        <v>231</v>
      </c>
      <c r="H2676" s="67" t="s">
        <v>148</v>
      </c>
      <c r="I2676" s="67" t="s">
        <v>230</v>
      </c>
    </row>
    <row r="2677" spans="1:9" x14ac:dyDescent="0.25">
      <c r="A2677" s="67">
        <v>41.1</v>
      </c>
      <c r="C2677" s="67" t="s">
        <v>215</v>
      </c>
      <c r="D2677" s="67" t="s">
        <v>229</v>
      </c>
      <c r="H2677" s="70">
        <v>44771</v>
      </c>
      <c r="I2677" s="69">
        <v>0.56736111111111109</v>
      </c>
    </row>
    <row r="2678" spans="1:9" x14ac:dyDescent="0.25">
      <c r="A2678" s="67" t="s">
        <v>228</v>
      </c>
      <c r="C2678" s="67" t="s">
        <v>227</v>
      </c>
      <c r="D2678" s="67" t="s">
        <v>226</v>
      </c>
      <c r="E2678" s="67">
        <v>589</v>
      </c>
      <c r="H2678" s="67" t="s">
        <v>225</v>
      </c>
      <c r="I2678" s="67">
        <v>48</v>
      </c>
    </row>
    <row r="2679" spans="1:9" x14ac:dyDescent="0.25">
      <c r="A2679" s="67" t="s">
        <v>884</v>
      </c>
    </row>
    <row r="2680" spans="1:9" x14ac:dyDescent="0.25">
      <c r="A2680" s="67" t="s">
        <v>223</v>
      </c>
      <c r="B2680" s="67" t="s">
        <v>222</v>
      </c>
      <c r="C2680" s="67" t="s">
        <v>221</v>
      </c>
      <c r="D2680" s="67" t="s">
        <v>220</v>
      </c>
      <c r="E2680" s="67" t="s">
        <v>219</v>
      </c>
      <c r="F2680" s="67" t="s">
        <v>217</v>
      </c>
      <c r="G2680" s="67" t="s">
        <v>218</v>
      </c>
      <c r="H2680" s="67" t="s">
        <v>217</v>
      </c>
      <c r="I2680" s="67" t="s">
        <v>216</v>
      </c>
    </row>
    <row r="2681" spans="1:9" x14ac:dyDescent="0.25">
      <c r="A2681" s="67" t="s">
        <v>215</v>
      </c>
      <c r="B2681" s="67" t="s">
        <v>214</v>
      </c>
      <c r="C2681" s="67" t="s">
        <v>213</v>
      </c>
      <c r="D2681" s="67" t="s">
        <v>212</v>
      </c>
      <c r="E2681" s="67" t="s">
        <v>211</v>
      </c>
      <c r="F2681" s="67" t="s">
        <v>210</v>
      </c>
      <c r="G2681" s="67" t="s">
        <v>209</v>
      </c>
      <c r="H2681" s="67" t="s">
        <v>208</v>
      </c>
      <c r="I2681" s="67" t="s">
        <v>207</v>
      </c>
    </row>
    <row r="2682" spans="1:9" x14ac:dyDescent="0.25">
      <c r="A2682" s="67" t="s">
        <v>206</v>
      </c>
      <c r="B2682" s="67" t="s">
        <v>205</v>
      </c>
      <c r="C2682" s="67" t="s">
        <v>204</v>
      </c>
      <c r="D2682" s="67" t="s">
        <v>203</v>
      </c>
      <c r="E2682" s="67" t="s">
        <v>202</v>
      </c>
      <c r="F2682" s="67" t="s">
        <v>201</v>
      </c>
      <c r="G2682" s="67" t="s">
        <v>200</v>
      </c>
      <c r="H2682" s="67" t="s">
        <v>199</v>
      </c>
    </row>
    <row r="2683" spans="1:9" x14ac:dyDescent="0.25">
      <c r="A2683" s="67" t="s">
        <v>3736</v>
      </c>
      <c r="B2683" s="67" t="s">
        <v>3735</v>
      </c>
      <c r="C2683" s="67">
        <v>0</v>
      </c>
      <c r="D2683" s="67">
        <v>0</v>
      </c>
      <c r="E2683" s="67">
        <v>83900.41</v>
      </c>
      <c r="F2683" s="67">
        <v>25250</v>
      </c>
      <c r="H2683" s="68">
        <v>40764</v>
      </c>
      <c r="I2683" s="67" t="s">
        <v>148</v>
      </c>
    </row>
    <row r="2684" spans="1:9" x14ac:dyDescent="0.25">
      <c r="B2684" s="67" t="s">
        <v>3735</v>
      </c>
      <c r="C2684" s="67">
        <v>0</v>
      </c>
      <c r="D2684" s="67">
        <v>0</v>
      </c>
      <c r="E2684" s="67">
        <v>83900.45</v>
      </c>
      <c r="H2684" s="67" t="s">
        <v>146</v>
      </c>
    </row>
    <row r="2686" spans="1:9" x14ac:dyDescent="0.25">
      <c r="A2686" s="67" t="s">
        <v>3734</v>
      </c>
      <c r="B2686" s="67" t="s">
        <v>3733</v>
      </c>
      <c r="C2686" s="67">
        <v>0</v>
      </c>
      <c r="D2686" s="67">
        <v>0</v>
      </c>
      <c r="E2686" s="67">
        <v>83900.41</v>
      </c>
      <c r="F2686" s="67">
        <v>25250</v>
      </c>
      <c r="H2686" s="68">
        <v>40764</v>
      </c>
      <c r="I2686" s="67" t="s">
        <v>148</v>
      </c>
    </row>
    <row r="2687" spans="1:9" x14ac:dyDescent="0.25">
      <c r="B2687" s="67" t="s">
        <v>3733</v>
      </c>
      <c r="C2687" s="67">
        <v>0</v>
      </c>
      <c r="D2687" s="67">
        <v>0</v>
      </c>
      <c r="E2687" s="67">
        <v>83900.45</v>
      </c>
      <c r="H2687" s="67" t="s">
        <v>146</v>
      </c>
    </row>
    <row r="2689" spans="1:9" x14ac:dyDescent="0.25">
      <c r="A2689" s="67" t="s">
        <v>3732</v>
      </c>
      <c r="B2689" s="67" t="s">
        <v>3731</v>
      </c>
      <c r="C2689" s="67">
        <v>0</v>
      </c>
      <c r="D2689" s="67">
        <v>0</v>
      </c>
      <c r="E2689" s="67">
        <v>83900.41</v>
      </c>
      <c r="F2689" s="67">
        <v>25250</v>
      </c>
      <c r="H2689" s="68">
        <v>40764</v>
      </c>
      <c r="I2689" s="67" t="s">
        <v>148</v>
      </c>
    </row>
    <row r="2690" spans="1:9" x14ac:dyDescent="0.25">
      <c r="B2690" s="67" t="s">
        <v>3731</v>
      </c>
      <c r="C2690" s="67">
        <v>0</v>
      </c>
      <c r="D2690" s="67">
        <v>0</v>
      </c>
      <c r="E2690" s="67">
        <v>83900.45</v>
      </c>
      <c r="H2690" s="67" t="s">
        <v>146</v>
      </c>
    </row>
    <row r="2692" spans="1:9" x14ac:dyDescent="0.25">
      <c r="A2692" s="67" t="s">
        <v>3730</v>
      </c>
      <c r="B2692" s="67" t="s">
        <v>3729</v>
      </c>
      <c r="C2692" s="67">
        <v>0</v>
      </c>
      <c r="D2692" s="67">
        <v>0</v>
      </c>
      <c r="E2692" s="67">
        <v>83900.41</v>
      </c>
      <c r="F2692" s="67">
        <v>25250</v>
      </c>
      <c r="H2692" s="68">
        <v>40764</v>
      </c>
      <c r="I2692" s="67" t="s">
        <v>148</v>
      </c>
    </row>
    <row r="2693" spans="1:9" x14ac:dyDescent="0.25">
      <c r="B2693" s="67" t="s">
        <v>3729</v>
      </c>
      <c r="C2693" s="67">
        <v>0</v>
      </c>
      <c r="D2693" s="67">
        <v>0</v>
      </c>
      <c r="E2693" s="67">
        <v>83900.45</v>
      </c>
      <c r="H2693" s="67" t="s">
        <v>146</v>
      </c>
    </row>
    <row r="2695" spans="1:9" x14ac:dyDescent="0.25">
      <c r="A2695" s="67" t="s">
        <v>3728</v>
      </c>
      <c r="B2695" s="67" t="s">
        <v>3727</v>
      </c>
      <c r="C2695" s="67">
        <v>0</v>
      </c>
      <c r="D2695" s="67">
        <v>0</v>
      </c>
      <c r="E2695" s="67">
        <v>83900.41</v>
      </c>
      <c r="F2695" s="67">
        <v>25250</v>
      </c>
      <c r="H2695" s="68">
        <v>40764</v>
      </c>
      <c r="I2695" s="67" t="s">
        <v>148</v>
      </c>
    </row>
    <row r="2696" spans="1:9" x14ac:dyDescent="0.25">
      <c r="B2696" s="67" t="s">
        <v>3727</v>
      </c>
      <c r="C2696" s="67">
        <v>0</v>
      </c>
      <c r="D2696" s="67">
        <v>0</v>
      </c>
      <c r="E2696" s="67">
        <v>83900.45</v>
      </c>
      <c r="H2696" s="67" t="s">
        <v>146</v>
      </c>
    </row>
    <row r="2698" spans="1:9" x14ac:dyDescent="0.25">
      <c r="A2698" s="67" t="s">
        <v>3726</v>
      </c>
      <c r="B2698" s="67" t="s">
        <v>3725</v>
      </c>
      <c r="C2698" s="67">
        <v>0</v>
      </c>
      <c r="D2698" s="67">
        <v>0</v>
      </c>
      <c r="E2698" s="67">
        <v>83900.41</v>
      </c>
      <c r="F2698" s="67">
        <v>25250</v>
      </c>
      <c r="H2698" s="68">
        <v>40764</v>
      </c>
      <c r="I2698" s="67" t="s">
        <v>148</v>
      </c>
    </row>
    <row r="2699" spans="1:9" x14ac:dyDescent="0.25">
      <c r="B2699" s="67" t="s">
        <v>3725</v>
      </c>
      <c r="C2699" s="67">
        <v>0</v>
      </c>
      <c r="D2699" s="67">
        <v>0</v>
      </c>
      <c r="E2699" s="67">
        <v>83900.45</v>
      </c>
      <c r="H2699" s="67" t="s">
        <v>146</v>
      </c>
    </row>
    <row r="2701" spans="1:9" x14ac:dyDescent="0.25">
      <c r="A2701" s="67" t="s">
        <v>3724</v>
      </c>
      <c r="B2701" s="67" t="s">
        <v>3723</v>
      </c>
      <c r="C2701" s="67">
        <v>0</v>
      </c>
      <c r="D2701" s="67">
        <v>0</v>
      </c>
      <c r="E2701" s="67">
        <v>83900.41</v>
      </c>
      <c r="F2701" s="67">
        <v>25250</v>
      </c>
      <c r="H2701" s="68">
        <v>40764</v>
      </c>
      <c r="I2701" s="67" t="s">
        <v>148</v>
      </c>
    </row>
    <row r="2702" spans="1:9" x14ac:dyDescent="0.25">
      <c r="B2702" s="67" t="s">
        <v>3723</v>
      </c>
      <c r="C2702" s="67">
        <v>0</v>
      </c>
      <c r="D2702" s="67">
        <v>0</v>
      </c>
      <c r="E2702" s="67">
        <v>83900.45</v>
      </c>
      <c r="H2702" s="67" t="s">
        <v>146</v>
      </c>
    </row>
    <row r="2704" spans="1:9" x14ac:dyDescent="0.25">
      <c r="A2704" s="67" t="s">
        <v>3722</v>
      </c>
      <c r="B2704" s="67" t="s">
        <v>3721</v>
      </c>
      <c r="C2704" s="67">
        <v>0</v>
      </c>
      <c r="D2704" s="67">
        <v>0</v>
      </c>
      <c r="E2704" s="67">
        <v>83900.41</v>
      </c>
      <c r="F2704" s="67">
        <v>25250</v>
      </c>
      <c r="H2704" s="68">
        <v>40764</v>
      </c>
      <c r="I2704" s="67" t="s">
        <v>148</v>
      </c>
    </row>
    <row r="2705" spans="1:9" x14ac:dyDescent="0.25">
      <c r="B2705" s="67" t="s">
        <v>3721</v>
      </c>
      <c r="C2705" s="67">
        <v>0</v>
      </c>
      <c r="D2705" s="67">
        <v>0</v>
      </c>
      <c r="E2705" s="67">
        <v>83900.45</v>
      </c>
      <c r="H2705" s="67" t="s">
        <v>146</v>
      </c>
    </row>
    <row r="2707" spans="1:9" x14ac:dyDescent="0.25">
      <c r="A2707" s="67" t="s">
        <v>3720</v>
      </c>
      <c r="B2707" s="67" t="s">
        <v>3719</v>
      </c>
      <c r="C2707" s="67">
        <v>0</v>
      </c>
      <c r="D2707" s="67">
        <v>0</v>
      </c>
      <c r="E2707" s="67">
        <v>83900.41</v>
      </c>
      <c r="F2707" s="67">
        <v>25250</v>
      </c>
      <c r="H2707" s="68">
        <v>40764</v>
      </c>
      <c r="I2707" s="67" t="s">
        <v>148</v>
      </c>
    </row>
    <row r="2708" spans="1:9" x14ac:dyDescent="0.25">
      <c r="B2708" s="67" t="s">
        <v>3719</v>
      </c>
      <c r="C2708" s="67">
        <v>0</v>
      </c>
      <c r="D2708" s="67">
        <v>0</v>
      </c>
      <c r="E2708" s="67">
        <v>83900.45</v>
      </c>
      <c r="H2708" s="67" t="s">
        <v>146</v>
      </c>
    </row>
    <row r="2710" spans="1:9" x14ac:dyDescent="0.25">
      <c r="A2710" s="67" t="s">
        <v>3718</v>
      </c>
      <c r="B2710" s="67" t="s">
        <v>3717</v>
      </c>
      <c r="C2710" s="67">
        <v>0</v>
      </c>
      <c r="D2710" s="67">
        <v>0</v>
      </c>
      <c r="E2710" s="67">
        <v>83900.41</v>
      </c>
      <c r="F2710" s="67">
        <v>25250</v>
      </c>
      <c r="H2710" s="68">
        <v>40764</v>
      </c>
      <c r="I2710" s="67" t="s">
        <v>148</v>
      </c>
    </row>
    <row r="2711" spans="1:9" x14ac:dyDescent="0.25">
      <c r="B2711" s="67" t="s">
        <v>3717</v>
      </c>
      <c r="C2711" s="67">
        <v>0</v>
      </c>
      <c r="D2711" s="67">
        <v>0</v>
      </c>
      <c r="E2711" s="67">
        <v>83900.45</v>
      </c>
      <c r="H2711" s="67" t="s">
        <v>146</v>
      </c>
    </row>
    <row r="2713" spans="1:9" x14ac:dyDescent="0.25">
      <c r="A2713" s="67" t="s">
        <v>3716</v>
      </c>
      <c r="B2713" s="67" t="s">
        <v>3715</v>
      </c>
      <c r="C2713" s="67">
        <v>0</v>
      </c>
      <c r="D2713" s="67">
        <v>0</v>
      </c>
      <c r="E2713" s="67">
        <v>83900.41</v>
      </c>
      <c r="F2713" s="67">
        <v>25250</v>
      </c>
      <c r="H2713" s="68">
        <v>40764</v>
      </c>
      <c r="I2713" s="67" t="s">
        <v>148</v>
      </c>
    </row>
    <row r="2714" spans="1:9" x14ac:dyDescent="0.25">
      <c r="B2714" s="67" t="s">
        <v>3715</v>
      </c>
      <c r="C2714" s="67">
        <v>0</v>
      </c>
      <c r="D2714" s="67">
        <v>0</v>
      </c>
      <c r="E2714" s="67">
        <v>83900.45</v>
      </c>
      <c r="H2714" s="67" t="s">
        <v>146</v>
      </c>
    </row>
    <row r="2716" spans="1:9" x14ac:dyDescent="0.25">
      <c r="A2716" s="67" t="s">
        <v>3714</v>
      </c>
      <c r="B2716" s="67" t="s">
        <v>3713</v>
      </c>
      <c r="C2716" s="67">
        <v>0</v>
      </c>
      <c r="D2716" s="67">
        <v>0</v>
      </c>
      <c r="E2716" s="67">
        <v>83900.41</v>
      </c>
      <c r="F2716" s="67">
        <v>25250</v>
      </c>
      <c r="H2716" s="68">
        <v>40764</v>
      </c>
      <c r="I2716" s="67" t="s">
        <v>148</v>
      </c>
    </row>
    <row r="2717" spans="1:9" x14ac:dyDescent="0.25">
      <c r="B2717" s="67" t="s">
        <v>3713</v>
      </c>
      <c r="C2717" s="67">
        <v>0</v>
      </c>
      <c r="D2717" s="67">
        <v>0</v>
      </c>
      <c r="E2717" s="67">
        <v>83900.45</v>
      </c>
      <c r="H2717" s="67" t="s">
        <v>146</v>
      </c>
    </row>
    <row r="2719" spans="1:9" x14ac:dyDescent="0.25">
      <c r="A2719" s="67" t="s">
        <v>3712</v>
      </c>
      <c r="B2719" s="67" t="s">
        <v>3711</v>
      </c>
      <c r="C2719" s="67">
        <v>0</v>
      </c>
      <c r="D2719" s="67">
        <v>0</v>
      </c>
      <c r="E2719" s="67">
        <v>83900.41</v>
      </c>
      <c r="F2719" s="67">
        <v>25250</v>
      </c>
      <c r="H2719" s="68">
        <v>40764</v>
      </c>
      <c r="I2719" s="67" t="s">
        <v>148</v>
      </c>
    </row>
    <row r="2720" spans="1:9" x14ac:dyDescent="0.25">
      <c r="B2720" s="67" t="s">
        <v>3711</v>
      </c>
      <c r="C2720" s="67">
        <v>0</v>
      </c>
      <c r="D2720" s="67">
        <v>0</v>
      </c>
      <c r="E2720" s="67">
        <v>83900.45</v>
      </c>
      <c r="H2720" s="67" t="s">
        <v>146</v>
      </c>
    </row>
    <row r="2722" spans="1:9" x14ac:dyDescent="0.25">
      <c r="A2722" s="67" t="s">
        <v>3710</v>
      </c>
      <c r="B2722" s="67" t="s">
        <v>3709</v>
      </c>
      <c r="C2722" s="67">
        <v>0</v>
      </c>
      <c r="D2722" s="67">
        <v>0</v>
      </c>
      <c r="E2722" s="67">
        <v>83900.41</v>
      </c>
      <c r="F2722" s="67">
        <v>25250</v>
      </c>
      <c r="H2722" s="68">
        <v>40764</v>
      </c>
      <c r="I2722" s="67" t="s">
        <v>148</v>
      </c>
    </row>
    <row r="2723" spans="1:9" x14ac:dyDescent="0.25">
      <c r="B2723" s="67" t="s">
        <v>3709</v>
      </c>
      <c r="C2723" s="67">
        <v>0</v>
      </c>
      <c r="D2723" s="67">
        <v>0</v>
      </c>
      <c r="E2723" s="67">
        <v>83900.45</v>
      </c>
      <c r="H2723" s="67" t="s">
        <v>146</v>
      </c>
    </row>
    <row r="2725" spans="1:9" x14ac:dyDescent="0.25">
      <c r="A2725" s="67" t="s">
        <v>3708</v>
      </c>
      <c r="B2725" s="67" t="s">
        <v>3707</v>
      </c>
      <c r="C2725" s="67">
        <v>0</v>
      </c>
      <c r="D2725" s="67">
        <v>0</v>
      </c>
      <c r="E2725" s="67">
        <v>83900.41</v>
      </c>
      <c r="F2725" s="67">
        <v>25250</v>
      </c>
      <c r="H2725" s="68">
        <v>40764</v>
      </c>
      <c r="I2725" s="67" t="s">
        <v>148</v>
      </c>
    </row>
    <row r="2726" spans="1:9" x14ac:dyDescent="0.25">
      <c r="B2726" s="67" t="s">
        <v>3707</v>
      </c>
      <c r="C2726" s="67">
        <v>0</v>
      </c>
      <c r="D2726" s="67">
        <v>0</v>
      </c>
      <c r="E2726" s="67">
        <v>83900.45</v>
      </c>
      <c r="H2726" s="67" t="s">
        <v>146</v>
      </c>
    </row>
    <row r="2728" spans="1:9" x14ac:dyDescent="0.25">
      <c r="A2728" s="67" t="s">
        <v>3706</v>
      </c>
      <c r="B2728" s="67" t="s">
        <v>3705</v>
      </c>
      <c r="C2728" s="67">
        <v>0</v>
      </c>
      <c r="D2728" s="67">
        <v>0</v>
      </c>
      <c r="E2728" s="67">
        <v>83900.41</v>
      </c>
      <c r="F2728" s="67">
        <v>25250</v>
      </c>
      <c r="H2728" s="68">
        <v>40764</v>
      </c>
      <c r="I2728" s="67" t="s">
        <v>148</v>
      </c>
    </row>
    <row r="2729" spans="1:9" x14ac:dyDescent="0.25">
      <c r="B2729" s="67" t="s">
        <v>3705</v>
      </c>
      <c r="C2729" s="67">
        <v>0</v>
      </c>
      <c r="D2729" s="67">
        <v>0</v>
      </c>
      <c r="E2729" s="67">
        <v>83900.45</v>
      </c>
      <c r="H2729" s="67" t="s">
        <v>146</v>
      </c>
    </row>
    <row r="2731" spans="1:9" x14ac:dyDescent="0.25">
      <c r="A2731" s="67" t="s">
        <v>3704</v>
      </c>
      <c r="B2731" s="67" t="s">
        <v>3703</v>
      </c>
      <c r="C2731" s="67">
        <v>0</v>
      </c>
      <c r="D2731" s="67">
        <v>0</v>
      </c>
      <c r="E2731" s="67">
        <v>83900.41</v>
      </c>
      <c r="F2731" s="67">
        <v>25250</v>
      </c>
      <c r="H2731" s="68">
        <v>40764</v>
      </c>
      <c r="I2731" s="67" t="s">
        <v>148</v>
      </c>
    </row>
    <row r="2732" spans="1:9" x14ac:dyDescent="0.25">
      <c r="B2732" s="67" t="s">
        <v>3703</v>
      </c>
      <c r="C2732" s="67">
        <v>0</v>
      </c>
      <c r="D2732" s="67">
        <v>0</v>
      </c>
      <c r="E2732" s="67">
        <v>83900.45</v>
      </c>
      <c r="H2732" s="67" t="s">
        <v>146</v>
      </c>
    </row>
    <row r="2733" spans="1:9" x14ac:dyDescent="0.25">
      <c r="A2733" s="67" t="s">
        <v>233</v>
      </c>
    </row>
    <row r="2735" spans="1:9" x14ac:dyDescent="0.25">
      <c r="A2735" s="67" t="s">
        <v>232</v>
      </c>
      <c r="D2735" s="67" t="s">
        <v>231</v>
      </c>
      <c r="H2735" s="67" t="s">
        <v>148</v>
      </c>
      <c r="I2735" s="67" t="s">
        <v>230</v>
      </c>
    </row>
    <row r="2736" spans="1:9" x14ac:dyDescent="0.25">
      <c r="A2736" s="67">
        <v>41.1</v>
      </c>
      <c r="C2736" s="67" t="s">
        <v>215</v>
      </c>
      <c r="D2736" s="67" t="s">
        <v>229</v>
      </c>
      <c r="H2736" s="70">
        <v>44771</v>
      </c>
      <c r="I2736" s="69">
        <v>0.56736111111111109</v>
      </c>
    </row>
    <row r="2737" spans="1:9" x14ac:dyDescent="0.25">
      <c r="A2737" s="67" t="s">
        <v>228</v>
      </c>
      <c r="C2737" s="67" t="s">
        <v>227</v>
      </c>
      <c r="D2737" s="67" t="s">
        <v>226</v>
      </c>
      <c r="E2737" s="67">
        <v>589</v>
      </c>
      <c r="H2737" s="67" t="s">
        <v>225</v>
      </c>
      <c r="I2737" s="67">
        <v>49</v>
      </c>
    </row>
    <row r="2738" spans="1:9" x14ac:dyDescent="0.25">
      <c r="A2738" s="67" t="s">
        <v>884</v>
      </c>
    </row>
    <row r="2739" spans="1:9" x14ac:dyDescent="0.25">
      <c r="A2739" s="67" t="s">
        <v>223</v>
      </c>
      <c r="B2739" s="67" t="s">
        <v>222</v>
      </c>
      <c r="C2739" s="67" t="s">
        <v>221</v>
      </c>
      <c r="D2739" s="67" t="s">
        <v>220</v>
      </c>
      <c r="E2739" s="67" t="s">
        <v>219</v>
      </c>
      <c r="F2739" s="67" t="s">
        <v>217</v>
      </c>
      <c r="G2739" s="67" t="s">
        <v>218</v>
      </c>
      <c r="H2739" s="67" t="s">
        <v>217</v>
      </c>
      <c r="I2739" s="67" t="s">
        <v>216</v>
      </c>
    </row>
    <row r="2740" spans="1:9" x14ac:dyDescent="0.25">
      <c r="A2740" s="67" t="s">
        <v>215</v>
      </c>
      <c r="B2740" s="67" t="s">
        <v>214</v>
      </c>
      <c r="C2740" s="67" t="s">
        <v>213</v>
      </c>
      <c r="D2740" s="67" t="s">
        <v>212</v>
      </c>
      <c r="E2740" s="67" t="s">
        <v>211</v>
      </c>
      <c r="F2740" s="67" t="s">
        <v>210</v>
      </c>
      <c r="G2740" s="67" t="s">
        <v>209</v>
      </c>
      <c r="H2740" s="67" t="s">
        <v>208</v>
      </c>
      <c r="I2740" s="67" t="s">
        <v>207</v>
      </c>
    </row>
    <row r="2741" spans="1:9" x14ac:dyDescent="0.25">
      <c r="A2741" s="67" t="s">
        <v>206</v>
      </c>
      <c r="B2741" s="67" t="s">
        <v>205</v>
      </c>
      <c r="C2741" s="67" t="s">
        <v>204</v>
      </c>
      <c r="D2741" s="67" t="s">
        <v>203</v>
      </c>
      <c r="E2741" s="67" t="s">
        <v>202</v>
      </c>
      <c r="F2741" s="67" t="s">
        <v>201</v>
      </c>
      <c r="G2741" s="67" t="s">
        <v>200</v>
      </c>
      <c r="H2741" s="67" t="s">
        <v>199</v>
      </c>
    </row>
    <row r="2742" spans="1:9" x14ac:dyDescent="0.25">
      <c r="A2742" s="67" t="s">
        <v>3702</v>
      </c>
      <c r="B2742" s="67" t="s">
        <v>3701</v>
      </c>
      <c r="C2742" s="67">
        <v>0</v>
      </c>
      <c r="D2742" s="67">
        <v>0</v>
      </c>
      <c r="E2742" s="67">
        <v>83900.41</v>
      </c>
      <c r="F2742" s="67">
        <v>25250</v>
      </c>
      <c r="H2742" s="68">
        <v>40764</v>
      </c>
      <c r="I2742" s="67" t="s">
        <v>148</v>
      </c>
    </row>
    <row r="2743" spans="1:9" x14ac:dyDescent="0.25">
      <c r="B2743" s="67" t="s">
        <v>3701</v>
      </c>
      <c r="C2743" s="67">
        <v>0</v>
      </c>
      <c r="D2743" s="67">
        <v>0</v>
      </c>
      <c r="E2743" s="67">
        <v>83900.45</v>
      </c>
      <c r="H2743" s="67" t="s">
        <v>146</v>
      </c>
    </row>
    <row r="2745" spans="1:9" x14ac:dyDescent="0.25">
      <c r="A2745" s="67" t="s">
        <v>3700</v>
      </c>
      <c r="B2745" s="67" t="s">
        <v>3699</v>
      </c>
      <c r="C2745" s="67">
        <v>0</v>
      </c>
      <c r="D2745" s="67">
        <v>0</v>
      </c>
      <c r="E2745" s="67">
        <v>83900.41</v>
      </c>
      <c r="F2745" s="67">
        <v>25250</v>
      </c>
      <c r="H2745" s="68">
        <v>40764</v>
      </c>
      <c r="I2745" s="67" t="s">
        <v>148</v>
      </c>
    </row>
    <row r="2746" spans="1:9" x14ac:dyDescent="0.25">
      <c r="B2746" s="67" t="s">
        <v>3699</v>
      </c>
      <c r="C2746" s="67">
        <v>0</v>
      </c>
      <c r="D2746" s="67">
        <v>0</v>
      </c>
      <c r="E2746" s="67">
        <v>83900.45</v>
      </c>
      <c r="H2746" s="67" t="s">
        <v>146</v>
      </c>
    </row>
    <row r="2748" spans="1:9" x14ac:dyDescent="0.25">
      <c r="A2748" s="67" t="s">
        <v>3698</v>
      </c>
      <c r="B2748" s="67" t="s">
        <v>3697</v>
      </c>
      <c r="C2748" s="67">
        <v>0</v>
      </c>
      <c r="D2748" s="67">
        <v>0</v>
      </c>
      <c r="E2748" s="67">
        <v>83900.41</v>
      </c>
      <c r="F2748" s="67">
        <v>25250</v>
      </c>
      <c r="H2748" s="68">
        <v>40764</v>
      </c>
      <c r="I2748" s="67" t="s">
        <v>148</v>
      </c>
    </row>
    <row r="2749" spans="1:9" x14ac:dyDescent="0.25">
      <c r="B2749" s="67" t="s">
        <v>3697</v>
      </c>
      <c r="C2749" s="67">
        <v>0</v>
      </c>
      <c r="D2749" s="67">
        <v>0</v>
      </c>
      <c r="E2749" s="67">
        <v>83900.45</v>
      </c>
      <c r="H2749" s="67" t="s">
        <v>146</v>
      </c>
    </row>
    <row r="2751" spans="1:9" x14ac:dyDescent="0.25">
      <c r="A2751" s="67" t="s">
        <v>3696</v>
      </c>
      <c r="B2751" s="67" t="s">
        <v>3695</v>
      </c>
      <c r="C2751" s="67">
        <v>0</v>
      </c>
      <c r="D2751" s="67">
        <v>0</v>
      </c>
      <c r="E2751" s="67">
        <v>83900.41</v>
      </c>
      <c r="F2751" s="67">
        <v>25250</v>
      </c>
      <c r="H2751" s="68">
        <v>40764</v>
      </c>
      <c r="I2751" s="67" t="s">
        <v>148</v>
      </c>
    </row>
    <row r="2752" spans="1:9" x14ac:dyDescent="0.25">
      <c r="B2752" s="67" t="s">
        <v>3695</v>
      </c>
      <c r="C2752" s="67">
        <v>0</v>
      </c>
      <c r="D2752" s="67">
        <v>0</v>
      </c>
      <c r="E2752" s="67">
        <v>83900.45</v>
      </c>
      <c r="H2752" s="67" t="s">
        <v>146</v>
      </c>
    </row>
    <row r="2754" spans="1:9" x14ac:dyDescent="0.25">
      <c r="A2754" s="67" t="s">
        <v>3694</v>
      </c>
      <c r="B2754" s="67" t="s">
        <v>3688</v>
      </c>
      <c r="C2754" s="67">
        <v>0</v>
      </c>
      <c r="D2754" s="67">
        <v>0</v>
      </c>
      <c r="E2754" s="67">
        <v>83900.41</v>
      </c>
      <c r="F2754" s="67">
        <v>25250</v>
      </c>
      <c r="H2754" s="68">
        <v>40764</v>
      </c>
      <c r="I2754" s="67" t="s">
        <v>148</v>
      </c>
    </row>
    <row r="2755" spans="1:9" x14ac:dyDescent="0.25">
      <c r="B2755" s="67" t="s">
        <v>3688</v>
      </c>
      <c r="C2755" s="67">
        <v>0</v>
      </c>
      <c r="D2755" s="67">
        <v>0</v>
      </c>
      <c r="E2755" s="67">
        <v>83900.45</v>
      </c>
      <c r="H2755" s="67" t="s">
        <v>146</v>
      </c>
    </row>
    <row r="2757" spans="1:9" x14ac:dyDescent="0.25">
      <c r="A2757" s="67" t="s">
        <v>3693</v>
      </c>
      <c r="B2757" s="67" t="s">
        <v>3692</v>
      </c>
      <c r="C2757" s="67">
        <v>0</v>
      </c>
      <c r="D2757" s="67">
        <v>0</v>
      </c>
      <c r="E2757" s="67">
        <v>83900.41</v>
      </c>
      <c r="F2757" s="67">
        <v>25250</v>
      </c>
      <c r="H2757" s="68">
        <v>40764</v>
      </c>
      <c r="I2757" s="67" t="s">
        <v>148</v>
      </c>
    </row>
    <row r="2758" spans="1:9" x14ac:dyDescent="0.25">
      <c r="B2758" s="67" t="s">
        <v>3692</v>
      </c>
      <c r="C2758" s="67">
        <v>0</v>
      </c>
      <c r="D2758" s="67">
        <v>0</v>
      </c>
      <c r="E2758" s="67">
        <v>83900.45</v>
      </c>
      <c r="H2758" s="67" t="s">
        <v>146</v>
      </c>
    </row>
    <row r="2760" spans="1:9" x14ac:dyDescent="0.25">
      <c r="A2760" s="67" t="s">
        <v>3691</v>
      </c>
      <c r="B2760" s="67" t="s">
        <v>3690</v>
      </c>
      <c r="C2760" s="67">
        <v>0</v>
      </c>
      <c r="D2760" s="67">
        <v>0</v>
      </c>
      <c r="E2760" s="67">
        <v>83900.41</v>
      </c>
      <c r="F2760" s="67">
        <v>25250</v>
      </c>
      <c r="H2760" s="68">
        <v>40764</v>
      </c>
      <c r="I2760" s="67" t="s">
        <v>148</v>
      </c>
    </row>
    <row r="2761" spans="1:9" x14ac:dyDescent="0.25">
      <c r="B2761" s="67" t="s">
        <v>3690</v>
      </c>
      <c r="C2761" s="67">
        <v>0</v>
      </c>
      <c r="D2761" s="67">
        <v>0</v>
      </c>
      <c r="E2761" s="67">
        <v>83900.45</v>
      </c>
      <c r="H2761" s="67" t="s">
        <v>146</v>
      </c>
    </row>
    <row r="2763" spans="1:9" x14ac:dyDescent="0.25">
      <c r="A2763" s="67" t="s">
        <v>3689</v>
      </c>
      <c r="B2763" s="67" t="s">
        <v>3688</v>
      </c>
      <c r="C2763" s="67">
        <v>0</v>
      </c>
      <c r="D2763" s="67">
        <v>0</v>
      </c>
      <c r="E2763" s="67">
        <v>83900.41</v>
      </c>
      <c r="F2763" s="67">
        <v>25250</v>
      </c>
      <c r="H2763" s="68">
        <v>40764</v>
      </c>
      <c r="I2763" s="67" t="s">
        <v>148</v>
      </c>
    </row>
    <row r="2764" spans="1:9" x14ac:dyDescent="0.25">
      <c r="B2764" s="67" t="s">
        <v>3688</v>
      </c>
      <c r="C2764" s="67">
        <v>0</v>
      </c>
      <c r="D2764" s="67">
        <v>0</v>
      </c>
      <c r="E2764" s="67">
        <v>83900.45</v>
      </c>
      <c r="H2764" s="67" t="s">
        <v>146</v>
      </c>
    </row>
    <row r="2766" spans="1:9" x14ac:dyDescent="0.25">
      <c r="A2766" s="67" t="s">
        <v>3687</v>
      </c>
      <c r="B2766" s="67" t="s">
        <v>3686</v>
      </c>
      <c r="C2766" s="67">
        <v>0</v>
      </c>
      <c r="D2766" s="67">
        <v>0</v>
      </c>
      <c r="E2766" s="67">
        <v>83900.41</v>
      </c>
      <c r="F2766" s="67">
        <v>25250</v>
      </c>
      <c r="H2766" s="68">
        <v>40764</v>
      </c>
      <c r="I2766" s="67" t="s">
        <v>148</v>
      </c>
    </row>
    <row r="2767" spans="1:9" x14ac:dyDescent="0.25">
      <c r="B2767" s="67" t="s">
        <v>3686</v>
      </c>
      <c r="C2767" s="67">
        <v>0</v>
      </c>
      <c r="D2767" s="67">
        <v>0</v>
      </c>
      <c r="E2767" s="67">
        <v>83900.45</v>
      </c>
      <c r="H2767" s="67" t="s">
        <v>146</v>
      </c>
    </row>
    <row r="2769" spans="1:9" x14ac:dyDescent="0.25">
      <c r="A2769" s="67" t="s">
        <v>3685</v>
      </c>
      <c r="B2769" s="67" t="s">
        <v>3684</v>
      </c>
      <c r="C2769" s="67">
        <v>0</v>
      </c>
      <c r="D2769" s="67">
        <v>0</v>
      </c>
      <c r="E2769" s="67">
        <v>83900.41</v>
      </c>
      <c r="F2769" s="67">
        <v>25250</v>
      </c>
      <c r="H2769" s="68">
        <v>40764</v>
      </c>
      <c r="I2769" s="67" t="s">
        <v>148</v>
      </c>
    </row>
    <row r="2770" spans="1:9" x14ac:dyDescent="0.25">
      <c r="B2770" s="67" t="s">
        <v>3684</v>
      </c>
      <c r="C2770" s="67">
        <v>0</v>
      </c>
      <c r="D2770" s="67">
        <v>0</v>
      </c>
      <c r="E2770" s="67">
        <v>83900.45</v>
      </c>
      <c r="H2770" s="67" t="s">
        <v>146</v>
      </c>
    </row>
    <row r="2772" spans="1:9" x14ac:dyDescent="0.25">
      <c r="A2772" s="67" t="s">
        <v>3683</v>
      </c>
      <c r="B2772" s="67" t="s">
        <v>3682</v>
      </c>
      <c r="C2772" s="67">
        <v>0</v>
      </c>
      <c r="D2772" s="67">
        <v>0</v>
      </c>
      <c r="E2772" s="67">
        <v>83900.41</v>
      </c>
      <c r="F2772" s="67">
        <v>25250</v>
      </c>
      <c r="H2772" s="68">
        <v>40764</v>
      </c>
      <c r="I2772" s="67" t="s">
        <v>148</v>
      </c>
    </row>
    <row r="2773" spans="1:9" x14ac:dyDescent="0.25">
      <c r="B2773" s="67" t="s">
        <v>3682</v>
      </c>
      <c r="C2773" s="67">
        <v>0</v>
      </c>
      <c r="D2773" s="67">
        <v>0</v>
      </c>
      <c r="E2773" s="67">
        <v>83900.45</v>
      </c>
      <c r="H2773" s="67" t="s">
        <v>146</v>
      </c>
    </row>
    <row r="2775" spans="1:9" x14ac:dyDescent="0.25">
      <c r="A2775" s="67" t="s">
        <v>3681</v>
      </c>
      <c r="B2775" s="67" t="s">
        <v>3680</v>
      </c>
      <c r="C2775" s="67">
        <v>0</v>
      </c>
      <c r="D2775" s="67">
        <v>0</v>
      </c>
      <c r="E2775" s="67">
        <v>83900.41</v>
      </c>
      <c r="F2775" s="67">
        <v>25250</v>
      </c>
      <c r="H2775" s="68">
        <v>40764</v>
      </c>
      <c r="I2775" s="67" t="s">
        <v>148</v>
      </c>
    </row>
    <row r="2776" spans="1:9" x14ac:dyDescent="0.25">
      <c r="B2776" s="67" t="s">
        <v>3680</v>
      </c>
      <c r="C2776" s="67">
        <v>0</v>
      </c>
      <c r="D2776" s="67">
        <v>0</v>
      </c>
      <c r="E2776" s="67">
        <v>83900.45</v>
      </c>
      <c r="H2776" s="67" t="s">
        <v>146</v>
      </c>
    </row>
    <row r="2778" spans="1:9" x14ac:dyDescent="0.25">
      <c r="A2778" s="67" t="s">
        <v>3679</v>
      </c>
      <c r="B2778" s="67" t="s">
        <v>3678</v>
      </c>
      <c r="C2778" s="67">
        <v>0</v>
      </c>
      <c r="D2778" s="67">
        <v>0</v>
      </c>
      <c r="E2778" s="67">
        <v>83900.41</v>
      </c>
      <c r="F2778" s="67">
        <v>25250</v>
      </c>
      <c r="H2778" s="68">
        <v>40764</v>
      </c>
      <c r="I2778" s="67" t="s">
        <v>148</v>
      </c>
    </row>
    <row r="2779" spans="1:9" x14ac:dyDescent="0.25">
      <c r="B2779" s="67" t="s">
        <v>3678</v>
      </c>
      <c r="C2779" s="67">
        <v>0</v>
      </c>
      <c r="D2779" s="67">
        <v>0</v>
      </c>
      <c r="E2779" s="67">
        <v>83900.45</v>
      </c>
      <c r="H2779" s="67" t="s">
        <v>146</v>
      </c>
    </row>
    <row r="2781" spans="1:9" x14ac:dyDescent="0.25">
      <c r="A2781" s="67" t="s">
        <v>3677</v>
      </c>
      <c r="B2781" s="67" t="s">
        <v>3676</v>
      </c>
      <c r="C2781" s="67">
        <v>0</v>
      </c>
      <c r="D2781" s="67">
        <v>0</v>
      </c>
      <c r="E2781" s="67">
        <v>83900.41</v>
      </c>
      <c r="F2781" s="67">
        <v>25250</v>
      </c>
      <c r="H2781" s="68">
        <v>40764</v>
      </c>
      <c r="I2781" s="67" t="s">
        <v>148</v>
      </c>
    </row>
    <row r="2782" spans="1:9" x14ac:dyDescent="0.25">
      <c r="B2782" s="67" t="s">
        <v>3676</v>
      </c>
      <c r="C2782" s="67">
        <v>0</v>
      </c>
      <c r="D2782" s="67">
        <v>0</v>
      </c>
      <c r="E2782" s="67">
        <v>83900.45</v>
      </c>
      <c r="H2782" s="67" t="s">
        <v>146</v>
      </c>
    </row>
    <row r="2784" spans="1:9" x14ac:dyDescent="0.25">
      <c r="A2784" s="67" t="s">
        <v>3675</v>
      </c>
      <c r="B2784" s="67" t="s">
        <v>3674</v>
      </c>
      <c r="C2784" s="67">
        <v>0</v>
      </c>
      <c r="D2784" s="67">
        <v>0</v>
      </c>
      <c r="E2784" s="67">
        <v>83900.41</v>
      </c>
      <c r="F2784" s="67">
        <v>25250</v>
      </c>
      <c r="H2784" s="68">
        <v>40764</v>
      </c>
      <c r="I2784" s="67" t="s">
        <v>148</v>
      </c>
    </row>
    <row r="2785" spans="1:9" x14ac:dyDescent="0.25">
      <c r="B2785" s="67" t="s">
        <v>3674</v>
      </c>
      <c r="C2785" s="67">
        <v>0</v>
      </c>
      <c r="D2785" s="67">
        <v>0</v>
      </c>
      <c r="E2785" s="67">
        <v>83900.45</v>
      </c>
      <c r="H2785" s="67" t="s">
        <v>146</v>
      </c>
    </row>
    <row r="2787" spans="1:9" x14ac:dyDescent="0.25">
      <c r="A2787" s="67" t="s">
        <v>3673</v>
      </c>
      <c r="B2787" s="67" t="s">
        <v>3672</v>
      </c>
      <c r="C2787" s="67">
        <v>0</v>
      </c>
      <c r="D2787" s="67">
        <v>0</v>
      </c>
      <c r="E2787" s="67">
        <v>83900.41</v>
      </c>
      <c r="F2787" s="67">
        <v>25250</v>
      </c>
      <c r="H2787" s="68">
        <v>40764</v>
      </c>
      <c r="I2787" s="67" t="s">
        <v>148</v>
      </c>
    </row>
    <row r="2788" spans="1:9" x14ac:dyDescent="0.25">
      <c r="B2788" s="67" t="s">
        <v>3672</v>
      </c>
      <c r="C2788" s="67">
        <v>0</v>
      </c>
      <c r="D2788" s="67">
        <v>0</v>
      </c>
      <c r="E2788" s="67">
        <v>83900.45</v>
      </c>
      <c r="H2788" s="67" t="s">
        <v>146</v>
      </c>
    </row>
    <row r="2790" spans="1:9" x14ac:dyDescent="0.25">
      <c r="A2790" s="67" t="s">
        <v>3671</v>
      </c>
      <c r="B2790" s="67" t="s">
        <v>3670</v>
      </c>
      <c r="C2790" s="67">
        <v>0</v>
      </c>
      <c r="D2790" s="67">
        <v>0</v>
      </c>
      <c r="E2790" s="67">
        <v>83900.41</v>
      </c>
      <c r="F2790" s="67">
        <v>25250</v>
      </c>
      <c r="H2790" s="68">
        <v>40764</v>
      </c>
      <c r="I2790" s="67" t="s">
        <v>148</v>
      </c>
    </row>
    <row r="2791" spans="1:9" x14ac:dyDescent="0.25">
      <c r="B2791" s="67" t="s">
        <v>3670</v>
      </c>
      <c r="C2791" s="67">
        <v>0</v>
      </c>
      <c r="D2791" s="67">
        <v>0</v>
      </c>
      <c r="E2791" s="67">
        <v>83900.45</v>
      </c>
      <c r="H2791" s="67" t="s">
        <v>146</v>
      </c>
    </row>
    <row r="2792" spans="1:9" x14ac:dyDescent="0.25">
      <c r="A2792" s="67" t="s">
        <v>233</v>
      </c>
    </row>
    <row r="2794" spans="1:9" x14ac:dyDescent="0.25">
      <c r="A2794" s="67" t="s">
        <v>232</v>
      </c>
      <c r="D2794" s="67" t="s">
        <v>231</v>
      </c>
      <c r="H2794" s="67" t="s">
        <v>148</v>
      </c>
      <c r="I2794" s="67" t="s">
        <v>230</v>
      </c>
    </row>
    <row r="2795" spans="1:9" x14ac:dyDescent="0.25">
      <c r="A2795" s="67">
        <v>41.1</v>
      </c>
      <c r="C2795" s="67" t="s">
        <v>215</v>
      </c>
      <c r="D2795" s="67" t="s">
        <v>229</v>
      </c>
      <c r="H2795" s="70">
        <v>44771</v>
      </c>
      <c r="I2795" s="69">
        <v>0.56736111111111109</v>
      </c>
    </row>
    <row r="2796" spans="1:9" x14ac:dyDescent="0.25">
      <c r="A2796" s="67" t="s">
        <v>228</v>
      </c>
      <c r="C2796" s="67" t="s">
        <v>227</v>
      </c>
      <c r="D2796" s="67" t="s">
        <v>226</v>
      </c>
      <c r="E2796" s="67">
        <v>589</v>
      </c>
      <c r="H2796" s="67" t="s">
        <v>225</v>
      </c>
      <c r="I2796" s="67">
        <v>50</v>
      </c>
    </row>
    <row r="2797" spans="1:9" x14ac:dyDescent="0.25">
      <c r="A2797" s="67" t="s">
        <v>884</v>
      </c>
    </row>
    <row r="2798" spans="1:9" x14ac:dyDescent="0.25">
      <c r="A2798" s="67" t="s">
        <v>223</v>
      </c>
      <c r="B2798" s="67" t="s">
        <v>222</v>
      </c>
      <c r="C2798" s="67" t="s">
        <v>221</v>
      </c>
      <c r="D2798" s="67" t="s">
        <v>220</v>
      </c>
      <c r="E2798" s="67" t="s">
        <v>219</v>
      </c>
      <c r="F2798" s="67" t="s">
        <v>217</v>
      </c>
      <c r="G2798" s="67" t="s">
        <v>218</v>
      </c>
      <c r="H2798" s="67" t="s">
        <v>217</v>
      </c>
      <c r="I2798" s="67" t="s">
        <v>216</v>
      </c>
    </row>
    <row r="2799" spans="1:9" x14ac:dyDescent="0.25">
      <c r="A2799" s="67" t="s">
        <v>215</v>
      </c>
      <c r="B2799" s="67" t="s">
        <v>214</v>
      </c>
      <c r="C2799" s="67" t="s">
        <v>213</v>
      </c>
      <c r="D2799" s="67" t="s">
        <v>212</v>
      </c>
      <c r="E2799" s="67" t="s">
        <v>211</v>
      </c>
      <c r="F2799" s="67" t="s">
        <v>210</v>
      </c>
      <c r="G2799" s="67" t="s">
        <v>209</v>
      </c>
      <c r="H2799" s="67" t="s">
        <v>208</v>
      </c>
      <c r="I2799" s="67" t="s">
        <v>207</v>
      </c>
    </row>
    <row r="2800" spans="1:9" x14ac:dyDescent="0.25">
      <c r="A2800" s="67" t="s">
        <v>206</v>
      </c>
      <c r="B2800" s="67" t="s">
        <v>205</v>
      </c>
      <c r="C2800" s="67" t="s">
        <v>204</v>
      </c>
      <c r="D2800" s="67" t="s">
        <v>203</v>
      </c>
      <c r="E2800" s="67" t="s">
        <v>202</v>
      </c>
      <c r="F2800" s="67" t="s">
        <v>201</v>
      </c>
      <c r="G2800" s="67" t="s">
        <v>200</v>
      </c>
      <c r="H2800" s="67" t="s">
        <v>199</v>
      </c>
    </row>
    <row r="2801" spans="1:9" x14ac:dyDescent="0.25">
      <c r="A2801" s="67" t="s">
        <v>3669</v>
      </c>
      <c r="B2801" s="67" t="s">
        <v>3668</v>
      </c>
      <c r="C2801" s="67">
        <v>0</v>
      </c>
      <c r="D2801" s="67">
        <v>0</v>
      </c>
      <c r="E2801" s="67">
        <v>83900.41</v>
      </c>
      <c r="F2801" s="67">
        <v>25250</v>
      </c>
      <c r="H2801" s="68">
        <v>40764</v>
      </c>
      <c r="I2801" s="67" t="s">
        <v>148</v>
      </c>
    </row>
    <row r="2802" spans="1:9" x14ac:dyDescent="0.25">
      <c r="B2802" s="67" t="s">
        <v>3668</v>
      </c>
      <c r="C2802" s="67">
        <v>0</v>
      </c>
      <c r="D2802" s="67">
        <v>0</v>
      </c>
      <c r="E2802" s="67">
        <v>83900.45</v>
      </c>
      <c r="H2802" s="67" t="s">
        <v>146</v>
      </c>
    </row>
    <row r="2804" spans="1:9" x14ac:dyDescent="0.25">
      <c r="A2804" s="67" t="s">
        <v>3667</v>
      </c>
      <c r="B2804" s="67" t="s">
        <v>3666</v>
      </c>
      <c r="C2804" s="67">
        <v>0</v>
      </c>
      <c r="D2804" s="67">
        <v>0</v>
      </c>
      <c r="E2804" s="67">
        <v>83900.41</v>
      </c>
      <c r="F2804" s="67">
        <v>25250</v>
      </c>
      <c r="H2804" s="68">
        <v>40764</v>
      </c>
      <c r="I2804" s="67" t="s">
        <v>148</v>
      </c>
    </row>
    <row r="2805" spans="1:9" x14ac:dyDescent="0.25">
      <c r="B2805" s="67" t="s">
        <v>3666</v>
      </c>
      <c r="C2805" s="67">
        <v>0</v>
      </c>
      <c r="D2805" s="67">
        <v>0</v>
      </c>
      <c r="E2805" s="67">
        <v>83900.45</v>
      </c>
      <c r="H2805" s="67" t="s">
        <v>146</v>
      </c>
    </row>
    <row r="2807" spans="1:9" x14ac:dyDescent="0.25">
      <c r="A2807" s="67" t="s">
        <v>3665</v>
      </c>
      <c r="B2807" s="67" t="s">
        <v>3664</v>
      </c>
      <c r="C2807" s="67">
        <v>0</v>
      </c>
      <c r="D2807" s="67">
        <v>0</v>
      </c>
      <c r="E2807" s="67">
        <v>83900.41</v>
      </c>
      <c r="F2807" s="67">
        <v>25250</v>
      </c>
      <c r="H2807" s="68">
        <v>40764</v>
      </c>
      <c r="I2807" s="67" t="s">
        <v>148</v>
      </c>
    </row>
    <row r="2808" spans="1:9" x14ac:dyDescent="0.25">
      <c r="B2808" s="67" t="s">
        <v>3664</v>
      </c>
      <c r="C2808" s="67">
        <v>0</v>
      </c>
      <c r="D2808" s="67">
        <v>0</v>
      </c>
      <c r="E2808" s="67">
        <v>83900.45</v>
      </c>
      <c r="H2808" s="67" t="s">
        <v>146</v>
      </c>
    </row>
    <row r="2810" spans="1:9" x14ac:dyDescent="0.25">
      <c r="A2810" s="67" t="s">
        <v>3663</v>
      </c>
      <c r="B2810" s="67" t="s">
        <v>3662</v>
      </c>
      <c r="C2810" s="67">
        <v>0</v>
      </c>
      <c r="D2810" s="67">
        <v>0</v>
      </c>
      <c r="E2810" s="67">
        <v>83900.41</v>
      </c>
      <c r="F2810" s="67">
        <v>25250</v>
      </c>
      <c r="H2810" s="68">
        <v>40764</v>
      </c>
      <c r="I2810" s="67" t="s">
        <v>148</v>
      </c>
    </row>
    <row r="2811" spans="1:9" x14ac:dyDescent="0.25">
      <c r="B2811" s="67" t="s">
        <v>3662</v>
      </c>
      <c r="C2811" s="67">
        <v>0</v>
      </c>
      <c r="D2811" s="67">
        <v>0</v>
      </c>
      <c r="E2811" s="67">
        <v>83900.45</v>
      </c>
      <c r="H2811" s="67" t="s">
        <v>146</v>
      </c>
    </row>
    <row r="2813" spans="1:9" x14ac:dyDescent="0.25">
      <c r="A2813" s="67" t="s">
        <v>3661</v>
      </c>
      <c r="B2813" s="67" t="s">
        <v>3660</v>
      </c>
      <c r="C2813" s="67">
        <v>0</v>
      </c>
      <c r="D2813" s="67">
        <v>0</v>
      </c>
      <c r="E2813" s="67">
        <v>83900.41</v>
      </c>
      <c r="F2813" s="67">
        <v>25250</v>
      </c>
      <c r="H2813" s="68">
        <v>40764</v>
      </c>
      <c r="I2813" s="67" t="s">
        <v>148</v>
      </c>
    </row>
    <row r="2814" spans="1:9" x14ac:dyDescent="0.25">
      <c r="B2814" s="67" t="s">
        <v>3660</v>
      </c>
      <c r="C2814" s="67">
        <v>0</v>
      </c>
      <c r="D2814" s="67">
        <v>0</v>
      </c>
      <c r="E2814" s="67">
        <v>83900.45</v>
      </c>
      <c r="H2814" s="67" t="s">
        <v>146</v>
      </c>
    </row>
    <row r="2816" spans="1:9" x14ac:dyDescent="0.25">
      <c r="A2816" s="67" t="s">
        <v>3659</v>
      </c>
      <c r="B2816" s="67" t="s">
        <v>3658</v>
      </c>
      <c r="C2816" s="67">
        <v>0</v>
      </c>
      <c r="D2816" s="67">
        <v>0</v>
      </c>
      <c r="E2816" s="67">
        <v>83900.41</v>
      </c>
      <c r="F2816" s="67">
        <v>25250</v>
      </c>
      <c r="H2816" s="68">
        <v>40764</v>
      </c>
      <c r="I2816" s="67" t="s">
        <v>148</v>
      </c>
    </row>
    <row r="2817" spans="1:9" x14ac:dyDescent="0.25">
      <c r="B2817" s="67" t="s">
        <v>3658</v>
      </c>
      <c r="C2817" s="67">
        <v>0</v>
      </c>
      <c r="D2817" s="67">
        <v>0</v>
      </c>
      <c r="E2817" s="67">
        <v>83900.45</v>
      </c>
      <c r="H2817" s="67" t="s">
        <v>146</v>
      </c>
    </row>
    <row r="2819" spans="1:9" x14ac:dyDescent="0.25">
      <c r="A2819" s="67" t="s">
        <v>3657</v>
      </c>
      <c r="B2819" s="67" t="s">
        <v>3656</v>
      </c>
      <c r="C2819" s="67">
        <v>0</v>
      </c>
      <c r="D2819" s="67">
        <v>0</v>
      </c>
      <c r="E2819" s="67">
        <v>83900.41</v>
      </c>
      <c r="F2819" s="67">
        <v>25250</v>
      </c>
      <c r="H2819" s="68">
        <v>40764</v>
      </c>
      <c r="I2819" s="67" t="s">
        <v>148</v>
      </c>
    </row>
    <row r="2820" spans="1:9" x14ac:dyDescent="0.25">
      <c r="B2820" s="67" t="s">
        <v>3656</v>
      </c>
      <c r="C2820" s="67">
        <v>0</v>
      </c>
      <c r="D2820" s="67">
        <v>0</v>
      </c>
      <c r="E2820" s="67">
        <v>83900.45</v>
      </c>
      <c r="H2820" s="67" t="s">
        <v>146</v>
      </c>
    </row>
    <row r="2822" spans="1:9" x14ac:dyDescent="0.25">
      <c r="A2822" s="67" t="s">
        <v>3655</v>
      </c>
      <c r="B2822" s="67" t="s">
        <v>3654</v>
      </c>
      <c r="C2822" s="67">
        <v>0</v>
      </c>
      <c r="D2822" s="67">
        <v>0</v>
      </c>
      <c r="E2822" s="67">
        <v>83900.41</v>
      </c>
      <c r="F2822" s="67">
        <v>25250</v>
      </c>
      <c r="H2822" s="68">
        <v>40764</v>
      </c>
      <c r="I2822" s="67" t="s">
        <v>148</v>
      </c>
    </row>
    <row r="2823" spans="1:9" x14ac:dyDescent="0.25">
      <c r="B2823" s="67" t="s">
        <v>3654</v>
      </c>
      <c r="C2823" s="67">
        <v>0</v>
      </c>
      <c r="D2823" s="67">
        <v>0</v>
      </c>
      <c r="E2823" s="67">
        <v>83900.45</v>
      </c>
      <c r="H2823" s="67" t="s">
        <v>146</v>
      </c>
    </row>
    <row r="2825" spans="1:9" x14ac:dyDescent="0.25">
      <c r="A2825" s="67" t="s">
        <v>3653</v>
      </c>
      <c r="B2825" s="67" t="s">
        <v>3652</v>
      </c>
      <c r="C2825" s="67">
        <v>0</v>
      </c>
      <c r="D2825" s="67">
        <v>0</v>
      </c>
      <c r="E2825" s="67">
        <v>83900.41</v>
      </c>
      <c r="F2825" s="67">
        <v>25250</v>
      </c>
      <c r="H2825" s="68">
        <v>40764</v>
      </c>
      <c r="I2825" s="67" t="s">
        <v>148</v>
      </c>
    </row>
    <row r="2826" spans="1:9" x14ac:dyDescent="0.25">
      <c r="B2826" s="67" t="s">
        <v>3652</v>
      </c>
      <c r="C2826" s="67">
        <v>0</v>
      </c>
      <c r="D2826" s="67">
        <v>0</v>
      </c>
      <c r="E2826" s="67">
        <v>83900.45</v>
      </c>
      <c r="H2826" s="67" t="s">
        <v>146</v>
      </c>
    </row>
    <row r="2828" spans="1:9" x14ac:dyDescent="0.25">
      <c r="A2828" s="67" t="s">
        <v>3651</v>
      </c>
      <c r="B2828" s="67" t="s">
        <v>3650</v>
      </c>
      <c r="C2828" s="67">
        <v>0</v>
      </c>
      <c r="D2828" s="67">
        <v>0</v>
      </c>
      <c r="E2828" s="67">
        <v>83900.41</v>
      </c>
      <c r="F2828" s="67">
        <v>25250</v>
      </c>
      <c r="H2828" s="68">
        <v>40764</v>
      </c>
      <c r="I2828" s="67" t="s">
        <v>148</v>
      </c>
    </row>
    <row r="2829" spans="1:9" x14ac:dyDescent="0.25">
      <c r="B2829" s="67" t="s">
        <v>3650</v>
      </c>
      <c r="C2829" s="67">
        <v>0</v>
      </c>
      <c r="D2829" s="67">
        <v>0</v>
      </c>
      <c r="E2829" s="67">
        <v>83900.45</v>
      </c>
      <c r="H2829" s="67" t="s">
        <v>146</v>
      </c>
    </row>
    <row r="2831" spans="1:9" x14ac:dyDescent="0.25">
      <c r="A2831" s="67" t="s">
        <v>3649</v>
      </c>
      <c r="B2831" s="67" t="s">
        <v>3648</v>
      </c>
      <c r="C2831" s="67">
        <v>0</v>
      </c>
      <c r="D2831" s="67">
        <v>0</v>
      </c>
      <c r="E2831" s="67">
        <v>83900.41</v>
      </c>
      <c r="F2831" s="67">
        <v>25250</v>
      </c>
      <c r="H2831" s="68">
        <v>40764</v>
      </c>
      <c r="I2831" s="67" t="s">
        <v>148</v>
      </c>
    </row>
    <row r="2832" spans="1:9" x14ac:dyDescent="0.25">
      <c r="B2832" s="67" t="s">
        <v>3648</v>
      </c>
      <c r="C2832" s="67">
        <v>0</v>
      </c>
      <c r="D2832" s="67">
        <v>0</v>
      </c>
      <c r="E2832" s="67">
        <v>83900.45</v>
      </c>
      <c r="H2832" s="67" t="s">
        <v>146</v>
      </c>
    </row>
    <row r="2834" spans="1:9" x14ac:dyDescent="0.25">
      <c r="A2834" s="67" t="s">
        <v>3647</v>
      </c>
      <c r="B2834" s="67" t="s">
        <v>3646</v>
      </c>
      <c r="C2834" s="67">
        <v>0</v>
      </c>
      <c r="D2834" s="67">
        <v>0</v>
      </c>
      <c r="E2834" s="67">
        <v>83900.41</v>
      </c>
      <c r="F2834" s="67">
        <v>25250</v>
      </c>
      <c r="H2834" s="68">
        <v>40764</v>
      </c>
      <c r="I2834" s="67" t="s">
        <v>148</v>
      </c>
    </row>
    <row r="2835" spans="1:9" x14ac:dyDescent="0.25">
      <c r="B2835" s="67" t="s">
        <v>3646</v>
      </c>
      <c r="C2835" s="67">
        <v>0</v>
      </c>
      <c r="D2835" s="67">
        <v>0</v>
      </c>
      <c r="E2835" s="67">
        <v>83900.45</v>
      </c>
      <c r="H2835" s="67" t="s">
        <v>146</v>
      </c>
    </row>
    <row r="2837" spans="1:9" x14ac:dyDescent="0.25">
      <c r="A2837" s="67" t="s">
        <v>3645</v>
      </c>
      <c r="B2837" s="67" t="s">
        <v>3644</v>
      </c>
      <c r="C2837" s="67">
        <v>0</v>
      </c>
      <c r="D2837" s="67">
        <v>0</v>
      </c>
      <c r="E2837" s="67">
        <v>83900.41</v>
      </c>
      <c r="F2837" s="67">
        <v>25250</v>
      </c>
      <c r="H2837" s="68">
        <v>40764</v>
      </c>
      <c r="I2837" s="67" t="s">
        <v>148</v>
      </c>
    </row>
    <row r="2838" spans="1:9" x14ac:dyDescent="0.25">
      <c r="B2838" s="67" t="s">
        <v>3644</v>
      </c>
      <c r="C2838" s="67">
        <v>0</v>
      </c>
      <c r="D2838" s="67">
        <v>0</v>
      </c>
      <c r="E2838" s="67">
        <v>83900.45</v>
      </c>
      <c r="H2838" s="67" t="s">
        <v>146</v>
      </c>
    </row>
    <row r="2840" spans="1:9" x14ac:dyDescent="0.25">
      <c r="A2840" s="67" t="s">
        <v>3643</v>
      </c>
      <c r="B2840" s="67" t="s">
        <v>3642</v>
      </c>
      <c r="C2840" s="67">
        <v>0</v>
      </c>
      <c r="D2840" s="67">
        <v>0</v>
      </c>
      <c r="E2840" s="67">
        <v>83900.41</v>
      </c>
      <c r="F2840" s="67">
        <v>25250</v>
      </c>
      <c r="H2840" s="68">
        <v>40764</v>
      </c>
      <c r="I2840" s="67" t="s">
        <v>148</v>
      </c>
    </row>
    <row r="2841" spans="1:9" x14ac:dyDescent="0.25">
      <c r="B2841" s="67" t="s">
        <v>3642</v>
      </c>
      <c r="C2841" s="67">
        <v>0</v>
      </c>
      <c r="D2841" s="67">
        <v>0</v>
      </c>
      <c r="E2841" s="67">
        <v>83900.45</v>
      </c>
      <c r="H2841" s="67" t="s">
        <v>146</v>
      </c>
    </row>
    <row r="2843" spans="1:9" x14ac:dyDescent="0.25">
      <c r="A2843" s="67" t="s">
        <v>3641</v>
      </c>
      <c r="B2843" s="67" t="s">
        <v>3640</v>
      </c>
      <c r="C2843" s="67">
        <v>0</v>
      </c>
      <c r="D2843" s="67">
        <v>0</v>
      </c>
      <c r="E2843" s="67">
        <v>83900.41</v>
      </c>
      <c r="F2843" s="67">
        <v>25250</v>
      </c>
      <c r="H2843" s="68">
        <v>40764</v>
      </c>
      <c r="I2843" s="67" t="s">
        <v>148</v>
      </c>
    </row>
    <row r="2844" spans="1:9" x14ac:dyDescent="0.25">
      <c r="B2844" s="67" t="s">
        <v>3640</v>
      </c>
      <c r="C2844" s="67">
        <v>0</v>
      </c>
      <c r="D2844" s="67">
        <v>0</v>
      </c>
      <c r="E2844" s="67">
        <v>83900.45</v>
      </c>
      <c r="H2844" s="67" t="s">
        <v>146</v>
      </c>
    </row>
    <row r="2846" spans="1:9" x14ac:dyDescent="0.25">
      <c r="A2846" s="67" t="s">
        <v>3639</v>
      </c>
      <c r="B2846" s="67" t="s">
        <v>3638</v>
      </c>
      <c r="C2846" s="67">
        <v>0</v>
      </c>
      <c r="D2846" s="67">
        <v>0</v>
      </c>
      <c r="E2846" s="67">
        <v>83900.41</v>
      </c>
      <c r="F2846" s="67">
        <v>25250</v>
      </c>
      <c r="H2846" s="68">
        <v>40764</v>
      </c>
      <c r="I2846" s="67" t="s">
        <v>148</v>
      </c>
    </row>
    <row r="2847" spans="1:9" x14ac:dyDescent="0.25">
      <c r="B2847" s="67" t="s">
        <v>3638</v>
      </c>
      <c r="C2847" s="67">
        <v>0</v>
      </c>
      <c r="D2847" s="67">
        <v>0</v>
      </c>
      <c r="E2847" s="67">
        <v>83900.45</v>
      </c>
      <c r="H2847" s="67" t="s">
        <v>146</v>
      </c>
    </row>
    <row r="2849" spans="1:9" x14ac:dyDescent="0.25">
      <c r="A2849" s="67" t="s">
        <v>3637</v>
      </c>
      <c r="B2849" s="67" t="s">
        <v>3636</v>
      </c>
      <c r="C2849" s="67">
        <v>0</v>
      </c>
      <c r="D2849" s="67">
        <v>0</v>
      </c>
      <c r="E2849" s="67">
        <v>83900.41</v>
      </c>
      <c r="F2849" s="67">
        <v>25250</v>
      </c>
      <c r="H2849" s="68">
        <v>40764</v>
      </c>
      <c r="I2849" s="67" t="s">
        <v>148</v>
      </c>
    </row>
    <row r="2850" spans="1:9" x14ac:dyDescent="0.25">
      <c r="B2850" s="67" t="s">
        <v>3636</v>
      </c>
      <c r="C2850" s="67">
        <v>0</v>
      </c>
      <c r="D2850" s="67">
        <v>0</v>
      </c>
      <c r="E2850" s="67">
        <v>83900.45</v>
      </c>
      <c r="H2850" s="67" t="s">
        <v>146</v>
      </c>
    </row>
    <row r="2851" spans="1:9" x14ac:dyDescent="0.25">
      <c r="A2851" s="67" t="s">
        <v>233</v>
      </c>
    </row>
    <row r="2853" spans="1:9" x14ac:dyDescent="0.25">
      <c r="A2853" s="67" t="s">
        <v>232</v>
      </c>
      <c r="D2853" s="67" t="s">
        <v>231</v>
      </c>
      <c r="H2853" s="67" t="s">
        <v>148</v>
      </c>
      <c r="I2853" s="67" t="s">
        <v>230</v>
      </c>
    </row>
    <row r="2854" spans="1:9" x14ac:dyDescent="0.25">
      <c r="A2854" s="67">
        <v>41.1</v>
      </c>
      <c r="C2854" s="67" t="s">
        <v>215</v>
      </c>
      <c r="D2854" s="67" t="s">
        <v>229</v>
      </c>
      <c r="H2854" s="70">
        <v>44771</v>
      </c>
      <c r="I2854" s="69">
        <v>0.56736111111111109</v>
      </c>
    </row>
    <row r="2855" spans="1:9" x14ac:dyDescent="0.25">
      <c r="A2855" s="67" t="s">
        <v>228</v>
      </c>
      <c r="C2855" s="67" t="s">
        <v>227</v>
      </c>
      <c r="D2855" s="67" t="s">
        <v>226</v>
      </c>
      <c r="E2855" s="67">
        <v>589</v>
      </c>
      <c r="H2855" s="67" t="s">
        <v>225</v>
      </c>
      <c r="I2855" s="67">
        <v>51</v>
      </c>
    </row>
    <row r="2856" spans="1:9" x14ac:dyDescent="0.25">
      <c r="A2856" s="67" t="s">
        <v>884</v>
      </c>
    </row>
    <row r="2857" spans="1:9" x14ac:dyDescent="0.25">
      <c r="A2857" s="67" t="s">
        <v>223</v>
      </c>
      <c r="B2857" s="67" t="s">
        <v>222</v>
      </c>
      <c r="C2857" s="67" t="s">
        <v>221</v>
      </c>
      <c r="D2857" s="67" t="s">
        <v>220</v>
      </c>
      <c r="E2857" s="67" t="s">
        <v>219</v>
      </c>
      <c r="F2857" s="67" t="s">
        <v>217</v>
      </c>
      <c r="G2857" s="67" t="s">
        <v>218</v>
      </c>
      <c r="H2857" s="67" t="s">
        <v>217</v>
      </c>
      <c r="I2857" s="67" t="s">
        <v>216</v>
      </c>
    </row>
    <row r="2858" spans="1:9" x14ac:dyDescent="0.25">
      <c r="A2858" s="67" t="s">
        <v>215</v>
      </c>
      <c r="B2858" s="67" t="s">
        <v>214</v>
      </c>
      <c r="C2858" s="67" t="s">
        <v>213</v>
      </c>
      <c r="D2858" s="67" t="s">
        <v>212</v>
      </c>
      <c r="E2858" s="67" t="s">
        <v>211</v>
      </c>
      <c r="F2858" s="67" t="s">
        <v>210</v>
      </c>
      <c r="G2858" s="67" t="s">
        <v>209</v>
      </c>
      <c r="H2858" s="67" t="s">
        <v>208</v>
      </c>
      <c r="I2858" s="67" t="s">
        <v>207</v>
      </c>
    </row>
    <row r="2859" spans="1:9" x14ac:dyDescent="0.25">
      <c r="A2859" s="67" t="s">
        <v>206</v>
      </c>
      <c r="B2859" s="67" t="s">
        <v>205</v>
      </c>
      <c r="C2859" s="67" t="s">
        <v>204</v>
      </c>
      <c r="D2859" s="67" t="s">
        <v>203</v>
      </c>
      <c r="E2859" s="67" t="s">
        <v>202</v>
      </c>
      <c r="F2859" s="67" t="s">
        <v>201</v>
      </c>
      <c r="G2859" s="67" t="s">
        <v>200</v>
      </c>
      <c r="H2859" s="67" t="s">
        <v>199</v>
      </c>
    </row>
    <row r="2860" spans="1:9" x14ac:dyDescent="0.25">
      <c r="A2860" s="67" t="s">
        <v>3635</v>
      </c>
      <c r="B2860" s="67" t="s">
        <v>3634</v>
      </c>
      <c r="C2860" s="67">
        <v>0</v>
      </c>
      <c r="D2860" s="67">
        <v>0</v>
      </c>
      <c r="E2860" s="67">
        <v>83900.41</v>
      </c>
      <c r="F2860" s="67">
        <v>25250</v>
      </c>
      <c r="H2860" s="68">
        <v>40764</v>
      </c>
      <c r="I2860" s="67" t="s">
        <v>148</v>
      </c>
    </row>
    <row r="2861" spans="1:9" x14ac:dyDescent="0.25">
      <c r="B2861" s="67" t="s">
        <v>3634</v>
      </c>
      <c r="C2861" s="67">
        <v>0</v>
      </c>
      <c r="D2861" s="67">
        <v>0</v>
      </c>
      <c r="E2861" s="67">
        <v>83900.45</v>
      </c>
      <c r="H2861" s="67" t="s">
        <v>146</v>
      </c>
    </row>
    <row r="2863" spans="1:9" x14ac:dyDescent="0.25">
      <c r="A2863" s="67" t="s">
        <v>3633</v>
      </c>
      <c r="B2863" s="67" t="s">
        <v>3632</v>
      </c>
      <c r="C2863" s="67">
        <v>0</v>
      </c>
      <c r="D2863" s="67">
        <v>0</v>
      </c>
      <c r="E2863" s="67">
        <v>83900.41</v>
      </c>
      <c r="F2863" s="67">
        <v>25250</v>
      </c>
      <c r="H2863" s="68">
        <v>40764</v>
      </c>
      <c r="I2863" s="67" t="s">
        <v>148</v>
      </c>
    </row>
    <row r="2864" spans="1:9" x14ac:dyDescent="0.25">
      <c r="B2864" s="67" t="s">
        <v>3632</v>
      </c>
      <c r="C2864" s="67">
        <v>0</v>
      </c>
      <c r="D2864" s="67">
        <v>0</v>
      </c>
      <c r="E2864" s="67">
        <v>83900.45</v>
      </c>
      <c r="H2864" s="67" t="s">
        <v>146</v>
      </c>
    </row>
    <row r="2866" spans="1:9" x14ac:dyDescent="0.25">
      <c r="A2866" s="67" t="s">
        <v>3631</v>
      </c>
      <c r="B2866" s="67" t="s">
        <v>3630</v>
      </c>
      <c r="C2866" s="67">
        <v>0</v>
      </c>
      <c r="D2866" s="67">
        <v>0</v>
      </c>
      <c r="E2866" s="67">
        <v>83900.41</v>
      </c>
      <c r="F2866" s="67">
        <v>25250</v>
      </c>
      <c r="H2866" s="68">
        <v>40764</v>
      </c>
      <c r="I2866" s="67" t="s">
        <v>148</v>
      </c>
    </row>
    <row r="2867" spans="1:9" x14ac:dyDescent="0.25">
      <c r="B2867" s="67" t="s">
        <v>3630</v>
      </c>
      <c r="C2867" s="67">
        <v>0</v>
      </c>
      <c r="D2867" s="67">
        <v>0</v>
      </c>
      <c r="E2867" s="67">
        <v>83900.45</v>
      </c>
      <c r="H2867" s="67" t="s">
        <v>146</v>
      </c>
    </row>
    <row r="2869" spans="1:9" x14ac:dyDescent="0.25">
      <c r="A2869" s="67" t="s">
        <v>3629</v>
      </c>
      <c r="B2869" s="67" t="s">
        <v>3628</v>
      </c>
      <c r="C2869" s="67">
        <v>0</v>
      </c>
      <c r="D2869" s="67">
        <v>0</v>
      </c>
      <c r="E2869" s="67">
        <v>83900.41</v>
      </c>
      <c r="F2869" s="67">
        <v>25250</v>
      </c>
      <c r="H2869" s="68">
        <v>40764</v>
      </c>
      <c r="I2869" s="67" t="s">
        <v>148</v>
      </c>
    </row>
    <row r="2870" spans="1:9" x14ac:dyDescent="0.25">
      <c r="B2870" s="67" t="s">
        <v>3628</v>
      </c>
      <c r="C2870" s="67">
        <v>0</v>
      </c>
      <c r="D2870" s="67">
        <v>0</v>
      </c>
      <c r="E2870" s="67">
        <v>83900.45</v>
      </c>
      <c r="H2870" s="67" t="s">
        <v>146</v>
      </c>
    </row>
    <row r="2872" spans="1:9" x14ac:dyDescent="0.25">
      <c r="A2872" s="67" t="s">
        <v>3627</v>
      </c>
      <c r="B2872" s="67" t="s">
        <v>3626</v>
      </c>
      <c r="C2872" s="67">
        <v>0</v>
      </c>
      <c r="D2872" s="67">
        <v>0</v>
      </c>
      <c r="E2872" s="67">
        <v>83900.41</v>
      </c>
      <c r="F2872" s="67">
        <v>25250</v>
      </c>
      <c r="H2872" s="68">
        <v>40764</v>
      </c>
      <c r="I2872" s="67" t="s">
        <v>148</v>
      </c>
    </row>
    <row r="2873" spans="1:9" x14ac:dyDescent="0.25">
      <c r="B2873" s="67" t="s">
        <v>3626</v>
      </c>
      <c r="C2873" s="67">
        <v>0</v>
      </c>
      <c r="D2873" s="67">
        <v>0</v>
      </c>
      <c r="E2873" s="67">
        <v>83900.45</v>
      </c>
      <c r="H2873" s="67" t="s">
        <v>146</v>
      </c>
    </row>
    <row r="2875" spans="1:9" x14ac:dyDescent="0.25">
      <c r="A2875" s="67" t="s">
        <v>3625</v>
      </c>
      <c r="B2875" s="67" t="s">
        <v>3624</v>
      </c>
      <c r="C2875" s="67">
        <v>0</v>
      </c>
      <c r="D2875" s="67">
        <v>0</v>
      </c>
      <c r="E2875" s="67">
        <v>83900.41</v>
      </c>
      <c r="F2875" s="67">
        <v>25250</v>
      </c>
      <c r="H2875" s="68">
        <v>40764</v>
      </c>
      <c r="I2875" s="67" t="s">
        <v>148</v>
      </c>
    </row>
    <row r="2876" spans="1:9" x14ac:dyDescent="0.25">
      <c r="B2876" s="67" t="s">
        <v>3624</v>
      </c>
      <c r="C2876" s="67">
        <v>0</v>
      </c>
      <c r="D2876" s="67">
        <v>0</v>
      </c>
      <c r="E2876" s="67">
        <v>83900.45</v>
      </c>
      <c r="H2876" s="67" t="s">
        <v>146</v>
      </c>
    </row>
    <row r="2878" spans="1:9" x14ac:dyDescent="0.25">
      <c r="A2878" s="67" t="s">
        <v>3623</v>
      </c>
      <c r="B2878" s="67" t="s">
        <v>3622</v>
      </c>
      <c r="C2878" s="67">
        <v>0</v>
      </c>
      <c r="D2878" s="67">
        <v>0</v>
      </c>
      <c r="E2878" s="67">
        <v>83900.41</v>
      </c>
      <c r="F2878" s="67">
        <v>25250</v>
      </c>
      <c r="H2878" s="68">
        <v>40764</v>
      </c>
      <c r="I2878" s="67" t="s">
        <v>148</v>
      </c>
    </row>
    <row r="2879" spans="1:9" x14ac:dyDescent="0.25">
      <c r="B2879" s="67" t="s">
        <v>3622</v>
      </c>
      <c r="C2879" s="67">
        <v>0</v>
      </c>
      <c r="D2879" s="67">
        <v>0</v>
      </c>
      <c r="E2879" s="67">
        <v>83900.45</v>
      </c>
      <c r="H2879" s="67" t="s">
        <v>146</v>
      </c>
    </row>
    <row r="2881" spans="1:9" x14ac:dyDescent="0.25">
      <c r="A2881" s="67" t="s">
        <v>3621</v>
      </c>
      <c r="B2881" s="67" t="s">
        <v>3620</v>
      </c>
      <c r="C2881" s="67">
        <v>0</v>
      </c>
      <c r="D2881" s="67">
        <v>0</v>
      </c>
      <c r="E2881" s="67">
        <v>83900.41</v>
      </c>
      <c r="F2881" s="67">
        <v>25250</v>
      </c>
      <c r="H2881" s="68">
        <v>40764</v>
      </c>
      <c r="I2881" s="67" t="s">
        <v>148</v>
      </c>
    </row>
    <row r="2882" spans="1:9" x14ac:dyDescent="0.25">
      <c r="B2882" s="67" t="s">
        <v>3620</v>
      </c>
      <c r="C2882" s="67">
        <v>0</v>
      </c>
      <c r="D2882" s="67">
        <v>0</v>
      </c>
      <c r="E2882" s="67">
        <v>83900.45</v>
      </c>
      <c r="H2882" s="67" t="s">
        <v>146</v>
      </c>
    </row>
    <row r="2884" spans="1:9" x14ac:dyDescent="0.25">
      <c r="A2884" s="67" t="s">
        <v>3619</v>
      </c>
      <c r="B2884" s="67" t="s">
        <v>3618</v>
      </c>
      <c r="C2884" s="67">
        <v>0</v>
      </c>
      <c r="D2884" s="67">
        <v>0</v>
      </c>
      <c r="E2884" s="67">
        <v>83900.41</v>
      </c>
      <c r="F2884" s="67">
        <v>25250</v>
      </c>
      <c r="H2884" s="68">
        <v>40764</v>
      </c>
      <c r="I2884" s="67" t="s">
        <v>148</v>
      </c>
    </row>
    <row r="2885" spans="1:9" x14ac:dyDescent="0.25">
      <c r="B2885" s="67" t="s">
        <v>3618</v>
      </c>
      <c r="C2885" s="67">
        <v>0</v>
      </c>
      <c r="D2885" s="67">
        <v>0</v>
      </c>
      <c r="E2885" s="67">
        <v>83900.45</v>
      </c>
      <c r="H2885" s="67" t="s">
        <v>146</v>
      </c>
    </row>
    <row r="2887" spans="1:9" x14ac:dyDescent="0.25">
      <c r="A2887" s="67" t="s">
        <v>3617</v>
      </c>
      <c r="B2887" s="67" t="s">
        <v>3616</v>
      </c>
      <c r="C2887" s="67">
        <v>0</v>
      </c>
      <c r="D2887" s="67">
        <v>0</v>
      </c>
      <c r="E2887" s="67">
        <v>83900.41</v>
      </c>
      <c r="F2887" s="67">
        <v>25250</v>
      </c>
      <c r="H2887" s="68">
        <v>40764</v>
      </c>
      <c r="I2887" s="67" t="s">
        <v>148</v>
      </c>
    </row>
    <row r="2888" spans="1:9" x14ac:dyDescent="0.25">
      <c r="B2888" s="67" t="s">
        <v>3616</v>
      </c>
      <c r="C2888" s="67">
        <v>0</v>
      </c>
      <c r="D2888" s="67">
        <v>0</v>
      </c>
      <c r="E2888" s="67">
        <v>83900.45</v>
      </c>
      <c r="H2888" s="67" t="s">
        <v>146</v>
      </c>
    </row>
    <row r="2890" spans="1:9" x14ac:dyDescent="0.25">
      <c r="A2890" s="67" t="s">
        <v>3615</v>
      </c>
      <c r="B2890" s="67" t="s">
        <v>3614</v>
      </c>
      <c r="C2890" s="67">
        <v>0</v>
      </c>
      <c r="D2890" s="67">
        <v>0</v>
      </c>
      <c r="E2890" s="67">
        <v>83900.41</v>
      </c>
      <c r="F2890" s="67">
        <v>25250</v>
      </c>
      <c r="H2890" s="68">
        <v>40764</v>
      </c>
      <c r="I2890" s="67" t="s">
        <v>148</v>
      </c>
    </row>
    <row r="2891" spans="1:9" x14ac:dyDescent="0.25">
      <c r="B2891" s="67" t="s">
        <v>3614</v>
      </c>
      <c r="C2891" s="67">
        <v>0</v>
      </c>
      <c r="D2891" s="67">
        <v>0</v>
      </c>
      <c r="E2891" s="67">
        <v>83900.45</v>
      </c>
      <c r="H2891" s="67" t="s">
        <v>146</v>
      </c>
    </row>
    <row r="2893" spans="1:9" x14ac:dyDescent="0.25">
      <c r="A2893" s="67" t="s">
        <v>3613</v>
      </c>
      <c r="B2893" s="67" t="s">
        <v>3612</v>
      </c>
      <c r="C2893" s="67">
        <v>0</v>
      </c>
      <c r="D2893" s="67">
        <v>0</v>
      </c>
      <c r="E2893" s="67">
        <v>83900.41</v>
      </c>
      <c r="F2893" s="67">
        <v>25250</v>
      </c>
      <c r="H2893" s="68">
        <v>40764</v>
      </c>
      <c r="I2893" s="67" t="s">
        <v>148</v>
      </c>
    </row>
    <row r="2894" spans="1:9" x14ac:dyDescent="0.25">
      <c r="B2894" s="67" t="s">
        <v>3612</v>
      </c>
      <c r="C2894" s="67">
        <v>0</v>
      </c>
      <c r="D2894" s="67">
        <v>0</v>
      </c>
      <c r="E2894" s="67">
        <v>83900.45</v>
      </c>
      <c r="H2894" s="67" t="s">
        <v>146</v>
      </c>
    </row>
    <row r="2896" spans="1:9" x14ac:dyDescent="0.25">
      <c r="A2896" s="67" t="s">
        <v>3611</v>
      </c>
      <c r="B2896" s="67" t="s">
        <v>3610</v>
      </c>
      <c r="C2896" s="67">
        <v>0</v>
      </c>
      <c r="D2896" s="67">
        <v>0</v>
      </c>
      <c r="E2896" s="67">
        <v>83900.41</v>
      </c>
      <c r="F2896" s="67">
        <v>25250</v>
      </c>
      <c r="H2896" s="68">
        <v>40764</v>
      </c>
      <c r="I2896" s="67" t="s">
        <v>148</v>
      </c>
    </row>
    <row r="2897" spans="1:9" x14ac:dyDescent="0.25">
      <c r="B2897" s="67" t="s">
        <v>3610</v>
      </c>
      <c r="C2897" s="67">
        <v>0</v>
      </c>
      <c r="D2897" s="67">
        <v>0</v>
      </c>
      <c r="E2897" s="67">
        <v>83900.45</v>
      </c>
      <c r="H2897" s="67" t="s">
        <v>146</v>
      </c>
    </row>
    <row r="2899" spans="1:9" x14ac:dyDescent="0.25">
      <c r="A2899" s="67" t="s">
        <v>3609</v>
      </c>
      <c r="B2899" s="67" t="s">
        <v>3608</v>
      </c>
      <c r="C2899" s="67">
        <v>0</v>
      </c>
      <c r="D2899" s="67">
        <v>0</v>
      </c>
      <c r="E2899" s="67">
        <v>83900.41</v>
      </c>
      <c r="F2899" s="67">
        <v>25250</v>
      </c>
      <c r="H2899" s="68">
        <v>40764</v>
      </c>
      <c r="I2899" s="67" t="s">
        <v>148</v>
      </c>
    </row>
    <row r="2900" spans="1:9" x14ac:dyDescent="0.25">
      <c r="B2900" s="67" t="s">
        <v>3608</v>
      </c>
      <c r="C2900" s="67">
        <v>0</v>
      </c>
      <c r="D2900" s="67">
        <v>0</v>
      </c>
      <c r="E2900" s="67">
        <v>83900.45</v>
      </c>
      <c r="H2900" s="67" t="s">
        <v>146</v>
      </c>
    </row>
    <row r="2902" spans="1:9" x14ac:dyDescent="0.25">
      <c r="A2902" s="67" t="s">
        <v>3607</v>
      </c>
      <c r="B2902" s="67" t="s">
        <v>3606</v>
      </c>
      <c r="C2902" s="67">
        <v>0</v>
      </c>
      <c r="D2902" s="67">
        <v>0</v>
      </c>
      <c r="E2902" s="67">
        <v>83900.41</v>
      </c>
      <c r="F2902" s="67">
        <v>25250</v>
      </c>
      <c r="H2902" s="68">
        <v>40764</v>
      </c>
      <c r="I2902" s="67" t="s">
        <v>148</v>
      </c>
    </row>
    <row r="2903" spans="1:9" x14ac:dyDescent="0.25">
      <c r="B2903" s="67" t="s">
        <v>3606</v>
      </c>
      <c r="C2903" s="67">
        <v>0</v>
      </c>
      <c r="D2903" s="67">
        <v>0</v>
      </c>
      <c r="E2903" s="67">
        <v>83900.45</v>
      </c>
      <c r="H2903" s="67" t="s">
        <v>146</v>
      </c>
    </row>
    <row r="2905" spans="1:9" x14ac:dyDescent="0.25">
      <c r="A2905" s="67" t="s">
        <v>3605</v>
      </c>
      <c r="B2905" s="67" t="s">
        <v>3604</v>
      </c>
      <c r="C2905" s="67">
        <v>0</v>
      </c>
      <c r="D2905" s="67">
        <v>0</v>
      </c>
      <c r="E2905" s="67">
        <v>83900.41</v>
      </c>
      <c r="F2905" s="67">
        <v>25250</v>
      </c>
      <c r="H2905" s="68">
        <v>40764</v>
      </c>
      <c r="I2905" s="67" t="s">
        <v>148</v>
      </c>
    </row>
    <row r="2906" spans="1:9" x14ac:dyDescent="0.25">
      <c r="B2906" s="67" t="s">
        <v>3604</v>
      </c>
      <c r="C2906" s="67">
        <v>0</v>
      </c>
      <c r="D2906" s="67">
        <v>0</v>
      </c>
      <c r="E2906" s="67">
        <v>83900.45</v>
      </c>
      <c r="H2906" s="67" t="s">
        <v>146</v>
      </c>
    </row>
    <row r="2908" spans="1:9" x14ac:dyDescent="0.25">
      <c r="A2908" s="67" t="s">
        <v>3603</v>
      </c>
      <c r="B2908" s="67" t="s">
        <v>3602</v>
      </c>
      <c r="C2908" s="67">
        <v>0</v>
      </c>
      <c r="D2908" s="67">
        <v>0</v>
      </c>
      <c r="E2908" s="67">
        <v>83900.41</v>
      </c>
      <c r="F2908" s="67">
        <v>25250</v>
      </c>
      <c r="H2908" s="68">
        <v>40764</v>
      </c>
      <c r="I2908" s="67" t="s">
        <v>148</v>
      </c>
    </row>
    <row r="2909" spans="1:9" x14ac:dyDescent="0.25">
      <c r="B2909" s="67" t="s">
        <v>3602</v>
      </c>
      <c r="C2909" s="67">
        <v>0</v>
      </c>
      <c r="D2909" s="67">
        <v>0</v>
      </c>
      <c r="E2909" s="67">
        <v>83900.45</v>
      </c>
      <c r="H2909" s="67" t="s">
        <v>146</v>
      </c>
    </row>
    <row r="2910" spans="1:9" x14ac:dyDescent="0.25">
      <c r="A2910" s="67" t="s">
        <v>233</v>
      </c>
    </row>
    <row r="2912" spans="1:9" x14ac:dyDescent="0.25">
      <c r="A2912" s="67" t="s">
        <v>232</v>
      </c>
      <c r="D2912" s="67" t="s">
        <v>231</v>
      </c>
      <c r="H2912" s="67" t="s">
        <v>148</v>
      </c>
      <c r="I2912" s="67" t="s">
        <v>230</v>
      </c>
    </row>
    <row r="2913" spans="1:9" x14ac:dyDescent="0.25">
      <c r="A2913" s="67">
        <v>41.1</v>
      </c>
      <c r="C2913" s="67" t="s">
        <v>215</v>
      </c>
      <c r="D2913" s="67" t="s">
        <v>229</v>
      </c>
      <c r="H2913" s="70">
        <v>44771</v>
      </c>
      <c r="I2913" s="69">
        <v>0.56736111111111109</v>
      </c>
    </row>
    <row r="2914" spans="1:9" x14ac:dyDescent="0.25">
      <c r="A2914" s="67" t="s">
        <v>228</v>
      </c>
      <c r="C2914" s="67" t="s">
        <v>227</v>
      </c>
      <c r="D2914" s="67" t="s">
        <v>226</v>
      </c>
      <c r="E2914" s="67">
        <v>589</v>
      </c>
      <c r="H2914" s="67" t="s">
        <v>225</v>
      </c>
      <c r="I2914" s="67">
        <v>52</v>
      </c>
    </row>
    <row r="2915" spans="1:9" x14ac:dyDescent="0.25">
      <c r="A2915" s="67" t="s">
        <v>884</v>
      </c>
    </row>
    <row r="2916" spans="1:9" x14ac:dyDescent="0.25">
      <c r="A2916" s="67" t="s">
        <v>223</v>
      </c>
      <c r="B2916" s="67" t="s">
        <v>222</v>
      </c>
      <c r="C2916" s="67" t="s">
        <v>221</v>
      </c>
      <c r="D2916" s="67" t="s">
        <v>220</v>
      </c>
      <c r="E2916" s="67" t="s">
        <v>219</v>
      </c>
      <c r="F2916" s="67" t="s">
        <v>217</v>
      </c>
      <c r="G2916" s="67" t="s">
        <v>218</v>
      </c>
      <c r="H2916" s="67" t="s">
        <v>217</v>
      </c>
      <c r="I2916" s="67" t="s">
        <v>216</v>
      </c>
    </row>
    <row r="2917" spans="1:9" x14ac:dyDescent="0.25">
      <c r="A2917" s="67" t="s">
        <v>215</v>
      </c>
      <c r="B2917" s="67" t="s">
        <v>214</v>
      </c>
      <c r="C2917" s="67" t="s">
        <v>213</v>
      </c>
      <c r="D2917" s="67" t="s">
        <v>212</v>
      </c>
      <c r="E2917" s="67" t="s">
        <v>211</v>
      </c>
      <c r="F2917" s="67" t="s">
        <v>210</v>
      </c>
      <c r="G2917" s="67" t="s">
        <v>209</v>
      </c>
      <c r="H2917" s="67" t="s">
        <v>208</v>
      </c>
      <c r="I2917" s="67" t="s">
        <v>207</v>
      </c>
    </row>
    <row r="2918" spans="1:9" x14ac:dyDescent="0.25">
      <c r="A2918" s="67" t="s">
        <v>206</v>
      </c>
      <c r="B2918" s="67" t="s">
        <v>205</v>
      </c>
      <c r="C2918" s="67" t="s">
        <v>204</v>
      </c>
      <c r="D2918" s="67" t="s">
        <v>203</v>
      </c>
      <c r="E2918" s="67" t="s">
        <v>202</v>
      </c>
      <c r="F2918" s="67" t="s">
        <v>201</v>
      </c>
      <c r="G2918" s="67" t="s">
        <v>200</v>
      </c>
      <c r="H2918" s="67" t="s">
        <v>199</v>
      </c>
    </row>
    <row r="2919" spans="1:9" x14ac:dyDescent="0.25">
      <c r="A2919" s="67" t="s">
        <v>3601</v>
      </c>
      <c r="B2919" s="67" t="s">
        <v>3600</v>
      </c>
      <c r="C2919" s="67">
        <v>0</v>
      </c>
      <c r="D2919" s="67">
        <v>0</v>
      </c>
      <c r="E2919" s="67">
        <v>83900.41</v>
      </c>
      <c r="F2919" s="67">
        <v>25250</v>
      </c>
      <c r="H2919" s="68">
        <v>40764</v>
      </c>
      <c r="I2919" s="67" t="s">
        <v>148</v>
      </c>
    </row>
    <row r="2920" spans="1:9" x14ac:dyDescent="0.25">
      <c r="B2920" s="67" t="s">
        <v>3600</v>
      </c>
      <c r="C2920" s="67">
        <v>0</v>
      </c>
      <c r="D2920" s="67">
        <v>0</v>
      </c>
      <c r="E2920" s="67">
        <v>83900.45</v>
      </c>
      <c r="H2920" s="67" t="s">
        <v>146</v>
      </c>
    </row>
    <row r="2922" spans="1:9" x14ac:dyDescent="0.25">
      <c r="A2922" s="67" t="s">
        <v>3599</v>
      </c>
      <c r="B2922" s="67" t="s">
        <v>3598</v>
      </c>
      <c r="C2922" s="67">
        <v>0</v>
      </c>
      <c r="D2922" s="67">
        <v>0</v>
      </c>
      <c r="E2922" s="67">
        <v>83900.41</v>
      </c>
      <c r="F2922" s="67">
        <v>25250</v>
      </c>
      <c r="H2922" s="68">
        <v>40764</v>
      </c>
      <c r="I2922" s="67" t="s">
        <v>148</v>
      </c>
    </row>
    <row r="2923" spans="1:9" x14ac:dyDescent="0.25">
      <c r="B2923" s="67" t="s">
        <v>3598</v>
      </c>
      <c r="C2923" s="67">
        <v>0</v>
      </c>
      <c r="D2923" s="67">
        <v>0</v>
      </c>
      <c r="E2923" s="67">
        <v>83900.45</v>
      </c>
      <c r="H2923" s="67" t="s">
        <v>146</v>
      </c>
    </row>
    <row r="2925" spans="1:9" x14ac:dyDescent="0.25">
      <c r="A2925" s="67" t="s">
        <v>3597</v>
      </c>
      <c r="B2925" s="67" t="s">
        <v>3596</v>
      </c>
      <c r="C2925" s="67">
        <v>0</v>
      </c>
      <c r="D2925" s="67">
        <v>0</v>
      </c>
      <c r="E2925" s="67">
        <v>83900.41</v>
      </c>
      <c r="F2925" s="67">
        <v>25250</v>
      </c>
      <c r="H2925" s="68">
        <v>40764</v>
      </c>
      <c r="I2925" s="67" t="s">
        <v>148</v>
      </c>
    </row>
    <row r="2926" spans="1:9" x14ac:dyDescent="0.25">
      <c r="B2926" s="67" t="s">
        <v>3596</v>
      </c>
      <c r="C2926" s="67">
        <v>0</v>
      </c>
      <c r="D2926" s="67">
        <v>0</v>
      </c>
      <c r="E2926" s="67">
        <v>83900.45</v>
      </c>
      <c r="H2926" s="67" t="s">
        <v>146</v>
      </c>
    </row>
    <row r="2928" spans="1:9" x14ac:dyDescent="0.25">
      <c r="A2928" s="67" t="s">
        <v>3595</v>
      </c>
      <c r="B2928" s="67" t="s">
        <v>3594</v>
      </c>
      <c r="C2928" s="67">
        <v>0</v>
      </c>
      <c r="D2928" s="67">
        <v>0</v>
      </c>
      <c r="E2928" s="67">
        <v>83900.41</v>
      </c>
      <c r="F2928" s="67">
        <v>25250</v>
      </c>
      <c r="H2928" s="68">
        <v>40764</v>
      </c>
      <c r="I2928" s="67" t="s">
        <v>148</v>
      </c>
    </row>
    <row r="2929" spans="1:9" x14ac:dyDescent="0.25">
      <c r="B2929" s="67" t="s">
        <v>3594</v>
      </c>
      <c r="C2929" s="67">
        <v>0</v>
      </c>
      <c r="D2929" s="67">
        <v>0</v>
      </c>
      <c r="E2929" s="67">
        <v>83900.45</v>
      </c>
      <c r="H2929" s="67" t="s">
        <v>146</v>
      </c>
    </row>
    <row r="2931" spans="1:9" x14ac:dyDescent="0.25">
      <c r="A2931" s="67" t="s">
        <v>3593</v>
      </c>
      <c r="B2931" s="67" t="s">
        <v>3592</v>
      </c>
      <c r="C2931" s="67">
        <v>0</v>
      </c>
      <c r="D2931" s="67">
        <v>0</v>
      </c>
      <c r="E2931" s="67">
        <v>83900.41</v>
      </c>
      <c r="F2931" s="67">
        <v>25250</v>
      </c>
      <c r="H2931" s="68">
        <v>40764</v>
      </c>
      <c r="I2931" s="67" t="s">
        <v>148</v>
      </c>
    </row>
    <row r="2932" spans="1:9" x14ac:dyDescent="0.25">
      <c r="B2932" s="67" t="s">
        <v>3592</v>
      </c>
      <c r="C2932" s="67">
        <v>0</v>
      </c>
      <c r="D2932" s="67">
        <v>0</v>
      </c>
      <c r="E2932" s="67">
        <v>83900.45</v>
      </c>
      <c r="H2932" s="67" t="s">
        <v>146</v>
      </c>
    </row>
    <row r="2934" spans="1:9" x14ac:dyDescent="0.25">
      <c r="A2934" s="67" t="s">
        <v>3591</v>
      </c>
      <c r="B2934" s="67" t="s">
        <v>3590</v>
      </c>
      <c r="C2934" s="67">
        <v>0</v>
      </c>
      <c r="D2934" s="67">
        <v>0</v>
      </c>
      <c r="E2934" s="67">
        <v>83900.41</v>
      </c>
      <c r="F2934" s="67">
        <v>25250</v>
      </c>
      <c r="H2934" s="68">
        <v>40764</v>
      </c>
      <c r="I2934" s="67" t="s">
        <v>148</v>
      </c>
    </row>
    <row r="2935" spans="1:9" x14ac:dyDescent="0.25">
      <c r="B2935" s="67" t="s">
        <v>3590</v>
      </c>
      <c r="C2935" s="67">
        <v>0</v>
      </c>
      <c r="D2935" s="67">
        <v>0</v>
      </c>
      <c r="E2935" s="67">
        <v>83900.45</v>
      </c>
      <c r="H2935" s="67" t="s">
        <v>146</v>
      </c>
    </row>
    <row r="2937" spans="1:9" x14ac:dyDescent="0.25">
      <c r="A2937" s="67" t="s">
        <v>3589</v>
      </c>
      <c r="B2937" s="67" t="s">
        <v>3588</v>
      </c>
      <c r="C2937" s="67">
        <v>0</v>
      </c>
      <c r="D2937" s="67">
        <v>0</v>
      </c>
      <c r="E2937" s="67">
        <v>83900.41</v>
      </c>
      <c r="F2937" s="67">
        <v>25250</v>
      </c>
      <c r="H2937" s="68">
        <v>40764</v>
      </c>
      <c r="I2937" s="67" t="s">
        <v>148</v>
      </c>
    </row>
    <row r="2938" spans="1:9" x14ac:dyDescent="0.25">
      <c r="B2938" s="67" t="s">
        <v>3588</v>
      </c>
      <c r="C2938" s="67">
        <v>0</v>
      </c>
      <c r="D2938" s="67">
        <v>0</v>
      </c>
      <c r="E2938" s="67">
        <v>83900.45</v>
      </c>
      <c r="H2938" s="67" t="s">
        <v>146</v>
      </c>
    </row>
    <row r="2940" spans="1:9" x14ac:dyDescent="0.25">
      <c r="A2940" s="67" t="s">
        <v>3587</v>
      </c>
      <c r="B2940" s="67" t="s">
        <v>3586</v>
      </c>
      <c r="C2940" s="67">
        <v>0</v>
      </c>
      <c r="D2940" s="67">
        <v>0</v>
      </c>
      <c r="E2940" s="67">
        <v>83900.41</v>
      </c>
      <c r="F2940" s="67">
        <v>25250</v>
      </c>
      <c r="H2940" s="68">
        <v>40764</v>
      </c>
      <c r="I2940" s="67" t="s">
        <v>148</v>
      </c>
    </row>
    <row r="2941" spans="1:9" x14ac:dyDescent="0.25">
      <c r="B2941" s="67" t="s">
        <v>3586</v>
      </c>
      <c r="C2941" s="67">
        <v>0</v>
      </c>
      <c r="D2941" s="67">
        <v>0</v>
      </c>
      <c r="E2941" s="67">
        <v>83900.45</v>
      </c>
      <c r="H2941" s="67" t="s">
        <v>146</v>
      </c>
    </row>
    <row r="2943" spans="1:9" x14ac:dyDescent="0.25">
      <c r="A2943" s="67" t="s">
        <v>3585</v>
      </c>
      <c r="B2943" s="67" t="s">
        <v>3584</v>
      </c>
      <c r="C2943" s="67">
        <v>0</v>
      </c>
      <c r="D2943" s="67">
        <v>0</v>
      </c>
      <c r="E2943" s="67">
        <v>83900.41</v>
      </c>
      <c r="F2943" s="67">
        <v>25250</v>
      </c>
      <c r="H2943" s="68">
        <v>40764</v>
      </c>
      <c r="I2943" s="67" t="s">
        <v>148</v>
      </c>
    </row>
    <row r="2944" spans="1:9" x14ac:dyDescent="0.25">
      <c r="B2944" s="67" t="s">
        <v>3584</v>
      </c>
      <c r="C2944" s="67">
        <v>0</v>
      </c>
      <c r="D2944" s="67">
        <v>0</v>
      </c>
      <c r="E2944" s="67">
        <v>83900.45</v>
      </c>
      <c r="H2944" s="67" t="s">
        <v>146</v>
      </c>
    </row>
    <row r="2946" spans="1:9" x14ac:dyDescent="0.25">
      <c r="A2946" s="67" t="s">
        <v>3583</v>
      </c>
      <c r="B2946" s="67" t="s">
        <v>3582</v>
      </c>
      <c r="C2946" s="67">
        <v>0</v>
      </c>
      <c r="D2946" s="67">
        <v>0</v>
      </c>
      <c r="E2946" s="67">
        <v>83900.41</v>
      </c>
      <c r="F2946" s="67">
        <v>25250</v>
      </c>
      <c r="H2946" s="68">
        <v>40764</v>
      </c>
      <c r="I2946" s="67" t="s">
        <v>148</v>
      </c>
    </row>
    <row r="2947" spans="1:9" x14ac:dyDescent="0.25">
      <c r="B2947" s="67" t="s">
        <v>3582</v>
      </c>
      <c r="C2947" s="67">
        <v>0</v>
      </c>
      <c r="D2947" s="67">
        <v>0</v>
      </c>
      <c r="E2947" s="67">
        <v>83900.45</v>
      </c>
      <c r="H2947" s="67" t="s">
        <v>146</v>
      </c>
    </row>
    <row r="2949" spans="1:9" x14ac:dyDescent="0.25">
      <c r="A2949" s="67" t="s">
        <v>3581</v>
      </c>
      <c r="B2949" s="67" t="s">
        <v>3580</v>
      </c>
      <c r="C2949" s="67">
        <v>0</v>
      </c>
      <c r="D2949" s="67">
        <v>0</v>
      </c>
      <c r="E2949" s="67">
        <v>83900.41</v>
      </c>
      <c r="F2949" s="67">
        <v>25250</v>
      </c>
      <c r="H2949" s="68">
        <v>40764</v>
      </c>
      <c r="I2949" s="67" t="s">
        <v>148</v>
      </c>
    </row>
    <row r="2950" spans="1:9" x14ac:dyDescent="0.25">
      <c r="B2950" s="67" t="s">
        <v>3580</v>
      </c>
      <c r="C2950" s="67">
        <v>0</v>
      </c>
      <c r="D2950" s="67">
        <v>0</v>
      </c>
      <c r="E2950" s="67">
        <v>83900.45</v>
      </c>
      <c r="H2950" s="67" t="s">
        <v>146</v>
      </c>
    </row>
    <row r="2952" spans="1:9" x14ac:dyDescent="0.25">
      <c r="A2952" s="67" t="s">
        <v>3579</v>
      </c>
      <c r="B2952" s="67" t="s">
        <v>3578</v>
      </c>
      <c r="C2952" s="67">
        <v>0</v>
      </c>
      <c r="D2952" s="67">
        <v>0</v>
      </c>
      <c r="E2952" s="67">
        <v>83900.41</v>
      </c>
      <c r="F2952" s="67">
        <v>25250</v>
      </c>
      <c r="H2952" s="68">
        <v>40764</v>
      </c>
      <c r="I2952" s="67" t="s">
        <v>148</v>
      </c>
    </row>
    <row r="2953" spans="1:9" x14ac:dyDescent="0.25">
      <c r="B2953" s="67" t="s">
        <v>3578</v>
      </c>
      <c r="C2953" s="67">
        <v>0</v>
      </c>
      <c r="D2953" s="67">
        <v>0</v>
      </c>
      <c r="E2953" s="67">
        <v>83900.45</v>
      </c>
      <c r="H2953" s="67" t="s">
        <v>146</v>
      </c>
    </row>
    <row r="2955" spans="1:9" x14ac:dyDescent="0.25">
      <c r="A2955" s="67" t="s">
        <v>3577</v>
      </c>
      <c r="B2955" s="67" t="s">
        <v>3576</v>
      </c>
      <c r="C2955" s="67">
        <v>0</v>
      </c>
      <c r="D2955" s="67">
        <v>0</v>
      </c>
      <c r="E2955" s="67">
        <v>83900.41</v>
      </c>
      <c r="F2955" s="67">
        <v>25250</v>
      </c>
      <c r="H2955" s="68">
        <v>40764</v>
      </c>
      <c r="I2955" s="67" t="s">
        <v>148</v>
      </c>
    </row>
    <row r="2956" spans="1:9" x14ac:dyDescent="0.25">
      <c r="B2956" s="67" t="s">
        <v>3576</v>
      </c>
      <c r="C2956" s="67">
        <v>0</v>
      </c>
      <c r="D2956" s="67">
        <v>0</v>
      </c>
      <c r="E2956" s="67">
        <v>83900.45</v>
      </c>
      <c r="H2956" s="67" t="s">
        <v>146</v>
      </c>
    </row>
    <row r="2958" spans="1:9" x14ac:dyDescent="0.25">
      <c r="A2958" s="67" t="s">
        <v>3575</v>
      </c>
      <c r="B2958" s="67" t="s">
        <v>3574</v>
      </c>
      <c r="C2958" s="67">
        <v>0</v>
      </c>
      <c r="D2958" s="67">
        <v>0</v>
      </c>
      <c r="E2958" s="67">
        <v>83900.41</v>
      </c>
      <c r="F2958" s="67">
        <v>25250</v>
      </c>
      <c r="H2958" s="68">
        <v>40764</v>
      </c>
      <c r="I2958" s="67" t="s">
        <v>148</v>
      </c>
    </row>
    <row r="2959" spans="1:9" x14ac:dyDescent="0.25">
      <c r="B2959" s="67" t="s">
        <v>3574</v>
      </c>
      <c r="C2959" s="67">
        <v>0</v>
      </c>
      <c r="D2959" s="67">
        <v>0</v>
      </c>
      <c r="E2959" s="67">
        <v>83900.45</v>
      </c>
      <c r="H2959" s="67" t="s">
        <v>146</v>
      </c>
    </row>
    <row r="2961" spans="1:9" x14ac:dyDescent="0.25">
      <c r="A2961" s="67" t="s">
        <v>3573</v>
      </c>
      <c r="B2961" s="67" t="s">
        <v>3572</v>
      </c>
      <c r="C2961" s="67">
        <v>0</v>
      </c>
      <c r="D2961" s="67">
        <v>0</v>
      </c>
      <c r="E2961" s="67">
        <v>83900.41</v>
      </c>
      <c r="F2961" s="67">
        <v>25250</v>
      </c>
      <c r="H2961" s="68">
        <v>40764</v>
      </c>
      <c r="I2961" s="67" t="s">
        <v>148</v>
      </c>
    </row>
    <row r="2962" spans="1:9" x14ac:dyDescent="0.25">
      <c r="B2962" s="67" t="s">
        <v>3572</v>
      </c>
      <c r="C2962" s="67">
        <v>0</v>
      </c>
      <c r="D2962" s="67">
        <v>0</v>
      </c>
      <c r="E2962" s="67">
        <v>83900.45</v>
      </c>
      <c r="H2962" s="67" t="s">
        <v>146</v>
      </c>
    </row>
    <row r="2964" spans="1:9" x14ac:dyDescent="0.25">
      <c r="A2964" s="67" t="s">
        <v>3571</v>
      </c>
      <c r="B2964" s="67" t="s">
        <v>3570</v>
      </c>
      <c r="C2964" s="67">
        <v>0</v>
      </c>
      <c r="D2964" s="67">
        <v>0</v>
      </c>
      <c r="E2964" s="67">
        <v>83900.41</v>
      </c>
      <c r="F2964" s="67">
        <v>25250</v>
      </c>
      <c r="H2964" s="68">
        <v>40764</v>
      </c>
      <c r="I2964" s="67" t="s">
        <v>148</v>
      </c>
    </row>
    <row r="2965" spans="1:9" x14ac:dyDescent="0.25">
      <c r="B2965" s="67" t="s">
        <v>3570</v>
      </c>
      <c r="C2965" s="67">
        <v>0</v>
      </c>
      <c r="D2965" s="67">
        <v>0</v>
      </c>
      <c r="E2965" s="67">
        <v>83900.45</v>
      </c>
      <c r="H2965" s="67" t="s">
        <v>146</v>
      </c>
    </row>
    <row r="2967" spans="1:9" x14ac:dyDescent="0.25">
      <c r="A2967" s="67" t="s">
        <v>3569</v>
      </c>
      <c r="B2967" s="67" t="s">
        <v>3568</v>
      </c>
      <c r="C2967" s="67">
        <v>0</v>
      </c>
      <c r="D2967" s="67">
        <v>0</v>
      </c>
      <c r="E2967" s="67">
        <v>83900.41</v>
      </c>
      <c r="F2967" s="67">
        <v>25250</v>
      </c>
      <c r="H2967" s="68">
        <v>40764</v>
      </c>
      <c r="I2967" s="67" t="s">
        <v>148</v>
      </c>
    </row>
    <row r="2968" spans="1:9" x14ac:dyDescent="0.25">
      <c r="B2968" s="67" t="s">
        <v>3568</v>
      </c>
      <c r="C2968" s="67">
        <v>0</v>
      </c>
      <c r="D2968" s="67">
        <v>0</v>
      </c>
      <c r="E2968" s="67">
        <v>83900.45</v>
      </c>
      <c r="H2968" s="67" t="s">
        <v>146</v>
      </c>
    </row>
    <row r="2969" spans="1:9" x14ac:dyDescent="0.25">
      <c r="A2969" s="67" t="s">
        <v>233</v>
      </c>
    </row>
    <row r="2971" spans="1:9" x14ac:dyDescent="0.25">
      <c r="A2971" s="67" t="s">
        <v>232</v>
      </c>
      <c r="D2971" s="67" t="s">
        <v>231</v>
      </c>
      <c r="H2971" s="67" t="s">
        <v>148</v>
      </c>
      <c r="I2971" s="67" t="s">
        <v>230</v>
      </c>
    </row>
    <row r="2972" spans="1:9" x14ac:dyDescent="0.25">
      <c r="A2972" s="67">
        <v>41.1</v>
      </c>
      <c r="C2972" s="67" t="s">
        <v>215</v>
      </c>
      <c r="D2972" s="67" t="s">
        <v>229</v>
      </c>
      <c r="H2972" s="70">
        <v>44771</v>
      </c>
      <c r="I2972" s="69">
        <v>0.56736111111111109</v>
      </c>
    </row>
    <row r="2973" spans="1:9" x14ac:dyDescent="0.25">
      <c r="A2973" s="67" t="s">
        <v>228</v>
      </c>
      <c r="C2973" s="67" t="s">
        <v>227</v>
      </c>
      <c r="D2973" s="67" t="s">
        <v>226</v>
      </c>
      <c r="E2973" s="67">
        <v>589</v>
      </c>
      <c r="H2973" s="67" t="s">
        <v>225</v>
      </c>
      <c r="I2973" s="67">
        <v>53</v>
      </c>
    </row>
    <row r="2974" spans="1:9" x14ac:dyDescent="0.25">
      <c r="A2974" s="67" t="s">
        <v>884</v>
      </c>
    </row>
    <row r="2975" spans="1:9" x14ac:dyDescent="0.25">
      <c r="A2975" s="67" t="s">
        <v>223</v>
      </c>
      <c r="B2975" s="67" t="s">
        <v>222</v>
      </c>
      <c r="C2975" s="67" t="s">
        <v>221</v>
      </c>
      <c r="D2975" s="67" t="s">
        <v>220</v>
      </c>
      <c r="E2975" s="67" t="s">
        <v>219</v>
      </c>
      <c r="F2975" s="67" t="s">
        <v>217</v>
      </c>
      <c r="G2975" s="67" t="s">
        <v>218</v>
      </c>
      <c r="H2975" s="67" t="s">
        <v>217</v>
      </c>
      <c r="I2975" s="67" t="s">
        <v>216</v>
      </c>
    </row>
    <row r="2976" spans="1:9" x14ac:dyDescent="0.25">
      <c r="A2976" s="67" t="s">
        <v>215</v>
      </c>
      <c r="B2976" s="67" t="s">
        <v>214</v>
      </c>
      <c r="C2976" s="67" t="s">
        <v>213</v>
      </c>
      <c r="D2976" s="67" t="s">
        <v>212</v>
      </c>
      <c r="E2976" s="67" t="s">
        <v>211</v>
      </c>
      <c r="F2976" s="67" t="s">
        <v>210</v>
      </c>
      <c r="G2976" s="67" t="s">
        <v>209</v>
      </c>
      <c r="H2976" s="67" t="s">
        <v>208</v>
      </c>
      <c r="I2976" s="67" t="s">
        <v>207</v>
      </c>
    </row>
    <row r="2977" spans="1:9" x14ac:dyDescent="0.25">
      <c r="A2977" s="67" t="s">
        <v>206</v>
      </c>
      <c r="B2977" s="67" t="s">
        <v>205</v>
      </c>
      <c r="C2977" s="67" t="s">
        <v>204</v>
      </c>
      <c r="D2977" s="67" t="s">
        <v>203</v>
      </c>
      <c r="E2977" s="67" t="s">
        <v>202</v>
      </c>
      <c r="F2977" s="67" t="s">
        <v>201</v>
      </c>
      <c r="G2977" s="67" t="s">
        <v>200</v>
      </c>
      <c r="H2977" s="67" t="s">
        <v>199</v>
      </c>
    </row>
    <row r="2978" spans="1:9" x14ac:dyDescent="0.25">
      <c r="A2978" s="67" t="s">
        <v>3567</v>
      </c>
      <c r="B2978" s="67" t="s">
        <v>3566</v>
      </c>
      <c r="C2978" s="67">
        <v>0</v>
      </c>
      <c r="D2978" s="67">
        <v>0</v>
      </c>
      <c r="E2978" s="67">
        <v>83900.41</v>
      </c>
      <c r="F2978" s="67">
        <v>25250</v>
      </c>
      <c r="H2978" s="68">
        <v>40764</v>
      </c>
      <c r="I2978" s="67" t="s">
        <v>148</v>
      </c>
    </row>
    <row r="2979" spans="1:9" x14ac:dyDescent="0.25">
      <c r="B2979" s="67" t="s">
        <v>3566</v>
      </c>
      <c r="C2979" s="67">
        <v>0</v>
      </c>
      <c r="D2979" s="67">
        <v>0</v>
      </c>
      <c r="E2979" s="67">
        <v>83900.45</v>
      </c>
      <c r="H2979" s="67" t="s">
        <v>146</v>
      </c>
    </row>
    <row r="2981" spans="1:9" x14ac:dyDescent="0.25">
      <c r="A2981" s="67" t="s">
        <v>3565</v>
      </c>
      <c r="B2981" s="67" t="s">
        <v>3564</v>
      </c>
      <c r="C2981" s="67">
        <v>0</v>
      </c>
      <c r="D2981" s="67">
        <v>0</v>
      </c>
      <c r="E2981" s="67">
        <v>83900.41</v>
      </c>
      <c r="F2981" s="67">
        <v>25250</v>
      </c>
      <c r="H2981" s="68">
        <v>40764</v>
      </c>
      <c r="I2981" s="67" t="s">
        <v>148</v>
      </c>
    </row>
    <row r="2982" spans="1:9" x14ac:dyDescent="0.25">
      <c r="B2982" s="67" t="s">
        <v>3564</v>
      </c>
      <c r="C2982" s="67">
        <v>0</v>
      </c>
      <c r="D2982" s="67">
        <v>0</v>
      </c>
      <c r="E2982" s="67">
        <v>83900.45</v>
      </c>
      <c r="H2982" s="67" t="s">
        <v>146</v>
      </c>
    </row>
    <row r="2984" spans="1:9" x14ac:dyDescent="0.25">
      <c r="A2984" s="67" t="s">
        <v>3563</v>
      </c>
      <c r="B2984" s="67" t="s">
        <v>3562</v>
      </c>
      <c r="C2984" s="67">
        <v>0</v>
      </c>
      <c r="D2984" s="67">
        <v>0</v>
      </c>
      <c r="E2984" s="67">
        <v>83900.41</v>
      </c>
      <c r="F2984" s="67">
        <v>25250</v>
      </c>
      <c r="H2984" s="68">
        <v>40764</v>
      </c>
      <c r="I2984" s="67" t="s">
        <v>148</v>
      </c>
    </row>
    <row r="2985" spans="1:9" x14ac:dyDescent="0.25">
      <c r="B2985" s="67" t="s">
        <v>3562</v>
      </c>
      <c r="C2985" s="67">
        <v>0</v>
      </c>
      <c r="D2985" s="67">
        <v>0</v>
      </c>
      <c r="E2985" s="67">
        <v>83900.45</v>
      </c>
      <c r="H2985" s="67" t="s">
        <v>146</v>
      </c>
    </row>
    <row r="2987" spans="1:9" x14ac:dyDescent="0.25">
      <c r="A2987" s="67" t="s">
        <v>3561</v>
      </c>
      <c r="B2987" s="67" t="s">
        <v>3560</v>
      </c>
      <c r="C2987" s="67">
        <v>0</v>
      </c>
      <c r="D2987" s="67">
        <v>0</v>
      </c>
      <c r="E2987" s="67">
        <v>83900.41</v>
      </c>
      <c r="F2987" s="67">
        <v>25250</v>
      </c>
      <c r="H2987" s="68">
        <v>40764</v>
      </c>
      <c r="I2987" s="67" t="s">
        <v>148</v>
      </c>
    </row>
    <row r="2988" spans="1:9" x14ac:dyDescent="0.25">
      <c r="B2988" s="67" t="s">
        <v>3560</v>
      </c>
      <c r="C2988" s="67">
        <v>0</v>
      </c>
      <c r="D2988" s="67">
        <v>0</v>
      </c>
      <c r="E2988" s="67">
        <v>83900.45</v>
      </c>
      <c r="H2988" s="67" t="s">
        <v>146</v>
      </c>
    </row>
    <row r="2990" spans="1:9" x14ac:dyDescent="0.25">
      <c r="A2990" s="67" t="s">
        <v>3559</v>
      </c>
      <c r="B2990" s="67" t="s">
        <v>3558</v>
      </c>
      <c r="C2990" s="67">
        <v>0</v>
      </c>
      <c r="D2990" s="67">
        <v>0</v>
      </c>
      <c r="E2990" s="67">
        <v>83900.41</v>
      </c>
      <c r="F2990" s="67">
        <v>25250</v>
      </c>
      <c r="H2990" s="68">
        <v>40764</v>
      </c>
      <c r="I2990" s="67" t="s">
        <v>148</v>
      </c>
    </row>
    <row r="2991" spans="1:9" x14ac:dyDescent="0.25">
      <c r="B2991" s="67" t="s">
        <v>3558</v>
      </c>
      <c r="C2991" s="67">
        <v>0</v>
      </c>
      <c r="D2991" s="67">
        <v>0</v>
      </c>
      <c r="E2991" s="67">
        <v>83900.45</v>
      </c>
      <c r="H2991" s="67" t="s">
        <v>146</v>
      </c>
    </row>
    <row r="2993" spans="1:9" x14ac:dyDescent="0.25">
      <c r="A2993" s="67" t="s">
        <v>3557</v>
      </c>
      <c r="B2993" s="67" t="s">
        <v>3556</v>
      </c>
      <c r="C2993" s="67">
        <v>0</v>
      </c>
      <c r="D2993" s="67">
        <v>0</v>
      </c>
      <c r="E2993" s="67">
        <v>83900.41</v>
      </c>
      <c r="F2993" s="67">
        <v>25250</v>
      </c>
      <c r="H2993" s="68">
        <v>40764</v>
      </c>
      <c r="I2993" s="67" t="s">
        <v>148</v>
      </c>
    </row>
    <row r="2994" spans="1:9" x14ac:dyDescent="0.25">
      <c r="B2994" s="67" t="s">
        <v>3556</v>
      </c>
      <c r="C2994" s="67">
        <v>0</v>
      </c>
      <c r="D2994" s="67">
        <v>0</v>
      </c>
      <c r="E2994" s="67">
        <v>83900.45</v>
      </c>
      <c r="H2994" s="67" t="s">
        <v>146</v>
      </c>
    </row>
    <row r="2996" spans="1:9" x14ac:dyDescent="0.25">
      <c r="A2996" s="67" t="s">
        <v>3555</v>
      </c>
      <c r="B2996" s="67" t="s">
        <v>3554</v>
      </c>
      <c r="C2996" s="67">
        <v>0</v>
      </c>
      <c r="D2996" s="67">
        <v>0</v>
      </c>
      <c r="E2996" s="67">
        <v>83900.41</v>
      </c>
      <c r="F2996" s="67">
        <v>25250</v>
      </c>
      <c r="H2996" s="68">
        <v>40764</v>
      </c>
      <c r="I2996" s="67" t="s">
        <v>148</v>
      </c>
    </row>
    <row r="2997" spans="1:9" x14ac:dyDescent="0.25">
      <c r="B2997" s="67" t="s">
        <v>3554</v>
      </c>
      <c r="C2997" s="67">
        <v>0</v>
      </c>
      <c r="D2997" s="67">
        <v>0</v>
      </c>
      <c r="E2997" s="67">
        <v>83900.45</v>
      </c>
      <c r="H2997" s="67" t="s">
        <v>146</v>
      </c>
    </row>
    <row r="2999" spans="1:9" x14ac:dyDescent="0.25">
      <c r="A2999" s="67" t="s">
        <v>3553</v>
      </c>
      <c r="B2999" s="67" t="s">
        <v>3552</v>
      </c>
      <c r="C2999" s="67">
        <v>0</v>
      </c>
      <c r="D2999" s="67">
        <v>0</v>
      </c>
      <c r="E2999" s="67">
        <v>83900.41</v>
      </c>
      <c r="F2999" s="67">
        <v>25250</v>
      </c>
      <c r="H2999" s="68">
        <v>40764</v>
      </c>
      <c r="I2999" s="67" t="s">
        <v>148</v>
      </c>
    </row>
    <row r="3000" spans="1:9" x14ac:dyDescent="0.25">
      <c r="B3000" s="67" t="s">
        <v>3552</v>
      </c>
      <c r="C3000" s="67">
        <v>0</v>
      </c>
      <c r="D3000" s="67">
        <v>0</v>
      </c>
      <c r="E3000" s="67">
        <v>83900.45</v>
      </c>
      <c r="H3000" s="67" t="s">
        <v>146</v>
      </c>
    </row>
    <row r="3002" spans="1:9" x14ac:dyDescent="0.25">
      <c r="A3002" s="67" t="s">
        <v>3551</v>
      </c>
      <c r="B3002" s="67" t="s">
        <v>3550</v>
      </c>
      <c r="C3002" s="67">
        <v>0</v>
      </c>
      <c r="D3002" s="67">
        <v>0</v>
      </c>
      <c r="E3002" s="67">
        <v>83900.41</v>
      </c>
      <c r="F3002" s="67">
        <v>25250</v>
      </c>
      <c r="H3002" s="68">
        <v>40764</v>
      </c>
      <c r="I3002" s="67" t="s">
        <v>148</v>
      </c>
    </row>
    <row r="3003" spans="1:9" x14ac:dyDescent="0.25">
      <c r="B3003" s="67" t="s">
        <v>3550</v>
      </c>
      <c r="C3003" s="67">
        <v>0</v>
      </c>
      <c r="D3003" s="67">
        <v>0</v>
      </c>
      <c r="E3003" s="67">
        <v>83900.45</v>
      </c>
      <c r="H3003" s="67" t="s">
        <v>146</v>
      </c>
    </row>
    <row r="3005" spans="1:9" x14ac:dyDescent="0.25">
      <c r="A3005" s="67" t="s">
        <v>3549</v>
      </c>
      <c r="B3005" s="67" t="s">
        <v>3548</v>
      </c>
      <c r="C3005" s="67">
        <v>0</v>
      </c>
      <c r="D3005" s="67">
        <v>0</v>
      </c>
      <c r="E3005" s="67">
        <v>83900.41</v>
      </c>
      <c r="F3005" s="67">
        <v>25250</v>
      </c>
      <c r="H3005" s="68">
        <v>40764</v>
      </c>
      <c r="I3005" s="67" t="s">
        <v>148</v>
      </c>
    </row>
    <row r="3006" spans="1:9" x14ac:dyDescent="0.25">
      <c r="B3006" s="67" t="s">
        <v>3548</v>
      </c>
      <c r="C3006" s="67">
        <v>0</v>
      </c>
      <c r="D3006" s="67">
        <v>0</v>
      </c>
      <c r="E3006" s="67">
        <v>83900.45</v>
      </c>
      <c r="H3006" s="67" t="s">
        <v>146</v>
      </c>
    </row>
    <row r="3008" spans="1:9" x14ac:dyDescent="0.25">
      <c r="A3008" s="67" t="s">
        <v>3547</v>
      </c>
      <c r="B3008" s="67" t="s">
        <v>3546</v>
      </c>
      <c r="C3008" s="67">
        <v>0</v>
      </c>
      <c r="D3008" s="67">
        <v>0</v>
      </c>
      <c r="E3008" s="67">
        <v>83900.41</v>
      </c>
      <c r="F3008" s="67">
        <v>25250</v>
      </c>
      <c r="H3008" s="68">
        <v>40764</v>
      </c>
      <c r="I3008" s="67" t="s">
        <v>148</v>
      </c>
    </row>
    <row r="3009" spans="1:9" x14ac:dyDescent="0.25">
      <c r="B3009" s="67" t="s">
        <v>3546</v>
      </c>
      <c r="C3009" s="67">
        <v>0</v>
      </c>
      <c r="D3009" s="67">
        <v>0</v>
      </c>
      <c r="E3009" s="67">
        <v>83900.45</v>
      </c>
      <c r="H3009" s="67" t="s">
        <v>146</v>
      </c>
    </row>
    <row r="3011" spans="1:9" x14ac:dyDescent="0.25">
      <c r="A3011" s="67" t="s">
        <v>3545</v>
      </c>
      <c r="B3011" s="67" t="s">
        <v>3544</v>
      </c>
      <c r="C3011" s="67">
        <v>0</v>
      </c>
      <c r="D3011" s="67">
        <v>0</v>
      </c>
      <c r="E3011" s="67">
        <v>83900.41</v>
      </c>
      <c r="F3011" s="67">
        <v>25250</v>
      </c>
      <c r="H3011" s="68">
        <v>40764</v>
      </c>
      <c r="I3011" s="67" t="s">
        <v>148</v>
      </c>
    </row>
    <row r="3012" spans="1:9" x14ac:dyDescent="0.25">
      <c r="B3012" s="67" t="s">
        <v>3544</v>
      </c>
      <c r="C3012" s="67">
        <v>0</v>
      </c>
      <c r="D3012" s="67">
        <v>0</v>
      </c>
      <c r="E3012" s="67">
        <v>83900.45</v>
      </c>
      <c r="H3012" s="67" t="s">
        <v>146</v>
      </c>
    </row>
    <row r="3014" spans="1:9" x14ac:dyDescent="0.25">
      <c r="A3014" s="67" t="s">
        <v>3543</v>
      </c>
      <c r="B3014" s="67" t="s">
        <v>3542</v>
      </c>
      <c r="C3014" s="67">
        <v>0</v>
      </c>
      <c r="D3014" s="67">
        <v>0</v>
      </c>
      <c r="E3014" s="67">
        <v>83900.41</v>
      </c>
      <c r="F3014" s="67">
        <v>25250</v>
      </c>
      <c r="H3014" s="68">
        <v>40764</v>
      </c>
      <c r="I3014" s="67" t="s">
        <v>148</v>
      </c>
    </row>
    <row r="3015" spans="1:9" x14ac:dyDescent="0.25">
      <c r="B3015" s="67" t="s">
        <v>3542</v>
      </c>
      <c r="C3015" s="67">
        <v>0</v>
      </c>
      <c r="D3015" s="67">
        <v>0</v>
      </c>
      <c r="E3015" s="67">
        <v>83900.45</v>
      </c>
      <c r="H3015" s="67" t="s">
        <v>146</v>
      </c>
    </row>
    <row r="3017" spans="1:9" x14ac:dyDescent="0.25">
      <c r="A3017" s="67" t="s">
        <v>3541</v>
      </c>
      <c r="B3017" s="67" t="s">
        <v>3540</v>
      </c>
      <c r="C3017" s="67">
        <v>0</v>
      </c>
      <c r="D3017" s="67">
        <v>0</v>
      </c>
      <c r="E3017" s="67">
        <v>83900.41</v>
      </c>
      <c r="F3017" s="67">
        <v>25250</v>
      </c>
      <c r="H3017" s="68">
        <v>40764</v>
      </c>
      <c r="I3017" s="67" t="s">
        <v>148</v>
      </c>
    </row>
    <row r="3018" spans="1:9" x14ac:dyDescent="0.25">
      <c r="B3018" s="67" t="s">
        <v>3540</v>
      </c>
      <c r="C3018" s="67">
        <v>0</v>
      </c>
      <c r="D3018" s="67">
        <v>0</v>
      </c>
      <c r="E3018" s="67">
        <v>83900.45</v>
      </c>
      <c r="H3018" s="67" t="s">
        <v>146</v>
      </c>
    </row>
    <row r="3020" spans="1:9" x14ac:dyDescent="0.25">
      <c r="A3020" s="67" t="s">
        <v>3539</v>
      </c>
      <c r="B3020" s="67" t="s">
        <v>3538</v>
      </c>
      <c r="C3020" s="67">
        <v>0</v>
      </c>
      <c r="D3020" s="67">
        <v>0</v>
      </c>
      <c r="E3020" s="67">
        <v>83900.41</v>
      </c>
      <c r="F3020" s="67">
        <v>25250</v>
      </c>
      <c r="H3020" s="68">
        <v>40764</v>
      </c>
      <c r="I3020" s="67" t="s">
        <v>148</v>
      </c>
    </row>
    <row r="3021" spans="1:9" x14ac:dyDescent="0.25">
      <c r="B3021" s="67" t="s">
        <v>3538</v>
      </c>
      <c r="C3021" s="67">
        <v>0</v>
      </c>
      <c r="D3021" s="67">
        <v>0</v>
      </c>
      <c r="E3021" s="67">
        <v>83900.45</v>
      </c>
      <c r="H3021" s="67" t="s">
        <v>146</v>
      </c>
    </row>
    <row r="3023" spans="1:9" x14ac:dyDescent="0.25">
      <c r="A3023" s="67" t="s">
        <v>3537</v>
      </c>
      <c r="B3023" s="67" t="s">
        <v>3536</v>
      </c>
      <c r="C3023" s="67">
        <v>0</v>
      </c>
      <c r="D3023" s="67">
        <v>0</v>
      </c>
      <c r="E3023" s="67">
        <v>83900.41</v>
      </c>
      <c r="F3023" s="67">
        <v>25250</v>
      </c>
      <c r="H3023" s="68">
        <v>40764</v>
      </c>
      <c r="I3023" s="67" t="s">
        <v>148</v>
      </c>
    </row>
    <row r="3024" spans="1:9" x14ac:dyDescent="0.25">
      <c r="B3024" s="67" t="s">
        <v>3536</v>
      </c>
      <c r="C3024" s="67">
        <v>0</v>
      </c>
      <c r="D3024" s="67">
        <v>0</v>
      </c>
      <c r="E3024" s="67">
        <v>83900.45</v>
      </c>
      <c r="H3024" s="67" t="s">
        <v>146</v>
      </c>
    </row>
    <row r="3026" spans="1:9" x14ac:dyDescent="0.25">
      <c r="A3026" s="67" t="s">
        <v>3535</v>
      </c>
      <c r="B3026" s="67" t="s">
        <v>3534</v>
      </c>
      <c r="C3026" s="67">
        <v>0</v>
      </c>
      <c r="D3026" s="67">
        <v>0</v>
      </c>
      <c r="E3026" s="67">
        <v>83900.41</v>
      </c>
      <c r="F3026" s="67">
        <v>25250</v>
      </c>
      <c r="H3026" s="68">
        <v>40764</v>
      </c>
      <c r="I3026" s="67" t="s">
        <v>148</v>
      </c>
    </row>
    <row r="3027" spans="1:9" x14ac:dyDescent="0.25">
      <c r="B3027" s="67" t="s">
        <v>3534</v>
      </c>
      <c r="C3027" s="67">
        <v>0</v>
      </c>
      <c r="D3027" s="67">
        <v>0</v>
      </c>
      <c r="E3027" s="67">
        <v>83900.45</v>
      </c>
      <c r="H3027" s="67" t="s">
        <v>146</v>
      </c>
    </row>
    <row r="3028" spans="1:9" x14ac:dyDescent="0.25">
      <c r="A3028" s="67" t="s">
        <v>233</v>
      </c>
    </row>
    <row r="3030" spans="1:9" x14ac:dyDescent="0.25">
      <c r="A3030" s="67" t="s">
        <v>232</v>
      </c>
      <c r="D3030" s="67" t="s">
        <v>231</v>
      </c>
      <c r="H3030" s="67" t="s">
        <v>148</v>
      </c>
      <c r="I3030" s="67" t="s">
        <v>230</v>
      </c>
    </row>
    <row r="3031" spans="1:9" x14ac:dyDescent="0.25">
      <c r="A3031" s="67">
        <v>41.1</v>
      </c>
      <c r="C3031" s="67" t="s">
        <v>215</v>
      </c>
      <c r="D3031" s="67" t="s">
        <v>229</v>
      </c>
      <c r="H3031" s="70">
        <v>44771</v>
      </c>
      <c r="I3031" s="69">
        <v>0.56736111111111109</v>
      </c>
    </row>
    <row r="3032" spans="1:9" x14ac:dyDescent="0.25">
      <c r="A3032" s="67" t="s">
        <v>228</v>
      </c>
      <c r="C3032" s="67" t="s">
        <v>227</v>
      </c>
      <c r="D3032" s="67" t="s">
        <v>226</v>
      </c>
      <c r="E3032" s="67">
        <v>589</v>
      </c>
      <c r="H3032" s="67" t="s">
        <v>225</v>
      </c>
      <c r="I3032" s="67">
        <v>54</v>
      </c>
    </row>
    <row r="3033" spans="1:9" x14ac:dyDescent="0.25">
      <c r="A3033" s="67" t="s">
        <v>884</v>
      </c>
    </row>
    <row r="3034" spans="1:9" x14ac:dyDescent="0.25">
      <c r="A3034" s="67" t="s">
        <v>223</v>
      </c>
      <c r="B3034" s="67" t="s">
        <v>222</v>
      </c>
      <c r="C3034" s="67" t="s">
        <v>221</v>
      </c>
      <c r="D3034" s="67" t="s">
        <v>220</v>
      </c>
      <c r="E3034" s="67" t="s">
        <v>219</v>
      </c>
      <c r="F3034" s="67" t="s">
        <v>217</v>
      </c>
      <c r="G3034" s="67" t="s">
        <v>218</v>
      </c>
      <c r="H3034" s="67" t="s">
        <v>217</v>
      </c>
      <c r="I3034" s="67" t="s">
        <v>216</v>
      </c>
    </row>
    <row r="3035" spans="1:9" x14ac:dyDescent="0.25">
      <c r="A3035" s="67" t="s">
        <v>215</v>
      </c>
      <c r="B3035" s="67" t="s">
        <v>214</v>
      </c>
      <c r="C3035" s="67" t="s">
        <v>213</v>
      </c>
      <c r="D3035" s="67" t="s">
        <v>212</v>
      </c>
      <c r="E3035" s="67" t="s">
        <v>211</v>
      </c>
      <c r="F3035" s="67" t="s">
        <v>210</v>
      </c>
      <c r="G3035" s="67" t="s">
        <v>209</v>
      </c>
      <c r="H3035" s="67" t="s">
        <v>208</v>
      </c>
      <c r="I3035" s="67" t="s">
        <v>207</v>
      </c>
    </row>
    <row r="3036" spans="1:9" x14ac:dyDescent="0.25">
      <c r="A3036" s="67" t="s">
        <v>206</v>
      </c>
      <c r="B3036" s="67" t="s">
        <v>205</v>
      </c>
      <c r="C3036" s="67" t="s">
        <v>204</v>
      </c>
      <c r="D3036" s="67" t="s">
        <v>203</v>
      </c>
      <c r="E3036" s="67" t="s">
        <v>202</v>
      </c>
      <c r="F3036" s="67" t="s">
        <v>201</v>
      </c>
      <c r="G3036" s="67" t="s">
        <v>200</v>
      </c>
      <c r="H3036" s="67" t="s">
        <v>199</v>
      </c>
    </row>
    <row r="3037" spans="1:9" x14ac:dyDescent="0.25">
      <c r="A3037" s="67" t="s">
        <v>3533</v>
      </c>
      <c r="B3037" s="67" t="s">
        <v>3532</v>
      </c>
      <c r="C3037" s="67">
        <v>0</v>
      </c>
      <c r="D3037" s="67">
        <v>0</v>
      </c>
      <c r="E3037" s="67">
        <v>83900.41</v>
      </c>
      <c r="F3037" s="67">
        <v>25250</v>
      </c>
      <c r="H3037" s="68">
        <v>40764</v>
      </c>
      <c r="I3037" s="67" t="s">
        <v>148</v>
      </c>
    </row>
    <row r="3038" spans="1:9" x14ac:dyDescent="0.25">
      <c r="B3038" s="67" t="s">
        <v>3532</v>
      </c>
      <c r="C3038" s="67">
        <v>0</v>
      </c>
      <c r="D3038" s="67">
        <v>0</v>
      </c>
      <c r="E3038" s="67">
        <v>83900.45</v>
      </c>
      <c r="H3038" s="67" t="s">
        <v>146</v>
      </c>
    </row>
    <row r="3040" spans="1:9" x14ac:dyDescent="0.25">
      <c r="A3040" s="67" t="s">
        <v>3531</v>
      </c>
      <c r="B3040" s="67" t="s">
        <v>3530</v>
      </c>
      <c r="C3040" s="67">
        <v>0</v>
      </c>
      <c r="D3040" s="67">
        <v>0</v>
      </c>
      <c r="E3040" s="67">
        <v>83900.41</v>
      </c>
      <c r="F3040" s="67">
        <v>25250</v>
      </c>
      <c r="H3040" s="68">
        <v>40764</v>
      </c>
      <c r="I3040" s="67" t="s">
        <v>148</v>
      </c>
    </row>
    <row r="3041" spans="1:9" x14ac:dyDescent="0.25">
      <c r="B3041" s="67" t="s">
        <v>3530</v>
      </c>
      <c r="C3041" s="67">
        <v>0</v>
      </c>
      <c r="D3041" s="67">
        <v>0</v>
      </c>
      <c r="E3041" s="67">
        <v>83900.45</v>
      </c>
      <c r="H3041" s="67" t="s">
        <v>146</v>
      </c>
    </row>
    <row r="3043" spans="1:9" x14ac:dyDescent="0.25">
      <c r="A3043" s="67" t="s">
        <v>3529</v>
      </c>
      <c r="B3043" s="67" t="s">
        <v>3528</v>
      </c>
      <c r="C3043" s="67">
        <v>0</v>
      </c>
      <c r="D3043" s="67">
        <v>0</v>
      </c>
      <c r="E3043" s="67">
        <v>83900.41</v>
      </c>
      <c r="F3043" s="67">
        <v>25250</v>
      </c>
      <c r="H3043" s="68">
        <v>40764</v>
      </c>
      <c r="I3043" s="67" t="s">
        <v>148</v>
      </c>
    </row>
    <row r="3044" spans="1:9" x14ac:dyDescent="0.25">
      <c r="B3044" s="67" t="s">
        <v>3528</v>
      </c>
      <c r="C3044" s="67">
        <v>0</v>
      </c>
      <c r="D3044" s="67">
        <v>0</v>
      </c>
      <c r="E3044" s="67">
        <v>83900.45</v>
      </c>
      <c r="H3044" s="67" t="s">
        <v>146</v>
      </c>
    </row>
    <row r="3046" spans="1:9" x14ac:dyDescent="0.25">
      <c r="A3046" s="67" t="s">
        <v>3527</v>
      </c>
      <c r="B3046" s="67" t="s">
        <v>3526</v>
      </c>
      <c r="C3046" s="67">
        <v>0</v>
      </c>
      <c r="D3046" s="67">
        <v>0</v>
      </c>
      <c r="E3046" s="67">
        <v>83900.41</v>
      </c>
      <c r="F3046" s="67">
        <v>25250</v>
      </c>
      <c r="H3046" s="68">
        <v>40764</v>
      </c>
      <c r="I3046" s="67" t="s">
        <v>148</v>
      </c>
    </row>
    <row r="3047" spans="1:9" x14ac:dyDescent="0.25">
      <c r="B3047" s="67" t="s">
        <v>3526</v>
      </c>
      <c r="C3047" s="67">
        <v>0</v>
      </c>
      <c r="D3047" s="67">
        <v>0</v>
      </c>
      <c r="E3047" s="67">
        <v>83900.45</v>
      </c>
      <c r="H3047" s="67" t="s">
        <v>146</v>
      </c>
    </row>
    <row r="3049" spans="1:9" x14ac:dyDescent="0.25">
      <c r="A3049" s="67" t="s">
        <v>3525</v>
      </c>
      <c r="B3049" s="67" t="s">
        <v>3524</v>
      </c>
      <c r="C3049" s="67">
        <v>0</v>
      </c>
      <c r="D3049" s="67">
        <v>0</v>
      </c>
      <c r="E3049" s="67">
        <v>83900.41</v>
      </c>
      <c r="F3049" s="67">
        <v>25250</v>
      </c>
      <c r="H3049" s="68">
        <v>40764</v>
      </c>
      <c r="I3049" s="67" t="s">
        <v>148</v>
      </c>
    </row>
    <row r="3050" spans="1:9" x14ac:dyDescent="0.25">
      <c r="B3050" s="67" t="s">
        <v>3524</v>
      </c>
      <c r="C3050" s="67">
        <v>0</v>
      </c>
      <c r="D3050" s="67">
        <v>0</v>
      </c>
      <c r="E3050" s="67">
        <v>83900.45</v>
      </c>
      <c r="H3050" s="67" t="s">
        <v>146</v>
      </c>
    </row>
    <row r="3052" spans="1:9" x14ac:dyDescent="0.25">
      <c r="A3052" s="67" t="s">
        <v>3523</v>
      </c>
      <c r="B3052" s="67" t="s">
        <v>3522</v>
      </c>
      <c r="C3052" s="67">
        <v>0</v>
      </c>
      <c r="D3052" s="67">
        <v>0</v>
      </c>
      <c r="E3052" s="67">
        <v>83900.41</v>
      </c>
      <c r="F3052" s="67">
        <v>25250</v>
      </c>
      <c r="H3052" s="68">
        <v>40764</v>
      </c>
      <c r="I3052" s="67" t="s">
        <v>148</v>
      </c>
    </row>
    <row r="3053" spans="1:9" x14ac:dyDescent="0.25">
      <c r="B3053" s="67" t="s">
        <v>3522</v>
      </c>
      <c r="C3053" s="67">
        <v>0</v>
      </c>
      <c r="D3053" s="67">
        <v>0</v>
      </c>
      <c r="E3053" s="67">
        <v>83900.45</v>
      </c>
      <c r="H3053" s="67" t="s">
        <v>146</v>
      </c>
    </row>
    <row r="3055" spans="1:9" x14ac:dyDescent="0.25">
      <c r="A3055" s="67" t="s">
        <v>3521</v>
      </c>
      <c r="B3055" s="67" t="s">
        <v>3520</v>
      </c>
      <c r="C3055" s="67">
        <v>0</v>
      </c>
      <c r="D3055" s="67">
        <v>0</v>
      </c>
      <c r="E3055" s="67">
        <v>83900.41</v>
      </c>
      <c r="F3055" s="67">
        <v>25250</v>
      </c>
      <c r="H3055" s="68">
        <v>40764</v>
      </c>
      <c r="I3055" s="67" t="s">
        <v>148</v>
      </c>
    </row>
    <row r="3056" spans="1:9" x14ac:dyDescent="0.25">
      <c r="B3056" s="67" t="s">
        <v>3520</v>
      </c>
      <c r="C3056" s="67">
        <v>0</v>
      </c>
      <c r="D3056" s="67">
        <v>0</v>
      </c>
      <c r="E3056" s="67">
        <v>83900.45</v>
      </c>
      <c r="H3056" s="67" t="s">
        <v>146</v>
      </c>
    </row>
    <row r="3058" spans="1:9" x14ac:dyDescent="0.25">
      <c r="A3058" s="67" t="s">
        <v>3519</v>
      </c>
      <c r="B3058" s="67" t="s">
        <v>3518</v>
      </c>
      <c r="C3058" s="67">
        <v>0</v>
      </c>
      <c r="D3058" s="67">
        <v>0</v>
      </c>
      <c r="E3058" s="67">
        <v>83900.41</v>
      </c>
      <c r="F3058" s="67">
        <v>25250</v>
      </c>
      <c r="H3058" s="68">
        <v>40764</v>
      </c>
      <c r="I3058" s="67" t="s">
        <v>148</v>
      </c>
    </row>
    <row r="3059" spans="1:9" x14ac:dyDescent="0.25">
      <c r="B3059" s="67" t="s">
        <v>3518</v>
      </c>
      <c r="C3059" s="67">
        <v>0</v>
      </c>
      <c r="D3059" s="67">
        <v>0</v>
      </c>
      <c r="E3059" s="67">
        <v>83900.45</v>
      </c>
      <c r="H3059" s="67" t="s">
        <v>146</v>
      </c>
    </row>
    <row r="3061" spans="1:9" x14ac:dyDescent="0.25">
      <c r="A3061" s="67" t="s">
        <v>3517</v>
      </c>
      <c r="B3061" s="67" t="s">
        <v>3516</v>
      </c>
      <c r="C3061" s="67">
        <v>0</v>
      </c>
      <c r="D3061" s="67">
        <v>0</v>
      </c>
      <c r="E3061" s="67">
        <v>83900.41</v>
      </c>
      <c r="F3061" s="67">
        <v>25250</v>
      </c>
      <c r="H3061" s="68">
        <v>40764</v>
      </c>
      <c r="I3061" s="67" t="s">
        <v>148</v>
      </c>
    </row>
    <row r="3062" spans="1:9" x14ac:dyDescent="0.25">
      <c r="B3062" s="67" t="s">
        <v>3516</v>
      </c>
      <c r="C3062" s="67">
        <v>0</v>
      </c>
      <c r="D3062" s="67">
        <v>0</v>
      </c>
      <c r="E3062" s="67">
        <v>83900.45</v>
      </c>
      <c r="H3062" s="67" t="s">
        <v>146</v>
      </c>
    </row>
    <row r="3064" spans="1:9" x14ac:dyDescent="0.25">
      <c r="A3064" s="67" t="s">
        <v>3515</v>
      </c>
      <c r="B3064" s="67" t="s">
        <v>3514</v>
      </c>
      <c r="C3064" s="67">
        <v>0</v>
      </c>
      <c r="D3064" s="67">
        <v>0</v>
      </c>
      <c r="E3064" s="67">
        <v>83900.41</v>
      </c>
      <c r="F3064" s="67">
        <v>25250</v>
      </c>
      <c r="H3064" s="68">
        <v>40764</v>
      </c>
      <c r="I3064" s="67" t="s">
        <v>148</v>
      </c>
    </row>
    <row r="3065" spans="1:9" x14ac:dyDescent="0.25">
      <c r="B3065" s="67" t="s">
        <v>3514</v>
      </c>
      <c r="C3065" s="67">
        <v>0</v>
      </c>
      <c r="D3065" s="67">
        <v>0</v>
      </c>
      <c r="E3065" s="67">
        <v>83900.45</v>
      </c>
      <c r="H3065" s="67" t="s">
        <v>146</v>
      </c>
    </row>
    <row r="3067" spans="1:9" x14ac:dyDescent="0.25">
      <c r="A3067" s="67" t="s">
        <v>3513</v>
      </c>
      <c r="B3067" s="67" t="s">
        <v>3512</v>
      </c>
      <c r="C3067" s="67">
        <v>0</v>
      </c>
      <c r="D3067" s="67">
        <v>0</v>
      </c>
      <c r="E3067" s="67">
        <v>83900.41</v>
      </c>
      <c r="F3067" s="67">
        <v>25250</v>
      </c>
      <c r="H3067" s="68">
        <v>40764</v>
      </c>
      <c r="I3067" s="67" t="s">
        <v>148</v>
      </c>
    </row>
    <row r="3068" spans="1:9" x14ac:dyDescent="0.25">
      <c r="B3068" s="67" t="s">
        <v>3512</v>
      </c>
      <c r="C3068" s="67">
        <v>0</v>
      </c>
      <c r="D3068" s="67">
        <v>0</v>
      </c>
      <c r="E3068" s="67">
        <v>83900.45</v>
      </c>
      <c r="H3068" s="67" t="s">
        <v>146</v>
      </c>
    </row>
    <row r="3070" spans="1:9" x14ac:dyDescent="0.25">
      <c r="A3070" s="67" t="s">
        <v>3511</v>
      </c>
      <c r="B3070" s="67" t="s">
        <v>3510</v>
      </c>
      <c r="C3070" s="67">
        <v>0</v>
      </c>
      <c r="D3070" s="67">
        <v>0</v>
      </c>
      <c r="E3070" s="67">
        <v>83900.41</v>
      </c>
      <c r="F3070" s="67">
        <v>25250</v>
      </c>
      <c r="H3070" s="68">
        <v>40764</v>
      </c>
      <c r="I3070" s="67" t="s">
        <v>148</v>
      </c>
    </row>
    <row r="3071" spans="1:9" x14ac:dyDescent="0.25">
      <c r="B3071" s="67" t="s">
        <v>3510</v>
      </c>
      <c r="C3071" s="67">
        <v>0</v>
      </c>
      <c r="D3071" s="67">
        <v>0</v>
      </c>
      <c r="E3071" s="67">
        <v>83900.45</v>
      </c>
      <c r="H3071" s="67" t="s">
        <v>146</v>
      </c>
    </row>
    <row r="3073" spans="1:9" x14ac:dyDescent="0.25">
      <c r="A3073" s="67" t="s">
        <v>3509</v>
      </c>
      <c r="B3073" s="67" t="s">
        <v>3508</v>
      </c>
      <c r="C3073" s="67">
        <v>0</v>
      </c>
      <c r="D3073" s="67">
        <v>0</v>
      </c>
      <c r="E3073" s="67">
        <v>83900.41</v>
      </c>
      <c r="F3073" s="67">
        <v>25250</v>
      </c>
      <c r="H3073" s="68">
        <v>40764</v>
      </c>
      <c r="I3073" s="67" t="s">
        <v>148</v>
      </c>
    </row>
    <row r="3074" spans="1:9" x14ac:dyDescent="0.25">
      <c r="B3074" s="67" t="s">
        <v>3508</v>
      </c>
      <c r="C3074" s="67">
        <v>0</v>
      </c>
      <c r="D3074" s="67">
        <v>0</v>
      </c>
      <c r="E3074" s="67">
        <v>83900.45</v>
      </c>
      <c r="H3074" s="67" t="s">
        <v>146</v>
      </c>
    </row>
    <row r="3076" spans="1:9" x14ac:dyDescent="0.25">
      <c r="A3076" s="67" t="s">
        <v>3507</v>
      </c>
      <c r="B3076" s="67" t="s">
        <v>3506</v>
      </c>
      <c r="C3076" s="67">
        <v>0</v>
      </c>
      <c r="D3076" s="67">
        <v>0</v>
      </c>
      <c r="E3076" s="67">
        <v>83900.41</v>
      </c>
      <c r="F3076" s="67">
        <v>25250</v>
      </c>
      <c r="H3076" s="68">
        <v>40764</v>
      </c>
      <c r="I3076" s="67" t="s">
        <v>148</v>
      </c>
    </row>
    <row r="3077" spans="1:9" x14ac:dyDescent="0.25">
      <c r="B3077" s="67" t="s">
        <v>3506</v>
      </c>
      <c r="C3077" s="67">
        <v>0</v>
      </c>
      <c r="D3077" s="67">
        <v>0</v>
      </c>
      <c r="E3077" s="67">
        <v>83900.45</v>
      </c>
      <c r="H3077" s="67" t="s">
        <v>146</v>
      </c>
    </row>
    <row r="3079" spans="1:9" x14ac:dyDescent="0.25">
      <c r="A3079" s="67" t="s">
        <v>3505</v>
      </c>
      <c r="B3079" s="67" t="s">
        <v>3504</v>
      </c>
      <c r="C3079" s="67">
        <v>0</v>
      </c>
      <c r="D3079" s="67">
        <v>0</v>
      </c>
      <c r="E3079" s="67">
        <v>83900.41</v>
      </c>
      <c r="F3079" s="67">
        <v>25250</v>
      </c>
      <c r="H3079" s="68">
        <v>40764</v>
      </c>
      <c r="I3079" s="67" t="s">
        <v>148</v>
      </c>
    </row>
    <row r="3080" spans="1:9" x14ac:dyDescent="0.25">
      <c r="B3080" s="67" t="s">
        <v>3504</v>
      </c>
      <c r="C3080" s="67">
        <v>0</v>
      </c>
      <c r="D3080" s="67">
        <v>0</v>
      </c>
      <c r="E3080" s="67">
        <v>83900.45</v>
      </c>
      <c r="H3080" s="67" t="s">
        <v>146</v>
      </c>
    </row>
    <row r="3082" spans="1:9" x14ac:dyDescent="0.25">
      <c r="A3082" s="67" t="s">
        <v>3503</v>
      </c>
      <c r="B3082" s="67" t="s">
        <v>3502</v>
      </c>
      <c r="C3082" s="67">
        <v>0</v>
      </c>
      <c r="D3082" s="67">
        <v>0</v>
      </c>
      <c r="E3082" s="67">
        <v>83900.41</v>
      </c>
      <c r="F3082" s="67">
        <v>25250</v>
      </c>
      <c r="H3082" s="68">
        <v>40764</v>
      </c>
      <c r="I3082" s="67" t="s">
        <v>148</v>
      </c>
    </row>
    <row r="3083" spans="1:9" x14ac:dyDescent="0.25">
      <c r="B3083" s="67" t="s">
        <v>3502</v>
      </c>
      <c r="C3083" s="67">
        <v>0</v>
      </c>
      <c r="D3083" s="67">
        <v>0</v>
      </c>
      <c r="E3083" s="67">
        <v>83900.45</v>
      </c>
      <c r="H3083" s="67" t="s">
        <v>146</v>
      </c>
    </row>
    <row r="3085" spans="1:9" x14ac:dyDescent="0.25">
      <c r="A3085" s="67" t="s">
        <v>3501</v>
      </c>
      <c r="B3085" s="67" t="s">
        <v>3500</v>
      </c>
      <c r="C3085" s="67">
        <v>0</v>
      </c>
      <c r="D3085" s="67">
        <v>0</v>
      </c>
      <c r="E3085" s="67">
        <v>83900.41</v>
      </c>
      <c r="F3085" s="67">
        <v>25250</v>
      </c>
      <c r="H3085" s="68">
        <v>40764</v>
      </c>
      <c r="I3085" s="67" t="s">
        <v>148</v>
      </c>
    </row>
    <row r="3086" spans="1:9" x14ac:dyDescent="0.25">
      <c r="B3086" s="67" t="s">
        <v>3500</v>
      </c>
      <c r="C3086" s="67">
        <v>0</v>
      </c>
      <c r="D3086" s="67">
        <v>0</v>
      </c>
      <c r="E3086" s="67">
        <v>83900.45</v>
      </c>
      <c r="H3086" s="67" t="s">
        <v>146</v>
      </c>
    </row>
    <row r="3087" spans="1:9" x14ac:dyDescent="0.25">
      <c r="A3087" s="67" t="s">
        <v>233</v>
      </c>
    </row>
    <row r="3089" spans="1:9" x14ac:dyDescent="0.25">
      <c r="A3089" s="67" t="s">
        <v>232</v>
      </c>
      <c r="D3089" s="67" t="s">
        <v>231</v>
      </c>
      <c r="H3089" s="67" t="s">
        <v>148</v>
      </c>
      <c r="I3089" s="67" t="s">
        <v>230</v>
      </c>
    </row>
    <row r="3090" spans="1:9" x14ac:dyDescent="0.25">
      <c r="A3090" s="67">
        <v>41.1</v>
      </c>
      <c r="C3090" s="67" t="s">
        <v>215</v>
      </c>
      <c r="D3090" s="67" t="s">
        <v>229</v>
      </c>
      <c r="H3090" s="70">
        <v>44771</v>
      </c>
      <c r="I3090" s="69">
        <v>0.56736111111111109</v>
      </c>
    </row>
    <row r="3091" spans="1:9" x14ac:dyDescent="0.25">
      <c r="A3091" s="67" t="s">
        <v>228</v>
      </c>
      <c r="C3091" s="67" t="s">
        <v>227</v>
      </c>
      <c r="D3091" s="67" t="s">
        <v>226</v>
      </c>
      <c r="E3091" s="67">
        <v>589</v>
      </c>
      <c r="H3091" s="67" t="s">
        <v>225</v>
      </c>
      <c r="I3091" s="67">
        <v>55</v>
      </c>
    </row>
    <row r="3092" spans="1:9" x14ac:dyDescent="0.25">
      <c r="A3092" s="67" t="s">
        <v>884</v>
      </c>
    </row>
    <row r="3093" spans="1:9" x14ac:dyDescent="0.25">
      <c r="A3093" s="67" t="s">
        <v>223</v>
      </c>
      <c r="B3093" s="67" t="s">
        <v>222</v>
      </c>
      <c r="C3093" s="67" t="s">
        <v>221</v>
      </c>
      <c r="D3093" s="67" t="s">
        <v>220</v>
      </c>
      <c r="E3093" s="67" t="s">
        <v>219</v>
      </c>
      <c r="F3093" s="67" t="s">
        <v>217</v>
      </c>
      <c r="G3093" s="67" t="s">
        <v>218</v>
      </c>
      <c r="H3093" s="67" t="s">
        <v>217</v>
      </c>
      <c r="I3093" s="67" t="s">
        <v>216</v>
      </c>
    </row>
    <row r="3094" spans="1:9" x14ac:dyDescent="0.25">
      <c r="A3094" s="67" t="s">
        <v>215</v>
      </c>
      <c r="B3094" s="67" t="s">
        <v>214</v>
      </c>
      <c r="C3094" s="67" t="s">
        <v>213</v>
      </c>
      <c r="D3094" s="67" t="s">
        <v>212</v>
      </c>
      <c r="E3094" s="67" t="s">
        <v>211</v>
      </c>
      <c r="F3094" s="67" t="s">
        <v>210</v>
      </c>
      <c r="G3094" s="67" t="s">
        <v>209</v>
      </c>
      <c r="H3094" s="67" t="s">
        <v>208</v>
      </c>
      <c r="I3094" s="67" t="s">
        <v>207</v>
      </c>
    </row>
    <row r="3095" spans="1:9" x14ac:dyDescent="0.25">
      <c r="A3095" s="67" t="s">
        <v>206</v>
      </c>
      <c r="B3095" s="67" t="s">
        <v>205</v>
      </c>
      <c r="C3095" s="67" t="s">
        <v>204</v>
      </c>
      <c r="D3095" s="67" t="s">
        <v>203</v>
      </c>
      <c r="E3095" s="67" t="s">
        <v>202</v>
      </c>
      <c r="F3095" s="67" t="s">
        <v>201</v>
      </c>
      <c r="G3095" s="67" t="s">
        <v>200</v>
      </c>
      <c r="H3095" s="67" t="s">
        <v>199</v>
      </c>
    </row>
    <row r="3096" spans="1:9" x14ac:dyDescent="0.25">
      <c r="A3096" s="67" t="s">
        <v>3499</v>
      </c>
      <c r="B3096" s="67" t="s">
        <v>3498</v>
      </c>
      <c r="C3096" s="67">
        <v>0</v>
      </c>
      <c r="D3096" s="67">
        <v>0</v>
      </c>
      <c r="E3096" s="67">
        <v>83900.41</v>
      </c>
      <c r="F3096" s="67">
        <v>25250</v>
      </c>
      <c r="H3096" s="68">
        <v>40764</v>
      </c>
      <c r="I3096" s="67" t="s">
        <v>148</v>
      </c>
    </row>
    <row r="3097" spans="1:9" x14ac:dyDescent="0.25">
      <c r="B3097" s="67" t="s">
        <v>3498</v>
      </c>
      <c r="C3097" s="67">
        <v>0</v>
      </c>
      <c r="D3097" s="67">
        <v>0</v>
      </c>
      <c r="E3097" s="67">
        <v>83900.45</v>
      </c>
      <c r="H3097" s="67" t="s">
        <v>146</v>
      </c>
    </row>
    <row r="3099" spans="1:9" x14ac:dyDescent="0.25">
      <c r="A3099" s="67" t="s">
        <v>3497</v>
      </c>
      <c r="B3099" s="67" t="s">
        <v>3496</v>
      </c>
      <c r="C3099" s="67">
        <v>0</v>
      </c>
      <c r="D3099" s="67">
        <v>0</v>
      </c>
      <c r="E3099" s="67">
        <v>83900.41</v>
      </c>
      <c r="F3099" s="67">
        <v>25250</v>
      </c>
      <c r="H3099" s="68">
        <v>40764</v>
      </c>
      <c r="I3099" s="67" t="s">
        <v>148</v>
      </c>
    </row>
    <row r="3100" spans="1:9" x14ac:dyDescent="0.25">
      <c r="B3100" s="67" t="s">
        <v>3496</v>
      </c>
      <c r="C3100" s="67">
        <v>0</v>
      </c>
      <c r="D3100" s="67">
        <v>0</v>
      </c>
      <c r="E3100" s="67">
        <v>83900.45</v>
      </c>
      <c r="H3100" s="67" t="s">
        <v>146</v>
      </c>
    </row>
    <row r="3102" spans="1:9" x14ac:dyDescent="0.25">
      <c r="A3102" s="67" t="s">
        <v>3495</v>
      </c>
      <c r="B3102" s="67" t="s">
        <v>3494</v>
      </c>
      <c r="C3102" s="67">
        <v>0</v>
      </c>
      <c r="D3102" s="67">
        <v>0</v>
      </c>
      <c r="E3102" s="67">
        <v>83900.41</v>
      </c>
      <c r="F3102" s="67">
        <v>25250</v>
      </c>
      <c r="H3102" s="68">
        <v>40764</v>
      </c>
      <c r="I3102" s="67" t="s">
        <v>148</v>
      </c>
    </row>
    <row r="3103" spans="1:9" x14ac:dyDescent="0.25">
      <c r="B3103" s="67" t="s">
        <v>3494</v>
      </c>
      <c r="C3103" s="67">
        <v>0</v>
      </c>
      <c r="D3103" s="67">
        <v>0</v>
      </c>
      <c r="E3103" s="67">
        <v>83900.45</v>
      </c>
      <c r="H3103" s="67" t="s">
        <v>146</v>
      </c>
    </row>
    <row r="3105" spans="1:9" x14ac:dyDescent="0.25">
      <c r="A3105" s="67" t="s">
        <v>3493</v>
      </c>
      <c r="B3105" s="67" t="s">
        <v>3492</v>
      </c>
      <c r="C3105" s="67">
        <v>0</v>
      </c>
      <c r="D3105" s="67">
        <v>0</v>
      </c>
      <c r="E3105" s="67">
        <v>83900.41</v>
      </c>
      <c r="F3105" s="67">
        <v>25250</v>
      </c>
      <c r="H3105" s="68">
        <v>40764</v>
      </c>
      <c r="I3105" s="67" t="s">
        <v>148</v>
      </c>
    </row>
    <row r="3106" spans="1:9" x14ac:dyDescent="0.25">
      <c r="B3106" s="67" t="s">
        <v>3492</v>
      </c>
      <c r="C3106" s="67">
        <v>0</v>
      </c>
      <c r="D3106" s="67">
        <v>0</v>
      </c>
      <c r="E3106" s="67">
        <v>83900.45</v>
      </c>
      <c r="H3106" s="67" t="s">
        <v>146</v>
      </c>
    </row>
    <row r="3108" spans="1:9" x14ac:dyDescent="0.25">
      <c r="A3108" s="67" t="s">
        <v>3491</v>
      </c>
      <c r="B3108" s="67" t="s">
        <v>3490</v>
      </c>
      <c r="C3108" s="67">
        <v>0</v>
      </c>
      <c r="D3108" s="67">
        <v>0</v>
      </c>
      <c r="E3108" s="67">
        <v>83900.41</v>
      </c>
      <c r="F3108" s="67">
        <v>25250</v>
      </c>
      <c r="H3108" s="68">
        <v>40764</v>
      </c>
      <c r="I3108" s="67" t="s">
        <v>148</v>
      </c>
    </row>
    <row r="3109" spans="1:9" x14ac:dyDescent="0.25">
      <c r="B3109" s="67" t="s">
        <v>3490</v>
      </c>
      <c r="C3109" s="67">
        <v>0</v>
      </c>
      <c r="D3109" s="67">
        <v>0</v>
      </c>
      <c r="E3109" s="67">
        <v>83900.45</v>
      </c>
      <c r="H3109" s="67" t="s">
        <v>146</v>
      </c>
    </row>
    <row r="3111" spans="1:9" x14ac:dyDescent="0.25">
      <c r="A3111" s="67" t="s">
        <v>3489</v>
      </c>
      <c r="B3111" s="67" t="s">
        <v>3488</v>
      </c>
      <c r="C3111" s="67">
        <v>0</v>
      </c>
      <c r="D3111" s="67">
        <v>0</v>
      </c>
      <c r="E3111" s="67">
        <v>83900.41</v>
      </c>
      <c r="F3111" s="67">
        <v>25250</v>
      </c>
      <c r="H3111" s="68">
        <v>40764</v>
      </c>
      <c r="I3111" s="67" t="s">
        <v>148</v>
      </c>
    </row>
    <row r="3112" spans="1:9" x14ac:dyDescent="0.25">
      <c r="B3112" s="67" t="s">
        <v>3488</v>
      </c>
      <c r="C3112" s="67">
        <v>0</v>
      </c>
      <c r="D3112" s="67">
        <v>0</v>
      </c>
      <c r="E3112" s="67">
        <v>83900.45</v>
      </c>
      <c r="H3112" s="67" t="s">
        <v>146</v>
      </c>
    </row>
    <row r="3114" spans="1:9" x14ac:dyDescent="0.25">
      <c r="A3114" s="67" t="s">
        <v>3487</v>
      </c>
      <c r="B3114" s="67" t="s">
        <v>3486</v>
      </c>
      <c r="C3114" s="67">
        <v>0</v>
      </c>
      <c r="D3114" s="67">
        <v>0</v>
      </c>
      <c r="E3114" s="67">
        <v>83900.41</v>
      </c>
      <c r="F3114" s="67">
        <v>25250</v>
      </c>
      <c r="H3114" s="68">
        <v>40764</v>
      </c>
      <c r="I3114" s="67" t="s">
        <v>148</v>
      </c>
    </row>
    <row r="3115" spans="1:9" x14ac:dyDescent="0.25">
      <c r="B3115" s="67" t="s">
        <v>3486</v>
      </c>
      <c r="C3115" s="67">
        <v>0</v>
      </c>
      <c r="D3115" s="67">
        <v>0</v>
      </c>
      <c r="E3115" s="67">
        <v>83900.45</v>
      </c>
      <c r="H3115" s="67" t="s">
        <v>146</v>
      </c>
    </row>
    <row r="3117" spans="1:9" x14ac:dyDescent="0.25">
      <c r="A3117" s="67" t="s">
        <v>3485</v>
      </c>
      <c r="B3117" s="67" t="s">
        <v>3484</v>
      </c>
      <c r="C3117" s="67">
        <v>0</v>
      </c>
      <c r="D3117" s="67">
        <v>0</v>
      </c>
      <c r="E3117" s="67">
        <v>83900.41</v>
      </c>
      <c r="F3117" s="67">
        <v>25250</v>
      </c>
      <c r="H3117" s="68">
        <v>40764</v>
      </c>
      <c r="I3117" s="67" t="s">
        <v>148</v>
      </c>
    </row>
    <row r="3118" spans="1:9" x14ac:dyDescent="0.25">
      <c r="B3118" s="67" t="s">
        <v>3484</v>
      </c>
      <c r="C3118" s="67">
        <v>0</v>
      </c>
      <c r="D3118" s="67">
        <v>0</v>
      </c>
      <c r="E3118" s="67">
        <v>83900.45</v>
      </c>
      <c r="H3118" s="67" t="s">
        <v>146</v>
      </c>
    </row>
    <row r="3120" spans="1:9" x14ac:dyDescent="0.25">
      <c r="A3120" s="67" t="s">
        <v>3483</v>
      </c>
      <c r="B3120" s="67" t="s">
        <v>3482</v>
      </c>
      <c r="C3120" s="67">
        <v>0</v>
      </c>
      <c r="D3120" s="67">
        <v>0</v>
      </c>
      <c r="E3120" s="67">
        <v>83900.41</v>
      </c>
      <c r="F3120" s="67">
        <v>25250</v>
      </c>
      <c r="H3120" s="68">
        <v>40764</v>
      </c>
      <c r="I3120" s="67" t="s">
        <v>148</v>
      </c>
    </row>
    <row r="3121" spans="1:9" x14ac:dyDescent="0.25">
      <c r="B3121" s="67" t="s">
        <v>3482</v>
      </c>
      <c r="C3121" s="67">
        <v>0</v>
      </c>
      <c r="D3121" s="67">
        <v>0</v>
      </c>
      <c r="E3121" s="67">
        <v>83900.45</v>
      </c>
      <c r="H3121" s="67" t="s">
        <v>146</v>
      </c>
    </row>
    <row r="3123" spans="1:9" x14ac:dyDescent="0.25">
      <c r="A3123" s="67" t="s">
        <v>3481</v>
      </c>
      <c r="B3123" s="67" t="s">
        <v>3480</v>
      </c>
      <c r="C3123" s="67">
        <v>0</v>
      </c>
      <c r="D3123" s="67">
        <v>0</v>
      </c>
      <c r="E3123" s="67">
        <v>83900.41</v>
      </c>
      <c r="F3123" s="67">
        <v>25250</v>
      </c>
      <c r="H3123" s="68">
        <v>40764</v>
      </c>
      <c r="I3123" s="67" t="s">
        <v>148</v>
      </c>
    </row>
    <row r="3124" spans="1:9" x14ac:dyDescent="0.25">
      <c r="B3124" s="67" t="s">
        <v>3480</v>
      </c>
      <c r="C3124" s="67">
        <v>0</v>
      </c>
      <c r="D3124" s="67">
        <v>0</v>
      </c>
      <c r="E3124" s="67">
        <v>83900.45</v>
      </c>
      <c r="H3124" s="67" t="s">
        <v>146</v>
      </c>
    </row>
    <row r="3126" spans="1:9" x14ac:dyDescent="0.25">
      <c r="A3126" s="67" t="s">
        <v>3479</v>
      </c>
      <c r="B3126" s="67" t="s">
        <v>3478</v>
      </c>
      <c r="C3126" s="67">
        <v>0</v>
      </c>
      <c r="D3126" s="67">
        <v>0</v>
      </c>
      <c r="E3126" s="67">
        <v>83900.41</v>
      </c>
      <c r="F3126" s="67">
        <v>25250</v>
      </c>
      <c r="H3126" s="68">
        <v>40764</v>
      </c>
      <c r="I3126" s="67" t="s">
        <v>148</v>
      </c>
    </row>
    <row r="3127" spans="1:9" x14ac:dyDescent="0.25">
      <c r="B3127" s="67" t="s">
        <v>3478</v>
      </c>
      <c r="C3127" s="67">
        <v>0</v>
      </c>
      <c r="D3127" s="67">
        <v>0</v>
      </c>
      <c r="E3127" s="67">
        <v>83900.45</v>
      </c>
      <c r="H3127" s="67" t="s">
        <v>146</v>
      </c>
    </row>
    <row r="3129" spans="1:9" x14ac:dyDescent="0.25">
      <c r="A3129" s="67" t="s">
        <v>3477</v>
      </c>
      <c r="B3129" s="67" t="s">
        <v>3476</v>
      </c>
      <c r="C3129" s="67">
        <v>0</v>
      </c>
      <c r="D3129" s="67">
        <v>0</v>
      </c>
      <c r="E3129" s="67">
        <v>83900.41</v>
      </c>
      <c r="F3129" s="67">
        <v>25250</v>
      </c>
      <c r="H3129" s="68">
        <v>40764</v>
      </c>
      <c r="I3129" s="67" t="s">
        <v>148</v>
      </c>
    </row>
    <row r="3130" spans="1:9" x14ac:dyDescent="0.25">
      <c r="B3130" s="67" t="s">
        <v>3476</v>
      </c>
      <c r="C3130" s="67">
        <v>0</v>
      </c>
      <c r="D3130" s="67">
        <v>0</v>
      </c>
      <c r="E3130" s="67">
        <v>83900.45</v>
      </c>
      <c r="H3130" s="67" t="s">
        <v>146</v>
      </c>
    </row>
    <row r="3132" spans="1:9" x14ac:dyDescent="0.25">
      <c r="A3132" s="67" t="s">
        <v>3475</v>
      </c>
      <c r="B3132" s="67" t="s">
        <v>3474</v>
      </c>
      <c r="C3132" s="67">
        <v>0</v>
      </c>
      <c r="D3132" s="67">
        <v>0</v>
      </c>
      <c r="E3132" s="67">
        <v>83900.41</v>
      </c>
      <c r="F3132" s="67">
        <v>25250</v>
      </c>
      <c r="H3132" s="68">
        <v>40764</v>
      </c>
      <c r="I3132" s="67" t="s">
        <v>148</v>
      </c>
    </row>
    <row r="3133" spans="1:9" x14ac:dyDescent="0.25">
      <c r="B3133" s="67" t="s">
        <v>3474</v>
      </c>
      <c r="C3133" s="67">
        <v>0</v>
      </c>
      <c r="D3133" s="67">
        <v>0</v>
      </c>
      <c r="E3133" s="67">
        <v>83900.45</v>
      </c>
      <c r="H3133" s="67" t="s">
        <v>146</v>
      </c>
    </row>
    <row r="3135" spans="1:9" x14ac:dyDescent="0.25">
      <c r="A3135" s="67" t="s">
        <v>3473</v>
      </c>
      <c r="B3135" s="67" t="s">
        <v>3472</v>
      </c>
      <c r="C3135" s="67">
        <v>0</v>
      </c>
      <c r="D3135" s="67">
        <v>0</v>
      </c>
      <c r="E3135" s="67">
        <v>83900.41</v>
      </c>
      <c r="F3135" s="67">
        <v>25250</v>
      </c>
      <c r="H3135" s="68">
        <v>40764</v>
      </c>
      <c r="I3135" s="67" t="s">
        <v>148</v>
      </c>
    </row>
    <row r="3136" spans="1:9" x14ac:dyDescent="0.25">
      <c r="B3136" s="67" t="s">
        <v>3472</v>
      </c>
      <c r="C3136" s="67">
        <v>0</v>
      </c>
      <c r="D3136" s="67">
        <v>0</v>
      </c>
      <c r="E3136" s="67">
        <v>83900.45</v>
      </c>
      <c r="H3136" s="67" t="s">
        <v>146</v>
      </c>
    </row>
    <row r="3138" spans="1:9" x14ac:dyDescent="0.25">
      <c r="A3138" s="67" t="s">
        <v>3471</v>
      </c>
      <c r="B3138" s="67" t="s">
        <v>3470</v>
      </c>
      <c r="C3138" s="67">
        <v>0</v>
      </c>
      <c r="D3138" s="67">
        <v>0</v>
      </c>
      <c r="E3138" s="67">
        <v>83900.41</v>
      </c>
      <c r="F3138" s="67">
        <v>25250</v>
      </c>
      <c r="H3138" s="68">
        <v>40764</v>
      </c>
      <c r="I3138" s="67" t="s">
        <v>148</v>
      </c>
    </row>
    <row r="3139" spans="1:9" x14ac:dyDescent="0.25">
      <c r="B3139" s="67" t="s">
        <v>3470</v>
      </c>
      <c r="C3139" s="67">
        <v>0</v>
      </c>
      <c r="D3139" s="67">
        <v>0</v>
      </c>
      <c r="E3139" s="67">
        <v>83900.45</v>
      </c>
      <c r="H3139" s="67" t="s">
        <v>146</v>
      </c>
    </row>
    <row r="3141" spans="1:9" x14ac:dyDescent="0.25">
      <c r="A3141" s="67" t="s">
        <v>3469</v>
      </c>
      <c r="B3141" s="67" t="s">
        <v>3468</v>
      </c>
      <c r="C3141" s="67">
        <v>0</v>
      </c>
      <c r="D3141" s="67">
        <v>0</v>
      </c>
      <c r="E3141" s="67">
        <v>83900.41</v>
      </c>
      <c r="F3141" s="67">
        <v>25250</v>
      </c>
      <c r="H3141" s="68">
        <v>40764</v>
      </c>
      <c r="I3141" s="67" t="s">
        <v>148</v>
      </c>
    </row>
    <row r="3142" spans="1:9" x14ac:dyDescent="0.25">
      <c r="B3142" s="67" t="s">
        <v>3468</v>
      </c>
      <c r="C3142" s="67">
        <v>0</v>
      </c>
      <c r="D3142" s="67">
        <v>0</v>
      </c>
      <c r="E3142" s="67">
        <v>83900.45</v>
      </c>
      <c r="H3142" s="67" t="s">
        <v>146</v>
      </c>
    </row>
    <row r="3144" spans="1:9" x14ac:dyDescent="0.25">
      <c r="A3144" s="67" t="s">
        <v>3467</v>
      </c>
      <c r="B3144" s="67" t="s">
        <v>3466</v>
      </c>
      <c r="C3144" s="67">
        <v>0</v>
      </c>
      <c r="D3144" s="67">
        <v>0</v>
      </c>
      <c r="E3144" s="67">
        <v>83900.41</v>
      </c>
      <c r="F3144" s="67">
        <v>25250</v>
      </c>
      <c r="H3144" s="68">
        <v>40764</v>
      </c>
      <c r="I3144" s="67" t="s">
        <v>148</v>
      </c>
    </row>
    <row r="3145" spans="1:9" x14ac:dyDescent="0.25">
      <c r="B3145" s="67" t="s">
        <v>3466</v>
      </c>
      <c r="C3145" s="67">
        <v>0</v>
      </c>
      <c r="D3145" s="67">
        <v>0</v>
      </c>
      <c r="E3145" s="67">
        <v>83900.45</v>
      </c>
      <c r="H3145" s="67" t="s">
        <v>146</v>
      </c>
    </row>
    <row r="3146" spans="1:9" x14ac:dyDescent="0.25">
      <c r="A3146" s="67" t="s">
        <v>233</v>
      </c>
    </row>
    <row r="3148" spans="1:9" x14ac:dyDescent="0.25">
      <c r="A3148" s="67" t="s">
        <v>232</v>
      </c>
      <c r="D3148" s="67" t="s">
        <v>231</v>
      </c>
      <c r="H3148" s="67" t="s">
        <v>148</v>
      </c>
      <c r="I3148" s="67" t="s">
        <v>230</v>
      </c>
    </row>
    <row r="3149" spans="1:9" x14ac:dyDescent="0.25">
      <c r="A3149" s="67">
        <v>41.1</v>
      </c>
      <c r="C3149" s="67" t="s">
        <v>215</v>
      </c>
      <c r="D3149" s="67" t="s">
        <v>229</v>
      </c>
      <c r="H3149" s="70">
        <v>44771</v>
      </c>
      <c r="I3149" s="69">
        <v>0.56736111111111109</v>
      </c>
    </row>
    <row r="3150" spans="1:9" x14ac:dyDescent="0.25">
      <c r="A3150" s="67" t="s">
        <v>228</v>
      </c>
      <c r="C3150" s="67" t="s">
        <v>227</v>
      </c>
      <c r="D3150" s="67" t="s">
        <v>226</v>
      </c>
      <c r="E3150" s="67">
        <v>589</v>
      </c>
      <c r="H3150" s="67" t="s">
        <v>225</v>
      </c>
      <c r="I3150" s="67">
        <v>56</v>
      </c>
    </row>
    <row r="3151" spans="1:9" x14ac:dyDescent="0.25">
      <c r="A3151" s="67" t="s">
        <v>884</v>
      </c>
    </row>
    <row r="3152" spans="1:9" x14ac:dyDescent="0.25">
      <c r="A3152" s="67" t="s">
        <v>223</v>
      </c>
      <c r="B3152" s="67" t="s">
        <v>222</v>
      </c>
      <c r="C3152" s="67" t="s">
        <v>221</v>
      </c>
      <c r="D3152" s="67" t="s">
        <v>220</v>
      </c>
      <c r="E3152" s="67" t="s">
        <v>219</v>
      </c>
      <c r="F3152" s="67" t="s">
        <v>217</v>
      </c>
      <c r="G3152" s="67" t="s">
        <v>218</v>
      </c>
      <c r="H3152" s="67" t="s">
        <v>217</v>
      </c>
      <c r="I3152" s="67" t="s">
        <v>216</v>
      </c>
    </row>
    <row r="3153" spans="1:9" x14ac:dyDescent="0.25">
      <c r="A3153" s="67" t="s">
        <v>215</v>
      </c>
      <c r="B3153" s="67" t="s">
        <v>214</v>
      </c>
      <c r="C3153" s="67" t="s">
        <v>213</v>
      </c>
      <c r="D3153" s="67" t="s">
        <v>212</v>
      </c>
      <c r="E3153" s="67" t="s">
        <v>211</v>
      </c>
      <c r="F3153" s="67" t="s">
        <v>210</v>
      </c>
      <c r="G3153" s="67" t="s">
        <v>209</v>
      </c>
      <c r="H3153" s="67" t="s">
        <v>208</v>
      </c>
      <c r="I3153" s="67" t="s">
        <v>207</v>
      </c>
    </row>
    <row r="3154" spans="1:9" x14ac:dyDescent="0.25">
      <c r="A3154" s="67" t="s">
        <v>206</v>
      </c>
      <c r="B3154" s="67" t="s">
        <v>205</v>
      </c>
      <c r="C3154" s="67" t="s">
        <v>204</v>
      </c>
      <c r="D3154" s="67" t="s">
        <v>203</v>
      </c>
      <c r="E3154" s="67" t="s">
        <v>202</v>
      </c>
      <c r="F3154" s="67" t="s">
        <v>201</v>
      </c>
      <c r="G3154" s="67" t="s">
        <v>200</v>
      </c>
      <c r="H3154" s="67" t="s">
        <v>199</v>
      </c>
    </row>
    <row r="3155" spans="1:9" x14ac:dyDescent="0.25">
      <c r="A3155" s="67" t="s">
        <v>3465</v>
      </c>
      <c r="B3155" s="67" t="s">
        <v>3464</v>
      </c>
      <c r="C3155" s="67">
        <v>0</v>
      </c>
      <c r="D3155" s="67">
        <v>0</v>
      </c>
      <c r="E3155" s="67">
        <v>83900.41</v>
      </c>
      <c r="F3155" s="67">
        <v>25250</v>
      </c>
      <c r="H3155" s="68">
        <v>40764</v>
      </c>
      <c r="I3155" s="67" t="s">
        <v>148</v>
      </c>
    </row>
    <row r="3156" spans="1:9" x14ac:dyDescent="0.25">
      <c r="B3156" s="67" t="s">
        <v>3464</v>
      </c>
      <c r="C3156" s="67">
        <v>0</v>
      </c>
      <c r="D3156" s="67">
        <v>0</v>
      </c>
      <c r="E3156" s="67">
        <v>83900.45</v>
      </c>
      <c r="H3156" s="67" t="s">
        <v>146</v>
      </c>
    </row>
    <row r="3158" spans="1:9" x14ac:dyDescent="0.25">
      <c r="A3158" s="67" t="s">
        <v>3463</v>
      </c>
      <c r="B3158" s="67" t="s">
        <v>3462</v>
      </c>
      <c r="C3158" s="67">
        <v>0</v>
      </c>
      <c r="D3158" s="67">
        <v>0</v>
      </c>
      <c r="E3158" s="67">
        <v>83900.41</v>
      </c>
      <c r="F3158" s="67">
        <v>25250</v>
      </c>
      <c r="H3158" s="68">
        <v>40764</v>
      </c>
      <c r="I3158" s="67" t="s">
        <v>148</v>
      </c>
    </row>
    <row r="3159" spans="1:9" x14ac:dyDescent="0.25">
      <c r="B3159" s="67" t="s">
        <v>3462</v>
      </c>
      <c r="C3159" s="67">
        <v>0</v>
      </c>
      <c r="D3159" s="67">
        <v>0</v>
      </c>
      <c r="E3159" s="67">
        <v>83900.45</v>
      </c>
      <c r="H3159" s="67" t="s">
        <v>146</v>
      </c>
    </row>
    <row r="3161" spans="1:9" x14ac:dyDescent="0.25">
      <c r="A3161" s="67" t="s">
        <v>3461</v>
      </c>
      <c r="B3161" s="67" t="s">
        <v>3460</v>
      </c>
      <c r="C3161" s="67">
        <v>0</v>
      </c>
      <c r="D3161" s="67">
        <v>0</v>
      </c>
      <c r="E3161" s="67">
        <v>83900.41</v>
      </c>
      <c r="F3161" s="67">
        <v>25250</v>
      </c>
      <c r="H3161" s="68">
        <v>40764</v>
      </c>
      <c r="I3161" s="67" t="s">
        <v>148</v>
      </c>
    </row>
    <row r="3162" spans="1:9" x14ac:dyDescent="0.25">
      <c r="B3162" s="67" t="s">
        <v>3460</v>
      </c>
      <c r="C3162" s="67">
        <v>0</v>
      </c>
      <c r="D3162" s="67">
        <v>0</v>
      </c>
      <c r="E3162" s="67">
        <v>83900.45</v>
      </c>
      <c r="H3162" s="67" t="s">
        <v>146</v>
      </c>
    </row>
    <row r="3164" spans="1:9" x14ac:dyDescent="0.25">
      <c r="A3164" s="67" t="s">
        <v>3459</v>
      </c>
      <c r="B3164" s="67" t="s">
        <v>3458</v>
      </c>
      <c r="C3164" s="67">
        <v>0</v>
      </c>
      <c r="D3164" s="67">
        <v>0</v>
      </c>
      <c r="E3164" s="67">
        <v>83900.41</v>
      </c>
      <c r="F3164" s="67">
        <v>25250</v>
      </c>
      <c r="H3164" s="68">
        <v>40764</v>
      </c>
      <c r="I3164" s="67" t="s">
        <v>148</v>
      </c>
    </row>
    <row r="3165" spans="1:9" x14ac:dyDescent="0.25">
      <c r="B3165" s="67" t="s">
        <v>3458</v>
      </c>
      <c r="C3165" s="67">
        <v>0</v>
      </c>
      <c r="D3165" s="67">
        <v>0</v>
      </c>
      <c r="E3165" s="67">
        <v>83900.45</v>
      </c>
      <c r="H3165" s="67" t="s">
        <v>146</v>
      </c>
    </row>
    <row r="3167" spans="1:9" x14ac:dyDescent="0.25">
      <c r="A3167" s="67" t="s">
        <v>3457</v>
      </c>
      <c r="B3167" s="67" t="s">
        <v>3456</v>
      </c>
      <c r="C3167" s="67">
        <v>0</v>
      </c>
      <c r="D3167" s="67">
        <v>0</v>
      </c>
      <c r="E3167" s="67">
        <v>83900.41</v>
      </c>
      <c r="F3167" s="67">
        <v>25250</v>
      </c>
      <c r="H3167" s="68">
        <v>40764</v>
      </c>
      <c r="I3167" s="67" t="s">
        <v>148</v>
      </c>
    </row>
    <row r="3168" spans="1:9" x14ac:dyDescent="0.25">
      <c r="B3168" s="67" t="s">
        <v>3456</v>
      </c>
      <c r="C3168" s="67">
        <v>0</v>
      </c>
      <c r="D3168" s="67">
        <v>0</v>
      </c>
      <c r="E3168" s="67">
        <v>83900.45</v>
      </c>
      <c r="H3168" s="67" t="s">
        <v>146</v>
      </c>
    </row>
    <row r="3170" spans="1:9" x14ac:dyDescent="0.25">
      <c r="A3170" s="67" t="s">
        <v>3455</v>
      </c>
      <c r="B3170" s="67" t="s">
        <v>3454</v>
      </c>
      <c r="C3170" s="67">
        <v>0</v>
      </c>
      <c r="D3170" s="67">
        <v>0</v>
      </c>
      <c r="E3170" s="67">
        <v>83900.41</v>
      </c>
      <c r="F3170" s="67">
        <v>25250</v>
      </c>
      <c r="H3170" s="68">
        <v>40764</v>
      </c>
      <c r="I3170" s="67" t="s">
        <v>148</v>
      </c>
    </row>
    <row r="3171" spans="1:9" x14ac:dyDescent="0.25">
      <c r="B3171" s="67" t="s">
        <v>3454</v>
      </c>
      <c r="C3171" s="67">
        <v>0</v>
      </c>
      <c r="D3171" s="67">
        <v>0</v>
      </c>
      <c r="E3171" s="67">
        <v>83900.45</v>
      </c>
      <c r="H3171" s="67" t="s">
        <v>146</v>
      </c>
    </row>
    <row r="3173" spans="1:9" x14ac:dyDescent="0.25">
      <c r="A3173" s="67" t="s">
        <v>3453</v>
      </c>
      <c r="B3173" s="67" t="s">
        <v>3452</v>
      </c>
      <c r="C3173" s="67">
        <v>0</v>
      </c>
      <c r="D3173" s="67">
        <v>0</v>
      </c>
      <c r="E3173" s="67">
        <v>83900.41</v>
      </c>
      <c r="F3173" s="67">
        <v>25250</v>
      </c>
      <c r="H3173" s="68">
        <v>40764</v>
      </c>
      <c r="I3173" s="67" t="s">
        <v>148</v>
      </c>
    </row>
    <row r="3174" spans="1:9" x14ac:dyDescent="0.25">
      <c r="B3174" s="67" t="s">
        <v>3452</v>
      </c>
      <c r="C3174" s="67">
        <v>0</v>
      </c>
      <c r="D3174" s="67">
        <v>0</v>
      </c>
      <c r="E3174" s="67">
        <v>83900.45</v>
      </c>
      <c r="H3174" s="67" t="s">
        <v>146</v>
      </c>
    </row>
    <row r="3176" spans="1:9" x14ac:dyDescent="0.25">
      <c r="A3176" s="67" t="s">
        <v>3451</v>
      </c>
      <c r="B3176" s="67" t="s">
        <v>3450</v>
      </c>
      <c r="C3176" s="67">
        <v>0</v>
      </c>
      <c r="D3176" s="67">
        <v>0</v>
      </c>
      <c r="E3176" s="67">
        <v>83900.41</v>
      </c>
      <c r="F3176" s="67">
        <v>25250</v>
      </c>
      <c r="H3176" s="68">
        <v>40764</v>
      </c>
      <c r="I3176" s="67" t="s">
        <v>148</v>
      </c>
    </row>
    <row r="3177" spans="1:9" x14ac:dyDescent="0.25">
      <c r="B3177" s="67" t="s">
        <v>3450</v>
      </c>
      <c r="C3177" s="67">
        <v>0</v>
      </c>
      <c r="D3177" s="67">
        <v>0</v>
      </c>
      <c r="E3177" s="67">
        <v>83900.45</v>
      </c>
      <c r="H3177" s="67" t="s">
        <v>146</v>
      </c>
    </row>
    <row r="3179" spans="1:9" x14ac:dyDescent="0.25">
      <c r="A3179" s="67" t="s">
        <v>3449</v>
      </c>
      <c r="B3179" s="67" t="s">
        <v>3448</v>
      </c>
      <c r="C3179" s="67">
        <v>0</v>
      </c>
      <c r="D3179" s="67">
        <v>0</v>
      </c>
      <c r="E3179" s="67">
        <v>83900.41</v>
      </c>
      <c r="F3179" s="67">
        <v>25250</v>
      </c>
      <c r="H3179" s="68">
        <v>40764</v>
      </c>
      <c r="I3179" s="67" t="s">
        <v>148</v>
      </c>
    </row>
    <row r="3180" spans="1:9" x14ac:dyDescent="0.25">
      <c r="B3180" s="67" t="s">
        <v>3448</v>
      </c>
      <c r="C3180" s="67">
        <v>0</v>
      </c>
      <c r="D3180" s="67">
        <v>0</v>
      </c>
      <c r="E3180" s="67">
        <v>83900.45</v>
      </c>
      <c r="H3180" s="67" t="s">
        <v>146</v>
      </c>
    </row>
    <row r="3182" spans="1:9" x14ac:dyDescent="0.25">
      <c r="A3182" s="67" t="s">
        <v>3447</v>
      </c>
      <c r="B3182" s="67" t="s">
        <v>3446</v>
      </c>
      <c r="C3182" s="67">
        <v>0</v>
      </c>
      <c r="D3182" s="67">
        <v>0</v>
      </c>
      <c r="E3182" s="67">
        <v>83900.41</v>
      </c>
      <c r="F3182" s="67">
        <v>25250</v>
      </c>
      <c r="H3182" s="68">
        <v>40764</v>
      </c>
      <c r="I3182" s="67" t="s">
        <v>148</v>
      </c>
    </row>
    <row r="3183" spans="1:9" x14ac:dyDescent="0.25">
      <c r="B3183" s="67" t="s">
        <v>3446</v>
      </c>
      <c r="C3183" s="67">
        <v>0</v>
      </c>
      <c r="D3183" s="67">
        <v>0</v>
      </c>
      <c r="E3183" s="67">
        <v>83900.45</v>
      </c>
      <c r="H3183" s="67" t="s">
        <v>146</v>
      </c>
    </row>
    <row r="3185" spans="1:9" x14ac:dyDescent="0.25">
      <c r="A3185" s="67" t="s">
        <v>3445</v>
      </c>
      <c r="B3185" s="67" t="s">
        <v>3444</v>
      </c>
      <c r="C3185" s="67">
        <v>0</v>
      </c>
      <c r="D3185" s="67">
        <v>0</v>
      </c>
      <c r="E3185" s="67">
        <v>83900.41</v>
      </c>
      <c r="F3185" s="67">
        <v>25250</v>
      </c>
      <c r="H3185" s="68">
        <v>40764</v>
      </c>
      <c r="I3185" s="67" t="s">
        <v>148</v>
      </c>
    </row>
    <row r="3186" spans="1:9" x14ac:dyDescent="0.25">
      <c r="B3186" s="67" t="s">
        <v>3444</v>
      </c>
      <c r="C3186" s="67">
        <v>0</v>
      </c>
      <c r="D3186" s="67">
        <v>0</v>
      </c>
      <c r="E3186" s="67">
        <v>83900.45</v>
      </c>
      <c r="H3186" s="67" t="s">
        <v>146</v>
      </c>
    </row>
    <row r="3188" spans="1:9" x14ac:dyDescent="0.25">
      <c r="A3188" s="67" t="s">
        <v>3443</v>
      </c>
      <c r="B3188" s="67" t="s">
        <v>3442</v>
      </c>
      <c r="C3188" s="67">
        <v>0</v>
      </c>
      <c r="D3188" s="67">
        <v>0</v>
      </c>
      <c r="E3188" s="67">
        <v>83900.41</v>
      </c>
      <c r="F3188" s="67">
        <v>25250</v>
      </c>
      <c r="H3188" s="68">
        <v>40764</v>
      </c>
      <c r="I3188" s="67" t="s">
        <v>148</v>
      </c>
    </row>
    <row r="3189" spans="1:9" x14ac:dyDescent="0.25">
      <c r="B3189" s="67" t="s">
        <v>3442</v>
      </c>
      <c r="C3189" s="67">
        <v>0</v>
      </c>
      <c r="D3189" s="67">
        <v>0</v>
      </c>
      <c r="E3189" s="67">
        <v>83900.45</v>
      </c>
      <c r="H3189" s="67" t="s">
        <v>146</v>
      </c>
    </row>
    <row r="3191" spans="1:9" x14ac:dyDescent="0.25">
      <c r="A3191" s="67" t="s">
        <v>3441</v>
      </c>
      <c r="B3191" s="67" t="s">
        <v>3440</v>
      </c>
      <c r="C3191" s="67">
        <v>0</v>
      </c>
      <c r="D3191" s="67">
        <v>0</v>
      </c>
      <c r="E3191" s="67">
        <v>83900.41</v>
      </c>
      <c r="F3191" s="67">
        <v>25250</v>
      </c>
      <c r="H3191" s="68">
        <v>40764</v>
      </c>
      <c r="I3191" s="67" t="s">
        <v>148</v>
      </c>
    </row>
    <row r="3192" spans="1:9" x14ac:dyDescent="0.25">
      <c r="B3192" s="67" t="s">
        <v>3440</v>
      </c>
      <c r="C3192" s="67">
        <v>0</v>
      </c>
      <c r="D3192" s="67">
        <v>0</v>
      </c>
      <c r="E3192" s="67">
        <v>83900.45</v>
      </c>
      <c r="H3192" s="67" t="s">
        <v>146</v>
      </c>
    </row>
    <row r="3194" spans="1:9" x14ac:dyDescent="0.25">
      <c r="A3194" s="67" t="s">
        <v>3439</v>
      </c>
      <c r="B3194" s="67" t="s">
        <v>3438</v>
      </c>
      <c r="C3194" s="67">
        <v>0</v>
      </c>
      <c r="D3194" s="67">
        <v>0</v>
      </c>
      <c r="E3194" s="67">
        <v>83900.41</v>
      </c>
      <c r="F3194" s="67">
        <v>25250</v>
      </c>
      <c r="H3194" s="68">
        <v>40764</v>
      </c>
      <c r="I3194" s="67" t="s">
        <v>148</v>
      </c>
    </row>
    <row r="3195" spans="1:9" x14ac:dyDescent="0.25">
      <c r="B3195" s="67" t="s">
        <v>3438</v>
      </c>
      <c r="C3195" s="67">
        <v>0</v>
      </c>
      <c r="D3195" s="67">
        <v>0</v>
      </c>
      <c r="E3195" s="67">
        <v>83900.45</v>
      </c>
      <c r="H3195" s="67" t="s">
        <v>146</v>
      </c>
    </row>
    <row r="3197" spans="1:9" x14ac:dyDescent="0.25">
      <c r="A3197" s="67" t="s">
        <v>3437</v>
      </c>
      <c r="B3197" s="67" t="s">
        <v>3436</v>
      </c>
      <c r="C3197" s="67">
        <v>0</v>
      </c>
      <c r="D3197" s="67">
        <v>0</v>
      </c>
      <c r="E3197" s="67">
        <v>83900.41</v>
      </c>
      <c r="F3197" s="67">
        <v>25250</v>
      </c>
      <c r="H3197" s="68">
        <v>40764</v>
      </c>
      <c r="I3197" s="67" t="s">
        <v>148</v>
      </c>
    </row>
    <row r="3198" spans="1:9" x14ac:dyDescent="0.25">
      <c r="B3198" s="67" t="s">
        <v>3436</v>
      </c>
      <c r="C3198" s="67">
        <v>0</v>
      </c>
      <c r="D3198" s="67">
        <v>0</v>
      </c>
      <c r="E3198" s="67">
        <v>83900.45</v>
      </c>
      <c r="H3198" s="67" t="s">
        <v>146</v>
      </c>
    </row>
    <row r="3200" spans="1:9" x14ac:dyDescent="0.25">
      <c r="A3200" s="67" t="s">
        <v>3435</v>
      </c>
      <c r="B3200" s="67" t="s">
        <v>3434</v>
      </c>
      <c r="C3200" s="67">
        <v>0</v>
      </c>
      <c r="D3200" s="67">
        <v>0</v>
      </c>
      <c r="E3200" s="67">
        <v>83900.41</v>
      </c>
      <c r="F3200" s="67">
        <v>25250</v>
      </c>
      <c r="H3200" s="68">
        <v>40764</v>
      </c>
      <c r="I3200" s="67" t="s">
        <v>148</v>
      </c>
    </row>
    <row r="3201" spans="1:9" x14ac:dyDescent="0.25">
      <c r="B3201" s="67" t="s">
        <v>3434</v>
      </c>
      <c r="C3201" s="67">
        <v>0</v>
      </c>
      <c r="D3201" s="67">
        <v>0</v>
      </c>
      <c r="E3201" s="67">
        <v>83900.45</v>
      </c>
      <c r="H3201" s="67" t="s">
        <v>146</v>
      </c>
    </row>
    <row r="3203" spans="1:9" x14ac:dyDescent="0.25">
      <c r="A3203" s="67" t="s">
        <v>3433</v>
      </c>
      <c r="B3203" s="67" t="s">
        <v>3432</v>
      </c>
      <c r="C3203" s="67">
        <v>0</v>
      </c>
      <c r="D3203" s="67">
        <v>0</v>
      </c>
      <c r="E3203" s="67">
        <v>83900.41</v>
      </c>
      <c r="F3203" s="67">
        <v>25250</v>
      </c>
      <c r="H3203" s="68">
        <v>40764</v>
      </c>
      <c r="I3203" s="67" t="s">
        <v>148</v>
      </c>
    </row>
    <row r="3204" spans="1:9" x14ac:dyDescent="0.25">
      <c r="B3204" s="67" t="s">
        <v>3432</v>
      </c>
      <c r="C3204" s="67">
        <v>0</v>
      </c>
      <c r="D3204" s="67">
        <v>0</v>
      </c>
      <c r="E3204" s="67">
        <v>83900.45</v>
      </c>
      <c r="H3204" s="67" t="s">
        <v>146</v>
      </c>
    </row>
    <row r="3205" spans="1:9" x14ac:dyDescent="0.25">
      <c r="A3205" s="67" t="s">
        <v>233</v>
      </c>
    </row>
    <row r="3207" spans="1:9" x14ac:dyDescent="0.25">
      <c r="A3207" s="67" t="s">
        <v>232</v>
      </c>
      <c r="D3207" s="67" t="s">
        <v>231</v>
      </c>
      <c r="H3207" s="67" t="s">
        <v>148</v>
      </c>
      <c r="I3207" s="67" t="s">
        <v>230</v>
      </c>
    </row>
    <row r="3208" spans="1:9" x14ac:dyDescent="0.25">
      <c r="A3208" s="67">
        <v>41.1</v>
      </c>
      <c r="C3208" s="67" t="s">
        <v>215</v>
      </c>
      <c r="D3208" s="67" t="s">
        <v>229</v>
      </c>
      <c r="H3208" s="70">
        <v>44771</v>
      </c>
      <c r="I3208" s="69">
        <v>0.56736111111111109</v>
      </c>
    </row>
    <row r="3209" spans="1:9" x14ac:dyDescent="0.25">
      <c r="A3209" s="67" t="s">
        <v>228</v>
      </c>
      <c r="C3209" s="67" t="s">
        <v>227</v>
      </c>
      <c r="D3209" s="67" t="s">
        <v>226</v>
      </c>
      <c r="E3209" s="67">
        <v>589</v>
      </c>
      <c r="H3209" s="67" t="s">
        <v>225</v>
      </c>
      <c r="I3209" s="67">
        <v>57</v>
      </c>
    </row>
    <row r="3210" spans="1:9" x14ac:dyDescent="0.25">
      <c r="A3210" s="67" t="s">
        <v>884</v>
      </c>
    </row>
    <row r="3211" spans="1:9" x14ac:dyDescent="0.25">
      <c r="A3211" s="67" t="s">
        <v>223</v>
      </c>
      <c r="B3211" s="67" t="s">
        <v>222</v>
      </c>
      <c r="C3211" s="67" t="s">
        <v>221</v>
      </c>
      <c r="D3211" s="67" t="s">
        <v>220</v>
      </c>
      <c r="E3211" s="67" t="s">
        <v>219</v>
      </c>
      <c r="F3211" s="67" t="s">
        <v>217</v>
      </c>
      <c r="G3211" s="67" t="s">
        <v>218</v>
      </c>
      <c r="H3211" s="67" t="s">
        <v>217</v>
      </c>
      <c r="I3211" s="67" t="s">
        <v>216</v>
      </c>
    </row>
    <row r="3212" spans="1:9" x14ac:dyDescent="0.25">
      <c r="A3212" s="67" t="s">
        <v>215</v>
      </c>
      <c r="B3212" s="67" t="s">
        <v>214</v>
      </c>
      <c r="C3212" s="67" t="s">
        <v>213</v>
      </c>
      <c r="D3212" s="67" t="s">
        <v>212</v>
      </c>
      <c r="E3212" s="67" t="s">
        <v>211</v>
      </c>
      <c r="F3212" s="67" t="s">
        <v>210</v>
      </c>
      <c r="G3212" s="67" t="s">
        <v>209</v>
      </c>
      <c r="H3212" s="67" t="s">
        <v>208</v>
      </c>
      <c r="I3212" s="67" t="s">
        <v>207</v>
      </c>
    </row>
    <row r="3213" spans="1:9" x14ac:dyDescent="0.25">
      <c r="A3213" s="67" t="s">
        <v>206</v>
      </c>
      <c r="B3213" s="67" t="s">
        <v>205</v>
      </c>
      <c r="C3213" s="67" t="s">
        <v>204</v>
      </c>
      <c r="D3213" s="67" t="s">
        <v>203</v>
      </c>
      <c r="E3213" s="67" t="s">
        <v>202</v>
      </c>
      <c r="F3213" s="67" t="s">
        <v>201</v>
      </c>
      <c r="G3213" s="67" t="s">
        <v>200</v>
      </c>
      <c r="H3213" s="67" t="s">
        <v>199</v>
      </c>
    </row>
    <row r="3214" spans="1:9" x14ac:dyDescent="0.25">
      <c r="A3214" s="67" t="s">
        <v>3431</v>
      </c>
      <c r="B3214" s="67" t="s">
        <v>3430</v>
      </c>
      <c r="C3214" s="67">
        <v>0</v>
      </c>
      <c r="D3214" s="67">
        <v>0</v>
      </c>
      <c r="E3214" s="67">
        <v>83900.41</v>
      </c>
      <c r="F3214" s="67">
        <v>25250</v>
      </c>
      <c r="H3214" s="68">
        <v>40764</v>
      </c>
      <c r="I3214" s="67" t="s">
        <v>148</v>
      </c>
    </row>
    <row r="3215" spans="1:9" x14ac:dyDescent="0.25">
      <c r="B3215" s="67" t="s">
        <v>3430</v>
      </c>
      <c r="C3215" s="67">
        <v>0</v>
      </c>
      <c r="D3215" s="67">
        <v>0</v>
      </c>
      <c r="E3215" s="67">
        <v>83900.45</v>
      </c>
      <c r="H3215" s="67" t="s">
        <v>146</v>
      </c>
    </row>
    <row r="3217" spans="1:9" x14ac:dyDescent="0.25">
      <c r="A3217" s="67" t="s">
        <v>3429</v>
      </c>
      <c r="B3217" s="67" t="s">
        <v>3428</v>
      </c>
      <c r="C3217" s="67">
        <v>0</v>
      </c>
      <c r="D3217" s="67">
        <v>0</v>
      </c>
      <c r="E3217" s="67">
        <v>83900.41</v>
      </c>
      <c r="F3217" s="67">
        <v>25250</v>
      </c>
      <c r="H3217" s="68">
        <v>40764</v>
      </c>
      <c r="I3217" s="67" t="s">
        <v>148</v>
      </c>
    </row>
    <row r="3218" spans="1:9" x14ac:dyDescent="0.25">
      <c r="B3218" s="67" t="s">
        <v>3428</v>
      </c>
      <c r="C3218" s="67">
        <v>0</v>
      </c>
      <c r="D3218" s="67">
        <v>0</v>
      </c>
      <c r="E3218" s="67">
        <v>83900.45</v>
      </c>
      <c r="H3218" s="67" t="s">
        <v>146</v>
      </c>
    </row>
    <row r="3220" spans="1:9" x14ac:dyDescent="0.25">
      <c r="A3220" s="67" t="s">
        <v>3427</v>
      </c>
      <c r="B3220" s="67" t="s">
        <v>3426</v>
      </c>
      <c r="C3220" s="67">
        <v>0</v>
      </c>
      <c r="D3220" s="67">
        <v>0</v>
      </c>
      <c r="E3220" s="67">
        <v>83900.41</v>
      </c>
      <c r="F3220" s="67">
        <v>25250</v>
      </c>
      <c r="H3220" s="68">
        <v>40764</v>
      </c>
      <c r="I3220" s="67" t="s">
        <v>148</v>
      </c>
    </row>
    <row r="3221" spans="1:9" x14ac:dyDescent="0.25">
      <c r="B3221" s="67" t="s">
        <v>3426</v>
      </c>
      <c r="C3221" s="67">
        <v>0</v>
      </c>
      <c r="D3221" s="67">
        <v>0</v>
      </c>
      <c r="E3221" s="67">
        <v>83900.45</v>
      </c>
      <c r="H3221" s="67" t="s">
        <v>146</v>
      </c>
    </row>
    <row r="3223" spans="1:9" x14ac:dyDescent="0.25">
      <c r="A3223" s="67" t="s">
        <v>3425</v>
      </c>
      <c r="B3223" s="67" t="s">
        <v>3424</v>
      </c>
      <c r="C3223" s="67">
        <v>0</v>
      </c>
      <c r="D3223" s="67">
        <v>0</v>
      </c>
      <c r="E3223" s="67">
        <v>83900.41</v>
      </c>
      <c r="F3223" s="67">
        <v>25250</v>
      </c>
      <c r="H3223" s="68">
        <v>40764</v>
      </c>
      <c r="I3223" s="67" t="s">
        <v>148</v>
      </c>
    </row>
    <row r="3224" spans="1:9" x14ac:dyDescent="0.25">
      <c r="B3224" s="67" t="s">
        <v>3424</v>
      </c>
      <c r="C3224" s="67">
        <v>0</v>
      </c>
      <c r="D3224" s="67">
        <v>0</v>
      </c>
      <c r="E3224" s="67">
        <v>83900.45</v>
      </c>
      <c r="H3224" s="67" t="s">
        <v>146</v>
      </c>
    </row>
    <row r="3226" spans="1:9" x14ac:dyDescent="0.25">
      <c r="A3226" s="67" t="s">
        <v>3423</v>
      </c>
      <c r="B3226" s="67" t="s">
        <v>3422</v>
      </c>
      <c r="C3226" s="67">
        <v>0</v>
      </c>
      <c r="D3226" s="67">
        <v>0</v>
      </c>
      <c r="E3226" s="67">
        <v>83900.41</v>
      </c>
      <c r="F3226" s="67">
        <v>25250</v>
      </c>
      <c r="H3226" s="68">
        <v>40764</v>
      </c>
      <c r="I3226" s="67" t="s">
        <v>148</v>
      </c>
    </row>
    <row r="3227" spans="1:9" x14ac:dyDescent="0.25">
      <c r="B3227" s="67" t="s">
        <v>3422</v>
      </c>
      <c r="C3227" s="67">
        <v>0</v>
      </c>
      <c r="D3227" s="67">
        <v>0</v>
      </c>
      <c r="E3227" s="67">
        <v>83900.45</v>
      </c>
      <c r="H3227" s="67" t="s">
        <v>146</v>
      </c>
    </row>
    <row r="3229" spans="1:9" x14ac:dyDescent="0.25">
      <c r="A3229" s="67" t="s">
        <v>3421</v>
      </c>
      <c r="B3229" s="67" t="s">
        <v>3420</v>
      </c>
      <c r="C3229" s="67">
        <v>0</v>
      </c>
      <c r="D3229" s="67">
        <v>0</v>
      </c>
      <c r="E3229" s="67">
        <v>83900.41</v>
      </c>
      <c r="F3229" s="67">
        <v>25250</v>
      </c>
      <c r="H3229" s="68">
        <v>40764</v>
      </c>
      <c r="I3229" s="67" t="s">
        <v>148</v>
      </c>
    </row>
    <row r="3230" spans="1:9" x14ac:dyDescent="0.25">
      <c r="B3230" s="67" t="s">
        <v>3420</v>
      </c>
      <c r="C3230" s="67">
        <v>0</v>
      </c>
      <c r="D3230" s="67">
        <v>0</v>
      </c>
      <c r="E3230" s="67">
        <v>83900.45</v>
      </c>
      <c r="H3230" s="67" t="s">
        <v>146</v>
      </c>
    </row>
    <row r="3232" spans="1:9" x14ac:dyDescent="0.25">
      <c r="A3232" s="67" t="s">
        <v>3419</v>
      </c>
      <c r="B3232" s="67" t="s">
        <v>3418</v>
      </c>
      <c r="C3232" s="67">
        <v>0</v>
      </c>
      <c r="D3232" s="67">
        <v>0</v>
      </c>
      <c r="E3232" s="67">
        <v>83900.41</v>
      </c>
      <c r="F3232" s="67">
        <v>25250</v>
      </c>
      <c r="H3232" s="68">
        <v>40764</v>
      </c>
      <c r="I3232" s="67" t="s">
        <v>148</v>
      </c>
    </row>
    <row r="3233" spans="1:9" x14ac:dyDescent="0.25">
      <c r="B3233" s="67" t="s">
        <v>3418</v>
      </c>
      <c r="C3233" s="67">
        <v>0</v>
      </c>
      <c r="D3233" s="67">
        <v>0</v>
      </c>
      <c r="E3233" s="67">
        <v>83900.45</v>
      </c>
      <c r="H3233" s="67" t="s">
        <v>146</v>
      </c>
    </row>
    <row r="3235" spans="1:9" x14ac:dyDescent="0.25">
      <c r="A3235" s="67" t="s">
        <v>3417</v>
      </c>
      <c r="B3235" s="67" t="s">
        <v>3416</v>
      </c>
      <c r="C3235" s="67">
        <v>0</v>
      </c>
      <c r="D3235" s="67">
        <v>0</v>
      </c>
      <c r="E3235" s="67">
        <v>83900.41</v>
      </c>
      <c r="F3235" s="67">
        <v>25250</v>
      </c>
      <c r="H3235" s="68">
        <v>40764</v>
      </c>
      <c r="I3235" s="67" t="s">
        <v>148</v>
      </c>
    </row>
    <row r="3236" spans="1:9" x14ac:dyDescent="0.25">
      <c r="B3236" s="67" t="s">
        <v>3416</v>
      </c>
      <c r="C3236" s="67">
        <v>0</v>
      </c>
      <c r="D3236" s="67">
        <v>0</v>
      </c>
      <c r="E3236" s="67">
        <v>83900.45</v>
      </c>
      <c r="H3236" s="67" t="s">
        <v>146</v>
      </c>
    </row>
    <row r="3238" spans="1:9" x14ac:dyDescent="0.25">
      <c r="A3238" s="67" t="s">
        <v>3415</v>
      </c>
      <c r="B3238" s="67" t="s">
        <v>3414</v>
      </c>
      <c r="C3238" s="67">
        <v>0</v>
      </c>
      <c r="D3238" s="67">
        <v>0</v>
      </c>
      <c r="E3238" s="67">
        <v>83900.41</v>
      </c>
      <c r="F3238" s="67">
        <v>25250</v>
      </c>
      <c r="H3238" s="68">
        <v>40764</v>
      </c>
      <c r="I3238" s="67" t="s">
        <v>148</v>
      </c>
    </row>
    <row r="3239" spans="1:9" x14ac:dyDescent="0.25">
      <c r="B3239" s="67" t="s">
        <v>3414</v>
      </c>
      <c r="C3239" s="67">
        <v>0</v>
      </c>
      <c r="D3239" s="67">
        <v>0</v>
      </c>
      <c r="E3239" s="67">
        <v>83900.45</v>
      </c>
      <c r="H3239" s="67" t="s">
        <v>146</v>
      </c>
    </row>
    <row r="3241" spans="1:9" x14ac:dyDescent="0.25">
      <c r="A3241" s="67" t="s">
        <v>3413</v>
      </c>
      <c r="B3241" s="67" t="s">
        <v>3412</v>
      </c>
      <c r="C3241" s="67">
        <v>0</v>
      </c>
      <c r="D3241" s="67">
        <v>0</v>
      </c>
      <c r="E3241" s="67">
        <v>83900.41</v>
      </c>
      <c r="F3241" s="67">
        <v>25250</v>
      </c>
      <c r="H3241" s="68">
        <v>40764</v>
      </c>
      <c r="I3241" s="67" t="s">
        <v>148</v>
      </c>
    </row>
    <row r="3242" spans="1:9" x14ac:dyDescent="0.25">
      <c r="B3242" s="67" t="s">
        <v>3412</v>
      </c>
      <c r="C3242" s="67">
        <v>0</v>
      </c>
      <c r="D3242" s="67">
        <v>0</v>
      </c>
      <c r="E3242" s="67">
        <v>83900.45</v>
      </c>
      <c r="H3242" s="67" t="s">
        <v>146</v>
      </c>
    </row>
    <row r="3244" spans="1:9" x14ac:dyDescent="0.25">
      <c r="A3244" s="67" t="s">
        <v>3411</v>
      </c>
      <c r="B3244" s="67" t="s">
        <v>3410</v>
      </c>
      <c r="C3244" s="67">
        <v>0</v>
      </c>
      <c r="D3244" s="67">
        <v>0</v>
      </c>
      <c r="E3244" s="67">
        <v>83900.41</v>
      </c>
      <c r="F3244" s="67">
        <v>25250</v>
      </c>
      <c r="H3244" s="68">
        <v>40764</v>
      </c>
      <c r="I3244" s="67" t="s">
        <v>148</v>
      </c>
    </row>
    <row r="3245" spans="1:9" x14ac:dyDescent="0.25">
      <c r="B3245" s="67" t="s">
        <v>3410</v>
      </c>
      <c r="C3245" s="67">
        <v>0</v>
      </c>
      <c r="D3245" s="67">
        <v>0</v>
      </c>
      <c r="E3245" s="67">
        <v>83900.45</v>
      </c>
      <c r="H3245" s="67" t="s">
        <v>146</v>
      </c>
    </row>
    <row r="3247" spans="1:9" x14ac:dyDescent="0.25">
      <c r="A3247" s="67" t="s">
        <v>3409</v>
      </c>
      <c r="B3247" s="67" t="s">
        <v>3408</v>
      </c>
      <c r="C3247" s="67">
        <v>0</v>
      </c>
      <c r="D3247" s="67">
        <v>0</v>
      </c>
      <c r="E3247" s="67">
        <v>83900.41</v>
      </c>
      <c r="F3247" s="67">
        <v>25250</v>
      </c>
      <c r="H3247" s="68">
        <v>40764</v>
      </c>
      <c r="I3247" s="67" t="s">
        <v>148</v>
      </c>
    </row>
    <row r="3248" spans="1:9" x14ac:dyDescent="0.25">
      <c r="B3248" s="67" t="s">
        <v>3408</v>
      </c>
      <c r="C3248" s="67">
        <v>0</v>
      </c>
      <c r="D3248" s="67">
        <v>0</v>
      </c>
      <c r="E3248" s="67">
        <v>83900.45</v>
      </c>
      <c r="H3248" s="67" t="s">
        <v>146</v>
      </c>
    </row>
    <row r="3250" spans="1:9" x14ac:dyDescent="0.25">
      <c r="A3250" s="67" t="s">
        <v>3407</v>
      </c>
      <c r="B3250" s="67" t="s">
        <v>3406</v>
      </c>
      <c r="C3250" s="67">
        <v>0</v>
      </c>
      <c r="D3250" s="67">
        <v>0</v>
      </c>
      <c r="E3250" s="67">
        <v>83900.41</v>
      </c>
      <c r="F3250" s="67">
        <v>25250</v>
      </c>
      <c r="H3250" s="68">
        <v>40764</v>
      </c>
      <c r="I3250" s="67" t="s">
        <v>148</v>
      </c>
    </row>
    <row r="3251" spans="1:9" x14ac:dyDescent="0.25">
      <c r="B3251" s="67" t="s">
        <v>3406</v>
      </c>
      <c r="C3251" s="67">
        <v>0</v>
      </c>
      <c r="D3251" s="67">
        <v>0</v>
      </c>
      <c r="E3251" s="67">
        <v>83900.45</v>
      </c>
      <c r="H3251" s="67" t="s">
        <v>146</v>
      </c>
    </row>
    <row r="3253" spans="1:9" x14ac:dyDescent="0.25">
      <c r="A3253" s="67" t="s">
        <v>3405</v>
      </c>
      <c r="B3253" s="67" t="s">
        <v>3404</v>
      </c>
      <c r="C3253" s="67">
        <v>0</v>
      </c>
      <c r="D3253" s="67">
        <v>0</v>
      </c>
      <c r="E3253" s="67">
        <v>83900.41</v>
      </c>
      <c r="F3253" s="67">
        <v>25250</v>
      </c>
      <c r="H3253" s="68">
        <v>40764</v>
      </c>
      <c r="I3253" s="67" t="s">
        <v>148</v>
      </c>
    </row>
    <row r="3254" spans="1:9" x14ac:dyDescent="0.25">
      <c r="B3254" s="67" t="s">
        <v>3404</v>
      </c>
      <c r="C3254" s="67">
        <v>0</v>
      </c>
      <c r="D3254" s="67">
        <v>0</v>
      </c>
      <c r="E3254" s="67">
        <v>83900.45</v>
      </c>
      <c r="H3254" s="67" t="s">
        <v>146</v>
      </c>
    </row>
    <row r="3256" spans="1:9" x14ac:dyDescent="0.25">
      <c r="A3256" s="67" t="s">
        <v>3403</v>
      </c>
      <c r="B3256" s="67" t="s">
        <v>3402</v>
      </c>
      <c r="C3256" s="67">
        <v>0</v>
      </c>
      <c r="D3256" s="67">
        <v>0</v>
      </c>
      <c r="E3256" s="67">
        <v>83900.41</v>
      </c>
      <c r="F3256" s="67">
        <v>25250</v>
      </c>
      <c r="H3256" s="68">
        <v>40764</v>
      </c>
      <c r="I3256" s="67" t="s">
        <v>148</v>
      </c>
    </row>
    <row r="3257" spans="1:9" x14ac:dyDescent="0.25">
      <c r="B3257" s="67" t="s">
        <v>3402</v>
      </c>
      <c r="C3257" s="67">
        <v>0</v>
      </c>
      <c r="D3257" s="67">
        <v>0</v>
      </c>
      <c r="E3257" s="67">
        <v>83900.45</v>
      </c>
      <c r="H3257" s="67" t="s">
        <v>146</v>
      </c>
    </row>
    <row r="3259" spans="1:9" x14ac:dyDescent="0.25">
      <c r="A3259" s="67" t="s">
        <v>3401</v>
      </c>
      <c r="B3259" s="67" t="s">
        <v>3400</v>
      </c>
      <c r="C3259" s="67">
        <v>0</v>
      </c>
      <c r="D3259" s="67">
        <v>0</v>
      </c>
      <c r="E3259" s="67">
        <v>83900.41</v>
      </c>
      <c r="F3259" s="67">
        <v>25250</v>
      </c>
      <c r="H3259" s="68">
        <v>40764</v>
      </c>
      <c r="I3259" s="67" t="s">
        <v>148</v>
      </c>
    </row>
    <row r="3260" spans="1:9" x14ac:dyDescent="0.25">
      <c r="B3260" s="67" t="s">
        <v>3400</v>
      </c>
      <c r="C3260" s="67">
        <v>0</v>
      </c>
      <c r="D3260" s="67">
        <v>0</v>
      </c>
      <c r="E3260" s="67">
        <v>83900.45</v>
      </c>
      <c r="H3260" s="67" t="s">
        <v>146</v>
      </c>
    </row>
    <row r="3262" spans="1:9" x14ac:dyDescent="0.25">
      <c r="A3262" s="67" t="s">
        <v>3399</v>
      </c>
      <c r="B3262" s="67" t="s">
        <v>3398</v>
      </c>
      <c r="C3262" s="67">
        <v>0</v>
      </c>
      <c r="D3262" s="67">
        <v>0</v>
      </c>
      <c r="E3262" s="67">
        <v>83900.41</v>
      </c>
      <c r="F3262" s="67">
        <v>25250</v>
      </c>
      <c r="H3262" s="68">
        <v>40764</v>
      </c>
      <c r="I3262" s="67" t="s">
        <v>148</v>
      </c>
    </row>
    <row r="3263" spans="1:9" x14ac:dyDescent="0.25">
      <c r="B3263" s="67" t="s">
        <v>3398</v>
      </c>
      <c r="C3263" s="67">
        <v>0</v>
      </c>
      <c r="D3263" s="67">
        <v>0</v>
      </c>
      <c r="E3263" s="67">
        <v>83900.45</v>
      </c>
      <c r="H3263" s="67" t="s">
        <v>146</v>
      </c>
    </row>
    <row r="3264" spans="1:9" x14ac:dyDescent="0.25">
      <c r="A3264" s="67" t="s">
        <v>233</v>
      </c>
    </row>
    <row r="3266" spans="1:9" x14ac:dyDescent="0.25">
      <c r="A3266" s="67" t="s">
        <v>232</v>
      </c>
      <c r="D3266" s="67" t="s">
        <v>231</v>
      </c>
      <c r="H3266" s="67" t="s">
        <v>148</v>
      </c>
      <c r="I3266" s="67" t="s">
        <v>230</v>
      </c>
    </row>
    <row r="3267" spans="1:9" x14ac:dyDescent="0.25">
      <c r="A3267" s="67">
        <v>41.1</v>
      </c>
      <c r="C3267" s="67" t="s">
        <v>215</v>
      </c>
      <c r="D3267" s="67" t="s">
        <v>229</v>
      </c>
      <c r="H3267" s="70">
        <v>44771</v>
      </c>
      <c r="I3267" s="69">
        <v>0.56736111111111109</v>
      </c>
    </row>
    <row r="3268" spans="1:9" x14ac:dyDescent="0.25">
      <c r="A3268" s="67" t="s">
        <v>228</v>
      </c>
      <c r="C3268" s="67" t="s">
        <v>227</v>
      </c>
      <c r="D3268" s="67" t="s">
        <v>226</v>
      </c>
      <c r="E3268" s="67">
        <v>589</v>
      </c>
      <c r="H3268" s="67" t="s">
        <v>225</v>
      </c>
      <c r="I3268" s="67">
        <v>58</v>
      </c>
    </row>
    <row r="3269" spans="1:9" x14ac:dyDescent="0.25">
      <c r="A3269" s="67" t="s">
        <v>884</v>
      </c>
    </row>
    <row r="3270" spans="1:9" x14ac:dyDescent="0.25">
      <c r="A3270" s="67" t="s">
        <v>223</v>
      </c>
      <c r="B3270" s="67" t="s">
        <v>222</v>
      </c>
      <c r="C3270" s="67" t="s">
        <v>221</v>
      </c>
      <c r="D3270" s="67" t="s">
        <v>220</v>
      </c>
      <c r="E3270" s="67" t="s">
        <v>219</v>
      </c>
      <c r="F3270" s="67" t="s">
        <v>217</v>
      </c>
      <c r="G3270" s="67" t="s">
        <v>218</v>
      </c>
      <c r="H3270" s="67" t="s">
        <v>217</v>
      </c>
      <c r="I3270" s="67" t="s">
        <v>216</v>
      </c>
    </row>
    <row r="3271" spans="1:9" x14ac:dyDescent="0.25">
      <c r="A3271" s="67" t="s">
        <v>215</v>
      </c>
      <c r="B3271" s="67" t="s">
        <v>214</v>
      </c>
      <c r="C3271" s="67" t="s">
        <v>213</v>
      </c>
      <c r="D3271" s="67" t="s">
        <v>212</v>
      </c>
      <c r="E3271" s="67" t="s">
        <v>211</v>
      </c>
      <c r="F3271" s="67" t="s">
        <v>210</v>
      </c>
      <c r="G3271" s="67" t="s">
        <v>209</v>
      </c>
      <c r="H3271" s="67" t="s">
        <v>208</v>
      </c>
      <c r="I3271" s="67" t="s">
        <v>207</v>
      </c>
    </row>
    <row r="3272" spans="1:9" x14ac:dyDescent="0.25">
      <c r="A3272" s="67" t="s">
        <v>206</v>
      </c>
      <c r="B3272" s="67" t="s">
        <v>205</v>
      </c>
      <c r="C3272" s="67" t="s">
        <v>204</v>
      </c>
      <c r="D3272" s="67" t="s">
        <v>203</v>
      </c>
      <c r="E3272" s="67" t="s">
        <v>202</v>
      </c>
      <c r="F3272" s="67" t="s">
        <v>201</v>
      </c>
      <c r="G3272" s="67" t="s">
        <v>200</v>
      </c>
      <c r="H3272" s="67" t="s">
        <v>199</v>
      </c>
    </row>
    <row r="3273" spans="1:9" x14ac:dyDescent="0.25">
      <c r="A3273" s="67" t="s">
        <v>3397</v>
      </c>
      <c r="B3273" s="67" t="s">
        <v>3396</v>
      </c>
      <c r="C3273" s="67">
        <v>0</v>
      </c>
      <c r="D3273" s="67">
        <v>0</v>
      </c>
      <c r="E3273" s="67">
        <v>83900.41</v>
      </c>
      <c r="F3273" s="67">
        <v>25250</v>
      </c>
      <c r="H3273" s="68">
        <v>40764</v>
      </c>
      <c r="I3273" s="67" t="s">
        <v>148</v>
      </c>
    </row>
    <row r="3274" spans="1:9" x14ac:dyDescent="0.25">
      <c r="B3274" s="67" t="s">
        <v>3396</v>
      </c>
      <c r="C3274" s="67">
        <v>0</v>
      </c>
      <c r="D3274" s="67">
        <v>0</v>
      </c>
      <c r="E3274" s="67">
        <v>83900.45</v>
      </c>
      <c r="H3274" s="67" t="s">
        <v>146</v>
      </c>
    </row>
    <row r="3276" spans="1:9" x14ac:dyDescent="0.25">
      <c r="A3276" s="67" t="s">
        <v>3395</v>
      </c>
      <c r="B3276" s="67" t="s">
        <v>3394</v>
      </c>
      <c r="C3276" s="67">
        <v>0</v>
      </c>
      <c r="D3276" s="67">
        <v>0</v>
      </c>
      <c r="E3276" s="67">
        <v>83900.41</v>
      </c>
      <c r="F3276" s="67">
        <v>25250</v>
      </c>
      <c r="H3276" s="68">
        <v>40764</v>
      </c>
      <c r="I3276" s="67" t="s">
        <v>148</v>
      </c>
    </row>
    <row r="3277" spans="1:9" x14ac:dyDescent="0.25">
      <c r="B3277" s="67" t="s">
        <v>3394</v>
      </c>
      <c r="C3277" s="67">
        <v>0</v>
      </c>
      <c r="D3277" s="67">
        <v>0</v>
      </c>
      <c r="E3277" s="67">
        <v>83900.45</v>
      </c>
      <c r="H3277" s="67" t="s">
        <v>146</v>
      </c>
    </row>
    <row r="3279" spans="1:9" x14ac:dyDescent="0.25">
      <c r="A3279" s="67" t="s">
        <v>3393</v>
      </c>
      <c r="B3279" s="67" t="s">
        <v>3392</v>
      </c>
      <c r="C3279" s="67">
        <v>0</v>
      </c>
      <c r="D3279" s="67">
        <v>0</v>
      </c>
      <c r="E3279" s="67">
        <v>83900.41</v>
      </c>
      <c r="F3279" s="67">
        <v>25250</v>
      </c>
      <c r="H3279" s="68">
        <v>40764</v>
      </c>
      <c r="I3279" s="67" t="s">
        <v>148</v>
      </c>
    </row>
    <row r="3280" spans="1:9" x14ac:dyDescent="0.25">
      <c r="B3280" s="67" t="s">
        <v>3392</v>
      </c>
      <c r="C3280" s="67">
        <v>0</v>
      </c>
      <c r="D3280" s="67">
        <v>0</v>
      </c>
      <c r="E3280" s="67">
        <v>83900.45</v>
      </c>
      <c r="H3280" s="67" t="s">
        <v>146</v>
      </c>
    </row>
    <row r="3282" spans="1:9" x14ac:dyDescent="0.25">
      <c r="A3282" s="67" t="s">
        <v>3391</v>
      </c>
      <c r="B3282" s="67" t="s">
        <v>3390</v>
      </c>
      <c r="C3282" s="67">
        <v>0</v>
      </c>
      <c r="D3282" s="67">
        <v>0</v>
      </c>
      <c r="E3282" s="67">
        <v>83900.41</v>
      </c>
      <c r="F3282" s="67">
        <v>25250</v>
      </c>
      <c r="H3282" s="68">
        <v>40764</v>
      </c>
      <c r="I3282" s="67" t="s">
        <v>148</v>
      </c>
    </row>
    <row r="3283" spans="1:9" x14ac:dyDescent="0.25">
      <c r="B3283" s="67" t="s">
        <v>3390</v>
      </c>
      <c r="C3283" s="67">
        <v>0</v>
      </c>
      <c r="D3283" s="67">
        <v>0</v>
      </c>
      <c r="E3283" s="67">
        <v>83900.45</v>
      </c>
      <c r="H3283" s="67" t="s">
        <v>146</v>
      </c>
    </row>
    <row r="3285" spans="1:9" x14ac:dyDescent="0.25">
      <c r="A3285" s="67" t="s">
        <v>3389</v>
      </c>
      <c r="B3285" s="67" t="s">
        <v>3388</v>
      </c>
      <c r="C3285" s="67">
        <v>0</v>
      </c>
      <c r="D3285" s="67">
        <v>0</v>
      </c>
      <c r="E3285" s="67">
        <v>83900.41</v>
      </c>
      <c r="F3285" s="67">
        <v>25250</v>
      </c>
      <c r="H3285" s="68">
        <v>40764</v>
      </c>
      <c r="I3285" s="67" t="s">
        <v>148</v>
      </c>
    </row>
    <row r="3286" spans="1:9" x14ac:dyDescent="0.25">
      <c r="B3286" s="67" t="s">
        <v>3388</v>
      </c>
      <c r="C3286" s="67">
        <v>0</v>
      </c>
      <c r="D3286" s="67">
        <v>0</v>
      </c>
      <c r="E3286" s="67">
        <v>83900.45</v>
      </c>
      <c r="H3286" s="67" t="s">
        <v>146</v>
      </c>
    </row>
    <row r="3288" spans="1:9" x14ac:dyDescent="0.25">
      <c r="A3288" s="67" t="s">
        <v>3387</v>
      </c>
      <c r="B3288" s="67" t="s">
        <v>3386</v>
      </c>
      <c r="C3288" s="67">
        <v>0</v>
      </c>
      <c r="D3288" s="67">
        <v>0</v>
      </c>
      <c r="E3288" s="67">
        <v>83900.41</v>
      </c>
      <c r="F3288" s="67">
        <v>25250</v>
      </c>
      <c r="H3288" s="68">
        <v>40764</v>
      </c>
      <c r="I3288" s="67" t="s">
        <v>148</v>
      </c>
    </row>
    <row r="3289" spans="1:9" x14ac:dyDescent="0.25">
      <c r="B3289" s="67" t="s">
        <v>3386</v>
      </c>
      <c r="C3289" s="67">
        <v>0</v>
      </c>
      <c r="D3289" s="67">
        <v>0</v>
      </c>
      <c r="E3289" s="67">
        <v>83900.45</v>
      </c>
      <c r="H3289" s="67" t="s">
        <v>146</v>
      </c>
    </row>
    <row r="3291" spans="1:9" x14ac:dyDescent="0.25">
      <c r="A3291" s="67" t="s">
        <v>3385</v>
      </c>
      <c r="B3291" s="67" t="s">
        <v>3384</v>
      </c>
      <c r="C3291" s="67">
        <v>0</v>
      </c>
      <c r="D3291" s="67">
        <v>0</v>
      </c>
      <c r="E3291" s="67">
        <v>83900.41</v>
      </c>
      <c r="F3291" s="67">
        <v>25250</v>
      </c>
      <c r="H3291" s="68">
        <v>40764</v>
      </c>
      <c r="I3291" s="67" t="s">
        <v>148</v>
      </c>
    </row>
    <row r="3292" spans="1:9" x14ac:dyDescent="0.25">
      <c r="B3292" s="67" t="s">
        <v>3384</v>
      </c>
      <c r="C3292" s="67">
        <v>0</v>
      </c>
      <c r="D3292" s="67">
        <v>0</v>
      </c>
      <c r="E3292" s="67">
        <v>83900.45</v>
      </c>
      <c r="H3292" s="67" t="s">
        <v>146</v>
      </c>
    </row>
    <row r="3294" spans="1:9" x14ac:dyDescent="0.25">
      <c r="A3294" s="67" t="s">
        <v>3383</v>
      </c>
      <c r="B3294" s="67" t="s">
        <v>3382</v>
      </c>
      <c r="C3294" s="67">
        <v>0</v>
      </c>
      <c r="D3294" s="67">
        <v>0</v>
      </c>
      <c r="E3294" s="67">
        <v>83900.41</v>
      </c>
      <c r="F3294" s="67">
        <v>25250</v>
      </c>
      <c r="H3294" s="68">
        <v>40764</v>
      </c>
      <c r="I3294" s="67" t="s">
        <v>148</v>
      </c>
    </row>
    <row r="3295" spans="1:9" x14ac:dyDescent="0.25">
      <c r="B3295" s="67" t="s">
        <v>3382</v>
      </c>
      <c r="C3295" s="67">
        <v>0</v>
      </c>
      <c r="D3295" s="67">
        <v>0</v>
      </c>
      <c r="E3295" s="67">
        <v>83900.45</v>
      </c>
      <c r="H3295" s="67" t="s">
        <v>146</v>
      </c>
    </row>
    <row r="3297" spans="1:9" x14ac:dyDescent="0.25">
      <c r="A3297" s="67" t="s">
        <v>3381</v>
      </c>
      <c r="B3297" s="67" t="s">
        <v>3380</v>
      </c>
      <c r="C3297" s="67">
        <v>0</v>
      </c>
      <c r="D3297" s="67">
        <v>0</v>
      </c>
      <c r="E3297" s="67">
        <v>83900.41</v>
      </c>
      <c r="F3297" s="67">
        <v>25250</v>
      </c>
      <c r="H3297" s="68">
        <v>40764</v>
      </c>
      <c r="I3297" s="67" t="s">
        <v>148</v>
      </c>
    </row>
    <row r="3298" spans="1:9" x14ac:dyDescent="0.25">
      <c r="B3298" s="67" t="s">
        <v>3380</v>
      </c>
      <c r="C3298" s="67">
        <v>0</v>
      </c>
      <c r="D3298" s="67">
        <v>0</v>
      </c>
      <c r="E3298" s="67">
        <v>83900.45</v>
      </c>
      <c r="H3298" s="67" t="s">
        <v>146</v>
      </c>
    </row>
    <row r="3300" spans="1:9" x14ac:dyDescent="0.25">
      <c r="A3300" s="67" t="s">
        <v>3379</v>
      </c>
      <c r="B3300" s="67" t="s">
        <v>3378</v>
      </c>
      <c r="C3300" s="67">
        <v>0</v>
      </c>
      <c r="D3300" s="67">
        <v>0</v>
      </c>
      <c r="E3300" s="67">
        <v>83900.41</v>
      </c>
      <c r="F3300" s="67">
        <v>25250</v>
      </c>
      <c r="H3300" s="68">
        <v>40764</v>
      </c>
      <c r="I3300" s="67" t="s">
        <v>148</v>
      </c>
    </row>
    <row r="3301" spans="1:9" x14ac:dyDescent="0.25">
      <c r="B3301" s="67" t="s">
        <v>3378</v>
      </c>
      <c r="C3301" s="67">
        <v>0</v>
      </c>
      <c r="D3301" s="67">
        <v>0</v>
      </c>
      <c r="E3301" s="67">
        <v>83900.45</v>
      </c>
      <c r="H3301" s="67" t="s">
        <v>146</v>
      </c>
    </row>
    <row r="3303" spans="1:9" x14ac:dyDescent="0.25">
      <c r="A3303" s="67" t="s">
        <v>3377</v>
      </c>
      <c r="B3303" s="67" t="s">
        <v>3376</v>
      </c>
      <c r="C3303" s="67">
        <v>0</v>
      </c>
      <c r="D3303" s="67">
        <v>0</v>
      </c>
      <c r="E3303" s="67">
        <v>83900.41</v>
      </c>
      <c r="F3303" s="67">
        <v>25250</v>
      </c>
      <c r="H3303" s="68">
        <v>40764</v>
      </c>
      <c r="I3303" s="67" t="s">
        <v>148</v>
      </c>
    </row>
    <row r="3304" spans="1:9" x14ac:dyDescent="0.25">
      <c r="B3304" s="67" t="s">
        <v>3376</v>
      </c>
      <c r="C3304" s="67">
        <v>0</v>
      </c>
      <c r="D3304" s="67">
        <v>0</v>
      </c>
      <c r="E3304" s="67">
        <v>83900.45</v>
      </c>
      <c r="H3304" s="67" t="s">
        <v>146</v>
      </c>
    </row>
    <row r="3306" spans="1:9" x14ac:dyDescent="0.25">
      <c r="A3306" s="67" t="s">
        <v>3375</v>
      </c>
      <c r="B3306" s="67" t="s">
        <v>3374</v>
      </c>
      <c r="C3306" s="67">
        <v>0</v>
      </c>
      <c r="D3306" s="67">
        <v>0</v>
      </c>
      <c r="E3306" s="67">
        <v>83900.41</v>
      </c>
      <c r="F3306" s="67">
        <v>25250</v>
      </c>
      <c r="H3306" s="68">
        <v>40764</v>
      </c>
      <c r="I3306" s="67" t="s">
        <v>148</v>
      </c>
    </row>
    <row r="3307" spans="1:9" x14ac:dyDescent="0.25">
      <c r="B3307" s="67" t="s">
        <v>3374</v>
      </c>
      <c r="C3307" s="67">
        <v>0</v>
      </c>
      <c r="D3307" s="67">
        <v>0</v>
      </c>
      <c r="E3307" s="67">
        <v>83900.45</v>
      </c>
      <c r="H3307" s="67" t="s">
        <v>146</v>
      </c>
    </row>
    <row r="3309" spans="1:9" x14ac:dyDescent="0.25">
      <c r="A3309" s="67" t="s">
        <v>3373</v>
      </c>
      <c r="B3309" s="67" t="s">
        <v>3372</v>
      </c>
      <c r="C3309" s="67">
        <v>0</v>
      </c>
      <c r="D3309" s="67">
        <v>0</v>
      </c>
      <c r="E3309" s="67">
        <v>83900.41</v>
      </c>
      <c r="F3309" s="67">
        <v>25250</v>
      </c>
      <c r="H3309" s="68">
        <v>40764</v>
      </c>
      <c r="I3309" s="67" t="s">
        <v>148</v>
      </c>
    </row>
    <row r="3310" spans="1:9" x14ac:dyDescent="0.25">
      <c r="B3310" s="67" t="s">
        <v>3372</v>
      </c>
      <c r="C3310" s="67">
        <v>0</v>
      </c>
      <c r="D3310" s="67">
        <v>0</v>
      </c>
      <c r="E3310" s="67">
        <v>83900.45</v>
      </c>
      <c r="H3310" s="67" t="s">
        <v>146</v>
      </c>
    </row>
    <row r="3312" spans="1:9" x14ac:dyDescent="0.25">
      <c r="A3312" s="67" t="s">
        <v>3371</v>
      </c>
      <c r="B3312" s="67" t="s">
        <v>3370</v>
      </c>
      <c r="C3312" s="67">
        <v>0</v>
      </c>
      <c r="D3312" s="67">
        <v>0</v>
      </c>
      <c r="E3312" s="67">
        <v>83900.41</v>
      </c>
      <c r="F3312" s="67">
        <v>25250</v>
      </c>
      <c r="H3312" s="68">
        <v>40764</v>
      </c>
      <c r="I3312" s="67" t="s">
        <v>148</v>
      </c>
    </row>
    <row r="3313" spans="1:9" x14ac:dyDescent="0.25">
      <c r="B3313" s="67" t="s">
        <v>3370</v>
      </c>
      <c r="C3313" s="67">
        <v>0</v>
      </c>
      <c r="D3313" s="67">
        <v>0</v>
      </c>
      <c r="E3313" s="67">
        <v>83900.45</v>
      </c>
      <c r="H3313" s="67" t="s">
        <v>146</v>
      </c>
    </row>
    <row r="3315" spans="1:9" x14ac:dyDescent="0.25">
      <c r="A3315" s="67" t="s">
        <v>3369</v>
      </c>
      <c r="B3315" s="67" t="s">
        <v>3368</v>
      </c>
      <c r="C3315" s="67">
        <v>0</v>
      </c>
      <c r="D3315" s="67">
        <v>0</v>
      </c>
      <c r="E3315" s="67">
        <v>83900.41</v>
      </c>
      <c r="F3315" s="67">
        <v>25250</v>
      </c>
      <c r="H3315" s="68">
        <v>40764</v>
      </c>
      <c r="I3315" s="67" t="s">
        <v>148</v>
      </c>
    </row>
    <row r="3316" spans="1:9" x14ac:dyDescent="0.25">
      <c r="B3316" s="67" t="s">
        <v>3368</v>
      </c>
      <c r="C3316" s="67">
        <v>0</v>
      </c>
      <c r="D3316" s="67">
        <v>0</v>
      </c>
      <c r="E3316" s="67">
        <v>83900.45</v>
      </c>
      <c r="H3316" s="67" t="s">
        <v>146</v>
      </c>
    </row>
    <row r="3318" spans="1:9" x14ac:dyDescent="0.25">
      <c r="A3318" s="67" t="s">
        <v>3367</v>
      </c>
      <c r="B3318" s="67" t="s">
        <v>3366</v>
      </c>
      <c r="C3318" s="67">
        <v>0</v>
      </c>
      <c r="D3318" s="67">
        <v>0</v>
      </c>
      <c r="E3318" s="67">
        <v>83900.41</v>
      </c>
      <c r="F3318" s="67">
        <v>25250</v>
      </c>
      <c r="H3318" s="68">
        <v>40764</v>
      </c>
      <c r="I3318" s="67" t="s">
        <v>148</v>
      </c>
    </row>
    <row r="3319" spans="1:9" x14ac:dyDescent="0.25">
      <c r="B3319" s="67" t="s">
        <v>3366</v>
      </c>
      <c r="C3319" s="67">
        <v>0</v>
      </c>
      <c r="D3319" s="67">
        <v>0</v>
      </c>
      <c r="E3319" s="67">
        <v>83900.45</v>
      </c>
      <c r="H3319" s="67" t="s">
        <v>146</v>
      </c>
    </row>
    <row r="3321" spans="1:9" x14ac:dyDescent="0.25">
      <c r="A3321" s="67" t="s">
        <v>3365</v>
      </c>
      <c r="B3321" s="67" t="s">
        <v>3364</v>
      </c>
      <c r="C3321" s="67">
        <v>0</v>
      </c>
      <c r="D3321" s="67">
        <v>0</v>
      </c>
      <c r="E3321" s="67">
        <v>83900.41</v>
      </c>
      <c r="F3321" s="67">
        <v>25250</v>
      </c>
      <c r="H3321" s="68">
        <v>40764</v>
      </c>
      <c r="I3321" s="67" t="s">
        <v>148</v>
      </c>
    </row>
    <row r="3322" spans="1:9" x14ac:dyDescent="0.25">
      <c r="B3322" s="67" t="s">
        <v>3364</v>
      </c>
      <c r="C3322" s="67">
        <v>0</v>
      </c>
      <c r="D3322" s="67">
        <v>0</v>
      </c>
      <c r="E3322" s="67">
        <v>83900.45</v>
      </c>
      <c r="H3322" s="67" t="s">
        <v>146</v>
      </c>
    </row>
    <row r="3323" spans="1:9" x14ac:dyDescent="0.25">
      <c r="A3323" s="67" t="s">
        <v>233</v>
      </c>
    </row>
    <row r="3325" spans="1:9" x14ac:dyDescent="0.25">
      <c r="A3325" s="67" t="s">
        <v>232</v>
      </c>
      <c r="D3325" s="67" t="s">
        <v>231</v>
      </c>
      <c r="H3325" s="67" t="s">
        <v>148</v>
      </c>
      <c r="I3325" s="67" t="s">
        <v>230</v>
      </c>
    </row>
    <row r="3326" spans="1:9" x14ac:dyDescent="0.25">
      <c r="A3326" s="67">
        <v>41.1</v>
      </c>
      <c r="C3326" s="67" t="s">
        <v>215</v>
      </c>
      <c r="D3326" s="67" t="s">
        <v>229</v>
      </c>
      <c r="H3326" s="70">
        <v>44771</v>
      </c>
      <c r="I3326" s="69">
        <v>0.56736111111111109</v>
      </c>
    </row>
    <row r="3327" spans="1:9" x14ac:dyDescent="0.25">
      <c r="A3327" s="67" t="s">
        <v>228</v>
      </c>
      <c r="C3327" s="67" t="s">
        <v>227</v>
      </c>
      <c r="D3327" s="67" t="s">
        <v>226</v>
      </c>
      <c r="E3327" s="67">
        <v>589</v>
      </c>
      <c r="H3327" s="67" t="s">
        <v>225</v>
      </c>
      <c r="I3327" s="67">
        <v>59</v>
      </c>
    </row>
    <row r="3328" spans="1:9" x14ac:dyDescent="0.25">
      <c r="A3328" s="67" t="s">
        <v>884</v>
      </c>
    </row>
    <row r="3329" spans="1:9" x14ac:dyDescent="0.25">
      <c r="A3329" s="67" t="s">
        <v>223</v>
      </c>
      <c r="B3329" s="67" t="s">
        <v>222</v>
      </c>
      <c r="C3329" s="67" t="s">
        <v>221</v>
      </c>
      <c r="D3329" s="67" t="s">
        <v>220</v>
      </c>
      <c r="E3329" s="67" t="s">
        <v>219</v>
      </c>
      <c r="F3329" s="67" t="s">
        <v>217</v>
      </c>
      <c r="G3329" s="67" t="s">
        <v>218</v>
      </c>
      <c r="H3329" s="67" t="s">
        <v>217</v>
      </c>
      <c r="I3329" s="67" t="s">
        <v>216</v>
      </c>
    </row>
    <row r="3330" spans="1:9" x14ac:dyDescent="0.25">
      <c r="A3330" s="67" t="s">
        <v>215</v>
      </c>
      <c r="B3330" s="67" t="s">
        <v>214</v>
      </c>
      <c r="C3330" s="67" t="s">
        <v>213</v>
      </c>
      <c r="D3330" s="67" t="s">
        <v>212</v>
      </c>
      <c r="E3330" s="67" t="s">
        <v>211</v>
      </c>
      <c r="F3330" s="67" t="s">
        <v>210</v>
      </c>
      <c r="G3330" s="67" t="s">
        <v>209</v>
      </c>
      <c r="H3330" s="67" t="s">
        <v>208</v>
      </c>
      <c r="I3330" s="67" t="s">
        <v>207</v>
      </c>
    </row>
    <row r="3331" spans="1:9" x14ac:dyDescent="0.25">
      <c r="A3331" s="67" t="s">
        <v>206</v>
      </c>
      <c r="B3331" s="67" t="s">
        <v>205</v>
      </c>
      <c r="C3331" s="67" t="s">
        <v>204</v>
      </c>
      <c r="D3331" s="67" t="s">
        <v>203</v>
      </c>
      <c r="E3331" s="67" t="s">
        <v>202</v>
      </c>
      <c r="F3331" s="67" t="s">
        <v>201</v>
      </c>
      <c r="G3331" s="67" t="s">
        <v>200</v>
      </c>
      <c r="H3331" s="67" t="s">
        <v>199</v>
      </c>
    </row>
    <row r="3332" spans="1:9" x14ac:dyDescent="0.25">
      <c r="A3332" s="67" t="s">
        <v>3363</v>
      </c>
      <c r="B3332" s="67" t="s">
        <v>3362</v>
      </c>
      <c r="C3332" s="67">
        <v>0</v>
      </c>
      <c r="D3332" s="67">
        <v>0</v>
      </c>
      <c r="E3332" s="67">
        <v>83900.41</v>
      </c>
      <c r="F3332" s="67">
        <v>25250</v>
      </c>
      <c r="H3332" s="68">
        <v>40764</v>
      </c>
      <c r="I3332" s="67" t="s">
        <v>148</v>
      </c>
    </row>
    <row r="3333" spans="1:9" x14ac:dyDescent="0.25">
      <c r="B3333" s="67" t="s">
        <v>3362</v>
      </c>
      <c r="C3333" s="67">
        <v>0</v>
      </c>
      <c r="D3333" s="67">
        <v>0</v>
      </c>
      <c r="E3333" s="67">
        <v>83900.45</v>
      </c>
      <c r="H3333" s="67" t="s">
        <v>146</v>
      </c>
    </row>
    <row r="3335" spans="1:9" x14ac:dyDescent="0.25">
      <c r="A3335" s="67" t="s">
        <v>3361</v>
      </c>
      <c r="B3335" s="67" t="s">
        <v>3360</v>
      </c>
      <c r="C3335" s="67">
        <v>0</v>
      </c>
      <c r="D3335" s="67">
        <v>0</v>
      </c>
      <c r="E3335" s="67">
        <v>83900.41</v>
      </c>
      <c r="F3335" s="67">
        <v>25250</v>
      </c>
      <c r="H3335" s="68">
        <v>40764</v>
      </c>
      <c r="I3335" s="67" t="s">
        <v>148</v>
      </c>
    </row>
    <row r="3336" spans="1:9" x14ac:dyDescent="0.25">
      <c r="B3336" s="67" t="s">
        <v>3360</v>
      </c>
      <c r="C3336" s="67">
        <v>0</v>
      </c>
      <c r="D3336" s="67">
        <v>0</v>
      </c>
      <c r="E3336" s="67">
        <v>83900.45</v>
      </c>
      <c r="H3336" s="67" t="s">
        <v>146</v>
      </c>
    </row>
    <row r="3338" spans="1:9" x14ac:dyDescent="0.25">
      <c r="A3338" s="67" t="s">
        <v>3359</v>
      </c>
      <c r="B3338" s="67" t="s">
        <v>3358</v>
      </c>
      <c r="C3338" s="67">
        <v>0</v>
      </c>
      <c r="D3338" s="67">
        <v>0</v>
      </c>
      <c r="E3338" s="67">
        <v>83900.41</v>
      </c>
      <c r="F3338" s="67">
        <v>25250</v>
      </c>
      <c r="H3338" s="68">
        <v>40764</v>
      </c>
      <c r="I3338" s="67" t="s">
        <v>148</v>
      </c>
    </row>
    <row r="3339" spans="1:9" x14ac:dyDescent="0.25">
      <c r="B3339" s="67" t="s">
        <v>3358</v>
      </c>
      <c r="C3339" s="67">
        <v>0</v>
      </c>
      <c r="D3339" s="67">
        <v>0</v>
      </c>
      <c r="E3339" s="67">
        <v>83900.45</v>
      </c>
      <c r="H3339" s="67" t="s">
        <v>146</v>
      </c>
    </row>
    <row r="3341" spans="1:9" x14ac:dyDescent="0.25">
      <c r="A3341" s="67" t="s">
        <v>3357</v>
      </c>
      <c r="B3341" s="67" t="s">
        <v>3356</v>
      </c>
      <c r="C3341" s="67">
        <v>0</v>
      </c>
      <c r="D3341" s="67">
        <v>0</v>
      </c>
      <c r="E3341" s="67">
        <v>83900.41</v>
      </c>
      <c r="F3341" s="67">
        <v>25250</v>
      </c>
      <c r="H3341" s="68">
        <v>40764</v>
      </c>
      <c r="I3341" s="67" t="s">
        <v>148</v>
      </c>
    </row>
    <row r="3342" spans="1:9" x14ac:dyDescent="0.25">
      <c r="B3342" s="67" t="s">
        <v>3356</v>
      </c>
      <c r="C3342" s="67">
        <v>0</v>
      </c>
      <c r="D3342" s="67">
        <v>0</v>
      </c>
      <c r="E3342" s="67">
        <v>83900.45</v>
      </c>
      <c r="H3342" s="67" t="s">
        <v>146</v>
      </c>
    </row>
    <row r="3344" spans="1:9" x14ac:dyDescent="0.25">
      <c r="A3344" s="67" t="s">
        <v>3355</v>
      </c>
      <c r="B3344" s="67" t="s">
        <v>3354</v>
      </c>
      <c r="C3344" s="67">
        <v>0</v>
      </c>
      <c r="D3344" s="67">
        <v>0</v>
      </c>
      <c r="E3344" s="67">
        <v>83900.41</v>
      </c>
      <c r="F3344" s="67">
        <v>25250</v>
      </c>
      <c r="H3344" s="68">
        <v>40764</v>
      </c>
      <c r="I3344" s="67" t="s">
        <v>148</v>
      </c>
    </row>
    <row r="3345" spans="1:9" x14ac:dyDescent="0.25">
      <c r="B3345" s="67" t="s">
        <v>3354</v>
      </c>
      <c r="C3345" s="67">
        <v>0</v>
      </c>
      <c r="D3345" s="67">
        <v>0</v>
      </c>
      <c r="E3345" s="67">
        <v>83900.45</v>
      </c>
      <c r="H3345" s="67" t="s">
        <v>146</v>
      </c>
    </row>
    <row r="3347" spans="1:9" x14ac:dyDescent="0.25">
      <c r="A3347" s="67" t="s">
        <v>3353</v>
      </c>
      <c r="B3347" s="67" t="s">
        <v>3352</v>
      </c>
      <c r="C3347" s="67">
        <v>0</v>
      </c>
      <c r="D3347" s="67">
        <v>0</v>
      </c>
      <c r="E3347" s="67">
        <v>83900.41</v>
      </c>
      <c r="F3347" s="67">
        <v>25250</v>
      </c>
      <c r="H3347" s="68">
        <v>40764</v>
      </c>
      <c r="I3347" s="67" t="s">
        <v>148</v>
      </c>
    </row>
    <row r="3348" spans="1:9" x14ac:dyDescent="0.25">
      <c r="B3348" s="67" t="s">
        <v>3352</v>
      </c>
      <c r="C3348" s="67">
        <v>0</v>
      </c>
      <c r="D3348" s="67">
        <v>0</v>
      </c>
      <c r="E3348" s="67">
        <v>83900.45</v>
      </c>
      <c r="H3348" s="67" t="s">
        <v>146</v>
      </c>
    </row>
    <row r="3350" spans="1:9" x14ac:dyDescent="0.25">
      <c r="A3350" s="67" t="s">
        <v>3351</v>
      </c>
      <c r="B3350" s="67" t="s">
        <v>3350</v>
      </c>
      <c r="C3350" s="67">
        <v>0</v>
      </c>
      <c r="D3350" s="67">
        <v>0</v>
      </c>
      <c r="E3350" s="67">
        <v>83900.41</v>
      </c>
      <c r="F3350" s="67">
        <v>25250</v>
      </c>
      <c r="H3350" s="68">
        <v>40764</v>
      </c>
      <c r="I3350" s="67" t="s">
        <v>148</v>
      </c>
    </row>
    <row r="3351" spans="1:9" x14ac:dyDescent="0.25">
      <c r="B3351" s="67" t="s">
        <v>3350</v>
      </c>
      <c r="C3351" s="67">
        <v>0</v>
      </c>
      <c r="D3351" s="67">
        <v>0</v>
      </c>
      <c r="E3351" s="67">
        <v>83900.45</v>
      </c>
      <c r="H3351" s="67" t="s">
        <v>146</v>
      </c>
    </row>
    <row r="3353" spans="1:9" x14ac:dyDescent="0.25">
      <c r="A3353" s="67" t="s">
        <v>3349</v>
      </c>
      <c r="B3353" s="67" t="s">
        <v>3348</v>
      </c>
      <c r="C3353" s="67">
        <v>0</v>
      </c>
      <c r="D3353" s="67">
        <v>0</v>
      </c>
      <c r="E3353" s="67">
        <v>83900.41</v>
      </c>
      <c r="F3353" s="67">
        <v>25250</v>
      </c>
      <c r="H3353" s="68">
        <v>40764</v>
      </c>
      <c r="I3353" s="67" t="s">
        <v>148</v>
      </c>
    </row>
    <row r="3354" spans="1:9" x14ac:dyDescent="0.25">
      <c r="B3354" s="67" t="s">
        <v>3348</v>
      </c>
      <c r="C3354" s="67">
        <v>0</v>
      </c>
      <c r="D3354" s="67">
        <v>0</v>
      </c>
      <c r="E3354" s="67">
        <v>83900.45</v>
      </c>
      <c r="H3354" s="67" t="s">
        <v>146</v>
      </c>
    </row>
    <row r="3356" spans="1:9" x14ac:dyDescent="0.25">
      <c r="A3356" s="67" t="s">
        <v>3347</v>
      </c>
      <c r="B3356" s="67" t="s">
        <v>3346</v>
      </c>
      <c r="C3356" s="67">
        <v>0</v>
      </c>
      <c r="D3356" s="67">
        <v>0</v>
      </c>
      <c r="E3356" s="67">
        <v>83900.41</v>
      </c>
      <c r="F3356" s="67">
        <v>25250</v>
      </c>
      <c r="H3356" s="68">
        <v>40764</v>
      </c>
      <c r="I3356" s="67" t="s">
        <v>148</v>
      </c>
    </row>
    <row r="3357" spans="1:9" x14ac:dyDescent="0.25">
      <c r="B3357" s="67" t="s">
        <v>3346</v>
      </c>
      <c r="C3357" s="67">
        <v>0</v>
      </c>
      <c r="D3357" s="67">
        <v>0</v>
      </c>
      <c r="E3357" s="67">
        <v>83900.45</v>
      </c>
      <c r="H3357" s="67" t="s">
        <v>146</v>
      </c>
    </row>
    <row r="3359" spans="1:9" x14ac:dyDescent="0.25">
      <c r="A3359" s="67" t="s">
        <v>3345</v>
      </c>
      <c r="B3359" s="67" t="s">
        <v>3344</v>
      </c>
      <c r="C3359" s="67">
        <v>0</v>
      </c>
      <c r="D3359" s="67">
        <v>0</v>
      </c>
      <c r="E3359" s="67">
        <v>83900.41</v>
      </c>
      <c r="F3359" s="67">
        <v>25250</v>
      </c>
      <c r="H3359" s="68">
        <v>40764</v>
      </c>
      <c r="I3359" s="67" t="s">
        <v>148</v>
      </c>
    </row>
    <row r="3360" spans="1:9" x14ac:dyDescent="0.25">
      <c r="B3360" s="67" t="s">
        <v>3344</v>
      </c>
      <c r="C3360" s="67">
        <v>0</v>
      </c>
      <c r="D3360" s="67">
        <v>0</v>
      </c>
      <c r="E3360" s="67">
        <v>83900.45</v>
      </c>
      <c r="H3360" s="67" t="s">
        <v>146</v>
      </c>
    </row>
    <row r="3362" spans="1:9" x14ac:dyDescent="0.25">
      <c r="A3362" s="67" t="s">
        <v>3343</v>
      </c>
      <c r="B3362" s="67" t="s">
        <v>3342</v>
      </c>
      <c r="C3362" s="67">
        <v>0</v>
      </c>
      <c r="D3362" s="67">
        <v>0</v>
      </c>
      <c r="E3362" s="67">
        <v>83900.41</v>
      </c>
      <c r="F3362" s="67">
        <v>25250</v>
      </c>
      <c r="H3362" s="68">
        <v>40764</v>
      </c>
      <c r="I3362" s="67" t="s">
        <v>148</v>
      </c>
    </row>
    <row r="3363" spans="1:9" x14ac:dyDescent="0.25">
      <c r="B3363" s="67" t="s">
        <v>3342</v>
      </c>
      <c r="C3363" s="67">
        <v>0</v>
      </c>
      <c r="D3363" s="67">
        <v>0</v>
      </c>
      <c r="E3363" s="67">
        <v>83900.45</v>
      </c>
      <c r="H3363" s="67" t="s">
        <v>146</v>
      </c>
    </row>
    <row r="3365" spans="1:9" x14ac:dyDescent="0.25">
      <c r="A3365" s="67" t="s">
        <v>3341</v>
      </c>
      <c r="B3365" s="67" t="s">
        <v>3340</v>
      </c>
      <c r="C3365" s="67">
        <v>0</v>
      </c>
      <c r="D3365" s="67">
        <v>0</v>
      </c>
      <c r="E3365" s="67">
        <v>83900.41</v>
      </c>
      <c r="F3365" s="67">
        <v>25250</v>
      </c>
      <c r="H3365" s="68">
        <v>40764</v>
      </c>
      <c r="I3365" s="67" t="s">
        <v>148</v>
      </c>
    </row>
    <row r="3366" spans="1:9" x14ac:dyDescent="0.25">
      <c r="B3366" s="67" t="s">
        <v>3340</v>
      </c>
      <c r="C3366" s="67">
        <v>0</v>
      </c>
      <c r="D3366" s="67">
        <v>0</v>
      </c>
      <c r="E3366" s="67">
        <v>83900.45</v>
      </c>
      <c r="H3366" s="67" t="s">
        <v>146</v>
      </c>
    </row>
    <row r="3368" spans="1:9" x14ac:dyDescent="0.25">
      <c r="A3368" s="67" t="s">
        <v>3339</v>
      </c>
      <c r="B3368" s="67" t="s">
        <v>3338</v>
      </c>
      <c r="C3368" s="67">
        <v>0</v>
      </c>
      <c r="D3368" s="67">
        <v>0</v>
      </c>
      <c r="E3368" s="67">
        <v>83900.41</v>
      </c>
      <c r="F3368" s="67">
        <v>25250</v>
      </c>
      <c r="H3368" s="68">
        <v>40764</v>
      </c>
      <c r="I3368" s="67" t="s">
        <v>148</v>
      </c>
    </row>
    <row r="3369" spans="1:9" x14ac:dyDescent="0.25">
      <c r="B3369" s="67" t="s">
        <v>3338</v>
      </c>
      <c r="C3369" s="67">
        <v>0</v>
      </c>
      <c r="D3369" s="67">
        <v>0</v>
      </c>
      <c r="E3369" s="67">
        <v>83900.45</v>
      </c>
      <c r="H3369" s="67" t="s">
        <v>146</v>
      </c>
    </row>
    <row r="3371" spans="1:9" x14ac:dyDescent="0.25">
      <c r="A3371" s="67" t="s">
        <v>3337</v>
      </c>
      <c r="B3371" s="67" t="s">
        <v>3336</v>
      </c>
      <c r="C3371" s="67">
        <v>0</v>
      </c>
      <c r="D3371" s="67">
        <v>0</v>
      </c>
      <c r="E3371" s="67">
        <v>83900.41</v>
      </c>
      <c r="F3371" s="67">
        <v>25250</v>
      </c>
      <c r="H3371" s="68">
        <v>40764</v>
      </c>
      <c r="I3371" s="67" t="s">
        <v>148</v>
      </c>
    </row>
    <row r="3372" spans="1:9" x14ac:dyDescent="0.25">
      <c r="B3372" s="67" t="s">
        <v>3336</v>
      </c>
      <c r="C3372" s="67">
        <v>0</v>
      </c>
      <c r="D3372" s="67">
        <v>0</v>
      </c>
      <c r="E3372" s="67">
        <v>83900.45</v>
      </c>
      <c r="H3372" s="67" t="s">
        <v>146</v>
      </c>
    </row>
    <row r="3374" spans="1:9" x14ac:dyDescent="0.25">
      <c r="A3374" s="67" t="s">
        <v>3335</v>
      </c>
      <c r="B3374" s="67" t="s">
        <v>3334</v>
      </c>
      <c r="C3374" s="67">
        <v>0</v>
      </c>
      <c r="D3374" s="67">
        <v>0</v>
      </c>
      <c r="E3374" s="67">
        <v>83900.41</v>
      </c>
      <c r="F3374" s="67">
        <v>25250</v>
      </c>
      <c r="H3374" s="68">
        <v>40764</v>
      </c>
      <c r="I3374" s="67" t="s">
        <v>148</v>
      </c>
    </row>
    <row r="3375" spans="1:9" x14ac:dyDescent="0.25">
      <c r="B3375" s="67" t="s">
        <v>3334</v>
      </c>
      <c r="C3375" s="67">
        <v>0</v>
      </c>
      <c r="D3375" s="67">
        <v>0</v>
      </c>
      <c r="E3375" s="67">
        <v>83900.45</v>
      </c>
      <c r="H3375" s="67" t="s">
        <v>146</v>
      </c>
    </row>
    <row r="3377" spans="1:9" x14ac:dyDescent="0.25">
      <c r="A3377" s="67" t="s">
        <v>3333</v>
      </c>
      <c r="B3377" s="67" t="s">
        <v>3332</v>
      </c>
      <c r="C3377" s="67">
        <v>0</v>
      </c>
      <c r="D3377" s="67">
        <v>0</v>
      </c>
      <c r="E3377" s="67">
        <v>83900.41</v>
      </c>
      <c r="F3377" s="67">
        <v>25250</v>
      </c>
      <c r="H3377" s="68">
        <v>40764</v>
      </c>
      <c r="I3377" s="67" t="s">
        <v>148</v>
      </c>
    </row>
    <row r="3378" spans="1:9" x14ac:dyDescent="0.25">
      <c r="B3378" s="67" t="s">
        <v>3332</v>
      </c>
      <c r="C3378" s="67">
        <v>0</v>
      </c>
      <c r="D3378" s="67">
        <v>0</v>
      </c>
      <c r="E3378" s="67">
        <v>83900.45</v>
      </c>
      <c r="H3378" s="67" t="s">
        <v>146</v>
      </c>
    </row>
    <row r="3380" spans="1:9" x14ac:dyDescent="0.25">
      <c r="A3380" s="67" t="s">
        <v>3331</v>
      </c>
      <c r="B3380" s="67" t="s">
        <v>3330</v>
      </c>
      <c r="C3380" s="67">
        <v>0</v>
      </c>
      <c r="D3380" s="67">
        <v>0</v>
      </c>
      <c r="E3380" s="67">
        <v>83900.41</v>
      </c>
      <c r="F3380" s="67">
        <v>25250</v>
      </c>
      <c r="H3380" s="68">
        <v>40764</v>
      </c>
      <c r="I3380" s="67" t="s">
        <v>148</v>
      </c>
    </row>
    <row r="3381" spans="1:9" x14ac:dyDescent="0.25">
      <c r="B3381" s="67" t="s">
        <v>3330</v>
      </c>
      <c r="C3381" s="67">
        <v>0</v>
      </c>
      <c r="D3381" s="67">
        <v>0</v>
      </c>
      <c r="E3381" s="67">
        <v>83900.45</v>
      </c>
      <c r="H3381" s="67" t="s">
        <v>146</v>
      </c>
    </row>
    <row r="3382" spans="1:9" x14ac:dyDescent="0.25">
      <c r="A3382" s="67" t="s">
        <v>233</v>
      </c>
    </row>
    <row r="3384" spans="1:9" x14ac:dyDescent="0.25">
      <c r="A3384" s="67" t="s">
        <v>232</v>
      </c>
      <c r="D3384" s="67" t="s">
        <v>231</v>
      </c>
      <c r="H3384" s="67" t="s">
        <v>148</v>
      </c>
      <c r="I3384" s="67" t="s">
        <v>230</v>
      </c>
    </row>
    <row r="3385" spans="1:9" x14ac:dyDescent="0.25">
      <c r="A3385" s="67">
        <v>41.1</v>
      </c>
      <c r="C3385" s="67" t="s">
        <v>215</v>
      </c>
      <c r="D3385" s="67" t="s">
        <v>229</v>
      </c>
      <c r="H3385" s="70">
        <v>44771</v>
      </c>
      <c r="I3385" s="69">
        <v>0.56736111111111109</v>
      </c>
    </row>
    <row r="3386" spans="1:9" x14ac:dyDescent="0.25">
      <c r="A3386" s="67" t="s">
        <v>228</v>
      </c>
      <c r="C3386" s="67" t="s">
        <v>227</v>
      </c>
      <c r="D3386" s="67" t="s">
        <v>226</v>
      </c>
      <c r="E3386" s="67">
        <v>589</v>
      </c>
      <c r="H3386" s="67" t="s">
        <v>225</v>
      </c>
      <c r="I3386" s="67">
        <v>60</v>
      </c>
    </row>
    <row r="3387" spans="1:9" x14ac:dyDescent="0.25">
      <c r="A3387" s="67" t="s">
        <v>884</v>
      </c>
    </row>
    <row r="3388" spans="1:9" x14ac:dyDescent="0.25">
      <c r="A3388" s="67" t="s">
        <v>223</v>
      </c>
      <c r="B3388" s="67" t="s">
        <v>222</v>
      </c>
      <c r="C3388" s="67" t="s">
        <v>221</v>
      </c>
      <c r="D3388" s="67" t="s">
        <v>220</v>
      </c>
      <c r="E3388" s="67" t="s">
        <v>219</v>
      </c>
      <c r="F3388" s="67" t="s">
        <v>217</v>
      </c>
      <c r="G3388" s="67" t="s">
        <v>218</v>
      </c>
      <c r="H3388" s="67" t="s">
        <v>217</v>
      </c>
      <c r="I3388" s="67" t="s">
        <v>216</v>
      </c>
    </row>
    <row r="3389" spans="1:9" x14ac:dyDescent="0.25">
      <c r="A3389" s="67" t="s">
        <v>215</v>
      </c>
      <c r="B3389" s="67" t="s">
        <v>214</v>
      </c>
      <c r="C3389" s="67" t="s">
        <v>213</v>
      </c>
      <c r="D3389" s="67" t="s">
        <v>212</v>
      </c>
      <c r="E3389" s="67" t="s">
        <v>211</v>
      </c>
      <c r="F3389" s="67" t="s">
        <v>210</v>
      </c>
      <c r="G3389" s="67" t="s">
        <v>209</v>
      </c>
      <c r="H3389" s="67" t="s">
        <v>208</v>
      </c>
      <c r="I3389" s="67" t="s">
        <v>207</v>
      </c>
    </row>
    <row r="3390" spans="1:9" x14ac:dyDescent="0.25">
      <c r="A3390" s="67" t="s">
        <v>206</v>
      </c>
      <c r="B3390" s="67" t="s">
        <v>205</v>
      </c>
      <c r="C3390" s="67" t="s">
        <v>204</v>
      </c>
      <c r="D3390" s="67" t="s">
        <v>203</v>
      </c>
      <c r="E3390" s="67" t="s">
        <v>202</v>
      </c>
      <c r="F3390" s="67" t="s">
        <v>201</v>
      </c>
      <c r="G3390" s="67" t="s">
        <v>200</v>
      </c>
      <c r="H3390" s="67" t="s">
        <v>199</v>
      </c>
    </row>
    <row r="3391" spans="1:9" x14ac:dyDescent="0.25">
      <c r="A3391" s="67" t="s">
        <v>3329</v>
      </c>
      <c r="B3391" s="67" t="s">
        <v>3328</v>
      </c>
      <c r="C3391" s="67">
        <v>0</v>
      </c>
      <c r="D3391" s="67">
        <v>0</v>
      </c>
      <c r="E3391" s="67">
        <v>83900.41</v>
      </c>
      <c r="F3391" s="67">
        <v>25250</v>
      </c>
      <c r="H3391" s="68">
        <v>40764</v>
      </c>
      <c r="I3391" s="67" t="s">
        <v>148</v>
      </c>
    </row>
    <row r="3392" spans="1:9" x14ac:dyDescent="0.25">
      <c r="B3392" s="67" t="s">
        <v>3328</v>
      </c>
      <c r="C3392" s="67">
        <v>0</v>
      </c>
      <c r="D3392" s="67">
        <v>0</v>
      </c>
      <c r="E3392" s="67">
        <v>83900.45</v>
      </c>
      <c r="H3392" s="67" t="s">
        <v>146</v>
      </c>
    </row>
    <row r="3394" spans="1:9" x14ac:dyDescent="0.25">
      <c r="A3394" s="67" t="s">
        <v>3327</v>
      </c>
      <c r="B3394" s="67" t="s">
        <v>3326</v>
      </c>
      <c r="C3394" s="67">
        <v>0</v>
      </c>
      <c r="D3394" s="67">
        <v>0</v>
      </c>
      <c r="E3394" s="67">
        <v>83900.41</v>
      </c>
      <c r="F3394" s="67">
        <v>25250</v>
      </c>
      <c r="H3394" s="68">
        <v>40764</v>
      </c>
      <c r="I3394" s="67" t="s">
        <v>148</v>
      </c>
    </row>
    <row r="3395" spans="1:9" x14ac:dyDescent="0.25">
      <c r="B3395" s="67" t="s">
        <v>3326</v>
      </c>
      <c r="C3395" s="67">
        <v>0</v>
      </c>
      <c r="D3395" s="67">
        <v>0</v>
      </c>
      <c r="E3395" s="67">
        <v>83900.45</v>
      </c>
      <c r="H3395" s="67" t="s">
        <v>146</v>
      </c>
    </row>
    <row r="3397" spans="1:9" x14ac:dyDescent="0.25">
      <c r="A3397" s="67" t="s">
        <v>3325</v>
      </c>
      <c r="B3397" s="67" t="s">
        <v>3324</v>
      </c>
      <c r="C3397" s="67">
        <v>0</v>
      </c>
      <c r="D3397" s="67">
        <v>0</v>
      </c>
      <c r="E3397" s="67">
        <v>83900.41</v>
      </c>
      <c r="F3397" s="67">
        <v>25250</v>
      </c>
      <c r="H3397" s="68">
        <v>40764</v>
      </c>
      <c r="I3397" s="67" t="s">
        <v>148</v>
      </c>
    </row>
    <row r="3398" spans="1:9" x14ac:dyDescent="0.25">
      <c r="B3398" s="67" t="s">
        <v>3324</v>
      </c>
      <c r="C3398" s="67">
        <v>0</v>
      </c>
      <c r="D3398" s="67">
        <v>0</v>
      </c>
      <c r="E3398" s="67">
        <v>83900.45</v>
      </c>
      <c r="H3398" s="67" t="s">
        <v>146</v>
      </c>
    </row>
    <row r="3400" spans="1:9" x14ac:dyDescent="0.25">
      <c r="A3400" s="67" t="s">
        <v>3323</v>
      </c>
      <c r="B3400" s="67" t="s">
        <v>3322</v>
      </c>
      <c r="C3400" s="67">
        <v>0</v>
      </c>
      <c r="D3400" s="67">
        <v>0</v>
      </c>
      <c r="E3400" s="67">
        <v>83900.41</v>
      </c>
      <c r="F3400" s="67">
        <v>25250</v>
      </c>
      <c r="H3400" s="68">
        <v>40764</v>
      </c>
      <c r="I3400" s="67" t="s">
        <v>148</v>
      </c>
    </row>
    <row r="3401" spans="1:9" x14ac:dyDescent="0.25">
      <c r="B3401" s="67" t="s">
        <v>3322</v>
      </c>
      <c r="C3401" s="67">
        <v>0</v>
      </c>
      <c r="D3401" s="67">
        <v>0</v>
      </c>
      <c r="E3401" s="67">
        <v>83900.45</v>
      </c>
      <c r="H3401" s="67" t="s">
        <v>146</v>
      </c>
    </row>
    <row r="3403" spans="1:9" x14ac:dyDescent="0.25">
      <c r="A3403" s="67" t="s">
        <v>3321</v>
      </c>
      <c r="B3403" s="67" t="s">
        <v>3320</v>
      </c>
      <c r="C3403" s="67">
        <v>0</v>
      </c>
      <c r="D3403" s="67">
        <v>0</v>
      </c>
      <c r="E3403" s="67">
        <v>83900.41</v>
      </c>
      <c r="F3403" s="67">
        <v>25250</v>
      </c>
      <c r="H3403" s="68">
        <v>40764</v>
      </c>
      <c r="I3403" s="67" t="s">
        <v>148</v>
      </c>
    </row>
    <row r="3404" spans="1:9" x14ac:dyDescent="0.25">
      <c r="B3404" s="67" t="s">
        <v>3320</v>
      </c>
      <c r="C3404" s="67">
        <v>0</v>
      </c>
      <c r="D3404" s="67">
        <v>0</v>
      </c>
      <c r="E3404" s="67">
        <v>83900.45</v>
      </c>
      <c r="H3404" s="67" t="s">
        <v>146</v>
      </c>
    </row>
    <row r="3406" spans="1:9" x14ac:dyDescent="0.25">
      <c r="A3406" s="67" t="s">
        <v>3319</v>
      </c>
      <c r="B3406" s="67" t="s">
        <v>3318</v>
      </c>
      <c r="C3406" s="67">
        <v>0</v>
      </c>
      <c r="D3406" s="67">
        <v>0</v>
      </c>
      <c r="E3406" s="67">
        <v>83900.41</v>
      </c>
      <c r="F3406" s="67">
        <v>25250</v>
      </c>
      <c r="H3406" s="68">
        <v>40764</v>
      </c>
      <c r="I3406" s="67" t="s">
        <v>148</v>
      </c>
    </row>
    <row r="3407" spans="1:9" x14ac:dyDescent="0.25">
      <c r="B3407" s="67" t="s">
        <v>3318</v>
      </c>
      <c r="C3407" s="67">
        <v>0</v>
      </c>
      <c r="D3407" s="67">
        <v>0</v>
      </c>
      <c r="E3407" s="67">
        <v>83900.45</v>
      </c>
      <c r="H3407" s="67" t="s">
        <v>146</v>
      </c>
    </row>
    <row r="3409" spans="1:9" x14ac:dyDescent="0.25">
      <c r="A3409" s="67" t="s">
        <v>3317</v>
      </c>
      <c r="B3409" s="67" t="s">
        <v>3316</v>
      </c>
      <c r="C3409" s="67">
        <v>0</v>
      </c>
      <c r="D3409" s="67">
        <v>0</v>
      </c>
      <c r="E3409" s="67">
        <v>83900.41</v>
      </c>
      <c r="F3409" s="67">
        <v>25250</v>
      </c>
      <c r="H3409" s="68">
        <v>40764</v>
      </c>
      <c r="I3409" s="67" t="s">
        <v>148</v>
      </c>
    </row>
    <row r="3410" spans="1:9" x14ac:dyDescent="0.25">
      <c r="B3410" s="67" t="s">
        <v>3316</v>
      </c>
      <c r="C3410" s="67">
        <v>0</v>
      </c>
      <c r="D3410" s="67">
        <v>0</v>
      </c>
      <c r="E3410" s="67">
        <v>83900.45</v>
      </c>
      <c r="H3410" s="67" t="s">
        <v>146</v>
      </c>
    </row>
    <row r="3412" spans="1:9" x14ac:dyDescent="0.25">
      <c r="A3412" s="67" t="s">
        <v>3315</v>
      </c>
      <c r="B3412" s="67" t="s">
        <v>3314</v>
      </c>
      <c r="C3412" s="67">
        <v>0</v>
      </c>
      <c r="D3412" s="67">
        <v>0</v>
      </c>
      <c r="E3412" s="67">
        <v>83900.41</v>
      </c>
      <c r="F3412" s="67">
        <v>25250</v>
      </c>
      <c r="H3412" s="68">
        <v>40764</v>
      </c>
      <c r="I3412" s="67" t="s">
        <v>148</v>
      </c>
    </row>
    <row r="3413" spans="1:9" x14ac:dyDescent="0.25">
      <c r="B3413" s="67" t="s">
        <v>3314</v>
      </c>
      <c r="C3413" s="67">
        <v>0</v>
      </c>
      <c r="D3413" s="67">
        <v>0</v>
      </c>
      <c r="E3413" s="67">
        <v>83900.45</v>
      </c>
      <c r="H3413" s="67" t="s">
        <v>146</v>
      </c>
    </row>
    <row r="3415" spans="1:9" x14ac:dyDescent="0.25">
      <c r="A3415" s="67" t="s">
        <v>3313</v>
      </c>
      <c r="B3415" s="67" t="s">
        <v>3312</v>
      </c>
      <c r="C3415" s="67">
        <v>0</v>
      </c>
      <c r="D3415" s="67">
        <v>0</v>
      </c>
      <c r="E3415" s="67">
        <v>83900.41</v>
      </c>
      <c r="F3415" s="67">
        <v>25250</v>
      </c>
      <c r="H3415" s="68">
        <v>40764</v>
      </c>
      <c r="I3415" s="67" t="s">
        <v>148</v>
      </c>
    </row>
    <row r="3416" spans="1:9" x14ac:dyDescent="0.25">
      <c r="B3416" s="67" t="s">
        <v>3312</v>
      </c>
      <c r="C3416" s="67">
        <v>0</v>
      </c>
      <c r="D3416" s="67">
        <v>0</v>
      </c>
      <c r="E3416" s="67">
        <v>83900.45</v>
      </c>
      <c r="H3416" s="67" t="s">
        <v>146</v>
      </c>
    </row>
    <row r="3418" spans="1:9" x14ac:dyDescent="0.25">
      <c r="A3418" s="67" t="s">
        <v>3311</v>
      </c>
      <c r="B3418" s="67" t="s">
        <v>3310</v>
      </c>
      <c r="C3418" s="67">
        <v>0</v>
      </c>
      <c r="D3418" s="67">
        <v>0</v>
      </c>
      <c r="E3418" s="67">
        <v>83900.41</v>
      </c>
      <c r="F3418" s="67">
        <v>25250</v>
      </c>
      <c r="H3418" s="68">
        <v>40764</v>
      </c>
      <c r="I3418" s="67" t="s">
        <v>148</v>
      </c>
    </row>
    <row r="3419" spans="1:9" x14ac:dyDescent="0.25">
      <c r="B3419" s="67" t="s">
        <v>3310</v>
      </c>
      <c r="C3419" s="67">
        <v>0</v>
      </c>
      <c r="D3419" s="67">
        <v>0</v>
      </c>
      <c r="E3419" s="67">
        <v>83900.45</v>
      </c>
      <c r="H3419" s="67" t="s">
        <v>146</v>
      </c>
    </row>
    <row r="3421" spans="1:9" x14ac:dyDescent="0.25">
      <c r="A3421" s="67" t="s">
        <v>3309</v>
      </c>
      <c r="B3421" s="67" t="s">
        <v>3308</v>
      </c>
      <c r="C3421" s="67">
        <v>0</v>
      </c>
      <c r="D3421" s="67">
        <v>0</v>
      </c>
      <c r="E3421" s="67">
        <v>83900.41</v>
      </c>
      <c r="F3421" s="67">
        <v>25250</v>
      </c>
      <c r="H3421" s="68">
        <v>40764</v>
      </c>
      <c r="I3421" s="67" t="s">
        <v>148</v>
      </c>
    </row>
    <row r="3422" spans="1:9" x14ac:dyDescent="0.25">
      <c r="B3422" s="67" t="s">
        <v>3308</v>
      </c>
      <c r="C3422" s="67">
        <v>0</v>
      </c>
      <c r="D3422" s="67">
        <v>0</v>
      </c>
      <c r="E3422" s="67">
        <v>83900.45</v>
      </c>
      <c r="H3422" s="67" t="s">
        <v>146</v>
      </c>
    </row>
    <row r="3424" spans="1:9" x14ac:dyDescent="0.25">
      <c r="A3424" s="67" t="s">
        <v>3307</v>
      </c>
      <c r="B3424" s="67" t="s">
        <v>3306</v>
      </c>
      <c r="C3424" s="67">
        <v>0</v>
      </c>
      <c r="D3424" s="67">
        <v>0</v>
      </c>
      <c r="E3424" s="67">
        <v>83900.41</v>
      </c>
      <c r="F3424" s="67">
        <v>25250</v>
      </c>
      <c r="H3424" s="68">
        <v>40764</v>
      </c>
      <c r="I3424" s="67" t="s">
        <v>148</v>
      </c>
    </row>
    <row r="3425" spans="1:9" x14ac:dyDescent="0.25">
      <c r="B3425" s="67" t="s">
        <v>3306</v>
      </c>
      <c r="C3425" s="67">
        <v>0</v>
      </c>
      <c r="D3425" s="67">
        <v>0</v>
      </c>
      <c r="E3425" s="67">
        <v>83900.45</v>
      </c>
      <c r="H3425" s="67" t="s">
        <v>146</v>
      </c>
    </row>
    <row r="3427" spans="1:9" x14ac:dyDescent="0.25">
      <c r="A3427" s="67" t="s">
        <v>3305</v>
      </c>
      <c r="B3427" s="67" t="s">
        <v>3304</v>
      </c>
      <c r="C3427" s="67">
        <v>0</v>
      </c>
      <c r="D3427" s="67">
        <v>0</v>
      </c>
      <c r="E3427" s="67">
        <v>83900.41</v>
      </c>
      <c r="F3427" s="67">
        <v>25250</v>
      </c>
      <c r="H3427" s="68">
        <v>40764</v>
      </c>
      <c r="I3427" s="67" t="s">
        <v>148</v>
      </c>
    </row>
    <row r="3428" spans="1:9" x14ac:dyDescent="0.25">
      <c r="B3428" s="67" t="s">
        <v>3304</v>
      </c>
      <c r="C3428" s="67">
        <v>0</v>
      </c>
      <c r="D3428" s="67">
        <v>0</v>
      </c>
      <c r="E3428" s="67">
        <v>83900.45</v>
      </c>
      <c r="H3428" s="67" t="s">
        <v>146</v>
      </c>
    </row>
    <row r="3430" spans="1:9" x14ac:dyDescent="0.25">
      <c r="A3430" s="67" t="s">
        <v>3303</v>
      </c>
      <c r="B3430" s="67" t="s">
        <v>3302</v>
      </c>
      <c r="C3430" s="67">
        <v>0</v>
      </c>
      <c r="D3430" s="67">
        <v>0</v>
      </c>
      <c r="E3430" s="67">
        <v>83900.41</v>
      </c>
      <c r="F3430" s="67">
        <v>25250</v>
      </c>
      <c r="H3430" s="68">
        <v>40764</v>
      </c>
      <c r="I3430" s="67" t="s">
        <v>148</v>
      </c>
    </row>
    <row r="3431" spans="1:9" x14ac:dyDescent="0.25">
      <c r="B3431" s="67" t="s">
        <v>3302</v>
      </c>
      <c r="C3431" s="67">
        <v>0</v>
      </c>
      <c r="D3431" s="67">
        <v>0</v>
      </c>
      <c r="E3431" s="67">
        <v>83900.45</v>
      </c>
      <c r="H3431" s="67" t="s">
        <v>146</v>
      </c>
    </row>
    <row r="3433" spans="1:9" x14ac:dyDescent="0.25">
      <c r="A3433" s="67" t="s">
        <v>3301</v>
      </c>
      <c r="B3433" s="67" t="s">
        <v>3300</v>
      </c>
      <c r="C3433" s="67">
        <v>0</v>
      </c>
      <c r="D3433" s="67">
        <v>0</v>
      </c>
      <c r="E3433" s="67">
        <v>83900.41</v>
      </c>
      <c r="F3433" s="67">
        <v>25250</v>
      </c>
      <c r="H3433" s="68">
        <v>40764</v>
      </c>
      <c r="I3433" s="67" t="s">
        <v>148</v>
      </c>
    </row>
    <row r="3434" spans="1:9" x14ac:dyDescent="0.25">
      <c r="B3434" s="67" t="s">
        <v>3300</v>
      </c>
      <c r="C3434" s="67">
        <v>0</v>
      </c>
      <c r="D3434" s="67">
        <v>0</v>
      </c>
      <c r="E3434" s="67">
        <v>83900.45</v>
      </c>
      <c r="H3434" s="67" t="s">
        <v>146</v>
      </c>
    </row>
    <row r="3436" spans="1:9" x14ac:dyDescent="0.25">
      <c r="A3436" s="67" t="s">
        <v>3299</v>
      </c>
      <c r="B3436" s="67" t="s">
        <v>3298</v>
      </c>
      <c r="C3436" s="67">
        <v>0</v>
      </c>
      <c r="D3436" s="67">
        <v>0</v>
      </c>
      <c r="E3436" s="67">
        <v>83900.41</v>
      </c>
      <c r="F3436" s="67">
        <v>25250</v>
      </c>
      <c r="H3436" s="68">
        <v>40764</v>
      </c>
      <c r="I3436" s="67" t="s">
        <v>148</v>
      </c>
    </row>
    <row r="3437" spans="1:9" x14ac:dyDescent="0.25">
      <c r="B3437" s="67" t="s">
        <v>3298</v>
      </c>
      <c r="C3437" s="67">
        <v>0</v>
      </c>
      <c r="D3437" s="67">
        <v>0</v>
      </c>
      <c r="E3437" s="67">
        <v>83900.45</v>
      </c>
      <c r="H3437" s="67" t="s">
        <v>146</v>
      </c>
    </row>
    <row r="3439" spans="1:9" x14ac:dyDescent="0.25">
      <c r="A3439" s="67" t="s">
        <v>3297</v>
      </c>
      <c r="B3439" s="67" t="s">
        <v>3296</v>
      </c>
      <c r="C3439" s="67">
        <v>0</v>
      </c>
      <c r="D3439" s="67">
        <v>0</v>
      </c>
      <c r="E3439" s="67">
        <v>83900.41</v>
      </c>
      <c r="F3439" s="67">
        <v>25250</v>
      </c>
      <c r="H3439" s="68">
        <v>40764</v>
      </c>
      <c r="I3439" s="67" t="s">
        <v>148</v>
      </c>
    </row>
    <row r="3440" spans="1:9" x14ac:dyDescent="0.25">
      <c r="B3440" s="67" t="s">
        <v>3296</v>
      </c>
      <c r="C3440" s="67">
        <v>0</v>
      </c>
      <c r="D3440" s="67">
        <v>0</v>
      </c>
      <c r="E3440" s="67">
        <v>83900.45</v>
      </c>
      <c r="H3440" s="67" t="s">
        <v>146</v>
      </c>
    </row>
    <row r="3441" spans="1:9" x14ac:dyDescent="0.25">
      <c r="A3441" s="67" t="s">
        <v>233</v>
      </c>
    </row>
    <row r="3443" spans="1:9" x14ac:dyDescent="0.25">
      <c r="A3443" s="67" t="s">
        <v>232</v>
      </c>
      <c r="D3443" s="67" t="s">
        <v>231</v>
      </c>
      <c r="H3443" s="67" t="s">
        <v>148</v>
      </c>
      <c r="I3443" s="67" t="s">
        <v>230</v>
      </c>
    </row>
    <row r="3444" spans="1:9" x14ac:dyDescent="0.25">
      <c r="A3444" s="67">
        <v>41.1</v>
      </c>
      <c r="C3444" s="67" t="s">
        <v>215</v>
      </c>
      <c r="D3444" s="67" t="s">
        <v>229</v>
      </c>
      <c r="H3444" s="70">
        <v>44771</v>
      </c>
      <c r="I3444" s="69">
        <v>0.56736111111111109</v>
      </c>
    </row>
    <row r="3445" spans="1:9" x14ac:dyDescent="0.25">
      <c r="A3445" s="67" t="s">
        <v>228</v>
      </c>
      <c r="C3445" s="67" t="s">
        <v>227</v>
      </c>
      <c r="D3445" s="67" t="s">
        <v>226</v>
      </c>
      <c r="E3445" s="67">
        <v>589</v>
      </c>
      <c r="H3445" s="67" t="s">
        <v>225</v>
      </c>
      <c r="I3445" s="67">
        <v>61</v>
      </c>
    </row>
    <row r="3446" spans="1:9" x14ac:dyDescent="0.25">
      <c r="A3446" s="67" t="s">
        <v>884</v>
      </c>
    </row>
    <row r="3447" spans="1:9" x14ac:dyDescent="0.25">
      <c r="A3447" s="67" t="s">
        <v>223</v>
      </c>
      <c r="B3447" s="67" t="s">
        <v>222</v>
      </c>
      <c r="C3447" s="67" t="s">
        <v>221</v>
      </c>
      <c r="D3447" s="67" t="s">
        <v>220</v>
      </c>
      <c r="E3447" s="67" t="s">
        <v>219</v>
      </c>
      <c r="F3447" s="67" t="s">
        <v>217</v>
      </c>
      <c r="G3447" s="67" t="s">
        <v>218</v>
      </c>
      <c r="H3447" s="67" t="s">
        <v>217</v>
      </c>
      <c r="I3447" s="67" t="s">
        <v>216</v>
      </c>
    </row>
    <row r="3448" spans="1:9" x14ac:dyDescent="0.25">
      <c r="A3448" s="67" t="s">
        <v>215</v>
      </c>
      <c r="B3448" s="67" t="s">
        <v>214</v>
      </c>
      <c r="C3448" s="67" t="s">
        <v>213</v>
      </c>
      <c r="D3448" s="67" t="s">
        <v>212</v>
      </c>
      <c r="E3448" s="67" t="s">
        <v>211</v>
      </c>
      <c r="F3448" s="67" t="s">
        <v>210</v>
      </c>
      <c r="G3448" s="67" t="s">
        <v>209</v>
      </c>
      <c r="H3448" s="67" t="s">
        <v>208</v>
      </c>
      <c r="I3448" s="67" t="s">
        <v>207</v>
      </c>
    </row>
    <row r="3449" spans="1:9" x14ac:dyDescent="0.25">
      <c r="A3449" s="67" t="s">
        <v>206</v>
      </c>
      <c r="B3449" s="67" t="s">
        <v>205</v>
      </c>
      <c r="C3449" s="67" t="s">
        <v>204</v>
      </c>
      <c r="D3449" s="67" t="s">
        <v>203</v>
      </c>
      <c r="E3449" s="67" t="s">
        <v>202</v>
      </c>
      <c r="F3449" s="67" t="s">
        <v>201</v>
      </c>
      <c r="G3449" s="67" t="s">
        <v>200</v>
      </c>
      <c r="H3449" s="67" t="s">
        <v>199</v>
      </c>
    </row>
    <row r="3450" spans="1:9" x14ac:dyDescent="0.25">
      <c r="A3450" s="67" t="s">
        <v>3295</v>
      </c>
      <c r="B3450" s="67" t="s">
        <v>3294</v>
      </c>
      <c r="C3450" s="67">
        <v>0</v>
      </c>
      <c r="D3450" s="67">
        <v>0</v>
      </c>
      <c r="E3450" s="67">
        <v>83900.41</v>
      </c>
      <c r="F3450" s="67">
        <v>25250</v>
      </c>
      <c r="H3450" s="68">
        <v>40764</v>
      </c>
      <c r="I3450" s="67" t="s">
        <v>148</v>
      </c>
    </row>
    <row r="3451" spans="1:9" x14ac:dyDescent="0.25">
      <c r="B3451" s="67" t="s">
        <v>3294</v>
      </c>
      <c r="C3451" s="67">
        <v>0</v>
      </c>
      <c r="D3451" s="67">
        <v>0</v>
      </c>
      <c r="E3451" s="67">
        <v>83900.45</v>
      </c>
      <c r="H3451" s="67" t="s">
        <v>146</v>
      </c>
    </row>
    <row r="3453" spans="1:9" x14ac:dyDescent="0.25">
      <c r="A3453" s="67" t="s">
        <v>3293</v>
      </c>
      <c r="B3453" s="67" t="s">
        <v>3292</v>
      </c>
      <c r="C3453" s="67">
        <v>0</v>
      </c>
      <c r="D3453" s="67">
        <v>0</v>
      </c>
      <c r="E3453" s="67">
        <v>83900.41</v>
      </c>
      <c r="F3453" s="67">
        <v>25250</v>
      </c>
      <c r="H3453" s="68">
        <v>40764</v>
      </c>
      <c r="I3453" s="67" t="s">
        <v>148</v>
      </c>
    </row>
    <row r="3454" spans="1:9" x14ac:dyDescent="0.25">
      <c r="B3454" s="67" t="s">
        <v>3292</v>
      </c>
      <c r="C3454" s="67">
        <v>0</v>
      </c>
      <c r="D3454" s="67">
        <v>0</v>
      </c>
      <c r="E3454" s="67">
        <v>83900.45</v>
      </c>
      <c r="H3454" s="67" t="s">
        <v>146</v>
      </c>
    </row>
    <row r="3456" spans="1:9" x14ac:dyDescent="0.25">
      <c r="A3456" s="67" t="s">
        <v>3291</v>
      </c>
      <c r="B3456" s="67" t="s">
        <v>3290</v>
      </c>
      <c r="C3456" s="67">
        <v>0</v>
      </c>
      <c r="D3456" s="67">
        <v>0</v>
      </c>
      <c r="E3456" s="67">
        <v>83900.41</v>
      </c>
      <c r="F3456" s="67">
        <v>25250</v>
      </c>
      <c r="H3456" s="68">
        <v>40764</v>
      </c>
      <c r="I3456" s="67" t="s">
        <v>148</v>
      </c>
    </row>
    <row r="3457" spans="1:9" x14ac:dyDescent="0.25">
      <c r="B3457" s="67" t="s">
        <v>3290</v>
      </c>
      <c r="C3457" s="67">
        <v>0</v>
      </c>
      <c r="D3457" s="67">
        <v>0</v>
      </c>
      <c r="E3457" s="67">
        <v>83900.45</v>
      </c>
      <c r="H3457" s="67" t="s">
        <v>146</v>
      </c>
    </row>
    <row r="3459" spans="1:9" x14ac:dyDescent="0.25">
      <c r="A3459" s="67" t="s">
        <v>3289</v>
      </c>
      <c r="B3459" s="67" t="s">
        <v>3288</v>
      </c>
      <c r="C3459" s="67">
        <v>0</v>
      </c>
      <c r="D3459" s="67">
        <v>0</v>
      </c>
      <c r="E3459" s="67">
        <v>83900.41</v>
      </c>
      <c r="F3459" s="67">
        <v>25250</v>
      </c>
      <c r="H3459" s="68">
        <v>40764</v>
      </c>
      <c r="I3459" s="67" t="s">
        <v>148</v>
      </c>
    </row>
    <row r="3460" spans="1:9" x14ac:dyDescent="0.25">
      <c r="B3460" s="67" t="s">
        <v>3288</v>
      </c>
      <c r="C3460" s="67">
        <v>0</v>
      </c>
      <c r="D3460" s="67">
        <v>0</v>
      </c>
      <c r="E3460" s="67">
        <v>83900.45</v>
      </c>
      <c r="H3460" s="67" t="s">
        <v>146</v>
      </c>
    </row>
    <row r="3462" spans="1:9" x14ac:dyDescent="0.25">
      <c r="A3462" s="67" t="s">
        <v>3287</v>
      </c>
      <c r="B3462" s="67" t="s">
        <v>3286</v>
      </c>
      <c r="C3462" s="67">
        <v>0</v>
      </c>
      <c r="D3462" s="67">
        <v>0</v>
      </c>
      <c r="E3462" s="67">
        <v>83900.41</v>
      </c>
      <c r="F3462" s="67">
        <v>25250</v>
      </c>
      <c r="H3462" s="68">
        <v>40764</v>
      </c>
      <c r="I3462" s="67" t="s">
        <v>148</v>
      </c>
    </row>
    <row r="3463" spans="1:9" x14ac:dyDescent="0.25">
      <c r="B3463" s="67" t="s">
        <v>3286</v>
      </c>
      <c r="C3463" s="67">
        <v>0</v>
      </c>
      <c r="D3463" s="67">
        <v>0</v>
      </c>
      <c r="E3463" s="67">
        <v>83900.45</v>
      </c>
      <c r="H3463" s="67" t="s">
        <v>146</v>
      </c>
    </row>
    <row r="3465" spans="1:9" x14ac:dyDescent="0.25">
      <c r="A3465" s="67" t="s">
        <v>3285</v>
      </c>
      <c r="B3465" s="67" t="s">
        <v>3284</v>
      </c>
      <c r="C3465" s="67">
        <v>0</v>
      </c>
      <c r="D3465" s="67">
        <v>0</v>
      </c>
      <c r="E3465" s="67">
        <v>83900.41</v>
      </c>
      <c r="F3465" s="67">
        <v>25250</v>
      </c>
      <c r="H3465" s="68">
        <v>40764</v>
      </c>
      <c r="I3465" s="67" t="s">
        <v>148</v>
      </c>
    </row>
    <row r="3466" spans="1:9" x14ac:dyDescent="0.25">
      <c r="B3466" s="67" t="s">
        <v>3284</v>
      </c>
      <c r="C3466" s="67">
        <v>0</v>
      </c>
      <c r="D3466" s="67">
        <v>0</v>
      </c>
      <c r="E3466" s="67">
        <v>83900.45</v>
      </c>
      <c r="H3466" s="67" t="s">
        <v>146</v>
      </c>
    </row>
    <row r="3468" spans="1:9" x14ac:dyDescent="0.25">
      <c r="A3468" s="67" t="s">
        <v>3283</v>
      </c>
      <c r="B3468" s="67" t="s">
        <v>3282</v>
      </c>
      <c r="C3468" s="67">
        <v>0</v>
      </c>
      <c r="D3468" s="67">
        <v>0</v>
      </c>
      <c r="E3468" s="67">
        <v>83900.41</v>
      </c>
      <c r="F3468" s="67">
        <v>25250</v>
      </c>
      <c r="H3468" s="68">
        <v>40764</v>
      </c>
      <c r="I3468" s="67" t="s">
        <v>148</v>
      </c>
    </row>
    <row r="3469" spans="1:9" x14ac:dyDescent="0.25">
      <c r="B3469" s="67" t="s">
        <v>3282</v>
      </c>
      <c r="C3469" s="67">
        <v>0</v>
      </c>
      <c r="D3469" s="67">
        <v>0</v>
      </c>
      <c r="E3469" s="67">
        <v>83900.45</v>
      </c>
      <c r="H3469" s="67" t="s">
        <v>146</v>
      </c>
    </row>
    <row r="3471" spans="1:9" x14ac:dyDescent="0.25">
      <c r="A3471" s="67" t="s">
        <v>3281</v>
      </c>
      <c r="B3471" s="67" t="s">
        <v>3280</v>
      </c>
      <c r="C3471" s="67">
        <v>0</v>
      </c>
      <c r="D3471" s="67">
        <v>0</v>
      </c>
      <c r="E3471" s="67">
        <v>83900.41</v>
      </c>
      <c r="F3471" s="67">
        <v>25250</v>
      </c>
      <c r="H3471" s="68">
        <v>40764</v>
      </c>
      <c r="I3471" s="67" t="s">
        <v>148</v>
      </c>
    </row>
    <row r="3472" spans="1:9" x14ac:dyDescent="0.25">
      <c r="B3472" s="67" t="s">
        <v>3280</v>
      </c>
      <c r="C3472" s="67">
        <v>0</v>
      </c>
      <c r="D3472" s="67">
        <v>0</v>
      </c>
      <c r="E3472" s="67">
        <v>83900.45</v>
      </c>
      <c r="H3472" s="67" t="s">
        <v>146</v>
      </c>
    </row>
    <row r="3474" spans="1:9" x14ac:dyDescent="0.25">
      <c r="A3474" s="67" t="s">
        <v>3279</v>
      </c>
      <c r="B3474" s="67" t="s">
        <v>3278</v>
      </c>
      <c r="C3474" s="67">
        <v>0</v>
      </c>
      <c r="D3474" s="67">
        <v>0</v>
      </c>
      <c r="E3474" s="67">
        <v>83900.41</v>
      </c>
      <c r="F3474" s="67">
        <v>25250</v>
      </c>
      <c r="H3474" s="68">
        <v>40764</v>
      </c>
      <c r="I3474" s="67" t="s">
        <v>148</v>
      </c>
    </row>
    <row r="3475" spans="1:9" x14ac:dyDescent="0.25">
      <c r="B3475" s="67" t="s">
        <v>3278</v>
      </c>
      <c r="C3475" s="67">
        <v>0</v>
      </c>
      <c r="D3475" s="67">
        <v>0</v>
      </c>
      <c r="E3475" s="67">
        <v>83900.45</v>
      </c>
      <c r="H3475" s="67" t="s">
        <v>146</v>
      </c>
    </row>
    <row r="3477" spans="1:9" x14ac:dyDescent="0.25">
      <c r="A3477" s="67" t="s">
        <v>3277</v>
      </c>
      <c r="B3477" s="67" t="s">
        <v>3276</v>
      </c>
      <c r="C3477" s="67">
        <v>0</v>
      </c>
      <c r="D3477" s="67">
        <v>0</v>
      </c>
      <c r="E3477" s="67">
        <v>83900.41</v>
      </c>
      <c r="F3477" s="67">
        <v>25250</v>
      </c>
      <c r="H3477" s="68">
        <v>40764</v>
      </c>
      <c r="I3477" s="67" t="s">
        <v>148</v>
      </c>
    </row>
    <row r="3478" spans="1:9" x14ac:dyDescent="0.25">
      <c r="B3478" s="67" t="s">
        <v>3276</v>
      </c>
      <c r="C3478" s="67">
        <v>0</v>
      </c>
      <c r="D3478" s="67">
        <v>0</v>
      </c>
      <c r="E3478" s="67">
        <v>83900.45</v>
      </c>
      <c r="H3478" s="67" t="s">
        <v>146</v>
      </c>
    </row>
    <row r="3480" spans="1:9" x14ac:dyDescent="0.25">
      <c r="A3480" s="67" t="s">
        <v>3275</v>
      </c>
      <c r="B3480" s="67" t="s">
        <v>3274</v>
      </c>
      <c r="C3480" s="67">
        <v>0</v>
      </c>
      <c r="D3480" s="67">
        <v>0</v>
      </c>
      <c r="E3480" s="67">
        <v>83900.41</v>
      </c>
      <c r="F3480" s="67">
        <v>25250</v>
      </c>
      <c r="H3480" s="68">
        <v>40764</v>
      </c>
      <c r="I3480" s="67" t="s">
        <v>148</v>
      </c>
    </row>
    <row r="3481" spans="1:9" x14ac:dyDescent="0.25">
      <c r="B3481" s="67" t="s">
        <v>3274</v>
      </c>
      <c r="C3481" s="67">
        <v>0</v>
      </c>
      <c r="D3481" s="67">
        <v>0</v>
      </c>
      <c r="E3481" s="67">
        <v>83900.45</v>
      </c>
      <c r="H3481" s="67" t="s">
        <v>146</v>
      </c>
    </row>
    <row r="3483" spans="1:9" x14ac:dyDescent="0.25">
      <c r="A3483" s="67" t="s">
        <v>3273</v>
      </c>
      <c r="B3483" s="67" t="s">
        <v>3272</v>
      </c>
      <c r="C3483" s="67">
        <v>0</v>
      </c>
      <c r="D3483" s="67">
        <v>0</v>
      </c>
      <c r="E3483" s="67">
        <v>83900.41</v>
      </c>
      <c r="F3483" s="67">
        <v>25250</v>
      </c>
      <c r="H3483" s="68">
        <v>40764</v>
      </c>
      <c r="I3483" s="67" t="s">
        <v>148</v>
      </c>
    </row>
    <row r="3484" spans="1:9" x14ac:dyDescent="0.25">
      <c r="B3484" s="67" t="s">
        <v>3272</v>
      </c>
      <c r="C3484" s="67">
        <v>0</v>
      </c>
      <c r="D3484" s="67">
        <v>0</v>
      </c>
      <c r="E3484" s="67">
        <v>83900.45</v>
      </c>
      <c r="H3484" s="67" t="s">
        <v>146</v>
      </c>
    </row>
    <row r="3486" spans="1:9" x14ac:dyDescent="0.25">
      <c r="A3486" s="67" t="s">
        <v>3271</v>
      </c>
      <c r="B3486" s="67" t="s">
        <v>3270</v>
      </c>
      <c r="C3486" s="67">
        <v>0</v>
      </c>
      <c r="D3486" s="67">
        <v>0</v>
      </c>
      <c r="E3486" s="67">
        <v>83900.41</v>
      </c>
      <c r="F3486" s="67">
        <v>25250</v>
      </c>
      <c r="H3486" s="68">
        <v>40764</v>
      </c>
      <c r="I3486" s="67" t="s">
        <v>148</v>
      </c>
    </row>
    <row r="3487" spans="1:9" x14ac:dyDescent="0.25">
      <c r="B3487" s="67" t="s">
        <v>3270</v>
      </c>
      <c r="C3487" s="67">
        <v>0</v>
      </c>
      <c r="D3487" s="67">
        <v>0</v>
      </c>
      <c r="E3487" s="67">
        <v>83900.45</v>
      </c>
      <c r="H3487" s="67" t="s">
        <v>146</v>
      </c>
    </row>
    <row r="3489" spans="1:9" x14ac:dyDescent="0.25">
      <c r="A3489" s="67" t="s">
        <v>3269</v>
      </c>
      <c r="B3489" s="67" t="s">
        <v>3268</v>
      </c>
      <c r="C3489" s="67">
        <v>0</v>
      </c>
      <c r="D3489" s="67">
        <v>0</v>
      </c>
      <c r="E3489" s="67">
        <v>83900.41</v>
      </c>
      <c r="F3489" s="67">
        <v>25250</v>
      </c>
      <c r="H3489" s="68">
        <v>40764</v>
      </c>
      <c r="I3489" s="67" t="s">
        <v>148</v>
      </c>
    </row>
    <row r="3490" spans="1:9" x14ac:dyDescent="0.25">
      <c r="B3490" s="67" t="s">
        <v>3268</v>
      </c>
      <c r="C3490" s="67">
        <v>0</v>
      </c>
      <c r="D3490" s="67">
        <v>0</v>
      </c>
      <c r="E3490" s="67">
        <v>83900.45</v>
      </c>
      <c r="H3490" s="67" t="s">
        <v>146</v>
      </c>
    </row>
    <row r="3492" spans="1:9" x14ac:dyDescent="0.25">
      <c r="A3492" s="67" t="s">
        <v>3267</v>
      </c>
      <c r="B3492" s="67" t="s">
        <v>3266</v>
      </c>
      <c r="C3492" s="67">
        <v>0</v>
      </c>
      <c r="D3492" s="67">
        <v>0</v>
      </c>
      <c r="E3492" s="67">
        <v>83900.41</v>
      </c>
      <c r="F3492" s="67">
        <v>25250</v>
      </c>
      <c r="H3492" s="68">
        <v>40764</v>
      </c>
      <c r="I3492" s="67" t="s">
        <v>148</v>
      </c>
    </row>
    <row r="3493" spans="1:9" x14ac:dyDescent="0.25">
      <c r="B3493" s="67" t="s">
        <v>3266</v>
      </c>
      <c r="C3493" s="67">
        <v>0</v>
      </c>
      <c r="D3493" s="67">
        <v>0</v>
      </c>
      <c r="E3493" s="67">
        <v>83900.45</v>
      </c>
      <c r="H3493" s="67" t="s">
        <v>146</v>
      </c>
    </row>
    <row r="3495" spans="1:9" x14ac:dyDescent="0.25">
      <c r="A3495" s="67" t="s">
        <v>3265</v>
      </c>
      <c r="B3495" s="67" t="s">
        <v>3264</v>
      </c>
      <c r="C3495" s="67">
        <v>0</v>
      </c>
      <c r="D3495" s="67">
        <v>0</v>
      </c>
      <c r="E3495" s="67">
        <v>83900.41</v>
      </c>
      <c r="F3495" s="67">
        <v>25250</v>
      </c>
      <c r="H3495" s="68">
        <v>40764</v>
      </c>
      <c r="I3495" s="67" t="s">
        <v>148</v>
      </c>
    </row>
    <row r="3496" spans="1:9" x14ac:dyDescent="0.25">
      <c r="B3496" s="67" t="s">
        <v>3264</v>
      </c>
      <c r="C3496" s="67">
        <v>0</v>
      </c>
      <c r="D3496" s="67">
        <v>0</v>
      </c>
      <c r="E3496" s="67">
        <v>83900.45</v>
      </c>
      <c r="H3496" s="67" t="s">
        <v>146</v>
      </c>
    </row>
    <row r="3498" spans="1:9" x14ac:dyDescent="0.25">
      <c r="A3498" s="67" t="s">
        <v>3263</v>
      </c>
      <c r="B3498" s="67" t="s">
        <v>3262</v>
      </c>
      <c r="C3498" s="67">
        <v>0</v>
      </c>
      <c r="D3498" s="67">
        <v>0</v>
      </c>
      <c r="E3498" s="67">
        <v>83900.41</v>
      </c>
      <c r="F3498" s="67">
        <v>25250</v>
      </c>
      <c r="H3498" s="68">
        <v>40764</v>
      </c>
      <c r="I3498" s="67" t="s">
        <v>148</v>
      </c>
    </row>
    <row r="3499" spans="1:9" x14ac:dyDescent="0.25">
      <c r="B3499" s="67" t="s">
        <v>3262</v>
      </c>
      <c r="C3499" s="67">
        <v>0</v>
      </c>
      <c r="D3499" s="67">
        <v>0</v>
      </c>
      <c r="E3499" s="67">
        <v>83900.45</v>
      </c>
      <c r="H3499" s="67" t="s">
        <v>146</v>
      </c>
    </row>
    <row r="3500" spans="1:9" x14ac:dyDescent="0.25">
      <c r="A3500" s="67" t="s">
        <v>233</v>
      </c>
    </row>
    <row r="3502" spans="1:9" x14ac:dyDescent="0.25">
      <c r="A3502" s="67" t="s">
        <v>232</v>
      </c>
      <c r="D3502" s="67" t="s">
        <v>231</v>
      </c>
      <c r="H3502" s="67" t="s">
        <v>148</v>
      </c>
      <c r="I3502" s="67" t="s">
        <v>230</v>
      </c>
    </row>
    <row r="3503" spans="1:9" x14ac:dyDescent="0.25">
      <c r="A3503" s="67">
        <v>41.1</v>
      </c>
      <c r="C3503" s="67" t="s">
        <v>215</v>
      </c>
      <c r="D3503" s="67" t="s">
        <v>229</v>
      </c>
      <c r="H3503" s="70">
        <v>44771</v>
      </c>
      <c r="I3503" s="69">
        <v>0.56736111111111109</v>
      </c>
    </row>
    <row r="3504" spans="1:9" x14ac:dyDescent="0.25">
      <c r="A3504" s="67" t="s">
        <v>228</v>
      </c>
      <c r="C3504" s="67" t="s">
        <v>227</v>
      </c>
      <c r="D3504" s="67" t="s">
        <v>226</v>
      </c>
      <c r="E3504" s="67">
        <v>589</v>
      </c>
      <c r="H3504" s="67" t="s">
        <v>225</v>
      </c>
      <c r="I3504" s="67">
        <v>62</v>
      </c>
    </row>
    <row r="3505" spans="1:9" x14ac:dyDescent="0.25">
      <c r="A3505" s="67" t="s">
        <v>884</v>
      </c>
    </row>
    <row r="3506" spans="1:9" x14ac:dyDescent="0.25">
      <c r="A3506" s="67" t="s">
        <v>223</v>
      </c>
      <c r="B3506" s="67" t="s">
        <v>222</v>
      </c>
      <c r="C3506" s="67" t="s">
        <v>221</v>
      </c>
      <c r="D3506" s="67" t="s">
        <v>220</v>
      </c>
      <c r="E3506" s="67" t="s">
        <v>219</v>
      </c>
      <c r="F3506" s="67" t="s">
        <v>217</v>
      </c>
      <c r="G3506" s="67" t="s">
        <v>218</v>
      </c>
      <c r="H3506" s="67" t="s">
        <v>217</v>
      </c>
      <c r="I3506" s="67" t="s">
        <v>216</v>
      </c>
    </row>
    <row r="3507" spans="1:9" x14ac:dyDescent="0.25">
      <c r="A3507" s="67" t="s">
        <v>215</v>
      </c>
      <c r="B3507" s="67" t="s">
        <v>214</v>
      </c>
      <c r="C3507" s="67" t="s">
        <v>213</v>
      </c>
      <c r="D3507" s="67" t="s">
        <v>212</v>
      </c>
      <c r="E3507" s="67" t="s">
        <v>211</v>
      </c>
      <c r="F3507" s="67" t="s">
        <v>210</v>
      </c>
      <c r="G3507" s="67" t="s">
        <v>209</v>
      </c>
      <c r="H3507" s="67" t="s">
        <v>208</v>
      </c>
      <c r="I3507" s="67" t="s">
        <v>207</v>
      </c>
    </row>
    <row r="3508" spans="1:9" x14ac:dyDescent="0.25">
      <c r="A3508" s="67" t="s">
        <v>206</v>
      </c>
      <c r="B3508" s="67" t="s">
        <v>205</v>
      </c>
      <c r="C3508" s="67" t="s">
        <v>204</v>
      </c>
      <c r="D3508" s="67" t="s">
        <v>203</v>
      </c>
      <c r="E3508" s="67" t="s">
        <v>202</v>
      </c>
      <c r="F3508" s="67" t="s">
        <v>201</v>
      </c>
      <c r="G3508" s="67" t="s">
        <v>200</v>
      </c>
      <c r="H3508" s="67" t="s">
        <v>199</v>
      </c>
    </row>
    <row r="3509" spans="1:9" x14ac:dyDescent="0.25">
      <c r="A3509" s="67" t="s">
        <v>3261</v>
      </c>
      <c r="B3509" s="67" t="s">
        <v>3260</v>
      </c>
      <c r="C3509" s="67">
        <v>0</v>
      </c>
      <c r="D3509" s="67">
        <v>0</v>
      </c>
      <c r="E3509" s="67">
        <v>83900.41</v>
      </c>
      <c r="F3509" s="67">
        <v>25250</v>
      </c>
      <c r="H3509" s="68">
        <v>40764</v>
      </c>
      <c r="I3509" s="67" t="s">
        <v>148</v>
      </c>
    </row>
    <row r="3510" spans="1:9" x14ac:dyDescent="0.25">
      <c r="B3510" s="67" t="s">
        <v>3260</v>
      </c>
      <c r="C3510" s="67">
        <v>0</v>
      </c>
      <c r="D3510" s="67">
        <v>0</v>
      </c>
      <c r="E3510" s="67">
        <v>83900.45</v>
      </c>
      <c r="H3510" s="67" t="s">
        <v>146</v>
      </c>
    </row>
    <row r="3512" spans="1:9" x14ac:dyDescent="0.25">
      <c r="A3512" s="67" t="s">
        <v>3259</v>
      </c>
      <c r="B3512" s="67" t="s">
        <v>3258</v>
      </c>
      <c r="C3512" s="67">
        <v>0</v>
      </c>
      <c r="D3512" s="67">
        <v>0</v>
      </c>
      <c r="E3512" s="67">
        <v>83900.41</v>
      </c>
      <c r="F3512" s="67">
        <v>25250</v>
      </c>
      <c r="H3512" s="68">
        <v>40764</v>
      </c>
      <c r="I3512" s="67" t="s">
        <v>148</v>
      </c>
    </row>
    <row r="3513" spans="1:9" x14ac:dyDescent="0.25">
      <c r="B3513" s="67" t="s">
        <v>3258</v>
      </c>
      <c r="C3513" s="67">
        <v>0</v>
      </c>
      <c r="D3513" s="67">
        <v>0</v>
      </c>
      <c r="E3513" s="67">
        <v>83900.45</v>
      </c>
      <c r="H3513" s="67" t="s">
        <v>146</v>
      </c>
    </row>
    <row r="3515" spans="1:9" x14ac:dyDescent="0.25">
      <c r="A3515" s="67" t="s">
        <v>3257</v>
      </c>
      <c r="B3515" s="67" t="s">
        <v>3256</v>
      </c>
      <c r="C3515" s="67">
        <v>0</v>
      </c>
      <c r="D3515" s="67">
        <v>0</v>
      </c>
      <c r="E3515" s="67">
        <v>83900.41</v>
      </c>
      <c r="F3515" s="67">
        <v>25250</v>
      </c>
      <c r="H3515" s="68">
        <v>40764</v>
      </c>
      <c r="I3515" s="67" t="s">
        <v>148</v>
      </c>
    </row>
    <row r="3516" spans="1:9" x14ac:dyDescent="0.25">
      <c r="B3516" s="67" t="s">
        <v>3256</v>
      </c>
      <c r="C3516" s="67">
        <v>0</v>
      </c>
      <c r="D3516" s="67">
        <v>0</v>
      </c>
      <c r="E3516" s="67">
        <v>83900.45</v>
      </c>
      <c r="H3516" s="67" t="s">
        <v>146</v>
      </c>
    </row>
    <row r="3518" spans="1:9" x14ac:dyDescent="0.25">
      <c r="A3518" s="67" t="s">
        <v>3255</v>
      </c>
      <c r="B3518" s="67" t="s">
        <v>3254</v>
      </c>
      <c r="C3518" s="67">
        <v>0</v>
      </c>
      <c r="D3518" s="67">
        <v>0</v>
      </c>
      <c r="E3518" s="67">
        <v>83900.41</v>
      </c>
      <c r="F3518" s="67">
        <v>25250</v>
      </c>
      <c r="H3518" s="68">
        <v>40764</v>
      </c>
      <c r="I3518" s="67" t="s">
        <v>148</v>
      </c>
    </row>
    <row r="3519" spans="1:9" x14ac:dyDescent="0.25">
      <c r="B3519" s="67" t="s">
        <v>3254</v>
      </c>
      <c r="C3519" s="67">
        <v>0</v>
      </c>
      <c r="D3519" s="67">
        <v>0</v>
      </c>
      <c r="E3519" s="67">
        <v>83900.45</v>
      </c>
      <c r="H3519" s="67" t="s">
        <v>146</v>
      </c>
    </row>
    <row r="3521" spans="1:9" x14ac:dyDescent="0.25">
      <c r="A3521" s="67" t="s">
        <v>3253</v>
      </c>
      <c r="B3521" s="67" t="s">
        <v>3252</v>
      </c>
      <c r="C3521" s="67">
        <v>0</v>
      </c>
      <c r="D3521" s="67">
        <v>0</v>
      </c>
      <c r="E3521" s="67">
        <v>83900.41</v>
      </c>
      <c r="F3521" s="67">
        <v>25250</v>
      </c>
      <c r="H3521" s="68">
        <v>40764</v>
      </c>
      <c r="I3521" s="67" t="s">
        <v>148</v>
      </c>
    </row>
    <row r="3522" spans="1:9" x14ac:dyDescent="0.25">
      <c r="B3522" s="67" t="s">
        <v>3252</v>
      </c>
      <c r="C3522" s="67">
        <v>0</v>
      </c>
      <c r="D3522" s="67">
        <v>0</v>
      </c>
      <c r="E3522" s="67">
        <v>83900.45</v>
      </c>
      <c r="H3522" s="67" t="s">
        <v>146</v>
      </c>
    </row>
    <row r="3524" spans="1:9" x14ac:dyDescent="0.25">
      <c r="A3524" s="67" t="s">
        <v>3251</v>
      </c>
      <c r="B3524" s="67" t="s">
        <v>3250</v>
      </c>
      <c r="C3524" s="67">
        <v>0</v>
      </c>
      <c r="D3524" s="67">
        <v>0</v>
      </c>
      <c r="E3524" s="67">
        <v>83900.41</v>
      </c>
      <c r="F3524" s="67">
        <v>25250</v>
      </c>
      <c r="H3524" s="68">
        <v>40764</v>
      </c>
      <c r="I3524" s="67" t="s">
        <v>148</v>
      </c>
    </row>
    <row r="3525" spans="1:9" x14ac:dyDescent="0.25">
      <c r="B3525" s="67" t="s">
        <v>3250</v>
      </c>
      <c r="C3525" s="67">
        <v>0</v>
      </c>
      <c r="D3525" s="67">
        <v>0</v>
      </c>
      <c r="E3525" s="67">
        <v>83900.45</v>
      </c>
      <c r="H3525" s="67" t="s">
        <v>146</v>
      </c>
    </row>
    <row r="3527" spans="1:9" x14ac:dyDescent="0.25">
      <c r="A3527" s="67" t="s">
        <v>3249</v>
      </c>
      <c r="B3527" s="67" t="s">
        <v>3248</v>
      </c>
      <c r="C3527" s="67">
        <v>0</v>
      </c>
      <c r="D3527" s="67">
        <v>0</v>
      </c>
      <c r="E3527" s="67">
        <v>83900.41</v>
      </c>
      <c r="F3527" s="67">
        <v>25250</v>
      </c>
      <c r="H3527" s="68">
        <v>40764</v>
      </c>
      <c r="I3527" s="67" t="s">
        <v>148</v>
      </c>
    </row>
    <row r="3528" spans="1:9" x14ac:dyDescent="0.25">
      <c r="B3528" s="67" t="s">
        <v>3248</v>
      </c>
      <c r="C3528" s="67">
        <v>0</v>
      </c>
      <c r="D3528" s="67">
        <v>0</v>
      </c>
      <c r="E3528" s="67">
        <v>83900.45</v>
      </c>
      <c r="H3528" s="67" t="s">
        <v>146</v>
      </c>
    </row>
    <row r="3530" spans="1:9" x14ac:dyDescent="0.25">
      <c r="A3530" s="67" t="s">
        <v>3247</v>
      </c>
      <c r="B3530" s="67" t="s">
        <v>3246</v>
      </c>
      <c r="C3530" s="67">
        <v>0</v>
      </c>
      <c r="D3530" s="67">
        <v>0</v>
      </c>
      <c r="E3530" s="67">
        <v>83900.41</v>
      </c>
      <c r="F3530" s="67">
        <v>25250</v>
      </c>
      <c r="H3530" s="68">
        <v>40764</v>
      </c>
      <c r="I3530" s="67" t="s">
        <v>148</v>
      </c>
    </row>
    <row r="3531" spans="1:9" x14ac:dyDescent="0.25">
      <c r="B3531" s="67" t="s">
        <v>3246</v>
      </c>
      <c r="C3531" s="67">
        <v>0</v>
      </c>
      <c r="D3531" s="67">
        <v>0</v>
      </c>
      <c r="E3531" s="67">
        <v>83900.45</v>
      </c>
      <c r="H3531" s="67" t="s">
        <v>146</v>
      </c>
    </row>
    <row r="3533" spans="1:9" x14ac:dyDescent="0.25">
      <c r="A3533" s="67" t="s">
        <v>3245</v>
      </c>
      <c r="B3533" s="67" t="s">
        <v>3244</v>
      </c>
      <c r="C3533" s="67">
        <v>0</v>
      </c>
      <c r="D3533" s="67">
        <v>0</v>
      </c>
      <c r="E3533" s="67">
        <v>83900.41</v>
      </c>
      <c r="F3533" s="67">
        <v>25250</v>
      </c>
      <c r="H3533" s="68">
        <v>40764</v>
      </c>
      <c r="I3533" s="67" t="s">
        <v>148</v>
      </c>
    </row>
    <row r="3534" spans="1:9" x14ac:dyDescent="0.25">
      <c r="B3534" s="67" t="s">
        <v>3244</v>
      </c>
      <c r="C3534" s="67">
        <v>0</v>
      </c>
      <c r="D3534" s="67">
        <v>0</v>
      </c>
      <c r="E3534" s="67">
        <v>83900.45</v>
      </c>
      <c r="H3534" s="67" t="s">
        <v>146</v>
      </c>
    </row>
    <row r="3536" spans="1:9" x14ac:dyDescent="0.25">
      <c r="A3536" s="67" t="s">
        <v>3243</v>
      </c>
      <c r="B3536" s="67" t="s">
        <v>3242</v>
      </c>
      <c r="C3536" s="67">
        <v>0</v>
      </c>
      <c r="D3536" s="67">
        <v>0</v>
      </c>
      <c r="E3536" s="67">
        <v>83900.41</v>
      </c>
      <c r="F3536" s="67">
        <v>25250</v>
      </c>
      <c r="H3536" s="68">
        <v>40764</v>
      </c>
      <c r="I3536" s="67" t="s">
        <v>148</v>
      </c>
    </row>
    <row r="3537" spans="1:9" x14ac:dyDescent="0.25">
      <c r="B3537" s="67" t="s">
        <v>3242</v>
      </c>
      <c r="C3537" s="67">
        <v>0</v>
      </c>
      <c r="D3537" s="67">
        <v>0</v>
      </c>
      <c r="E3537" s="67">
        <v>83900.45</v>
      </c>
      <c r="H3537" s="67" t="s">
        <v>146</v>
      </c>
    </row>
    <row r="3539" spans="1:9" x14ac:dyDescent="0.25">
      <c r="A3539" s="67" t="s">
        <v>3241</v>
      </c>
      <c r="B3539" s="67" t="s">
        <v>3240</v>
      </c>
      <c r="C3539" s="67">
        <v>0</v>
      </c>
      <c r="D3539" s="67">
        <v>0</v>
      </c>
      <c r="E3539" s="67">
        <v>83900.41</v>
      </c>
      <c r="F3539" s="67">
        <v>25250</v>
      </c>
      <c r="H3539" s="68">
        <v>40764</v>
      </c>
      <c r="I3539" s="67" t="s">
        <v>148</v>
      </c>
    </row>
    <row r="3540" spans="1:9" x14ac:dyDescent="0.25">
      <c r="B3540" s="67" t="s">
        <v>3240</v>
      </c>
      <c r="C3540" s="67">
        <v>0</v>
      </c>
      <c r="D3540" s="67">
        <v>0</v>
      </c>
      <c r="E3540" s="67">
        <v>83900.45</v>
      </c>
      <c r="H3540" s="67" t="s">
        <v>146</v>
      </c>
    </row>
    <row r="3542" spans="1:9" x14ac:dyDescent="0.25">
      <c r="A3542" s="67" t="s">
        <v>3239</v>
      </c>
      <c r="B3542" s="67" t="s">
        <v>3238</v>
      </c>
      <c r="C3542" s="67">
        <v>0</v>
      </c>
      <c r="D3542" s="67">
        <v>0</v>
      </c>
      <c r="E3542" s="67">
        <v>83900.41</v>
      </c>
      <c r="F3542" s="67">
        <v>25250</v>
      </c>
      <c r="H3542" s="68">
        <v>40764</v>
      </c>
      <c r="I3542" s="67" t="s">
        <v>148</v>
      </c>
    </row>
    <row r="3543" spans="1:9" x14ac:dyDescent="0.25">
      <c r="B3543" s="67" t="s">
        <v>3238</v>
      </c>
      <c r="C3543" s="67">
        <v>0</v>
      </c>
      <c r="D3543" s="67">
        <v>0</v>
      </c>
      <c r="E3543" s="67">
        <v>83900.45</v>
      </c>
      <c r="H3543" s="67" t="s">
        <v>146</v>
      </c>
    </row>
    <row r="3545" spans="1:9" x14ac:dyDescent="0.25">
      <c r="A3545" s="67" t="s">
        <v>3237</v>
      </c>
      <c r="B3545" s="67" t="s">
        <v>3236</v>
      </c>
      <c r="C3545" s="67">
        <v>0</v>
      </c>
      <c r="D3545" s="67">
        <v>0</v>
      </c>
      <c r="E3545" s="67">
        <v>83900.41</v>
      </c>
      <c r="F3545" s="67">
        <v>25250</v>
      </c>
      <c r="H3545" s="68">
        <v>40764</v>
      </c>
      <c r="I3545" s="67" t="s">
        <v>148</v>
      </c>
    </row>
    <row r="3546" spans="1:9" x14ac:dyDescent="0.25">
      <c r="B3546" s="67" t="s">
        <v>3236</v>
      </c>
      <c r="C3546" s="67">
        <v>0</v>
      </c>
      <c r="D3546" s="67">
        <v>0</v>
      </c>
      <c r="E3546" s="67">
        <v>83900.45</v>
      </c>
      <c r="H3546" s="67" t="s">
        <v>146</v>
      </c>
    </row>
    <row r="3548" spans="1:9" x14ac:dyDescent="0.25">
      <c r="A3548" s="67" t="s">
        <v>3235</v>
      </c>
      <c r="B3548" s="67" t="s">
        <v>3234</v>
      </c>
      <c r="C3548" s="67">
        <v>0</v>
      </c>
      <c r="D3548" s="67">
        <v>0</v>
      </c>
      <c r="E3548" s="67">
        <v>83900.41</v>
      </c>
      <c r="F3548" s="67">
        <v>25250</v>
      </c>
      <c r="H3548" s="68">
        <v>40764</v>
      </c>
      <c r="I3548" s="67" t="s">
        <v>148</v>
      </c>
    </row>
    <row r="3549" spans="1:9" x14ac:dyDescent="0.25">
      <c r="B3549" s="67" t="s">
        <v>3234</v>
      </c>
      <c r="C3549" s="67">
        <v>0</v>
      </c>
      <c r="D3549" s="67">
        <v>0</v>
      </c>
      <c r="E3549" s="67">
        <v>83900.45</v>
      </c>
      <c r="H3549" s="67" t="s">
        <v>146</v>
      </c>
    </row>
    <row r="3551" spans="1:9" x14ac:dyDescent="0.25">
      <c r="A3551" s="67" t="s">
        <v>3233</v>
      </c>
      <c r="B3551" s="67" t="s">
        <v>3232</v>
      </c>
      <c r="C3551" s="67">
        <v>0</v>
      </c>
      <c r="D3551" s="67">
        <v>0</v>
      </c>
      <c r="E3551" s="67">
        <v>83900.41</v>
      </c>
      <c r="F3551" s="67">
        <v>25250</v>
      </c>
      <c r="H3551" s="68">
        <v>40764</v>
      </c>
      <c r="I3551" s="67" t="s">
        <v>148</v>
      </c>
    </row>
    <row r="3552" spans="1:9" x14ac:dyDescent="0.25">
      <c r="B3552" s="67" t="s">
        <v>3232</v>
      </c>
      <c r="C3552" s="67">
        <v>0</v>
      </c>
      <c r="D3552" s="67">
        <v>0</v>
      </c>
      <c r="E3552" s="67">
        <v>83900.45</v>
      </c>
      <c r="H3552" s="67" t="s">
        <v>146</v>
      </c>
    </row>
    <row r="3554" spans="1:9" x14ac:dyDescent="0.25">
      <c r="A3554" s="67" t="s">
        <v>3231</v>
      </c>
      <c r="B3554" s="67" t="s">
        <v>3230</v>
      </c>
      <c r="C3554" s="67">
        <v>0</v>
      </c>
      <c r="D3554" s="67">
        <v>0</v>
      </c>
      <c r="E3554" s="67">
        <v>83900.41</v>
      </c>
      <c r="F3554" s="67">
        <v>25250</v>
      </c>
      <c r="H3554" s="68">
        <v>40764</v>
      </c>
      <c r="I3554" s="67" t="s">
        <v>148</v>
      </c>
    </row>
    <row r="3555" spans="1:9" x14ac:dyDescent="0.25">
      <c r="B3555" s="67" t="s">
        <v>3230</v>
      </c>
      <c r="C3555" s="67">
        <v>0</v>
      </c>
      <c r="D3555" s="67">
        <v>0</v>
      </c>
      <c r="E3555" s="67">
        <v>83900.45</v>
      </c>
      <c r="H3555" s="67" t="s">
        <v>146</v>
      </c>
    </row>
    <row r="3557" spans="1:9" x14ac:dyDescent="0.25">
      <c r="A3557" s="67" t="s">
        <v>3229</v>
      </c>
      <c r="B3557" s="67" t="s">
        <v>3228</v>
      </c>
      <c r="C3557" s="67">
        <v>0</v>
      </c>
      <c r="D3557" s="67">
        <v>0</v>
      </c>
      <c r="E3557" s="67">
        <v>83900.41</v>
      </c>
      <c r="F3557" s="67">
        <v>25250</v>
      </c>
      <c r="H3557" s="68">
        <v>40764</v>
      </c>
      <c r="I3557" s="67" t="s">
        <v>148</v>
      </c>
    </row>
    <row r="3558" spans="1:9" x14ac:dyDescent="0.25">
      <c r="B3558" s="67" t="s">
        <v>3228</v>
      </c>
      <c r="C3558" s="67">
        <v>0</v>
      </c>
      <c r="D3558" s="67">
        <v>0</v>
      </c>
      <c r="E3558" s="67">
        <v>83900.45</v>
      </c>
      <c r="H3558" s="67" t="s">
        <v>146</v>
      </c>
    </row>
    <row r="3559" spans="1:9" x14ac:dyDescent="0.25">
      <c r="A3559" s="67" t="s">
        <v>233</v>
      </c>
    </row>
    <row r="3561" spans="1:9" x14ac:dyDescent="0.25">
      <c r="A3561" s="67" t="s">
        <v>232</v>
      </c>
      <c r="D3561" s="67" t="s">
        <v>231</v>
      </c>
      <c r="H3561" s="67" t="s">
        <v>148</v>
      </c>
      <c r="I3561" s="67" t="s">
        <v>230</v>
      </c>
    </row>
    <row r="3562" spans="1:9" x14ac:dyDescent="0.25">
      <c r="A3562" s="67">
        <v>41.1</v>
      </c>
      <c r="C3562" s="67" t="s">
        <v>215</v>
      </c>
      <c r="D3562" s="67" t="s">
        <v>229</v>
      </c>
      <c r="H3562" s="70">
        <v>44771</v>
      </c>
      <c r="I3562" s="69">
        <v>0.56736111111111109</v>
      </c>
    </row>
    <row r="3563" spans="1:9" x14ac:dyDescent="0.25">
      <c r="A3563" s="67" t="s">
        <v>228</v>
      </c>
      <c r="C3563" s="67" t="s">
        <v>227</v>
      </c>
      <c r="D3563" s="67" t="s">
        <v>226</v>
      </c>
      <c r="E3563" s="67">
        <v>589</v>
      </c>
      <c r="H3563" s="67" t="s">
        <v>225</v>
      </c>
      <c r="I3563" s="67">
        <v>63</v>
      </c>
    </row>
    <row r="3564" spans="1:9" x14ac:dyDescent="0.25">
      <c r="A3564" s="67" t="s">
        <v>884</v>
      </c>
    </row>
    <row r="3565" spans="1:9" x14ac:dyDescent="0.25">
      <c r="A3565" s="67" t="s">
        <v>223</v>
      </c>
      <c r="B3565" s="67" t="s">
        <v>222</v>
      </c>
      <c r="C3565" s="67" t="s">
        <v>221</v>
      </c>
      <c r="D3565" s="67" t="s">
        <v>220</v>
      </c>
      <c r="E3565" s="67" t="s">
        <v>219</v>
      </c>
      <c r="F3565" s="67" t="s">
        <v>217</v>
      </c>
      <c r="G3565" s="67" t="s">
        <v>218</v>
      </c>
      <c r="H3565" s="67" t="s">
        <v>217</v>
      </c>
      <c r="I3565" s="67" t="s">
        <v>216</v>
      </c>
    </row>
    <row r="3566" spans="1:9" x14ac:dyDescent="0.25">
      <c r="A3566" s="67" t="s">
        <v>215</v>
      </c>
      <c r="B3566" s="67" t="s">
        <v>214</v>
      </c>
      <c r="C3566" s="67" t="s">
        <v>213</v>
      </c>
      <c r="D3566" s="67" t="s">
        <v>212</v>
      </c>
      <c r="E3566" s="67" t="s">
        <v>211</v>
      </c>
      <c r="F3566" s="67" t="s">
        <v>210</v>
      </c>
      <c r="G3566" s="67" t="s">
        <v>209</v>
      </c>
      <c r="H3566" s="67" t="s">
        <v>208</v>
      </c>
      <c r="I3566" s="67" t="s">
        <v>207</v>
      </c>
    </row>
    <row r="3567" spans="1:9" x14ac:dyDescent="0.25">
      <c r="A3567" s="67" t="s">
        <v>206</v>
      </c>
      <c r="B3567" s="67" t="s">
        <v>205</v>
      </c>
      <c r="C3567" s="67" t="s">
        <v>204</v>
      </c>
      <c r="D3567" s="67" t="s">
        <v>203</v>
      </c>
      <c r="E3567" s="67" t="s">
        <v>202</v>
      </c>
      <c r="F3567" s="67" t="s">
        <v>201</v>
      </c>
      <c r="G3567" s="67" t="s">
        <v>200</v>
      </c>
      <c r="H3567" s="67" t="s">
        <v>199</v>
      </c>
    </row>
    <row r="3568" spans="1:9" x14ac:dyDescent="0.25">
      <c r="A3568" s="67" t="s">
        <v>3227</v>
      </c>
      <c r="B3568" s="67" t="s">
        <v>3226</v>
      </c>
      <c r="C3568" s="67">
        <v>0</v>
      </c>
      <c r="D3568" s="67">
        <v>0</v>
      </c>
      <c r="E3568" s="67">
        <v>83900.41</v>
      </c>
      <c r="F3568" s="67">
        <v>25250</v>
      </c>
      <c r="H3568" s="68">
        <v>40764</v>
      </c>
      <c r="I3568" s="67" t="s">
        <v>148</v>
      </c>
    </row>
    <row r="3569" spans="1:9" x14ac:dyDescent="0.25">
      <c r="B3569" s="67" t="s">
        <v>3226</v>
      </c>
      <c r="C3569" s="67">
        <v>0</v>
      </c>
      <c r="D3569" s="67">
        <v>0</v>
      </c>
      <c r="E3569" s="67">
        <v>83900.45</v>
      </c>
      <c r="H3569" s="67" t="s">
        <v>146</v>
      </c>
    </row>
    <row r="3571" spans="1:9" x14ac:dyDescent="0.25">
      <c r="A3571" s="67" t="s">
        <v>3225</v>
      </c>
      <c r="B3571" s="67" t="s">
        <v>3224</v>
      </c>
      <c r="C3571" s="67">
        <v>0</v>
      </c>
      <c r="D3571" s="67">
        <v>0</v>
      </c>
      <c r="E3571" s="67">
        <v>83900.41</v>
      </c>
      <c r="F3571" s="67">
        <v>25250</v>
      </c>
      <c r="H3571" s="68">
        <v>40764</v>
      </c>
      <c r="I3571" s="67" t="s">
        <v>148</v>
      </c>
    </row>
    <row r="3572" spans="1:9" x14ac:dyDescent="0.25">
      <c r="B3572" s="67" t="s">
        <v>3224</v>
      </c>
      <c r="C3572" s="67">
        <v>0</v>
      </c>
      <c r="D3572" s="67">
        <v>0</v>
      </c>
      <c r="E3572" s="67">
        <v>83900.45</v>
      </c>
      <c r="H3572" s="67" t="s">
        <v>146</v>
      </c>
    </row>
    <row r="3574" spans="1:9" x14ac:dyDescent="0.25">
      <c r="A3574" s="67" t="s">
        <v>3223</v>
      </c>
      <c r="B3574" s="67" t="s">
        <v>3222</v>
      </c>
      <c r="C3574" s="67">
        <v>0</v>
      </c>
      <c r="D3574" s="67">
        <v>0</v>
      </c>
      <c r="E3574" s="67">
        <v>83900.41</v>
      </c>
      <c r="F3574" s="67">
        <v>25250</v>
      </c>
      <c r="H3574" s="68">
        <v>40764</v>
      </c>
      <c r="I3574" s="67" t="s">
        <v>148</v>
      </c>
    </row>
    <row r="3575" spans="1:9" x14ac:dyDescent="0.25">
      <c r="B3575" s="67" t="s">
        <v>3222</v>
      </c>
      <c r="C3575" s="67">
        <v>0</v>
      </c>
      <c r="D3575" s="67">
        <v>0</v>
      </c>
      <c r="E3575" s="67">
        <v>83900.45</v>
      </c>
      <c r="H3575" s="67" t="s">
        <v>146</v>
      </c>
    </row>
    <row r="3577" spans="1:9" x14ac:dyDescent="0.25">
      <c r="A3577" s="67" t="s">
        <v>3221</v>
      </c>
      <c r="B3577" s="67" t="s">
        <v>3220</v>
      </c>
      <c r="C3577" s="67">
        <v>0</v>
      </c>
      <c r="D3577" s="67">
        <v>0</v>
      </c>
      <c r="E3577" s="67">
        <v>83900.41</v>
      </c>
      <c r="F3577" s="67">
        <v>25250</v>
      </c>
      <c r="H3577" s="68">
        <v>40764</v>
      </c>
      <c r="I3577" s="67" t="s">
        <v>148</v>
      </c>
    </row>
    <row r="3578" spans="1:9" x14ac:dyDescent="0.25">
      <c r="B3578" s="67" t="s">
        <v>3220</v>
      </c>
      <c r="C3578" s="67">
        <v>0</v>
      </c>
      <c r="D3578" s="67">
        <v>0</v>
      </c>
      <c r="E3578" s="67">
        <v>83900.45</v>
      </c>
      <c r="H3578" s="67" t="s">
        <v>146</v>
      </c>
    </row>
    <row r="3580" spans="1:9" x14ac:dyDescent="0.25">
      <c r="A3580" s="67" t="s">
        <v>3219</v>
      </c>
      <c r="B3580" s="67" t="s">
        <v>3218</v>
      </c>
      <c r="C3580" s="67">
        <v>0</v>
      </c>
      <c r="D3580" s="67">
        <v>0</v>
      </c>
      <c r="E3580" s="67">
        <v>83900.41</v>
      </c>
      <c r="F3580" s="67">
        <v>25250</v>
      </c>
      <c r="H3580" s="68">
        <v>40764</v>
      </c>
      <c r="I3580" s="67" t="s">
        <v>148</v>
      </c>
    </row>
    <row r="3581" spans="1:9" x14ac:dyDescent="0.25">
      <c r="B3581" s="67" t="s">
        <v>3218</v>
      </c>
      <c r="C3581" s="67">
        <v>0</v>
      </c>
      <c r="D3581" s="67">
        <v>0</v>
      </c>
      <c r="E3581" s="67">
        <v>83900.45</v>
      </c>
      <c r="H3581" s="67" t="s">
        <v>146</v>
      </c>
    </row>
    <row r="3583" spans="1:9" x14ac:dyDescent="0.25">
      <c r="A3583" s="67" t="s">
        <v>3217</v>
      </c>
      <c r="B3583" s="67" t="s">
        <v>3216</v>
      </c>
      <c r="C3583" s="67">
        <v>0</v>
      </c>
      <c r="D3583" s="67">
        <v>0</v>
      </c>
      <c r="E3583" s="67">
        <v>83900.41</v>
      </c>
      <c r="F3583" s="67">
        <v>25250</v>
      </c>
      <c r="H3583" s="68">
        <v>40764</v>
      </c>
      <c r="I3583" s="67" t="s">
        <v>148</v>
      </c>
    </row>
    <row r="3584" spans="1:9" x14ac:dyDescent="0.25">
      <c r="B3584" s="67" t="s">
        <v>3216</v>
      </c>
      <c r="C3584" s="67">
        <v>0</v>
      </c>
      <c r="D3584" s="67">
        <v>0</v>
      </c>
      <c r="E3584" s="67">
        <v>83900.45</v>
      </c>
      <c r="H3584" s="67" t="s">
        <v>146</v>
      </c>
    </row>
    <row r="3586" spans="1:9" x14ac:dyDescent="0.25">
      <c r="A3586" s="67" t="s">
        <v>3215</v>
      </c>
      <c r="B3586" s="67" t="s">
        <v>3214</v>
      </c>
      <c r="C3586" s="67">
        <v>0</v>
      </c>
      <c r="D3586" s="67">
        <v>0</v>
      </c>
      <c r="E3586" s="67">
        <v>83900.41</v>
      </c>
      <c r="F3586" s="67">
        <v>25250</v>
      </c>
      <c r="H3586" s="68">
        <v>40764</v>
      </c>
      <c r="I3586" s="67" t="s">
        <v>148</v>
      </c>
    </row>
    <row r="3587" spans="1:9" x14ac:dyDescent="0.25">
      <c r="B3587" s="67" t="s">
        <v>3214</v>
      </c>
      <c r="C3587" s="67">
        <v>0</v>
      </c>
      <c r="D3587" s="67">
        <v>0</v>
      </c>
      <c r="E3587" s="67">
        <v>83900.45</v>
      </c>
      <c r="H3587" s="67" t="s">
        <v>146</v>
      </c>
    </row>
    <row r="3589" spans="1:9" x14ac:dyDescent="0.25">
      <c r="A3589" s="67" t="s">
        <v>3213</v>
      </c>
      <c r="B3589" s="67" t="s">
        <v>3212</v>
      </c>
      <c r="C3589" s="67">
        <v>0</v>
      </c>
      <c r="D3589" s="67">
        <v>0</v>
      </c>
      <c r="E3589" s="67">
        <v>83900.41</v>
      </c>
      <c r="F3589" s="67">
        <v>25250</v>
      </c>
      <c r="H3589" s="68">
        <v>40764</v>
      </c>
      <c r="I3589" s="67" t="s">
        <v>148</v>
      </c>
    </row>
    <row r="3590" spans="1:9" x14ac:dyDescent="0.25">
      <c r="B3590" s="67" t="s">
        <v>3212</v>
      </c>
      <c r="C3590" s="67">
        <v>0</v>
      </c>
      <c r="D3590" s="67">
        <v>0</v>
      </c>
      <c r="E3590" s="67">
        <v>83900.45</v>
      </c>
      <c r="H3590" s="67" t="s">
        <v>146</v>
      </c>
    </row>
    <row r="3592" spans="1:9" x14ac:dyDescent="0.25">
      <c r="A3592" s="67" t="s">
        <v>3211</v>
      </c>
      <c r="B3592" s="67" t="s">
        <v>3210</v>
      </c>
      <c r="C3592" s="67">
        <v>0</v>
      </c>
      <c r="D3592" s="67">
        <v>0</v>
      </c>
      <c r="E3592" s="67">
        <v>83900.41</v>
      </c>
      <c r="F3592" s="67">
        <v>25250</v>
      </c>
      <c r="H3592" s="68">
        <v>40764</v>
      </c>
      <c r="I3592" s="67" t="s">
        <v>148</v>
      </c>
    </row>
    <row r="3593" spans="1:9" x14ac:dyDescent="0.25">
      <c r="B3593" s="67" t="s">
        <v>3210</v>
      </c>
      <c r="C3593" s="67">
        <v>0</v>
      </c>
      <c r="D3593" s="67">
        <v>0</v>
      </c>
      <c r="E3593" s="67">
        <v>83900.45</v>
      </c>
      <c r="H3593" s="67" t="s">
        <v>146</v>
      </c>
    </row>
    <row r="3595" spans="1:9" x14ac:dyDescent="0.25">
      <c r="A3595" s="67" t="s">
        <v>3209</v>
      </c>
      <c r="B3595" s="67" t="s">
        <v>3208</v>
      </c>
      <c r="C3595" s="67">
        <v>0</v>
      </c>
      <c r="D3595" s="67">
        <v>0</v>
      </c>
      <c r="E3595" s="67">
        <v>83900.41</v>
      </c>
      <c r="F3595" s="67">
        <v>25250</v>
      </c>
      <c r="H3595" s="68">
        <v>40764</v>
      </c>
      <c r="I3595" s="67" t="s">
        <v>148</v>
      </c>
    </row>
    <row r="3596" spans="1:9" x14ac:dyDescent="0.25">
      <c r="B3596" s="67" t="s">
        <v>3208</v>
      </c>
      <c r="C3596" s="67">
        <v>0</v>
      </c>
      <c r="D3596" s="67">
        <v>0</v>
      </c>
      <c r="E3596" s="67">
        <v>83900.45</v>
      </c>
      <c r="H3596" s="67" t="s">
        <v>146</v>
      </c>
    </row>
    <row r="3598" spans="1:9" x14ac:dyDescent="0.25">
      <c r="A3598" s="67" t="s">
        <v>3207</v>
      </c>
      <c r="B3598" s="67" t="s">
        <v>3206</v>
      </c>
      <c r="C3598" s="67">
        <v>0</v>
      </c>
      <c r="D3598" s="67">
        <v>0</v>
      </c>
      <c r="E3598" s="67">
        <v>83900.41</v>
      </c>
      <c r="F3598" s="67">
        <v>25250</v>
      </c>
      <c r="H3598" s="68">
        <v>40764</v>
      </c>
      <c r="I3598" s="67" t="s">
        <v>148</v>
      </c>
    </row>
    <row r="3599" spans="1:9" x14ac:dyDescent="0.25">
      <c r="B3599" s="67" t="s">
        <v>3206</v>
      </c>
      <c r="C3599" s="67">
        <v>0</v>
      </c>
      <c r="D3599" s="67">
        <v>0</v>
      </c>
      <c r="E3599" s="67">
        <v>83900.45</v>
      </c>
      <c r="H3599" s="67" t="s">
        <v>146</v>
      </c>
    </row>
    <row r="3601" spans="1:9" x14ac:dyDescent="0.25">
      <c r="A3601" s="67" t="s">
        <v>3205</v>
      </c>
      <c r="B3601" s="67" t="s">
        <v>3204</v>
      </c>
      <c r="C3601" s="67">
        <v>0</v>
      </c>
      <c r="D3601" s="67">
        <v>0</v>
      </c>
      <c r="E3601" s="67">
        <v>83900.41</v>
      </c>
      <c r="F3601" s="67">
        <v>25250</v>
      </c>
      <c r="H3601" s="68">
        <v>40764</v>
      </c>
      <c r="I3601" s="67" t="s">
        <v>148</v>
      </c>
    </row>
    <row r="3602" spans="1:9" x14ac:dyDescent="0.25">
      <c r="B3602" s="67" t="s">
        <v>3204</v>
      </c>
      <c r="C3602" s="67">
        <v>0</v>
      </c>
      <c r="D3602" s="67">
        <v>0</v>
      </c>
      <c r="E3602" s="67">
        <v>83900.45</v>
      </c>
      <c r="H3602" s="67" t="s">
        <v>146</v>
      </c>
    </row>
    <row r="3604" spans="1:9" x14ac:dyDescent="0.25">
      <c r="A3604" s="67" t="s">
        <v>3203</v>
      </c>
      <c r="B3604" s="67" t="s">
        <v>3202</v>
      </c>
      <c r="C3604" s="67">
        <v>0</v>
      </c>
      <c r="D3604" s="67">
        <v>0</v>
      </c>
      <c r="E3604" s="67">
        <v>83900.41</v>
      </c>
      <c r="F3604" s="67">
        <v>25250</v>
      </c>
      <c r="H3604" s="68">
        <v>40764</v>
      </c>
      <c r="I3604" s="67" t="s">
        <v>148</v>
      </c>
    </row>
    <row r="3605" spans="1:9" x14ac:dyDescent="0.25">
      <c r="B3605" s="67" t="s">
        <v>3202</v>
      </c>
      <c r="C3605" s="67">
        <v>0</v>
      </c>
      <c r="D3605" s="67">
        <v>0</v>
      </c>
      <c r="E3605" s="67">
        <v>83900.45</v>
      </c>
      <c r="H3605" s="67" t="s">
        <v>146</v>
      </c>
    </row>
    <row r="3607" spans="1:9" x14ac:dyDescent="0.25">
      <c r="A3607" s="67" t="s">
        <v>3201</v>
      </c>
      <c r="B3607" s="67" t="s">
        <v>3200</v>
      </c>
      <c r="C3607" s="67">
        <v>0</v>
      </c>
      <c r="D3607" s="67">
        <v>0</v>
      </c>
      <c r="E3607" s="67">
        <v>83900.41</v>
      </c>
      <c r="F3607" s="67">
        <v>25250</v>
      </c>
      <c r="H3607" s="68">
        <v>40764</v>
      </c>
      <c r="I3607" s="67" t="s">
        <v>148</v>
      </c>
    </row>
    <row r="3608" spans="1:9" x14ac:dyDescent="0.25">
      <c r="B3608" s="67" t="s">
        <v>3200</v>
      </c>
      <c r="C3608" s="67">
        <v>0</v>
      </c>
      <c r="D3608" s="67">
        <v>0</v>
      </c>
      <c r="E3608" s="67">
        <v>83900.45</v>
      </c>
      <c r="H3608" s="67" t="s">
        <v>146</v>
      </c>
    </row>
    <row r="3610" spans="1:9" x14ac:dyDescent="0.25">
      <c r="A3610" s="67" t="s">
        <v>3199</v>
      </c>
      <c r="B3610" s="67" t="s">
        <v>3198</v>
      </c>
      <c r="C3610" s="67">
        <v>0</v>
      </c>
      <c r="D3610" s="67">
        <v>0</v>
      </c>
      <c r="E3610" s="67">
        <v>83900.41</v>
      </c>
      <c r="F3610" s="67">
        <v>25250</v>
      </c>
      <c r="H3610" s="68">
        <v>40764</v>
      </c>
      <c r="I3610" s="67" t="s">
        <v>148</v>
      </c>
    </row>
    <row r="3611" spans="1:9" x14ac:dyDescent="0.25">
      <c r="B3611" s="67" t="s">
        <v>3198</v>
      </c>
      <c r="C3611" s="67">
        <v>0</v>
      </c>
      <c r="D3611" s="67">
        <v>0</v>
      </c>
      <c r="E3611" s="67">
        <v>83900.45</v>
      </c>
      <c r="H3611" s="67" t="s">
        <v>146</v>
      </c>
    </row>
    <row r="3613" spans="1:9" x14ac:dyDescent="0.25">
      <c r="A3613" s="67" t="s">
        <v>3197</v>
      </c>
      <c r="B3613" s="67" t="s">
        <v>3196</v>
      </c>
      <c r="C3613" s="67">
        <v>0</v>
      </c>
      <c r="D3613" s="67">
        <v>0</v>
      </c>
      <c r="E3613" s="67">
        <v>83900.41</v>
      </c>
      <c r="F3613" s="67">
        <v>25250</v>
      </c>
      <c r="H3613" s="68">
        <v>40764</v>
      </c>
      <c r="I3613" s="67" t="s">
        <v>148</v>
      </c>
    </row>
    <row r="3614" spans="1:9" x14ac:dyDescent="0.25">
      <c r="B3614" s="67" t="s">
        <v>3196</v>
      </c>
      <c r="C3614" s="67">
        <v>0</v>
      </c>
      <c r="D3614" s="67">
        <v>0</v>
      </c>
      <c r="E3614" s="67">
        <v>83900.45</v>
      </c>
      <c r="H3614" s="67" t="s">
        <v>146</v>
      </c>
    </row>
    <row r="3616" spans="1:9" x14ac:dyDescent="0.25">
      <c r="A3616" s="67" t="s">
        <v>3195</v>
      </c>
      <c r="B3616" s="67" t="s">
        <v>3194</v>
      </c>
      <c r="C3616" s="67">
        <v>0</v>
      </c>
      <c r="D3616" s="67">
        <v>0</v>
      </c>
      <c r="E3616" s="67">
        <v>83900.41</v>
      </c>
      <c r="F3616" s="67">
        <v>25250</v>
      </c>
      <c r="H3616" s="68">
        <v>40764</v>
      </c>
      <c r="I3616" s="67" t="s">
        <v>148</v>
      </c>
    </row>
    <row r="3617" spans="1:9" x14ac:dyDescent="0.25">
      <c r="B3617" s="67" t="s">
        <v>3194</v>
      </c>
      <c r="C3617" s="67">
        <v>0</v>
      </c>
      <c r="D3617" s="67">
        <v>0</v>
      </c>
      <c r="E3617" s="67">
        <v>83900.45</v>
      </c>
      <c r="H3617" s="67" t="s">
        <v>146</v>
      </c>
    </row>
    <row r="3618" spans="1:9" x14ac:dyDescent="0.25">
      <c r="A3618" s="67" t="s">
        <v>233</v>
      </c>
    </row>
    <row r="3620" spans="1:9" x14ac:dyDescent="0.25">
      <c r="A3620" s="67" t="s">
        <v>232</v>
      </c>
      <c r="D3620" s="67" t="s">
        <v>231</v>
      </c>
      <c r="H3620" s="67" t="s">
        <v>148</v>
      </c>
      <c r="I3620" s="67" t="s">
        <v>230</v>
      </c>
    </row>
    <row r="3621" spans="1:9" x14ac:dyDescent="0.25">
      <c r="A3621" s="67">
        <v>41.1</v>
      </c>
      <c r="C3621" s="67" t="s">
        <v>215</v>
      </c>
      <c r="D3621" s="67" t="s">
        <v>229</v>
      </c>
      <c r="H3621" s="70">
        <v>44771</v>
      </c>
      <c r="I3621" s="69">
        <v>0.56736111111111109</v>
      </c>
    </row>
    <row r="3622" spans="1:9" x14ac:dyDescent="0.25">
      <c r="A3622" s="67" t="s">
        <v>228</v>
      </c>
      <c r="C3622" s="67" t="s">
        <v>227</v>
      </c>
      <c r="D3622" s="67" t="s">
        <v>226</v>
      </c>
      <c r="E3622" s="67">
        <v>589</v>
      </c>
      <c r="H3622" s="67" t="s">
        <v>225</v>
      </c>
      <c r="I3622" s="67">
        <v>64</v>
      </c>
    </row>
    <row r="3623" spans="1:9" x14ac:dyDescent="0.25">
      <c r="A3623" s="67" t="s">
        <v>884</v>
      </c>
    </row>
    <row r="3624" spans="1:9" x14ac:dyDescent="0.25">
      <c r="A3624" s="67" t="s">
        <v>223</v>
      </c>
      <c r="B3624" s="67" t="s">
        <v>222</v>
      </c>
      <c r="C3624" s="67" t="s">
        <v>221</v>
      </c>
      <c r="D3624" s="67" t="s">
        <v>220</v>
      </c>
      <c r="E3624" s="67" t="s">
        <v>219</v>
      </c>
      <c r="F3624" s="67" t="s">
        <v>217</v>
      </c>
      <c r="G3624" s="67" t="s">
        <v>218</v>
      </c>
      <c r="H3624" s="67" t="s">
        <v>217</v>
      </c>
      <c r="I3624" s="67" t="s">
        <v>216</v>
      </c>
    </row>
    <row r="3625" spans="1:9" x14ac:dyDescent="0.25">
      <c r="A3625" s="67" t="s">
        <v>215</v>
      </c>
      <c r="B3625" s="67" t="s">
        <v>214</v>
      </c>
      <c r="C3625" s="67" t="s">
        <v>213</v>
      </c>
      <c r="D3625" s="67" t="s">
        <v>212</v>
      </c>
      <c r="E3625" s="67" t="s">
        <v>211</v>
      </c>
      <c r="F3625" s="67" t="s">
        <v>210</v>
      </c>
      <c r="G3625" s="67" t="s">
        <v>209</v>
      </c>
      <c r="H3625" s="67" t="s">
        <v>208</v>
      </c>
      <c r="I3625" s="67" t="s">
        <v>207</v>
      </c>
    </row>
    <row r="3626" spans="1:9" x14ac:dyDescent="0.25">
      <c r="A3626" s="67" t="s">
        <v>206</v>
      </c>
      <c r="B3626" s="67" t="s">
        <v>205</v>
      </c>
      <c r="C3626" s="67" t="s">
        <v>204</v>
      </c>
      <c r="D3626" s="67" t="s">
        <v>203</v>
      </c>
      <c r="E3626" s="67" t="s">
        <v>202</v>
      </c>
      <c r="F3626" s="67" t="s">
        <v>201</v>
      </c>
      <c r="G3626" s="67" t="s">
        <v>200</v>
      </c>
      <c r="H3626" s="67" t="s">
        <v>199</v>
      </c>
    </row>
    <row r="3627" spans="1:9" x14ac:dyDescent="0.25">
      <c r="A3627" s="67" t="s">
        <v>3193</v>
      </c>
      <c r="B3627" s="67" t="s">
        <v>3192</v>
      </c>
      <c r="C3627" s="67">
        <v>0</v>
      </c>
      <c r="D3627" s="67">
        <v>0</v>
      </c>
      <c r="E3627" s="67">
        <v>83900.41</v>
      </c>
      <c r="F3627" s="67">
        <v>25250</v>
      </c>
      <c r="H3627" s="68">
        <v>40764</v>
      </c>
      <c r="I3627" s="67" t="s">
        <v>148</v>
      </c>
    </row>
    <row r="3628" spans="1:9" x14ac:dyDescent="0.25">
      <c r="B3628" s="67" t="s">
        <v>3192</v>
      </c>
      <c r="C3628" s="67">
        <v>0</v>
      </c>
      <c r="D3628" s="67">
        <v>0</v>
      </c>
      <c r="E3628" s="67">
        <v>83900.45</v>
      </c>
      <c r="H3628" s="67" t="s">
        <v>146</v>
      </c>
    </row>
    <row r="3630" spans="1:9" x14ac:dyDescent="0.25">
      <c r="A3630" s="67" t="s">
        <v>3191</v>
      </c>
      <c r="B3630" s="67" t="s">
        <v>3190</v>
      </c>
      <c r="C3630" s="67">
        <v>0</v>
      </c>
      <c r="D3630" s="67">
        <v>0</v>
      </c>
      <c r="E3630" s="67">
        <v>83900.41</v>
      </c>
      <c r="F3630" s="67">
        <v>25250</v>
      </c>
      <c r="H3630" s="68">
        <v>40764</v>
      </c>
      <c r="I3630" s="67" t="s">
        <v>148</v>
      </c>
    </row>
    <row r="3631" spans="1:9" x14ac:dyDescent="0.25">
      <c r="B3631" s="67" t="s">
        <v>3190</v>
      </c>
      <c r="C3631" s="67">
        <v>0</v>
      </c>
      <c r="D3631" s="67">
        <v>0</v>
      </c>
      <c r="E3631" s="67">
        <v>83900.45</v>
      </c>
      <c r="H3631" s="67" t="s">
        <v>146</v>
      </c>
    </row>
    <row r="3633" spans="1:9" x14ac:dyDescent="0.25">
      <c r="A3633" s="67" t="s">
        <v>3189</v>
      </c>
      <c r="B3633" s="67" t="s">
        <v>3188</v>
      </c>
      <c r="C3633" s="67">
        <v>0</v>
      </c>
      <c r="D3633" s="67">
        <v>0</v>
      </c>
      <c r="E3633" s="67">
        <v>83900.41</v>
      </c>
      <c r="F3633" s="67">
        <v>25250</v>
      </c>
      <c r="H3633" s="68">
        <v>40764</v>
      </c>
      <c r="I3633" s="67" t="s">
        <v>148</v>
      </c>
    </row>
    <row r="3634" spans="1:9" x14ac:dyDescent="0.25">
      <c r="B3634" s="67" t="s">
        <v>3188</v>
      </c>
      <c r="C3634" s="67">
        <v>0</v>
      </c>
      <c r="D3634" s="67">
        <v>0</v>
      </c>
      <c r="E3634" s="67">
        <v>83900.45</v>
      </c>
      <c r="H3634" s="67" t="s">
        <v>146</v>
      </c>
    </row>
    <row r="3636" spans="1:9" x14ac:dyDescent="0.25">
      <c r="A3636" s="67" t="s">
        <v>3187</v>
      </c>
      <c r="B3636" s="67" t="s">
        <v>3186</v>
      </c>
      <c r="C3636" s="67">
        <v>0</v>
      </c>
      <c r="D3636" s="67">
        <v>0</v>
      </c>
      <c r="E3636" s="67">
        <v>83900.41</v>
      </c>
      <c r="F3636" s="67">
        <v>25250</v>
      </c>
      <c r="H3636" s="68">
        <v>40764</v>
      </c>
      <c r="I3636" s="67" t="s">
        <v>148</v>
      </c>
    </row>
    <row r="3637" spans="1:9" x14ac:dyDescent="0.25">
      <c r="B3637" s="67" t="s">
        <v>3186</v>
      </c>
      <c r="C3637" s="67">
        <v>0</v>
      </c>
      <c r="D3637" s="67">
        <v>0</v>
      </c>
      <c r="E3637" s="67">
        <v>83900.45</v>
      </c>
      <c r="H3637" s="67" t="s">
        <v>146</v>
      </c>
    </row>
    <row r="3639" spans="1:9" x14ac:dyDescent="0.25">
      <c r="A3639" s="67" t="s">
        <v>3185</v>
      </c>
      <c r="B3639" s="67" t="s">
        <v>3184</v>
      </c>
      <c r="C3639" s="67">
        <v>0</v>
      </c>
      <c r="D3639" s="67">
        <v>0</v>
      </c>
      <c r="E3639" s="67">
        <v>83900.41</v>
      </c>
      <c r="F3639" s="67">
        <v>25250</v>
      </c>
      <c r="H3639" s="68">
        <v>40764</v>
      </c>
      <c r="I3639" s="67" t="s">
        <v>148</v>
      </c>
    </row>
    <row r="3640" spans="1:9" x14ac:dyDescent="0.25">
      <c r="B3640" s="67" t="s">
        <v>3184</v>
      </c>
      <c r="C3640" s="67">
        <v>0</v>
      </c>
      <c r="D3640" s="67">
        <v>0</v>
      </c>
      <c r="E3640" s="67">
        <v>83900.45</v>
      </c>
      <c r="H3640" s="67" t="s">
        <v>146</v>
      </c>
    </row>
    <row r="3642" spans="1:9" x14ac:dyDescent="0.25">
      <c r="A3642" s="67" t="s">
        <v>3183</v>
      </c>
      <c r="B3642" s="67" t="s">
        <v>3182</v>
      </c>
      <c r="C3642" s="67">
        <v>0</v>
      </c>
      <c r="D3642" s="67">
        <v>0</v>
      </c>
      <c r="E3642" s="67">
        <v>83900.41</v>
      </c>
      <c r="F3642" s="67">
        <v>25250</v>
      </c>
      <c r="H3642" s="68">
        <v>40764</v>
      </c>
      <c r="I3642" s="67" t="s">
        <v>148</v>
      </c>
    </row>
    <row r="3643" spans="1:9" x14ac:dyDescent="0.25">
      <c r="B3643" s="67" t="s">
        <v>3182</v>
      </c>
      <c r="C3643" s="67">
        <v>0</v>
      </c>
      <c r="D3643" s="67">
        <v>0</v>
      </c>
      <c r="E3643" s="67">
        <v>83900.45</v>
      </c>
      <c r="H3643" s="67" t="s">
        <v>146</v>
      </c>
    </row>
    <row r="3645" spans="1:9" x14ac:dyDescent="0.25">
      <c r="A3645" s="67" t="s">
        <v>3181</v>
      </c>
      <c r="B3645" s="67" t="s">
        <v>3180</v>
      </c>
      <c r="C3645" s="67">
        <v>0</v>
      </c>
      <c r="D3645" s="67">
        <v>0</v>
      </c>
      <c r="E3645" s="67">
        <v>83900.41</v>
      </c>
      <c r="F3645" s="67">
        <v>25250</v>
      </c>
      <c r="H3645" s="68">
        <v>40764</v>
      </c>
      <c r="I3645" s="67" t="s">
        <v>148</v>
      </c>
    </row>
    <row r="3646" spans="1:9" x14ac:dyDescent="0.25">
      <c r="B3646" s="67" t="s">
        <v>3180</v>
      </c>
      <c r="C3646" s="67">
        <v>0</v>
      </c>
      <c r="D3646" s="67">
        <v>0</v>
      </c>
      <c r="E3646" s="67">
        <v>83900.45</v>
      </c>
      <c r="H3646" s="67" t="s">
        <v>146</v>
      </c>
    </row>
    <row r="3648" spans="1:9" x14ac:dyDescent="0.25">
      <c r="A3648" s="67" t="s">
        <v>3179</v>
      </c>
      <c r="B3648" s="67" t="s">
        <v>3178</v>
      </c>
      <c r="C3648" s="67">
        <v>0</v>
      </c>
      <c r="D3648" s="67">
        <v>0</v>
      </c>
      <c r="E3648" s="67">
        <v>83900.41</v>
      </c>
      <c r="F3648" s="67">
        <v>25250</v>
      </c>
      <c r="H3648" s="68">
        <v>40764</v>
      </c>
      <c r="I3648" s="67" t="s">
        <v>148</v>
      </c>
    </row>
    <row r="3649" spans="1:9" x14ac:dyDescent="0.25">
      <c r="B3649" s="67" t="s">
        <v>3178</v>
      </c>
      <c r="C3649" s="67">
        <v>0</v>
      </c>
      <c r="D3649" s="67">
        <v>0</v>
      </c>
      <c r="E3649" s="67">
        <v>83900.45</v>
      </c>
      <c r="H3649" s="67" t="s">
        <v>146</v>
      </c>
    </row>
    <row r="3651" spans="1:9" x14ac:dyDescent="0.25">
      <c r="A3651" s="67" t="s">
        <v>3177</v>
      </c>
      <c r="B3651" s="67" t="s">
        <v>3176</v>
      </c>
      <c r="C3651" s="67">
        <v>0</v>
      </c>
      <c r="D3651" s="67">
        <v>0</v>
      </c>
      <c r="E3651" s="67">
        <v>83900.41</v>
      </c>
      <c r="F3651" s="67">
        <v>25250</v>
      </c>
      <c r="H3651" s="68">
        <v>40764</v>
      </c>
      <c r="I3651" s="67" t="s">
        <v>148</v>
      </c>
    </row>
    <row r="3652" spans="1:9" x14ac:dyDescent="0.25">
      <c r="B3652" s="67" t="s">
        <v>3176</v>
      </c>
      <c r="C3652" s="67">
        <v>0</v>
      </c>
      <c r="D3652" s="67">
        <v>0</v>
      </c>
      <c r="E3652" s="67">
        <v>83900.45</v>
      </c>
      <c r="H3652" s="67" t="s">
        <v>146</v>
      </c>
    </row>
    <row r="3654" spans="1:9" x14ac:dyDescent="0.25">
      <c r="A3654" s="67" t="s">
        <v>3175</v>
      </c>
      <c r="B3654" s="67" t="s">
        <v>3174</v>
      </c>
      <c r="C3654" s="67">
        <v>0</v>
      </c>
      <c r="D3654" s="67">
        <v>0</v>
      </c>
      <c r="E3654" s="67">
        <v>83900.41</v>
      </c>
      <c r="F3654" s="67">
        <v>25250</v>
      </c>
      <c r="H3654" s="68">
        <v>40764</v>
      </c>
      <c r="I3654" s="67" t="s">
        <v>148</v>
      </c>
    </row>
    <row r="3655" spans="1:9" x14ac:dyDescent="0.25">
      <c r="B3655" s="67" t="s">
        <v>3174</v>
      </c>
      <c r="C3655" s="67">
        <v>0</v>
      </c>
      <c r="D3655" s="67">
        <v>0</v>
      </c>
      <c r="E3655" s="67">
        <v>83900.45</v>
      </c>
      <c r="H3655" s="67" t="s">
        <v>146</v>
      </c>
    </row>
    <row r="3657" spans="1:9" x14ac:dyDescent="0.25">
      <c r="A3657" s="67" t="s">
        <v>3173</v>
      </c>
      <c r="B3657" s="67" t="s">
        <v>3172</v>
      </c>
      <c r="C3657" s="67">
        <v>0</v>
      </c>
      <c r="D3657" s="67">
        <v>0</v>
      </c>
      <c r="E3657" s="67">
        <v>83900.41</v>
      </c>
      <c r="F3657" s="67">
        <v>25250</v>
      </c>
      <c r="H3657" s="68">
        <v>40764</v>
      </c>
      <c r="I3657" s="67" t="s">
        <v>148</v>
      </c>
    </row>
    <row r="3658" spans="1:9" x14ac:dyDescent="0.25">
      <c r="B3658" s="67" t="s">
        <v>3172</v>
      </c>
      <c r="C3658" s="67">
        <v>0</v>
      </c>
      <c r="D3658" s="67">
        <v>0</v>
      </c>
      <c r="E3658" s="67">
        <v>83900.45</v>
      </c>
      <c r="H3658" s="67" t="s">
        <v>146</v>
      </c>
    </row>
    <row r="3660" spans="1:9" x14ac:dyDescent="0.25">
      <c r="A3660" s="67" t="s">
        <v>3171</v>
      </c>
      <c r="B3660" s="67" t="s">
        <v>3170</v>
      </c>
      <c r="C3660" s="67">
        <v>0</v>
      </c>
      <c r="D3660" s="67">
        <v>0</v>
      </c>
      <c r="E3660" s="67">
        <v>83900.41</v>
      </c>
      <c r="F3660" s="67">
        <v>25250</v>
      </c>
      <c r="H3660" s="68">
        <v>40764</v>
      </c>
      <c r="I3660" s="67" t="s">
        <v>148</v>
      </c>
    </row>
    <row r="3661" spans="1:9" x14ac:dyDescent="0.25">
      <c r="B3661" s="67" t="s">
        <v>3170</v>
      </c>
      <c r="C3661" s="67">
        <v>0</v>
      </c>
      <c r="D3661" s="67">
        <v>0</v>
      </c>
      <c r="E3661" s="67">
        <v>83900.45</v>
      </c>
      <c r="H3661" s="67" t="s">
        <v>146</v>
      </c>
    </row>
    <row r="3663" spans="1:9" x14ac:dyDescent="0.25">
      <c r="A3663" s="67" t="s">
        <v>3169</v>
      </c>
      <c r="B3663" s="67" t="s">
        <v>3168</v>
      </c>
      <c r="C3663" s="67">
        <v>0</v>
      </c>
      <c r="D3663" s="67">
        <v>0</v>
      </c>
      <c r="E3663" s="67">
        <v>83900.41</v>
      </c>
      <c r="F3663" s="67">
        <v>25250</v>
      </c>
      <c r="H3663" s="68">
        <v>40764</v>
      </c>
      <c r="I3663" s="67" t="s">
        <v>148</v>
      </c>
    </row>
    <row r="3664" spans="1:9" x14ac:dyDescent="0.25">
      <c r="B3664" s="67" t="s">
        <v>3168</v>
      </c>
      <c r="C3664" s="67">
        <v>0</v>
      </c>
      <c r="D3664" s="67">
        <v>0</v>
      </c>
      <c r="E3664" s="67">
        <v>83900.45</v>
      </c>
      <c r="H3664" s="67" t="s">
        <v>146</v>
      </c>
    </row>
    <row r="3666" spans="1:9" x14ac:dyDescent="0.25">
      <c r="A3666" s="67" t="s">
        <v>3167</v>
      </c>
      <c r="B3666" s="67" t="s">
        <v>3166</v>
      </c>
      <c r="C3666" s="67">
        <v>0</v>
      </c>
      <c r="D3666" s="67">
        <v>0</v>
      </c>
      <c r="E3666" s="67">
        <v>83900.41</v>
      </c>
      <c r="F3666" s="67">
        <v>25250</v>
      </c>
      <c r="H3666" s="68">
        <v>40764</v>
      </c>
      <c r="I3666" s="67" t="s">
        <v>148</v>
      </c>
    </row>
    <row r="3667" spans="1:9" x14ac:dyDescent="0.25">
      <c r="B3667" s="67" t="s">
        <v>3166</v>
      </c>
      <c r="C3667" s="67">
        <v>0</v>
      </c>
      <c r="D3667" s="67">
        <v>0</v>
      </c>
      <c r="E3667" s="67">
        <v>83900.45</v>
      </c>
      <c r="H3667" s="67" t="s">
        <v>146</v>
      </c>
    </row>
    <row r="3669" spans="1:9" x14ac:dyDescent="0.25">
      <c r="A3669" s="67" t="s">
        <v>3165</v>
      </c>
      <c r="B3669" s="67" t="s">
        <v>3164</v>
      </c>
      <c r="C3669" s="67">
        <v>0</v>
      </c>
      <c r="D3669" s="67">
        <v>0</v>
      </c>
      <c r="E3669" s="67">
        <v>83900.41</v>
      </c>
      <c r="F3669" s="67">
        <v>25250</v>
      </c>
      <c r="H3669" s="68">
        <v>40764</v>
      </c>
      <c r="I3669" s="67" t="s">
        <v>148</v>
      </c>
    </row>
    <row r="3670" spans="1:9" x14ac:dyDescent="0.25">
      <c r="B3670" s="67" t="s">
        <v>3164</v>
      </c>
      <c r="C3670" s="67">
        <v>0</v>
      </c>
      <c r="D3670" s="67">
        <v>0</v>
      </c>
      <c r="E3670" s="67">
        <v>83900.45</v>
      </c>
      <c r="H3670" s="67" t="s">
        <v>146</v>
      </c>
    </row>
    <row r="3672" spans="1:9" x14ac:dyDescent="0.25">
      <c r="A3672" s="67" t="s">
        <v>3163</v>
      </c>
      <c r="B3672" s="67" t="s">
        <v>3162</v>
      </c>
      <c r="C3672" s="67">
        <v>0</v>
      </c>
      <c r="D3672" s="67">
        <v>0</v>
      </c>
      <c r="E3672" s="67">
        <v>83900.41</v>
      </c>
      <c r="F3672" s="67">
        <v>25250</v>
      </c>
      <c r="H3672" s="68">
        <v>40764</v>
      </c>
      <c r="I3672" s="67" t="s">
        <v>148</v>
      </c>
    </row>
    <row r="3673" spans="1:9" x14ac:dyDescent="0.25">
      <c r="B3673" s="67" t="s">
        <v>3162</v>
      </c>
      <c r="C3673" s="67">
        <v>0</v>
      </c>
      <c r="D3673" s="67">
        <v>0</v>
      </c>
      <c r="E3673" s="67">
        <v>83900.45</v>
      </c>
      <c r="H3673" s="67" t="s">
        <v>146</v>
      </c>
    </row>
    <row r="3675" spans="1:9" x14ac:dyDescent="0.25">
      <c r="A3675" s="67" t="s">
        <v>3161</v>
      </c>
      <c r="B3675" s="67" t="s">
        <v>3160</v>
      </c>
      <c r="C3675" s="67">
        <v>0</v>
      </c>
      <c r="D3675" s="67">
        <v>0</v>
      </c>
      <c r="E3675" s="67">
        <v>83900.41</v>
      </c>
      <c r="F3675" s="67">
        <v>25250</v>
      </c>
      <c r="H3675" s="68">
        <v>40764</v>
      </c>
      <c r="I3675" s="67" t="s">
        <v>148</v>
      </c>
    </row>
    <row r="3676" spans="1:9" x14ac:dyDescent="0.25">
      <c r="B3676" s="67" t="s">
        <v>3160</v>
      </c>
      <c r="C3676" s="67">
        <v>0</v>
      </c>
      <c r="D3676" s="67">
        <v>0</v>
      </c>
      <c r="E3676" s="67">
        <v>83900.45</v>
      </c>
      <c r="H3676" s="67" t="s">
        <v>146</v>
      </c>
    </row>
    <row r="3677" spans="1:9" x14ac:dyDescent="0.25">
      <c r="A3677" s="67" t="s">
        <v>233</v>
      </c>
    </row>
    <row r="3679" spans="1:9" x14ac:dyDescent="0.25">
      <c r="A3679" s="67" t="s">
        <v>232</v>
      </c>
      <c r="D3679" s="67" t="s">
        <v>231</v>
      </c>
      <c r="H3679" s="67" t="s">
        <v>148</v>
      </c>
      <c r="I3679" s="67" t="s">
        <v>230</v>
      </c>
    </row>
    <row r="3680" spans="1:9" x14ac:dyDescent="0.25">
      <c r="A3680" s="67">
        <v>41.1</v>
      </c>
      <c r="C3680" s="67" t="s">
        <v>215</v>
      </c>
      <c r="D3680" s="67" t="s">
        <v>229</v>
      </c>
      <c r="H3680" s="70">
        <v>44771</v>
      </c>
      <c r="I3680" s="69">
        <v>0.56736111111111109</v>
      </c>
    </row>
    <row r="3681" spans="1:9" x14ac:dyDescent="0.25">
      <c r="A3681" s="67" t="s">
        <v>228</v>
      </c>
      <c r="C3681" s="67" t="s">
        <v>227</v>
      </c>
      <c r="D3681" s="67" t="s">
        <v>226</v>
      </c>
      <c r="E3681" s="67">
        <v>589</v>
      </c>
      <c r="H3681" s="67" t="s">
        <v>225</v>
      </c>
      <c r="I3681" s="67">
        <v>65</v>
      </c>
    </row>
    <row r="3682" spans="1:9" x14ac:dyDescent="0.25">
      <c r="A3682" s="67" t="s">
        <v>884</v>
      </c>
    </row>
    <row r="3683" spans="1:9" x14ac:dyDescent="0.25">
      <c r="A3683" s="67" t="s">
        <v>223</v>
      </c>
      <c r="B3683" s="67" t="s">
        <v>222</v>
      </c>
      <c r="C3683" s="67" t="s">
        <v>221</v>
      </c>
      <c r="D3683" s="67" t="s">
        <v>220</v>
      </c>
      <c r="E3683" s="67" t="s">
        <v>219</v>
      </c>
      <c r="F3683" s="67" t="s">
        <v>217</v>
      </c>
      <c r="G3683" s="67" t="s">
        <v>218</v>
      </c>
      <c r="H3683" s="67" t="s">
        <v>217</v>
      </c>
      <c r="I3683" s="67" t="s">
        <v>216</v>
      </c>
    </row>
    <row r="3684" spans="1:9" x14ac:dyDescent="0.25">
      <c r="A3684" s="67" t="s">
        <v>215</v>
      </c>
      <c r="B3684" s="67" t="s">
        <v>214</v>
      </c>
      <c r="C3684" s="67" t="s">
        <v>213</v>
      </c>
      <c r="D3684" s="67" t="s">
        <v>212</v>
      </c>
      <c r="E3684" s="67" t="s">
        <v>211</v>
      </c>
      <c r="F3684" s="67" t="s">
        <v>210</v>
      </c>
      <c r="G3684" s="67" t="s">
        <v>209</v>
      </c>
      <c r="H3684" s="67" t="s">
        <v>208</v>
      </c>
      <c r="I3684" s="67" t="s">
        <v>207</v>
      </c>
    </row>
    <row r="3685" spans="1:9" x14ac:dyDescent="0.25">
      <c r="A3685" s="67" t="s">
        <v>206</v>
      </c>
      <c r="B3685" s="67" t="s">
        <v>205</v>
      </c>
      <c r="C3685" s="67" t="s">
        <v>204</v>
      </c>
      <c r="D3685" s="67" t="s">
        <v>203</v>
      </c>
      <c r="E3685" s="67" t="s">
        <v>202</v>
      </c>
      <c r="F3685" s="67" t="s">
        <v>201</v>
      </c>
      <c r="G3685" s="67" t="s">
        <v>200</v>
      </c>
      <c r="H3685" s="67" t="s">
        <v>199</v>
      </c>
    </row>
    <row r="3686" spans="1:9" x14ac:dyDescent="0.25">
      <c r="A3686" s="67" t="s">
        <v>3159</v>
      </c>
      <c r="B3686" s="67" t="s">
        <v>3158</v>
      </c>
      <c r="C3686" s="67">
        <v>0</v>
      </c>
      <c r="D3686" s="67">
        <v>0</v>
      </c>
      <c r="E3686" s="67">
        <v>83900.41</v>
      </c>
      <c r="F3686" s="67">
        <v>25250</v>
      </c>
      <c r="H3686" s="68">
        <v>40764</v>
      </c>
      <c r="I3686" s="67" t="s">
        <v>148</v>
      </c>
    </row>
    <row r="3687" spans="1:9" x14ac:dyDescent="0.25">
      <c r="B3687" s="67" t="s">
        <v>3158</v>
      </c>
      <c r="C3687" s="67">
        <v>0</v>
      </c>
      <c r="D3687" s="67">
        <v>0</v>
      </c>
      <c r="E3687" s="67">
        <v>83900.45</v>
      </c>
      <c r="H3687" s="67" t="s">
        <v>146</v>
      </c>
    </row>
    <row r="3689" spans="1:9" x14ac:dyDescent="0.25">
      <c r="A3689" s="67" t="s">
        <v>3157</v>
      </c>
      <c r="B3689" s="67" t="s">
        <v>3156</v>
      </c>
      <c r="C3689" s="67">
        <v>0</v>
      </c>
      <c r="D3689" s="67">
        <v>0</v>
      </c>
      <c r="E3689" s="67">
        <v>83900.41</v>
      </c>
      <c r="F3689" s="67">
        <v>25250</v>
      </c>
      <c r="H3689" s="68">
        <v>40764</v>
      </c>
      <c r="I3689" s="67" t="s">
        <v>148</v>
      </c>
    </row>
    <row r="3690" spans="1:9" x14ac:dyDescent="0.25">
      <c r="B3690" s="67" t="s">
        <v>3156</v>
      </c>
      <c r="C3690" s="67">
        <v>0</v>
      </c>
      <c r="D3690" s="67">
        <v>0</v>
      </c>
      <c r="E3690" s="67">
        <v>83900.45</v>
      </c>
      <c r="H3690" s="67" t="s">
        <v>146</v>
      </c>
    </row>
    <row r="3692" spans="1:9" x14ac:dyDescent="0.25">
      <c r="A3692" s="67" t="s">
        <v>3155</v>
      </c>
      <c r="B3692" s="67" t="s">
        <v>3154</v>
      </c>
      <c r="C3692" s="67">
        <v>0</v>
      </c>
      <c r="D3692" s="67">
        <v>0</v>
      </c>
      <c r="E3692" s="67">
        <v>83900.41</v>
      </c>
      <c r="F3692" s="67">
        <v>25250</v>
      </c>
      <c r="H3692" s="68">
        <v>40764</v>
      </c>
      <c r="I3692" s="67" t="s">
        <v>148</v>
      </c>
    </row>
    <row r="3693" spans="1:9" x14ac:dyDescent="0.25">
      <c r="B3693" s="67" t="s">
        <v>3154</v>
      </c>
      <c r="C3693" s="67">
        <v>0</v>
      </c>
      <c r="D3693" s="67">
        <v>0</v>
      </c>
      <c r="E3693" s="67">
        <v>83900.45</v>
      </c>
      <c r="H3693" s="67" t="s">
        <v>146</v>
      </c>
    </row>
    <row r="3695" spans="1:9" x14ac:dyDescent="0.25">
      <c r="A3695" s="67" t="s">
        <v>3153</v>
      </c>
      <c r="B3695" s="67" t="s">
        <v>3152</v>
      </c>
      <c r="C3695" s="67">
        <v>0</v>
      </c>
      <c r="D3695" s="67">
        <v>0</v>
      </c>
      <c r="E3695" s="67">
        <v>83900.41</v>
      </c>
      <c r="F3695" s="67">
        <v>25250</v>
      </c>
      <c r="H3695" s="68">
        <v>40764</v>
      </c>
      <c r="I3695" s="67" t="s">
        <v>148</v>
      </c>
    </row>
    <row r="3696" spans="1:9" x14ac:dyDescent="0.25">
      <c r="B3696" s="67" t="s">
        <v>3152</v>
      </c>
      <c r="C3696" s="67">
        <v>0</v>
      </c>
      <c r="D3696" s="67">
        <v>0</v>
      </c>
      <c r="E3696" s="67">
        <v>83900.45</v>
      </c>
      <c r="H3696" s="67" t="s">
        <v>146</v>
      </c>
    </row>
    <row r="3698" spans="1:9" x14ac:dyDescent="0.25">
      <c r="A3698" s="67" t="s">
        <v>3151</v>
      </c>
      <c r="B3698" s="67" t="s">
        <v>3150</v>
      </c>
      <c r="C3698" s="67">
        <v>0</v>
      </c>
      <c r="D3698" s="67">
        <v>0</v>
      </c>
      <c r="E3698" s="67">
        <v>83900.41</v>
      </c>
      <c r="F3698" s="67">
        <v>25250</v>
      </c>
      <c r="H3698" s="68">
        <v>40764</v>
      </c>
      <c r="I3698" s="67" t="s">
        <v>148</v>
      </c>
    </row>
    <row r="3699" spans="1:9" x14ac:dyDescent="0.25">
      <c r="B3699" s="67" t="s">
        <v>3150</v>
      </c>
      <c r="C3699" s="67">
        <v>0</v>
      </c>
      <c r="D3699" s="67">
        <v>0</v>
      </c>
      <c r="E3699" s="67">
        <v>83900.45</v>
      </c>
      <c r="H3699" s="67" t="s">
        <v>146</v>
      </c>
    </row>
    <row r="3701" spans="1:9" x14ac:dyDescent="0.25">
      <c r="A3701" s="67" t="s">
        <v>3149</v>
      </c>
      <c r="B3701" s="67" t="s">
        <v>3148</v>
      </c>
      <c r="C3701" s="67">
        <v>0</v>
      </c>
      <c r="D3701" s="67">
        <v>0</v>
      </c>
      <c r="E3701" s="67">
        <v>83900.41</v>
      </c>
      <c r="F3701" s="67">
        <v>25250</v>
      </c>
      <c r="H3701" s="68">
        <v>40764</v>
      </c>
      <c r="I3701" s="67" t="s">
        <v>148</v>
      </c>
    </row>
    <row r="3702" spans="1:9" x14ac:dyDescent="0.25">
      <c r="B3702" s="67" t="s">
        <v>3148</v>
      </c>
      <c r="C3702" s="67">
        <v>0</v>
      </c>
      <c r="D3702" s="67">
        <v>0</v>
      </c>
      <c r="E3702" s="67">
        <v>83900.45</v>
      </c>
      <c r="H3702" s="67" t="s">
        <v>146</v>
      </c>
    </row>
    <row r="3704" spans="1:9" x14ac:dyDescent="0.25">
      <c r="A3704" s="67" t="s">
        <v>3147</v>
      </c>
      <c r="B3704" s="67" t="s">
        <v>3146</v>
      </c>
      <c r="C3704" s="67">
        <v>0</v>
      </c>
      <c r="D3704" s="67">
        <v>0</v>
      </c>
      <c r="E3704" s="67">
        <v>83900.41</v>
      </c>
      <c r="F3704" s="67">
        <v>25250</v>
      </c>
      <c r="H3704" s="68">
        <v>40764</v>
      </c>
      <c r="I3704" s="67" t="s">
        <v>148</v>
      </c>
    </row>
    <row r="3705" spans="1:9" x14ac:dyDescent="0.25">
      <c r="B3705" s="67" t="s">
        <v>3146</v>
      </c>
      <c r="C3705" s="67">
        <v>0</v>
      </c>
      <c r="D3705" s="67">
        <v>0</v>
      </c>
      <c r="E3705" s="67">
        <v>83900.45</v>
      </c>
      <c r="H3705" s="67" t="s">
        <v>146</v>
      </c>
    </row>
    <row r="3707" spans="1:9" x14ac:dyDescent="0.25">
      <c r="A3707" s="67" t="s">
        <v>3145</v>
      </c>
      <c r="B3707" s="67" t="s">
        <v>3144</v>
      </c>
      <c r="C3707" s="67">
        <v>0</v>
      </c>
      <c r="D3707" s="67">
        <v>0</v>
      </c>
      <c r="E3707" s="67">
        <v>83900.41</v>
      </c>
      <c r="F3707" s="67">
        <v>25250</v>
      </c>
      <c r="H3707" s="68">
        <v>40764</v>
      </c>
      <c r="I3707" s="67" t="s">
        <v>148</v>
      </c>
    </row>
    <row r="3708" spans="1:9" x14ac:dyDescent="0.25">
      <c r="B3708" s="67" t="s">
        <v>3144</v>
      </c>
      <c r="C3708" s="67">
        <v>0</v>
      </c>
      <c r="D3708" s="67">
        <v>0</v>
      </c>
      <c r="E3708" s="67">
        <v>83900.45</v>
      </c>
      <c r="H3708" s="67" t="s">
        <v>146</v>
      </c>
    </row>
    <row r="3710" spans="1:9" x14ac:dyDescent="0.25">
      <c r="A3710" s="67" t="s">
        <v>3143</v>
      </c>
      <c r="B3710" s="67" t="s">
        <v>3142</v>
      </c>
      <c r="C3710" s="67">
        <v>0</v>
      </c>
      <c r="D3710" s="67">
        <v>0</v>
      </c>
      <c r="E3710" s="67">
        <v>83900.41</v>
      </c>
      <c r="F3710" s="67">
        <v>25250</v>
      </c>
      <c r="H3710" s="68">
        <v>40764</v>
      </c>
      <c r="I3710" s="67" t="s">
        <v>148</v>
      </c>
    </row>
    <row r="3711" spans="1:9" x14ac:dyDescent="0.25">
      <c r="B3711" s="67" t="s">
        <v>3142</v>
      </c>
      <c r="C3711" s="67">
        <v>0</v>
      </c>
      <c r="D3711" s="67">
        <v>0</v>
      </c>
      <c r="E3711" s="67">
        <v>83900.45</v>
      </c>
      <c r="H3711" s="67" t="s">
        <v>146</v>
      </c>
    </row>
    <row r="3713" spans="1:9" x14ac:dyDescent="0.25">
      <c r="A3713" s="67" t="s">
        <v>3141</v>
      </c>
      <c r="B3713" s="67" t="s">
        <v>3140</v>
      </c>
      <c r="C3713" s="67">
        <v>0</v>
      </c>
      <c r="D3713" s="67">
        <v>0</v>
      </c>
      <c r="E3713" s="67">
        <v>83900.41</v>
      </c>
      <c r="F3713" s="67">
        <v>25250</v>
      </c>
      <c r="H3713" s="68">
        <v>40764</v>
      </c>
      <c r="I3713" s="67" t="s">
        <v>148</v>
      </c>
    </row>
    <row r="3714" spans="1:9" x14ac:dyDescent="0.25">
      <c r="B3714" s="67" t="s">
        <v>3140</v>
      </c>
      <c r="C3714" s="67">
        <v>0</v>
      </c>
      <c r="D3714" s="67">
        <v>0</v>
      </c>
      <c r="E3714" s="67">
        <v>83900.45</v>
      </c>
      <c r="H3714" s="67" t="s">
        <v>146</v>
      </c>
    </row>
    <row r="3716" spans="1:9" x14ac:dyDescent="0.25">
      <c r="A3716" s="67" t="s">
        <v>3139</v>
      </c>
      <c r="B3716" s="67" t="s">
        <v>3138</v>
      </c>
      <c r="C3716" s="67">
        <v>0</v>
      </c>
      <c r="D3716" s="67">
        <v>0</v>
      </c>
      <c r="E3716" s="67">
        <v>83900.41</v>
      </c>
      <c r="F3716" s="67">
        <v>25250</v>
      </c>
      <c r="H3716" s="68">
        <v>40764</v>
      </c>
      <c r="I3716" s="67" t="s">
        <v>148</v>
      </c>
    </row>
    <row r="3717" spans="1:9" x14ac:dyDescent="0.25">
      <c r="B3717" s="67" t="s">
        <v>3138</v>
      </c>
      <c r="C3717" s="67">
        <v>0</v>
      </c>
      <c r="D3717" s="67">
        <v>0</v>
      </c>
      <c r="E3717" s="67">
        <v>83900.45</v>
      </c>
      <c r="H3717" s="67" t="s">
        <v>146</v>
      </c>
    </row>
    <row r="3719" spans="1:9" x14ac:dyDescent="0.25">
      <c r="A3719" s="67" t="s">
        <v>3137</v>
      </c>
      <c r="B3719" s="67" t="s">
        <v>3136</v>
      </c>
      <c r="C3719" s="67">
        <v>0</v>
      </c>
      <c r="D3719" s="67">
        <v>0</v>
      </c>
      <c r="E3719" s="67">
        <v>83900.41</v>
      </c>
      <c r="F3719" s="67">
        <v>25250</v>
      </c>
      <c r="H3719" s="68">
        <v>40764</v>
      </c>
      <c r="I3719" s="67" t="s">
        <v>148</v>
      </c>
    </row>
    <row r="3720" spans="1:9" x14ac:dyDescent="0.25">
      <c r="B3720" s="67" t="s">
        <v>3136</v>
      </c>
      <c r="C3720" s="67">
        <v>0</v>
      </c>
      <c r="D3720" s="67">
        <v>0</v>
      </c>
      <c r="E3720" s="67">
        <v>83900.45</v>
      </c>
      <c r="H3720" s="67" t="s">
        <v>146</v>
      </c>
    </row>
    <row r="3722" spans="1:9" x14ac:dyDescent="0.25">
      <c r="A3722" s="67" t="s">
        <v>3135</v>
      </c>
      <c r="B3722" s="67" t="s">
        <v>3134</v>
      </c>
      <c r="C3722" s="67">
        <v>0</v>
      </c>
      <c r="D3722" s="67">
        <v>0</v>
      </c>
      <c r="E3722" s="67">
        <v>83900.41</v>
      </c>
      <c r="F3722" s="67">
        <v>25250</v>
      </c>
      <c r="H3722" s="68">
        <v>40764</v>
      </c>
      <c r="I3722" s="67" t="s">
        <v>148</v>
      </c>
    </row>
    <row r="3723" spans="1:9" x14ac:dyDescent="0.25">
      <c r="B3723" s="67" t="s">
        <v>3134</v>
      </c>
      <c r="C3723" s="67">
        <v>0</v>
      </c>
      <c r="D3723" s="67">
        <v>0</v>
      </c>
      <c r="E3723" s="67">
        <v>83900.45</v>
      </c>
      <c r="H3723" s="67" t="s">
        <v>146</v>
      </c>
    </row>
    <row r="3725" spans="1:9" x14ac:dyDescent="0.25">
      <c r="A3725" s="67" t="s">
        <v>3133</v>
      </c>
      <c r="B3725" s="67" t="s">
        <v>3132</v>
      </c>
      <c r="C3725" s="67">
        <v>0</v>
      </c>
      <c r="D3725" s="67">
        <v>0</v>
      </c>
      <c r="E3725" s="67">
        <v>83900.41</v>
      </c>
      <c r="F3725" s="67">
        <v>25250</v>
      </c>
      <c r="H3725" s="68">
        <v>40764</v>
      </c>
      <c r="I3725" s="67" t="s">
        <v>148</v>
      </c>
    </row>
    <row r="3726" spans="1:9" x14ac:dyDescent="0.25">
      <c r="B3726" s="67" t="s">
        <v>3132</v>
      </c>
      <c r="C3726" s="67">
        <v>0</v>
      </c>
      <c r="D3726" s="67">
        <v>0</v>
      </c>
      <c r="E3726" s="67">
        <v>83900.45</v>
      </c>
      <c r="H3726" s="67" t="s">
        <v>146</v>
      </c>
    </row>
    <row r="3728" spans="1:9" x14ac:dyDescent="0.25">
      <c r="A3728" s="67" t="s">
        <v>3131</v>
      </c>
      <c r="B3728" s="67" t="s">
        <v>3130</v>
      </c>
      <c r="C3728" s="67">
        <v>0</v>
      </c>
      <c r="D3728" s="67">
        <v>0</v>
      </c>
      <c r="E3728" s="67">
        <v>83900.41</v>
      </c>
      <c r="F3728" s="67">
        <v>25250</v>
      </c>
      <c r="H3728" s="68">
        <v>40764</v>
      </c>
      <c r="I3728" s="67" t="s">
        <v>148</v>
      </c>
    </row>
    <row r="3729" spans="1:9" x14ac:dyDescent="0.25">
      <c r="B3729" s="67" t="s">
        <v>3130</v>
      </c>
      <c r="C3729" s="67">
        <v>0</v>
      </c>
      <c r="D3729" s="67">
        <v>0</v>
      </c>
      <c r="E3729" s="67">
        <v>83900.45</v>
      </c>
      <c r="H3729" s="67" t="s">
        <v>146</v>
      </c>
    </row>
    <row r="3731" spans="1:9" x14ac:dyDescent="0.25">
      <c r="A3731" s="67" t="s">
        <v>3129</v>
      </c>
      <c r="B3731" s="67" t="s">
        <v>3128</v>
      </c>
      <c r="C3731" s="67">
        <v>0</v>
      </c>
      <c r="D3731" s="67">
        <v>0</v>
      </c>
      <c r="E3731" s="67">
        <v>83900.41</v>
      </c>
      <c r="F3731" s="67">
        <v>25250</v>
      </c>
      <c r="H3731" s="68">
        <v>40764</v>
      </c>
      <c r="I3731" s="67" t="s">
        <v>148</v>
      </c>
    </row>
    <row r="3732" spans="1:9" x14ac:dyDescent="0.25">
      <c r="B3732" s="67" t="s">
        <v>3128</v>
      </c>
      <c r="C3732" s="67">
        <v>0</v>
      </c>
      <c r="D3732" s="67">
        <v>0</v>
      </c>
      <c r="E3732" s="67">
        <v>83900.45</v>
      </c>
      <c r="H3732" s="67" t="s">
        <v>146</v>
      </c>
    </row>
    <row r="3734" spans="1:9" x14ac:dyDescent="0.25">
      <c r="A3734" s="67" t="s">
        <v>3127</v>
      </c>
      <c r="B3734" s="67" t="s">
        <v>3126</v>
      </c>
      <c r="C3734" s="67">
        <v>0</v>
      </c>
      <c r="D3734" s="67">
        <v>0</v>
      </c>
      <c r="E3734" s="67">
        <v>83900.41</v>
      </c>
      <c r="F3734" s="67">
        <v>25250</v>
      </c>
      <c r="H3734" s="68">
        <v>40764</v>
      </c>
      <c r="I3734" s="67" t="s">
        <v>148</v>
      </c>
    </row>
    <row r="3735" spans="1:9" x14ac:dyDescent="0.25">
      <c r="B3735" s="67" t="s">
        <v>3126</v>
      </c>
      <c r="C3735" s="67">
        <v>0</v>
      </c>
      <c r="D3735" s="67">
        <v>0</v>
      </c>
      <c r="E3735" s="67">
        <v>83900.45</v>
      </c>
      <c r="H3735" s="67" t="s">
        <v>146</v>
      </c>
    </row>
    <row r="3736" spans="1:9" x14ac:dyDescent="0.25">
      <c r="A3736" s="67" t="s">
        <v>233</v>
      </c>
    </row>
    <row r="3738" spans="1:9" x14ac:dyDescent="0.25">
      <c r="A3738" s="67" t="s">
        <v>232</v>
      </c>
      <c r="D3738" s="67" t="s">
        <v>231</v>
      </c>
      <c r="H3738" s="67" t="s">
        <v>148</v>
      </c>
      <c r="I3738" s="67" t="s">
        <v>230</v>
      </c>
    </row>
    <row r="3739" spans="1:9" x14ac:dyDescent="0.25">
      <c r="A3739" s="67">
        <v>41.1</v>
      </c>
      <c r="C3739" s="67" t="s">
        <v>215</v>
      </c>
      <c r="D3739" s="67" t="s">
        <v>229</v>
      </c>
      <c r="H3739" s="70">
        <v>44771</v>
      </c>
      <c r="I3739" s="69">
        <v>0.56736111111111109</v>
      </c>
    </row>
    <row r="3740" spans="1:9" x14ac:dyDescent="0.25">
      <c r="A3740" s="67" t="s">
        <v>228</v>
      </c>
      <c r="C3740" s="67" t="s">
        <v>227</v>
      </c>
      <c r="D3740" s="67" t="s">
        <v>226</v>
      </c>
      <c r="E3740" s="67">
        <v>589</v>
      </c>
      <c r="H3740" s="67" t="s">
        <v>225</v>
      </c>
      <c r="I3740" s="67">
        <v>66</v>
      </c>
    </row>
    <row r="3741" spans="1:9" x14ac:dyDescent="0.25">
      <c r="A3741" s="67" t="s">
        <v>884</v>
      </c>
    </row>
    <row r="3742" spans="1:9" x14ac:dyDescent="0.25">
      <c r="A3742" s="67" t="s">
        <v>223</v>
      </c>
      <c r="B3742" s="67" t="s">
        <v>222</v>
      </c>
      <c r="C3742" s="67" t="s">
        <v>221</v>
      </c>
      <c r="D3742" s="67" t="s">
        <v>220</v>
      </c>
      <c r="E3742" s="67" t="s">
        <v>219</v>
      </c>
      <c r="F3742" s="67" t="s">
        <v>217</v>
      </c>
      <c r="G3742" s="67" t="s">
        <v>218</v>
      </c>
      <c r="H3742" s="67" t="s">
        <v>217</v>
      </c>
      <c r="I3742" s="67" t="s">
        <v>216</v>
      </c>
    </row>
    <row r="3743" spans="1:9" x14ac:dyDescent="0.25">
      <c r="A3743" s="67" t="s">
        <v>215</v>
      </c>
      <c r="B3743" s="67" t="s">
        <v>214</v>
      </c>
      <c r="C3743" s="67" t="s">
        <v>213</v>
      </c>
      <c r="D3743" s="67" t="s">
        <v>212</v>
      </c>
      <c r="E3743" s="67" t="s">
        <v>211</v>
      </c>
      <c r="F3743" s="67" t="s">
        <v>210</v>
      </c>
      <c r="G3743" s="67" t="s">
        <v>209</v>
      </c>
      <c r="H3743" s="67" t="s">
        <v>208</v>
      </c>
      <c r="I3743" s="67" t="s">
        <v>207</v>
      </c>
    </row>
    <row r="3744" spans="1:9" x14ac:dyDescent="0.25">
      <c r="A3744" s="67" t="s">
        <v>206</v>
      </c>
      <c r="B3744" s="67" t="s">
        <v>205</v>
      </c>
      <c r="C3744" s="67" t="s">
        <v>204</v>
      </c>
      <c r="D3744" s="67" t="s">
        <v>203</v>
      </c>
      <c r="E3744" s="67" t="s">
        <v>202</v>
      </c>
      <c r="F3744" s="67" t="s">
        <v>201</v>
      </c>
      <c r="G3744" s="67" t="s">
        <v>200</v>
      </c>
      <c r="H3744" s="67" t="s">
        <v>199</v>
      </c>
    </row>
    <row r="3745" spans="1:9" x14ac:dyDescent="0.25">
      <c r="A3745" s="67" t="s">
        <v>3125</v>
      </c>
      <c r="B3745" s="67" t="s">
        <v>3124</v>
      </c>
      <c r="C3745" s="67">
        <v>0</v>
      </c>
      <c r="D3745" s="67">
        <v>0</v>
      </c>
      <c r="E3745" s="67">
        <v>83900.41</v>
      </c>
      <c r="F3745" s="67">
        <v>25250</v>
      </c>
      <c r="H3745" s="68">
        <v>40764</v>
      </c>
      <c r="I3745" s="67" t="s">
        <v>148</v>
      </c>
    </row>
    <row r="3746" spans="1:9" x14ac:dyDescent="0.25">
      <c r="B3746" s="67" t="s">
        <v>3124</v>
      </c>
      <c r="C3746" s="67">
        <v>0</v>
      </c>
      <c r="D3746" s="67">
        <v>0</v>
      </c>
      <c r="E3746" s="67">
        <v>83900.45</v>
      </c>
      <c r="H3746" s="67" t="s">
        <v>146</v>
      </c>
    </row>
    <row r="3748" spans="1:9" x14ac:dyDescent="0.25">
      <c r="A3748" s="67" t="s">
        <v>3123</v>
      </c>
      <c r="B3748" s="67" t="s">
        <v>3122</v>
      </c>
      <c r="C3748" s="67">
        <v>0</v>
      </c>
      <c r="D3748" s="67">
        <v>0</v>
      </c>
      <c r="E3748" s="67">
        <v>83900.41</v>
      </c>
      <c r="F3748" s="67">
        <v>25250</v>
      </c>
      <c r="H3748" s="68">
        <v>40764</v>
      </c>
      <c r="I3748" s="67" t="s">
        <v>148</v>
      </c>
    </row>
    <row r="3749" spans="1:9" x14ac:dyDescent="0.25">
      <c r="B3749" s="67" t="s">
        <v>3122</v>
      </c>
      <c r="C3749" s="67">
        <v>0</v>
      </c>
      <c r="D3749" s="67">
        <v>0</v>
      </c>
      <c r="E3749" s="67">
        <v>83900.45</v>
      </c>
      <c r="H3749" s="67" t="s">
        <v>146</v>
      </c>
    </row>
    <row r="3751" spans="1:9" x14ac:dyDescent="0.25">
      <c r="A3751" s="67" t="s">
        <v>3121</v>
      </c>
      <c r="B3751" s="67" t="s">
        <v>3120</v>
      </c>
      <c r="C3751" s="67">
        <v>0</v>
      </c>
      <c r="D3751" s="67">
        <v>0</v>
      </c>
      <c r="E3751" s="67">
        <v>83900.41</v>
      </c>
      <c r="F3751" s="67">
        <v>25250</v>
      </c>
      <c r="H3751" s="68">
        <v>40764</v>
      </c>
      <c r="I3751" s="67" t="s">
        <v>148</v>
      </c>
    </row>
    <row r="3752" spans="1:9" x14ac:dyDescent="0.25">
      <c r="B3752" s="67" t="s">
        <v>3120</v>
      </c>
      <c r="C3752" s="67">
        <v>0</v>
      </c>
      <c r="D3752" s="67">
        <v>0</v>
      </c>
      <c r="E3752" s="67">
        <v>83900.45</v>
      </c>
      <c r="H3752" s="67" t="s">
        <v>146</v>
      </c>
    </row>
    <row r="3754" spans="1:9" x14ac:dyDescent="0.25">
      <c r="A3754" s="67" t="s">
        <v>3119</v>
      </c>
      <c r="B3754" s="67" t="s">
        <v>3118</v>
      </c>
      <c r="C3754" s="67">
        <v>0</v>
      </c>
      <c r="D3754" s="67">
        <v>0</v>
      </c>
      <c r="E3754" s="67">
        <v>83900.41</v>
      </c>
      <c r="F3754" s="67">
        <v>25250</v>
      </c>
      <c r="H3754" s="68">
        <v>40764</v>
      </c>
      <c r="I3754" s="67" t="s">
        <v>148</v>
      </c>
    </row>
    <row r="3755" spans="1:9" x14ac:dyDescent="0.25">
      <c r="B3755" s="67" t="s">
        <v>3118</v>
      </c>
      <c r="C3755" s="67">
        <v>0</v>
      </c>
      <c r="D3755" s="67">
        <v>0</v>
      </c>
      <c r="E3755" s="67">
        <v>83900.45</v>
      </c>
      <c r="H3755" s="67" t="s">
        <v>146</v>
      </c>
    </row>
    <row r="3757" spans="1:9" x14ac:dyDescent="0.25">
      <c r="A3757" s="67" t="s">
        <v>3117</v>
      </c>
      <c r="B3757" s="67" t="s">
        <v>3116</v>
      </c>
      <c r="C3757" s="67">
        <v>0</v>
      </c>
      <c r="D3757" s="67">
        <v>0</v>
      </c>
      <c r="E3757" s="67">
        <v>83900.41</v>
      </c>
      <c r="F3757" s="67">
        <v>25250</v>
      </c>
      <c r="H3757" s="68">
        <v>40764</v>
      </c>
      <c r="I3757" s="67" t="s">
        <v>148</v>
      </c>
    </row>
    <row r="3758" spans="1:9" x14ac:dyDescent="0.25">
      <c r="B3758" s="67" t="s">
        <v>3116</v>
      </c>
      <c r="C3758" s="67">
        <v>0</v>
      </c>
      <c r="D3758" s="67">
        <v>0</v>
      </c>
      <c r="E3758" s="67">
        <v>83900.45</v>
      </c>
      <c r="H3758" s="67" t="s">
        <v>146</v>
      </c>
    </row>
    <row r="3760" spans="1:9" x14ac:dyDescent="0.25">
      <c r="A3760" s="67" t="s">
        <v>3115</v>
      </c>
      <c r="B3760" s="67" t="s">
        <v>3114</v>
      </c>
      <c r="C3760" s="67">
        <v>0</v>
      </c>
      <c r="D3760" s="67">
        <v>0</v>
      </c>
      <c r="E3760" s="67">
        <v>83900.41</v>
      </c>
      <c r="F3760" s="67">
        <v>25250</v>
      </c>
      <c r="H3760" s="68">
        <v>40764</v>
      </c>
      <c r="I3760" s="67" t="s">
        <v>148</v>
      </c>
    </row>
    <row r="3761" spans="1:9" x14ac:dyDescent="0.25">
      <c r="B3761" s="67" t="s">
        <v>3114</v>
      </c>
      <c r="C3761" s="67">
        <v>0</v>
      </c>
      <c r="D3761" s="67">
        <v>0</v>
      </c>
      <c r="E3761" s="67">
        <v>83900.45</v>
      </c>
      <c r="H3761" s="67" t="s">
        <v>146</v>
      </c>
    </row>
    <row r="3763" spans="1:9" x14ac:dyDescent="0.25">
      <c r="A3763" s="67" t="s">
        <v>3113</v>
      </c>
      <c r="B3763" s="67" t="s">
        <v>3112</v>
      </c>
      <c r="C3763" s="67">
        <v>0</v>
      </c>
      <c r="D3763" s="67">
        <v>0</v>
      </c>
      <c r="E3763" s="67">
        <v>83900.41</v>
      </c>
      <c r="F3763" s="67">
        <v>25250</v>
      </c>
      <c r="H3763" s="68">
        <v>40764</v>
      </c>
      <c r="I3763" s="67" t="s">
        <v>148</v>
      </c>
    </row>
    <row r="3764" spans="1:9" x14ac:dyDescent="0.25">
      <c r="B3764" s="67" t="s">
        <v>3112</v>
      </c>
      <c r="C3764" s="67">
        <v>0</v>
      </c>
      <c r="D3764" s="67">
        <v>0</v>
      </c>
      <c r="E3764" s="67">
        <v>83900.45</v>
      </c>
      <c r="H3764" s="67" t="s">
        <v>146</v>
      </c>
    </row>
    <row r="3766" spans="1:9" x14ac:dyDescent="0.25">
      <c r="A3766" s="67" t="s">
        <v>3111</v>
      </c>
      <c r="B3766" s="67" t="s">
        <v>3110</v>
      </c>
      <c r="C3766" s="67">
        <v>0</v>
      </c>
      <c r="D3766" s="67">
        <v>0</v>
      </c>
      <c r="E3766" s="67">
        <v>83900.41</v>
      </c>
      <c r="F3766" s="67">
        <v>25250</v>
      </c>
      <c r="H3766" s="68">
        <v>40764</v>
      </c>
      <c r="I3766" s="67" t="s">
        <v>148</v>
      </c>
    </row>
    <row r="3767" spans="1:9" x14ac:dyDescent="0.25">
      <c r="B3767" s="67" t="s">
        <v>3110</v>
      </c>
      <c r="C3767" s="67">
        <v>0</v>
      </c>
      <c r="D3767" s="67">
        <v>0</v>
      </c>
      <c r="E3767" s="67">
        <v>83900.45</v>
      </c>
      <c r="H3767" s="67" t="s">
        <v>146</v>
      </c>
    </row>
    <row r="3769" spans="1:9" x14ac:dyDescent="0.25">
      <c r="A3769" s="67" t="s">
        <v>3109</v>
      </c>
      <c r="B3769" s="67" t="s">
        <v>3108</v>
      </c>
      <c r="C3769" s="67">
        <v>0</v>
      </c>
      <c r="D3769" s="67">
        <v>0</v>
      </c>
      <c r="E3769" s="67">
        <v>83900.41</v>
      </c>
      <c r="F3769" s="67">
        <v>25250</v>
      </c>
      <c r="H3769" s="68">
        <v>40764</v>
      </c>
      <c r="I3769" s="67" t="s">
        <v>148</v>
      </c>
    </row>
    <row r="3770" spans="1:9" x14ac:dyDescent="0.25">
      <c r="B3770" s="67" t="s">
        <v>3108</v>
      </c>
      <c r="C3770" s="67">
        <v>0</v>
      </c>
      <c r="D3770" s="67">
        <v>0</v>
      </c>
      <c r="E3770" s="67">
        <v>83900.45</v>
      </c>
      <c r="H3770" s="67" t="s">
        <v>146</v>
      </c>
    </row>
    <row r="3772" spans="1:9" x14ac:dyDescent="0.25">
      <c r="A3772" s="67" t="s">
        <v>3107</v>
      </c>
      <c r="B3772" s="67" t="s">
        <v>3106</v>
      </c>
      <c r="C3772" s="67">
        <v>0</v>
      </c>
      <c r="D3772" s="67">
        <v>0</v>
      </c>
      <c r="E3772" s="67">
        <v>83900.41</v>
      </c>
      <c r="F3772" s="67">
        <v>25250</v>
      </c>
      <c r="H3772" s="68">
        <v>40764</v>
      </c>
      <c r="I3772" s="67" t="s">
        <v>148</v>
      </c>
    </row>
    <row r="3773" spans="1:9" x14ac:dyDescent="0.25">
      <c r="B3773" s="67" t="s">
        <v>3106</v>
      </c>
      <c r="C3773" s="67">
        <v>0</v>
      </c>
      <c r="D3773" s="67">
        <v>0</v>
      </c>
      <c r="E3773" s="67">
        <v>83900.45</v>
      </c>
      <c r="H3773" s="67" t="s">
        <v>146</v>
      </c>
    </row>
    <row r="3775" spans="1:9" x14ac:dyDescent="0.25">
      <c r="A3775" s="67" t="s">
        <v>3105</v>
      </c>
      <c r="B3775" s="67" t="s">
        <v>3104</v>
      </c>
      <c r="C3775" s="67">
        <v>0</v>
      </c>
      <c r="D3775" s="67">
        <v>0</v>
      </c>
      <c r="E3775" s="67">
        <v>83900.41</v>
      </c>
      <c r="F3775" s="67">
        <v>25250</v>
      </c>
      <c r="H3775" s="68">
        <v>40764</v>
      </c>
      <c r="I3775" s="67" t="s">
        <v>148</v>
      </c>
    </row>
    <row r="3776" spans="1:9" x14ac:dyDescent="0.25">
      <c r="B3776" s="67" t="s">
        <v>3104</v>
      </c>
      <c r="C3776" s="67">
        <v>0</v>
      </c>
      <c r="D3776" s="67">
        <v>0</v>
      </c>
      <c r="E3776" s="67">
        <v>83900.45</v>
      </c>
      <c r="H3776" s="67" t="s">
        <v>146</v>
      </c>
    </row>
    <row r="3778" spans="1:9" x14ac:dyDescent="0.25">
      <c r="A3778" s="67" t="s">
        <v>3103</v>
      </c>
      <c r="B3778" s="67" t="s">
        <v>3102</v>
      </c>
      <c r="C3778" s="67">
        <v>0</v>
      </c>
      <c r="D3778" s="67">
        <v>0</v>
      </c>
      <c r="E3778" s="67">
        <v>83900.41</v>
      </c>
      <c r="F3778" s="67">
        <v>25250</v>
      </c>
      <c r="H3778" s="68">
        <v>40764</v>
      </c>
      <c r="I3778" s="67" t="s">
        <v>148</v>
      </c>
    </row>
    <row r="3779" spans="1:9" x14ac:dyDescent="0.25">
      <c r="B3779" s="67" t="s">
        <v>3102</v>
      </c>
      <c r="C3779" s="67">
        <v>0</v>
      </c>
      <c r="D3779" s="67">
        <v>0</v>
      </c>
      <c r="E3779" s="67">
        <v>83900.45</v>
      </c>
      <c r="H3779" s="67" t="s">
        <v>146</v>
      </c>
    </row>
    <row r="3781" spans="1:9" x14ac:dyDescent="0.25">
      <c r="A3781" s="67" t="s">
        <v>3101</v>
      </c>
      <c r="B3781" s="67" t="s">
        <v>3100</v>
      </c>
      <c r="C3781" s="67">
        <v>0</v>
      </c>
      <c r="D3781" s="67">
        <v>0</v>
      </c>
      <c r="E3781" s="67">
        <v>83900.41</v>
      </c>
      <c r="F3781" s="67">
        <v>25250</v>
      </c>
      <c r="H3781" s="68">
        <v>40764</v>
      </c>
      <c r="I3781" s="67" t="s">
        <v>148</v>
      </c>
    </row>
    <row r="3782" spans="1:9" x14ac:dyDescent="0.25">
      <c r="B3782" s="67" t="s">
        <v>3100</v>
      </c>
      <c r="C3782" s="67">
        <v>0</v>
      </c>
      <c r="D3782" s="67">
        <v>0</v>
      </c>
      <c r="E3782" s="67">
        <v>83900.45</v>
      </c>
      <c r="H3782" s="67" t="s">
        <v>146</v>
      </c>
    </row>
    <row r="3784" spans="1:9" x14ac:dyDescent="0.25">
      <c r="A3784" s="67" t="s">
        <v>3099</v>
      </c>
      <c r="B3784" s="67" t="s">
        <v>3098</v>
      </c>
      <c r="C3784" s="67">
        <v>0</v>
      </c>
      <c r="D3784" s="67">
        <v>0</v>
      </c>
      <c r="E3784" s="67">
        <v>83900.41</v>
      </c>
      <c r="F3784" s="67">
        <v>25250</v>
      </c>
      <c r="H3784" s="68">
        <v>40764</v>
      </c>
      <c r="I3784" s="67" t="s">
        <v>148</v>
      </c>
    </row>
    <row r="3785" spans="1:9" x14ac:dyDescent="0.25">
      <c r="B3785" s="67" t="s">
        <v>3098</v>
      </c>
      <c r="C3785" s="67">
        <v>0</v>
      </c>
      <c r="D3785" s="67">
        <v>0</v>
      </c>
      <c r="E3785" s="67">
        <v>83900.45</v>
      </c>
      <c r="H3785" s="67" t="s">
        <v>146</v>
      </c>
    </row>
    <row r="3787" spans="1:9" x14ac:dyDescent="0.25">
      <c r="A3787" s="67" t="s">
        <v>3097</v>
      </c>
      <c r="B3787" s="67" t="s">
        <v>3096</v>
      </c>
      <c r="C3787" s="67">
        <v>0</v>
      </c>
      <c r="D3787" s="67">
        <v>0</v>
      </c>
      <c r="E3787" s="67">
        <v>83900.41</v>
      </c>
      <c r="F3787" s="67">
        <v>25250</v>
      </c>
      <c r="H3787" s="68">
        <v>40764</v>
      </c>
      <c r="I3787" s="67" t="s">
        <v>148</v>
      </c>
    </row>
    <row r="3788" spans="1:9" x14ac:dyDescent="0.25">
      <c r="B3788" s="67" t="s">
        <v>3096</v>
      </c>
      <c r="C3788" s="67">
        <v>0</v>
      </c>
      <c r="D3788" s="67">
        <v>0</v>
      </c>
      <c r="E3788" s="67">
        <v>83900.45</v>
      </c>
      <c r="H3788" s="67" t="s">
        <v>146</v>
      </c>
    </row>
    <row r="3790" spans="1:9" x14ac:dyDescent="0.25">
      <c r="A3790" s="67" t="s">
        <v>3095</v>
      </c>
      <c r="B3790" s="67" t="s">
        <v>3094</v>
      </c>
      <c r="C3790" s="67">
        <v>0</v>
      </c>
      <c r="D3790" s="67">
        <v>0</v>
      </c>
      <c r="E3790" s="67">
        <v>83900.41</v>
      </c>
      <c r="F3790" s="67">
        <v>25250</v>
      </c>
      <c r="H3790" s="68">
        <v>40764</v>
      </c>
      <c r="I3790" s="67" t="s">
        <v>148</v>
      </c>
    </row>
    <row r="3791" spans="1:9" x14ac:dyDescent="0.25">
      <c r="B3791" s="67" t="s">
        <v>3094</v>
      </c>
      <c r="C3791" s="67">
        <v>0</v>
      </c>
      <c r="D3791" s="67">
        <v>0</v>
      </c>
      <c r="E3791" s="67">
        <v>83900.45</v>
      </c>
      <c r="H3791" s="67" t="s">
        <v>146</v>
      </c>
    </row>
    <row r="3793" spans="1:9" x14ac:dyDescent="0.25">
      <c r="A3793" s="67" t="s">
        <v>3093</v>
      </c>
      <c r="B3793" s="67" t="s">
        <v>3092</v>
      </c>
      <c r="C3793" s="67">
        <v>0</v>
      </c>
      <c r="D3793" s="67">
        <v>0</v>
      </c>
      <c r="E3793" s="67">
        <v>83900.41</v>
      </c>
      <c r="F3793" s="67">
        <v>25250</v>
      </c>
      <c r="H3793" s="68">
        <v>40764</v>
      </c>
      <c r="I3793" s="67" t="s">
        <v>148</v>
      </c>
    </row>
    <row r="3794" spans="1:9" x14ac:dyDescent="0.25">
      <c r="B3794" s="67" t="s">
        <v>3092</v>
      </c>
      <c r="C3794" s="67">
        <v>0</v>
      </c>
      <c r="D3794" s="67">
        <v>0</v>
      </c>
      <c r="E3794" s="67">
        <v>83900.45</v>
      </c>
      <c r="H3794" s="67" t="s">
        <v>146</v>
      </c>
    </row>
    <row r="3795" spans="1:9" x14ac:dyDescent="0.25">
      <c r="A3795" s="67" t="s">
        <v>233</v>
      </c>
    </row>
    <row r="3797" spans="1:9" x14ac:dyDescent="0.25">
      <c r="A3797" s="67" t="s">
        <v>232</v>
      </c>
      <c r="D3797" s="67" t="s">
        <v>231</v>
      </c>
      <c r="H3797" s="67" t="s">
        <v>148</v>
      </c>
      <c r="I3797" s="67" t="s">
        <v>230</v>
      </c>
    </row>
    <row r="3798" spans="1:9" x14ac:dyDescent="0.25">
      <c r="A3798" s="67">
        <v>41.1</v>
      </c>
      <c r="C3798" s="67" t="s">
        <v>215</v>
      </c>
      <c r="D3798" s="67" t="s">
        <v>229</v>
      </c>
      <c r="H3798" s="70">
        <v>44771</v>
      </c>
      <c r="I3798" s="69">
        <v>0.56736111111111109</v>
      </c>
    </row>
    <row r="3799" spans="1:9" x14ac:dyDescent="0.25">
      <c r="A3799" s="67" t="s">
        <v>228</v>
      </c>
      <c r="C3799" s="67" t="s">
        <v>227</v>
      </c>
      <c r="D3799" s="67" t="s">
        <v>226</v>
      </c>
      <c r="E3799" s="67">
        <v>589</v>
      </c>
      <c r="H3799" s="67" t="s">
        <v>225</v>
      </c>
      <c r="I3799" s="67">
        <v>67</v>
      </c>
    </row>
    <row r="3800" spans="1:9" x14ac:dyDescent="0.25">
      <c r="A3800" s="67" t="s">
        <v>884</v>
      </c>
    </row>
    <row r="3801" spans="1:9" x14ac:dyDescent="0.25">
      <c r="A3801" s="67" t="s">
        <v>223</v>
      </c>
      <c r="B3801" s="67" t="s">
        <v>222</v>
      </c>
      <c r="C3801" s="67" t="s">
        <v>221</v>
      </c>
      <c r="D3801" s="67" t="s">
        <v>220</v>
      </c>
      <c r="E3801" s="67" t="s">
        <v>219</v>
      </c>
      <c r="F3801" s="67" t="s">
        <v>217</v>
      </c>
      <c r="G3801" s="67" t="s">
        <v>218</v>
      </c>
      <c r="H3801" s="67" t="s">
        <v>217</v>
      </c>
      <c r="I3801" s="67" t="s">
        <v>216</v>
      </c>
    </row>
    <row r="3802" spans="1:9" x14ac:dyDescent="0.25">
      <c r="A3802" s="67" t="s">
        <v>215</v>
      </c>
      <c r="B3802" s="67" t="s">
        <v>214</v>
      </c>
      <c r="C3802" s="67" t="s">
        <v>213</v>
      </c>
      <c r="D3802" s="67" t="s">
        <v>212</v>
      </c>
      <c r="E3802" s="67" t="s">
        <v>211</v>
      </c>
      <c r="F3802" s="67" t="s">
        <v>210</v>
      </c>
      <c r="G3802" s="67" t="s">
        <v>209</v>
      </c>
      <c r="H3802" s="67" t="s">
        <v>208</v>
      </c>
      <c r="I3802" s="67" t="s">
        <v>207</v>
      </c>
    </row>
    <row r="3803" spans="1:9" x14ac:dyDescent="0.25">
      <c r="A3803" s="67" t="s">
        <v>206</v>
      </c>
      <c r="B3803" s="67" t="s">
        <v>205</v>
      </c>
      <c r="C3803" s="67" t="s">
        <v>204</v>
      </c>
      <c r="D3803" s="67" t="s">
        <v>203</v>
      </c>
      <c r="E3803" s="67" t="s">
        <v>202</v>
      </c>
      <c r="F3803" s="67" t="s">
        <v>201</v>
      </c>
      <c r="G3803" s="67" t="s">
        <v>200</v>
      </c>
      <c r="H3803" s="67" t="s">
        <v>199</v>
      </c>
    </row>
    <row r="3804" spans="1:9" x14ac:dyDescent="0.25">
      <c r="A3804" s="67" t="s">
        <v>3091</v>
      </c>
      <c r="B3804" s="67" t="s">
        <v>3090</v>
      </c>
      <c r="C3804" s="67">
        <v>0</v>
      </c>
      <c r="D3804" s="67">
        <v>0</v>
      </c>
      <c r="E3804" s="67">
        <v>83900.41</v>
      </c>
      <c r="F3804" s="67">
        <v>25250</v>
      </c>
      <c r="H3804" s="68">
        <v>40764</v>
      </c>
      <c r="I3804" s="67" t="s">
        <v>148</v>
      </c>
    </row>
    <row r="3805" spans="1:9" x14ac:dyDescent="0.25">
      <c r="B3805" s="67" t="s">
        <v>3090</v>
      </c>
      <c r="C3805" s="67">
        <v>0</v>
      </c>
      <c r="D3805" s="67">
        <v>0</v>
      </c>
      <c r="E3805" s="67">
        <v>83900.45</v>
      </c>
      <c r="H3805" s="67" t="s">
        <v>146</v>
      </c>
    </row>
    <row r="3807" spans="1:9" x14ac:dyDescent="0.25">
      <c r="A3807" s="67" t="s">
        <v>3089</v>
      </c>
      <c r="B3807" s="67" t="s">
        <v>3088</v>
      </c>
      <c r="C3807" s="67">
        <v>0</v>
      </c>
      <c r="D3807" s="67">
        <v>0</v>
      </c>
      <c r="E3807" s="67">
        <v>83900.41</v>
      </c>
      <c r="F3807" s="67">
        <v>25250</v>
      </c>
      <c r="H3807" s="68">
        <v>40764</v>
      </c>
      <c r="I3807" s="67" t="s">
        <v>148</v>
      </c>
    </row>
    <row r="3808" spans="1:9" x14ac:dyDescent="0.25">
      <c r="B3808" s="67" t="s">
        <v>3088</v>
      </c>
      <c r="C3808" s="67">
        <v>0</v>
      </c>
      <c r="D3808" s="67">
        <v>0</v>
      </c>
      <c r="E3808" s="67">
        <v>83900.45</v>
      </c>
      <c r="H3808" s="67" t="s">
        <v>146</v>
      </c>
    </row>
    <row r="3810" spans="1:9" x14ac:dyDescent="0.25">
      <c r="A3810" s="67" t="s">
        <v>3087</v>
      </c>
      <c r="B3810" s="67" t="s">
        <v>3086</v>
      </c>
      <c r="C3810" s="67">
        <v>0</v>
      </c>
      <c r="D3810" s="67">
        <v>0</v>
      </c>
      <c r="E3810" s="67">
        <v>83900.41</v>
      </c>
      <c r="F3810" s="67">
        <v>25250</v>
      </c>
      <c r="H3810" s="68">
        <v>40764</v>
      </c>
      <c r="I3810" s="67" t="s">
        <v>148</v>
      </c>
    </row>
    <row r="3811" spans="1:9" x14ac:dyDescent="0.25">
      <c r="B3811" s="67" t="s">
        <v>3086</v>
      </c>
      <c r="C3811" s="67">
        <v>0</v>
      </c>
      <c r="D3811" s="67">
        <v>0</v>
      </c>
      <c r="E3811" s="67">
        <v>83900.45</v>
      </c>
      <c r="H3811" s="67" t="s">
        <v>146</v>
      </c>
    </row>
    <row r="3813" spans="1:9" x14ac:dyDescent="0.25">
      <c r="A3813" s="67" t="s">
        <v>3085</v>
      </c>
      <c r="B3813" s="67" t="s">
        <v>3084</v>
      </c>
      <c r="C3813" s="67">
        <v>0</v>
      </c>
      <c r="D3813" s="67">
        <v>0</v>
      </c>
      <c r="E3813" s="67">
        <v>83900.41</v>
      </c>
      <c r="F3813" s="67">
        <v>25250</v>
      </c>
      <c r="H3813" s="68">
        <v>40764</v>
      </c>
      <c r="I3813" s="67" t="s">
        <v>148</v>
      </c>
    </row>
    <row r="3814" spans="1:9" x14ac:dyDescent="0.25">
      <c r="B3814" s="67" t="s">
        <v>3084</v>
      </c>
      <c r="C3814" s="67">
        <v>0</v>
      </c>
      <c r="D3814" s="67">
        <v>0</v>
      </c>
      <c r="E3814" s="67">
        <v>83900.45</v>
      </c>
      <c r="H3814" s="67" t="s">
        <v>146</v>
      </c>
    </row>
    <row r="3816" spans="1:9" x14ac:dyDescent="0.25">
      <c r="A3816" s="67" t="s">
        <v>3083</v>
      </c>
      <c r="B3816" s="67" t="s">
        <v>3082</v>
      </c>
      <c r="C3816" s="67">
        <v>0</v>
      </c>
      <c r="D3816" s="67">
        <v>0</v>
      </c>
      <c r="E3816" s="67">
        <v>83900.41</v>
      </c>
      <c r="F3816" s="67">
        <v>25250</v>
      </c>
      <c r="H3816" s="68">
        <v>40764</v>
      </c>
      <c r="I3816" s="67" t="s">
        <v>148</v>
      </c>
    </row>
    <row r="3817" spans="1:9" x14ac:dyDescent="0.25">
      <c r="B3817" s="67" t="s">
        <v>3082</v>
      </c>
      <c r="C3817" s="67">
        <v>0</v>
      </c>
      <c r="D3817" s="67">
        <v>0</v>
      </c>
      <c r="E3817" s="67">
        <v>83900.45</v>
      </c>
      <c r="H3817" s="67" t="s">
        <v>146</v>
      </c>
    </row>
    <row r="3819" spans="1:9" x14ac:dyDescent="0.25">
      <c r="A3819" s="67" t="s">
        <v>3081</v>
      </c>
      <c r="B3819" s="67" t="s">
        <v>3080</v>
      </c>
      <c r="C3819" s="67">
        <v>0</v>
      </c>
      <c r="D3819" s="67">
        <v>0</v>
      </c>
      <c r="E3819" s="67">
        <v>83900.41</v>
      </c>
      <c r="F3819" s="67">
        <v>25250</v>
      </c>
      <c r="H3819" s="68">
        <v>40764</v>
      </c>
      <c r="I3819" s="67" t="s">
        <v>148</v>
      </c>
    </row>
    <row r="3820" spans="1:9" x14ac:dyDescent="0.25">
      <c r="B3820" s="67" t="s">
        <v>3080</v>
      </c>
      <c r="C3820" s="67">
        <v>0</v>
      </c>
      <c r="D3820" s="67">
        <v>0</v>
      </c>
      <c r="E3820" s="67">
        <v>83900.45</v>
      </c>
      <c r="H3820" s="67" t="s">
        <v>146</v>
      </c>
    </row>
    <row r="3822" spans="1:9" x14ac:dyDescent="0.25">
      <c r="A3822" s="67" t="s">
        <v>3079</v>
      </c>
      <c r="B3822" s="67" t="s">
        <v>3078</v>
      </c>
      <c r="C3822" s="67">
        <v>0</v>
      </c>
      <c r="D3822" s="67">
        <v>0</v>
      </c>
      <c r="E3822" s="67">
        <v>83900.41</v>
      </c>
      <c r="F3822" s="67">
        <v>25250</v>
      </c>
      <c r="H3822" s="68">
        <v>40764</v>
      </c>
      <c r="I3822" s="67" t="s">
        <v>148</v>
      </c>
    </row>
    <row r="3823" spans="1:9" x14ac:dyDescent="0.25">
      <c r="B3823" s="67" t="s">
        <v>3078</v>
      </c>
      <c r="C3823" s="67">
        <v>0</v>
      </c>
      <c r="D3823" s="67">
        <v>0</v>
      </c>
      <c r="E3823" s="67">
        <v>83900.45</v>
      </c>
      <c r="H3823" s="67" t="s">
        <v>146</v>
      </c>
    </row>
    <row r="3825" spans="1:9" x14ac:dyDescent="0.25">
      <c r="A3825" s="67" t="s">
        <v>3077</v>
      </c>
      <c r="B3825" s="67" t="s">
        <v>3076</v>
      </c>
      <c r="C3825" s="67">
        <v>0</v>
      </c>
      <c r="D3825" s="67">
        <v>0</v>
      </c>
      <c r="E3825" s="67">
        <v>83900.41</v>
      </c>
      <c r="F3825" s="67">
        <v>25250</v>
      </c>
      <c r="H3825" s="68">
        <v>40764</v>
      </c>
      <c r="I3825" s="67" t="s">
        <v>148</v>
      </c>
    </row>
    <row r="3826" spans="1:9" x14ac:dyDescent="0.25">
      <c r="B3826" s="67" t="s">
        <v>3076</v>
      </c>
      <c r="C3826" s="67">
        <v>0</v>
      </c>
      <c r="D3826" s="67">
        <v>0</v>
      </c>
      <c r="E3826" s="67">
        <v>83900.45</v>
      </c>
      <c r="H3826" s="67" t="s">
        <v>146</v>
      </c>
    </row>
    <row r="3828" spans="1:9" x14ac:dyDescent="0.25">
      <c r="A3828" s="67" t="s">
        <v>3075</v>
      </c>
      <c r="B3828" s="67" t="s">
        <v>3074</v>
      </c>
      <c r="C3828" s="67">
        <v>0</v>
      </c>
      <c r="D3828" s="67">
        <v>0</v>
      </c>
      <c r="E3828" s="67">
        <v>83900.41</v>
      </c>
      <c r="F3828" s="67">
        <v>25250</v>
      </c>
      <c r="H3828" s="68">
        <v>40764</v>
      </c>
      <c r="I3828" s="67" t="s">
        <v>148</v>
      </c>
    </row>
    <row r="3829" spans="1:9" x14ac:dyDescent="0.25">
      <c r="B3829" s="67" t="s">
        <v>3074</v>
      </c>
      <c r="C3829" s="67">
        <v>0</v>
      </c>
      <c r="D3829" s="67">
        <v>0</v>
      </c>
      <c r="E3829" s="67">
        <v>83900.45</v>
      </c>
      <c r="H3829" s="67" t="s">
        <v>146</v>
      </c>
    </row>
    <row r="3831" spans="1:9" x14ac:dyDescent="0.25">
      <c r="A3831" s="67" t="s">
        <v>3073</v>
      </c>
      <c r="B3831" s="67" t="s">
        <v>3072</v>
      </c>
      <c r="C3831" s="67">
        <v>0</v>
      </c>
      <c r="D3831" s="67">
        <v>0</v>
      </c>
      <c r="E3831" s="67">
        <v>83900.41</v>
      </c>
      <c r="F3831" s="67">
        <v>25250</v>
      </c>
      <c r="H3831" s="68">
        <v>40764</v>
      </c>
      <c r="I3831" s="67" t="s">
        <v>148</v>
      </c>
    </row>
    <row r="3832" spans="1:9" x14ac:dyDescent="0.25">
      <c r="B3832" s="67" t="s">
        <v>3072</v>
      </c>
      <c r="C3832" s="67">
        <v>0</v>
      </c>
      <c r="D3832" s="67">
        <v>0</v>
      </c>
      <c r="E3832" s="67">
        <v>83900.45</v>
      </c>
      <c r="H3832" s="67" t="s">
        <v>146</v>
      </c>
    </row>
    <row r="3834" spans="1:9" x14ac:dyDescent="0.25">
      <c r="A3834" s="67" t="s">
        <v>3071</v>
      </c>
      <c r="B3834" s="67" t="s">
        <v>3070</v>
      </c>
      <c r="C3834" s="67">
        <v>0</v>
      </c>
      <c r="D3834" s="67">
        <v>0</v>
      </c>
      <c r="E3834" s="67">
        <v>83900.41</v>
      </c>
      <c r="F3834" s="67">
        <v>25250</v>
      </c>
      <c r="H3834" s="68">
        <v>40764</v>
      </c>
      <c r="I3834" s="67" t="s">
        <v>148</v>
      </c>
    </row>
    <row r="3835" spans="1:9" x14ac:dyDescent="0.25">
      <c r="B3835" s="67" t="s">
        <v>3070</v>
      </c>
      <c r="C3835" s="67">
        <v>0</v>
      </c>
      <c r="D3835" s="67">
        <v>0</v>
      </c>
      <c r="E3835" s="67">
        <v>83900.45</v>
      </c>
      <c r="H3835" s="67" t="s">
        <v>146</v>
      </c>
    </row>
    <row r="3837" spans="1:9" x14ac:dyDescent="0.25">
      <c r="A3837" s="67" t="s">
        <v>3069</v>
      </c>
      <c r="B3837" s="67" t="s">
        <v>3068</v>
      </c>
      <c r="C3837" s="67">
        <v>0</v>
      </c>
      <c r="D3837" s="67">
        <v>0</v>
      </c>
      <c r="E3837" s="67">
        <v>83900.41</v>
      </c>
      <c r="F3837" s="67">
        <v>25250</v>
      </c>
      <c r="H3837" s="68">
        <v>40764</v>
      </c>
      <c r="I3837" s="67" t="s">
        <v>148</v>
      </c>
    </row>
    <row r="3838" spans="1:9" x14ac:dyDescent="0.25">
      <c r="B3838" s="67" t="s">
        <v>3068</v>
      </c>
      <c r="C3838" s="67">
        <v>0</v>
      </c>
      <c r="D3838" s="67">
        <v>0</v>
      </c>
      <c r="E3838" s="67">
        <v>83900.45</v>
      </c>
      <c r="H3838" s="67" t="s">
        <v>146</v>
      </c>
    </row>
    <row r="3840" spans="1:9" x14ac:dyDescent="0.25">
      <c r="A3840" s="67" t="s">
        <v>3067</v>
      </c>
      <c r="B3840" s="67" t="s">
        <v>3066</v>
      </c>
      <c r="C3840" s="67">
        <v>0</v>
      </c>
      <c r="D3840" s="67">
        <v>0</v>
      </c>
      <c r="E3840" s="67">
        <v>83900.41</v>
      </c>
      <c r="F3840" s="67">
        <v>25250</v>
      </c>
      <c r="H3840" s="68">
        <v>40764</v>
      </c>
      <c r="I3840" s="67" t="s">
        <v>148</v>
      </c>
    </row>
    <row r="3841" spans="1:9" x14ac:dyDescent="0.25">
      <c r="B3841" s="67" t="s">
        <v>3066</v>
      </c>
      <c r="C3841" s="67">
        <v>0</v>
      </c>
      <c r="D3841" s="67">
        <v>0</v>
      </c>
      <c r="E3841" s="67">
        <v>83900.45</v>
      </c>
      <c r="H3841" s="67" t="s">
        <v>146</v>
      </c>
    </row>
    <row r="3843" spans="1:9" x14ac:dyDescent="0.25">
      <c r="A3843" s="67" t="s">
        <v>3065</v>
      </c>
      <c r="B3843" s="67" t="s">
        <v>3064</v>
      </c>
      <c r="C3843" s="67">
        <v>0</v>
      </c>
      <c r="D3843" s="67">
        <v>0</v>
      </c>
      <c r="E3843" s="67">
        <v>83900.41</v>
      </c>
      <c r="F3843" s="67">
        <v>25250</v>
      </c>
      <c r="H3843" s="68">
        <v>40764</v>
      </c>
      <c r="I3843" s="67" t="s">
        <v>148</v>
      </c>
    </row>
    <row r="3844" spans="1:9" x14ac:dyDescent="0.25">
      <c r="B3844" s="67" t="s">
        <v>3064</v>
      </c>
      <c r="C3844" s="67">
        <v>0</v>
      </c>
      <c r="D3844" s="67">
        <v>0</v>
      </c>
      <c r="E3844" s="67">
        <v>83900.45</v>
      </c>
      <c r="H3844" s="67" t="s">
        <v>146</v>
      </c>
    </row>
    <row r="3846" spans="1:9" x14ac:dyDescent="0.25">
      <c r="A3846" s="67" t="s">
        <v>3063</v>
      </c>
      <c r="B3846" s="67" t="s">
        <v>3062</v>
      </c>
      <c r="C3846" s="67">
        <v>0</v>
      </c>
      <c r="D3846" s="67">
        <v>0</v>
      </c>
      <c r="E3846" s="67">
        <v>83900.41</v>
      </c>
      <c r="F3846" s="67">
        <v>25250</v>
      </c>
      <c r="H3846" s="68">
        <v>40764</v>
      </c>
      <c r="I3846" s="67" t="s">
        <v>148</v>
      </c>
    </row>
    <row r="3847" spans="1:9" x14ac:dyDescent="0.25">
      <c r="B3847" s="67" t="s">
        <v>3062</v>
      </c>
      <c r="C3847" s="67">
        <v>0</v>
      </c>
      <c r="D3847" s="67">
        <v>0</v>
      </c>
      <c r="E3847" s="67">
        <v>83900.45</v>
      </c>
      <c r="H3847" s="67" t="s">
        <v>146</v>
      </c>
    </row>
    <row r="3849" spans="1:9" x14ac:dyDescent="0.25">
      <c r="A3849" s="67" t="s">
        <v>3061</v>
      </c>
      <c r="B3849" s="67" t="s">
        <v>3060</v>
      </c>
      <c r="C3849" s="67">
        <v>0</v>
      </c>
      <c r="D3849" s="67">
        <v>0</v>
      </c>
      <c r="E3849" s="67">
        <v>83900.41</v>
      </c>
      <c r="F3849" s="67">
        <v>25250</v>
      </c>
      <c r="H3849" s="68">
        <v>40764</v>
      </c>
      <c r="I3849" s="67" t="s">
        <v>148</v>
      </c>
    </row>
    <row r="3850" spans="1:9" x14ac:dyDescent="0.25">
      <c r="B3850" s="67" t="s">
        <v>3060</v>
      </c>
      <c r="C3850" s="67">
        <v>0</v>
      </c>
      <c r="D3850" s="67">
        <v>0</v>
      </c>
      <c r="E3850" s="67">
        <v>83900.45</v>
      </c>
      <c r="H3850" s="67" t="s">
        <v>146</v>
      </c>
    </row>
    <row r="3852" spans="1:9" x14ac:dyDescent="0.25">
      <c r="A3852" s="67" t="s">
        <v>3059</v>
      </c>
      <c r="B3852" s="67" t="s">
        <v>3058</v>
      </c>
      <c r="C3852" s="67">
        <v>0</v>
      </c>
      <c r="D3852" s="67">
        <v>0</v>
      </c>
      <c r="E3852" s="67">
        <v>83900.41</v>
      </c>
      <c r="F3852" s="67">
        <v>25250</v>
      </c>
      <c r="H3852" s="68">
        <v>40764</v>
      </c>
      <c r="I3852" s="67" t="s">
        <v>148</v>
      </c>
    </row>
    <row r="3853" spans="1:9" x14ac:dyDescent="0.25">
      <c r="B3853" s="67" t="s">
        <v>3058</v>
      </c>
      <c r="C3853" s="67">
        <v>0</v>
      </c>
      <c r="D3853" s="67">
        <v>0</v>
      </c>
      <c r="E3853" s="67">
        <v>83900.45</v>
      </c>
      <c r="H3853" s="67" t="s">
        <v>146</v>
      </c>
    </row>
    <row r="3854" spans="1:9" x14ac:dyDescent="0.25">
      <c r="A3854" s="67" t="s">
        <v>233</v>
      </c>
    </row>
    <row r="3856" spans="1:9" x14ac:dyDescent="0.25">
      <c r="A3856" s="67" t="s">
        <v>232</v>
      </c>
      <c r="D3856" s="67" t="s">
        <v>231</v>
      </c>
      <c r="H3856" s="67" t="s">
        <v>148</v>
      </c>
      <c r="I3856" s="67" t="s">
        <v>230</v>
      </c>
    </row>
    <row r="3857" spans="1:9" x14ac:dyDescent="0.25">
      <c r="A3857" s="67">
        <v>41.1</v>
      </c>
      <c r="C3857" s="67" t="s">
        <v>215</v>
      </c>
      <c r="D3857" s="67" t="s">
        <v>229</v>
      </c>
      <c r="H3857" s="70">
        <v>44771</v>
      </c>
      <c r="I3857" s="69">
        <v>0.56736111111111109</v>
      </c>
    </row>
    <row r="3858" spans="1:9" x14ac:dyDescent="0.25">
      <c r="A3858" s="67" t="s">
        <v>228</v>
      </c>
      <c r="C3858" s="67" t="s">
        <v>227</v>
      </c>
      <c r="D3858" s="67" t="s">
        <v>226</v>
      </c>
      <c r="E3858" s="67">
        <v>589</v>
      </c>
      <c r="H3858" s="67" t="s">
        <v>225</v>
      </c>
      <c r="I3858" s="67">
        <v>68</v>
      </c>
    </row>
    <row r="3859" spans="1:9" x14ac:dyDescent="0.25">
      <c r="A3859" s="67" t="s">
        <v>884</v>
      </c>
    </row>
    <row r="3860" spans="1:9" x14ac:dyDescent="0.25">
      <c r="A3860" s="67" t="s">
        <v>223</v>
      </c>
      <c r="B3860" s="67" t="s">
        <v>222</v>
      </c>
      <c r="C3860" s="67" t="s">
        <v>221</v>
      </c>
      <c r="D3860" s="67" t="s">
        <v>220</v>
      </c>
      <c r="E3860" s="67" t="s">
        <v>219</v>
      </c>
      <c r="F3860" s="67" t="s">
        <v>217</v>
      </c>
      <c r="G3860" s="67" t="s">
        <v>218</v>
      </c>
      <c r="H3860" s="67" t="s">
        <v>217</v>
      </c>
      <c r="I3860" s="67" t="s">
        <v>216</v>
      </c>
    </row>
    <row r="3861" spans="1:9" x14ac:dyDescent="0.25">
      <c r="A3861" s="67" t="s">
        <v>215</v>
      </c>
      <c r="B3861" s="67" t="s">
        <v>214</v>
      </c>
      <c r="C3861" s="67" t="s">
        <v>213</v>
      </c>
      <c r="D3861" s="67" t="s">
        <v>212</v>
      </c>
      <c r="E3861" s="67" t="s">
        <v>211</v>
      </c>
      <c r="F3861" s="67" t="s">
        <v>210</v>
      </c>
      <c r="G3861" s="67" t="s">
        <v>209</v>
      </c>
      <c r="H3861" s="67" t="s">
        <v>208</v>
      </c>
      <c r="I3861" s="67" t="s">
        <v>207</v>
      </c>
    </row>
    <row r="3862" spans="1:9" x14ac:dyDescent="0.25">
      <c r="A3862" s="67" t="s">
        <v>206</v>
      </c>
      <c r="B3862" s="67" t="s">
        <v>205</v>
      </c>
      <c r="C3862" s="67" t="s">
        <v>204</v>
      </c>
      <c r="D3862" s="67" t="s">
        <v>203</v>
      </c>
      <c r="E3862" s="67" t="s">
        <v>202</v>
      </c>
      <c r="F3862" s="67" t="s">
        <v>201</v>
      </c>
      <c r="G3862" s="67" t="s">
        <v>200</v>
      </c>
      <c r="H3862" s="67" t="s">
        <v>199</v>
      </c>
    </row>
    <row r="3863" spans="1:9" x14ac:dyDescent="0.25">
      <c r="A3863" s="67" t="s">
        <v>3057</v>
      </c>
      <c r="B3863" s="67" t="s">
        <v>3056</v>
      </c>
      <c r="C3863" s="67">
        <v>0</v>
      </c>
      <c r="D3863" s="67">
        <v>0</v>
      </c>
      <c r="E3863" s="67">
        <v>83900.41</v>
      </c>
      <c r="F3863" s="67">
        <v>25250</v>
      </c>
      <c r="H3863" s="68">
        <v>40764</v>
      </c>
      <c r="I3863" s="67" t="s">
        <v>148</v>
      </c>
    </row>
    <row r="3864" spans="1:9" x14ac:dyDescent="0.25">
      <c r="B3864" s="67" t="s">
        <v>3056</v>
      </c>
      <c r="C3864" s="67">
        <v>0</v>
      </c>
      <c r="D3864" s="67">
        <v>0</v>
      </c>
      <c r="E3864" s="67">
        <v>83900.45</v>
      </c>
      <c r="H3864" s="67" t="s">
        <v>146</v>
      </c>
    </row>
    <row r="3866" spans="1:9" x14ac:dyDescent="0.25">
      <c r="A3866" s="67" t="s">
        <v>3055</v>
      </c>
      <c r="B3866" s="67" t="s">
        <v>3054</v>
      </c>
      <c r="C3866" s="67">
        <v>0</v>
      </c>
      <c r="D3866" s="67">
        <v>0</v>
      </c>
      <c r="E3866" s="67">
        <v>83900.41</v>
      </c>
      <c r="F3866" s="67">
        <v>25250</v>
      </c>
      <c r="H3866" s="68">
        <v>40764</v>
      </c>
      <c r="I3866" s="67" t="s">
        <v>148</v>
      </c>
    </row>
    <row r="3867" spans="1:9" x14ac:dyDescent="0.25">
      <c r="B3867" s="67" t="s">
        <v>3054</v>
      </c>
      <c r="C3867" s="67">
        <v>0</v>
      </c>
      <c r="D3867" s="67">
        <v>0</v>
      </c>
      <c r="E3867" s="67">
        <v>83900.45</v>
      </c>
      <c r="H3867" s="67" t="s">
        <v>146</v>
      </c>
    </row>
    <row r="3869" spans="1:9" x14ac:dyDescent="0.25">
      <c r="A3869" s="67" t="s">
        <v>3053</v>
      </c>
      <c r="B3869" s="67" t="s">
        <v>3052</v>
      </c>
      <c r="C3869" s="67">
        <v>0</v>
      </c>
      <c r="D3869" s="67">
        <v>0</v>
      </c>
      <c r="E3869" s="67">
        <v>83900.41</v>
      </c>
      <c r="F3869" s="67">
        <v>25250</v>
      </c>
      <c r="H3869" s="68">
        <v>40764</v>
      </c>
      <c r="I3869" s="67" t="s">
        <v>148</v>
      </c>
    </row>
    <row r="3870" spans="1:9" x14ac:dyDescent="0.25">
      <c r="B3870" s="67" t="s">
        <v>3052</v>
      </c>
      <c r="C3870" s="67">
        <v>0</v>
      </c>
      <c r="D3870" s="67">
        <v>0</v>
      </c>
      <c r="E3870" s="67">
        <v>83900.45</v>
      </c>
      <c r="H3870" s="67" t="s">
        <v>146</v>
      </c>
    </row>
    <row r="3872" spans="1:9" x14ac:dyDescent="0.25">
      <c r="A3872" s="67" t="s">
        <v>3051</v>
      </c>
      <c r="B3872" s="67" t="s">
        <v>3050</v>
      </c>
      <c r="C3872" s="67">
        <v>0</v>
      </c>
      <c r="D3872" s="67">
        <v>0</v>
      </c>
      <c r="E3872" s="67">
        <v>83900.41</v>
      </c>
      <c r="F3872" s="67">
        <v>25250</v>
      </c>
      <c r="H3872" s="68">
        <v>40764</v>
      </c>
      <c r="I3872" s="67" t="s">
        <v>148</v>
      </c>
    </row>
    <row r="3873" spans="1:9" x14ac:dyDescent="0.25">
      <c r="B3873" s="67" t="s">
        <v>3050</v>
      </c>
      <c r="C3873" s="67">
        <v>0</v>
      </c>
      <c r="D3873" s="67">
        <v>0</v>
      </c>
      <c r="E3873" s="67">
        <v>83900.45</v>
      </c>
      <c r="H3873" s="67" t="s">
        <v>146</v>
      </c>
    </row>
    <row r="3875" spans="1:9" x14ac:dyDescent="0.25">
      <c r="A3875" s="67" t="s">
        <v>3049</v>
      </c>
      <c r="B3875" s="67" t="s">
        <v>3048</v>
      </c>
      <c r="C3875" s="67">
        <v>0</v>
      </c>
      <c r="D3875" s="67">
        <v>0</v>
      </c>
      <c r="E3875" s="67">
        <v>83900.41</v>
      </c>
      <c r="F3875" s="67">
        <v>25250</v>
      </c>
      <c r="H3875" s="68">
        <v>40764</v>
      </c>
      <c r="I3875" s="67" t="s">
        <v>148</v>
      </c>
    </row>
    <row r="3876" spans="1:9" x14ac:dyDescent="0.25">
      <c r="B3876" s="67" t="s">
        <v>3048</v>
      </c>
      <c r="C3876" s="67">
        <v>0</v>
      </c>
      <c r="D3876" s="67">
        <v>0</v>
      </c>
      <c r="E3876" s="67">
        <v>83900.45</v>
      </c>
      <c r="H3876" s="67" t="s">
        <v>146</v>
      </c>
    </row>
    <row r="3878" spans="1:9" x14ac:dyDescent="0.25">
      <c r="A3878" s="67" t="s">
        <v>3047</v>
      </c>
      <c r="B3878" s="67" t="s">
        <v>3046</v>
      </c>
      <c r="C3878" s="67">
        <v>0</v>
      </c>
      <c r="D3878" s="67">
        <v>0</v>
      </c>
      <c r="E3878" s="67">
        <v>83900.41</v>
      </c>
      <c r="F3878" s="67">
        <v>25250</v>
      </c>
      <c r="H3878" s="68">
        <v>40764</v>
      </c>
      <c r="I3878" s="67" t="s">
        <v>148</v>
      </c>
    </row>
    <row r="3879" spans="1:9" x14ac:dyDescent="0.25">
      <c r="B3879" s="67" t="s">
        <v>3046</v>
      </c>
      <c r="C3879" s="67">
        <v>0</v>
      </c>
      <c r="D3879" s="67">
        <v>0</v>
      </c>
      <c r="E3879" s="67">
        <v>83900.45</v>
      </c>
      <c r="H3879" s="67" t="s">
        <v>146</v>
      </c>
    </row>
    <row r="3881" spans="1:9" x14ac:dyDescent="0.25">
      <c r="A3881" s="67" t="s">
        <v>3045</v>
      </c>
      <c r="B3881" s="67" t="s">
        <v>3044</v>
      </c>
      <c r="C3881" s="67">
        <v>0</v>
      </c>
      <c r="D3881" s="67">
        <v>0</v>
      </c>
      <c r="E3881" s="67">
        <v>83900.41</v>
      </c>
      <c r="F3881" s="67">
        <v>25250</v>
      </c>
      <c r="H3881" s="68">
        <v>40764</v>
      </c>
      <c r="I3881" s="67" t="s">
        <v>148</v>
      </c>
    </row>
    <row r="3882" spans="1:9" x14ac:dyDescent="0.25">
      <c r="B3882" s="67" t="s">
        <v>3044</v>
      </c>
      <c r="C3882" s="67">
        <v>0</v>
      </c>
      <c r="D3882" s="67">
        <v>0</v>
      </c>
      <c r="E3882" s="67">
        <v>83900.45</v>
      </c>
      <c r="H3882" s="67" t="s">
        <v>146</v>
      </c>
    </row>
    <row r="3884" spans="1:9" x14ac:dyDescent="0.25">
      <c r="A3884" s="67" t="s">
        <v>3043</v>
      </c>
      <c r="B3884" s="67" t="s">
        <v>3042</v>
      </c>
      <c r="C3884" s="67">
        <v>0</v>
      </c>
      <c r="D3884" s="67">
        <v>0</v>
      </c>
      <c r="E3884" s="67">
        <v>83900.41</v>
      </c>
      <c r="F3884" s="67">
        <v>25250</v>
      </c>
      <c r="H3884" s="68">
        <v>40764</v>
      </c>
      <c r="I3884" s="67" t="s">
        <v>148</v>
      </c>
    </row>
    <row r="3885" spans="1:9" x14ac:dyDescent="0.25">
      <c r="B3885" s="67" t="s">
        <v>3042</v>
      </c>
      <c r="C3885" s="67">
        <v>0</v>
      </c>
      <c r="D3885" s="67">
        <v>0</v>
      </c>
      <c r="E3885" s="67">
        <v>83900.45</v>
      </c>
      <c r="H3885" s="67" t="s">
        <v>146</v>
      </c>
    </row>
    <row r="3887" spans="1:9" x14ac:dyDescent="0.25">
      <c r="A3887" s="67" t="s">
        <v>3041</v>
      </c>
      <c r="B3887" s="67" t="s">
        <v>3040</v>
      </c>
      <c r="C3887" s="67">
        <v>0</v>
      </c>
      <c r="D3887" s="67">
        <v>0</v>
      </c>
      <c r="E3887" s="67">
        <v>83900.41</v>
      </c>
      <c r="F3887" s="67">
        <v>25250</v>
      </c>
      <c r="H3887" s="68">
        <v>40764</v>
      </c>
      <c r="I3887" s="67" t="s">
        <v>148</v>
      </c>
    </row>
    <row r="3888" spans="1:9" x14ac:dyDescent="0.25">
      <c r="B3888" s="67" t="s">
        <v>3040</v>
      </c>
      <c r="C3888" s="67">
        <v>0</v>
      </c>
      <c r="D3888" s="67">
        <v>0</v>
      </c>
      <c r="E3888" s="67">
        <v>83900.45</v>
      </c>
      <c r="H3888" s="67" t="s">
        <v>146</v>
      </c>
    </row>
    <row r="3890" spans="1:9" x14ac:dyDescent="0.25">
      <c r="A3890" s="67" t="s">
        <v>3039</v>
      </c>
      <c r="B3890" s="67" t="s">
        <v>3038</v>
      </c>
      <c r="C3890" s="67">
        <v>0</v>
      </c>
      <c r="D3890" s="67">
        <v>0</v>
      </c>
      <c r="E3890" s="67">
        <v>83900.41</v>
      </c>
      <c r="F3890" s="67">
        <v>25250</v>
      </c>
      <c r="H3890" s="68">
        <v>40764</v>
      </c>
      <c r="I3890" s="67" t="s">
        <v>148</v>
      </c>
    </row>
    <row r="3891" spans="1:9" x14ac:dyDescent="0.25">
      <c r="B3891" s="67" t="s">
        <v>3038</v>
      </c>
      <c r="C3891" s="67">
        <v>0</v>
      </c>
      <c r="D3891" s="67">
        <v>0</v>
      </c>
      <c r="E3891" s="67">
        <v>83900.45</v>
      </c>
      <c r="H3891" s="67" t="s">
        <v>146</v>
      </c>
    </row>
    <row r="3893" spans="1:9" x14ac:dyDescent="0.25">
      <c r="A3893" s="67" t="s">
        <v>3037</v>
      </c>
      <c r="B3893" s="67" t="s">
        <v>3036</v>
      </c>
      <c r="C3893" s="67">
        <v>0</v>
      </c>
      <c r="D3893" s="67">
        <v>0</v>
      </c>
      <c r="E3893" s="67">
        <v>83900.41</v>
      </c>
      <c r="F3893" s="67">
        <v>25250</v>
      </c>
      <c r="H3893" s="68">
        <v>40764</v>
      </c>
      <c r="I3893" s="67" t="s">
        <v>148</v>
      </c>
    </row>
    <row r="3894" spans="1:9" x14ac:dyDescent="0.25">
      <c r="B3894" s="67" t="s">
        <v>3036</v>
      </c>
      <c r="C3894" s="67">
        <v>0</v>
      </c>
      <c r="D3894" s="67">
        <v>0</v>
      </c>
      <c r="E3894" s="67">
        <v>83900.45</v>
      </c>
      <c r="H3894" s="67" t="s">
        <v>146</v>
      </c>
    </row>
    <row r="3896" spans="1:9" x14ac:dyDescent="0.25">
      <c r="A3896" s="67" t="s">
        <v>3035</v>
      </c>
      <c r="B3896" s="67" t="s">
        <v>3034</v>
      </c>
      <c r="C3896" s="67">
        <v>0</v>
      </c>
      <c r="D3896" s="67">
        <v>0</v>
      </c>
      <c r="E3896" s="67">
        <v>83900.41</v>
      </c>
      <c r="F3896" s="67">
        <v>25250</v>
      </c>
      <c r="H3896" s="68">
        <v>40764</v>
      </c>
      <c r="I3896" s="67" t="s">
        <v>148</v>
      </c>
    </row>
    <row r="3897" spans="1:9" x14ac:dyDescent="0.25">
      <c r="B3897" s="67" t="s">
        <v>3034</v>
      </c>
      <c r="C3897" s="67">
        <v>0</v>
      </c>
      <c r="D3897" s="67">
        <v>0</v>
      </c>
      <c r="E3897" s="67">
        <v>83900.45</v>
      </c>
      <c r="H3897" s="67" t="s">
        <v>146</v>
      </c>
    </row>
    <row r="3899" spans="1:9" x14ac:dyDescent="0.25">
      <c r="A3899" s="67" t="s">
        <v>3033</v>
      </c>
      <c r="B3899" s="67" t="s">
        <v>3032</v>
      </c>
      <c r="C3899" s="67">
        <v>0</v>
      </c>
      <c r="D3899" s="67">
        <v>0</v>
      </c>
      <c r="E3899" s="67">
        <v>83900.41</v>
      </c>
      <c r="F3899" s="67">
        <v>25250</v>
      </c>
      <c r="H3899" s="68">
        <v>40764</v>
      </c>
      <c r="I3899" s="67" t="s">
        <v>148</v>
      </c>
    </row>
    <row r="3900" spans="1:9" x14ac:dyDescent="0.25">
      <c r="B3900" s="67" t="s">
        <v>3032</v>
      </c>
      <c r="C3900" s="67">
        <v>0</v>
      </c>
      <c r="D3900" s="67">
        <v>0</v>
      </c>
      <c r="E3900" s="67">
        <v>83900.45</v>
      </c>
      <c r="H3900" s="67" t="s">
        <v>146</v>
      </c>
    </row>
    <row r="3902" spans="1:9" x14ac:dyDescent="0.25">
      <c r="A3902" s="67" t="s">
        <v>3031</v>
      </c>
      <c r="B3902" s="67" t="s">
        <v>3030</v>
      </c>
      <c r="C3902" s="67">
        <v>0</v>
      </c>
      <c r="D3902" s="67">
        <v>0</v>
      </c>
      <c r="E3902" s="67">
        <v>83900.41</v>
      </c>
      <c r="F3902" s="67">
        <v>25250</v>
      </c>
      <c r="H3902" s="68">
        <v>40764</v>
      </c>
      <c r="I3902" s="67" t="s">
        <v>148</v>
      </c>
    </row>
    <row r="3903" spans="1:9" x14ac:dyDescent="0.25">
      <c r="B3903" s="67" t="s">
        <v>3030</v>
      </c>
      <c r="C3903" s="67">
        <v>0</v>
      </c>
      <c r="D3903" s="67">
        <v>0</v>
      </c>
      <c r="E3903" s="67">
        <v>83900.45</v>
      </c>
      <c r="H3903" s="67" t="s">
        <v>146</v>
      </c>
    </row>
    <row r="3905" spans="1:9" x14ac:dyDescent="0.25">
      <c r="A3905" s="67" t="s">
        <v>3029</v>
      </c>
      <c r="B3905" s="67" t="s">
        <v>3028</v>
      </c>
      <c r="C3905" s="67">
        <v>0</v>
      </c>
      <c r="D3905" s="67">
        <v>0</v>
      </c>
      <c r="E3905" s="67">
        <v>83900.41</v>
      </c>
      <c r="F3905" s="67">
        <v>25250</v>
      </c>
      <c r="H3905" s="68">
        <v>40764</v>
      </c>
      <c r="I3905" s="67" t="s">
        <v>148</v>
      </c>
    </row>
    <row r="3906" spans="1:9" x14ac:dyDescent="0.25">
      <c r="B3906" s="67" t="s">
        <v>3028</v>
      </c>
      <c r="C3906" s="67">
        <v>0</v>
      </c>
      <c r="D3906" s="67">
        <v>0</v>
      </c>
      <c r="E3906" s="67">
        <v>83900.45</v>
      </c>
      <c r="H3906" s="67" t="s">
        <v>146</v>
      </c>
    </row>
    <row r="3908" spans="1:9" x14ac:dyDescent="0.25">
      <c r="A3908" s="67" t="s">
        <v>3027</v>
      </c>
      <c r="B3908" s="67" t="s">
        <v>3026</v>
      </c>
      <c r="C3908" s="67">
        <v>0</v>
      </c>
      <c r="D3908" s="67">
        <v>0</v>
      </c>
      <c r="E3908" s="67">
        <v>83900.41</v>
      </c>
      <c r="F3908" s="67">
        <v>25250</v>
      </c>
      <c r="H3908" s="68">
        <v>40764</v>
      </c>
      <c r="I3908" s="67" t="s">
        <v>148</v>
      </c>
    </row>
    <row r="3909" spans="1:9" x14ac:dyDescent="0.25">
      <c r="B3909" s="67" t="s">
        <v>3026</v>
      </c>
      <c r="C3909" s="67">
        <v>0</v>
      </c>
      <c r="D3909" s="67">
        <v>0</v>
      </c>
      <c r="E3909" s="67">
        <v>83900.45</v>
      </c>
      <c r="H3909" s="67" t="s">
        <v>146</v>
      </c>
    </row>
    <row r="3911" spans="1:9" x14ac:dyDescent="0.25">
      <c r="A3911" s="67" t="s">
        <v>3025</v>
      </c>
      <c r="B3911" s="67" t="s">
        <v>3024</v>
      </c>
      <c r="C3911" s="67">
        <v>0</v>
      </c>
      <c r="D3911" s="67">
        <v>0</v>
      </c>
      <c r="E3911" s="67">
        <v>83900.41</v>
      </c>
      <c r="F3911" s="67">
        <v>25250</v>
      </c>
      <c r="H3911" s="68">
        <v>40764</v>
      </c>
      <c r="I3911" s="67" t="s">
        <v>148</v>
      </c>
    </row>
    <row r="3912" spans="1:9" x14ac:dyDescent="0.25">
      <c r="B3912" s="67" t="s">
        <v>3024</v>
      </c>
      <c r="C3912" s="67">
        <v>0</v>
      </c>
      <c r="D3912" s="67">
        <v>0</v>
      </c>
      <c r="E3912" s="67">
        <v>83900.45</v>
      </c>
      <c r="H3912" s="67" t="s">
        <v>146</v>
      </c>
    </row>
    <row r="3913" spans="1:9" x14ac:dyDescent="0.25">
      <c r="A3913" s="67" t="s">
        <v>233</v>
      </c>
    </row>
    <row r="3915" spans="1:9" x14ac:dyDescent="0.25">
      <c r="A3915" s="67" t="s">
        <v>232</v>
      </c>
      <c r="D3915" s="67" t="s">
        <v>231</v>
      </c>
      <c r="H3915" s="67" t="s">
        <v>148</v>
      </c>
      <c r="I3915" s="67" t="s">
        <v>230</v>
      </c>
    </row>
    <row r="3916" spans="1:9" x14ac:dyDescent="0.25">
      <c r="A3916" s="67">
        <v>41.1</v>
      </c>
      <c r="C3916" s="67" t="s">
        <v>215</v>
      </c>
      <c r="D3916" s="67" t="s">
        <v>229</v>
      </c>
      <c r="H3916" s="70">
        <v>44771</v>
      </c>
      <c r="I3916" s="69">
        <v>0.56736111111111109</v>
      </c>
    </row>
    <row r="3917" spans="1:9" x14ac:dyDescent="0.25">
      <c r="A3917" s="67" t="s">
        <v>228</v>
      </c>
      <c r="C3917" s="67" t="s">
        <v>227</v>
      </c>
      <c r="D3917" s="67" t="s">
        <v>226</v>
      </c>
      <c r="E3917" s="67">
        <v>589</v>
      </c>
      <c r="H3917" s="67" t="s">
        <v>225</v>
      </c>
      <c r="I3917" s="67">
        <v>69</v>
      </c>
    </row>
    <row r="3918" spans="1:9" x14ac:dyDescent="0.25">
      <c r="A3918" s="67" t="s">
        <v>884</v>
      </c>
    </row>
    <row r="3919" spans="1:9" x14ac:dyDescent="0.25">
      <c r="A3919" s="67" t="s">
        <v>223</v>
      </c>
      <c r="B3919" s="67" t="s">
        <v>222</v>
      </c>
      <c r="C3919" s="67" t="s">
        <v>221</v>
      </c>
      <c r="D3919" s="67" t="s">
        <v>220</v>
      </c>
      <c r="E3919" s="67" t="s">
        <v>219</v>
      </c>
      <c r="F3919" s="67" t="s">
        <v>217</v>
      </c>
      <c r="G3919" s="67" t="s">
        <v>218</v>
      </c>
      <c r="H3919" s="67" t="s">
        <v>217</v>
      </c>
      <c r="I3919" s="67" t="s">
        <v>216</v>
      </c>
    </row>
    <row r="3920" spans="1:9" x14ac:dyDescent="0.25">
      <c r="A3920" s="67" t="s">
        <v>215</v>
      </c>
      <c r="B3920" s="67" t="s">
        <v>214</v>
      </c>
      <c r="C3920" s="67" t="s">
        <v>213</v>
      </c>
      <c r="D3920" s="67" t="s">
        <v>212</v>
      </c>
      <c r="E3920" s="67" t="s">
        <v>211</v>
      </c>
      <c r="F3920" s="67" t="s">
        <v>210</v>
      </c>
      <c r="G3920" s="67" t="s">
        <v>209</v>
      </c>
      <c r="H3920" s="67" t="s">
        <v>208</v>
      </c>
      <c r="I3920" s="67" t="s">
        <v>207</v>
      </c>
    </row>
    <row r="3921" spans="1:9" x14ac:dyDescent="0.25">
      <c r="A3921" s="67" t="s">
        <v>206</v>
      </c>
      <c r="B3921" s="67" t="s">
        <v>205</v>
      </c>
      <c r="C3921" s="67" t="s">
        <v>204</v>
      </c>
      <c r="D3921" s="67" t="s">
        <v>203</v>
      </c>
      <c r="E3921" s="67" t="s">
        <v>202</v>
      </c>
      <c r="F3921" s="67" t="s">
        <v>201</v>
      </c>
      <c r="G3921" s="67" t="s">
        <v>200</v>
      </c>
      <c r="H3921" s="67" t="s">
        <v>199</v>
      </c>
    </row>
    <row r="3922" spans="1:9" x14ac:dyDescent="0.25">
      <c r="A3922" s="67" t="s">
        <v>3023</v>
      </c>
      <c r="B3922" s="67" t="s">
        <v>3022</v>
      </c>
      <c r="C3922" s="67">
        <v>0</v>
      </c>
      <c r="D3922" s="67">
        <v>0</v>
      </c>
      <c r="E3922" s="67">
        <v>83900.41</v>
      </c>
      <c r="F3922" s="67">
        <v>25250</v>
      </c>
      <c r="H3922" s="68">
        <v>40764</v>
      </c>
      <c r="I3922" s="67" t="s">
        <v>148</v>
      </c>
    </row>
    <row r="3923" spans="1:9" x14ac:dyDescent="0.25">
      <c r="B3923" s="67" t="s">
        <v>3022</v>
      </c>
      <c r="C3923" s="67">
        <v>0</v>
      </c>
      <c r="D3923" s="67">
        <v>0</v>
      </c>
      <c r="E3923" s="67">
        <v>83900.45</v>
      </c>
      <c r="H3923" s="67" t="s">
        <v>146</v>
      </c>
    </row>
    <row r="3925" spans="1:9" x14ac:dyDescent="0.25">
      <c r="A3925" s="67" t="s">
        <v>3021</v>
      </c>
      <c r="B3925" s="67" t="s">
        <v>3020</v>
      </c>
      <c r="C3925" s="67">
        <v>0</v>
      </c>
      <c r="D3925" s="67">
        <v>0</v>
      </c>
      <c r="E3925" s="67">
        <v>83900.41</v>
      </c>
      <c r="F3925" s="67">
        <v>25250</v>
      </c>
      <c r="H3925" s="68">
        <v>40764</v>
      </c>
      <c r="I3925" s="67" t="s">
        <v>148</v>
      </c>
    </row>
    <row r="3926" spans="1:9" x14ac:dyDescent="0.25">
      <c r="B3926" s="67" t="s">
        <v>3020</v>
      </c>
      <c r="C3926" s="67">
        <v>0</v>
      </c>
      <c r="D3926" s="67">
        <v>0</v>
      </c>
      <c r="E3926" s="67">
        <v>83900.45</v>
      </c>
      <c r="H3926" s="67" t="s">
        <v>146</v>
      </c>
    </row>
    <row r="3928" spans="1:9" x14ac:dyDescent="0.25">
      <c r="A3928" s="67" t="s">
        <v>3019</v>
      </c>
      <c r="B3928" s="67" t="s">
        <v>3018</v>
      </c>
      <c r="C3928" s="67">
        <v>0</v>
      </c>
      <c r="D3928" s="67">
        <v>0</v>
      </c>
      <c r="E3928" s="67">
        <v>83900.41</v>
      </c>
      <c r="F3928" s="67">
        <v>25250</v>
      </c>
      <c r="H3928" s="68">
        <v>40764</v>
      </c>
      <c r="I3928" s="67" t="s">
        <v>148</v>
      </c>
    </row>
    <row r="3929" spans="1:9" x14ac:dyDescent="0.25">
      <c r="B3929" s="67" t="s">
        <v>3018</v>
      </c>
      <c r="C3929" s="67">
        <v>0</v>
      </c>
      <c r="D3929" s="67">
        <v>0</v>
      </c>
      <c r="E3929" s="67">
        <v>83900.45</v>
      </c>
      <c r="H3929" s="67" t="s">
        <v>146</v>
      </c>
    </row>
    <row r="3931" spans="1:9" x14ac:dyDescent="0.25">
      <c r="A3931" s="67" t="s">
        <v>3017</v>
      </c>
      <c r="B3931" s="67" t="s">
        <v>3016</v>
      </c>
      <c r="C3931" s="67">
        <v>0</v>
      </c>
      <c r="D3931" s="67">
        <v>0</v>
      </c>
      <c r="E3931" s="67">
        <v>83900.41</v>
      </c>
      <c r="F3931" s="67">
        <v>25250</v>
      </c>
      <c r="H3931" s="68">
        <v>40764</v>
      </c>
      <c r="I3931" s="67" t="s">
        <v>148</v>
      </c>
    </row>
    <row r="3932" spans="1:9" x14ac:dyDescent="0.25">
      <c r="B3932" s="67" t="s">
        <v>3016</v>
      </c>
      <c r="C3932" s="67">
        <v>0</v>
      </c>
      <c r="D3932" s="67">
        <v>0</v>
      </c>
      <c r="E3932" s="67">
        <v>83900.45</v>
      </c>
      <c r="H3932" s="67" t="s">
        <v>146</v>
      </c>
    </row>
    <row r="3934" spans="1:9" x14ac:dyDescent="0.25">
      <c r="A3934" s="67" t="s">
        <v>3015</v>
      </c>
      <c r="B3934" s="67" t="s">
        <v>3014</v>
      </c>
      <c r="C3934" s="67">
        <v>0</v>
      </c>
      <c r="D3934" s="67">
        <v>0</v>
      </c>
      <c r="E3934" s="67">
        <v>83900.41</v>
      </c>
      <c r="F3934" s="67">
        <v>25250</v>
      </c>
      <c r="H3934" s="68">
        <v>40764</v>
      </c>
      <c r="I3934" s="67" t="s">
        <v>148</v>
      </c>
    </row>
    <row r="3935" spans="1:9" x14ac:dyDescent="0.25">
      <c r="B3935" s="67" t="s">
        <v>3014</v>
      </c>
      <c r="C3935" s="67">
        <v>0</v>
      </c>
      <c r="D3935" s="67">
        <v>0</v>
      </c>
      <c r="E3935" s="67">
        <v>83900.45</v>
      </c>
      <c r="H3935" s="67" t="s">
        <v>146</v>
      </c>
    </row>
    <row r="3937" spans="1:9" x14ac:dyDescent="0.25">
      <c r="A3937" s="67" t="s">
        <v>3013</v>
      </c>
      <c r="B3937" s="67" t="s">
        <v>3012</v>
      </c>
      <c r="C3937" s="67">
        <v>0</v>
      </c>
      <c r="D3937" s="67">
        <v>0</v>
      </c>
      <c r="E3937" s="67">
        <v>83900.41</v>
      </c>
      <c r="F3937" s="67">
        <v>25250</v>
      </c>
      <c r="H3937" s="68">
        <v>40764</v>
      </c>
      <c r="I3937" s="67" t="s">
        <v>148</v>
      </c>
    </row>
    <row r="3938" spans="1:9" x14ac:dyDescent="0.25">
      <c r="B3938" s="67" t="s">
        <v>3012</v>
      </c>
      <c r="C3938" s="67">
        <v>0</v>
      </c>
      <c r="D3938" s="67">
        <v>0</v>
      </c>
      <c r="E3938" s="67">
        <v>83900.45</v>
      </c>
      <c r="H3938" s="67" t="s">
        <v>146</v>
      </c>
    </row>
    <row r="3940" spans="1:9" x14ac:dyDescent="0.25">
      <c r="A3940" s="67" t="s">
        <v>3011</v>
      </c>
      <c r="B3940" s="67" t="s">
        <v>3010</v>
      </c>
      <c r="C3940" s="67">
        <v>0</v>
      </c>
      <c r="D3940" s="67">
        <v>0</v>
      </c>
      <c r="E3940" s="67">
        <v>83900.41</v>
      </c>
      <c r="F3940" s="67">
        <v>25250</v>
      </c>
      <c r="H3940" s="68">
        <v>40764</v>
      </c>
      <c r="I3940" s="67" t="s">
        <v>148</v>
      </c>
    </row>
    <row r="3941" spans="1:9" x14ac:dyDescent="0.25">
      <c r="B3941" s="67" t="s">
        <v>3010</v>
      </c>
      <c r="C3941" s="67">
        <v>0</v>
      </c>
      <c r="D3941" s="67">
        <v>0</v>
      </c>
      <c r="E3941" s="67">
        <v>83900.45</v>
      </c>
      <c r="H3941" s="67" t="s">
        <v>146</v>
      </c>
    </row>
    <row r="3943" spans="1:9" x14ac:dyDescent="0.25">
      <c r="A3943" s="67" t="s">
        <v>3009</v>
      </c>
      <c r="B3943" s="67" t="s">
        <v>3008</v>
      </c>
      <c r="C3943" s="67">
        <v>0</v>
      </c>
      <c r="D3943" s="67">
        <v>0</v>
      </c>
      <c r="E3943" s="67">
        <v>83900.41</v>
      </c>
      <c r="F3943" s="67">
        <v>25250</v>
      </c>
      <c r="H3943" s="68">
        <v>40764</v>
      </c>
      <c r="I3943" s="67" t="s">
        <v>148</v>
      </c>
    </row>
    <row r="3944" spans="1:9" x14ac:dyDescent="0.25">
      <c r="B3944" s="67" t="s">
        <v>3008</v>
      </c>
      <c r="C3944" s="67">
        <v>0</v>
      </c>
      <c r="D3944" s="67">
        <v>0</v>
      </c>
      <c r="E3944" s="67">
        <v>83900.45</v>
      </c>
      <c r="H3944" s="67" t="s">
        <v>146</v>
      </c>
    </row>
    <row r="3946" spans="1:9" x14ac:dyDescent="0.25">
      <c r="A3946" s="67" t="s">
        <v>3007</v>
      </c>
      <c r="B3946" s="67" t="s">
        <v>3006</v>
      </c>
      <c r="C3946" s="67">
        <v>0</v>
      </c>
      <c r="D3946" s="67">
        <v>0</v>
      </c>
      <c r="E3946" s="67">
        <v>83900.41</v>
      </c>
      <c r="F3946" s="67">
        <v>25250</v>
      </c>
      <c r="H3946" s="68">
        <v>40764</v>
      </c>
      <c r="I3946" s="67" t="s">
        <v>148</v>
      </c>
    </row>
    <row r="3947" spans="1:9" x14ac:dyDescent="0.25">
      <c r="B3947" s="67" t="s">
        <v>3006</v>
      </c>
      <c r="C3947" s="67">
        <v>0</v>
      </c>
      <c r="D3947" s="67">
        <v>0</v>
      </c>
      <c r="E3947" s="67">
        <v>83900.45</v>
      </c>
      <c r="H3947" s="67" t="s">
        <v>146</v>
      </c>
    </row>
    <row r="3949" spans="1:9" x14ac:dyDescent="0.25">
      <c r="A3949" s="67" t="s">
        <v>3005</v>
      </c>
      <c r="B3949" s="67" t="s">
        <v>3004</v>
      </c>
      <c r="C3949" s="67">
        <v>0</v>
      </c>
      <c r="D3949" s="67">
        <v>0</v>
      </c>
      <c r="E3949" s="67">
        <v>83900.41</v>
      </c>
      <c r="F3949" s="67">
        <v>25250</v>
      </c>
      <c r="H3949" s="68">
        <v>40764</v>
      </c>
      <c r="I3949" s="67" t="s">
        <v>148</v>
      </c>
    </row>
    <row r="3950" spans="1:9" x14ac:dyDescent="0.25">
      <c r="B3950" s="67" t="s">
        <v>3004</v>
      </c>
      <c r="C3950" s="67">
        <v>0</v>
      </c>
      <c r="D3950" s="67">
        <v>0</v>
      </c>
      <c r="E3950" s="67">
        <v>83900.45</v>
      </c>
      <c r="H3950" s="67" t="s">
        <v>146</v>
      </c>
    </row>
    <row r="3952" spans="1:9" x14ac:dyDescent="0.25">
      <c r="A3952" s="67" t="s">
        <v>3003</v>
      </c>
      <c r="B3952" s="67" t="s">
        <v>3002</v>
      </c>
      <c r="C3952" s="67">
        <v>0</v>
      </c>
      <c r="D3952" s="67">
        <v>0</v>
      </c>
      <c r="E3952" s="67">
        <v>83900.41</v>
      </c>
      <c r="F3952" s="67">
        <v>25250</v>
      </c>
      <c r="H3952" s="68">
        <v>40764</v>
      </c>
      <c r="I3952" s="67" t="s">
        <v>148</v>
      </c>
    </row>
    <row r="3953" spans="1:9" x14ac:dyDescent="0.25">
      <c r="B3953" s="67" t="s">
        <v>3002</v>
      </c>
      <c r="C3953" s="67">
        <v>0</v>
      </c>
      <c r="D3953" s="67">
        <v>0</v>
      </c>
      <c r="E3953" s="67">
        <v>83900.45</v>
      </c>
      <c r="H3953" s="67" t="s">
        <v>146</v>
      </c>
    </row>
    <row r="3955" spans="1:9" x14ac:dyDescent="0.25">
      <c r="A3955" s="67" t="s">
        <v>3001</v>
      </c>
      <c r="B3955" s="67" t="s">
        <v>3000</v>
      </c>
      <c r="C3955" s="67">
        <v>0</v>
      </c>
      <c r="D3955" s="67">
        <v>0</v>
      </c>
      <c r="E3955" s="67">
        <v>83900.41</v>
      </c>
      <c r="F3955" s="67">
        <v>25250</v>
      </c>
      <c r="H3955" s="68">
        <v>40764</v>
      </c>
      <c r="I3955" s="67" t="s">
        <v>148</v>
      </c>
    </row>
    <row r="3956" spans="1:9" x14ac:dyDescent="0.25">
      <c r="B3956" s="67" t="s">
        <v>3000</v>
      </c>
      <c r="C3956" s="67">
        <v>0</v>
      </c>
      <c r="D3956" s="67">
        <v>0</v>
      </c>
      <c r="E3956" s="67">
        <v>83900.45</v>
      </c>
      <c r="H3956" s="67" t="s">
        <v>146</v>
      </c>
    </row>
    <row r="3958" spans="1:9" x14ac:dyDescent="0.25">
      <c r="A3958" s="67" t="s">
        <v>2999</v>
      </c>
      <c r="B3958" s="67" t="s">
        <v>2998</v>
      </c>
      <c r="C3958" s="67">
        <v>0</v>
      </c>
      <c r="D3958" s="67">
        <v>0</v>
      </c>
      <c r="E3958" s="67">
        <v>83900.41</v>
      </c>
      <c r="F3958" s="67">
        <v>25250</v>
      </c>
      <c r="H3958" s="68">
        <v>40764</v>
      </c>
      <c r="I3958" s="67" t="s">
        <v>148</v>
      </c>
    </row>
    <row r="3959" spans="1:9" x14ac:dyDescent="0.25">
      <c r="B3959" s="67" t="s">
        <v>2998</v>
      </c>
      <c r="C3959" s="67">
        <v>0</v>
      </c>
      <c r="D3959" s="67">
        <v>0</v>
      </c>
      <c r="E3959" s="67">
        <v>83900.45</v>
      </c>
      <c r="H3959" s="67" t="s">
        <v>146</v>
      </c>
    </row>
    <row r="3961" spans="1:9" x14ac:dyDescent="0.25">
      <c r="A3961" s="67" t="s">
        <v>2997</v>
      </c>
      <c r="B3961" s="67" t="s">
        <v>2996</v>
      </c>
      <c r="C3961" s="67">
        <v>0</v>
      </c>
      <c r="D3961" s="67">
        <v>0</v>
      </c>
      <c r="E3961" s="67">
        <v>83900.41</v>
      </c>
      <c r="F3961" s="67">
        <v>25250</v>
      </c>
      <c r="H3961" s="68">
        <v>40764</v>
      </c>
      <c r="I3961" s="67" t="s">
        <v>148</v>
      </c>
    </row>
    <row r="3962" spans="1:9" x14ac:dyDescent="0.25">
      <c r="B3962" s="67" t="s">
        <v>2996</v>
      </c>
      <c r="C3962" s="67">
        <v>0</v>
      </c>
      <c r="D3962" s="67">
        <v>0</v>
      </c>
      <c r="E3962" s="67">
        <v>83900.45</v>
      </c>
      <c r="H3962" s="67" t="s">
        <v>146</v>
      </c>
    </row>
    <row r="3964" spans="1:9" x14ac:dyDescent="0.25">
      <c r="A3964" s="67" t="s">
        <v>2995</v>
      </c>
      <c r="B3964" s="67" t="s">
        <v>2994</v>
      </c>
      <c r="C3964" s="67">
        <v>0</v>
      </c>
      <c r="D3964" s="67">
        <v>0</v>
      </c>
      <c r="E3964" s="67">
        <v>83900.41</v>
      </c>
      <c r="F3964" s="67">
        <v>25250</v>
      </c>
      <c r="H3964" s="68">
        <v>40764</v>
      </c>
      <c r="I3964" s="67" t="s">
        <v>148</v>
      </c>
    </row>
    <row r="3965" spans="1:9" x14ac:dyDescent="0.25">
      <c r="B3965" s="67" t="s">
        <v>2994</v>
      </c>
      <c r="C3965" s="67">
        <v>0</v>
      </c>
      <c r="D3965" s="67">
        <v>0</v>
      </c>
      <c r="E3965" s="67">
        <v>83900.45</v>
      </c>
      <c r="H3965" s="67" t="s">
        <v>146</v>
      </c>
    </row>
    <row r="3967" spans="1:9" x14ac:dyDescent="0.25">
      <c r="A3967" s="67" t="s">
        <v>2993</v>
      </c>
      <c r="B3967" s="67" t="s">
        <v>2992</v>
      </c>
      <c r="C3967" s="67">
        <v>0</v>
      </c>
      <c r="D3967" s="67">
        <v>0</v>
      </c>
      <c r="E3967" s="67">
        <v>83900.41</v>
      </c>
      <c r="F3967" s="67">
        <v>25250</v>
      </c>
      <c r="H3967" s="68">
        <v>40764</v>
      </c>
      <c r="I3967" s="67" t="s">
        <v>148</v>
      </c>
    </row>
    <row r="3968" spans="1:9" x14ac:dyDescent="0.25">
      <c r="B3968" s="67" t="s">
        <v>2992</v>
      </c>
      <c r="C3968" s="67">
        <v>0</v>
      </c>
      <c r="D3968" s="67">
        <v>0</v>
      </c>
      <c r="E3968" s="67">
        <v>83900.45</v>
      </c>
      <c r="H3968" s="67" t="s">
        <v>146</v>
      </c>
    </row>
    <row r="3970" spans="1:9" x14ac:dyDescent="0.25">
      <c r="A3970" s="67" t="s">
        <v>2991</v>
      </c>
      <c r="B3970" s="67" t="s">
        <v>2990</v>
      </c>
      <c r="C3970" s="67">
        <v>0</v>
      </c>
      <c r="D3970" s="67">
        <v>0</v>
      </c>
      <c r="E3970" s="67">
        <v>83900.41</v>
      </c>
      <c r="F3970" s="67">
        <v>25250</v>
      </c>
      <c r="H3970" s="68">
        <v>40764</v>
      </c>
      <c r="I3970" s="67" t="s">
        <v>148</v>
      </c>
    </row>
    <row r="3971" spans="1:9" x14ac:dyDescent="0.25">
      <c r="B3971" s="67" t="s">
        <v>2990</v>
      </c>
      <c r="C3971" s="67">
        <v>0</v>
      </c>
      <c r="D3971" s="67">
        <v>0</v>
      </c>
      <c r="E3971" s="67">
        <v>83900.45</v>
      </c>
      <c r="H3971" s="67" t="s">
        <v>146</v>
      </c>
    </row>
    <row r="3972" spans="1:9" x14ac:dyDescent="0.25">
      <c r="A3972" s="67" t="s">
        <v>233</v>
      </c>
    </row>
    <row r="3974" spans="1:9" x14ac:dyDescent="0.25">
      <c r="A3974" s="67" t="s">
        <v>232</v>
      </c>
      <c r="D3974" s="67" t="s">
        <v>231</v>
      </c>
      <c r="H3974" s="67" t="s">
        <v>148</v>
      </c>
      <c r="I3974" s="67" t="s">
        <v>230</v>
      </c>
    </row>
    <row r="3975" spans="1:9" x14ac:dyDescent="0.25">
      <c r="A3975" s="67">
        <v>41.1</v>
      </c>
      <c r="C3975" s="67" t="s">
        <v>215</v>
      </c>
      <c r="D3975" s="67" t="s">
        <v>229</v>
      </c>
      <c r="H3975" s="70">
        <v>44771</v>
      </c>
      <c r="I3975" s="69">
        <v>0.56736111111111109</v>
      </c>
    </row>
    <row r="3976" spans="1:9" x14ac:dyDescent="0.25">
      <c r="A3976" s="67" t="s">
        <v>228</v>
      </c>
      <c r="C3976" s="67" t="s">
        <v>227</v>
      </c>
      <c r="D3976" s="67" t="s">
        <v>226</v>
      </c>
      <c r="E3976" s="67">
        <v>589</v>
      </c>
      <c r="H3976" s="67" t="s">
        <v>225</v>
      </c>
      <c r="I3976" s="67">
        <v>70</v>
      </c>
    </row>
    <row r="3977" spans="1:9" x14ac:dyDescent="0.25">
      <c r="A3977" s="67" t="s">
        <v>884</v>
      </c>
    </row>
    <row r="3978" spans="1:9" x14ac:dyDescent="0.25">
      <c r="A3978" s="67" t="s">
        <v>223</v>
      </c>
      <c r="B3978" s="67" t="s">
        <v>222</v>
      </c>
      <c r="C3978" s="67" t="s">
        <v>221</v>
      </c>
      <c r="D3978" s="67" t="s">
        <v>220</v>
      </c>
      <c r="E3978" s="67" t="s">
        <v>219</v>
      </c>
      <c r="F3978" s="67" t="s">
        <v>217</v>
      </c>
      <c r="G3978" s="67" t="s">
        <v>218</v>
      </c>
      <c r="H3978" s="67" t="s">
        <v>217</v>
      </c>
      <c r="I3978" s="67" t="s">
        <v>216</v>
      </c>
    </row>
    <row r="3979" spans="1:9" x14ac:dyDescent="0.25">
      <c r="A3979" s="67" t="s">
        <v>215</v>
      </c>
      <c r="B3979" s="67" t="s">
        <v>214</v>
      </c>
      <c r="C3979" s="67" t="s">
        <v>213</v>
      </c>
      <c r="D3979" s="67" t="s">
        <v>212</v>
      </c>
      <c r="E3979" s="67" t="s">
        <v>211</v>
      </c>
      <c r="F3979" s="67" t="s">
        <v>210</v>
      </c>
      <c r="G3979" s="67" t="s">
        <v>209</v>
      </c>
      <c r="H3979" s="67" t="s">
        <v>208</v>
      </c>
      <c r="I3979" s="67" t="s">
        <v>207</v>
      </c>
    </row>
    <row r="3980" spans="1:9" x14ac:dyDescent="0.25">
      <c r="A3980" s="67" t="s">
        <v>206</v>
      </c>
      <c r="B3980" s="67" t="s">
        <v>205</v>
      </c>
      <c r="C3980" s="67" t="s">
        <v>204</v>
      </c>
      <c r="D3980" s="67" t="s">
        <v>203</v>
      </c>
      <c r="E3980" s="67" t="s">
        <v>202</v>
      </c>
      <c r="F3980" s="67" t="s">
        <v>201</v>
      </c>
      <c r="G3980" s="67" t="s">
        <v>200</v>
      </c>
      <c r="H3980" s="67" t="s">
        <v>199</v>
      </c>
    </row>
    <row r="3981" spans="1:9" x14ac:dyDescent="0.25">
      <c r="A3981" s="67" t="s">
        <v>2989</v>
      </c>
      <c r="B3981" s="67" t="s">
        <v>2988</v>
      </c>
      <c r="C3981" s="67">
        <v>0</v>
      </c>
      <c r="D3981" s="67">
        <v>0</v>
      </c>
      <c r="E3981" s="67">
        <v>83900.41</v>
      </c>
      <c r="F3981" s="67">
        <v>25250</v>
      </c>
      <c r="H3981" s="68">
        <v>40764</v>
      </c>
      <c r="I3981" s="67" t="s">
        <v>148</v>
      </c>
    </row>
    <row r="3982" spans="1:9" x14ac:dyDescent="0.25">
      <c r="B3982" s="67" t="s">
        <v>2988</v>
      </c>
      <c r="C3982" s="67">
        <v>0</v>
      </c>
      <c r="D3982" s="67">
        <v>0</v>
      </c>
      <c r="E3982" s="67">
        <v>83900.45</v>
      </c>
      <c r="H3982" s="67" t="s">
        <v>146</v>
      </c>
    </row>
    <row r="3984" spans="1:9" x14ac:dyDescent="0.25">
      <c r="A3984" s="67" t="s">
        <v>2987</v>
      </c>
      <c r="B3984" s="67" t="s">
        <v>2986</v>
      </c>
      <c r="C3984" s="67">
        <v>0</v>
      </c>
      <c r="D3984" s="67">
        <v>0</v>
      </c>
      <c r="E3984" s="67">
        <v>83900.41</v>
      </c>
      <c r="F3984" s="67">
        <v>25250</v>
      </c>
      <c r="H3984" s="68">
        <v>40764</v>
      </c>
      <c r="I3984" s="67" t="s">
        <v>148</v>
      </c>
    </row>
    <row r="3985" spans="1:9" x14ac:dyDescent="0.25">
      <c r="B3985" s="67" t="s">
        <v>2986</v>
      </c>
      <c r="C3985" s="67">
        <v>0</v>
      </c>
      <c r="D3985" s="67">
        <v>0</v>
      </c>
      <c r="E3985" s="67">
        <v>83900.45</v>
      </c>
      <c r="H3985" s="67" t="s">
        <v>146</v>
      </c>
    </row>
    <row r="3987" spans="1:9" x14ac:dyDescent="0.25">
      <c r="A3987" s="67" t="s">
        <v>2985</v>
      </c>
      <c r="B3987" s="67" t="s">
        <v>2984</v>
      </c>
      <c r="C3987" s="67">
        <v>0</v>
      </c>
      <c r="D3987" s="67">
        <v>0</v>
      </c>
      <c r="E3987" s="67">
        <v>83900.41</v>
      </c>
      <c r="F3987" s="67">
        <v>25250</v>
      </c>
      <c r="H3987" s="68">
        <v>40764</v>
      </c>
      <c r="I3987" s="67" t="s">
        <v>148</v>
      </c>
    </row>
    <row r="3988" spans="1:9" x14ac:dyDescent="0.25">
      <c r="B3988" s="67" t="s">
        <v>2984</v>
      </c>
      <c r="C3988" s="67">
        <v>0</v>
      </c>
      <c r="D3988" s="67">
        <v>0</v>
      </c>
      <c r="E3988" s="67">
        <v>83900.45</v>
      </c>
      <c r="H3988" s="67" t="s">
        <v>146</v>
      </c>
    </row>
    <row r="3990" spans="1:9" x14ac:dyDescent="0.25">
      <c r="A3990" s="67" t="s">
        <v>2983</v>
      </c>
      <c r="B3990" s="67" t="s">
        <v>2982</v>
      </c>
      <c r="C3990" s="67">
        <v>0</v>
      </c>
      <c r="D3990" s="67">
        <v>0</v>
      </c>
      <c r="E3990" s="67">
        <v>83900.41</v>
      </c>
      <c r="F3990" s="67">
        <v>25250</v>
      </c>
      <c r="H3990" s="68">
        <v>40764</v>
      </c>
      <c r="I3990" s="67" t="s">
        <v>148</v>
      </c>
    </row>
    <row r="3991" spans="1:9" x14ac:dyDescent="0.25">
      <c r="B3991" s="67" t="s">
        <v>2982</v>
      </c>
      <c r="C3991" s="67">
        <v>0</v>
      </c>
      <c r="D3991" s="67">
        <v>0</v>
      </c>
      <c r="E3991" s="67">
        <v>83900.45</v>
      </c>
      <c r="H3991" s="67" t="s">
        <v>146</v>
      </c>
    </row>
    <row r="3993" spans="1:9" x14ac:dyDescent="0.25">
      <c r="A3993" s="67" t="s">
        <v>2981</v>
      </c>
      <c r="B3993" s="67" t="s">
        <v>2980</v>
      </c>
      <c r="C3993" s="67">
        <v>0</v>
      </c>
      <c r="D3993" s="67">
        <v>0</v>
      </c>
      <c r="E3993" s="67">
        <v>83900.41</v>
      </c>
      <c r="F3993" s="67">
        <v>25250</v>
      </c>
      <c r="H3993" s="68">
        <v>40764</v>
      </c>
      <c r="I3993" s="67" t="s">
        <v>148</v>
      </c>
    </row>
    <row r="3994" spans="1:9" x14ac:dyDescent="0.25">
      <c r="B3994" s="67" t="s">
        <v>2980</v>
      </c>
      <c r="C3994" s="67">
        <v>0</v>
      </c>
      <c r="D3994" s="67">
        <v>0</v>
      </c>
      <c r="E3994" s="67">
        <v>83900.45</v>
      </c>
      <c r="H3994" s="67" t="s">
        <v>146</v>
      </c>
    </row>
    <row r="3996" spans="1:9" x14ac:dyDescent="0.25">
      <c r="A3996" s="67" t="s">
        <v>2979</v>
      </c>
      <c r="B3996" s="67" t="s">
        <v>2978</v>
      </c>
      <c r="C3996" s="67">
        <v>0</v>
      </c>
      <c r="D3996" s="67">
        <v>0</v>
      </c>
      <c r="E3996" s="67">
        <v>83900.41</v>
      </c>
      <c r="F3996" s="67">
        <v>25250</v>
      </c>
      <c r="H3996" s="68">
        <v>40764</v>
      </c>
      <c r="I3996" s="67" t="s">
        <v>148</v>
      </c>
    </row>
    <row r="3997" spans="1:9" x14ac:dyDescent="0.25">
      <c r="B3997" s="67" t="s">
        <v>2978</v>
      </c>
      <c r="C3997" s="67">
        <v>0</v>
      </c>
      <c r="D3997" s="67">
        <v>0</v>
      </c>
      <c r="E3997" s="67">
        <v>83900.45</v>
      </c>
      <c r="H3997" s="67" t="s">
        <v>146</v>
      </c>
    </row>
    <row r="3999" spans="1:9" x14ac:dyDescent="0.25">
      <c r="A3999" s="67" t="s">
        <v>2977</v>
      </c>
      <c r="B3999" s="67" t="s">
        <v>2976</v>
      </c>
      <c r="C3999" s="67">
        <v>0</v>
      </c>
      <c r="D3999" s="67">
        <v>0</v>
      </c>
      <c r="E3999" s="67">
        <v>83900.41</v>
      </c>
      <c r="F3999" s="67">
        <v>25250</v>
      </c>
      <c r="H3999" s="68">
        <v>40764</v>
      </c>
      <c r="I3999" s="67" t="s">
        <v>148</v>
      </c>
    </row>
    <row r="4000" spans="1:9" x14ac:dyDescent="0.25">
      <c r="B4000" s="67" t="s">
        <v>2976</v>
      </c>
      <c r="C4000" s="67">
        <v>0</v>
      </c>
      <c r="D4000" s="67">
        <v>0</v>
      </c>
      <c r="E4000" s="67">
        <v>83900.45</v>
      </c>
      <c r="H4000" s="67" t="s">
        <v>146</v>
      </c>
    </row>
    <row r="4002" spans="1:9" x14ac:dyDescent="0.25">
      <c r="A4002" s="67" t="s">
        <v>2975</v>
      </c>
      <c r="B4002" s="67" t="s">
        <v>2974</v>
      </c>
      <c r="C4002" s="67">
        <v>0</v>
      </c>
      <c r="D4002" s="67">
        <v>0</v>
      </c>
      <c r="E4002" s="67">
        <v>83900.41</v>
      </c>
      <c r="F4002" s="67">
        <v>25250</v>
      </c>
      <c r="H4002" s="68">
        <v>40764</v>
      </c>
      <c r="I4002" s="67" t="s">
        <v>148</v>
      </c>
    </row>
    <row r="4003" spans="1:9" x14ac:dyDescent="0.25">
      <c r="B4003" s="67" t="s">
        <v>2974</v>
      </c>
      <c r="C4003" s="67">
        <v>0</v>
      </c>
      <c r="D4003" s="67">
        <v>0</v>
      </c>
      <c r="E4003" s="67">
        <v>83900.45</v>
      </c>
      <c r="H4003" s="67" t="s">
        <v>146</v>
      </c>
    </row>
    <row r="4005" spans="1:9" x14ac:dyDescent="0.25">
      <c r="A4005" s="67" t="s">
        <v>2973</v>
      </c>
      <c r="B4005" s="67" t="s">
        <v>2972</v>
      </c>
      <c r="C4005" s="67">
        <v>0</v>
      </c>
      <c r="D4005" s="67">
        <v>0</v>
      </c>
      <c r="E4005" s="67">
        <v>83900.41</v>
      </c>
      <c r="F4005" s="67">
        <v>25250</v>
      </c>
      <c r="H4005" s="68">
        <v>40764</v>
      </c>
      <c r="I4005" s="67" t="s">
        <v>148</v>
      </c>
    </row>
    <row r="4006" spans="1:9" x14ac:dyDescent="0.25">
      <c r="B4006" s="67" t="s">
        <v>2972</v>
      </c>
      <c r="C4006" s="67">
        <v>0</v>
      </c>
      <c r="D4006" s="67">
        <v>0</v>
      </c>
      <c r="E4006" s="67">
        <v>83900.45</v>
      </c>
      <c r="H4006" s="67" t="s">
        <v>146</v>
      </c>
    </row>
    <row r="4008" spans="1:9" x14ac:dyDescent="0.25">
      <c r="A4008" s="67" t="s">
        <v>2971</v>
      </c>
      <c r="B4008" s="67" t="s">
        <v>2970</v>
      </c>
      <c r="C4008" s="67">
        <v>0</v>
      </c>
      <c r="D4008" s="67">
        <v>0</v>
      </c>
      <c r="E4008" s="67">
        <v>83900.41</v>
      </c>
      <c r="F4008" s="67">
        <v>25250</v>
      </c>
      <c r="H4008" s="68">
        <v>40764</v>
      </c>
      <c r="I4008" s="67" t="s">
        <v>148</v>
      </c>
    </row>
    <row r="4009" spans="1:9" x14ac:dyDescent="0.25">
      <c r="B4009" s="67" t="s">
        <v>2970</v>
      </c>
      <c r="C4009" s="67">
        <v>0</v>
      </c>
      <c r="D4009" s="67">
        <v>0</v>
      </c>
      <c r="E4009" s="67">
        <v>83900.45</v>
      </c>
      <c r="H4009" s="67" t="s">
        <v>146</v>
      </c>
    </row>
    <row r="4011" spans="1:9" x14ac:dyDescent="0.25">
      <c r="A4011" s="67" t="s">
        <v>2969</v>
      </c>
      <c r="B4011" s="67" t="s">
        <v>2968</v>
      </c>
      <c r="C4011" s="67">
        <v>0</v>
      </c>
      <c r="D4011" s="67">
        <v>0</v>
      </c>
      <c r="E4011" s="67">
        <v>83900.41</v>
      </c>
      <c r="F4011" s="67">
        <v>25250</v>
      </c>
      <c r="H4011" s="68">
        <v>40764</v>
      </c>
      <c r="I4011" s="67" t="s">
        <v>148</v>
      </c>
    </row>
    <row r="4012" spans="1:9" x14ac:dyDescent="0.25">
      <c r="B4012" s="67" t="s">
        <v>2968</v>
      </c>
      <c r="C4012" s="67">
        <v>0</v>
      </c>
      <c r="D4012" s="67">
        <v>0</v>
      </c>
      <c r="E4012" s="67">
        <v>83900.45</v>
      </c>
      <c r="H4012" s="67" t="s">
        <v>146</v>
      </c>
    </row>
    <row r="4014" spans="1:9" x14ac:dyDescent="0.25">
      <c r="A4014" s="67" t="s">
        <v>2967</v>
      </c>
      <c r="B4014" s="67" t="s">
        <v>2966</v>
      </c>
      <c r="C4014" s="67">
        <v>0</v>
      </c>
      <c r="D4014" s="67">
        <v>0</v>
      </c>
      <c r="E4014" s="67">
        <v>83900.41</v>
      </c>
      <c r="F4014" s="67">
        <v>25250</v>
      </c>
      <c r="H4014" s="68">
        <v>40764</v>
      </c>
      <c r="I4014" s="67" t="s">
        <v>148</v>
      </c>
    </row>
    <row r="4015" spans="1:9" x14ac:dyDescent="0.25">
      <c r="B4015" s="67" t="s">
        <v>2966</v>
      </c>
      <c r="C4015" s="67">
        <v>0</v>
      </c>
      <c r="D4015" s="67">
        <v>0</v>
      </c>
      <c r="E4015" s="67">
        <v>83900.45</v>
      </c>
      <c r="H4015" s="67" t="s">
        <v>146</v>
      </c>
    </row>
    <row r="4017" spans="1:9" x14ac:dyDescent="0.25">
      <c r="A4017" s="67" t="s">
        <v>2965</v>
      </c>
      <c r="B4017" s="67" t="s">
        <v>2964</v>
      </c>
      <c r="C4017" s="67">
        <v>0</v>
      </c>
      <c r="D4017" s="67">
        <v>0</v>
      </c>
      <c r="E4017" s="67">
        <v>83900.41</v>
      </c>
      <c r="F4017" s="67">
        <v>25250</v>
      </c>
      <c r="H4017" s="68">
        <v>40764</v>
      </c>
      <c r="I4017" s="67" t="s">
        <v>148</v>
      </c>
    </row>
    <row r="4018" spans="1:9" x14ac:dyDescent="0.25">
      <c r="B4018" s="67" t="s">
        <v>2964</v>
      </c>
      <c r="C4018" s="67">
        <v>0</v>
      </c>
      <c r="D4018" s="67">
        <v>0</v>
      </c>
      <c r="E4018" s="67">
        <v>83900.45</v>
      </c>
      <c r="H4018" s="67" t="s">
        <v>146</v>
      </c>
    </row>
    <row r="4020" spans="1:9" x14ac:dyDescent="0.25">
      <c r="A4020" s="67" t="s">
        <v>2963</v>
      </c>
      <c r="B4020" s="67" t="s">
        <v>2962</v>
      </c>
      <c r="C4020" s="67">
        <v>0</v>
      </c>
      <c r="D4020" s="67">
        <v>0</v>
      </c>
      <c r="E4020" s="67">
        <v>83900.41</v>
      </c>
      <c r="F4020" s="67">
        <v>25250</v>
      </c>
      <c r="H4020" s="68">
        <v>40764</v>
      </c>
      <c r="I4020" s="67" t="s">
        <v>148</v>
      </c>
    </row>
    <row r="4021" spans="1:9" x14ac:dyDescent="0.25">
      <c r="B4021" s="67" t="s">
        <v>2962</v>
      </c>
      <c r="C4021" s="67">
        <v>0</v>
      </c>
      <c r="D4021" s="67">
        <v>0</v>
      </c>
      <c r="E4021" s="67">
        <v>83900.45</v>
      </c>
      <c r="H4021" s="67" t="s">
        <v>146</v>
      </c>
    </row>
    <row r="4023" spans="1:9" x14ac:dyDescent="0.25">
      <c r="A4023" s="67" t="s">
        <v>2961</v>
      </c>
      <c r="B4023" s="67" t="s">
        <v>2960</v>
      </c>
      <c r="C4023" s="67">
        <v>0</v>
      </c>
      <c r="D4023" s="67">
        <v>0</v>
      </c>
      <c r="E4023" s="67">
        <v>83900.41</v>
      </c>
      <c r="F4023" s="67">
        <v>25250</v>
      </c>
      <c r="H4023" s="68">
        <v>40764</v>
      </c>
      <c r="I4023" s="67" t="s">
        <v>148</v>
      </c>
    </row>
    <row r="4024" spans="1:9" x14ac:dyDescent="0.25">
      <c r="B4024" s="67" t="s">
        <v>2960</v>
      </c>
      <c r="C4024" s="67">
        <v>0</v>
      </c>
      <c r="D4024" s="67">
        <v>0</v>
      </c>
      <c r="E4024" s="67">
        <v>83900.45</v>
      </c>
      <c r="H4024" s="67" t="s">
        <v>146</v>
      </c>
    </row>
    <row r="4026" spans="1:9" x14ac:dyDescent="0.25">
      <c r="A4026" s="67" t="s">
        <v>2959</v>
      </c>
      <c r="B4026" s="67" t="s">
        <v>2958</v>
      </c>
      <c r="C4026" s="67">
        <v>0</v>
      </c>
      <c r="D4026" s="67">
        <v>0</v>
      </c>
      <c r="E4026" s="67">
        <v>83900.41</v>
      </c>
      <c r="F4026" s="67">
        <v>25250</v>
      </c>
      <c r="H4026" s="68">
        <v>40764</v>
      </c>
      <c r="I4026" s="67" t="s">
        <v>148</v>
      </c>
    </row>
    <row r="4027" spans="1:9" x14ac:dyDescent="0.25">
      <c r="B4027" s="67" t="s">
        <v>2958</v>
      </c>
      <c r="C4027" s="67">
        <v>0</v>
      </c>
      <c r="D4027" s="67">
        <v>0</v>
      </c>
      <c r="E4027" s="67">
        <v>83900.45</v>
      </c>
      <c r="H4027" s="67" t="s">
        <v>146</v>
      </c>
    </row>
    <row r="4029" spans="1:9" x14ac:dyDescent="0.25">
      <c r="A4029" s="67" t="s">
        <v>2957</v>
      </c>
      <c r="B4029" s="67" t="s">
        <v>2956</v>
      </c>
      <c r="C4029" s="67">
        <v>0</v>
      </c>
      <c r="D4029" s="67">
        <v>0</v>
      </c>
      <c r="E4029" s="67">
        <v>83900.41</v>
      </c>
      <c r="F4029" s="67">
        <v>25250</v>
      </c>
      <c r="H4029" s="68">
        <v>40764</v>
      </c>
      <c r="I4029" s="67" t="s">
        <v>148</v>
      </c>
    </row>
    <row r="4030" spans="1:9" x14ac:dyDescent="0.25">
      <c r="B4030" s="67" t="s">
        <v>2956</v>
      </c>
      <c r="C4030" s="67">
        <v>0</v>
      </c>
      <c r="D4030" s="67">
        <v>0</v>
      </c>
      <c r="E4030" s="67">
        <v>83900.45</v>
      </c>
      <c r="H4030" s="67" t="s">
        <v>146</v>
      </c>
    </row>
    <row r="4031" spans="1:9" x14ac:dyDescent="0.25">
      <c r="A4031" s="67" t="s">
        <v>233</v>
      </c>
    </row>
    <row r="4033" spans="1:9" x14ac:dyDescent="0.25">
      <c r="A4033" s="67" t="s">
        <v>232</v>
      </c>
      <c r="D4033" s="67" t="s">
        <v>231</v>
      </c>
      <c r="H4033" s="67" t="s">
        <v>148</v>
      </c>
      <c r="I4033" s="67" t="s">
        <v>230</v>
      </c>
    </row>
    <row r="4034" spans="1:9" x14ac:dyDescent="0.25">
      <c r="A4034" s="67">
        <v>41.1</v>
      </c>
      <c r="C4034" s="67" t="s">
        <v>215</v>
      </c>
      <c r="D4034" s="67" t="s">
        <v>229</v>
      </c>
      <c r="H4034" s="70">
        <v>44771</v>
      </c>
      <c r="I4034" s="69">
        <v>0.56736111111111109</v>
      </c>
    </row>
    <row r="4035" spans="1:9" x14ac:dyDescent="0.25">
      <c r="A4035" s="67" t="s">
        <v>228</v>
      </c>
      <c r="C4035" s="67" t="s">
        <v>227</v>
      </c>
      <c r="D4035" s="67" t="s">
        <v>226</v>
      </c>
      <c r="E4035" s="67">
        <v>589</v>
      </c>
      <c r="H4035" s="67" t="s">
        <v>225</v>
      </c>
      <c r="I4035" s="67">
        <v>71</v>
      </c>
    </row>
    <row r="4036" spans="1:9" x14ac:dyDescent="0.25">
      <c r="A4036" s="67" t="s">
        <v>884</v>
      </c>
    </row>
    <row r="4037" spans="1:9" x14ac:dyDescent="0.25">
      <c r="A4037" s="67" t="s">
        <v>223</v>
      </c>
      <c r="B4037" s="67" t="s">
        <v>222</v>
      </c>
      <c r="C4037" s="67" t="s">
        <v>221</v>
      </c>
      <c r="D4037" s="67" t="s">
        <v>220</v>
      </c>
      <c r="E4037" s="67" t="s">
        <v>219</v>
      </c>
      <c r="F4037" s="67" t="s">
        <v>217</v>
      </c>
      <c r="G4037" s="67" t="s">
        <v>218</v>
      </c>
      <c r="H4037" s="67" t="s">
        <v>217</v>
      </c>
      <c r="I4037" s="67" t="s">
        <v>216</v>
      </c>
    </row>
    <row r="4038" spans="1:9" x14ac:dyDescent="0.25">
      <c r="A4038" s="67" t="s">
        <v>215</v>
      </c>
      <c r="B4038" s="67" t="s">
        <v>214</v>
      </c>
      <c r="C4038" s="67" t="s">
        <v>213</v>
      </c>
      <c r="D4038" s="67" t="s">
        <v>212</v>
      </c>
      <c r="E4038" s="67" t="s">
        <v>211</v>
      </c>
      <c r="F4038" s="67" t="s">
        <v>210</v>
      </c>
      <c r="G4038" s="67" t="s">
        <v>209</v>
      </c>
      <c r="H4038" s="67" t="s">
        <v>208</v>
      </c>
      <c r="I4038" s="67" t="s">
        <v>207</v>
      </c>
    </row>
    <row r="4039" spans="1:9" x14ac:dyDescent="0.25">
      <c r="A4039" s="67" t="s">
        <v>206</v>
      </c>
      <c r="B4039" s="67" t="s">
        <v>205</v>
      </c>
      <c r="C4039" s="67" t="s">
        <v>204</v>
      </c>
      <c r="D4039" s="67" t="s">
        <v>203</v>
      </c>
      <c r="E4039" s="67" t="s">
        <v>202</v>
      </c>
      <c r="F4039" s="67" t="s">
        <v>201</v>
      </c>
      <c r="G4039" s="67" t="s">
        <v>200</v>
      </c>
      <c r="H4039" s="67" t="s">
        <v>199</v>
      </c>
    </row>
    <row r="4040" spans="1:9" x14ac:dyDescent="0.25">
      <c r="A4040" s="67" t="s">
        <v>2955</v>
      </c>
      <c r="B4040" s="67" t="s">
        <v>2954</v>
      </c>
      <c r="C4040" s="67">
        <v>0</v>
      </c>
      <c r="D4040" s="67">
        <v>0</v>
      </c>
      <c r="E4040" s="67">
        <v>83900.41</v>
      </c>
      <c r="F4040" s="67">
        <v>25250</v>
      </c>
      <c r="H4040" s="68">
        <v>40764</v>
      </c>
      <c r="I4040" s="67" t="s">
        <v>148</v>
      </c>
    </row>
    <row r="4041" spans="1:9" x14ac:dyDescent="0.25">
      <c r="B4041" s="67" t="s">
        <v>2954</v>
      </c>
      <c r="C4041" s="67">
        <v>0</v>
      </c>
      <c r="D4041" s="67">
        <v>0</v>
      </c>
      <c r="E4041" s="67">
        <v>83900.45</v>
      </c>
      <c r="H4041" s="67" t="s">
        <v>146</v>
      </c>
    </row>
    <row r="4043" spans="1:9" x14ac:dyDescent="0.25">
      <c r="A4043" s="67" t="s">
        <v>2953</v>
      </c>
      <c r="B4043" s="67" t="s">
        <v>2952</v>
      </c>
      <c r="C4043" s="67">
        <v>0</v>
      </c>
      <c r="D4043" s="67">
        <v>0</v>
      </c>
      <c r="E4043" s="67">
        <v>83900.41</v>
      </c>
      <c r="F4043" s="67">
        <v>25250</v>
      </c>
      <c r="H4043" s="68">
        <v>40764</v>
      </c>
      <c r="I4043" s="67" t="s">
        <v>148</v>
      </c>
    </row>
    <row r="4044" spans="1:9" x14ac:dyDescent="0.25">
      <c r="B4044" s="67" t="s">
        <v>2952</v>
      </c>
      <c r="C4044" s="67">
        <v>0</v>
      </c>
      <c r="D4044" s="67">
        <v>0</v>
      </c>
      <c r="E4044" s="67">
        <v>83900.45</v>
      </c>
      <c r="H4044" s="67" t="s">
        <v>146</v>
      </c>
    </row>
    <row r="4046" spans="1:9" x14ac:dyDescent="0.25">
      <c r="A4046" s="67" t="s">
        <v>2951</v>
      </c>
      <c r="B4046" s="67" t="s">
        <v>2950</v>
      </c>
      <c r="C4046" s="67">
        <v>0</v>
      </c>
      <c r="D4046" s="67">
        <v>0</v>
      </c>
      <c r="E4046" s="67">
        <v>83900.41</v>
      </c>
      <c r="F4046" s="67">
        <v>25250</v>
      </c>
      <c r="H4046" s="68">
        <v>40764</v>
      </c>
      <c r="I4046" s="67" t="s">
        <v>148</v>
      </c>
    </row>
    <row r="4047" spans="1:9" x14ac:dyDescent="0.25">
      <c r="B4047" s="67" t="s">
        <v>2950</v>
      </c>
      <c r="C4047" s="67">
        <v>0</v>
      </c>
      <c r="D4047" s="67">
        <v>0</v>
      </c>
      <c r="E4047" s="67">
        <v>83900.45</v>
      </c>
      <c r="H4047" s="67" t="s">
        <v>146</v>
      </c>
    </row>
    <row r="4049" spans="1:9" x14ac:dyDescent="0.25">
      <c r="A4049" s="67" t="s">
        <v>2949</v>
      </c>
      <c r="B4049" s="67" t="s">
        <v>2948</v>
      </c>
      <c r="C4049" s="67">
        <v>0</v>
      </c>
      <c r="D4049" s="67">
        <v>0</v>
      </c>
      <c r="E4049" s="67">
        <v>83900.41</v>
      </c>
      <c r="F4049" s="67">
        <v>25250</v>
      </c>
      <c r="H4049" s="68">
        <v>40764</v>
      </c>
      <c r="I4049" s="67" t="s">
        <v>148</v>
      </c>
    </row>
    <row r="4050" spans="1:9" x14ac:dyDescent="0.25">
      <c r="B4050" s="67" t="s">
        <v>2948</v>
      </c>
      <c r="C4050" s="67">
        <v>0</v>
      </c>
      <c r="D4050" s="67">
        <v>0</v>
      </c>
      <c r="E4050" s="67">
        <v>83900.45</v>
      </c>
      <c r="H4050" s="67" t="s">
        <v>146</v>
      </c>
    </row>
    <row r="4052" spans="1:9" x14ac:dyDescent="0.25">
      <c r="A4052" s="67" t="s">
        <v>2947</v>
      </c>
      <c r="B4052" s="67" t="s">
        <v>2946</v>
      </c>
      <c r="C4052" s="67">
        <v>0</v>
      </c>
      <c r="D4052" s="67">
        <v>0</v>
      </c>
      <c r="E4052" s="67">
        <v>83900.41</v>
      </c>
      <c r="F4052" s="67">
        <v>25250</v>
      </c>
      <c r="H4052" s="68">
        <v>40764</v>
      </c>
      <c r="I4052" s="67" t="s">
        <v>148</v>
      </c>
    </row>
    <row r="4053" spans="1:9" x14ac:dyDescent="0.25">
      <c r="B4053" s="67" t="s">
        <v>2946</v>
      </c>
      <c r="C4053" s="67">
        <v>0</v>
      </c>
      <c r="D4053" s="67">
        <v>0</v>
      </c>
      <c r="E4053" s="67">
        <v>83900.45</v>
      </c>
      <c r="H4053" s="67" t="s">
        <v>146</v>
      </c>
    </row>
    <row r="4055" spans="1:9" x14ac:dyDescent="0.25">
      <c r="A4055" s="67" t="s">
        <v>2945</v>
      </c>
      <c r="B4055" s="67" t="s">
        <v>2944</v>
      </c>
      <c r="C4055" s="67">
        <v>0</v>
      </c>
      <c r="D4055" s="67">
        <v>0</v>
      </c>
      <c r="E4055" s="67">
        <v>83900.41</v>
      </c>
      <c r="F4055" s="67">
        <v>25250</v>
      </c>
      <c r="H4055" s="68">
        <v>40764</v>
      </c>
      <c r="I4055" s="67" t="s">
        <v>148</v>
      </c>
    </row>
    <row r="4056" spans="1:9" x14ac:dyDescent="0.25">
      <c r="B4056" s="67" t="s">
        <v>2944</v>
      </c>
      <c r="C4056" s="67">
        <v>0</v>
      </c>
      <c r="D4056" s="67">
        <v>0</v>
      </c>
      <c r="E4056" s="67">
        <v>83900.45</v>
      </c>
      <c r="H4056" s="67" t="s">
        <v>146</v>
      </c>
    </row>
    <row r="4058" spans="1:9" x14ac:dyDescent="0.25">
      <c r="A4058" s="67" t="s">
        <v>2943</v>
      </c>
      <c r="B4058" s="67" t="s">
        <v>2942</v>
      </c>
      <c r="C4058" s="67">
        <v>0</v>
      </c>
      <c r="D4058" s="67">
        <v>0</v>
      </c>
      <c r="E4058" s="67">
        <v>83900.41</v>
      </c>
      <c r="F4058" s="67">
        <v>25250</v>
      </c>
      <c r="H4058" s="68">
        <v>40764</v>
      </c>
      <c r="I4058" s="67" t="s">
        <v>148</v>
      </c>
    </row>
    <row r="4059" spans="1:9" x14ac:dyDescent="0.25">
      <c r="B4059" s="67" t="s">
        <v>2942</v>
      </c>
      <c r="C4059" s="67">
        <v>0</v>
      </c>
      <c r="D4059" s="67">
        <v>0</v>
      </c>
      <c r="E4059" s="67">
        <v>83900.45</v>
      </c>
      <c r="H4059" s="67" t="s">
        <v>146</v>
      </c>
    </row>
    <row r="4061" spans="1:9" x14ac:dyDescent="0.25">
      <c r="A4061" s="67" t="s">
        <v>2941</v>
      </c>
      <c r="B4061" s="67" t="s">
        <v>2940</v>
      </c>
      <c r="C4061" s="67">
        <v>0</v>
      </c>
      <c r="D4061" s="67">
        <v>0</v>
      </c>
      <c r="E4061" s="67">
        <v>83900.41</v>
      </c>
      <c r="F4061" s="67">
        <v>25250</v>
      </c>
      <c r="H4061" s="68">
        <v>40764</v>
      </c>
      <c r="I4061" s="67" t="s">
        <v>148</v>
      </c>
    </row>
    <row r="4062" spans="1:9" x14ac:dyDescent="0.25">
      <c r="B4062" s="67" t="s">
        <v>2940</v>
      </c>
      <c r="C4062" s="67">
        <v>0</v>
      </c>
      <c r="D4062" s="67">
        <v>0</v>
      </c>
      <c r="E4062" s="67">
        <v>83900.45</v>
      </c>
      <c r="H4062" s="67" t="s">
        <v>146</v>
      </c>
    </row>
    <row r="4064" spans="1:9" x14ac:dyDescent="0.25">
      <c r="A4064" s="67" t="s">
        <v>2939</v>
      </c>
      <c r="B4064" s="67" t="s">
        <v>2938</v>
      </c>
      <c r="C4064" s="67">
        <v>0</v>
      </c>
      <c r="D4064" s="67">
        <v>0</v>
      </c>
      <c r="E4064" s="67">
        <v>83900.41</v>
      </c>
      <c r="F4064" s="67">
        <v>25250</v>
      </c>
      <c r="H4064" s="68">
        <v>40764</v>
      </c>
      <c r="I4064" s="67" t="s">
        <v>148</v>
      </c>
    </row>
    <row r="4065" spans="1:9" x14ac:dyDescent="0.25">
      <c r="B4065" s="67" t="s">
        <v>2938</v>
      </c>
      <c r="C4065" s="67">
        <v>0</v>
      </c>
      <c r="D4065" s="67">
        <v>0</v>
      </c>
      <c r="E4065" s="67">
        <v>83900.45</v>
      </c>
      <c r="H4065" s="67" t="s">
        <v>146</v>
      </c>
    </row>
    <row r="4067" spans="1:9" x14ac:dyDescent="0.25">
      <c r="A4067" s="67" t="s">
        <v>2937</v>
      </c>
      <c r="B4067" s="67" t="s">
        <v>2936</v>
      </c>
      <c r="C4067" s="67">
        <v>0</v>
      </c>
      <c r="D4067" s="67">
        <v>0</v>
      </c>
      <c r="E4067" s="67">
        <v>83900.41</v>
      </c>
      <c r="F4067" s="67">
        <v>25250</v>
      </c>
      <c r="H4067" s="68">
        <v>40764</v>
      </c>
      <c r="I4067" s="67" t="s">
        <v>148</v>
      </c>
    </row>
    <row r="4068" spans="1:9" x14ac:dyDescent="0.25">
      <c r="B4068" s="67" t="s">
        <v>2936</v>
      </c>
      <c r="C4068" s="67">
        <v>0</v>
      </c>
      <c r="D4068" s="67">
        <v>0</v>
      </c>
      <c r="E4068" s="67">
        <v>83900.45</v>
      </c>
      <c r="H4068" s="67" t="s">
        <v>146</v>
      </c>
    </row>
    <row r="4070" spans="1:9" x14ac:dyDescent="0.25">
      <c r="A4070" s="67" t="s">
        <v>2935</v>
      </c>
      <c r="B4070" s="67" t="s">
        <v>2934</v>
      </c>
      <c r="C4070" s="67">
        <v>0</v>
      </c>
      <c r="D4070" s="67">
        <v>0</v>
      </c>
      <c r="E4070" s="67">
        <v>83900.41</v>
      </c>
      <c r="F4070" s="67">
        <v>25250</v>
      </c>
      <c r="H4070" s="68">
        <v>40764</v>
      </c>
      <c r="I4070" s="67" t="s">
        <v>148</v>
      </c>
    </row>
    <row r="4071" spans="1:9" x14ac:dyDescent="0.25">
      <c r="B4071" s="67" t="s">
        <v>2934</v>
      </c>
      <c r="C4071" s="67">
        <v>0</v>
      </c>
      <c r="D4071" s="67">
        <v>0</v>
      </c>
      <c r="E4071" s="67">
        <v>83900.45</v>
      </c>
      <c r="H4071" s="67" t="s">
        <v>146</v>
      </c>
    </row>
    <row r="4073" spans="1:9" x14ac:dyDescent="0.25">
      <c r="A4073" s="67" t="s">
        <v>2933</v>
      </c>
      <c r="B4073" s="67" t="s">
        <v>2932</v>
      </c>
      <c r="C4073" s="67">
        <v>0</v>
      </c>
      <c r="D4073" s="67">
        <v>0</v>
      </c>
      <c r="E4073" s="67">
        <v>83900.41</v>
      </c>
      <c r="F4073" s="67">
        <v>25250</v>
      </c>
      <c r="H4073" s="68">
        <v>40764</v>
      </c>
      <c r="I4073" s="67" t="s">
        <v>148</v>
      </c>
    </row>
    <row r="4074" spans="1:9" x14ac:dyDescent="0.25">
      <c r="B4074" s="67" t="s">
        <v>2932</v>
      </c>
      <c r="C4074" s="67">
        <v>0</v>
      </c>
      <c r="D4074" s="67">
        <v>0</v>
      </c>
      <c r="E4074" s="67">
        <v>83900.45</v>
      </c>
      <c r="H4074" s="67" t="s">
        <v>146</v>
      </c>
    </row>
    <row r="4076" spans="1:9" x14ac:dyDescent="0.25">
      <c r="A4076" s="67" t="s">
        <v>2931</v>
      </c>
      <c r="B4076" s="67" t="s">
        <v>2930</v>
      </c>
      <c r="C4076" s="67">
        <v>0</v>
      </c>
      <c r="D4076" s="67">
        <v>0</v>
      </c>
      <c r="E4076" s="67">
        <v>83900.41</v>
      </c>
      <c r="F4076" s="67">
        <v>25250</v>
      </c>
      <c r="H4076" s="68">
        <v>40764</v>
      </c>
      <c r="I4076" s="67" t="s">
        <v>148</v>
      </c>
    </row>
    <row r="4077" spans="1:9" x14ac:dyDescent="0.25">
      <c r="B4077" s="67" t="s">
        <v>2930</v>
      </c>
      <c r="C4077" s="67">
        <v>0</v>
      </c>
      <c r="D4077" s="67">
        <v>0</v>
      </c>
      <c r="E4077" s="67">
        <v>83900.45</v>
      </c>
      <c r="H4077" s="67" t="s">
        <v>146</v>
      </c>
    </row>
    <row r="4079" spans="1:9" x14ac:dyDescent="0.25">
      <c r="A4079" s="67" t="s">
        <v>2929</v>
      </c>
      <c r="B4079" s="67" t="s">
        <v>2928</v>
      </c>
      <c r="C4079" s="67">
        <v>0</v>
      </c>
      <c r="D4079" s="67">
        <v>0</v>
      </c>
      <c r="E4079" s="67">
        <v>83900.41</v>
      </c>
      <c r="F4079" s="67">
        <v>25250</v>
      </c>
      <c r="H4079" s="68">
        <v>40764</v>
      </c>
      <c r="I4079" s="67" t="s">
        <v>148</v>
      </c>
    </row>
    <row r="4080" spans="1:9" x14ac:dyDescent="0.25">
      <c r="B4080" s="67" t="s">
        <v>2928</v>
      </c>
      <c r="C4080" s="67">
        <v>0</v>
      </c>
      <c r="D4080" s="67">
        <v>0</v>
      </c>
      <c r="E4080" s="67">
        <v>83900.45</v>
      </c>
      <c r="H4080" s="67" t="s">
        <v>146</v>
      </c>
    </row>
    <row r="4082" spans="1:9" x14ac:dyDescent="0.25">
      <c r="A4082" s="67" t="s">
        <v>2927</v>
      </c>
      <c r="B4082" s="67" t="s">
        <v>2926</v>
      </c>
      <c r="C4082" s="67">
        <v>0</v>
      </c>
      <c r="D4082" s="67">
        <v>0</v>
      </c>
      <c r="E4082" s="67">
        <v>83900.41</v>
      </c>
      <c r="F4082" s="67">
        <v>25250</v>
      </c>
      <c r="H4082" s="68">
        <v>40764</v>
      </c>
      <c r="I4082" s="67" t="s">
        <v>148</v>
      </c>
    </row>
    <row r="4083" spans="1:9" x14ac:dyDescent="0.25">
      <c r="B4083" s="67" t="s">
        <v>2926</v>
      </c>
      <c r="C4083" s="67">
        <v>0</v>
      </c>
      <c r="D4083" s="67">
        <v>0</v>
      </c>
      <c r="E4083" s="67">
        <v>83900.45</v>
      </c>
      <c r="H4083" s="67" t="s">
        <v>146</v>
      </c>
    </row>
    <row r="4085" spans="1:9" x14ac:dyDescent="0.25">
      <c r="A4085" s="67" t="s">
        <v>2925</v>
      </c>
      <c r="B4085" s="67" t="s">
        <v>2924</v>
      </c>
      <c r="C4085" s="67">
        <v>0</v>
      </c>
      <c r="D4085" s="67">
        <v>0</v>
      </c>
      <c r="E4085" s="67">
        <v>83900.41</v>
      </c>
      <c r="F4085" s="67">
        <v>25250</v>
      </c>
      <c r="H4085" s="68">
        <v>40764</v>
      </c>
      <c r="I4085" s="67" t="s">
        <v>148</v>
      </c>
    </row>
    <row r="4086" spans="1:9" x14ac:dyDescent="0.25">
      <c r="B4086" s="67" t="s">
        <v>2924</v>
      </c>
      <c r="C4086" s="67">
        <v>0</v>
      </c>
      <c r="D4086" s="67">
        <v>0</v>
      </c>
      <c r="E4086" s="67">
        <v>83900.45</v>
      </c>
      <c r="H4086" s="67" t="s">
        <v>146</v>
      </c>
    </row>
    <row r="4088" spans="1:9" x14ac:dyDescent="0.25">
      <c r="A4088" s="67" t="s">
        <v>2923</v>
      </c>
      <c r="B4088" s="67" t="s">
        <v>2922</v>
      </c>
      <c r="C4088" s="67">
        <v>0</v>
      </c>
      <c r="D4088" s="67">
        <v>0</v>
      </c>
      <c r="E4088" s="67">
        <v>83900.41</v>
      </c>
      <c r="F4088" s="67">
        <v>25250</v>
      </c>
      <c r="H4088" s="68">
        <v>40764</v>
      </c>
      <c r="I4088" s="67" t="s">
        <v>148</v>
      </c>
    </row>
    <row r="4089" spans="1:9" x14ac:dyDescent="0.25">
      <c r="B4089" s="67" t="s">
        <v>2922</v>
      </c>
      <c r="C4089" s="67">
        <v>0</v>
      </c>
      <c r="D4089" s="67">
        <v>0</v>
      </c>
      <c r="E4089" s="67">
        <v>83900.45</v>
      </c>
      <c r="H4089" s="67" t="s">
        <v>146</v>
      </c>
    </row>
    <row r="4090" spans="1:9" x14ac:dyDescent="0.25">
      <c r="A4090" s="67" t="s">
        <v>233</v>
      </c>
    </row>
    <row r="4092" spans="1:9" x14ac:dyDescent="0.25">
      <c r="A4092" s="67" t="s">
        <v>232</v>
      </c>
      <c r="D4092" s="67" t="s">
        <v>231</v>
      </c>
      <c r="H4092" s="67" t="s">
        <v>148</v>
      </c>
      <c r="I4092" s="67" t="s">
        <v>230</v>
      </c>
    </row>
    <row r="4093" spans="1:9" x14ac:dyDescent="0.25">
      <c r="A4093" s="67">
        <v>41.1</v>
      </c>
      <c r="C4093" s="67" t="s">
        <v>215</v>
      </c>
      <c r="D4093" s="67" t="s">
        <v>229</v>
      </c>
      <c r="H4093" s="70">
        <v>44771</v>
      </c>
      <c r="I4093" s="69">
        <v>0.56736111111111109</v>
      </c>
    </row>
    <row r="4094" spans="1:9" x14ac:dyDescent="0.25">
      <c r="A4094" s="67" t="s">
        <v>228</v>
      </c>
      <c r="C4094" s="67" t="s">
        <v>227</v>
      </c>
      <c r="D4094" s="67" t="s">
        <v>226</v>
      </c>
      <c r="E4094" s="67">
        <v>589</v>
      </c>
      <c r="H4094" s="67" t="s">
        <v>225</v>
      </c>
      <c r="I4094" s="67">
        <v>72</v>
      </c>
    </row>
    <row r="4095" spans="1:9" x14ac:dyDescent="0.25">
      <c r="A4095" s="67" t="s">
        <v>884</v>
      </c>
    </row>
    <row r="4096" spans="1:9" x14ac:dyDescent="0.25">
      <c r="A4096" s="67" t="s">
        <v>223</v>
      </c>
      <c r="B4096" s="67" t="s">
        <v>222</v>
      </c>
      <c r="C4096" s="67" t="s">
        <v>221</v>
      </c>
      <c r="D4096" s="67" t="s">
        <v>220</v>
      </c>
      <c r="E4096" s="67" t="s">
        <v>219</v>
      </c>
      <c r="F4096" s="67" t="s">
        <v>217</v>
      </c>
      <c r="G4096" s="67" t="s">
        <v>218</v>
      </c>
      <c r="H4096" s="67" t="s">
        <v>217</v>
      </c>
      <c r="I4096" s="67" t="s">
        <v>216</v>
      </c>
    </row>
    <row r="4097" spans="1:9" x14ac:dyDescent="0.25">
      <c r="A4097" s="67" t="s">
        <v>215</v>
      </c>
      <c r="B4097" s="67" t="s">
        <v>214</v>
      </c>
      <c r="C4097" s="67" t="s">
        <v>213</v>
      </c>
      <c r="D4097" s="67" t="s">
        <v>212</v>
      </c>
      <c r="E4097" s="67" t="s">
        <v>211</v>
      </c>
      <c r="F4097" s="67" t="s">
        <v>210</v>
      </c>
      <c r="G4097" s="67" t="s">
        <v>209</v>
      </c>
      <c r="H4097" s="67" t="s">
        <v>208</v>
      </c>
      <c r="I4097" s="67" t="s">
        <v>207</v>
      </c>
    </row>
    <row r="4098" spans="1:9" x14ac:dyDescent="0.25">
      <c r="A4098" s="67" t="s">
        <v>206</v>
      </c>
      <c r="B4098" s="67" t="s">
        <v>205</v>
      </c>
      <c r="C4098" s="67" t="s">
        <v>204</v>
      </c>
      <c r="D4098" s="67" t="s">
        <v>203</v>
      </c>
      <c r="E4098" s="67" t="s">
        <v>202</v>
      </c>
      <c r="F4098" s="67" t="s">
        <v>201</v>
      </c>
      <c r="G4098" s="67" t="s">
        <v>200</v>
      </c>
      <c r="H4098" s="67" t="s">
        <v>199</v>
      </c>
    </row>
    <row r="4099" spans="1:9" x14ac:dyDescent="0.25">
      <c r="A4099" s="67" t="s">
        <v>2921</v>
      </c>
      <c r="B4099" s="67" t="s">
        <v>2920</v>
      </c>
      <c r="C4099" s="67">
        <v>0</v>
      </c>
      <c r="D4099" s="67">
        <v>0</v>
      </c>
      <c r="E4099" s="67">
        <v>83900.41</v>
      </c>
      <c r="F4099" s="67">
        <v>25250</v>
      </c>
      <c r="H4099" s="68">
        <v>40764</v>
      </c>
      <c r="I4099" s="67" t="s">
        <v>148</v>
      </c>
    </row>
    <row r="4100" spans="1:9" x14ac:dyDescent="0.25">
      <c r="B4100" s="67" t="s">
        <v>2920</v>
      </c>
      <c r="C4100" s="67">
        <v>0</v>
      </c>
      <c r="D4100" s="67">
        <v>0</v>
      </c>
      <c r="E4100" s="67">
        <v>83900.45</v>
      </c>
      <c r="H4100" s="67" t="s">
        <v>146</v>
      </c>
    </row>
    <row r="4102" spans="1:9" x14ac:dyDescent="0.25">
      <c r="A4102" s="67" t="s">
        <v>2919</v>
      </c>
      <c r="B4102" s="67" t="s">
        <v>2918</v>
      </c>
      <c r="C4102" s="67">
        <v>0</v>
      </c>
      <c r="D4102" s="67">
        <v>0</v>
      </c>
      <c r="E4102" s="67">
        <v>83900.41</v>
      </c>
      <c r="F4102" s="67">
        <v>25250</v>
      </c>
      <c r="H4102" s="68">
        <v>40764</v>
      </c>
      <c r="I4102" s="67" t="s">
        <v>148</v>
      </c>
    </row>
    <row r="4103" spans="1:9" x14ac:dyDescent="0.25">
      <c r="B4103" s="67" t="s">
        <v>2918</v>
      </c>
      <c r="C4103" s="67">
        <v>0</v>
      </c>
      <c r="D4103" s="67">
        <v>0</v>
      </c>
      <c r="E4103" s="67">
        <v>83900.45</v>
      </c>
      <c r="H4103" s="67" t="s">
        <v>146</v>
      </c>
    </row>
    <row r="4105" spans="1:9" x14ac:dyDescent="0.25">
      <c r="A4105" s="67" t="s">
        <v>2917</v>
      </c>
      <c r="B4105" s="67" t="s">
        <v>2916</v>
      </c>
      <c r="C4105" s="67">
        <v>0</v>
      </c>
      <c r="D4105" s="67">
        <v>0</v>
      </c>
      <c r="E4105" s="67">
        <v>83900.41</v>
      </c>
      <c r="F4105" s="67">
        <v>25250</v>
      </c>
      <c r="H4105" s="68">
        <v>40764</v>
      </c>
      <c r="I4105" s="67" t="s">
        <v>148</v>
      </c>
    </row>
    <row r="4106" spans="1:9" x14ac:dyDescent="0.25">
      <c r="B4106" s="67" t="s">
        <v>2916</v>
      </c>
      <c r="C4106" s="67">
        <v>0</v>
      </c>
      <c r="D4106" s="67">
        <v>0</v>
      </c>
      <c r="E4106" s="67">
        <v>83900.45</v>
      </c>
      <c r="H4106" s="67" t="s">
        <v>146</v>
      </c>
    </row>
    <row r="4108" spans="1:9" x14ac:dyDescent="0.25">
      <c r="A4108" s="67" t="s">
        <v>2915</v>
      </c>
      <c r="B4108" s="67" t="s">
        <v>2914</v>
      </c>
      <c r="C4108" s="67">
        <v>0</v>
      </c>
      <c r="D4108" s="67">
        <v>0</v>
      </c>
      <c r="E4108" s="67">
        <v>83900.41</v>
      </c>
      <c r="F4108" s="67">
        <v>25250</v>
      </c>
      <c r="H4108" s="68">
        <v>40764</v>
      </c>
      <c r="I4108" s="67" t="s">
        <v>148</v>
      </c>
    </row>
    <row r="4109" spans="1:9" x14ac:dyDescent="0.25">
      <c r="B4109" s="67" t="s">
        <v>2914</v>
      </c>
      <c r="C4109" s="67">
        <v>0</v>
      </c>
      <c r="D4109" s="67">
        <v>0</v>
      </c>
      <c r="E4109" s="67">
        <v>83900.45</v>
      </c>
      <c r="H4109" s="67" t="s">
        <v>146</v>
      </c>
    </row>
    <row r="4111" spans="1:9" x14ac:dyDescent="0.25">
      <c r="A4111" s="67" t="s">
        <v>2913</v>
      </c>
      <c r="B4111" s="67" t="s">
        <v>2912</v>
      </c>
      <c r="C4111" s="67">
        <v>0</v>
      </c>
      <c r="D4111" s="67">
        <v>0</v>
      </c>
      <c r="E4111" s="67">
        <v>83900.41</v>
      </c>
      <c r="F4111" s="67">
        <v>25250</v>
      </c>
      <c r="H4111" s="68">
        <v>40764</v>
      </c>
      <c r="I4111" s="67" t="s">
        <v>148</v>
      </c>
    </row>
    <row r="4112" spans="1:9" x14ac:dyDescent="0.25">
      <c r="B4112" s="67" t="s">
        <v>2912</v>
      </c>
      <c r="C4112" s="67">
        <v>0</v>
      </c>
      <c r="D4112" s="67">
        <v>0</v>
      </c>
      <c r="E4112" s="67">
        <v>83900.45</v>
      </c>
      <c r="H4112" s="67" t="s">
        <v>146</v>
      </c>
    </row>
    <row r="4114" spans="1:9" x14ac:dyDescent="0.25">
      <c r="A4114" s="67" t="s">
        <v>2911</v>
      </c>
      <c r="B4114" s="67" t="s">
        <v>2910</v>
      </c>
      <c r="C4114" s="67">
        <v>0</v>
      </c>
      <c r="D4114" s="67">
        <v>0</v>
      </c>
      <c r="E4114" s="67">
        <v>83900.41</v>
      </c>
      <c r="F4114" s="67">
        <v>25250</v>
      </c>
      <c r="H4114" s="68">
        <v>40764</v>
      </c>
      <c r="I4114" s="67" t="s">
        <v>148</v>
      </c>
    </row>
    <row r="4115" spans="1:9" x14ac:dyDescent="0.25">
      <c r="B4115" s="67" t="s">
        <v>2910</v>
      </c>
      <c r="C4115" s="67">
        <v>0</v>
      </c>
      <c r="D4115" s="67">
        <v>0</v>
      </c>
      <c r="E4115" s="67">
        <v>83900.45</v>
      </c>
      <c r="H4115" s="67" t="s">
        <v>146</v>
      </c>
    </row>
    <row r="4117" spans="1:9" x14ac:dyDescent="0.25">
      <c r="A4117" s="67" t="s">
        <v>2909</v>
      </c>
      <c r="B4117" s="67" t="s">
        <v>2908</v>
      </c>
      <c r="C4117" s="67">
        <v>0</v>
      </c>
      <c r="D4117" s="67">
        <v>0</v>
      </c>
      <c r="E4117" s="67">
        <v>83900.41</v>
      </c>
      <c r="F4117" s="67">
        <v>25250</v>
      </c>
      <c r="H4117" s="68">
        <v>40764</v>
      </c>
      <c r="I4117" s="67" t="s">
        <v>148</v>
      </c>
    </row>
    <row r="4118" spans="1:9" x14ac:dyDescent="0.25">
      <c r="B4118" s="67" t="s">
        <v>2908</v>
      </c>
      <c r="C4118" s="67">
        <v>0</v>
      </c>
      <c r="D4118" s="67">
        <v>0</v>
      </c>
      <c r="E4118" s="67">
        <v>83900.45</v>
      </c>
      <c r="H4118" s="67" t="s">
        <v>146</v>
      </c>
    </row>
    <row r="4120" spans="1:9" x14ac:dyDescent="0.25">
      <c r="A4120" s="67" t="s">
        <v>2907</v>
      </c>
      <c r="B4120" s="67" t="s">
        <v>2906</v>
      </c>
      <c r="C4120" s="67">
        <v>0</v>
      </c>
      <c r="D4120" s="67">
        <v>0</v>
      </c>
      <c r="E4120" s="67">
        <v>83900.41</v>
      </c>
      <c r="F4120" s="67">
        <v>25250</v>
      </c>
      <c r="H4120" s="68">
        <v>40764</v>
      </c>
      <c r="I4120" s="67" t="s">
        <v>148</v>
      </c>
    </row>
    <row r="4121" spans="1:9" x14ac:dyDescent="0.25">
      <c r="B4121" s="67" t="s">
        <v>2906</v>
      </c>
      <c r="C4121" s="67">
        <v>0</v>
      </c>
      <c r="D4121" s="67">
        <v>0</v>
      </c>
      <c r="E4121" s="67">
        <v>83900.45</v>
      </c>
      <c r="H4121" s="67" t="s">
        <v>146</v>
      </c>
    </row>
    <row r="4123" spans="1:9" x14ac:dyDescent="0.25">
      <c r="A4123" s="67" t="s">
        <v>2905</v>
      </c>
      <c r="B4123" s="67" t="s">
        <v>2904</v>
      </c>
      <c r="C4123" s="67">
        <v>0</v>
      </c>
      <c r="D4123" s="67">
        <v>0</v>
      </c>
      <c r="E4123" s="67">
        <v>83900.41</v>
      </c>
      <c r="F4123" s="67">
        <v>25250</v>
      </c>
      <c r="H4123" s="68">
        <v>40764</v>
      </c>
      <c r="I4123" s="67" t="s">
        <v>148</v>
      </c>
    </row>
    <row r="4124" spans="1:9" x14ac:dyDescent="0.25">
      <c r="B4124" s="67" t="s">
        <v>2904</v>
      </c>
      <c r="C4124" s="67">
        <v>0</v>
      </c>
      <c r="D4124" s="67">
        <v>0</v>
      </c>
      <c r="E4124" s="67">
        <v>83900.45</v>
      </c>
      <c r="H4124" s="67" t="s">
        <v>146</v>
      </c>
    </row>
    <row r="4126" spans="1:9" x14ac:dyDescent="0.25">
      <c r="A4126" s="67" t="s">
        <v>2903</v>
      </c>
      <c r="B4126" s="67" t="s">
        <v>2902</v>
      </c>
      <c r="C4126" s="67">
        <v>0</v>
      </c>
      <c r="D4126" s="67">
        <v>0</v>
      </c>
      <c r="E4126" s="67">
        <v>83900.41</v>
      </c>
      <c r="F4126" s="67">
        <v>25250</v>
      </c>
      <c r="H4126" s="68">
        <v>40764</v>
      </c>
      <c r="I4126" s="67" t="s">
        <v>148</v>
      </c>
    </row>
    <row r="4127" spans="1:9" x14ac:dyDescent="0.25">
      <c r="B4127" s="67" t="s">
        <v>2902</v>
      </c>
      <c r="C4127" s="67">
        <v>0</v>
      </c>
      <c r="D4127" s="67">
        <v>0</v>
      </c>
      <c r="E4127" s="67">
        <v>83900.45</v>
      </c>
      <c r="H4127" s="67" t="s">
        <v>146</v>
      </c>
    </row>
    <row r="4129" spans="1:9" x14ac:dyDescent="0.25">
      <c r="A4129" s="67" t="s">
        <v>2901</v>
      </c>
      <c r="B4129" s="67" t="s">
        <v>2900</v>
      </c>
      <c r="C4129" s="67">
        <v>0</v>
      </c>
      <c r="D4129" s="67">
        <v>0</v>
      </c>
      <c r="E4129" s="67">
        <v>83900.41</v>
      </c>
      <c r="F4129" s="67">
        <v>25250</v>
      </c>
      <c r="H4129" s="68">
        <v>40764</v>
      </c>
      <c r="I4129" s="67" t="s">
        <v>148</v>
      </c>
    </row>
    <row r="4130" spans="1:9" x14ac:dyDescent="0.25">
      <c r="B4130" s="67" t="s">
        <v>2900</v>
      </c>
      <c r="C4130" s="67">
        <v>0</v>
      </c>
      <c r="D4130" s="67">
        <v>0</v>
      </c>
      <c r="E4130" s="67">
        <v>83900.45</v>
      </c>
      <c r="H4130" s="67" t="s">
        <v>146</v>
      </c>
    </row>
    <row r="4132" spans="1:9" x14ac:dyDescent="0.25">
      <c r="A4132" s="67" t="s">
        <v>2899</v>
      </c>
      <c r="B4132" s="67" t="s">
        <v>2898</v>
      </c>
      <c r="C4132" s="67">
        <v>0</v>
      </c>
      <c r="D4132" s="67">
        <v>0</v>
      </c>
      <c r="E4132" s="67">
        <v>83900.41</v>
      </c>
      <c r="F4132" s="67">
        <v>25250</v>
      </c>
      <c r="H4132" s="68">
        <v>40764</v>
      </c>
      <c r="I4132" s="67" t="s">
        <v>148</v>
      </c>
    </row>
    <row r="4133" spans="1:9" x14ac:dyDescent="0.25">
      <c r="B4133" s="67" t="s">
        <v>2898</v>
      </c>
      <c r="C4133" s="67">
        <v>0</v>
      </c>
      <c r="D4133" s="67">
        <v>0</v>
      </c>
      <c r="E4133" s="67">
        <v>83900.45</v>
      </c>
      <c r="H4133" s="67" t="s">
        <v>146</v>
      </c>
    </row>
    <row r="4135" spans="1:9" x14ac:dyDescent="0.25">
      <c r="A4135" s="67" t="s">
        <v>2897</v>
      </c>
      <c r="B4135" s="67" t="s">
        <v>2896</v>
      </c>
      <c r="C4135" s="67">
        <v>0</v>
      </c>
      <c r="D4135" s="67">
        <v>0</v>
      </c>
      <c r="E4135" s="67">
        <v>83900.41</v>
      </c>
      <c r="F4135" s="67">
        <v>25250</v>
      </c>
      <c r="H4135" s="68">
        <v>40764</v>
      </c>
      <c r="I4135" s="67" t="s">
        <v>148</v>
      </c>
    </row>
    <row r="4136" spans="1:9" x14ac:dyDescent="0.25">
      <c r="B4136" s="67" t="s">
        <v>2896</v>
      </c>
      <c r="C4136" s="67">
        <v>0</v>
      </c>
      <c r="D4136" s="67">
        <v>0</v>
      </c>
      <c r="E4136" s="67">
        <v>83900.45</v>
      </c>
      <c r="H4136" s="67" t="s">
        <v>146</v>
      </c>
    </row>
    <row r="4138" spans="1:9" x14ac:dyDescent="0.25">
      <c r="A4138" s="67" t="s">
        <v>2895</v>
      </c>
      <c r="B4138" s="67" t="s">
        <v>2894</v>
      </c>
      <c r="C4138" s="67">
        <v>0</v>
      </c>
      <c r="D4138" s="67">
        <v>0</v>
      </c>
      <c r="E4138" s="67">
        <v>83900.41</v>
      </c>
      <c r="F4138" s="67">
        <v>25250</v>
      </c>
      <c r="H4138" s="68">
        <v>40764</v>
      </c>
      <c r="I4138" s="67" t="s">
        <v>148</v>
      </c>
    </row>
    <row r="4139" spans="1:9" x14ac:dyDescent="0.25">
      <c r="B4139" s="67" t="s">
        <v>2894</v>
      </c>
      <c r="C4139" s="67">
        <v>0</v>
      </c>
      <c r="D4139" s="67">
        <v>0</v>
      </c>
      <c r="E4139" s="67">
        <v>83900.45</v>
      </c>
      <c r="H4139" s="67" t="s">
        <v>146</v>
      </c>
    </row>
    <row r="4141" spans="1:9" x14ac:dyDescent="0.25">
      <c r="A4141" s="67" t="s">
        <v>2893</v>
      </c>
      <c r="B4141" s="67" t="s">
        <v>2892</v>
      </c>
      <c r="C4141" s="67">
        <v>0</v>
      </c>
      <c r="D4141" s="67">
        <v>0</v>
      </c>
      <c r="E4141" s="67">
        <v>83900.41</v>
      </c>
      <c r="F4141" s="67">
        <v>25250</v>
      </c>
      <c r="H4141" s="68">
        <v>40764</v>
      </c>
      <c r="I4141" s="67" t="s">
        <v>148</v>
      </c>
    </row>
    <row r="4142" spans="1:9" x14ac:dyDescent="0.25">
      <c r="B4142" s="67" t="s">
        <v>2892</v>
      </c>
      <c r="C4142" s="67">
        <v>0</v>
      </c>
      <c r="D4142" s="67">
        <v>0</v>
      </c>
      <c r="E4142" s="67">
        <v>83900.45</v>
      </c>
      <c r="H4142" s="67" t="s">
        <v>146</v>
      </c>
    </row>
    <row r="4144" spans="1:9" x14ac:dyDescent="0.25">
      <c r="A4144" s="67" t="s">
        <v>2891</v>
      </c>
      <c r="B4144" s="67" t="s">
        <v>2890</v>
      </c>
      <c r="C4144" s="67">
        <v>0</v>
      </c>
      <c r="D4144" s="67">
        <v>0</v>
      </c>
      <c r="E4144" s="67">
        <v>83900.41</v>
      </c>
      <c r="F4144" s="67">
        <v>25250</v>
      </c>
      <c r="H4144" s="68">
        <v>40764</v>
      </c>
      <c r="I4144" s="67" t="s">
        <v>148</v>
      </c>
    </row>
    <row r="4145" spans="1:9" x14ac:dyDescent="0.25">
      <c r="B4145" s="67" t="s">
        <v>2890</v>
      </c>
      <c r="C4145" s="67">
        <v>0</v>
      </c>
      <c r="D4145" s="67">
        <v>0</v>
      </c>
      <c r="E4145" s="67">
        <v>83900.45</v>
      </c>
      <c r="H4145" s="67" t="s">
        <v>146</v>
      </c>
    </row>
    <row r="4147" spans="1:9" x14ac:dyDescent="0.25">
      <c r="A4147" s="67" t="s">
        <v>2889</v>
      </c>
      <c r="B4147" s="67" t="s">
        <v>2888</v>
      </c>
      <c r="C4147" s="67">
        <v>0</v>
      </c>
      <c r="D4147" s="67">
        <v>0</v>
      </c>
      <c r="E4147" s="67">
        <v>83900.41</v>
      </c>
      <c r="F4147" s="67">
        <v>25250</v>
      </c>
      <c r="H4147" s="68">
        <v>40764</v>
      </c>
      <c r="I4147" s="67" t="s">
        <v>148</v>
      </c>
    </row>
    <row r="4148" spans="1:9" x14ac:dyDescent="0.25">
      <c r="B4148" s="67" t="s">
        <v>2888</v>
      </c>
      <c r="C4148" s="67">
        <v>0</v>
      </c>
      <c r="D4148" s="67">
        <v>0</v>
      </c>
      <c r="E4148" s="67">
        <v>83900.45</v>
      </c>
      <c r="H4148" s="67" t="s">
        <v>146</v>
      </c>
    </row>
    <row r="4149" spans="1:9" x14ac:dyDescent="0.25">
      <c r="A4149" s="67" t="s">
        <v>233</v>
      </c>
    </row>
    <row r="4151" spans="1:9" x14ac:dyDescent="0.25">
      <c r="A4151" s="67" t="s">
        <v>232</v>
      </c>
      <c r="D4151" s="67" t="s">
        <v>231</v>
      </c>
      <c r="H4151" s="67" t="s">
        <v>148</v>
      </c>
      <c r="I4151" s="67" t="s">
        <v>230</v>
      </c>
    </row>
    <row r="4152" spans="1:9" x14ac:dyDescent="0.25">
      <c r="A4152" s="67">
        <v>41.1</v>
      </c>
      <c r="C4152" s="67" t="s">
        <v>215</v>
      </c>
      <c r="D4152" s="67" t="s">
        <v>229</v>
      </c>
      <c r="H4152" s="70">
        <v>44771</v>
      </c>
      <c r="I4152" s="69">
        <v>0.56736111111111109</v>
      </c>
    </row>
    <row r="4153" spans="1:9" x14ac:dyDescent="0.25">
      <c r="A4153" s="67" t="s">
        <v>228</v>
      </c>
      <c r="C4153" s="67" t="s">
        <v>227</v>
      </c>
      <c r="D4153" s="67" t="s">
        <v>226</v>
      </c>
      <c r="E4153" s="67">
        <v>589</v>
      </c>
      <c r="H4153" s="67" t="s">
        <v>225</v>
      </c>
      <c r="I4153" s="67">
        <v>73</v>
      </c>
    </row>
    <row r="4154" spans="1:9" x14ac:dyDescent="0.25">
      <c r="A4154" s="67" t="s">
        <v>884</v>
      </c>
    </row>
    <row r="4155" spans="1:9" x14ac:dyDescent="0.25">
      <c r="A4155" s="67" t="s">
        <v>223</v>
      </c>
      <c r="B4155" s="67" t="s">
        <v>222</v>
      </c>
      <c r="C4155" s="67" t="s">
        <v>221</v>
      </c>
      <c r="D4155" s="67" t="s">
        <v>220</v>
      </c>
      <c r="E4155" s="67" t="s">
        <v>219</v>
      </c>
      <c r="F4155" s="67" t="s">
        <v>217</v>
      </c>
      <c r="G4155" s="67" t="s">
        <v>218</v>
      </c>
      <c r="H4155" s="67" t="s">
        <v>217</v>
      </c>
      <c r="I4155" s="67" t="s">
        <v>216</v>
      </c>
    </row>
    <row r="4156" spans="1:9" x14ac:dyDescent="0.25">
      <c r="A4156" s="67" t="s">
        <v>215</v>
      </c>
      <c r="B4156" s="67" t="s">
        <v>214</v>
      </c>
      <c r="C4156" s="67" t="s">
        <v>213</v>
      </c>
      <c r="D4156" s="67" t="s">
        <v>212</v>
      </c>
      <c r="E4156" s="67" t="s">
        <v>211</v>
      </c>
      <c r="F4156" s="67" t="s">
        <v>210</v>
      </c>
      <c r="G4156" s="67" t="s">
        <v>209</v>
      </c>
      <c r="H4156" s="67" t="s">
        <v>208</v>
      </c>
      <c r="I4156" s="67" t="s">
        <v>207</v>
      </c>
    </row>
    <row r="4157" spans="1:9" x14ac:dyDescent="0.25">
      <c r="A4157" s="67" t="s">
        <v>206</v>
      </c>
      <c r="B4157" s="67" t="s">
        <v>205</v>
      </c>
      <c r="C4157" s="67" t="s">
        <v>204</v>
      </c>
      <c r="D4157" s="67" t="s">
        <v>203</v>
      </c>
      <c r="E4157" s="67" t="s">
        <v>202</v>
      </c>
      <c r="F4157" s="67" t="s">
        <v>201</v>
      </c>
      <c r="G4157" s="67" t="s">
        <v>200</v>
      </c>
      <c r="H4157" s="67" t="s">
        <v>199</v>
      </c>
    </row>
    <row r="4158" spans="1:9" x14ac:dyDescent="0.25">
      <c r="A4158" s="67" t="s">
        <v>2887</v>
      </c>
      <c r="B4158" s="67" t="s">
        <v>2886</v>
      </c>
      <c r="C4158" s="67">
        <v>0</v>
      </c>
      <c r="D4158" s="67">
        <v>0</v>
      </c>
      <c r="E4158" s="67">
        <v>83900.41</v>
      </c>
      <c r="F4158" s="67">
        <v>25250</v>
      </c>
      <c r="H4158" s="68">
        <v>40764</v>
      </c>
      <c r="I4158" s="67" t="s">
        <v>148</v>
      </c>
    </row>
    <row r="4159" spans="1:9" x14ac:dyDescent="0.25">
      <c r="B4159" s="67" t="s">
        <v>2886</v>
      </c>
      <c r="C4159" s="67">
        <v>0</v>
      </c>
      <c r="D4159" s="67">
        <v>0</v>
      </c>
      <c r="E4159" s="67">
        <v>83900.45</v>
      </c>
      <c r="H4159" s="67" t="s">
        <v>146</v>
      </c>
    </row>
    <row r="4161" spans="1:9" x14ac:dyDescent="0.25">
      <c r="A4161" s="67" t="s">
        <v>2885</v>
      </c>
      <c r="B4161" s="67" t="s">
        <v>2884</v>
      </c>
      <c r="C4161" s="67">
        <v>0</v>
      </c>
      <c r="D4161" s="67">
        <v>0</v>
      </c>
      <c r="E4161" s="67">
        <v>83900.41</v>
      </c>
      <c r="F4161" s="67">
        <v>25250</v>
      </c>
      <c r="H4161" s="68">
        <v>40764</v>
      </c>
      <c r="I4161" s="67" t="s">
        <v>148</v>
      </c>
    </row>
    <row r="4162" spans="1:9" x14ac:dyDescent="0.25">
      <c r="B4162" s="67" t="s">
        <v>2884</v>
      </c>
      <c r="C4162" s="67">
        <v>0</v>
      </c>
      <c r="D4162" s="67">
        <v>0</v>
      </c>
      <c r="E4162" s="67">
        <v>83900.45</v>
      </c>
      <c r="H4162" s="67" t="s">
        <v>146</v>
      </c>
    </row>
    <row r="4164" spans="1:9" x14ac:dyDescent="0.25">
      <c r="A4164" s="67" t="s">
        <v>2883</v>
      </c>
      <c r="B4164" s="67" t="s">
        <v>2882</v>
      </c>
      <c r="C4164" s="67">
        <v>0</v>
      </c>
      <c r="D4164" s="67">
        <v>0</v>
      </c>
      <c r="E4164" s="67">
        <v>83900.41</v>
      </c>
      <c r="F4164" s="67">
        <v>25250</v>
      </c>
      <c r="H4164" s="68">
        <v>40764</v>
      </c>
      <c r="I4164" s="67" t="s">
        <v>148</v>
      </c>
    </row>
    <row r="4165" spans="1:9" x14ac:dyDescent="0.25">
      <c r="B4165" s="67" t="s">
        <v>2882</v>
      </c>
      <c r="C4165" s="67">
        <v>0</v>
      </c>
      <c r="D4165" s="67">
        <v>0</v>
      </c>
      <c r="E4165" s="67">
        <v>83900.45</v>
      </c>
      <c r="H4165" s="67" t="s">
        <v>146</v>
      </c>
    </row>
    <row r="4167" spans="1:9" x14ac:dyDescent="0.25">
      <c r="A4167" s="67" t="s">
        <v>2881</v>
      </c>
      <c r="B4167" s="67" t="s">
        <v>2880</v>
      </c>
      <c r="C4167" s="67">
        <v>0</v>
      </c>
      <c r="D4167" s="67">
        <v>0</v>
      </c>
      <c r="E4167" s="67">
        <v>83900.41</v>
      </c>
      <c r="F4167" s="67">
        <v>25250</v>
      </c>
      <c r="H4167" s="68">
        <v>40764</v>
      </c>
      <c r="I4167" s="67" t="s">
        <v>148</v>
      </c>
    </row>
    <row r="4168" spans="1:9" x14ac:dyDescent="0.25">
      <c r="B4168" s="67" t="s">
        <v>2880</v>
      </c>
      <c r="C4168" s="67">
        <v>0</v>
      </c>
      <c r="D4168" s="67">
        <v>0</v>
      </c>
      <c r="E4168" s="67">
        <v>83900.45</v>
      </c>
      <c r="H4168" s="67" t="s">
        <v>146</v>
      </c>
    </row>
    <row r="4170" spans="1:9" x14ac:dyDescent="0.25">
      <c r="A4170" s="67" t="s">
        <v>2879</v>
      </c>
      <c r="B4170" s="67" t="s">
        <v>2878</v>
      </c>
      <c r="C4170" s="67">
        <v>0</v>
      </c>
      <c r="D4170" s="67">
        <v>0</v>
      </c>
      <c r="E4170" s="67">
        <v>83900.41</v>
      </c>
      <c r="F4170" s="67">
        <v>25250</v>
      </c>
      <c r="H4170" s="68">
        <v>40764</v>
      </c>
      <c r="I4170" s="67" t="s">
        <v>148</v>
      </c>
    </row>
    <row r="4171" spans="1:9" x14ac:dyDescent="0.25">
      <c r="B4171" s="67" t="s">
        <v>2878</v>
      </c>
      <c r="C4171" s="67">
        <v>0</v>
      </c>
      <c r="D4171" s="67">
        <v>0</v>
      </c>
      <c r="E4171" s="67">
        <v>83900.45</v>
      </c>
      <c r="H4171" s="67" t="s">
        <v>146</v>
      </c>
    </row>
    <row r="4173" spans="1:9" x14ac:dyDescent="0.25">
      <c r="A4173" s="67" t="s">
        <v>2877</v>
      </c>
      <c r="B4173" s="67" t="s">
        <v>2876</v>
      </c>
      <c r="C4173" s="67">
        <v>0</v>
      </c>
      <c r="D4173" s="67">
        <v>0</v>
      </c>
      <c r="E4173" s="67">
        <v>83900.41</v>
      </c>
      <c r="F4173" s="67">
        <v>25250</v>
      </c>
      <c r="H4173" s="68">
        <v>40764</v>
      </c>
      <c r="I4173" s="67" t="s">
        <v>148</v>
      </c>
    </row>
    <row r="4174" spans="1:9" x14ac:dyDescent="0.25">
      <c r="B4174" s="67" t="s">
        <v>2876</v>
      </c>
      <c r="C4174" s="67">
        <v>0</v>
      </c>
      <c r="D4174" s="67">
        <v>0</v>
      </c>
      <c r="E4174" s="67">
        <v>83900.45</v>
      </c>
      <c r="H4174" s="67" t="s">
        <v>146</v>
      </c>
    </row>
    <row r="4176" spans="1:9" x14ac:dyDescent="0.25">
      <c r="A4176" s="67" t="s">
        <v>2875</v>
      </c>
      <c r="B4176" s="67" t="s">
        <v>2874</v>
      </c>
      <c r="C4176" s="67">
        <v>0</v>
      </c>
      <c r="D4176" s="67">
        <v>0</v>
      </c>
      <c r="E4176" s="67">
        <v>83900.41</v>
      </c>
      <c r="F4176" s="67">
        <v>25250</v>
      </c>
      <c r="H4176" s="68">
        <v>40764</v>
      </c>
      <c r="I4176" s="67" t="s">
        <v>148</v>
      </c>
    </row>
    <row r="4177" spans="1:9" x14ac:dyDescent="0.25">
      <c r="B4177" s="67" t="s">
        <v>2874</v>
      </c>
      <c r="C4177" s="67">
        <v>0</v>
      </c>
      <c r="D4177" s="67">
        <v>0</v>
      </c>
      <c r="E4177" s="67">
        <v>83900.45</v>
      </c>
      <c r="H4177" s="67" t="s">
        <v>146</v>
      </c>
    </row>
    <row r="4179" spans="1:9" x14ac:dyDescent="0.25">
      <c r="A4179" s="67" t="s">
        <v>2873</v>
      </c>
      <c r="B4179" s="67" t="s">
        <v>2872</v>
      </c>
      <c r="C4179" s="67">
        <v>0</v>
      </c>
      <c r="D4179" s="67">
        <v>0</v>
      </c>
      <c r="E4179" s="67">
        <v>83900.41</v>
      </c>
      <c r="F4179" s="67">
        <v>25250</v>
      </c>
      <c r="H4179" s="68">
        <v>40764</v>
      </c>
      <c r="I4179" s="67" t="s">
        <v>148</v>
      </c>
    </row>
    <row r="4180" spans="1:9" x14ac:dyDescent="0.25">
      <c r="B4180" s="67" t="s">
        <v>2872</v>
      </c>
      <c r="C4180" s="67">
        <v>0</v>
      </c>
      <c r="D4180" s="67">
        <v>0</v>
      </c>
      <c r="E4180" s="67">
        <v>83900.45</v>
      </c>
      <c r="H4180" s="67" t="s">
        <v>146</v>
      </c>
    </row>
    <row r="4182" spans="1:9" x14ac:dyDescent="0.25">
      <c r="A4182" s="67" t="s">
        <v>2871</v>
      </c>
      <c r="B4182" s="67" t="s">
        <v>2870</v>
      </c>
      <c r="C4182" s="67">
        <v>0</v>
      </c>
      <c r="D4182" s="67">
        <v>0</v>
      </c>
      <c r="E4182" s="67">
        <v>83900.41</v>
      </c>
      <c r="F4182" s="67">
        <v>25250</v>
      </c>
      <c r="H4182" s="68">
        <v>40764</v>
      </c>
      <c r="I4182" s="67" t="s">
        <v>148</v>
      </c>
    </row>
    <row r="4183" spans="1:9" x14ac:dyDescent="0.25">
      <c r="B4183" s="67" t="s">
        <v>2870</v>
      </c>
      <c r="C4183" s="67">
        <v>0</v>
      </c>
      <c r="D4183" s="67">
        <v>0</v>
      </c>
      <c r="E4183" s="67">
        <v>83900.45</v>
      </c>
      <c r="H4183" s="67" t="s">
        <v>146</v>
      </c>
    </row>
    <row r="4185" spans="1:9" x14ac:dyDescent="0.25">
      <c r="A4185" s="67" t="s">
        <v>2869</v>
      </c>
      <c r="B4185" s="67" t="s">
        <v>2868</v>
      </c>
      <c r="C4185" s="67">
        <v>0</v>
      </c>
      <c r="D4185" s="67">
        <v>0</v>
      </c>
      <c r="E4185" s="67">
        <v>83900.41</v>
      </c>
      <c r="F4185" s="67">
        <v>25250</v>
      </c>
      <c r="H4185" s="68">
        <v>40764</v>
      </c>
      <c r="I4185" s="67" t="s">
        <v>148</v>
      </c>
    </row>
    <row r="4186" spans="1:9" x14ac:dyDescent="0.25">
      <c r="B4186" s="67" t="s">
        <v>2868</v>
      </c>
      <c r="C4186" s="67">
        <v>0</v>
      </c>
      <c r="D4186" s="67">
        <v>0</v>
      </c>
      <c r="E4186" s="67">
        <v>83900.45</v>
      </c>
      <c r="H4186" s="67" t="s">
        <v>146</v>
      </c>
    </row>
    <row r="4188" spans="1:9" x14ac:dyDescent="0.25">
      <c r="A4188" s="67" t="s">
        <v>2867</v>
      </c>
      <c r="B4188" s="67" t="s">
        <v>2866</v>
      </c>
      <c r="C4188" s="67">
        <v>0</v>
      </c>
      <c r="D4188" s="67">
        <v>0</v>
      </c>
      <c r="E4188" s="67">
        <v>83900.41</v>
      </c>
      <c r="F4188" s="67">
        <v>25250</v>
      </c>
      <c r="H4188" s="68">
        <v>40764</v>
      </c>
      <c r="I4188" s="67" t="s">
        <v>148</v>
      </c>
    </row>
    <row r="4189" spans="1:9" x14ac:dyDescent="0.25">
      <c r="B4189" s="67" t="s">
        <v>2866</v>
      </c>
      <c r="C4189" s="67">
        <v>0</v>
      </c>
      <c r="D4189" s="67">
        <v>0</v>
      </c>
      <c r="E4189" s="67">
        <v>83900.45</v>
      </c>
      <c r="H4189" s="67" t="s">
        <v>146</v>
      </c>
    </row>
    <row r="4191" spans="1:9" x14ac:dyDescent="0.25">
      <c r="A4191" s="67" t="s">
        <v>2865</v>
      </c>
      <c r="B4191" s="67" t="s">
        <v>2864</v>
      </c>
      <c r="C4191" s="67">
        <v>0</v>
      </c>
      <c r="D4191" s="67">
        <v>0</v>
      </c>
      <c r="E4191" s="67">
        <v>83900.41</v>
      </c>
      <c r="F4191" s="67">
        <v>25250</v>
      </c>
      <c r="H4191" s="68">
        <v>40764</v>
      </c>
      <c r="I4191" s="67" t="s">
        <v>148</v>
      </c>
    </row>
    <row r="4192" spans="1:9" x14ac:dyDescent="0.25">
      <c r="B4192" s="67" t="s">
        <v>2864</v>
      </c>
      <c r="C4192" s="67">
        <v>0</v>
      </c>
      <c r="D4192" s="67">
        <v>0</v>
      </c>
      <c r="E4192" s="67">
        <v>83900.45</v>
      </c>
      <c r="H4192" s="67" t="s">
        <v>146</v>
      </c>
    </row>
    <row r="4194" spans="1:9" x14ac:dyDescent="0.25">
      <c r="A4194" s="67" t="s">
        <v>2863</v>
      </c>
      <c r="B4194" s="67" t="s">
        <v>2862</v>
      </c>
      <c r="C4194" s="67">
        <v>0</v>
      </c>
      <c r="D4194" s="67">
        <v>0</v>
      </c>
      <c r="E4194" s="67">
        <v>83900.41</v>
      </c>
      <c r="F4194" s="67">
        <v>25250</v>
      </c>
      <c r="H4194" s="68">
        <v>40764</v>
      </c>
      <c r="I4194" s="67" t="s">
        <v>148</v>
      </c>
    </row>
    <row r="4195" spans="1:9" x14ac:dyDescent="0.25">
      <c r="B4195" s="67" t="s">
        <v>2862</v>
      </c>
      <c r="C4195" s="67">
        <v>0</v>
      </c>
      <c r="D4195" s="67">
        <v>0</v>
      </c>
      <c r="E4195" s="67">
        <v>83900.45</v>
      </c>
      <c r="H4195" s="67" t="s">
        <v>146</v>
      </c>
    </row>
    <row r="4197" spans="1:9" x14ac:dyDescent="0.25">
      <c r="A4197" s="67" t="s">
        <v>2861</v>
      </c>
      <c r="B4197" s="67" t="s">
        <v>2860</v>
      </c>
      <c r="C4197" s="67">
        <v>0</v>
      </c>
      <c r="D4197" s="67">
        <v>0</v>
      </c>
      <c r="E4197" s="67">
        <v>83900.41</v>
      </c>
      <c r="F4197" s="67">
        <v>25250</v>
      </c>
      <c r="H4197" s="68">
        <v>40764</v>
      </c>
      <c r="I4197" s="67" t="s">
        <v>148</v>
      </c>
    </row>
    <row r="4198" spans="1:9" x14ac:dyDescent="0.25">
      <c r="B4198" s="67" t="s">
        <v>2860</v>
      </c>
      <c r="C4198" s="67">
        <v>0</v>
      </c>
      <c r="D4198" s="67">
        <v>0</v>
      </c>
      <c r="E4198" s="67">
        <v>83900.45</v>
      </c>
      <c r="H4198" s="67" t="s">
        <v>146</v>
      </c>
    </row>
    <row r="4200" spans="1:9" x14ac:dyDescent="0.25">
      <c r="A4200" s="67" t="s">
        <v>2859</v>
      </c>
      <c r="B4200" s="67" t="s">
        <v>2858</v>
      </c>
      <c r="C4200" s="67">
        <v>0</v>
      </c>
      <c r="D4200" s="67">
        <v>0</v>
      </c>
      <c r="E4200" s="67">
        <v>83900.41</v>
      </c>
      <c r="F4200" s="67">
        <v>25250</v>
      </c>
      <c r="H4200" s="68">
        <v>40764</v>
      </c>
      <c r="I4200" s="67" t="s">
        <v>148</v>
      </c>
    </row>
    <row r="4201" spans="1:9" x14ac:dyDescent="0.25">
      <c r="B4201" s="67" t="s">
        <v>2858</v>
      </c>
      <c r="C4201" s="67">
        <v>0</v>
      </c>
      <c r="D4201" s="67">
        <v>0</v>
      </c>
      <c r="E4201" s="67">
        <v>83900.45</v>
      </c>
      <c r="H4201" s="67" t="s">
        <v>146</v>
      </c>
    </row>
    <row r="4203" spans="1:9" x14ac:dyDescent="0.25">
      <c r="A4203" s="67" t="s">
        <v>2857</v>
      </c>
      <c r="B4203" s="67" t="s">
        <v>2856</v>
      </c>
      <c r="C4203" s="67">
        <v>0</v>
      </c>
      <c r="D4203" s="67">
        <v>0</v>
      </c>
      <c r="E4203" s="67">
        <v>83900.41</v>
      </c>
      <c r="F4203" s="67">
        <v>25250</v>
      </c>
      <c r="H4203" s="68">
        <v>40764</v>
      </c>
      <c r="I4203" s="67" t="s">
        <v>148</v>
      </c>
    </row>
    <row r="4204" spans="1:9" x14ac:dyDescent="0.25">
      <c r="B4204" s="67" t="s">
        <v>2856</v>
      </c>
      <c r="C4204" s="67">
        <v>0</v>
      </c>
      <c r="D4204" s="67">
        <v>0</v>
      </c>
      <c r="E4204" s="67">
        <v>83900.45</v>
      </c>
      <c r="H4204" s="67" t="s">
        <v>146</v>
      </c>
    </row>
    <row r="4206" spans="1:9" x14ac:dyDescent="0.25">
      <c r="A4206" s="67" t="s">
        <v>2855</v>
      </c>
      <c r="B4206" s="67" t="s">
        <v>2854</v>
      </c>
      <c r="C4206" s="67">
        <v>0</v>
      </c>
      <c r="D4206" s="67">
        <v>0</v>
      </c>
      <c r="E4206" s="67">
        <v>83900.41</v>
      </c>
      <c r="F4206" s="67">
        <v>25250</v>
      </c>
      <c r="H4206" s="68">
        <v>40764</v>
      </c>
      <c r="I4206" s="67" t="s">
        <v>148</v>
      </c>
    </row>
    <row r="4207" spans="1:9" x14ac:dyDescent="0.25">
      <c r="B4207" s="67" t="s">
        <v>2854</v>
      </c>
      <c r="C4207" s="67">
        <v>0</v>
      </c>
      <c r="D4207" s="67">
        <v>0</v>
      </c>
      <c r="E4207" s="67">
        <v>83900.45</v>
      </c>
      <c r="H4207" s="67" t="s">
        <v>146</v>
      </c>
    </row>
    <row r="4208" spans="1:9" x14ac:dyDescent="0.25">
      <c r="A4208" s="67" t="s">
        <v>233</v>
      </c>
    </row>
    <row r="4210" spans="1:9" x14ac:dyDescent="0.25">
      <c r="A4210" s="67" t="s">
        <v>232</v>
      </c>
      <c r="D4210" s="67" t="s">
        <v>231</v>
      </c>
      <c r="H4210" s="67" t="s">
        <v>148</v>
      </c>
      <c r="I4210" s="67" t="s">
        <v>230</v>
      </c>
    </row>
    <row r="4211" spans="1:9" x14ac:dyDescent="0.25">
      <c r="A4211" s="67">
        <v>41.1</v>
      </c>
      <c r="C4211" s="67" t="s">
        <v>215</v>
      </c>
      <c r="D4211" s="67" t="s">
        <v>229</v>
      </c>
      <c r="H4211" s="70">
        <v>44771</v>
      </c>
      <c r="I4211" s="69">
        <v>0.56736111111111109</v>
      </c>
    </row>
    <row r="4212" spans="1:9" x14ac:dyDescent="0.25">
      <c r="A4212" s="67" t="s">
        <v>228</v>
      </c>
      <c r="C4212" s="67" t="s">
        <v>227</v>
      </c>
      <c r="D4212" s="67" t="s">
        <v>226</v>
      </c>
      <c r="E4212" s="67">
        <v>589</v>
      </c>
      <c r="H4212" s="67" t="s">
        <v>225</v>
      </c>
      <c r="I4212" s="67">
        <v>74</v>
      </c>
    </row>
    <row r="4213" spans="1:9" x14ac:dyDescent="0.25">
      <c r="A4213" s="67" t="s">
        <v>884</v>
      </c>
    </row>
    <row r="4214" spans="1:9" x14ac:dyDescent="0.25">
      <c r="A4214" s="67" t="s">
        <v>223</v>
      </c>
      <c r="B4214" s="67" t="s">
        <v>222</v>
      </c>
      <c r="C4214" s="67" t="s">
        <v>221</v>
      </c>
      <c r="D4214" s="67" t="s">
        <v>220</v>
      </c>
      <c r="E4214" s="67" t="s">
        <v>219</v>
      </c>
      <c r="F4214" s="67" t="s">
        <v>217</v>
      </c>
      <c r="G4214" s="67" t="s">
        <v>218</v>
      </c>
      <c r="H4214" s="67" t="s">
        <v>217</v>
      </c>
      <c r="I4214" s="67" t="s">
        <v>216</v>
      </c>
    </row>
    <row r="4215" spans="1:9" x14ac:dyDescent="0.25">
      <c r="A4215" s="67" t="s">
        <v>215</v>
      </c>
      <c r="B4215" s="67" t="s">
        <v>214</v>
      </c>
      <c r="C4215" s="67" t="s">
        <v>213</v>
      </c>
      <c r="D4215" s="67" t="s">
        <v>212</v>
      </c>
      <c r="E4215" s="67" t="s">
        <v>211</v>
      </c>
      <c r="F4215" s="67" t="s">
        <v>210</v>
      </c>
      <c r="G4215" s="67" t="s">
        <v>209</v>
      </c>
      <c r="H4215" s="67" t="s">
        <v>208</v>
      </c>
      <c r="I4215" s="67" t="s">
        <v>207</v>
      </c>
    </row>
    <row r="4216" spans="1:9" x14ac:dyDescent="0.25">
      <c r="A4216" s="67" t="s">
        <v>206</v>
      </c>
      <c r="B4216" s="67" t="s">
        <v>205</v>
      </c>
      <c r="C4216" s="67" t="s">
        <v>204</v>
      </c>
      <c r="D4216" s="67" t="s">
        <v>203</v>
      </c>
      <c r="E4216" s="67" t="s">
        <v>202</v>
      </c>
      <c r="F4216" s="67" t="s">
        <v>201</v>
      </c>
      <c r="G4216" s="67" t="s">
        <v>200</v>
      </c>
      <c r="H4216" s="67" t="s">
        <v>199</v>
      </c>
    </row>
    <row r="4217" spans="1:9" x14ac:dyDescent="0.25">
      <c r="A4217" s="67" t="s">
        <v>2853</v>
      </c>
      <c r="B4217" s="67" t="s">
        <v>2852</v>
      </c>
      <c r="C4217" s="67">
        <v>0</v>
      </c>
      <c r="D4217" s="67">
        <v>0</v>
      </c>
      <c r="E4217" s="67">
        <v>83900.41</v>
      </c>
      <c r="F4217" s="67">
        <v>25250</v>
      </c>
      <c r="H4217" s="68">
        <v>40764</v>
      </c>
      <c r="I4217" s="67" t="s">
        <v>148</v>
      </c>
    </row>
    <row r="4218" spans="1:9" x14ac:dyDescent="0.25">
      <c r="B4218" s="67" t="s">
        <v>2852</v>
      </c>
      <c r="C4218" s="67">
        <v>0</v>
      </c>
      <c r="D4218" s="67">
        <v>0</v>
      </c>
      <c r="E4218" s="67">
        <v>83900.45</v>
      </c>
      <c r="H4218" s="67" t="s">
        <v>146</v>
      </c>
    </row>
    <row r="4220" spans="1:9" x14ac:dyDescent="0.25">
      <c r="A4220" s="67" t="s">
        <v>2851</v>
      </c>
      <c r="B4220" s="67" t="s">
        <v>2850</v>
      </c>
      <c r="C4220" s="67">
        <v>0</v>
      </c>
      <c r="D4220" s="67">
        <v>0</v>
      </c>
      <c r="E4220" s="67">
        <v>83900.41</v>
      </c>
      <c r="F4220" s="67">
        <v>25250</v>
      </c>
      <c r="H4220" s="68">
        <v>40764</v>
      </c>
      <c r="I4220" s="67" t="s">
        <v>148</v>
      </c>
    </row>
    <row r="4221" spans="1:9" x14ac:dyDescent="0.25">
      <c r="B4221" s="67" t="s">
        <v>2850</v>
      </c>
      <c r="C4221" s="67">
        <v>0</v>
      </c>
      <c r="D4221" s="67">
        <v>0</v>
      </c>
      <c r="E4221" s="67">
        <v>83900.45</v>
      </c>
      <c r="H4221" s="67" t="s">
        <v>146</v>
      </c>
    </row>
    <row r="4223" spans="1:9" x14ac:dyDescent="0.25">
      <c r="A4223" s="67" t="s">
        <v>2849</v>
      </c>
      <c r="B4223" s="67" t="s">
        <v>2848</v>
      </c>
      <c r="C4223" s="67">
        <v>0</v>
      </c>
      <c r="D4223" s="67">
        <v>0</v>
      </c>
      <c r="E4223" s="67">
        <v>83900.41</v>
      </c>
      <c r="F4223" s="67">
        <v>25250</v>
      </c>
      <c r="H4223" s="68">
        <v>40764</v>
      </c>
      <c r="I4223" s="67" t="s">
        <v>148</v>
      </c>
    </row>
    <row r="4224" spans="1:9" x14ac:dyDescent="0.25">
      <c r="B4224" s="67" t="s">
        <v>2848</v>
      </c>
      <c r="C4224" s="67">
        <v>0</v>
      </c>
      <c r="D4224" s="67">
        <v>0</v>
      </c>
      <c r="E4224" s="67">
        <v>83900.45</v>
      </c>
      <c r="H4224" s="67" t="s">
        <v>146</v>
      </c>
    </row>
    <row r="4226" spans="1:9" x14ac:dyDescent="0.25">
      <c r="A4226" s="67" t="s">
        <v>2847</v>
      </c>
      <c r="B4226" s="67" t="s">
        <v>2846</v>
      </c>
      <c r="C4226" s="67">
        <v>0</v>
      </c>
      <c r="D4226" s="67">
        <v>0</v>
      </c>
      <c r="E4226" s="67">
        <v>83900.41</v>
      </c>
      <c r="F4226" s="67">
        <v>25250</v>
      </c>
      <c r="H4226" s="68">
        <v>40764</v>
      </c>
      <c r="I4226" s="67" t="s">
        <v>148</v>
      </c>
    </row>
    <row r="4227" spans="1:9" x14ac:dyDescent="0.25">
      <c r="B4227" s="67" t="s">
        <v>2846</v>
      </c>
      <c r="C4227" s="67">
        <v>0</v>
      </c>
      <c r="D4227" s="67">
        <v>0</v>
      </c>
      <c r="E4227" s="67">
        <v>83900.45</v>
      </c>
      <c r="H4227" s="67" t="s">
        <v>146</v>
      </c>
    </row>
    <row r="4229" spans="1:9" x14ac:dyDescent="0.25">
      <c r="A4229" s="67" t="s">
        <v>2845</v>
      </c>
      <c r="B4229" s="67" t="s">
        <v>2844</v>
      </c>
      <c r="C4229" s="67">
        <v>0</v>
      </c>
      <c r="D4229" s="67">
        <v>0</v>
      </c>
      <c r="E4229" s="67">
        <v>83900.41</v>
      </c>
      <c r="F4229" s="67">
        <v>25250</v>
      </c>
      <c r="H4229" s="68">
        <v>40764</v>
      </c>
      <c r="I4229" s="67" t="s">
        <v>148</v>
      </c>
    </row>
    <row r="4230" spans="1:9" x14ac:dyDescent="0.25">
      <c r="B4230" s="67" t="s">
        <v>2844</v>
      </c>
      <c r="C4230" s="67">
        <v>0</v>
      </c>
      <c r="D4230" s="67">
        <v>0</v>
      </c>
      <c r="E4230" s="67">
        <v>83900.45</v>
      </c>
      <c r="H4230" s="67" t="s">
        <v>146</v>
      </c>
    </row>
    <row r="4232" spans="1:9" x14ac:dyDescent="0.25">
      <c r="A4232" s="67" t="s">
        <v>2843</v>
      </c>
      <c r="B4232" s="67" t="s">
        <v>2842</v>
      </c>
      <c r="C4232" s="67">
        <v>0</v>
      </c>
      <c r="D4232" s="67">
        <v>0</v>
      </c>
      <c r="E4232" s="67">
        <v>83900.41</v>
      </c>
      <c r="F4232" s="67">
        <v>25250</v>
      </c>
      <c r="H4232" s="68">
        <v>40764</v>
      </c>
      <c r="I4232" s="67" t="s">
        <v>148</v>
      </c>
    </row>
    <row r="4233" spans="1:9" x14ac:dyDescent="0.25">
      <c r="B4233" s="67" t="s">
        <v>2842</v>
      </c>
      <c r="C4233" s="67">
        <v>0</v>
      </c>
      <c r="D4233" s="67">
        <v>0</v>
      </c>
      <c r="E4233" s="67">
        <v>83900.45</v>
      </c>
      <c r="H4233" s="67" t="s">
        <v>146</v>
      </c>
    </row>
    <row r="4235" spans="1:9" x14ac:dyDescent="0.25">
      <c r="A4235" s="67" t="s">
        <v>2841</v>
      </c>
      <c r="B4235" s="67" t="s">
        <v>2840</v>
      </c>
      <c r="C4235" s="67">
        <v>0</v>
      </c>
      <c r="D4235" s="67">
        <v>0</v>
      </c>
      <c r="E4235" s="67">
        <v>83900.41</v>
      </c>
      <c r="F4235" s="67">
        <v>25250</v>
      </c>
      <c r="H4235" s="68">
        <v>40764</v>
      </c>
      <c r="I4235" s="67" t="s">
        <v>148</v>
      </c>
    </row>
    <row r="4236" spans="1:9" x14ac:dyDescent="0.25">
      <c r="B4236" s="67" t="s">
        <v>2840</v>
      </c>
      <c r="C4236" s="67">
        <v>0</v>
      </c>
      <c r="D4236" s="67">
        <v>0</v>
      </c>
      <c r="E4236" s="67">
        <v>83900.45</v>
      </c>
      <c r="H4236" s="67" t="s">
        <v>146</v>
      </c>
    </row>
    <row r="4238" spans="1:9" x14ac:dyDescent="0.25">
      <c r="A4238" s="67" t="s">
        <v>2839</v>
      </c>
      <c r="B4238" s="67" t="s">
        <v>2838</v>
      </c>
      <c r="C4238" s="67">
        <v>0</v>
      </c>
      <c r="D4238" s="67">
        <v>0</v>
      </c>
      <c r="E4238" s="67">
        <v>83900.41</v>
      </c>
      <c r="F4238" s="67">
        <v>25250</v>
      </c>
      <c r="H4238" s="68">
        <v>40764</v>
      </c>
      <c r="I4238" s="67" t="s">
        <v>148</v>
      </c>
    </row>
    <row r="4239" spans="1:9" x14ac:dyDescent="0.25">
      <c r="B4239" s="67" t="s">
        <v>2838</v>
      </c>
      <c r="C4239" s="67">
        <v>0</v>
      </c>
      <c r="D4239" s="67">
        <v>0</v>
      </c>
      <c r="E4239" s="67">
        <v>83900.45</v>
      </c>
      <c r="H4239" s="67" t="s">
        <v>146</v>
      </c>
    </row>
    <row r="4241" spans="1:9" x14ac:dyDescent="0.25">
      <c r="A4241" s="67" t="s">
        <v>2837</v>
      </c>
      <c r="B4241" s="67" t="s">
        <v>2836</v>
      </c>
      <c r="C4241" s="67">
        <v>0</v>
      </c>
      <c r="D4241" s="67">
        <v>0</v>
      </c>
      <c r="E4241" s="67">
        <v>83900.41</v>
      </c>
      <c r="F4241" s="67">
        <v>25250</v>
      </c>
      <c r="H4241" s="68">
        <v>40764</v>
      </c>
      <c r="I4241" s="67" t="s">
        <v>148</v>
      </c>
    </row>
    <row r="4242" spans="1:9" x14ac:dyDescent="0.25">
      <c r="B4242" s="67" t="s">
        <v>2836</v>
      </c>
      <c r="C4242" s="67">
        <v>0</v>
      </c>
      <c r="D4242" s="67">
        <v>0</v>
      </c>
      <c r="E4242" s="67">
        <v>83900.45</v>
      </c>
      <c r="H4242" s="67" t="s">
        <v>146</v>
      </c>
    </row>
    <row r="4244" spans="1:9" x14ac:dyDescent="0.25">
      <c r="A4244" s="67" t="s">
        <v>2835</v>
      </c>
      <c r="B4244" s="67" t="s">
        <v>2834</v>
      </c>
      <c r="C4244" s="67">
        <v>0</v>
      </c>
      <c r="D4244" s="67">
        <v>0</v>
      </c>
      <c r="E4244" s="67">
        <v>83900.41</v>
      </c>
      <c r="F4244" s="67">
        <v>25250</v>
      </c>
      <c r="H4244" s="68">
        <v>40764</v>
      </c>
      <c r="I4244" s="67" t="s">
        <v>148</v>
      </c>
    </row>
    <row r="4245" spans="1:9" x14ac:dyDescent="0.25">
      <c r="B4245" s="67" t="s">
        <v>2834</v>
      </c>
      <c r="C4245" s="67">
        <v>0</v>
      </c>
      <c r="D4245" s="67">
        <v>0</v>
      </c>
      <c r="E4245" s="67">
        <v>83900.45</v>
      </c>
      <c r="H4245" s="67" t="s">
        <v>146</v>
      </c>
    </row>
    <row r="4247" spans="1:9" x14ac:dyDescent="0.25">
      <c r="A4247" s="67" t="s">
        <v>2833</v>
      </c>
      <c r="B4247" s="67" t="s">
        <v>2832</v>
      </c>
      <c r="C4247" s="67">
        <v>0</v>
      </c>
      <c r="D4247" s="67">
        <v>0</v>
      </c>
      <c r="E4247" s="67">
        <v>83900.41</v>
      </c>
      <c r="F4247" s="67">
        <v>25250</v>
      </c>
      <c r="H4247" s="68">
        <v>40764</v>
      </c>
      <c r="I4247" s="67" t="s">
        <v>148</v>
      </c>
    </row>
    <row r="4248" spans="1:9" x14ac:dyDescent="0.25">
      <c r="B4248" s="67" t="s">
        <v>2832</v>
      </c>
      <c r="C4248" s="67">
        <v>0</v>
      </c>
      <c r="D4248" s="67">
        <v>0</v>
      </c>
      <c r="E4248" s="67">
        <v>83900.45</v>
      </c>
      <c r="H4248" s="67" t="s">
        <v>146</v>
      </c>
    </row>
    <row r="4250" spans="1:9" x14ac:dyDescent="0.25">
      <c r="A4250" s="67" t="s">
        <v>2831</v>
      </c>
      <c r="B4250" s="67" t="s">
        <v>2830</v>
      </c>
      <c r="C4250" s="67">
        <v>0</v>
      </c>
      <c r="D4250" s="67">
        <v>0</v>
      </c>
      <c r="E4250" s="67">
        <v>83900.41</v>
      </c>
      <c r="F4250" s="67">
        <v>25250</v>
      </c>
      <c r="H4250" s="68">
        <v>40764</v>
      </c>
      <c r="I4250" s="67" t="s">
        <v>148</v>
      </c>
    </row>
    <row r="4251" spans="1:9" x14ac:dyDescent="0.25">
      <c r="B4251" s="67" t="s">
        <v>2830</v>
      </c>
      <c r="C4251" s="67">
        <v>0</v>
      </c>
      <c r="D4251" s="67">
        <v>0</v>
      </c>
      <c r="E4251" s="67">
        <v>83900.45</v>
      </c>
      <c r="H4251" s="67" t="s">
        <v>146</v>
      </c>
    </row>
    <row r="4253" spans="1:9" x14ac:dyDescent="0.25">
      <c r="A4253" s="67" t="s">
        <v>2829</v>
      </c>
      <c r="B4253" s="67" t="s">
        <v>2828</v>
      </c>
      <c r="C4253" s="67">
        <v>0</v>
      </c>
      <c r="D4253" s="67">
        <v>0</v>
      </c>
      <c r="E4253" s="67">
        <v>83900.41</v>
      </c>
      <c r="F4253" s="67">
        <v>25250</v>
      </c>
      <c r="H4253" s="68">
        <v>40764</v>
      </c>
      <c r="I4253" s="67" t="s">
        <v>148</v>
      </c>
    </row>
    <row r="4254" spans="1:9" x14ac:dyDescent="0.25">
      <c r="B4254" s="67" t="s">
        <v>2828</v>
      </c>
      <c r="C4254" s="67">
        <v>0</v>
      </c>
      <c r="D4254" s="67">
        <v>0</v>
      </c>
      <c r="E4254" s="67">
        <v>83900.45</v>
      </c>
      <c r="H4254" s="67" t="s">
        <v>146</v>
      </c>
    </row>
    <row r="4256" spans="1:9" x14ac:dyDescent="0.25">
      <c r="A4256" s="67" t="s">
        <v>2827</v>
      </c>
      <c r="B4256" s="67" t="s">
        <v>2826</v>
      </c>
      <c r="C4256" s="67">
        <v>0</v>
      </c>
      <c r="D4256" s="67">
        <v>0</v>
      </c>
      <c r="E4256" s="67">
        <v>83900.41</v>
      </c>
      <c r="F4256" s="67">
        <v>25250</v>
      </c>
      <c r="H4256" s="68">
        <v>40764</v>
      </c>
      <c r="I4256" s="67" t="s">
        <v>148</v>
      </c>
    </row>
    <row r="4257" spans="1:9" x14ac:dyDescent="0.25">
      <c r="B4257" s="67" t="s">
        <v>2826</v>
      </c>
      <c r="C4257" s="67">
        <v>0</v>
      </c>
      <c r="D4257" s="67">
        <v>0</v>
      </c>
      <c r="E4257" s="67">
        <v>83900.45</v>
      </c>
      <c r="H4257" s="67" t="s">
        <v>146</v>
      </c>
    </row>
    <row r="4259" spans="1:9" x14ac:dyDescent="0.25">
      <c r="A4259" s="67" t="s">
        <v>2825</v>
      </c>
      <c r="B4259" s="67" t="s">
        <v>2824</v>
      </c>
      <c r="C4259" s="67">
        <v>0</v>
      </c>
      <c r="D4259" s="67">
        <v>0</v>
      </c>
      <c r="E4259" s="67">
        <v>83900.41</v>
      </c>
      <c r="F4259" s="67">
        <v>25250</v>
      </c>
      <c r="H4259" s="68">
        <v>40764</v>
      </c>
      <c r="I4259" s="67" t="s">
        <v>148</v>
      </c>
    </row>
    <row r="4260" spans="1:9" x14ac:dyDescent="0.25">
      <c r="B4260" s="67" t="s">
        <v>2824</v>
      </c>
      <c r="C4260" s="67">
        <v>0</v>
      </c>
      <c r="D4260" s="67">
        <v>0</v>
      </c>
      <c r="E4260" s="67">
        <v>83900.45</v>
      </c>
      <c r="H4260" s="67" t="s">
        <v>146</v>
      </c>
    </row>
    <row r="4262" spans="1:9" x14ac:dyDescent="0.25">
      <c r="A4262" s="67" t="s">
        <v>2823</v>
      </c>
      <c r="B4262" s="67" t="s">
        <v>2822</v>
      </c>
      <c r="C4262" s="67">
        <v>0</v>
      </c>
      <c r="D4262" s="67">
        <v>0</v>
      </c>
      <c r="E4262" s="67">
        <v>83900.41</v>
      </c>
      <c r="F4262" s="67">
        <v>25250</v>
      </c>
      <c r="H4262" s="68">
        <v>40764</v>
      </c>
      <c r="I4262" s="67" t="s">
        <v>148</v>
      </c>
    </row>
    <row r="4263" spans="1:9" x14ac:dyDescent="0.25">
      <c r="B4263" s="67" t="s">
        <v>2822</v>
      </c>
      <c r="C4263" s="67">
        <v>0</v>
      </c>
      <c r="D4263" s="67">
        <v>0</v>
      </c>
      <c r="E4263" s="67">
        <v>83900.45</v>
      </c>
      <c r="H4263" s="67" t="s">
        <v>146</v>
      </c>
    </row>
    <row r="4265" spans="1:9" x14ac:dyDescent="0.25">
      <c r="A4265" s="67" t="s">
        <v>2821</v>
      </c>
      <c r="B4265" s="67" t="s">
        <v>2820</v>
      </c>
      <c r="C4265" s="67">
        <v>0</v>
      </c>
      <c r="D4265" s="67">
        <v>0</v>
      </c>
      <c r="E4265" s="67">
        <v>83900.41</v>
      </c>
      <c r="F4265" s="67">
        <v>25250</v>
      </c>
      <c r="H4265" s="68">
        <v>40764</v>
      </c>
      <c r="I4265" s="67" t="s">
        <v>148</v>
      </c>
    </row>
    <row r="4266" spans="1:9" x14ac:dyDescent="0.25">
      <c r="B4266" s="67" t="s">
        <v>2820</v>
      </c>
      <c r="C4266" s="67">
        <v>0</v>
      </c>
      <c r="D4266" s="67">
        <v>0</v>
      </c>
      <c r="E4266" s="67">
        <v>83900.45</v>
      </c>
      <c r="H4266" s="67" t="s">
        <v>146</v>
      </c>
    </row>
    <row r="4267" spans="1:9" x14ac:dyDescent="0.25">
      <c r="A4267" s="67" t="s">
        <v>233</v>
      </c>
    </row>
    <row r="4269" spans="1:9" x14ac:dyDescent="0.25">
      <c r="A4269" s="67" t="s">
        <v>232</v>
      </c>
      <c r="D4269" s="67" t="s">
        <v>231</v>
      </c>
      <c r="H4269" s="67" t="s">
        <v>148</v>
      </c>
      <c r="I4269" s="67" t="s">
        <v>230</v>
      </c>
    </row>
    <row r="4270" spans="1:9" x14ac:dyDescent="0.25">
      <c r="A4270" s="67">
        <v>41.1</v>
      </c>
      <c r="C4270" s="67" t="s">
        <v>215</v>
      </c>
      <c r="D4270" s="67" t="s">
        <v>229</v>
      </c>
      <c r="H4270" s="70">
        <v>44771</v>
      </c>
      <c r="I4270" s="69">
        <v>0.56736111111111109</v>
      </c>
    </row>
    <row r="4271" spans="1:9" x14ac:dyDescent="0.25">
      <c r="A4271" s="67" t="s">
        <v>228</v>
      </c>
      <c r="C4271" s="67" t="s">
        <v>227</v>
      </c>
      <c r="D4271" s="67" t="s">
        <v>226</v>
      </c>
      <c r="E4271" s="67">
        <v>589</v>
      </c>
      <c r="H4271" s="67" t="s">
        <v>225</v>
      </c>
      <c r="I4271" s="67">
        <v>75</v>
      </c>
    </row>
    <row r="4272" spans="1:9" x14ac:dyDescent="0.25">
      <c r="A4272" s="67" t="s">
        <v>884</v>
      </c>
    </row>
    <row r="4273" spans="1:9" x14ac:dyDescent="0.25">
      <c r="A4273" s="67" t="s">
        <v>223</v>
      </c>
      <c r="B4273" s="67" t="s">
        <v>222</v>
      </c>
      <c r="C4273" s="67" t="s">
        <v>221</v>
      </c>
      <c r="D4273" s="67" t="s">
        <v>220</v>
      </c>
      <c r="E4273" s="67" t="s">
        <v>219</v>
      </c>
      <c r="F4273" s="67" t="s">
        <v>217</v>
      </c>
      <c r="G4273" s="67" t="s">
        <v>218</v>
      </c>
      <c r="H4273" s="67" t="s">
        <v>217</v>
      </c>
      <c r="I4273" s="67" t="s">
        <v>216</v>
      </c>
    </row>
    <row r="4274" spans="1:9" x14ac:dyDescent="0.25">
      <c r="A4274" s="67" t="s">
        <v>215</v>
      </c>
      <c r="B4274" s="67" t="s">
        <v>214</v>
      </c>
      <c r="C4274" s="67" t="s">
        <v>213</v>
      </c>
      <c r="D4274" s="67" t="s">
        <v>212</v>
      </c>
      <c r="E4274" s="67" t="s">
        <v>211</v>
      </c>
      <c r="F4274" s="67" t="s">
        <v>210</v>
      </c>
      <c r="G4274" s="67" t="s">
        <v>209</v>
      </c>
      <c r="H4274" s="67" t="s">
        <v>208</v>
      </c>
      <c r="I4274" s="67" t="s">
        <v>207</v>
      </c>
    </row>
    <row r="4275" spans="1:9" x14ac:dyDescent="0.25">
      <c r="A4275" s="67" t="s">
        <v>206</v>
      </c>
      <c r="B4275" s="67" t="s">
        <v>205</v>
      </c>
      <c r="C4275" s="67" t="s">
        <v>204</v>
      </c>
      <c r="D4275" s="67" t="s">
        <v>203</v>
      </c>
      <c r="E4275" s="67" t="s">
        <v>202</v>
      </c>
      <c r="F4275" s="67" t="s">
        <v>201</v>
      </c>
      <c r="G4275" s="67" t="s">
        <v>200</v>
      </c>
      <c r="H4275" s="67" t="s">
        <v>199</v>
      </c>
    </row>
    <row r="4276" spans="1:9" x14ac:dyDescent="0.25">
      <c r="A4276" s="67" t="s">
        <v>2819</v>
      </c>
      <c r="B4276" s="67" t="s">
        <v>2818</v>
      </c>
      <c r="C4276" s="67">
        <v>0</v>
      </c>
      <c r="D4276" s="67">
        <v>0</v>
      </c>
      <c r="E4276" s="67">
        <v>83900.41</v>
      </c>
      <c r="F4276" s="67">
        <v>25250</v>
      </c>
      <c r="H4276" s="68">
        <v>40764</v>
      </c>
      <c r="I4276" s="67" t="s">
        <v>148</v>
      </c>
    </row>
    <row r="4277" spans="1:9" x14ac:dyDescent="0.25">
      <c r="B4277" s="67" t="s">
        <v>2818</v>
      </c>
      <c r="C4277" s="67">
        <v>0</v>
      </c>
      <c r="D4277" s="67">
        <v>0</v>
      </c>
      <c r="E4277" s="67">
        <v>83900.45</v>
      </c>
      <c r="H4277" s="67" t="s">
        <v>146</v>
      </c>
    </row>
    <row r="4279" spans="1:9" x14ac:dyDescent="0.25">
      <c r="A4279" s="67" t="s">
        <v>2817</v>
      </c>
      <c r="B4279" s="67" t="s">
        <v>2816</v>
      </c>
      <c r="C4279" s="67">
        <v>0</v>
      </c>
      <c r="D4279" s="67">
        <v>0</v>
      </c>
      <c r="E4279" s="67">
        <v>83900.41</v>
      </c>
      <c r="F4279" s="67">
        <v>25250</v>
      </c>
      <c r="H4279" s="68">
        <v>40764</v>
      </c>
      <c r="I4279" s="67" t="s">
        <v>148</v>
      </c>
    </row>
    <row r="4280" spans="1:9" x14ac:dyDescent="0.25">
      <c r="B4280" s="67" t="s">
        <v>2816</v>
      </c>
      <c r="C4280" s="67">
        <v>0</v>
      </c>
      <c r="D4280" s="67">
        <v>0</v>
      </c>
      <c r="E4280" s="67">
        <v>83900.45</v>
      </c>
      <c r="H4280" s="67" t="s">
        <v>146</v>
      </c>
    </row>
    <row r="4282" spans="1:9" x14ac:dyDescent="0.25">
      <c r="A4282" s="67" t="s">
        <v>2815</v>
      </c>
      <c r="B4282" s="67" t="s">
        <v>2814</v>
      </c>
      <c r="C4282" s="67">
        <v>0</v>
      </c>
      <c r="D4282" s="67">
        <v>0</v>
      </c>
      <c r="E4282" s="67">
        <v>83900.41</v>
      </c>
      <c r="F4282" s="67">
        <v>25250</v>
      </c>
      <c r="H4282" s="68">
        <v>40764</v>
      </c>
      <c r="I4282" s="67" t="s">
        <v>148</v>
      </c>
    </row>
    <row r="4283" spans="1:9" x14ac:dyDescent="0.25">
      <c r="B4283" s="67" t="s">
        <v>2814</v>
      </c>
      <c r="C4283" s="67">
        <v>0</v>
      </c>
      <c r="D4283" s="67">
        <v>0</v>
      </c>
      <c r="E4283" s="67">
        <v>83900.45</v>
      </c>
      <c r="H4283" s="67" t="s">
        <v>146</v>
      </c>
    </row>
    <row r="4285" spans="1:9" x14ac:dyDescent="0.25">
      <c r="A4285" s="67" t="s">
        <v>2813</v>
      </c>
      <c r="B4285" s="67" t="s">
        <v>2812</v>
      </c>
      <c r="C4285" s="67">
        <v>0</v>
      </c>
      <c r="D4285" s="67">
        <v>0</v>
      </c>
      <c r="E4285" s="67">
        <v>83900.41</v>
      </c>
      <c r="F4285" s="67">
        <v>25250</v>
      </c>
      <c r="H4285" s="68">
        <v>40764</v>
      </c>
      <c r="I4285" s="67" t="s">
        <v>148</v>
      </c>
    </row>
    <row r="4286" spans="1:9" x14ac:dyDescent="0.25">
      <c r="B4286" s="67" t="s">
        <v>2812</v>
      </c>
      <c r="C4286" s="67">
        <v>0</v>
      </c>
      <c r="D4286" s="67">
        <v>0</v>
      </c>
      <c r="E4286" s="67">
        <v>83900.45</v>
      </c>
      <c r="H4286" s="67" t="s">
        <v>146</v>
      </c>
    </row>
    <row r="4288" spans="1:9" x14ac:dyDescent="0.25">
      <c r="A4288" s="67" t="s">
        <v>2811</v>
      </c>
      <c r="B4288" s="67" t="s">
        <v>2810</v>
      </c>
      <c r="C4288" s="67">
        <v>0</v>
      </c>
      <c r="D4288" s="67">
        <v>0</v>
      </c>
      <c r="E4288" s="67">
        <v>83900.41</v>
      </c>
      <c r="F4288" s="67">
        <v>25250</v>
      </c>
      <c r="H4288" s="68">
        <v>40764</v>
      </c>
      <c r="I4288" s="67" t="s">
        <v>148</v>
      </c>
    </row>
    <row r="4289" spans="1:9" x14ac:dyDescent="0.25">
      <c r="B4289" s="67" t="s">
        <v>2810</v>
      </c>
      <c r="C4289" s="67">
        <v>0</v>
      </c>
      <c r="D4289" s="67">
        <v>0</v>
      </c>
      <c r="E4289" s="67">
        <v>83900.45</v>
      </c>
      <c r="H4289" s="67" t="s">
        <v>146</v>
      </c>
    </row>
    <row r="4291" spans="1:9" x14ac:dyDescent="0.25">
      <c r="A4291" s="67" t="s">
        <v>2809</v>
      </c>
      <c r="B4291" s="67" t="s">
        <v>2808</v>
      </c>
      <c r="C4291" s="67">
        <v>0</v>
      </c>
      <c r="D4291" s="67">
        <v>0</v>
      </c>
      <c r="E4291" s="67">
        <v>83900.41</v>
      </c>
      <c r="F4291" s="67">
        <v>25250</v>
      </c>
      <c r="H4291" s="68">
        <v>40764</v>
      </c>
      <c r="I4291" s="67" t="s">
        <v>148</v>
      </c>
    </row>
    <row r="4292" spans="1:9" x14ac:dyDescent="0.25">
      <c r="B4292" s="67" t="s">
        <v>2808</v>
      </c>
      <c r="C4292" s="67">
        <v>0</v>
      </c>
      <c r="D4292" s="67">
        <v>0</v>
      </c>
      <c r="E4292" s="67">
        <v>83900.45</v>
      </c>
      <c r="H4292" s="67" t="s">
        <v>146</v>
      </c>
    </row>
    <row r="4294" spans="1:9" x14ac:dyDescent="0.25">
      <c r="A4294" s="67" t="s">
        <v>2807</v>
      </c>
      <c r="B4294" s="67" t="s">
        <v>2806</v>
      </c>
      <c r="C4294" s="67">
        <v>0</v>
      </c>
      <c r="D4294" s="67">
        <v>0</v>
      </c>
      <c r="E4294" s="67">
        <v>83900.41</v>
      </c>
      <c r="F4294" s="67">
        <v>25250</v>
      </c>
      <c r="H4294" s="68">
        <v>40764</v>
      </c>
      <c r="I4294" s="67" t="s">
        <v>148</v>
      </c>
    </row>
    <row r="4295" spans="1:9" x14ac:dyDescent="0.25">
      <c r="B4295" s="67" t="s">
        <v>2806</v>
      </c>
      <c r="C4295" s="67">
        <v>0</v>
      </c>
      <c r="D4295" s="67">
        <v>0</v>
      </c>
      <c r="E4295" s="67">
        <v>83900.45</v>
      </c>
      <c r="H4295" s="67" t="s">
        <v>146</v>
      </c>
    </row>
    <row r="4297" spans="1:9" x14ac:dyDescent="0.25">
      <c r="A4297" s="67" t="s">
        <v>2805</v>
      </c>
      <c r="B4297" s="67" t="s">
        <v>2804</v>
      </c>
      <c r="C4297" s="67">
        <v>0</v>
      </c>
      <c r="D4297" s="67">
        <v>0</v>
      </c>
      <c r="E4297" s="67">
        <v>83900.41</v>
      </c>
      <c r="F4297" s="67">
        <v>25250</v>
      </c>
      <c r="H4297" s="68">
        <v>40764</v>
      </c>
      <c r="I4297" s="67" t="s">
        <v>148</v>
      </c>
    </row>
    <row r="4298" spans="1:9" x14ac:dyDescent="0.25">
      <c r="B4298" s="67" t="s">
        <v>2804</v>
      </c>
      <c r="C4298" s="67">
        <v>0</v>
      </c>
      <c r="D4298" s="67">
        <v>0</v>
      </c>
      <c r="E4298" s="67">
        <v>83900.45</v>
      </c>
      <c r="H4298" s="67" t="s">
        <v>146</v>
      </c>
    </row>
    <row r="4300" spans="1:9" x14ac:dyDescent="0.25">
      <c r="A4300" s="67" t="s">
        <v>2803</v>
      </c>
      <c r="B4300" s="67" t="s">
        <v>2802</v>
      </c>
      <c r="C4300" s="67">
        <v>0</v>
      </c>
      <c r="D4300" s="67">
        <v>0</v>
      </c>
      <c r="E4300" s="67">
        <v>83900.41</v>
      </c>
      <c r="F4300" s="67">
        <v>25250</v>
      </c>
      <c r="H4300" s="68">
        <v>40764</v>
      </c>
      <c r="I4300" s="67" t="s">
        <v>148</v>
      </c>
    </row>
    <row r="4301" spans="1:9" x14ac:dyDescent="0.25">
      <c r="B4301" s="67" t="s">
        <v>2802</v>
      </c>
      <c r="C4301" s="67">
        <v>0</v>
      </c>
      <c r="D4301" s="67">
        <v>0</v>
      </c>
      <c r="E4301" s="67">
        <v>83900.45</v>
      </c>
      <c r="H4301" s="67" t="s">
        <v>146</v>
      </c>
    </row>
    <row r="4303" spans="1:9" x14ac:dyDescent="0.25">
      <c r="A4303" s="67" t="s">
        <v>2801</v>
      </c>
      <c r="B4303" s="67" t="s">
        <v>2800</v>
      </c>
      <c r="C4303" s="67">
        <v>0</v>
      </c>
      <c r="D4303" s="67">
        <v>0</v>
      </c>
      <c r="E4303" s="67">
        <v>83900.41</v>
      </c>
      <c r="F4303" s="67">
        <v>25250</v>
      </c>
      <c r="H4303" s="68">
        <v>40764</v>
      </c>
      <c r="I4303" s="67" t="s">
        <v>148</v>
      </c>
    </row>
    <row r="4304" spans="1:9" x14ac:dyDescent="0.25">
      <c r="B4304" s="67" t="s">
        <v>2800</v>
      </c>
      <c r="C4304" s="67">
        <v>0</v>
      </c>
      <c r="D4304" s="67">
        <v>0</v>
      </c>
      <c r="E4304" s="67">
        <v>83900.45</v>
      </c>
      <c r="H4304" s="67" t="s">
        <v>146</v>
      </c>
    </row>
    <row r="4306" spans="1:9" x14ac:dyDescent="0.25">
      <c r="A4306" s="67" t="s">
        <v>2799</v>
      </c>
      <c r="B4306" s="67" t="s">
        <v>2798</v>
      </c>
      <c r="C4306" s="67">
        <v>0</v>
      </c>
      <c r="D4306" s="67">
        <v>0</v>
      </c>
      <c r="E4306" s="67">
        <v>83900.41</v>
      </c>
      <c r="F4306" s="67">
        <v>25250</v>
      </c>
      <c r="H4306" s="68">
        <v>40764</v>
      </c>
      <c r="I4306" s="67" t="s">
        <v>148</v>
      </c>
    </row>
    <row r="4307" spans="1:9" x14ac:dyDescent="0.25">
      <c r="B4307" s="67" t="s">
        <v>2798</v>
      </c>
      <c r="C4307" s="67">
        <v>0</v>
      </c>
      <c r="D4307" s="67">
        <v>0</v>
      </c>
      <c r="E4307" s="67">
        <v>83900.45</v>
      </c>
      <c r="H4307" s="67" t="s">
        <v>146</v>
      </c>
    </row>
    <row r="4309" spans="1:9" x14ac:dyDescent="0.25">
      <c r="A4309" s="67" t="s">
        <v>2797</v>
      </c>
      <c r="B4309" s="67" t="s">
        <v>2796</v>
      </c>
      <c r="C4309" s="67">
        <v>0</v>
      </c>
      <c r="D4309" s="67">
        <v>0</v>
      </c>
      <c r="E4309" s="67">
        <v>83900.41</v>
      </c>
      <c r="F4309" s="67">
        <v>25250</v>
      </c>
      <c r="H4309" s="68">
        <v>40764</v>
      </c>
      <c r="I4309" s="67" t="s">
        <v>148</v>
      </c>
    </row>
    <row r="4310" spans="1:9" x14ac:dyDescent="0.25">
      <c r="B4310" s="67" t="s">
        <v>2796</v>
      </c>
      <c r="C4310" s="67">
        <v>0</v>
      </c>
      <c r="D4310" s="67">
        <v>0</v>
      </c>
      <c r="E4310" s="67">
        <v>83900.45</v>
      </c>
      <c r="H4310" s="67" t="s">
        <v>146</v>
      </c>
    </row>
    <row r="4312" spans="1:9" x14ac:dyDescent="0.25">
      <c r="A4312" s="67" t="s">
        <v>2795</v>
      </c>
      <c r="B4312" s="67" t="s">
        <v>2794</v>
      </c>
      <c r="C4312" s="67">
        <v>0</v>
      </c>
      <c r="D4312" s="67">
        <v>0</v>
      </c>
      <c r="E4312" s="67">
        <v>83900.41</v>
      </c>
      <c r="F4312" s="67">
        <v>25250</v>
      </c>
      <c r="H4312" s="68">
        <v>40764</v>
      </c>
      <c r="I4312" s="67" t="s">
        <v>148</v>
      </c>
    </row>
    <row r="4313" spans="1:9" x14ac:dyDescent="0.25">
      <c r="B4313" s="67" t="s">
        <v>2794</v>
      </c>
      <c r="C4313" s="67">
        <v>0</v>
      </c>
      <c r="D4313" s="67">
        <v>0</v>
      </c>
      <c r="E4313" s="67">
        <v>83900.45</v>
      </c>
      <c r="H4313" s="67" t="s">
        <v>146</v>
      </c>
    </row>
    <row r="4315" spans="1:9" x14ac:dyDescent="0.25">
      <c r="A4315" s="67" t="s">
        <v>2793</v>
      </c>
      <c r="B4315" s="67" t="s">
        <v>2792</v>
      </c>
      <c r="C4315" s="67">
        <v>0</v>
      </c>
      <c r="D4315" s="67">
        <v>0</v>
      </c>
      <c r="E4315" s="67">
        <v>83900.41</v>
      </c>
      <c r="F4315" s="67">
        <v>25250</v>
      </c>
      <c r="H4315" s="68">
        <v>40764</v>
      </c>
      <c r="I4315" s="67" t="s">
        <v>148</v>
      </c>
    </row>
    <row r="4316" spans="1:9" x14ac:dyDescent="0.25">
      <c r="B4316" s="67" t="s">
        <v>2792</v>
      </c>
      <c r="C4316" s="67">
        <v>0</v>
      </c>
      <c r="D4316" s="67">
        <v>0</v>
      </c>
      <c r="E4316" s="67">
        <v>83900.45</v>
      </c>
      <c r="H4316" s="67" t="s">
        <v>146</v>
      </c>
    </row>
    <row r="4318" spans="1:9" x14ac:dyDescent="0.25">
      <c r="A4318" s="67" t="s">
        <v>2791</v>
      </c>
      <c r="B4318" s="67" t="s">
        <v>2790</v>
      </c>
      <c r="C4318" s="67">
        <v>0</v>
      </c>
      <c r="D4318" s="67">
        <v>0</v>
      </c>
      <c r="E4318" s="67">
        <v>83900.41</v>
      </c>
      <c r="F4318" s="67">
        <v>25250</v>
      </c>
      <c r="H4318" s="68">
        <v>40764</v>
      </c>
      <c r="I4318" s="67" t="s">
        <v>148</v>
      </c>
    </row>
    <row r="4319" spans="1:9" x14ac:dyDescent="0.25">
      <c r="B4319" s="67" t="s">
        <v>2790</v>
      </c>
      <c r="C4319" s="67">
        <v>0</v>
      </c>
      <c r="D4319" s="67">
        <v>0</v>
      </c>
      <c r="E4319" s="67">
        <v>83900.45</v>
      </c>
      <c r="H4319" s="67" t="s">
        <v>146</v>
      </c>
    </row>
    <row r="4321" spans="1:9" x14ac:dyDescent="0.25">
      <c r="A4321" s="67" t="s">
        <v>2789</v>
      </c>
      <c r="B4321" s="67" t="s">
        <v>2788</v>
      </c>
      <c r="C4321" s="67">
        <v>0</v>
      </c>
      <c r="D4321" s="67">
        <v>0</v>
      </c>
      <c r="E4321" s="67">
        <v>83900.41</v>
      </c>
      <c r="F4321" s="67">
        <v>25250</v>
      </c>
      <c r="H4321" s="68">
        <v>40764</v>
      </c>
      <c r="I4321" s="67" t="s">
        <v>148</v>
      </c>
    </row>
    <row r="4322" spans="1:9" x14ac:dyDescent="0.25">
      <c r="B4322" s="67" t="s">
        <v>2788</v>
      </c>
      <c r="C4322" s="67">
        <v>0</v>
      </c>
      <c r="D4322" s="67">
        <v>0</v>
      </c>
      <c r="E4322" s="67">
        <v>83900.45</v>
      </c>
      <c r="H4322" s="67" t="s">
        <v>146</v>
      </c>
    </row>
    <row r="4324" spans="1:9" x14ac:dyDescent="0.25">
      <c r="A4324" s="67" t="s">
        <v>2787</v>
      </c>
      <c r="B4324" s="67" t="s">
        <v>2786</v>
      </c>
      <c r="C4324" s="67">
        <v>0</v>
      </c>
      <c r="D4324" s="67">
        <v>0</v>
      </c>
      <c r="E4324" s="67">
        <v>83900.41</v>
      </c>
      <c r="F4324" s="67">
        <v>25250</v>
      </c>
      <c r="H4324" s="68">
        <v>40764</v>
      </c>
      <c r="I4324" s="67" t="s">
        <v>148</v>
      </c>
    </row>
    <row r="4325" spans="1:9" x14ac:dyDescent="0.25">
      <c r="B4325" s="67" t="s">
        <v>2786</v>
      </c>
      <c r="C4325" s="67">
        <v>0</v>
      </c>
      <c r="D4325" s="67">
        <v>0</v>
      </c>
      <c r="E4325" s="67">
        <v>83900.45</v>
      </c>
      <c r="H4325" s="67" t="s">
        <v>146</v>
      </c>
    </row>
    <row r="4326" spans="1:9" x14ac:dyDescent="0.25">
      <c r="A4326" s="67" t="s">
        <v>233</v>
      </c>
    </row>
    <row r="4328" spans="1:9" x14ac:dyDescent="0.25">
      <c r="A4328" s="67" t="s">
        <v>232</v>
      </c>
      <c r="D4328" s="67" t="s">
        <v>231</v>
      </c>
      <c r="H4328" s="67" t="s">
        <v>148</v>
      </c>
      <c r="I4328" s="67" t="s">
        <v>230</v>
      </c>
    </row>
    <row r="4329" spans="1:9" x14ac:dyDescent="0.25">
      <c r="A4329" s="67">
        <v>41.1</v>
      </c>
      <c r="C4329" s="67" t="s">
        <v>215</v>
      </c>
      <c r="D4329" s="67" t="s">
        <v>229</v>
      </c>
      <c r="H4329" s="70">
        <v>44771</v>
      </c>
      <c r="I4329" s="69">
        <v>0.56736111111111109</v>
      </c>
    </row>
    <row r="4330" spans="1:9" x14ac:dyDescent="0.25">
      <c r="A4330" s="67" t="s">
        <v>228</v>
      </c>
      <c r="C4330" s="67" t="s">
        <v>227</v>
      </c>
      <c r="D4330" s="67" t="s">
        <v>226</v>
      </c>
      <c r="E4330" s="67">
        <v>589</v>
      </c>
      <c r="H4330" s="67" t="s">
        <v>225</v>
      </c>
      <c r="I4330" s="67">
        <v>76</v>
      </c>
    </row>
    <row r="4331" spans="1:9" x14ac:dyDescent="0.25">
      <c r="A4331" s="67" t="s">
        <v>884</v>
      </c>
    </row>
    <row r="4332" spans="1:9" x14ac:dyDescent="0.25">
      <c r="A4332" s="67" t="s">
        <v>223</v>
      </c>
      <c r="B4332" s="67" t="s">
        <v>222</v>
      </c>
      <c r="C4332" s="67" t="s">
        <v>221</v>
      </c>
      <c r="D4332" s="67" t="s">
        <v>220</v>
      </c>
      <c r="E4332" s="67" t="s">
        <v>219</v>
      </c>
      <c r="F4332" s="67" t="s">
        <v>217</v>
      </c>
      <c r="G4332" s="67" t="s">
        <v>218</v>
      </c>
      <c r="H4332" s="67" t="s">
        <v>217</v>
      </c>
      <c r="I4332" s="67" t="s">
        <v>216</v>
      </c>
    </row>
    <row r="4333" spans="1:9" x14ac:dyDescent="0.25">
      <c r="A4333" s="67" t="s">
        <v>215</v>
      </c>
      <c r="B4333" s="67" t="s">
        <v>214</v>
      </c>
      <c r="C4333" s="67" t="s">
        <v>213</v>
      </c>
      <c r="D4333" s="67" t="s">
        <v>212</v>
      </c>
      <c r="E4333" s="67" t="s">
        <v>211</v>
      </c>
      <c r="F4333" s="67" t="s">
        <v>210</v>
      </c>
      <c r="G4333" s="67" t="s">
        <v>209</v>
      </c>
      <c r="H4333" s="67" t="s">
        <v>208</v>
      </c>
      <c r="I4333" s="67" t="s">
        <v>207</v>
      </c>
    </row>
    <row r="4334" spans="1:9" x14ac:dyDescent="0.25">
      <c r="A4334" s="67" t="s">
        <v>206</v>
      </c>
      <c r="B4334" s="67" t="s">
        <v>205</v>
      </c>
      <c r="C4334" s="67" t="s">
        <v>204</v>
      </c>
      <c r="D4334" s="67" t="s">
        <v>203</v>
      </c>
      <c r="E4334" s="67" t="s">
        <v>202</v>
      </c>
      <c r="F4334" s="67" t="s">
        <v>201</v>
      </c>
      <c r="G4334" s="67" t="s">
        <v>200</v>
      </c>
      <c r="H4334" s="67" t="s">
        <v>199</v>
      </c>
    </row>
    <row r="4335" spans="1:9" x14ac:dyDescent="0.25">
      <c r="A4335" s="67" t="s">
        <v>2785</v>
      </c>
      <c r="B4335" s="67" t="s">
        <v>2784</v>
      </c>
      <c r="C4335" s="67">
        <v>0</v>
      </c>
      <c r="D4335" s="67">
        <v>0</v>
      </c>
      <c r="E4335" s="67">
        <v>83900.41</v>
      </c>
      <c r="F4335" s="67">
        <v>25250</v>
      </c>
      <c r="H4335" s="68">
        <v>40764</v>
      </c>
      <c r="I4335" s="67" t="s">
        <v>148</v>
      </c>
    </row>
    <row r="4336" spans="1:9" x14ac:dyDescent="0.25">
      <c r="B4336" s="67" t="s">
        <v>2784</v>
      </c>
      <c r="C4336" s="67">
        <v>0</v>
      </c>
      <c r="D4336" s="67">
        <v>0</v>
      </c>
      <c r="E4336" s="67">
        <v>83900.45</v>
      </c>
      <c r="H4336" s="67" t="s">
        <v>146</v>
      </c>
    </row>
    <row r="4338" spans="1:9" x14ac:dyDescent="0.25">
      <c r="A4338" s="67" t="s">
        <v>2783</v>
      </c>
      <c r="B4338" s="67" t="s">
        <v>2782</v>
      </c>
      <c r="C4338" s="67">
        <v>0</v>
      </c>
      <c r="D4338" s="67">
        <v>0</v>
      </c>
      <c r="E4338" s="67">
        <v>83900.41</v>
      </c>
      <c r="F4338" s="67">
        <v>25250</v>
      </c>
      <c r="H4338" s="68">
        <v>40764</v>
      </c>
      <c r="I4338" s="67" t="s">
        <v>148</v>
      </c>
    </row>
    <row r="4339" spans="1:9" x14ac:dyDescent="0.25">
      <c r="B4339" s="67" t="s">
        <v>2782</v>
      </c>
      <c r="C4339" s="67">
        <v>0</v>
      </c>
      <c r="D4339" s="67">
        <v>0</v>
      </c>
      <c r="E4339" s="67">
        <v>83900.45</v>
      </c>
      <c r="H4339" s="67" t="s">
        <v>146</v>
      </c>
    </row>
    <row r="4341" spans="1:9" x14ac:dyDescent="0.25">
      <c r="A4341" s="67" t="s">
        <v>2781</v>
      </c>
      <c r="B4341" s="67" t="s">
        <v>2780</v>
      </c>
      <c r="C4341" s="67">
        <v>0</v>
      </c>
      <c r="D4341" s="67">
        <v>0</v>
      </c>
      <c r="E4341" s="67">
        <v>83900.41</v>
      </c>
      <c r="F4341" s="67">
        <v>25250</v>
      </c>
      <c r="H4341" s="68">
        <v>40764</v>
      </c>
      <c r="I4341" s="67" t="s">
        <v>148</v>
      </c>
    </row>
    <row r="4342" spans="1:9" x14ac:dyDescent="0.25">
      <c r="B4342" s="67" t="s">
        <v>2780</v>
      </c>
      <c r="C4342" s="67">
        <v>0</v>
      </c>
      <c r="D4342" s="67">
        <v>0</v>
      </c>
      <c r="E4342" s="67">
        <v>83900.45</v>
      </c>
      <c r="H4342" s="67" t="s">
        <v>146</v>
      </c>
    </row>
    <row r="4344" spans="1:9" x14ac:dyDescent="0.25">
      <c r="A4344" s="67" t="s">
        <v>2779</v>
      </c>
      <c r="B4344" s="67" t="s">
        <v>2778</v>
      </c>
      <c r="C4344" s="67">
        <v>0</v>
      </c>
      <c r="D4344" s="67">
        <v>0</v>
      </c>
      <c r="E4344" s="67">
        <v>83900.41</v>
      </c>
      <c r="F4344" s="67">
        <v>25250</v>
      </c>
      <c r="H4344" s="68">
        <v>40764</v>
      </c>
      <c r="I4344" s="67" t="s">
        <v>148</v>
      </c>
    </row>
    <row r="4345" spans="1:9" x14ac:dyDescent="0.25">
      <c r="B4345" s="67" t="s">
        <v>2778</v>
      </c>
      <c r="C4345" s="67">
        <v>0</v>
      </c>
      <c r="D4345" s="67">
        <v>0</v>
      </c>
      <c r="E4345" s="67">
        <v>83900.45</v>
      </c>
      <c r="H4345" s="67" t="s">
        <v>146</v>
      </c>
    </row>
    <row r="4347" spans="1:9" x14ac:dyDescent="0.25">
      <c r="A4347" s="67" t="s">
        <v>2777</v>
      </c>
      <c r="B4347" s="67" t="s">
        <v>2776</v>
      </c>
      <c r="C4347" s="67">
        <v>0</v>
      </c>
      <c r="D4347" s="67">
        <v>0</v>
      </c>
      <c r="E4347" s="67">
        <v>83900.41</v>
      </c>
      <c r="F4347" s="67">
        <v>25250</v>
      </c>
      <c r="H4347" s="68">
        <v>40764</v>
      </c>
      <c r="I4347" s="67" t="s">
        <v>148</v>
      </c>
    </row>
    <row r="4348" spans="1:9" x14ac:dyDescent="0.25">
      <c r="B4348" s="67" t="s">
        <v>2776</v>
      </c>
      <c r="C4348" s="67">
        <v>0</v>
      </c>
      <c r="D4348" s="67">
        <v>0</v>
      </c>
      <c r="E4348" s="67">
        <v>83900.45</v>
      </c>
      <c r="H4348" s="67" t="s">
        <v>146</v>
      </c>
    </row>
    <row r="4350" spans="1:9" x14ac:dyDescent="0.25">
      <c r="A4350" s="67" t="s">
        <v>2775</v>
      </c>
      <c r="B4350" s="67" t="s">
        <v>2774</v>
      </c>
      <c r="C4350" s="67">
        <v>0</v>
      </c>
      <c r="D4350" s="67">
        <v>0</v>
      </c>
      <c r="E4350" s="67">
        <v>83900.41</v>
      </c>
      <c r="F4350" s="67">
        <v>25250</v>
      </c>
      <c r="H4350" s="68">
        <v>40764</v>
      </c>
      <c r="I4350" s="67" t="s">
        <v>148</v>
      </c>
    </row>
    <row r="4351" spans="1:9" x14ac:dyDescent="0.25">
      <c r="B4351" s="67" t="s">
        <v>2774</v>
      </c>
      <c r="C4351" s="67">
        <v>0</v>
      </c>
      <c r="D4351" s="67">
        <v>0</v>
      </c>
      <c r="E4351" s="67">
        <v>83900.45</v>
      </c>
      <c r="H4351" s="67" t="s">
        <v>146</v>
      </c>
    </row>
    <row r="4353" spans="1:9" x14ac:dyDescent="0.25">
      <c r="A4353" s="67" t="s">
        <v>2773</v>
      </c>
      <c r="B4353" s="67" t="s">
        <v>2772</v>
      </c>
      <c r="C4353" s="67">
        <v>0</v>
      </c>
      <c r="D4353" s="67">
        <v>0</v>
      </c>
      <c r="E4353" s="67">
        <v>83900.41</v>
      </c>
      <c r="F4353" s="67">
        <v>25250</v>
      </c>
      <c r="H4353" s="68">
        <v>40764</v>
      </c>
      <c r="I4353" s="67" t="s">
        <v>148</v>
      </c>
    </row>
    <row r="4354" spans="1:9" x14ac:dyDescent="0.25">
      <c r="B4354" s="67" t="s">
        <v>2772</v>
      </c>
      <c r="C4354" s="67">
        <v>0</v>
      </c>
      <c r="D4354" s="67">
        <v>0</v>
      </c>
      <c r="E4354" s="67">
        <v>83900.45</v>
      </c>
      <c r="H4354" s="67" t="s">
        <v>146</v>
      </c>
    </row>
    <row r="4356" spans="1:9" x14ac:dyDescent="0.25">
      <c r="A4356" s="67" t="s">
        <v>2771</v>
      </c>
      <c r="B4356" s="67" t="s">
        <v>2770</v>
      </c>
      <c r="C4356" s="67">
        <v>0</v>
      </c>
      <c r="D4356" s="67">
        <v>0</v>
      </c>
      <c r="E4356" s="67">
        <v>83900.41</v>
      </c>
      <c r="F4356" s="67">
        <v>25250</v>
      </c>
      <c r="H4356" s="68">
        <v>40764</v>
      </c>
      <c r="I4356" s="67" t="s">
        <v>148</v>
      </c>
    </row>
    <row r="4357" spans="1:9" x14ac:dyDescent="0.25">
      <c r="B4357" s="67" t="s">
        <v>2770</v>
      </c>
      <c r="C4357" s="67">
        <v>0</v>
      </c>
      <c r="D4357" s="67">
        <v>0</v>
      </c>
      <c r="E4357" s="67">
        <v>83900.45</v>
      </c>
      <c r="H4357" s="67" t="s">
        <v>146</v>
      </c>
    </row>
    <row r="4359" spans="1:9" x14ac:dyDescent="0.25">
      <c r="A4359" s="67" t="s">
        <v>2769</v>
      </c>
      <c r="B4359" s="67" t="s">
        <v>2768</v>
      </c>
      <c r="C4359" s="67">
        <v>0</v>
      </c>
      <c r="D4359" s="67">
        <v>0</v>
      </c>
      <c r="E4359" s="67">
        <v>83900.41</v>
      </c>
      <c r="F4359" s="67">
        <v>25250</v>
      </c>
      <c r="H4359" s="68">
        <v>40764</v>
      </c>
      <c r="I4359" s="67" t="s">
        <v>148</v>
      </c>
    </row>
    <row r="4360" spans="1:9" x14ac:dyDescent="0.25">
      <c r="B4360" s="67" t="s">
        <v>2768</v>
      </c>
      <c r="C4360" s="67">
        <v>0</v>
      </c>
      <c r="D4360" s="67">
        <v>0</v>
      </c>
      <c r="E4360" s="67">
        <v>83900.45</v>
      </c>
      <c r="H4360" s="67" t="s">
        <v>146</v>
      </c>
    </row>
    <row r="4362" spans="1:9" x14ac:dyDescent="0.25">
      <c r="A4362" s="67" t="s">
        <v>2767</v>
      </c>
      <c r="B4362" s="67" t="s">
        <v>2766</v>
      </c>
      <c r="C4362" s="67">
        <v>0</v>
      </c>
      <c r="D4362" s="67">
        <v>0</v>
      </c>
      <c r="E4362" s="67">
        <v>83900.41</v>
      </c>
      <c r="F4362" s="67">
        <v>25250</v>
      </c>
      <c r="H4362" s="68">
        <v>40764</v>
      </c>
      <c r="I4362" s="67" t="s">
        <v>148</v>
      </c>
    </row>
    <row r="4363" spans="1:9" x14ac:dyDescent="0.25">
      <c r="B4363" s="67" t="s">
        <v>2766</v>
      </c>
      <c r="C4363" s="67">
        <v>0</v>
      </c>
      <c r="D4363" s="67">
        <v>0</v>
      </c>
      <c r="E4363" s="67">
        <v>83900.45</v>
      </c>
      <c r="H4363" s="67" t="s">
        <v>146</v>
      </c>
    </row>
    <row r="4365" spans="1:9" x14ac:dyDescent="0.25">
      <c r="A4365" s="67" t="s">
        <v>2765</v>
      </c>
      <c r="B4365" s="67" t="s">
        <v>2764</v>
      </c>
      <c r="C4365" s="67">
        <v>0</v>
      </c>
      <c r="D4365" s="67">
        <v>0</v>
      </c>
      <c r="E4365" s="67">
        <v>83900.41</v>
      </c>
      <c r="F4365" s="67">
        <v>25250</v>
      </c>
      <c r="H4365" s="68">
        <v>40764</v>
      </c>
      <c r="I4365" s="67" t="s">
        <v>148</v>
      </c>
    </row>
    <row r="4366" spans="1:9" x14ac:dyDescent="0.25">
      <c r="B4366" s="67" t="s">
        <v>2764</v>
      </c>
      <c r="C4366" s="67">
        <v>0</v>
      </c>
      <c r="D4366" s="67">
        <v>0</v>
      </c>
      <c r="E4366" s="67">
        <v>83900.45</v>
      </c>
      <c r="H4366" s="67" t="s">
        <v>146</v>
      </c>
    </row>
    <row r="4368" spans="1:9" x14ac:dyDescent="0.25">
      <c r="A4368" s="67" t="s">
        <v>2763</v>
      </c>
      <c r="B4368" s="67" t="s">
        <v>2762</v>
      </c>
      <c r="C4368" s="67">
        <v>0</v>
      </c>
      <c r="D4368" s="67">
        <v>0</v>
      </c>
      <c r="E4368" s="67">
        <v>83900.41</v>
      </c>
      <c r="F4368" s="67">
        <v>25250</v>
      </c>
      <c r="H4368" s="68">
        <v>40764</v>
      </c>
      <c r="I4368" s="67" t="s">
        <v>148</v>
      </c>
    </row>
    <row r="4369" spans="1:9" x14ac:dyDescent="0.25">
      <c r="B4369" s="67" t="s">
        <v>2762</v>
      </c>
      <c r="C4369" s="67">
        <v>0</v>
      </c>
      <c r="D4369" s="67">
        <v>0</v>
      </c>
      <c r="E4369" s="67">
        <v>83900.45</v>
      </c>
      <c r="H4369" s="67" t="s">
        <v>146</v>
      </c>
    </row>
    <row r="4371" spans="1:9" x14ac:dyDescent="0.25">
      <c r="A4371" s="67" t="s">
        <v>2761</v>
      </c>
      <c r="B4371" s="67" t="s">
        <v>2760</v>
      </c>
      <c r="C4371" s="67">
        <v>0</v>
      </c>
      <c r="D4371" s="67">
        <v>0</v>
      </c>
      <c r="E4371" s="67">
        <v>83900.41</v>
      </c>
      <c r="F4371" s="67">
        <v>25250</v>
      </c>
      <c r="H4371" s="68">
        <v>40764</v>
      </c>
      <c r="I4371" s="67" t="s">
        <v>148</v>
      </c>
    </row>
    <row r="4372" spans="1:9" x14ac:dyDescent="0.25">
      <c r="B4372" s="67" t="s">
        <v>2760</v>
      </c>
      <c r="C4372" s="67">
        <v>0</v>
      </c>
      <c r="D4372" s="67">
        <v>0</v>
      </c>
      <c r="E4372" s="67">
        <v>83900.45</v>
      </c>
      <c r="H4372" s="67" t="s">
        <v>146</v>
      </c>
    </row>
    <row r="4374" spans="1:9" x14ac:dyDescent="0.25">
      <c r="A4374" s="67" t="s">
        <v>2759</v>
      </c>
      <c r="B4374" s="67" t="s">
        <v>2758</v>
      </c>
      <c r="C4374" s="67">
        <v>0</v>
      </c>
      <c r="D4374" s="67">
        <v>0</v>
      </c>
      <c r="E4374" s="67">
        <v>83900.41</v>
      </c>
      <c r="F4374" s="67">
        <v>25250</v>
      </c>
      <c r="H4374" s="68">
        <v>40764</v>
      </c>
      <c r="I4374" s="67" t="s">
        <v>148</v>
      </c>
    </row>
    <row r="4375" spans="1:9" x14ac:dyDescent="0.25">
      <c r="B4375" s="67" t="s">
        <v>2758</v>
      </c>
      <c r="C4375" s="67">
        <v>0</v>
      </c>
      <c r="D4375" s="67">
        <v>0</v>
      </c>
      <c r="E4375" s="67">
        <v>83900.45</v>
      </c>
      <c r="H4375" s="67" t="s">
        <v>146</v>
      </c>
    </row>
    <row r="4377" spans="1:9" x14ac:dyDescent="0.25">
      <c r="A4377" s="67" t="s">
        <v>2757</v>
      </c>
      <c r="B4377" s="67" t="s">
        <v>2756</v>
      </c>
      <c r="C4377" s="67">
        <v>0</v>
      </c>
      <c r="D4377" s="67">
        <v>0</v>
      </c>
      <c r="E4377" s="67">
        <v>83900.41</v>
      </c>
      <c r="F4377" s="67">
        <v>25250</v>
      </c>
      <c r="H4377" s="68">
        <v>40764</v>
      </c>
      <c r="I4377" s="67" t="s">
        <v>148</v>
      </c>
    </row>
    <row r="4378" spans="1:9" x14ac:dyDescent="0.25">
      <c r="B4378" s="67" t="s">
        <v>2756</v>
      </c>
      <c r="C4378" s="67">
        <v>0</v>
      </c>
      <c r="D4378" s="67">
        <v>0</v>
      </c>
      <c r="E4378" s="67">
        <v>83900.45</v>
      </c>
      <c r="H4378" s="67" t="s">
        <v>146</v>
      </c>
    </row>
    <row r="4380" spans="1:9" x14ac:dyDescent="0.25">
      <c r="A4380" s="67" t="s">
        <v>2755</v>
      </c>
      <c r="B4380" s="67" t="s">
        <v>2754</v>
      </c>
      <c r="C4380" s="67">
        <v>0</v>
      </c>
      <c r="D4380" s="67">
        <v>0</v>
      </c>
      <c r="E4380" s="67">
        <v>83900.41</v>
      </c>
      <c r="F4380" s="67">
        <v>25250</v>
      </c>
      <c r="H4380" s="68">
        <v>40764</v>
      </c>
      <c r="I4380" s="67" t="s">
        <v>148</v>
      </c>
    </row>
    <row r="4381" spans="1:9" x14ac:dyDescent="0.25">
      <c r="B4381" s="67" t="s">
        <v>2754</v>
      </c>
      <c r="C4381" s="67">
        <v>0</v>
      </c>
      <c r="D4381" s="67">
        <v>0</v>
      </c>
      <c r="E4381" s="67">
        <v>83900.45</v>
      </c>
      <c r="H4381" s="67" t="s">
        <v>146</v>
      </c>
    </row>
    <row r="4383" spans="1:9" x14ac:dyDescent="0.25">
      <c r="A4383" s="67" t="s">
        <v>2753</v>
      </c>
      <c r="B4383" s="67" t="s">
        <v>2752</v>
      </c>
      <c r="C4383" s="67">
        <v>0</v>
      </c>
      <c r="D4383" s="67">
        <v>0</v>
      </c>
      <c r="E4383" s="67">
        <v>83900.41</v>
      </c>
      <c r="F4383" s="67">
        <v>25250</v>
      </c>
      <c r="H4383" s="68">
        <v>40764</v>
      </c>
      <c r="I4383" s="67" t="s">
        <v>148</v>
      </c>
    </row>
    <row r="4384" spans="1:9" x14ac:dyDescent="0.25">
      <c r="B4384" s="67" t="s">
        <v>2752</v>
      </c>
      <c r="C4384" s="67">
        <v>0</v>
      </c>
      <c r="D4384" s="67">
        <v>0</v>
      </c>
      <c r="E4384" s="67">
        <v>83900.45</v>
      </c>
      <c r="H4384" s="67" t="s">
        <v>146</v>
      </c>
    </row>
    <row r="4385" spans="1:9" x14ac:dyDescent="0.25">
      <c r="A4385" s="67" t="s">
        <v>233</v>
      </c>
    </row>
    <row r="4387" spans="1:9" x14ac:dyDescent="0.25">
      <c r="A4387" s="67" t="s">
        <v>232</v>
      </c>
      <c r="D4387" s="67" t="s">
        <v>231</v>
      </c>
      <c r="H4387" s="67" t="s">
        <v>148</v>
      </c>
      <c r="I4387" s="67" t="s">
        <v>230</v>
      </c>
    </row>
    <row r="4388" spans="1:9" x14ac:dyDescent="0.25">
      <c r="A4388" s="67">
        <v>41.1</v>
      </c>
      <c r="C4388" s="67" t="s">
        <v>215</v>
      </c>
      <c r="D4388" s="67" t="s">
        <v>229</v>
      </c>
      <c r="H4388" s="70">
        <v>44771</v>
      </c>
      <c r="I4388" s="69">
        <v>0.56736111111111109</v>
      </c>
    </row>
    <row r="4389" spans="1:9" x14ac:dyDescent="0.25">
      <c r="A4389" s="67" t="s">
        <v>228</v>
      </c>
      <c r="C4389" s="67" t="s">
        <v>227</v>
      </c>
      <c r="D4389" s="67" t="s">
        <v>226</v>
      </c>
      <c r="E4389" s="67">
        <v>589</v>
      </c>
      <c r="H4389" s="67" t="s">
        <v>225</v>
      </c>
      <c r="I4389" s="67">
        <v>77</v>
      </c>
    </row>
    <row r="4390" spans="1:9" x14ac:dyDescent="0.25">
      <c r="A4390" s="67" t="s">
        <v>884</v>
      </c>
    </row>
    <row r="4391" spans="1:9" x14ac:dyDescent="0.25">
      <c r="A4391" s="67" t="s">
        <v>223</v>
      </c>
      <c r="B4391" s="67" t="s">
        <v>222</v>
      </c>
      <c r="C4391" s="67" t="s">
        <v>221</v>
      </c>
      <c r="D4391" s="67" t="s">
        <v>220</v>
      </c>
      <c r="E4391" s="67" t="s">
        <v>219</v>
      </c>
      <c r="F4391" s="67" t="s">
        <v>217</v>
      </c>
      <c r="G4391" s="67" t="s">
        <v>218</v>
      </c>
      <c r="H4391" s="67" t="s">
        <v>217</v>
      </c>
      <c r="I4391" s="67" t="s">
        <v>216</v>
      </c>
    </row>
    <row r="4392" spans="1:9" x14ac:dyDescent="0.25">
      <c r="A4392" s="67" t="s">
        <v>215</v>
      </c>
      <c r="B4392" s="67" t="s">
        <v>214</v>
      </c>
      <c r="C4392" s="67" t="s">
        <v>213</v>
      </c>
      <c r="D4392" s="67" t="s">
        <v>212</v>
      </c>
      <c r="E4392" s="67" t="s">
        <v>211</v>
      </c>
      <c r="F4392" s="67" t="s">
        <v>210</v>
      </c>
      <c r="G4392" s="67" t="s">
        <v>209</v>
      </c>
      <c r="H4392" s="67" t="s">
        <v>208</v>
      </c>
      <c r="I4392" s="67" t="s">
        <v>207</v>
      </c>
    </row>
    <row r="4393" spans="1:9" x14ac:dyDescent="0.25">
      <c r="A4393" s="67" t="s">
        <v>206</v>
      </c>
      <c r="B4393" s="67" t="s">
        <v>205</v>
      </c>
      <c r="C4393" s="67" t="s">
        <v>204</v>
      </c>
      <c r="D4393" s="67" t="s">
        <v>203</v>
      </c>
      <c r="E4393" s="67" t="s">
        <v>202</v>
      </c>
      <c r="F4393" s="67" t="s">
        <v>201</v>
      </c>
      <c r="G4393" s="67" t="s">
        <v>200</v>
      </c>
      <c r="H4393" s="67" t="s">
        <v>199</v>
      </c>
    </row>
    <row r="4394" spans="1:9" x14ac:dyDescent="0.25">
      <c r="A4394" s="67" t="s">
        <v>2751</v>
      </c>
      <c r="B4394" s="67" t="s">
        <v>2750</v>
      </c>
      <c r="C4394" s="67">
        <v>0</v>
      </c>
      <c r="D4394" s="67">
        <v>0</v>
      </c>
      <c r="E4394" s="67">
        <v>83900.41</v>
      </c>
      <c r="F4394" s="67">
        <v>25250</v>
      </c>
      <c r="H4394" s="68">
        <v>40764</v>
      </c>
      <c r="I4394" s="67" t="s">
        <v>148</v>
      </c>
    </row>
    <row r="4395" spans="1:9" x14ac:dyDescent="0.25">
      <c r="B4395" s="67" t="s">
        <v>2750</v>
      </c>
      <c r="C4395" s="67">
        <v>0</v>
      </c>
      <c r="D4395" s="67">
        <v>0</v>
      </c>
      <c r="E4395" s="67">
        <v>83900.45</v>
      </c>
      <c r="H4395" s="67" t="s">
        <v>146</v>
      </c>
    </row>
    <row r="4397" spans="1:9" x14ac:dyDescent="0.25">
      <c r="A4397" s="67" t="s">
        <v>2749</v>
      </c>
      <c r="B4397" s="67" t="s">
        <v>2748</v>
      </c>
      <c r="C4397" s="67">
        <v>0</v>
      </c>
      <c r="D4397" s="67">
        <v>0</v>
      </c>
      <c r="E4397" s="67">
        <v>83900.41</v>
      </c>
      <c r="F4397" s="67">
        <v>25250</v>
      </c>
      <c r="H4397" s="68">
        <v>40764</v>
      </c>
      <c r="I4397" s="67" t="s">
        <v>148</v>
      </c>
    </row>
    <row r="4398" spans="1:9" x14ac:dyDescent="0.25">
      <c r="B4398" s="67" t="s">
        <v>2748</v>
      </c>
      <c r="C4398" s="67">
        <v>0</v>
      </c>
      <c r="D4398" s="67">
        <v>0</v>
      </c>
      <c r="E4398" s="67">
        <v>83900.45</v>
      </c>
      <c r="H4398" s="67" t="s">
        <v>146</v>
      </c>
    </row>
    <row r="4400" spans="1:9" x14ac:dyDescent="0.25">
      <c r="A4400" s="67" t="s">
        <v>2747</v>
      </c>
      <c r="B4400" s="67" t="s">
        <v>2746</v>
      </c>
      <c r="C4400" s="67">
        <v>0</v>
      </c>
      <c r="D4400" s="67">
        <v>0</v>
      </c>
      <c r="E4400" s="67">
        <v>83900.41</v>
      </c>
      <c r="F4400" s="67">
        <v>25250</v>
      </c>
      <c r="H4400" s="68">
        <v>40764</v>
      </c>
      <c r="I4400" s="67" t="s">
        <v>148</v>
      </c>
    </row>
    <row r="4401" spans="1:9" x14ac:dyDescent="0.25">
      <c r="B4401" s="67" t="s">
        <v>2746</v>
      </c>
      <c r="C4401" s="67">
        <v>0</v>
      </c>
      <c r="D4401" s="67">
        <v>0</v>
      </c>
      <c r="E4401" s="67">
        <v>83900.45</v>
      </c>
      <c r="H4401" s="67" t="s">
        <v>146</v>
      </c>
    </row>
    <row r="4403" spans="1:9" x14ac:dyDescent="0.25">
      <c r="A4403" s="67" t="s">
        <v>2745</v>
      </c>
      <c r="B4403" s="67" t="s">
        <v>2744</v>
      </c>
      <c r="C4403" s="67">
        <v>0</v>
      </c>
      <c r="D4403" s="67">
        <v>0</v>
      </c>
      <c r="E4403" s="67">
        <v>83900.41</v>
      </c>
      <c r="F4403" s="67">
        <v>25250</v>
      </c>
      <c r="H4403" s="68">
        <v>40764</v>
      </c>
      <c r="I4403" s="67" t="s">
        <v>148</v>
      </c>
    </row>
    <row r="4404" spans="1:9" x14ac:dyDescent="0.25">
      <c r="B4404" s="67" t="s">
        <v>2744</v>
      </c>
      <c r="C4404" s="67">
        <v>0</v>
      </c>
      <c r="D4404" s="67">
        <v>0</v>
      </c>
      <c r="E4404" s="67">
        <v>83900.45</v>
      </c>
      <c r="H4404" s="67" t="s">
        <v>146</v>
      </c>
    </row>
    <row r="4406" spans="1:9" x14ac:dyDescent="0.25">
      <c r="A4406" s="67" t="s">
        <v>2743</v>
      </c>
      <c r="B4406" s="67" t="s">
        <v>2742</v>
      </c>
      <c r="C4406" s="67">
        <v>0</v>
      </c>
      <c r="D4406" s="67">
        <v>0</v>
      </c>
      <c r="E4406" s="67">
        <v>83900.41</v>
      </c>
      <c r="F4406" s="67">
        <v>25250</v>
      </c>
      <c r="H4406" s="68">
        <v>40764</v>
      </c>
      <c r="I4406" s="67" t="s">
        <v>148</v>
      </c>
    </row>
    <row r="4407" spans="1:9" x14ac:dyDescent="0.25">
      <c r="B4407" s="67" t="s">
        <v>2742</v>
      </c>
      <c r="C4407" s="67">
        <v>0</v>
      </c>
      <c r="D4407" s="67">
        <v>0</v>
      </c>
      <c r="E4407" s="67">
        <v>83900.45</v>
      </c>
      <c r="H4407" s="67" t="s">
        <v>146</v>
      </c>
    </row>
    <row r="4409" spans="1:9" x14ac:dyDescent="0.25">
      <c r="A4409" s="67" t="s">
        <v>2741</v>
      </c>
      <c r="B4409" s="67" t="s">
        <v>2740</v>
      </c>
      <c r="C4409" s="67">
        <v>0</v>
      </c>
      <c r="D4409" s="67">
        <v>0</v>
      </c>
      <c r="E4409" s="67">
        <v>83900.41</v>
      </c>
      <c r="F4409" s="67">
        <v>25250</v>
      </c>
      <c r="H4409" s="68">
        <v>40764</v>
      </c>
      <c r="I4409" s="67" t="s">
        <v>148</v>
      </c>
    </row>
    <row r="4410" spans="1:9" x14ac:dyDescent="0.25">
      <c r="B4410" s="67" t="s">
        <v>2740</v>
      </c>
      <c r="C4410" s="67">
        <v>0</v>
      </c>
      <c r="D4410" s="67">
        <v>0</v>
      </c>
      <c r="E4410" s="67">
        <v>83900.45</v>
      </c>
      <c r="H4410" s="67" t="s">
        <v>146</v>
      </c>
    </row>
    <row r="4412" spans="1:9" x14ac:dyDescent="0.25">
      <c r="A4412" s="67" t="s">
        <v>2739</v>
      </c>
      <c r="B4412" s="67" t="s">
        <v>2738</v>
      </c>
      <c r="C4412" s="67">
        <v>0</v>
      </c>
      <c r="D4412" s="67">
        <v>0</v>
      </c>
      <c r="E4412" s="67">
        <v>83900.41</v>
      </c>
      <c r="F4412" s="67">
        <v>25250</v>
      </c>
      <c r="H4412" s="68">
        <v>40764</v>
      </c>
      <c r="I4412" s="67" t="s">
        <v>148</v>
      </c>
    </row>
    <row r="4413" spans="1:9" x14ac:dyDescent="0.25">
      <c r="B4413" s="67" t="s">
        <v>2738</v>
      </c>
      <c r="C4413" s="67">
        <v>0</v>
      </c>
      <c r="D4413" s="67">
        <v>0</v>
      </c>
      <c r="E4413" s="67">
        <v>83900.45</v>
      </c>
      <c r="H4413" s="67" t="s">
        <v>146</v>
      </c>
    </row>
    <row r="4415" spans="1:9" x14ac:dyDescent="0.25">
      <c r="A4415" s="67" t="s">
        <v>2737</v>
      </c>
      <c r="B4415" s="67" t="s">
        <v>2736</v>
      </c>
      <c r="C4415" s="67">
        <v>0</v>
      </c>
      <c r="D4415" s="67">
        <v>0</v>
      </c>
      <c r="E4415" s="67">
        <v>83900.41</v>
      </c>
      <c r="F4415" s="67">
        <v>25250</v>
      </c>
      <c r="H4415" s="68">
        <v>40764</v>
      </c>
      <c r="I4415" s="67" t="s">
        <v>148</v>
      </c>
    </row>
    <row r="4416" spans="1:9" x14ac:dyDescent="0.25">
      <c r="B4416" s="67" t="s">
        <v>2736</v>
      </c>
      <c r="C4416" s="67">
        <v>0</v>
      </c>
      <c r="D4416" s="67">
        <v>0</v>
      </c>
      <c r="E4416" s="67">
        <v>83900.45</v>
      </c>
      <c r="H4416" s="67" t="s">
        <v>146</v>
      </c>
    </row>
    <row r="4418" spans="1:9" x14ac:dyDescent="0.25">
      <c r="A4418" s="67" t="s">
        <v>2735</v>
      </c>
      <c r="B4418" s="67" t="s">
        <v>2734</v>
      </c>
      <c r="C4418" s="67">
        <v>0</v>
      </c>
      <c r="D4418" s="67">
        <v>0</v>
      </c>
      <c r="E4418" s="67">
        <v>83900.41</v>
      </c>
      <c r="F4418" s="67">
        <v>25250</v>
      </c>
      <c r="H4418" s="68">
        <v>40764</v>
      </c>
      <c r="I4418" s="67" t="s">
        <v>148</v>
      </c>
    </row>
    <row r="4419" spans="1:9" x14ac:dyDescent="0.25">
      <c r="B4419" s="67" t="s">
        <v>2734</v>
      </c>
      <c r="C4419" s="67">
        <v>0</v>
      </c>
      <c r="D4419" s="67">
        <v>0</v>
      </c>
      <c r="E4419" s="67">
        <v>83900.45</v>
      </c>
      <c r="H4419" s="67" t="s">
        <v>146</v>
      </c>
    </row>
    <row r="4421" spans="1:9" x14ac:dyDescent="0.25">
      <c r="A4421" s="67" t="s">
        <v>2733</v>
      </c>
      <c r="B4421" s="67" t="s">
        <v>2732</v>
      </c>
      <c r="C4421" s="67">
        <v>0</v>
      </c>
      <c r="D4421" s="67">
        <v>0</v>
      </c>
      <c r="E4421" s="67">
        <v>83900.41</v>
      </c>
      <c r="F4421" s="67">
        <v>25250</v>
      </c>
      <c r="H4421" s="68">
        <v>40764</v>
      </c>
      <c r="I4421" s="67" t="s">
        <v>148</v>
      </c>
    </row>
    <row r="4422" spans="1:9" x14ac:dyDescent="0.25">
      <c r="B4422" s="67" t="s">
        <v>2732</v>
      </c>
      <c r="C4422" s="67">
        <v>0</v>
      </c>
      <c r="D4422" s="67">
        <v>0</v>
      </c>
      <c r="E4422" s="67">
        <v>83900.45</v>
      </c>
      <c r="H4422" s="67" t="s">
        <v>146</v>
      </c>
    </row>
    <row r="4424" spans="1:9" x14ac:dyDescent="0.25">
      <c r="A4424" s="67" t="s">
        <v>2731</v>
      </c>
      <c r="B4424" s="67" t="s">
        <v>2730</v>
      </c>
      <c r="C4424" s="67">
        <v>0</v>
      </c>
      <c r="D4424" s="67">
        <v>0</v>
      </c>
      <c r="E4424" s="67">
        <v>83900.41</v>
      </c>
      <c r="F4424" s="67">
        <v>25250</v>
      </c>
      <c r="H4424" s="68">
        <v>40764</v>
      </c>
      <c r="I4424" s="67" t="s">
        <v>148</v>
      </c>
    </row>
    <row r="4425" spans="1:9" x14ac:dyDescent="0.25">
      <c r="B4425" s="67" t="s">
        <v>2730</v>
      </c>
      <c r="C4425" s="67">
        <v>0</v>
      </c>
      <c r="D4425" s="67">
        <v>0</v>
      </c>
      <c r="E4425" s="67">
        <v>83900.45</v>
      </c>
      <c r="H4425" s="67" t="s">
        <v>146</v>
      </c>
    </row>
    <row r="4427" spans="1:9" x14ac:dyDescent="0.25">
      <c r="A4427" s="67" t="s">
        <v>2729</v>
      </c>
      <c r="B4427" s="67" t="s">
        <v>2728</v>
      </c>
      <c r="C4427" s="67">
        <v>0</v>
      </c>
      <c r="D4427" s="67">
        <v>0</v>
      </c>
      <c r="E4427" s="67">
        <v>83900.41</v>
      </c>
      <c r="F4427" s="67">
        <v>25250</v>
      </c>
      <c r="H4427" s="68">
        <v>40764</v>
      </c>
      <c r="I4427" s="67" t="s">
        <v>148</v>
      </c>
    </row>
    <row r="4428" spans="1:9" x14ac:dyDescent="0.25">
      <c r="B4428" s="67" t="s">
        <v>2728</v>
      </c>
      <c r="C4428" s="67">
        <v>0</v>
      </c>
      <c r="D4428" s="67">
        <v>0</v>
      </c>
      <c r="E4428" s="67">
        <v>83900.45</v>
      </c>
      <c r="H4428" s="67" t="s">
        <v>146</v>
      </c>
    </row>
    <row r="4430" spans="1:9" x14ac:dyDescent="0.25">
      <c r="A4430" s="67" t="s">
        <v>2727</v>
      </c>
      <c r="B4430" s="67" t="s">
        <v>2726</v>
      </c>
      <c r="C4430" s="67">
        <v>0</v>
      </c>
      <c r="D4430" s="67">
        <v>0</v>
      </c>
      <c r="E4430" s="67">
        <v>83900.41</v>
      </c>
      <c r="F4430" s="67">
        <v>25250</v>
      </c>
      <c r="H4430" s="68">
        <v>40764</v>
      </c>
      <c r="I4430" s="67" t="s">
        <v>148</v>
      </c>
    </row>
    <row r="4431" spans="1:9" x14ac:dyDescent="0.25">
      <c r="B4431" s="67" t="s">
        <v>2726</v>
      </c>
      <c r="C4431" s="67">
        <v>0</v>
      </c>
      <c r="D4431" s="67">
        <v>0</v>
      </c>
      <c r="E4431" s="67">
        <v>83900.45</v>
      </c>
      <c r="H4431" s="67" t="s">
        <v>146</v>
      </c>
    </row>
    <row r="4433" spans="1:9" x14ac:dyDescent="0.25">
      <c r="A4433" s="67" t="s">
        <v>2725</v>
      </c>
      <c r="B4433" s="67" t="s">
        <v>2724</v>
      </c>
      <c r="C4433" s="67">
        <v>0</v>
      </c>
      <c r="D4433" s="67">
        <v>0</v>
      </c>
      <c r="E4433" s="67">
        <v>83900.41</v>
      </c>
      <c r="F4433" s="67">
        <v>25250</v>
      </c>
      <c r="H4433" s="68">
        <v>40764</v>
      </c>
      <c r="I4433" s="67" t="s">
        <v>148</v>
      </c>
    </row>
    <row r="4434" spans="1:9" x14ac:dyDescent="0.25">
      <c r="B4434" s="67" t="s">
        <v>2724</v>
      </c>
      <c r="C4434" s="67">
        <v>0</v>
      </c>
      <c r="D4434" s="67">
        <v>0</v>
      </c>
      <c r="E4434" s="67">
        <v>83900.45</v>
      </c>
      <c r="H4434" s="67" t="s">
        <v>146</v>
      </c>
    </row>
    <row r="4436" spans="1:9" x14ac:dyDescent="0.25">
      <c r="A4436" s="67" t="s">
        <v>2723</v>
      </c>
      <c r="B4436" s="67" t="s">
        <v>2722</v>
      </c>
      <c r="C4436" s="67">
        <v>0</v>
      </c>
      <c r="D4436" s="67">
        <v>0</v>
      </c>
      <c r="E4436" s="67">
        <v>83900.41</v>
      </c>
      <c r="F4436" s="67">
        <v>25250</v>
      </c>
      <c r="H4436" s="68">
        <v>40764</v>
      </c>
      <c r="I4436" s="67" t="s">
        <v>148</v>
      </c>
    </row>
    <row r="4437" spans="1:9" x14ac:dyDescent="0.25">
      <c r="B4437" s="67" t="s">
        <v>2722</v>
      </c>
      <c r="C4437" s="67">
        <v>0</v>
      </c>
      <c r="D4437" s="67">
        <v>0</v>
      </c>
      <c r="E4437" s="67">
        <v>83900.45</v>
      </c>
      <c r="H4437" s="67" t="s">
        <v>146</v>
      </c>
    </row>
    <row r="4439" spans="1:9" x14ac:dyDescent="0.25">
      <c r="A4439" s="67" t="s">
        <v>2721</v>
      </c>
      <c r="B4439" s="67" t="s">
        <v>2720</v>
      </c>
      <c r="C4439" s="67">
        <v>0</v>
      </c>
      <c r="D4439" s="67">
        <v>0</v>
      </c>
      <c r="E4439" s="67">
        <v>83900.41</v>
      </c>
      <c r="F4439" s="67">
        <v>25250</v>
      </c>
      <c r="H4439" s="68">
        <v>40764</v>
      </c>
      <c r="I4439" s="67" t="s">
        <v>148</v>
      </c>
    </row>
    <row r="4440" spans="1:9" x14ac:dyDescent="0.25">
      <c r="B4440" s="67" t="s">
        <v>2720</v>
      </c>
      <c r="C4440" s="67">
        <v>0</v>
      </c>
      <c r="D4440" s="67">
        <v>0</v>
      </c>
      <c r="E4440" s="67">
        <v>83900.45</v>
      </c>
      <c r="H4440" s="67" t="s">
        <v>146</v>
      </c>
    </row>
    <row r="4442" spans="1:9" x14ac:dyDescent="0.25">
      <c r="A4442" s="67" t="s">
        <v>2719</v>
      </c>
      <c r="B4442" s="67" t="s">
        <v>2718</v>
      </c>
      <c r="C4442" s="67">
        <v>0</v>
      </c>
      <c r="D4442" s="67">
        <v>0</v>
      </c>
      <c r="E4442" s="67">
        <v>83900.41</v>
      </c>
      <c r="F4442" s="67">
        <v>25250</v>
      </c>
      <c r="H4442" s="68">
        <v>40764</v>
      </c>
      <c r="I4442" s="67" t="s">
        <v>148</v>
      </c>
    </row>
    <row r="4443" spans="1:9" x14ac:dyDescent="0.25">
      <c r="B4443" s="67" t="s">
        <v>2718</v>
      </c>
      <c r="C4443" s="67">
        <v>0</v>
      </c>
      <c r="D4443" s="67">
        <v>0</v>
      </c>
      <c r="E4443" s="67">
        <v>83900.45</v>
      </c>
      <c r="H4443" s="67" t="s">
        <v>146</v>
      </c>
    </row>
    <row r="4444" spans="1:9" x14ac:dyDescent="0.25">
      <c r="A4444" s="67" t="s">
        <v>233</v>
      </c>
    </row>
    <row r="4446" spans="1:9" x14ac:dyDescent="0.25">
      <c r="A4446" s="67" t="s">
        <v>232</v>
      </c>
      <c r="D4446" s="67" t="s">
        <v>231</v>
      </c>
      <c r="H4446" s="67" t="s">
        <v>148</v>
      </c>
      <c r="I4446" s="67" t="s">
        <v>230</v>
      </c>
    </row>
    <row r="4447" spans="1:9" x14ac:dyDescent="0.25">
      <c r="A4447" s="67">
        <v>41.1</v>
      </c>
      <c r="C4447" s="67" t="s">
        <v>215</v>
      </c>
      <c r="D4447" s="67" t="s">
        <v>229</v>
      </c>
      <c r="H4447" s="70">
        <v>44771</v>
      </c>
      <c r="I4447" s="69">
        <v>0.56736111111111109</v>
      </c>
    </row>
    <row r="4448" spans="1:9" x14ac:dyDescent="0.25">
      <c r="A4448" s="67" t="s">
        <v>228</v>
      </c>
      <c r="C4448" s="67" t="s">
        <v>227</v>
      </c>
      <c r="D4448" s="67" t="s">
        <v>226</v>
      </c>
      <c r="E4448" s="67">
        <v>589</v>
      </c>
      <c r="H4448" s="67" t="s">
        <v>225</v>
      </c>
      <c r="I4448" s="67">
        <v>78</v>
      </c>
    </row>
    <row r="4449" spans="1:9" x14ac:dyDescent="0.25">
      <c r="A4449" s="67" t="s">
        <v>884</v>
      </c>
    </row>
    <row r="4450" spans="1:9" x14ac:dyDescent="0.25">
      <c r="A4450" s="67" t="s">
        <v>223</v>
      </c>
      <c r="B4450" s="67" t="s">
        <v>222</v>
      </c>
      <c r="C4450" s="67" t="s">
        <v>221</v>
      </c>
      <c r="D4450" s="67" t="s">
        <v>220</v>
      </c>
      <c r="E4450" s="67" t="s">
        <v>219</v>
      </c>
      <c r="F4450" s="67" t="s">
        <v>217</v>
      </c>
      <c r="G4450" s="67" t="s">
        <v>218</v>
      </c>
      <c r="H4450" s="67" t="s">
        <v>217</v>
      </c>
      <c r="I4450" s="67" t="s">
        <v>216</v>
      </c>
    </row>
    <row r="4451" spans="1:9" x14ac:dyDescent="0.25">
      <c r="A4451" s="67" t="s">
        <v>215</v>
      </c>
      <c r="B4451" s="67" t="s">
        <v>214</v>
      </c>
      <c r="C4451" s="67" t="s">
        <v>213</v>
      </c>
      <c r="D4451" s="67" t="s">
        <v>212</v>
      </c>
      <c r="E4451" s="67" t="s">
        <v>211</v>
      </c>
      <c r="F4451" s="67" t="s">
        <v>210</v>
      </c>
      <c r="G4451" s="67" t="s">
        <v>209</v>
      </c>
      <c r="H4451" s="67" t="s">
        <v>208</v>
      </c>
      <c r="I4451" s="67" t="s">
        <v>207</v>
      </c>
    </row>
    <row r="4452" spans="1:9" x14ac:dyDescent="0.25">
      <c r="A4452" s="67" t="s">
        <v>206</v>
      </c>
      <c r="B4452" s="67" t="s">
        <v>205</v>
      </c>
      <c r="C4452" s="67" t="s">
        <v>204</v>
      </c>
      <c r="D4452" s="67" t="s">
        <v>203</v>
      </c>
      <c r="E4452" s="67" t="s">
        <v>202</v>
      </c>
      <c r="F4452" s="67" t="s">
        <v>201</v>
      </c>
      <c r="G4452" s="67" t="s">
        <v>200</v>
      </c>
      <c r="H4452" s="67" t="s">
        <v>199</v>
      </c>
    </row>
    <row r="4453" spans="1:9" x14ac:dyDescent="0.25">
      <c r="A4453" s="67" t="s">
        <v>2717</v>
      </c>
      <c r="B4453" s="67" t="s">
        <v>2716</v>
      </c>
      <c r="C4453" s="67">
        <v>0</v>
      </c>
      <c r="D4453" s="67">
        <v>0</v>
      </c>
      <c r="E4453" s="67">
        <v>83900.41</v>
      </c>
      <c r="F4453" s="67">
        <v>25250</v>
      </c>
      <c r="H4453" s="68">
        <v>40764</v>
      </c>
      <c r="I4453" s="67" t="s">
        <v>148</v>
      </c>
    </row>
    <row r="4454" spans="1:9" x14ac:dyDescent="0.25">
      <c r="B4454" s="67" t="s">
        <v>2716</v>
      </c>
      <c r="C4454" s="67">
        <v>0</v>
      </c>
      <c r="D4454" s="67">
        <v>0</v>
      </c>
      <c r="E4454" s="67">
        <v>83900.45</v>
      </c>
      <c r="H4454" s="67" t="s">
        <v>146</v>
      </c>
    </row>
    <row r="4456" spans="1:9" x14ac:dyDescent="0.25">
      <c r="A4456" s="67" t="s">
        <v>2715</v>
      </c>
      <c r="B4456" s="67" t="s">
        <v>2714</v>
      </c>
      <c r="C4456" s="67">
        <v>0</v>
      </c>
      <c r="D4456" s="67">
        <v>0</v>
      </c>
      <c r="E4456" s="67">
        <v>83900.41</v>
      </c>
      <c r="F4456" s="67">
        <v>25250</v>
      </c>
      <c r="H4456" s="68">
        <v>40764</v>
      </c>
      <c r="I4456" s="67" t="s">
        <v>148</v>
      </c>
    </row>
    <row r="4457" spans="1:9" x14ac:dyDescent="0.25">
      <c r="B4457" s="67" t="s">
        <v>2714</v>
      </c>
      <c r="C4457" s="67">
        <v>0</v>
      </c>
      <c r="D4457" s="67">
        <v>0</v>
      </c>
      <c r="E4457" s="67">
        <v>83900.45</v>
      </c>
      <c r="H4457" s="67" t="s">
        <v>146</v>
      </c>
    </row>
    <row r="4459" spans="1:9" x14ac:dyDescent="0.25">
      <c r="A4459" s="67" t="s">
        <v>2713</v>
      </c>
      <c r="B4459" s="67" t="s">
        <v>2712</v>
      </c>
      <c r="C4459" s="67">
        <v>0</v>
      </c>
      <c r="D4459" s="67">
        <v>0</v>
      </c>
      <c r="E4459" s="67">
        <v>83900.41</v>
      </c>
      <c r="F4459" s="67">
        <v>25250</v>
      </c>
      <c r="H4459" s="68">
        <v>40764</v>
      </c>
      <c r="I4459" s="67" t="s">
        <v>148</v>
      </c>
    </row>
    <row r="4460" spans="1:9" x14ac:dyDescent="0.25">
      <c r="B4460" s="67" t="s">
        <v>2712</v>
      </c>
      <c r="C4460" s="67">
        <v>0</v>
      </c>
      <c r="D4460" s="67">
        <v>0</v>
      </c>
      <c r="E4460" s="67">
        <v>83900.45</v>
      </c>
      <c r="H4460" s="67" t="s">
        <v>146</v>
      </c>
    </row>
    <row r="4462" spans="1:9" x14ac:dyDescent="0.25">
      <c r="A4462" s="67" t="s">
        <v>2711</v>
      </c>
      <c r="B4462" s="67" t="s">
        <v>2710</v>
      </c>
      <c r="C4462" s="67">
        <v>0</v>
      </c>
      <c r="D4462" s="67">
        <v>0</v>
      </c>
      <c r="E4462" s="67">
        <v>83900.41</v>
      </c>
      <c r="F4462" s="67">
        <v>25250</v>
      </c>
      <c r="H4462" s="68">
        <v>40764</v>
      </c>
      <c r="I4462" s="67" t="s">
        <v>148</v>
      </c>
    </row>
    <row r="4463" spans="1:9" x14ac:dyDescent="0.25">
      <c r="B4463" s="67" t="s">
        <v>2710</v>
      </c>
      <c r="C4463" s="67">
        <v>0</v>
      </c>
      <c r="D4463" s="67">
        <v>0</v>
      </c>
      <c r="E4463" s="67">
        <v>83900.45</v>
      </c>
      <c r="H4463" s="67" t="s">
        <v>146</v>
      </c>
    </row>
    <row r="4465" spans="1:9" x14ac:dyDescent="0.25">
      <c r="A4465" s="67" t="s">
        <v>2709</v>
      </c>
      <c r="B4465" s="67" t="s">
        <v>2708</v>
      </c>
      <c r="C4465" s="67">
        <v>0</v>
      </c>
      <c r="D4465" s="67">
        <v>0</v>
      </c>
      <c r="E4465" s="67">
        <v>83900.41</v>
      </c>
      <c r="F4465" s="67">
        <v>25250</v>
      </c>
      <c r="H4465" s="68">
        <v>40764</v>
      </c>
      <c r="I4465" s="67" t="s">
        <v>148</v>
      </c>
    </row>
    <row r="4466" spans="1:9" x14ac:dyDescent="0.25">
      <c r="B4466" s="67" t="s">
        <v>2708</v>
      </c>
      <c r="C4466" s="67">
        <v>0</v>
      </c>
      <c r="D4466" s="67">
        <v>0</v>
      </c>
      <c r="E4466" s="67">
        <v>83900.45</v>
      </c>
      <c r="H4466" s="67" t="s">
        <v>146</v>
      </c>
    </row>
    <row r="4468" spans="1:9" x14ac:dyDescent="0.25">
      <c r="A4468" s="67" t="s">
        <v>2707</v>
      </c>
      <c r="B4468" s="67" t="s">
        <v>2706</v>
      </c>
      <c r="C4468" s="67">
        <v>0</v>
      </c>
      <c r="D4468" s="67">
        <v>0</v>
      </c>
      <c r="E4468" s="67">
        <v>83900.41</v>
      </c>
      <c r="F4468" s="67">
        <v>25250</v>
      </c>
      <c r="H4468" s="68">
        <v>40764</v>
      </c>
      <c r="I4468" s="67" t="s">
        <v>148</v>
      </c>
    </row>
    <row r="4469" spans="1:9" x14ac:dyDescent="0.25">
      <c r="B4469" s="67" t="s">
        <v>2706</v>
      </c>
      <c r="C4469" s="67">
        <v>0</v>
      </c>
      <c r="D4469" s="67">
        <v>0</v>
      </c>
      <c r="E4469" s="67">
        <v>83900.45</v>
      </c>
      <c r="H4469" s="67" t="s">
        <v>146</v>
      </c>
    </row>
    <row r="4471" spans="1:9" x14ac:dyDescent="0.25">
      <c r="A4471" s="67" t="s">
        <v>2705</v>
      </c>
      <c r="B4471" s="67" t="s">
        <v>2704</v>
      </c>
      <c r="C4471" s="67">
        <v>0</v>
      </c>
      <c r="D4471" s="67">
        <v>0</v>
      </c>
      <c r="E4471" s="67">
        <v>83900.41</v>
      </c>
      <c r="F4471" s="67">
        <v>25250</v>
      </c>
      <c r="H4471" s="68">
        <v>40764</v>
      </c>
      <c r="I4471" s="67" t="s">
        <v>148</v>
      </c>
    </row>
    <row r="4472" spans="1:9" x14ac:dyDescent="0.25">
      <c r="B4472" s="67" t="s">
        <v>2704</v>
      </c>
      <c r="C4472" s="67">
        <v>0</v>
      </c>
      <c r="D4472" s="67">
        <v>0</v>
      </c>
      <c r="E4472" s="67">
        <v>83900.45</v>
      </c>
      <c r="H4472" s="67" t="s">
        <v>146</v>
      </c>
    </row>
    <row r="4474" spans="1:9" x14ac:dyDescent="0.25">
      <c r="A4474" s="67" t="s">
        <v>2703</v>
      </c>
      <c r="B4474" s="67" t="s">
        <v>2702</v>
      </c>
      <c r="C4474" s="67">
        <v>0</v>
      </c>
      <c r="D4474" s="67">
        <v>0</v>
      </c>
      <c r="E4474" s="67">
        <v>83900.41</v>
      </c>
      <c r="F4474" s="67">
        <v>25250</v>
      </c>
      <c r="H4474" s="68">
        <v>40764</v>
      </c>
      <c r="I4474" s="67" t="s">
        <v>148</v>
      </c>
    </row>
    <row r="4475" spans="1:9" x14ac:dyDescent="0.25">
      <c r="B4475" s="67" t="s">
        <v>2702</v>
      </c>
      <c r="C4475" s="67">
        <v>0</v>
      </c>
      <c r="D4475" s="67">
        <v>0</v>
      </c>
      <c r="E4475" s="67">
        <v>83900.45</v>
      </c>
      <c r="H4475" s="67" t="s">
        <v>146</v>
      </c>
    </row>
    <row r="4477" spans="1:9" x14ac:dyDescent="0.25">
      <c r="A4477" s="67" t="s">
        <v>2701</v>
      </c>
      <c r="B4477" s="67" t="s">
        <v>2700</v>
      </c>
      <c r="C4477" s="67">
        <v>0</v>
      </c>
      <c r="D4477" s="67">
        <v>0</v>
      </c>
      <c r="E4477" s="67">
        <v>83900.41</v>
      </c>
      <c r="F4477" s="67">
        <v>25250</v>
      </c>
      <c r="H4477" s="68">
        <v>40764</v>
      </c>
      <c r="I4477" s="67" t="s">
        <v>148</v>
      </c>
    </row>
    <row r="4478" spans="1:9" x14ac:dyDescent="0.25">
      <c r="B4478" s="67" t="s">
        <v>2700</v>
      </c>
      <c r="C4478" s="67">
        <v>0</v>
      </c>
      <c r="D4478" s="67">
        <v>0</v>
      </c>
      <c r="E4478" s="67">
        <v>83900.45</v>
      </c>
      <c r="H4478" s="67" t="s">
        <v>146</v>
      </c>
    </row>
    <row r="4480" spans="1:9" x14ac:dyDescent="0.25">
      <c r="A4480" s="67" t="s">
        <v>2699</v>
      </c>
      <c r="B4480" s="67" t="s">
        <v>2698</v>
      </c>
      <c r="C4480" s="67">
        <v>0</v>
      </c>
      <c r="D4480" s="67">
        <v>0</v>
      </c>
      <c r="E4480" s="67">
        <v>83900.41</v>
      </c>
      <c r="F4480" s="67">
        <v>25250</v>
      </c>
      <c r="H4480" s="68">
        <v>40764</v>
      </c>
      <c r="I4480" s="67" t="s">
        <v>148</v>
      </c>
    </row>
    <row r="4481" spans="1:9" x14ac:dyDescent="0.25">
      <c r="B4481" s="67" t="s">
        <v>2698</v>
      </c>
      <c r="C4481" s="67">
        <v>0</v>
      </c>
      <c r="D4481" s="67">
        <v>0</v>
      </c>
      <c r="E4481" s="67">
        <v>83900.45</v>
      </c>
      <c r="H4481" s="67" t="s">
        <v>146</v>
      </c>
    </row>
    <row r="4483" spans="1:9" x14ac:dyDescent="0.25">
      <c r="A4483" s="67" t="s">
        <v>2697</v>
      </c>
      <c r="B4483" s="67" t="s">
        <v>2696</v>
      </c>
      <c r="C4483" s="67">
        <v>0</v>
      </c>
      <c r="D4483" s="67">
        <v>0</v>
      </c>
      <c r="E4483" s="67">
        <v>83900.41</v>
      </c>
      <c r="F4483" s="67">
        <v>25250</v>
      </c>
      <c r="H4483" s="68">
        <v>40764</v>
      </c>
      <c r="I4483" s="67" t="s">
        <v>148</v>
      </c>
    </row>
    <row r="4484" spans="1:9" x14ac:dyDescent="0.25">
      <c r="B4484" s="67" t="s">
        <v>2696</v>
      </c>
      <c r="C4484" s="67">
        <v>0</v>
      </c>
      <c r="D4484" s="67">
        <v>0</v>
      </c>
      <c r="E4484" s="67">
        <v>83900.45</v>
      </c>
      <c r="H4484" s="67" t="s">
        <v>146</v>
      </c>
    </row>
    <row r="4486" spans="1:9" x14ac:dyDescent="0.25">
      <c r="A4486" s="67" t="s">
        <v>2695</v>
      </c>
      <c r="B4486" s="67" t="s">
        <v>2694</v>
      </c>
      <c r="C4486" s="67">
        <v>0</v>
      </c>
      <c r="D4486" s="67">
        <v>0</v>
      </c>
      <c r="E4486" s="67">
        <v>83900.41</v>
      </c>
      <c r="F4486" s="67">
        <v>25250</v>
      </c>
      <c r="H4486" s="68">
        <v>40764</v>
      </c>
      <c r="I4486" s="67" t="s">
        <v>148</v>
      </c>
    </row>
    <row r="4487" spans="1:9" x14ac:dyDescent="0.25">
      <c r="B4487" s="67" t="s">
        <v>2694</v>
      </c>
      <c r="C4487" s="67">
        <v>0</v>
      </c>
      <c r="D4487" s="67">
        <v>0</v>
      </c>
      <c r="E4487" s="67">
        <v>83900.45</v>
      </c>
      <c r="H4487" s="67" t="s">
        <v>146</v>
      </c>
    </row>
    <row r="4489" spans="1:9" x14ac:dyDescent="0.25">
      <c r="A4489" s="67" t="s">
        <v>2693</v>
      </c>
      <c r="B4489" s="67" t="s">
        <v>2692</v>
      </c>
      <c r="C4489" s="67">
        <v>0</v>
      </c>
      <c r="D4489" s="67">
        <v>0</v>
      </c>
      <c r="E4489" s="67">
        <v>83900.41</v>
      </c>
      <c r="F4489" s="67">
        <v>25250</v>
      </c>
      <c r="H4489" s="68">
        <v>40764</v>
      </c>
      <c r="I4489" s="67" t="s">
        <v>148</v>
      </c>
    </row>
    <row r="4490" spans="1:9" x14ac:dyDescent="0.25">
      <c r="B4490" s="67" t="s">
        <v>2692</v>
      </c>
      <c r="C4490" s="67">
        <v>0</v>
      </c>
      <c r="D4490" s="67">
        <v>0</v>
      </c>
      <c r="E4490" s="67">
        <v>83900.45</v>
      </c>
      <c r="H4490" s="67" t="s">
        <v>146</v>
      </c>
    </row>
    <row r="4492" spans="1:9" x14ac:dyDescent="0.25">
      <c r="A4492" s="67" t="s">
        <v>2691</v>
      </c>
      <c r="B4492" s="67" t="s">
        <v>2690</v>
      </c>
      <c r="C4492" s="67">
        <v>0</v>
      </c>
      <c r="D4492" s="67">
        <v>0</v>
      </c>
      <c r="E4492" s="67">
        <v>83900.41</v>
      </c>
      <c r="F4492" s="67">
        <v>25250</v>
      </c>
      <c r="H4492" s="68">
        <v>40764</v>
      </c>
      <c r="I4492" s="67" t="s">
        <v>148</v>
      </c>
    </row>
    <row r="4493" spans="1:9" x14ac:dyDescent="0.25">
      <c r="B4493" s="67" t="s">
        <v>2690</v>
      </c>
      <c r="C4493" s="67">
        <v>0</v>
      </c>
      <c r="D4493" s="67">
        <v>0</v>
      </c>
      <c r="E4493" s="67">
        <v>83900.45</v>
      </c>
      <c r="H4493" s="67" t="s">
        <v>146</v>
      </c>
    </row>
    <row r="4495" spans="1:9" x14ac:dyDescent="0.25">
      <c r="A4495" s="67" t="s">
        <v>2689</v>
      </c>
      <c r="B4495" s="67" t="s">
        <v>2688</v>
      </c>
      <c r="C4495" s="67">
        <v>0</v>
      </c>
      <c r="D4495" s="67">
        <v>0</v>
      </c>
      <c r="E4495" s="67">
        <v>83900.41</v>
      </c>
      <c r="F4495" s="67">
        <v>25250</v>
      </c>
      <c r="H4495" s="68">
        <v>40764</v>
      </c>
      <c r="I4495" s="67" t="s">
        <v>148</v>
      </c>
    </row>
    <row r="4496" spans="1:9" x14ac:dyDescent="0.25">
      <c r="B4496" s="67" t="s">
        <v>2688</v>
      </c>
      <c r="C4496" s="67">
        <v>0</v>
      </c>
      <c r="D4496" s="67">
        <v>0</v>
      </c>
      <c r="E4496" s="67">
        <v>83900.45</v>
      </c>
      <c r="H4496" s="67" t="s">
        <v>146</v>
      </c>
    </row>
    <row r="4498" spans="1:9" x14ac:dyDescent="0.25">
      <c r="A4498" s="67" t="s">
        <v>2687</v>
      </c>
      <c r="B4498" s="67" t="s">
        <v>2686</v>
      </c>
      <c r="C4498" s="67">
        <v>0</v>
      </c>
      <c r="D4498" s="67">
        <v>0</v>
      </c>
      <c r="E4498" s="67">
        <v>83900.41</v>
      </c>
      <c r="F4498" s="67">
        <v>25250</v>
      </c>
      <c r="H4498" s="68">
        <v>40764</v>
      </c>
      <c r="I4498" s="67" t="s">
        <v>148</v>
      </c>
    </row>
    <row r="4499" spans="1:9" x14ac:dyDescent="0.25">
      <c r="B4499" s="67" t="s">
        <v>2686</v>
      </c>
      <c r="C4499" s="67">
        <v>0</v>
      </c>
      <c r="D4499" s="67">
        <v>0</v>
      </c>
      <c r="E4499" s="67">
        <v>83900.45</v>
      </c>
      <c r="H4499" s="67" t="s">
        <v>146</v>
      </c>
    </row>
    <row r="4501" spans="1:9" x14ac:dyDescent="0.25">
      <c r="A4501" s="67" t="s">
        <v>2685</v>
      </c>
      <c r="B4501" s="67" t="s">
        <v>2684</v>
      </c>
      <c r="C4501" s="67">
        <v>0</v>
      </c>
      <c r="D4501" s="67">
        <v>0</v>
      </c>
      <c r="E4501" s="67">
        <v>83900.41</v>
      </c>
      <c r="F4501" s="67">
        <v>25250</v>
      </c>
      <c r="H4501" s="68">
        <v>40764</v>
      </c>
      <c r="I4501" s="67" t="s">
        <v>148</v>
      </c>
    </row>
    <row r="4502" spans="1:9" x14ac:dyDescent="0.25">
      <c r="B4502" s="67" t="s">
        <v>2684</v>
      </c>
      <c r="C4502" s="67">
        <v>0</v>
      </c>
      <c r="D4502" s="67">
        <v>0</v>
      </c>
      <c r="E4502" s="67">
        <v>83900.45</v>
      </c>
      <c r="H4502" s="67" t="s">
        <v>146</v>
      </c>
    </row>
    <row r="4503" spans="1:9" x14ac:dyDescent="0.25">
      <c r="A4503" s="67" t="s">
        <v>233</v>
      </c>
    </row>
    <row r="4505" spans="1:9" x14ac:dyDescent="0.25">
      <c r="A4505" s="67" t="s">
        <v>232</v>
      </c>
      <c r="D4505" s="67" t="s">
        <v>231</v>
      </c>
      <c r="H4505" s="67" t="s">
        <v>148</v>
      </c>
      <c r="I4505" s="67" t="s">
        <v>230</v>
      </c>
    </row>
    <row r="4506" spans="1:9" x14ac:dyDescent="0.25">
      <c r="A4506" s="67">
        <v>41.1</v>
      </c>
      <c r="C4506" s="67" t="s">
        <v>215</v>
      </c>
      <c r="D4506" s="67" t="s">
        <v>229</v>
      </c>
      <c r="H4506" s="70">
        <v>44771</v>
      </c>
      <c r="I4506" s="69">
        <v>0.56736111111111109</v>
      </c>
    </row>
    <row r="4507" spans="1:9" x14ac:dyDescent="0.25">
      <c r="A4507" s="67" t="s">
        <v>228</v>
      </c>
      <c r="C4507" s="67" t="s">
        <v>227</v>
      </c>
      <c r="D4507" s="67" t="s">
        <v>226</v>
      </c>
      <c r="E4507" s="67">
        <v>589</v>
      </c>
      <c r="H4507" s="67" t="s">
        <v>225</v>
      </c>
      <c r="I4507" s="67">
        <v>79</v>
      </c>
    </row>
    <row r="4508" spans="1:9" x14ac:dyDescent="0.25">
      <c r="A4508" s="67" t="s">
        <v>884</v>
      </c>
    </row>
    <row r="4509" spans="1:9" x14ac:dyDescent="0.25">
      <c r="A4509" s="67" t="s">
        <v>223</v>
      </c>
      <c r="B4509" s="67" t="s">
        <v>222</v>
      </c>
      <c r="C4509" s="67" t="s">
        <v>221</v>
      </c>
      <c r="D4509" s="67" t="s">
        <v>220</v>
      </c>
      <c r="E4509" s="67" t="s">
        <v>219</v>
      </c>
      <c r="F4509" s="67" t="s">
        <v>217</v>
      </c>
      <c r="G4509" s="67" t="s">
        <v>218</v>
      </c>
      <c r="H4509" s="67" t="s">
        <v>217</v>
      </c>
      <c r="I4509" s="67" t="s">
        <v>216</v>
      </c>
    </row>
    <row r="4510" spans="1:9" x14ac:dyDescent="0.25">
      <c r="A4510" s="67" t="s">
        <v>215</v>
      </c>
      <c r="B4510" s="67" t="s">
        <v>214</v>
      </c>
      <c r="C4510" s="67" t="s">
        <v>213</v>
      </c>
      <c r="D4510" s="67" t="s">
        <v>212</v>
      </c>
      <c r="E4510" s="67" t="s">
        <v>211</v>
      </c>
      <c r="F4510" s="67" t="s">
        <v>210</v>
      </c>
      <c r="G4510" s="67" t="s">
        <v>209</v>
      </c>
      <c r="H4510" s="67" t="s">
        <v>208</v>
      </c>
      <c r="I4510" s="67" t="s">
        <v>207</v>
      </c>
    </row>
    <row r="4511" spans="1:9" x14ac:dyDescent="0.25">
      <c r="A4511" s="67" t="s">
        <v>206</v>
      </c>
      <c r="B4511" s="67" t="s">
        <v>205</v>
      </c>
      <c r="C4511" s="67" t="s">
        <v>204</v>
      </c>
      <c r="D4511" s="67" t="s">
        <v>203</v>
      </c>
      <c r="E4511" s="67" t="s">
        <v>202</v>
      </c>
      <c r="F4511" s="67" t="s">
        <v>201</v>
      </c>
      <c r="G4511" s="67" t="s">
        <v>200</v>
      </c>
      <c r="H4511" s="67" t="s">
        <v>199</v>
      </c>
    </row>
    <row r="4512" spans="1:9" x14ac:dyDescent="0.25">
      <c r="A4512" s="67" t="s">
        <v>2683</v>
      </c>
      <c r="B4512" s="67" t="s">
        <v>2682</v>
      </c>
      <c r="C4512" s="67">
        <v>0</v>
      </c>
      <c r="D4512" s="67">
        <v>0</v>
      </c>
      <c r="E4512" s="67">
        <v>83900.41</v>
      </c>
      <c r="F4512" s="67">
        <v>25250</v>
      </c>
      <c r="H4512" s="68">
        <v>40764</v>
      </c>
      <c r="I4512" s="67" t="s">
        <v>148</v>
      </c>
    </row>
    <row r="4513" spans="1:9" x14ac:dyDescent="0.25">
      <c r="B4513" s="67" t="s">
        <v>2682</v>
      </c>
      <c r="C4513" s="67">
        <v>0</v>
      </c>
      <c r="D4513" s="67">
        <v>0</v>
      </c>
      <c r="E4513" s="67">
        <v>83900.45</v>
      </c>
      <c r="H4513" s="67" t="s">
        <v>146</v>
      </c>
    </row>
    <row r="4515" spans="1:9" x14ac:dyDescent="0.25">
      <c r="A4515" s="67" t="s">
        <v>2681</v>
      </c>
      <c r="B4515" s="67" t="s">
        <v>2680</v>
      </c>
      <c r="C4515" s="67">
        <v>0</v>
      </c>
      <c r="D4515" s="67">
        <v>0</v>
      </c>
      <c r="E4515" s="67">
        <v>83900.41</v>
      </c>
      <c r="F4515" s="67">
        <v>25250</v>
      </c>
      <c r="H4515" s="68">
        <v>40764</v>
      </c>
      <c r="I4515" s="67" t="s">
        <v>148</v>
      </c>
    </row>
    <row r="4516" spans="1:9" x14ac:dyDescent="0.25">
      <c r="B4516" s="67" t="s">
        <v>2680</v>
      </c>
      <c r="C4516" s="67">
        <v>0</v>
      </c>
      <c r="D4516" s="67">
        <v>0</v>
      </c>
      <c r="E4516" s="67">
        <v>83900.45</v>
      </c>
      <c r="H4516" s="67" t="s">
        <v>146</v>
      </c>
    </row>
    <row r="4518" spans="1:9" x14ac:dyDescent="0.25">
      <c r="A4518" s="67" t="s">
        <v>2679</v>
      </c>
      <c r="B4518" s="67" t="s">
        <v>2678</v>
      </c>
      <c r="C4518" s="67">
        <v>0</v>
      </c>
      <c r="D4518" s="67">
        <v>0</v>
      </c>
      <c r="E4518" s="67">
        <v>83900.41</v>
      </c>
      <c r="F4518" s="67">
        <v>25250</v>
      </c>
      <c r="H4518" s="68">
        <v>40764</v>
      </c>
      <c r="I4518" s="67" t="s">
        <v>148</v>
      </c>
    </row>
    <row r="4519" spans="1:9" x14ac:dyDescent="0.25">
      <c r="B4519" s="67" t="s">
        <v>2678</v>
      </c>
      <c r="C4519" s="67">
        <v>0</v>
      </c>
      <c r="D4519" s="67">
        <v>0</v>
      </c>
      <c r="E4519" s="67">
        <v>83900.45</v>
      </c>
      <c r="H4519" s="67" t="s">
        <v>146</v>
      </c>
    </row>
    <row r="4521" spans="1:9" x14ac:dyDescent="0.25">
      <c r="A4521" s="67" t="s">
        <v>2677</v>
      </c>
      <c r="B4521" s="67" t="s">
        <v>2676</v>
      </c>
      <c r="C4521" s="67">
        <v>0</v>
      </c>
      <c r="D4521" s="67">
        <v>0</v>
      </c>
      <c r="E4521" s="67">
        <v>83900.41</v>
      </c>
      <c r="F4521" s="67">
        <v>25250</v>
      </c>
      <c r="H4521" s="68">
        <v>40764</v>
      </c>
      <c r="I4521" s="67" t="s">
        <v>148</v>
      </c>
    </row>
    <row r="4522" spans="1:9" x14ac:dyDescent="0.25">
      <c r="B4522" s="67" t="s">
        <v>2676</v>
      </c>
      <c r="C4522" s="67">
        <v>0</v>
      </c>
      <c r="D4522" s="67">
        <v>0</v>
      </c>
      <c r="E4522" s="67">
        <v>83900.45</v>
      </c>
      <c r="H4522" s="67" t="s">
        <v>146</v>
      </c>
    </row>
    <row r="4524" spans="1:9" x14ac:dyDescent="0.25">
      <c r="A4524" s="67" t="s">
        <v>2675</v>
      </c>
      <c r="B4524" s="67" t="s">
        <v>2674</v>
      </c>
      <c r="C4524" s="67">
        <v>0</v>
      </c>
      <c r="D4524" s="67">
        <v>0</v>
      </c>
      <c r="E4524" s="67">
        <v>83900.41</v>
      </c>
      <c r="F4524" s="67">
        <v>25250</v>
      </c>
      <c r="H4524" s="68">
        <v>40764</v>
      </c>
      <c r="I4524" s="67" t="s">
        <v>148</v>
      </c>
    </row>
    <row r="4525" spans="1:9" x14ac:dyDescent="0.25">
      <c r="B4525" s="67" t="s">
        <v>2674</v>
      </c>
      <c r="C4525" s="67">
        <v>0</v>
      </c>
      <c r="D4525" s="67">
        <v>0</v>
      </c>
      <c r="E4525" s="67">
        <v>83900.45</v>
      </c>
      <c r="H4525" s="67" t="s">
        <v>146</v>
      </c>
    </row>
    <row r="4527" spans="1:9" x14ac:dyDescent="0.25">
      <c r="A4527" s="67" t="s">
        <v>2673</v>
      </c>
      <c r="B4527" s="67" t="s">
        <v>2672</v>
      </c>
      <c r="C4527" s="67">
        <v>0</v>
      </c>
      <c r="D4527" s="67">
        <v>0</v>
      </c>
      <c r="E4527" s="67">
        <v>83900.41</v>
      </c>
      <c r="F4527" s="67">
        <v>25250</v>
      </c>
      <c r="H4527" s="68">
        <v>40764</v>
      </c>
      <c r="I4527" s="67" t="s">
        <v>148</v>
      </c>
    </row>
    <row r="4528" spans="1:9" x14ac:dyDescent="0.25">
      <c r="B4528" s="67" t="s">
        <v>2672</v>
      </c>
      <c r="C4528" s="67">
        <v>0</v>
      </c>
      <c r="D4528" s="67">
        <v>0</v>
      </c>
      <c r="E4528" s="67">
        <v>83900.45</v>
      </c>
      <c r="H4528" s="67" t="s">
        <v>146</v>
      </c>
    </row>
    <row r="4530" spans="1:9" x14ac:dyDescent="0.25">
      <c r="A4530" s="67" t="s">
        <v>2671</v>
      </c>
      <c r="B4530" s="67" t="s">
        <v>2670</v>
      </c>
      <c r="C4530" s="67">
        <v>0</v>
      </c>
      <c r="D4530" s="67">
        <v>0</v>
      </c>
      <c r="E4530" s="67">
        <v>83900.41</v>
      </c>
      <c r="F4530" s="67">
        <v>25250</v>
      </c>
      <c r="H4530" s="68">
        <v>40764</v>
      </c>
      <c r="I4530" s="67" t="s">
        <v>148</v>
      </c>
    </row>
    <row r="4531" spans="1:9" x14ac:dyDescent="0.25">
      <c r="B4531" s="67" t="s">
        <v>2670</v>
      </c>
      <c r="C4531" s="67">
        <v>0</v>
      </c>
      <c r="D4531" s="67">
        <v>0</v>
      </c>
      <c r="E4531" s="67">
        <v>83900.45</v>
      </c>
      <c r="H4531" s="67" t="s">
        <v>146</v>
      </c>
    </row>
    <row r="4533" spans="1:9" x14ac:dyDescent="0.25">
      <c r="A4533" s="67" t="s">
        <v>2669</v>
      </c>
      <c r="B4533" s="67" t="s">
        <v>2668</v>
      </c>
      <c r="C4533" s="67">
        <v>0</v>
      </c>
      <c r="D4533" s="67">
        <v>0</v>
      </c>
      <c r="E4533" s="67">
        <v>83900.41</v>
      </c>
      <c r="F4533" s="67">
        <v>25250</v>
      </c>
      <c r="H4533" s="68">
        <v>40764</v>
      </c>
      <c r="I4533" s="67" t="s">
        <v>148</v>
      </c>
    </row>
    <row r="4534" spans="1:9" x14ac:dyDescent="0.25">
      <c r="B4534" s="67" t="s">
        <v>2668</v>
      </c>
      <c r="C4534" s="67">
        <v>0</v>
      </c>
      <c r="D4534" s="67">
        <v>0</v>
      </c>
      <c r="E4534" s="67">
        <v>83900.45</v>
      </c>
      <c r="H4534" s="67" t="s">
        <v>146</v>
      </c>
    </row>
    <row r="4536" spans="1:9" x14ac:dyDescent="0.25">
      <c r="A4536" s="67" t="s">
        <v>2667</v>
      </c>
      <c r="B4536" s="67" t="s">
        <v>2666</v>
      </c>
      <c r="C4536" s="67">
        <v>0</v>
      </c>
      <c r="D4536" s="67">
        <v>0</v>
      </c>
      <c r="E4536" s="67">
        <v>83900.41</v>
      </c>
      <c r="F4536" s="67">
        <v>25250</v>
      </c>
      <c r="H4536" s="68">
        <v>40764</v>
      </c>
      <c r="I4536" s="67" t="s">
        <v>148</v>
      </c>
    </row>
    <row r="4537" spans="1:9" x14ac:dyDescent="0.25">
      <c r="B4537" s="67" t="s">
        <v>2666</v>
      </c>
      <c r="C4537" s="67">
        <v>0</v>
      </c>
      <c r="D4537" s="67">
        <v>0</v>
      </c>
      <c r="E4537" s="67">
        <v>83900.45</v>
      </c>
      <c r="H4537" s="67" t="s">
        <v>146</v>
      </c>
    </row>
    <row r="4539" spans="1:9" x14ac:dyDescent="0.25">
      <c r="A4539" s="67" t="s">
        <v>2665</v>
      </c>
      <c r="B4539" s="67" t="s">
        <v>2664</v>
      </c>
      <c r="C4539" s="67">
        <v>0</v>
      </c>
      <c r="D4539" s="67">
        <v>0</v>
      </c>
      <c r="E4539" s="67">
        <v>83900.41</v>
      </c>
      <c r="F4539" s="67">
        <v>25250</v>
      </c>
      <c r="H4539" s="68">
        <v>40764</v>
      </c>
      <c r="I4539" s="67" t="s">
        <v>148</v>
      </c>
    </row>
    <row r="4540" spans="1:9" x14ac:dyDescent="0.25">
      <c r="B4540" s="67" t="s">
        <v>2664</v>
      </c>
      <c r="C4540" s="67">
        <v>0</v>
      </c>
      <c r="D4540" s="67">
        <v>0</v>
      </c>
      <c r="E4540" s="67">
        <v>83900.45</v>
      </c>
      <c r="H4540" s="67" t="s">
        <v>146</v>
      </c>
    </row>
    <row r="4542" spans="1:9" x14ac:dyDescent="0.25">
      <c r="A4542" s="67" t="s">
        <v>2663</v>
      </c>
      <c r="B4542" s="67" t="s">
        <v>2662</v>
      </c>
      <c r="C4542" s="67">
        <v>0</v>
      </c>
      <c r="D4542" s="67">
        <v>0</v>
      </c>
      <c r="E4542" s="67">
        <v>83900.41</v>
      </c>
      <c r="F4542" s="67">
        <v>25250</v>
      </c>
      <c r="H4542" s="68">
        <v>40764</v>
      </c>
      <c r="I4542" s="67" t="s">
        <v>148</v>
      </c>
    </row>
    <row r="4543" spans="1:9" x14ac:dyDescent="0.25">
      <c r="B4543" s="67" t="s">
        <v>2662</v>
      </c>
      <c r="C4543" s="67">
        <v>0</v>
      </c>
      <c r="D4543" s="67">
        <v>0</v>
      </c>
      <c r="E4543" s="67">
        <v>83900.45</v>
      </c>
      <c r="H4543" s="67" t="s">
        <v>146</v>
      </c>
    </row>
    <row r="4545" spans="1:9" x14ac:dyDescent="0.25">
      <c r="A4545" s="67" t="s">
        <v>2661</v>
      </c>
      <c r="B4545" s="67" t="s">
        <v>2660</v>
      </c>
      <c r="C4545" s="67">
        <v>0</v>
      </c>
      <c r="D4545" s="67">
        <v>0</v>
      </c>
      <c r="E4545" s="67">
        <v>83900.41</v>
      </c>
      <c r="F4545" s="67">
        <v>25250</v>
      </c>
      <c r="H4545" s="68">
        <v>40764</v>
      </c>
      <c r="I4545" s="67" t="s">
        <v>148</v>
      </c>
    </row>
    <row r="4546" spans="1:9" x14ac:dyDescent="0.25">
      <c r="B4546" s="67" t="s">
        <v>2660</v>
      </c>
      <c r="C4546" s="67">
        <v>0</v>
      </c>
      <c r="D4546" s="67">
        <v>0</v>
      </c>
      <c r="E4546" s="67">
        <v>83900.45</v>
      </c>
      <c r="H4546" s="67" t="s">
        <v>146</v>
      </c>
    </row>
    <row r="4548" spans="1:9" x14ac:dyDescent="0.25">
      <c r="A4548" s="67" t="s">
        <v>2659</v>
      </c>
      <c r="B4548" s="67" t="s">
        <v>2658</v>
      </c>
      <c r="C4548" s="67">
        <v>0</v>
      </c>
      <c r="D4548" s="67">
        <v>0</v>
      </c>
      <c r="E4548" s="67">
        <v>83900.41</v>
      </c>
      <c r="F4548" s="67">
        <v>25250</v>
      </c>
      <c r="H4548" s="68">
        <v>40764</v>
      </c>
      <c r="I4548" s="67" t="s">
        <v>148</v>
      </c>
    </row>
    <row r="4549" spans="1:9" x14ac:dyDescent="0.25">
      <c r="B4549" s="67" t="s">
        <v>2658</v>
      </c>
      <c r="C4549" s="67">
        <v>0</v>
      </c>
      <c r="D4549" s="67">
        <v>0</v>
      </c>
      <c r="E4549" s="67">
        <v>83900.45</v>
      </c>
      <c r="H4549" s="67" t="s">
        <v>146</v>
      </c>
    </row>
    <row r="4551" spans="1:9" x14ac:dyDescent="0.25">
      <c r="A4551" s="67" t="s">
        <v>2657</v>
      </c>
      <c r="B4551" s="67" t="s">
        <v>2656</v>
      </c>
      <c r="C4551" s="67">
        <v>0</v>
      </c>
      <c r="D4551" s="67">
        <v>0</v>
      </c>
      <c r="E4551" s="67">
        <v>83900.41</v>
      </c>
      <c r="F4551" s="67">
        <v>25250</v>
      </c>
      <c r="H4551" s="68">
        <v>40764</v>
      </c>
      <c r="I4551" s="67" t="s">
        <v>148</v>
      </c>
    </row>
    <row r="4552" spans="1:9" x14ac:dyDescent="0.25">
      <c r="B4552" s="67" t="s">
        <v>2656</v>
      </c>
      <c r="C4552" s="67">
        <v>0</v>
      </c>
      <c r="D4552" s="67">
        <v>0</v>
      </c>
      <c r="E4552" s="67">
        <v>83900.45</v>
      </c>
      <c r="H4552" s="67" t="s">
        <v>146</v>
      </c>
    </row>
    <row r="4554" spans="1:9" x14ac:dyDescent="0.25">
      <c r="A4554" s="67" t="s">
        <v>2655</v>
      </c>
      <c r="B4554" s="67" t="s">
        <v>2654</v>
      </c>
      <c r="C4554" s="67">
        <v>0</v>
      </c>
      <c r="D4554" s="67">
        <v>0</v>
      </c>
      <c r="E4554" s="67">
        <v>83900.41</v>
      </c>
      <c r="F4554" s="67">
        <v>25250</v>
      </c>
      <c r="H4554" s="68">
        <v>40764</v>
      </c>
      <c r="I4554" s="67" t="s">
        <v>148</v>
      </c>
    </row>
    <row r="4555" spans="1:9" x14ac:dyDescent="0.25">
      <c r="B4555" s="67" t="s">
        <v>2654</v>
      </c>
      <c r="C4555" s="67">
        <v>0</v>
      </c>
      <c r="D4555" s="67">
        <v>0</v>
      </c>
      <c r="E4555" s="67">
        <v>83900.45</v>
      </c>
      <c r="H4555" s="67" t="s">
        <v>146</v>
      </c>
    </row>
    <row r="4557" spans="1:9" x14ac:dyDescent="0.25">
      <c r="A4557" s="67" t="s">
        <v>2653</v>
      </c>
      <c r="B4557" s="67" t="s">
        <v>2652</v>
      </c>
      <c r="C4557" s="67">
        <v>0</v>
      </c>
      <c r="D4557" s="67">
        <v>0</v>
      </c>
      <c r="E4557" s="67">
        <v>83900.41</v>
      </c>
      <c r="F4557" s="67">
        <v>25250</v>
      </c>
      <c r="H4557" s="68">
        <v>40764</v>
      </c>
      <c r="I4557" s="67" t="s">
        <v>148</v>
      </c>
    </row>
    <row r="4558" spans="1:9" x14ac:dyDescent="0.25">
      <c r="B4558" s="67" t="s">
        <v>2652</v>
      </c>
      <c r="C4558" s="67">
        <v>0</v>
      </c>
      <c r="D4558" s="67">
        <v>0</v>
      </c>
      <c r="E4558" s="67">
        <v>83900.45</v>
      </c>
      <c r="H4558" s="67" t="s">
        <v>146</v>
      </c>
    </row>
    <row r="4560" spans="1:9" x14ac:dyDescent="0.25">
      <c r="A4560" s="67" t="s">
        <v>2651</v>
      </c>
      <c r="B4560" s="67" t="s">
        <v>2650</v>
      </c>
      <c r="C4560" s="67">
        <v>0</v>
      </c>
      <c r="D4560" s="67">
        <v>0</v>
      </c>
      <c r="E4560" s="67">
        <v>83900.41</v>
      </c>
      <c r="F4560" s="67">
        <v>25250</v>
      </c>
      <c r="H4560" s="68">
        <v>40764</v>
      </c>
      <c r="I4560" s="67" t="s">
        <v>148</v>
      </c>
    </row>
    <row r="4561" spans="1:9" x14ac:dyDescent="0.25">
      <c r="B4561" s="67" t="s">
        <v>2650</v>
      </c>
      <c r="C4561" s="67">
        <v>0</v>
      </c>
      <c r="D4561" s="67">
        <v>0</v>
      </c>
      <c r="E4561" s="67">
        <v>83900.45</v>
      </c>
      <c r="H4561" s="67" t="s">
        <v>146</v>
      </c>
    </row>
    <row r="4562" spans="1:9" x14ac:dyDescent="0.25">
      <c r="A4562" s="67" t="s">
        <v>233</v>
      </c>
    </row>
    <row r="4564" spans="1:9" x14ac:dyDescent="0.25">
      <c r="A4564" s="67" t="s">
        <v>232</v>
      </c>
      <c r="D4564" s="67" t="s">
        <v>231</v>
      </c>
      <c r="H4564" s="67" t="s">
        <v>148</v>
      </c>
      <c r="I4564" s="67" t="s">
        <v>230</v>
      </c>
    </row>
    <row r="4565" spans="1:9" x14ac:dyDescent="0.25">
      <c r="A4565" s="67">
        <v>41.1</v>
      </c>
      <c r="C4565" s="67" t="s">
        <v>215</v>
      </c>
      <c r="D4565" s="67" t="s">
        <v>229</v>
      </c>
      <c r="H4565" s="70">
        <v>44771</v>
      </c>
      <c r="I4565" s="69">
        <v>0.56736111111111109</v>
      </c>
    </row>
    <row r="4566" spans="1:9" x14ac:dyDescent="0.25">
      <c r="A4566" s="67" t="s">
        <v>228</v>
      </c>
      <c r="C4566" s="67" t="s">
        <v>227</v>
      </c>
      <c r="D4566" s="67" t="s">
        <v>226</v>
      </c>
      <c r="E4566" s="67">
        <v>589</v>
      </c>
      <c r="H4566" s="67" t="s">
        <v>225</v>
      </c>
      <c r="I4566" s="67">
        <v>80</v>
      </c>
    </row>
    <row r="4567" spans="1:9" x14ac:dyDescent="0.25">
      <c r="A4567" s="67" t="s">
        <v>884</v>
      </c>
    </row>
    <row r="4568" spans="1:9" x14ac:dyDescent="0.25">
      <c r="A4568" s="67" t="s">
        <v>223</v>
      </c>
      <c r="B4568" s="67" t="s">
        <v>222</v>
      </c>
      <c r="C4568" s="67" t="s">
        <v>221</v>
      </c>
      <c r="D4568" s="67" t="s">
        <v>220</v>
      </c>
      <c r="E4568" s="67" t="s">
        <v>219</v>
      </c>
      <c r="F4568" s="67" t="s">
        <v>217</v>
      </c>
      <c r="G4568" s="67" t="s">
        <v>218</v>
      </c>
      <c r="H4568" s="67" t="s">
        <v>217</v>
      </c>
      <c r="I4568" s="67" t="s">
        <v>216</v>
      </c>
    </row>
    <row r="4569" spans="1:9" x14ac:dyDescent="0.25">
      <c r="A4569" s="67" t="s">
        <v>215</v>
      </c>
      <c r="B4569" s="67" t="s">
        <v>214</v>
      </c>
      <c r="C4569" s="67" t="s">
        <v>213</v>
      </c>
      <c r="D4569" s="67" t="s">
        <v>212</v>
      </c>
      <c r="E4569" s="67" t="s">
        <v>211</v>
      </c>
      <c r="F4569" s="67" t="s">
        <v>210</v>
      </c>
      <c r="G4569" s="67" t="s">
        <v>209</v>
      </c>
      <c r="H4569" s="67" t="s">
        <v>208</v>
      </c>
      <c r="I4569" s="67" t="s">
        <v>207</v>
      </c>
    </row>
    <row r="4570" spans="1:9" x14ac:dyDescent="0.25">
      <c r="A4570" s="67" t="s">
        <v>206</v>
      </c>
      <c r="B4570" s="67" t="s">
        <v>205</v>
      </c>
      <c r="C4570" s="67" t="s">
        <v>204</v>
      </c>
      <c r="D4570" s="67" t="s">
        <v>203</v>
      </c>
      <c r="E4570" s="67" t="s">
        <v>202</v>
      </c>
      <c r="F4570" s="67" t="s">
        <v>201</v>
      </c>
      <c r="G4570" s="67" t="s">
        <v>200</v>
      </c>
      <c r="H4570" s="67" t="s">
        <v>199</v>
      </c>
    </row>
    <row r="4571" spans="1:9" x14ac:dyDescent="0.25">
      <c r="A4571" s="67" t="s">
        <v>2649</v>
      </c>
      <c r="B4571" s="67" t="s">
        <v>2648</v>
      </c>
      <c r="C4571" s="67">
        <v>0</v>
      </c>
      <c r="D4571" s="67">
        <v>0</v>
      </c>
      <c r="E4571" s="67">
        <v>83900.41</v>
      </c>
      <c r="F4571" s="67">
        <v>25250</v>
      </c>
      <c r="H4571" s="68">
        <v>40764</v>
      </c>
      <c r="I4571" s="67" t="s">
        <v>148</v>
      </c>
    </row>
    <row r="4572" spans="1:9" x14ac:dyDescent="0.25">
      <c r="B4572" s="67" t="s">
        <v>2648</v>
      </c>
      <c r="C4572" s="67">
        <v>0</v>
      </c>
      <c r="D4572" s="67">
        <v>0</v>
      </c>
      <c r="E4572" s="67">
        <v>83900.45</v>
      </c>
      <c r="H4572" s="67" t="s">
        <v>146</v>
      </c>
    </row>
    <row r="4574" spans="1:9" x14ac:dyDescent="0.25">
      <c r="A4574" s="67" t="s">
        <v>2647</v>
      </c>
      <c r="B4574" s="67" t="s">
        <v>2646</v>
      </c>
      <c r="C4574" s="67">
        <v>0</v>
      </c>
      <c r="D4574" s="67">
        <v>0</v>
      </c>
      <c r="E4574" s="67">
        <v>83900.41</v>
      </c>
      <c r="F4574" s="67">
        <v>25250</v>
      </c>
      <c r="H4574" s="68">
        <v>40764</v>
      </c>
      <c r="I4574" s="67" t="s">
        <v>148</v>
      </c>
    </row>
    <row r="4575" spans="1:9" x14ac:dyDescent="0.25">
      <c r="B4575" s="67" t="s">
        <v>2646</v>
      </c>
      <c r="C4575" s="67">
        <v>0</v>
      </c>
      <c r="D4575" s="67">
        <v>0</v>
      </c>
      <c r="E4575" s="67">
        <v>83900.45</v>
      </c>
      <c r="H4575" s="67" t="s">
        <v>146</v>
      </c>
    </row>
    <row r="4577" spans="1:9" x14ac:dyDescent="0.25">
      <c r="A4577" s="67" t="s">
        <v>2645</v>
      </c>
      <c r="B4577" s="67" t="s">
        <v>2644</v>
      </c>
      <c r="C4577" s="67">
        <v>0</v>
      </c>
      <c r="D4577" s="67">
        <v>0</v>
      </c>
      <c r="E4577" s="67">
        <v>83900.41</v>
      </c>
      <c r="F4577" s="67">
        <v>25250</v>
      </c>
      <c r="H4577" s="68">
        <v>40764</v>
      </c>
      <c r="I4577" s="67" t="s">
        <v>148</v>
      </c>
    </row>
    <row r="4578" spans="1:9" x14ac:dyDescent="0.25">
      <c r="B4578" s="67" t="s">
        <v>2644</v>
      </c>
      <c r="C4578" s="67">
        <v>0</v>
      </c>
      <c r="D4578" s="67">
        <v>0</v>
      </c>
      <c r="E4578" s="67">
        <v>83900.45</v>
      </c>
      <c r="H4578" s="67" t="s">
        <v>146</v>
      </c>
    </row>
    <row r="4580" spans="1:9" x14ac:dyDescent="0.25">
      <c r="A4580" s="67" t="s">
        <v>2643</v>
      </c>
      <c r="B4580" s="67" t="s">
        <v>2642</v>
      </c>
      <c r="C4580" s="67">
        <v>0</v>
      </c>
      <c r="D4580" s="67">
        <v>0</v>
      </c>
      <c r="E4580" s="67">
        <v>83900.41</v>
      </c>
      <c r="F4580" s="67">
        <v>25250</v>
      </c>
      <c r="H4580" s="68">
        <v>40764</v>
      </c>
      <c r="I4580" s="67" t="s">
        <v>148</v>
      </c>
    </row>
    <row r="4581" spans="1:9" x14ac:dyDescent="0.25">
      <c r="B4581" s="67" t="s">
        <v>2642</v>
      </c>
      <c r="C4581" s="67">
        <v>0</v>
      </c>
      <c r="D4581" s="67">
        <v>0</v>
      </c>
      <c r="E4581" s="67">
        <v>83900.45</v>
      </c>
      <c r="H4581" s="67" t="s">
        <v>146</v>
      </c>
    </row>
    <row r="4583" spans="1:9" x14ac:dyDescent="0.25">
      <c r="A4583" s="67" t="s">
        <v>2641</v>
      </c>
      <c r="B4583" s="67" t="s">
        <v>2640</v>
      </c>
      <c r="C4583" s="67">
        <v>0</v>
      </c>
      <c r="D4583" s="67">
        <v>0</v>
      </c>
      <c r="E4583" s="67">
        <v>83900.41</v>
      </c>
      <c r="F4583" s="67">
        <v>25250</v>
      </c>
      <c r="H4583" s="68">
        <v>40764</v>
      </c>
      <c r="I4583" s="67" t="s">
        <v>148</v>
      </c>
    </row>
    <row r="4584" spans="1:9" x14ac:dyDescent="0.25">
      <c r="B4584" s="67" t="s">
        <v>2640</v>
      </c>
      <c r="C4584" s="67">
        <v>0</v>
      </c>
      <c r="D4584" s="67">
        <v>0</v>
      </c>
      <c r="E4584" s="67">
        <v>83900.45</v>
      </c>
      <c r="H4584" s="67" t="s">
        <v>146</v>
      </c>
    </row>
    <row r="4586" spans="1:9" x14ac:dyDescent="0.25">
      <c r="A4586" s="67" t="s">
        <v>2639</v>
      </c>
      <c r="B4586" s="67" t="s">
        <v>2638</v>
      </c>
      <c r="C4586" s="67">
        <v>0</v>
      </c>
      <c r="D4586" s="67">
        <v>0</v>
      </c>
      <c r="E4586" s="67">
        <v>83900.41</v>
      </c>
      <c r="F4586" s="67">
        <v>25250</v>
      </c>
      <c r="H4586" s="68">
        <v>40764</v>
      </c>
      <c r="I4586" s="67" t="s">
        <v>148</v>
      </c>
    </row>
    <row r="4587" spans="1:9" x14ac:dyDescent="0.25">
      <c r="B4587" s="67" t="s">
        <v>2638</v>
      </c>
      <c r="C4587" s="67">
        <v>0</v>
      </c>
      <c r="D4587" s="67">
        <v>0</v>
      </c>
      <c r="E4587" s="67">
        <v>83900.45</v>
      </c>
      <c r="H4587" s="67" t="s">
        <v>146</v>
      </c>
    </row>
    <row r="4589" spans="1:9" x14ac:dyDescent="0.25">
      <c r="A4589" s="67" t="s">
        <v>2637</v>
      </c>
      <c r="B4589" s="67" t="s">
        <v>2636</v>
      </c>
      <c r="C4589" s="67">
        <v>0</v>
      </c>
      <c r="D4589" s="67">
        <v>0</v>
      </c>
      <c r="E4589" s="67">
        <v>83900.41</v>
      </c>
      <c r="F4589" s="67">
        <v>25250</v>
      </c>
      <c r="H4589" s="68">
        <v>40764</v>
      </c>
      <c r="I4589" s="67" t="s">
        <v>148</v>
      </c>
    </row>
    <row r="4590" spans="1:9" x14ac:dyDescent="0.25">
      <c r="B4590" s="67" t="s">
        <v>2636</v>
      </c>
      <c r="C4590" s="67">
        <v>0</v>
      </c>
      <c r="D4590" s="67">
        <v>0</v>
      </c>
      <c r="E4590" s="67">
        <v>83900.45</v>
      </c>
      <c r="H4590" s="67" t="s">
        <v>146</v>
      </c>
    </row>
    <row r="4592" spans="1:9" x14ac:dyDescent="0.25">
      <c r="A4592" s="67" t="s">
        <v>2635</v>
      </c>
      <c r="B4592" s="67" t="s">
        <v>2634</v>
      </c>
      <c r="C4592" s="67">
        <v>0</v>
      </c>
      <c r="D4592" s="67">
        <v>0</v>
      </c>
      <c r="E4592" s="67">
        <v>83900.41</v>
      </c>
      <c r="F4592" s="67">
        <v>25250</v>
      </c>
      <c r="H4592" s="68">
        <v>40764</v>
      </c>
      <c r="I4592" s="67" t="s">
        <v>148</v>
      </c>
    </row>
    <row r="4593" spans="1:9" x14ac:dyDescent="0.25">
      <c r="B4593" s="67" t="s">
        <v>2634</v>
      </c>
      <c r="C4593" s="67">
        <v>0</v>
      </c>
      <c r="D4593" s="67">
        <v>0</v>
      </c>
      <c r="E4593" s="67">
        <v>83900.45</v>
      </c>
      <c r="H4593" s="67" t="s">
        <v>146</v>
      </c>
    </row>
    <row r="4595" spans="1:9" x14ac:dyDescent="0.25">
      <c r="A4595" s="67" t="s">
        <v>2633</v>
      </c>
      <c r="B4595" s="67" t="s">
        <v>2632</v>
      </c>
      <c r="C4595" s="67">
        <v>0</v>
      </c>
      <c r="D4595" s="67">
        <v>0</v>
      </c>
      <c r="E4595" s="67">
        <v>83900.41</v>
      </c>
      <c r="F4595" s="67">
        <v>25250</v>
      </c>
      <c r="H4595" s="68">
        <v>40764</v>
      </c>
      <c r="I4595" s="67" t="s">
        <v>148</v>
      </c>
    </row>
    <row r="4596" spans="1:9" x14ac:dyDescent="0.25">
      <c r="B4596" s="67" t="s">
        <v>2632</v>
      </c>
      <c r="C4596" s="67">
        <v>0</v>
      </c>
      <c r="D4596" s="67">
        <v>0</v>
      </c>
      <c r="E4596" s="67">
        <v>83900.45</v>
      </c>
      <c r="H4596" s="67" t="s">
        <v>146</v>
      </c>
    </row>
    <row r="4598" spans="1:9" x14ac:dyDescent="0.25">
      <c r="A4598" s="67" t="s">
        <v>2631</v>
      </c>
      <c r="B4598" s="67" t="s">
        <v>2630</v>
      </c>
      <c r="C4598" s="67">
        <v>0</v>
      </c>
      <c r="D4598" s="67">
        <v>0</v>
      </c>
      <c r="E4598" s="67">
        <v>83900.41</v>
      </c>
      <c r="F4598" s="67">
        <v>25250</v>
      </c>
      <c r="H4598" s="68">
        <v>40764</v>
      </c>
      <c r="I4598" s="67" t="s">
        <v>148</v>
      </c>
    </row>
    <row r="4599" spans="1:9" x14ac:dyDescent="0.25">
      <c r="B4599" s="67" t="s">
        <v>2630</v>
      </c>
      <c r="C4599" s="67">
        <v>0</v>
      </c>
      <c r="D4599" s="67">
        <v>0</v>
      </c>
      <c r="E4599" s="67">
        <v>83900.45</v>
      </c>
      <c r="H4599" s="67" t="s">
        <v>146</v>
      </c>
    </row>
    <row r="4601" spans="1:9" x14ac:dyDescent="0.25">
      <c r="A4601" s="67" t="s">
        <v>2629</v>
      </c>
      <c r="B4601" s="67" t="s">
        <v>2628</v>
      </c>
      <c r="C4601" s="67">
        <v>0</v>
      </c>
      <c r="D4601" s="67">
        <v>0</v>
      </c>
      <c r="E4601" s="67">
        <v>83900.41</v>
      </c>
      <c r="F4601" s="67">
        <v>25250</v>
      </c>
      <c r="H4601" s="68">
        <v>40764</v>
      </c>
      <c r="I4601" s="67" t="s">
        <v>148</v>
      </c>
    </row>
    <row r="4602" spans="1:9" x14ac:dyDescent="0.25">
      <c r="B4602" s="67" t="s">
        <v>2628</v>
      </c>
      <c r="C4602" s="67">
        <v>0</v>
      </c>
      <c r="D4602" s="67">
        <v>0</v>
      </c>
      <c r="E4602" s="67">
        <v>83900.45</v>
      </c>
      <c r="H4602" s="67" t="s">
        <v>146</v>
      </c>
    </row>
    <row r="4604" spans="1:9" x14ac:dyDescent="0.25">
      <c r="A4604" s="67" t="s">
        <v>2627</v>
      </c>
      <c r="B4604" s="67" t="s">
        <v>2625</v>
      </c>
      <c r="C4604" s="67">
        <v>0</v>
      </c>
      <c r="D4604" s="67">
        <v>0</v>
      </c>
      <c r="E4604" s="67">
        <v>83900.41</v>
      </c>
      <c r="F4604" s="67">
        <v>25250</v>
      </c>
      <c r="H4604" s="68">
        <v>40764</v>
      </c>
      <c r="I4604" s="67" t="s">
        <v>148</v>
      </c>
    </row>
    <row r="4605" spans="1:9" x14ac:dyDescent="0.25">
      <c r="B4605" s="67" t="s">
        <v>2625</v>
      </c>
      <c r="C4605" s="67">
        <v>0</v>
      </c>
      <c r="D4605" s="67">
        <v>0</v>
      </c>
      <c r="E4605" s="67">
        <v>83900.45</v>
      </c>
      <c r="H4605" s="67" t="s">
        <v>146</v>
      </c>
    </row>
    <row r="4607" spans="1:9" x14ac:dyDescent="0.25">
      <c r="A4607" s="67" t="s">
        <v>2626</v>
      </c>
      <c r="B4607" s="67" t="s">
        <v>2625</v>
      </c>
      <c r="C4607" s="67">
        <v>0</v>
      </c>
      <c r="D4607" s="67">
        <v>0</v>
      </c>
      <c r="E4607" s="67">
        <v>83900.41</v>
      </c>
      <c r="F4607" s="67">
        <v>25250</v>
      </c>
      <c r="H4607" s="68">
        <v>40764</v>
      </c>
      <c r="I4607" s="67" t="s">
        <v>148</v>
      </c>
    </row>
    <row r="4608" spans="1:9" x14ac:dyDescent="0.25">
      <c r="B4608" s="67" t="s">
        <v>2625</v>
      </c>
      <c r="C4608" s="67">
        <v>0</v>
      </c>
      <c r="D4608" s="67">
        <v>0</v>
      </c>
      <c r="E4608" s="67">
        <v>83900.45</v>
      </c>
      <c r="H4608" s="67" t="s">
        <v>146</v>
      </c>
    </row>
    <row r="4610" spans="1:9" x14ac:dyDescent="0.25">
      <c r="A4610" s="67" t="s">
        <v>2624</v>
      </c>
      <c r="B4610" s="67" t="s">
        <v>2623</v>
      </c>
      <c r="C4610" s="67">
        <v>0</v>
      </c>
      <c r="D4610" s="67">
        <v>0</v>
      </c>
      <c r="E4610" s="67">
        <v>83900.41</v>
      </c>
      <c r="F4610" s="67">
        <v>25250</v>
      </c>
      <c r="H4610" s="68">
        <v>40764</v>
      </c>
      <c r="I4610" s="67" t="s">
        <v>148</v>
      </c>
    </row>
    <row r="4611" spans="1:9" x14ac:dyDescent="0.25">
      <c r="B4611" s="67" t="s">
        <v>2623</v>
      </c>
      <c r="C4611" s="67">
        <v>0</v>
      </c>
      <c r="D4611" s="67">
        <v>0</v>
      </c>
      <c r="E4611" s="67">
        <v>83900.45</v>
      </c>
      <c r="H4611" s="67" t="s">
        <v>146</v>
      </c>
    </row>
    <row r="4613" spans="1:9" x14ac:dyDescent="0.25">
      <c r="A4613" s="67" t="s">
        <v>2622</v>
      </c>
      <c r="B4613" s="67" t="s">
        <v>2621</v>
      </c>
      <c r="C4613" s="67">
        <v>0</v>
      </c>
      <c r="D4613" s="67">
        <v>0</v>
      </c>
      <c r="E4613" s="67">
        <v>83900.41</v>
      </c>
      <c r="F4613" s="67">
        <v>25250</v>
      </c>
      <c r="H4613" s="68">
        <v>40764</v>
      </c>
      <c r="I4613" s="67" t="s">
        <v>148</v>
      </c>
    </row>
    <row r="4614" spans="1:9" x14ac:dyDescent="0.25">
      <c r="B4614" s="67" t="s">
        <v>2621</v>
      </c>
      <c r="C4614" s="67">
        <v>0</v>
      </c>
      <c r="D4614" s="67">
        <v>0</v>
      </c>
      <c r="E4614" s="67">
        <v>83900.45</v>
      </c>
      <c r="H4614" s="67" t="s">
        <v>146</v>
      </c>
    </row>
    <row r="4616" spans="1:9" x14ac:dyDescent="0.25">
      <c r="A4616" s="67" t="s">
        <v>2620</v>
      </c>
      <c r="B4616" s="67" t="s">
        <v>2619</v>
      </c>
      <c r="C4616" s="67">
        <v>0</v>
      </c>
      <c r="D4616" s="67">
        <v>0</v>
      </c>
      <c r="E4616" s="67">
        <v>83900.41</v>
      </c>
      <c r="F4616" s="67">
        <v>25250</v>
      </c>
      <c r="H4616" s="68">
        <v>40764</v>
      </c>
      <c r="I4616" s="67" t="s">
        <v>148</v>
      </c>
    </row>
    <row r="4617" spans="1:9" x14ac:dyDescent="0.25">
      <c r="B4617" s="67" t="s">
        <v>2619</v>
      </c>
      <c r="C4617" s="67">
        <v>0</v>
      </c>
      <c r="D4617" s="67">
        <v>0</v>
      </c>
      <c r="E4617" s="67">
        <v>83900.45</v>
      </c>
      <c r="H4617" s="67" t="s">
        <v>146</v>
      </c>
    </row>
    <row r="4619" spans="1:9" x14ac:dyDescent="0.25">
      <c r="A4619" s="67" t="s">
        <v>2618</v>
      </c>
      <c r="B4619" s="67" t="s">
        <v>2617</v>
      </c>
      <c r="C4619" s="67">
        <v>0</v>
      </c>
      <c r="D4619" s="67">
        <v>0</v>
      </c>
      <c r="E4619" s="67">
        <v>83900.41</v>
      </c>
      <c r="F4619" s="67">
        <v>25250</v>
      </c>
      <c r="H4619" s="68">
        <v>40764</v>
      </c>
      <c r="I4619" s="67" t="s">
        <v>148</v>
      </c>
    </row>
    <row r="4620" spans="1:9" x14ac:dyDescent="0.25">
      <c r="B4620" s="67" t="s">
        <v>2617</v>
      </c>
      <c r="C4620" s="67">
        <v>0</v>
      </c>
      <c r="D4620" s="67">
        <v>0</v>
      </c>
      <c r="E4620" s="67">
        <v>83900.45</v>
      </c>
      <c r="H4620" s="67" t="s">
        <v>146</v>
      </c>
    </row>
    <row r="4621" spans="1:9" x14ac:dyDescent="0.25">
      <c r="A4621" s="67" t="s">
        <v>233</v>
      </c>
    </row>
    <row r="4623" spans="1:9" x14ac:dyDescent="0.25">
      <c r="A4623" s="67" t="s">
        <v>232</v>
      </c>
      <c r="D4623" s="67" t="s">
        <v>231</v>
      </c>
      <c r="H4623" s="67" t="s">
        <v>148</v>
      </c>
      <c r="I4623" s="67" t="s">
        <v>230</v>
      </c>
    </row>
    <row r="4624" spans="1:9" x14ac:dyDescent="0.25">
      <c r="A4624" s="67">
        <v>41.1</v>
      </c>
      <c r="C4624" s="67" t="s">
        <v>215</v>
      </c>
      <c r="D4624" s="67" t="s">
        <v>229</v>
      </c>
      <c r="H4624" s="70">
        <v>44771</v>
      </c>
      <c r="I4624" s="69">
        <v>0.56736111111111109</v>
      </c>
    </row>
    <row r="4625" spans="1:9" x14ac:dyDescent="0.25">
      <c r="A4625" s="67" t="s">
        <v>228</v>
      </c>
      <c r="C4625" s="67" t="s">
        <v>227</v>
      </c>
      <c r="D4625" s="67" t="s">
        <v>226</v>
      </c>
      <c r="E4625" s="67">
        <v>589</v>
      </c>
      <c r="H4625" s="67" t="s">
        <v>225</v>
      </c>
      <c r="I4625" s="67">
        <v>81</v>
      </c>
    </row>
    <row r="4626" spans="1:9" x14ac:dyDescent="0.25">
      <c r="A4626" s="67" t="s">
        <v>884</v>
      </c>
    </row>
    <row r="4627" spans="1:9" x14ac:dyDescent="0.25">
      <c r="A4627" s="67" t="s">
        <v>223</v>
      </c>
      <c r="B4627" s="67" t="s">
        <v>222</v>
      </c>
      <c r="C4627" s="67" t="s">
        <v>221</v>
      </c>
      <c r="D4627" s="67" t="s">
        <v>220</v>
      </c>
      <c r="E4627" s="67" t="s">
        <v>219</v>
      </c>
      <c r="F4627" s="67" t="s">
        <v>217</v>
      </c>
      <c r="G4627" s="67" t="s">
        <v>218</v>
      </c>
      <c r="H4627" s="67" t="s">
        <v>217</v>
      </c>
      <c r="I4627" s="67" t="s">
        <v>216</v>
      </c>
    </row>
    <row r="4628" spans="1:9" x14ac:dyDescent="0.25">
      <c r="A4628" s="67" t="s">
        <v>215</v>
      </c>
      <c r="B4628" s="67" t="s">
        <v>214</v>
      </c>
      <c r="C4628" s="67" t="s">
        <v>213</v>
      </c>
      <c r="D4628" s="67" t="s">
        <v>212</v>
      </c>
      <c r="E4628" s="67" t="s">
        <v>211</v>
      </c>
      <c r="F4628" s="67" t="s">
        <v>210</v>
      </c>
      <c r="G4628" s="67" t="s">
        <v>209</v>
      </c>
      <c r="H4628" s="67" t="s">
        <v>208</v>
      </c>
      <c r="I4628" s="67" t="s">
        <v>207</v>
      </c>
    </row>
    <row r="4629" spans="1:9" x14ac:dyDescent="0.25">
      <c r="A4629" s="67" t="s">
        <v>206</v>
      </c>
      <c r="B4629" s="67" t="s">
        <v>205</v>
      </c>
      <c r="C4629" s="67" t="s">
        <v>204</v>
      </c>
      <c r="D4629" s="67" t="s">
        <v>203</v>
      </c>
      <c r="E4629" s="67" t="s">
        <v>202</v>
      </c>
      <c r="F4629" s="67" t="s">
        <v>201</v>
      </c>
      <c r="G4629" s="67" t="s">
        <v>200</v>
      </c>
      <c r="H4629" s="67" t="s">
        <v>199</v>
      </c>
    </row>
    <row r="4630" spans="1:9" x14ac:dyDescent="0.25">
      <c r="A4630" s="67" t="s">
        <v>2616</v>
      </c>
      <c r="B4630" s="67" t="s">
        <v>2615</v>
      </c>
      <c r="C4630" s="67">
        <v>0</v>
      </c>
      <c r="D4630" s="67">
        <v>0</v>
      </c>
      <c r="E4630" s="67">
        <v>83900.41</v>
      </c>
      <c r="F4630" s="67">
        <v>25250</v>
      </c>
      <c r="H4630" s="68">
        <v>40764</v>
      </c>
      <c r="I4630" s="67" t="s">
        <v>148</v>
      </c>
    </row>
    <row r="4631" spans="1:9" x14ac:dyDescent="0.25">
      <c r="B4631" s="67" t="s">
        <v>2615</v>
      </c>
      <c r="C4631" s="67">
        <v>0</v>
      </c>
      <c r="D4631" s="67">
        <v>0</v>
      </c>
      <c r="E4631" s="67">
        <v>83900.45</v>
      </c>
      <c r="H4631" s="67" t="s">
        <v>146</v>
      </c>
    </row>
    <row r="4633" spans="1:9" x14ac:dyDescent="0.25">
      <c r="A4633" s="67" t="s">
        <v>2614</v>
      </c>
      <c r="B4633" s="67" t="s">
        <v>2613</v>
      </c>
      <c r="C4633" s="67">
        <v>0</v>
      </c>
      <c r="D4633" s="67">
        <v>0</v>
      </c>
      <c r="E4633" s="67">
        <v>83900.41</v>
      </c>
      <c r="F4633" s="67">
        <v>25250</v>
      </c>
      <c r="H4633" s="68">
        <v>40764</v>
      </c>
      <c r="I4633" s="67" t="s">
        <v>148</v>
      </c>
    </row>
    <row r="4634" spans="1:9" x14ac:dyDescent="0.25">
      <c r="B4634" s="67" t="s">
        <v>2613</v>
      </c>
      <c r="C4634" s="67">
        <v>0</v>
      </c>
      <c r="D4634" s="67">
        <v>0</v>
      </c>
      <c r="E4634" s="67">
        <v>83900.45</v>
      </c>
      <c r="H4634" s="67" t="s">
        <v>146</v>
      </c>
    </row>
    <row r="4636" spans="1:9" x14ac:dyDescent="0.25">
      <c r="A4636" s="67" t="s">
        <v>2612</v>
      </c>
      <c r="B4636" s="67" t="s">
        <v>2611</v>
      </c>
      <c r="C4636" s="67">
        <v>0</v>
      </c>
      <c r="D4636" s="67">
        <v>0</v>
      </c>
      <c r="E4636" s="67">
        <v>83900.41</v>
      </c>
      <c r="F4636" s="67">
        <v>25250</v>
      </c>
      <c r="H4636" s="68">
        <v>40764</v>
      </c>
      <c r="I4636" s="67" t="s">
        <v>148</v>
      </c>
    </row>
    <row r="4637" spans="1:9" x14ac:dyDescent="0.25">
      <c r="B4637" s="67" t="s">
        <v>2611</v>
      </c>
      <c r="C4637" s="67">
        <v>0</v>
      </c>
      <c r="D4637" s="67">
        <v>0</v>
      </c>
      <c r="E4637" s="67">
        <v>83900.45</v>
      </c>
      <c r="H4637" s="67" t="s">
        <v>146</v>
      </c>
    </row>
    <row r="4639" spans="1:9" x14ac:dyDescent="0.25">
      <c r="A4639" s="67" t="s">
        <v>2610</v>
      </c>
      <c r="B4639" s="67" t="s">
        <v>2609</v>
      </c>
      <c r="C4639" s="67">
        <v>0</v>
      </c>
      <c r="D4639" s="67">
        <v>0</v>
      </c>
      <c r="E4639" s="67">
        <v>83900.41</v>
      </c>
      <c r="F4639" s="67">
        <v>25250</v>
      </c>
      <c r="H4639" s="68">
        <v>40764</v>
      </c>
      <c r="I4639" s="67" t="s">
        <v>148</v>
      </c>
    </row>
    <row r="4640" spans="1:9" x14ac:dyDescent="0.25">
      <c r="B4640" s="67" t="s">
        <v>2609</v>
      </c>
      <c r="C4640" s="67">
        <v>0</v>
      </c>
      <c r="D4640" s="67">
        <v>0</v>
      </c>
      <c r="E4640" s="67">
        <v>83900.45</v>
      </c>
      <c r="H4640" s="67" t="s">
        <v>146</v>
      </c>
    </row>
    <row r="4642" spans="1:9" x14ac:dyDescent="0.25">
      <c r="A4642" s="67" t="s">
        <v>2608</v>
      </c>
      <c r="B4642" s="67" t="s">
        <v>2607</v>
      </c>
      <c r="C4642" s="67">
        <v>0</v>
      </c>
      <c r="D4642" s="67">
        <v>0</v>
      </c>
      <c r="E4642" s="67">
        <v>83900.41</v>
      </c>
      <c r="F4642" s="67">
        <v>25250</v>
      </c>
      <c r="H4642" s="68">
        <v>40764</v>
      </c>
      <c r="I4642" s="67" t="s">
        <v>148</v>
      </c>
    </row>
    <row r="4643" spans="1:9" x14ac:dyDescent="0.25">
      <c r="B4643" s="67" t="s">
        <v>2607</v>
      </c>
      <c r="C4643" s="67">
        <v>0</v>
      </c>
      <c r="D4643" s="67">
        <v>0</v>
      </c>
      <c r="E4643" s="67">
        <v>83900.45</v>
      </c>
      <c r="H4643" s="67" t="s">
        <v>146</v>
      </c>
    </row>
    <row r="4645" spans="1:9" x14ac:dyDescent="0.25">
      <c r="A4645" s="67" t="s">
        <v>2606</v>
      </c>
      <c r="B4645" s="67" t="s">
        <v>2605</v>
      </c>
      <c r="C4645" s="67">
        <v>0</v>
      </c>
      <c r="D4645" s="67">
        <v>0</v>
      </c>
      <c r="E4645" s="67">
        <v>83900.41</v>
      </c>
      <c r="F4645" s="67">
        <v>25250</v>
      </c>
      <c r="H4645" s="68">
        <v>40764</v>
      </c>
      <c r="I4645" s="67" t="s">
        <v>148</v>
      </c>
    </row>
    <row r="4646" spans="1:9" x14ac:dyDescent="0.25">
      <c r="B4646" s="67" t="s">
        <v>2605</v>
      </c>
      <c r="C4646" s="67">
        <v>0</v>
      </c>
      <c r="D4646" s="67">
        <v>0</v>
      </c>
      <c r="E4646" s="67">
        <v>83900.45</v>
      </c>
      <c r="H4646" s="67" t="s">
        <v>146</v>
      </c>
    </row>
    <row r="4648" spans="1:9" x14ac:dyDescent="0.25">
      <c r="A4648" s="67" t="s">
        <v>2604</v>
      </c>
      <c r="B4648" s="67" t="s">
        <v>2603</v>
      </c>
      <c r="C4648" s="67">
        <v>0</v>
      </c>
      <c r="D4648" s="67">
        <v>0</v>
      </c>
      <c r="E4648" s="67">
        <v>83900.41</v>
      </c>
      <c r="F4648" s="67">
        <v>25250</v>
      </c>
      <c r="H4648" s="68">
        <v>40764</v>
      </c>
      <c r="I4648" s="67" t="s">
        <v>148</v>
      </c>
    </row>
    <row r="4649" spans="1:9" x14ac:dyDescent="0.25">
      <c r="B4649" s="67" t="s">
        <v>2603</v>
      </c>
      <c r="C4649" s="67">
        <v>0</v>
      </c>
      <c r="D4649" s="67">
        <v>0</v>
      </c>
      <c r="E4649" s="67">
        <v>83900.45</v>
      </c>
      <c r="H4649" s="67" t="s">
        <v>146</v>
      </c>
    </row>
    <row r="4651" spans="1:9" x14ac:dyDescent="0.25">
      <c r="A4651" s="67" t="s">
        <v>2602</v>
      </c>
      <c r="B4651" s="67" t="s">
        <v>2601</v>
      </c>
      <c r="C4651" s="67">
        <v>0</v>
      </c>
      <c r="D4651" s="67">
        <v>0</v>
      </c>
      <c r="E4651" s="67">
        <v>83900.41</v>
      </c>
      <c r="F4651" s="67">
        <v>25250</v>
      </c>
      <c r="H4651" s="68">
        <v>40764</v>
      </c>
      <c r="I4651" s="67" t="s">
        <v>148</v>
      </c>
    </row>
    <row r="4652" spans="1:9" x14ac:dyDescent="0.25">
      <c r="B4652" s="67" t="s">
        <v>2601</v>
      </c>
      <c r="C4652" s="67">
        <v>0</v>
      </c>
      <c r="D4652" s="67">
        <v>0</v>
      </c>
      <c r="E4652" s="67">
        <v>83900.45</v>
      </c>
      <c r="H4652" s="67" t="s">
        <v>146</v>
      </c>
    </row>
    <row r="4654" spans="1:9" x14ac:dyDescent="0.25">
      <c r="A4654" s="67" t="s">
        <v>2600</v>
      </c>
      <c r="B4654" s="67" t="s">
        <v>2599</v>
      </c>
      <c r="C4654" s="67">
        <v>0</v>
      </c>
      <c r="D4654" s="67">
        <v>0</v>
      </c>
      <c r="E4654" s="67">
        <v>83900.41</v>
      </c>
      <c r="F4654" s="67">
        <v>25250</v>
      </c>
      <c r="H4654" s="68">
        <v>40764</v>
      </c>
      <c r="I4654" s="67" t="s">
        <v>148</v>
      </c>
    </row>
    <row r="4655" spans="1:9" x14ac:dyDescent="0.25">
      <c r="B4655" s="67" t="s">
        <v>2599</v>
      </c>
      <c r="C4655" s="67">
        <v>0</v>
      </c>
      <c r="D4655" s="67">
        <v>0</v>
      </c>
      <c r="E4655" s="67">
        <v>83900.45</v>
      </c>
      <c r="H4655" s="67" t="s">
        <v>146</v>
      </c>
    </row>
    <row r="4657" spans="1:9" x14ac:dyDescent="0.25">
      <c r="A4657" s="67" t="s">
        <v>2598</v>
      </c>
      <c r="B4657" s="67" t="s">
        <v>2597</v>
      </c>
      <c r="C4657" s="67">
        <v>0</v>
      </c>
      <c r="D4657" s="67">
        <v>0</v>
      </c>
      <c r="E4657" s="67">
        <v>83900.41</v>
      </c>
      <c r="F4657" s="67">
        <v>25250</v>
      </c>
      <c r="H4657" s="68">
        <v>40764</v>
      </c>
      <c r="I4657" s="67" t="s">
        <v>148</v>
      </c>
    </row>
    <row r="4658" spans="1:9" x14ac:dyDescent="0.25">
      <c r="B4658" s="67" t="s">
        <v>2597</v>
      </c>
      <c r="C4658" s="67">
        <v>0</v>
      </c>
      <c r="D4658" s="67">
        <v>0</v>
      </c>
      <c r="E4658" s="67">
        <v>83900.45</v>
      </c>
      <c r="H4658" s="67" t="s">
        <v>146</v>
      </c>
    </row>
    <row r="4660" spans="1:9" x14ac:dyDescent="0.25">
      <c r="A4660" s="67" t="s">
        <v>2596</v>
      </c>
      <c r="B4660" s="67" t="s">
        <v>2595</v>
      </c>
      <c r="C4660" s="67">
        <v>0</v>
      </c>
      <c r="D4660" s="67">
        <v>0</v>
      </c>
      <c r="E4660" s="67">
        <v>83900.41</v>
      </c>
      <c r="F4660" s="67">
        <v>25250</v>
      </c>
      <c r="H4660" s="68">
        <v>40764</v>
      </c>
      <c r="I4660" s="67" t="s">
        <v>148</v>
      </c>
    </row>
    <row r="4661" spans="1:9" x14ac:dyDescent="0.25">
      <c r="B4661" s="67" t="s">
        <v>2595</v>
      </c>
      <c r="C4661" s="67">
        <v>0</v>
      </c>
      <c r="D4661" s="67">
        <v>0</v>
      </c>
      <c r="E4661" s="67">
        <v>83900.45</v>
      </c>
      <c r="H4661" s="67" t="s">
        <v>146</v>
      </c>
    </row>
    <row r="4663" spans="1:9" x14ac:dyDescent="0.25">
      <c r="A4663" s="67" t="s">
        <v>2594</v>
      </c>
      <c r="B4663" s="67" t="s">
        <v>2593</v>
      </c>
      <c r="C4663" s="67">
        <v>0</v>
      </c>
      <c r="D4663" s="67">
        <v>0</v>
      </c>
      <c r="E4663" s="67">
        <v>83900.41</v>
      </c>
      <c r="F4663" s="67">
        <v>25250</v>
      </c>
      <c r="H4663" s="68">
        <v>40764</v>
      </c>
      <c r="I4663" s="67" t="s">
        <v>148</v>
      </c>
    </row>
    <row r="4664" spans="1:9" x14ac:dyDescent="0.25">
      <c r="B4664" s="67" t="s">
        <v>2593</v>
      </c>
      <c r="C4664" s="67">
        <v>0</v>
      </c>
      <c r="D4664" s="67">
        <v>0</v>
      </c>
      <c r="E4664" s="67">
        <v>83900.45</v>
      </c>
      <c r="H4664" s="67" t="s">
        <v>146</v>
      </c>
    </row>
    <row r="4666" spans="1:9" x14ac:dyDescent="0.25">
      <c r="A4666" s="67" t="s">
        <v>2592</v>
      </c>
      <c r="B4666" s="67" t="s">
        <v>2591</v>
      </c>
      <c r="C4666" s="67">
        <v>0</v>
      </c>
      <c r="D4666" s="67">
        <v>0</v>
      </c>
      <c r="E4666" s="67">
        <v>83900.41</v>
      </c>
      <c r="F4666" s="67">
        <v>25250</v>
      </c>
      <c r="H4666" s="68">
        <v>40764</v>
      </c>
      <c r="I4666" s="67" t="s">
        <v>148</v>
      </c>
    </row>
    <row r="4667" spans="1:9" x14ac:dyDescent="0.25">
      <c r="B4667" s="67" t="s">
        <v>2591</v>
      </c>
      <c r="C4667" s="67">
        <v>0</v>
      </c>
      <c r="D4667" s="67">
        <v>0</v>
      </c>
      <c r="E4667" s="67">
        <v>83900.45</v>
      </c>
      <c r="H4667" s="67" t="s">
        <v>146</v>
      </c>
    </row>
    <row r="4669" spans="1:9" x14ac:dyDescent="0.25">
      <c r="A4669" s="67" t="s">
        <v>2590</v>
      </c>
      <c r="B4669" s="67" t="s">
        <v>2589</v>
      </c>
      <c r="C4669" s="67">
        <v>0</v>
      </c>
      <c r="D4669" s="67">
        <v>0</v>
      </c>
      <c r="E4669" s="67">
        <v>83900.41</v>
      </c>
      <c r="F4669" s="67">
        <v>25250</v>
      </c>
      <c r="H4669" s="68">
        <v>40764</v>
      </c>
      <c r="I4669" s="67" t="s">
        <v>148</v>
      </c>
    </row>
    <row r="4670" spans="1:9" x14ac:dyDescent="0.25">
      <c r="B4670" s="67" t="s">
        <v>2589</v>
      </c>
      <c r="C4670" s="67">
        <v>0</v>
      </c>
      <c r="D4670" s="67">
        <v>0</v>
      </c>
      <c r="E4670" s="67">
        <v>83900.45</v>
      </c>
      <c r="H4670" s="67" t="s">
        <v>146</v>
      </c>
    </row>
    <row r="4672" spans="1:9" x14ac:dyDescent="0.25">
      <c r="A4672" s="67" t="s">
        <v>2588</v>
      </c>
      <c r="B4672" s="67" t="s">
        <v>2587</v>
      </c>
      <c r="C4672" s="67">
        <v>0</v>
      </c>
      <c r="D4672" s="67">
        <v>0</v>
      </c>
      <c r="E4672" s="67">
        <v>83900.41</v>
      </c>
      <c r="F4672" s="67">
        <v>25250</v>
      </c>
      <c r="H4672" s="68">
        <v>40764</v>
      </c>
      <c r="I4672" s="67" t="s">
        <v>148</v>
      </c>
    </row>
    <row r="4673" spans="1:9" x14ac:dyDescent="0.25">
      <c r="B4673" s="67" t="s">
        <v>2587</v>
      </c>
      <c r="C4673" s="67">
        <v>0</v>
      </c>
      <c r="D4673" s="67">
        <v>0</v>
      </c>
      <c r="E4673" s="67">
        <v>83900.45</v>
      </c>
      <c r="H4673" s="67" t="s">
        <v>146</v>
      </c>
    </row>
    <row r="4675" spans="1:9" x14ac:dyDescent="0.25">
      <c r="A4675" s="67" t="s">
        <v>2586</v>
      </c>
      <c r="B4675" s="67" t="s">
        <v>2585</v>
      </c>
      <c r="C4675" s="67">
        <v>0</v>
      </c>
      <c r="D4675" s="67">
        <v>0</v>
      </c>
      <c r="E4675" s="67">
        <v>83900.41</v>
      </c>
      <c r="F4675" s="67">
        <v>25250</v>
      </c>
      <c r="H4675" s="68">
        <v>40764</v>
      </c>
      <c r="I4675" s="67" t="s">
        <v>148</v>
      </c>
    </row>
    <row r="4676" spans="1:9" x14ac:dyDescent="0.25">
      <c r="B4676" s="67" t="s">
        <v>2585</v>
      </c>
      <c r="C4676" s="67">
        <v>0</v>
      </c>
      <c r="D4676" s="67">
        <v>0</v>
      </c>
      <c r="E4676" s="67">
        <v>83900.45</v>
      </c>
      <c r="H4676" s="67" t="s">
        <v>146</v>
      </c>
    </row>
    <row r="4678" spans="1:9" x14ac:dyDescent="0.25">
      <c r="A4678" s="67" t="s">
        <v>2584</v>
      </c>
      <c r="B4678" s="67" t="s">
        <v>2583</v>
      </c>
      <c r="C4678" s="67">
        <v>0</v>
      </c>
      <c r="D4678" s="67">
        <v>0</v>
      </c>
      <c r="E4678" s="67">
        <v>83900.41</v>
      </c>
      <c r="F4678" s="67">
        <v>25250</v>
      </c>
      <c r="H4678" s="68">
        <v>40764</v>
      </c>
      <c r="I4678" s="67" t="s">
        <v>148</v>
      </c>
    </row>
    <row r="4679" spans="1:9" x14ac:dyDescent="0.25">
      <c r="B4679" s="67" t="s">
        <v>2583</v>
      </c>
      <c r="C4679" s="67">
        <v>0</v>
      </c>
      <c r="D4679" s="67">
        <v>0</v>
      </c>
      <c r="E4679" s="67">
        <v>83900.45</v>
      </c>
      <c r="H4679" s="67" t="s">
        <v>146</v>
      </c>
    </row>
    <row r="4680" spans="1:9" x14ac:dyDescent="0.25">
      <c r="A4680" s="67" t="s">
        <v>233</v>
      </c>
    </row>
    <row r="4682" spans="1:9" x14ac:dyDescent="0.25">
      <c r="A4682" s="67" t="s">
        <v>232</v>
      </c>
      <c r="D4682" s="67" t="s">
        <v>231</v>
      </c>
      <c r="H4682" s="67" t="s">
        <v>148</v>
      </c>
      <c r="I4682" s="67" t="s">
        <v>230</v>
      </c>
    </row>
    <row r="4683" spans="1:9" x14ac:dyDescent="0.25">
      <c r="A4683" s="67">
        <v>41.1</v>
      </c>
      <c r="C4683" s="67" t="s">
        <v>215</v>
      </c>
      <c r="D4683" s="67" t="s">
        <v>229</v>
      </c>
      <c r="H4683" s="70">
        <v>44771</v>
      </c>
      <c r="I4683" s="69">
        <v>0.56736111111111109</v>
      </c>
    </row>
    <row r="4684" spans="1:9" x14ac:dyDescent="0.25">
      <c r="A4684" s="67" t="s">
        <v>228</v>
      </c>
      <c r="C4684" s="67" t="s">
        <v>227</v>
      </c>
      <c r="D4684" s="67" t="s">
        <v>226</v>
      </c>
      <c r="E4684" s="67">
        <v>589</v>
      </c>
      <c r="H4684" s="67" t="s">
        <v>225</v>
      </c>
      <c r="I4684" s="67">
        <v>82</v>
      </c>
    </row>
    <row r="4685" spans="1:9" x14ac:dyDescent="0.25">
      <c r="A4685" s="67" t="s">
        <v>884</v>
      </c>
    </row>
    <row r="4686" spans="1:9" x14ac:dyDescent="0.25">
      <c r="A4686" s="67" t="s">
        <v>223</v>
      </c>
      <c r="B4686" s="67" t="s">
        <v>222</v>
      </c>
      <c r="C4686" s="67" t="s">
        <v>221</v>
      </c>
      <c r="D4686" s="67" t="s">
        <v>220</v>
      </c>
      <c r="E4686" s="67" t="s">
        <v>219</v>
      </c>
      <c r="F4686" s="67" t="s">
        <v>217</v>
      </c>
      <c r="G4686" s="67" t="s">
        <v>218</v>
      </c>
      <c r="H4686" s="67" t="s">
        <v>217</v>
      </c>
      <c r="I4686" s="67" t="s">
        <v>216</v>
      </c>
    </row>
    <row r="4687" spans="1:9" x14ac:dyDescent="0.25">
      <c r="A4687" s="67" t="s">
        <v>215</v>
      </c>
      <c r="B4687" s="67" t="s">
        <v>214</v>
      </c>
      <c r="C4687" s="67" t="s">
        <v>213</v>
      </c>
      <c r="D4687" s="67" t="s">
        <v>212</v>
      </c>
      <c r="E4687" s="67" t="s">
        <v>211</v>
      </c>
      <c r="F4687" s="67" t="s">
        <v>210</v>
      </c>
      <c r="G4687" s="67" t="s">
        <v>209</v>
      </c>
      <c r="H4687" s="67" t="s">
        <v>208</v>
      </c>
      <c r="I4687" s="67" t="s">
        <v>207</v>
      </c>
    </row>
    <row r="4688" spans="1:9" x14ac:dyDescent="0.25">
      <c r="A4688" s="67" t="s">
        <v>206</v>
      </c>
      <c r="B4688" s="67" t="s">
        <v>205</v>
      </c>
      <c r="C4688" s="67" t="s">
        <v>204</v>
      </c>
      <c r="D4688" s="67" t="s">
        <v>203</v>
      </c>
      <c r="E4688" s="67" t="s">
        <v>202</v>
      </c>
      <c r="F4688" s="67" t="s">
        <v>201</v>
      </c>
      <c r="G4688" s="67" t="s">
        <v>200</v>
      </c>
      <c r="H4688" s="67" t="s">
        <v>199</v>
      </c>
    </row>
    <row r="4689" spans="1:9" x14ac:dyDescent="0.25">
      <c r="A4689" s="67" t="s">
        <v>2582</v>
      </c>
      <c r="B4689" s="67" t="s">
        <v>2581</v>
      </c>
      <c r="C4689" s="67">
        <v>0</v>
      </c>
      <c r="D4689" s="67">
        <v>0</v>
      </c>
      <c r="E4689" s="67">
        <v>83900.41</v>
      </c>
      <c r="F4689" s="67">
        <v>25250</v>
      </c>
      <c r="H4689" s="68">
        <v>40764</v>
      </c>
      <c r="I4689" s="67" t="s">
        <v>148</v>
      </c>
    </row>
    <row r="4690" spans="1:9" x14ac:dyDescent="0.25">
      <c r="B4690" s="67" t="s">
        <v>2581</v>
      </c>
      <c r="C4690" s="67">
        <v>0</v>
      </c>
      <c r="D4690" s="67">
        <v>0</v>
      </c>
      <c r="E4690" s="67">
        <v>83900.45</v>
      </c>
      <c r="H4690" s="67" t="s">
        <v>146</v>
      </c>
    </row>
    <row r="4692" spans="1:9" x14ac:dyDescent="0.25">
      <c r="A4692" s="67" t="s">
        <v>2580</v>
      </c>
      <c r="B4692" s="67" t="s">
        <v>2579</v>
      </c>
      <c r="C4692" s="67">
        <v>0</v>
      </c>
      <c r="D4692" s="67">
        <v>0</v>
      </c>
      <c r="E4692" s="67">
        <v>83900.41</v>
      </c>
      <c r="F4692" s="67">
        <v>25250</v>
      </c>
      <c r="H4692" s="68">
        <v>40764</v>
      </c>
      <c r="I4692" s="67" t="s">
        <v>148</v>
      </c>
    </row>
    <row r="4693" spans="1:9" x14ac:dyDescent="0.25">
      <c r="B4693" s="67" t="s">
        <v>2579</v>
      </c>
      <c r="C4693" s="67">
        <v>0</v>
      </c>
      <c r="D4693" s="67">
        <v>0</v>
      </c>
      <c r="E4693" s="67">
        <v>83900.45</v>
      </c>
      <c r="H4693" s="67" t="s">
        <v>146</v>
      </c>
    </row>
    <row r="4695" spans="1:9" x14ac:dyDescent="0.25">
      <c r="A4695" s="67" t="s">
        <v>2578</v>
      </c>
      <c r="B4695" s="67" t="s">
        <v>2577</v>
      </c>
      <c r="C4695" s="67">
        <v>0</v>
      </c>
      <c r="D4695" s="67">
        <v>0</v>
      </c>
      <c r="E4695" s="67">
        <v>83900.41</v>
      </c>
      <c r="F4695" s="67">
        <v>25250</v>
      </c>
      <c r="H4695" s="68">
        <v>40764</v>
      </c>
      <c r="I4695" s="67" t="s">
        <v>148</v>
      </c>
    </row>
    <row r="4696" spans="1:9" x14ac:dyDescent="0.25">
      <c r="B4696" s="67" t="s">
        <v>2577</v>
      </c>
      <c r="C4696" s="67">
        <v>0</v>
      </c>
      <c r="D4696" s="67">
        <v>0</v>
      </c>
      <c r="E4696" s="67">
        <v>83900.45</v>
      </c>
      <c r="H4696" s="67" t="s">
        <v>146</v>
      </c>
    </row>
    <row r="4698" spans="1:9" x14ac:dyDescent="0.25">
      <c r="A4698" s="67" t="s">
        <v>2576</v>
      </c>
      <c r="B4698" s="67" t="s">
        <v>2575</v>
      </c>
      <c r="C4698" s="67">
        <v>0</v>
      </c>
      <c r="D4698" s="67">
        <v>0</v>
      </c>
      <c r="E4698" s="67">
        <v>83900.41</v>
      </c>
      <c r="F4698" s="67">
        <v>25250</v>
      </c>
      <c r="H4698" s="68">
        <v>40764</v>
      </c>
      <c r="I4698" s="67" t="s">
        <v>148</v>
      </c>
    </row>
    <row r="4699" spans="1:9" x14ac:dyDescent="0.25">
      <c r="B4699" s="67" t="s">
        <v>2575</v>
      </c>
      <c r="C4699" s="67">
        <v>0</v>
      </c>
      <c r="D4699" s="67">
        <v>0</v>
      </c>
      <c r="E4699" s="67">
        <v>83900.45</v>
      </c>
      <c r="H4699" s="67" t="s">
        <v>146</v>
      </c>
    </row>
    <row r="4701" spans="1:9" x14ac:dyDescent="0.25">
      <c r="A4701" s="67" t="s">
        <v>2574</v>
      </c>
      <c r="B4701" s="67" t="s">
        <v>2573</v>
      </c>
      <c r="C4701" s="67">
        <v>0</v>
      </c>
      <c r="D4701" s="67">
        <v>0</v>
      </c>
      <c r="E4701" s="67">
        <v>83900.41</v>
      </c>
      <c r="F4701" s="67">
        <v>25250</v>
      </c>
      <c r="H4701" s="68">
        <v>40764</v>
      </c>
      <c r="I4701" s="67" t="s">
        <v>148</v>
      </c>
    </row>
    <row r="4702" spans="1:9" x14ac:dyDescent="0.25">
      <c r="B4702" s="67" t="s">
        <v>2573</v>
      </c>
      <c r="C4702" s="67">
        <v>0</v>
      </c>
      <c r="D4702" s="67">
        <v>0</v>
      </c>
      <c r="E4702" s="67">
        <v>83900.45</v>
      </c>
      <c r="H4702" s="67" t="s">
        <v>146</v>
      </c>
    </row>
    <row r="4704" spans="1:9" x14ac:dyDescent="0.25">
      <c r="A4704" s="67" t="s">
        <v>2572</v>
      </c>
      <c r="B4704" s="67" t="s">
        <v>2571</v>
      </c>
      <c r="C4704" s="67">
        <v>0</v>
      </c>
      <c r="D4704" s="67">
        <v>0</v>
      </c>
      <c r="E4704" s="67">
        <v>83900.41</v>
      </c>
      <c r="F4704" s="67">
        <v>25250</v>
      </c>
      <c r="H4704" s="68">
        <v>40764</v>
      </c>
      <c r="I4704" s="67" t="s">
        <v>148</v>
      </c>
    </row>
    <row r="4705" spans="1:9" x14ac:dyDescent="0.25">
      <c r="B4705" s="67" t="s">
        <v>2571</v>
      </c>
      <c r="C4705" s="67">
        <v>0</v>
      </c>
      <c r="D4705" s="67">
        <v>0</v>
      </c>
      <c r="E4705" s="67">
        <v>83900.45</v>
      </c>
      <c r="H4705" s="67" t="s">
        <v>146</v>
      </c>
    </row>
    <row r="4707" spans="1:9" x14ac:dyDescent="0.25">
      <c r="A4707" s="67" t="s">
        <v>2570</v>
      </c>
      <c r="B4707" s="67" t="s">
        <v>2569</v>
      </c>
      <c r="C4707" s="67">
        <v>0</v>
      </c>
      <c r="D4707" s="67">
        <v>0</v>
      </c>
      <c r="E4707" s="67">
        <v>83900.41</v>
      </c>
      <c r="F4707" s="67">
        <v>25250</v>
      </c>
      <c r="H4707" s="68">
        <v>40764</v>
      </c>
      <c r="I4707" s="67" t="s">
        <v>148</v>
      </c>
    </row>
    <row r="4708" spans="1:9" x14ac:dyDescent="0.25">
      <c r="B4708" s="67" t="s">
        <v>2569</v>
      </c>
      <c r="C4708" s="67">
        <v>0</v>
      </c>
      <c r="D4708" s="67">
        <v>0</v>
      </c>
      <c r="E4708" s="67">
        <v>83900.45</v>
      </c>
      <c r="H4708" s="67" t="s">
        <v>146</v>
      </c>
    </row>
    <row r="4710" spans="1:9" x14ac:dyDescent="0.25">
      <c r="A4710" s="67" t="s">
        <v>2568</v>
      </c>
      <c r="B4710" s="67" t="s">
        <v>2567</v>
      </c>
      <c r="C4710" s="67">
        <v>0</v>
      </c>
      <c r="D4710" s="67">
        <v>0</v>
      </c>
      <c r="E4710" s="67">
        <v>83900.41</v>
      </c>
      <c r="F4710" s="67">
        <v>25250</v>
      </c>
      <c r="H4710" s="68">
        <v>40764</v>
      </c>
      <c r="I4710" s="67" t="s">
        <v>148</v>
      </c>
    </row>
    <row r="4711" spans="1:9" x14ac:dyDescent="0.25">
      <c r="B4711" s="67" t="s">
        <v>2567</v>
      </c>
      <c r="C4711" s="67">
        <v>0</v>
      </c>
      <c r="D4711" s="67">
        <v>0</v>
      </c>
      <c r="E4711" s="67">
        <v>83900.45</v>
      </c>
      <c r="H4711" s="67" t="s">
        <v>146</v>
      </c>
    </row>
    <row r="4713" spans="1:9" x14ac:dyDescent="0.25">
      <c r="A4713" s="67" t="s">
        <v>2566</v>
      </c>
      <c r="B4713" s="67" t="s">
        <v>2565</v>
      </c>
      <c r="C4713" s="67">
        <v>0</v>
      </c>
      <c r="D4713" s="67">
        <v>0</v>
      </c>
      <c r="E4713" s="67">
        <v>83900.41</v>
      </c>
      <c r="F4713" s="67">
        <v>25250</v>
      </c>
      <c r="H4713" s="68">
        <v>40764</v>
      </c>
      <c r="I4713" s="67" t="s">
        <v>148</v>
      </c>
    </row>
    <row r="4714" spans="1:9" x14ac:dyDescent="0.25">
      <c r="B4714" s="67" t="s">
        <v>2565</v>
      </c>
      <c r="C4714" s="67">
        <v>0</v>
      </c>
      <c r="D4714" s="67">
        <v>0</v>
      </c>
      <c r="E4714" s="67">
        <v>83900.45</v>
      </c>
      <c r="H4714" s="67" t="s">
        <v>146</v>
      </c>
    </row>
    <row r="4716" spans="1:9" x14ac:dyDescent="0.25">
      <c r="A4716" s="67" t="s">
        <v>2564</v>
      </c>
      <c r="B4716" s="67" t="s">
        <v>2563</v>
      </c>
      <c r="C4716" s="67">
        <v>0</v>
      </c>
      <c r="D4716" s="67">
        <v>0</v>
      </c>
      <c r="E4716" s="67">
        <v>83900.41</v>
      </c>
      <c r="F4716" s="67">
        <v>25250</v>
      </c>
      <c r="H4716" s="68">
        <v>40764</v>
      </c>
      <c r="I4716" s="67" t="s">
        <v>148</v>
      </c>
    </row>
    <row r="4717" spans="1:9" x14ac:dyDescent="0.25">
      <c r="B4717" s="67" t="s">
        <v>2563</v>
      </c>
      <c r="C4717" s="67">
        <v>0</v>
      </c>
      <c r="D4717" s="67">
        <v>0</v>
      </c>
      <c r="E4717" s="67">
        <v>83900.45</v>
      </c>
      <c r="H4717" s="67" t="s">
        <v>146</v>
      </c>
    </row>
    <row r="4719" spans="1:9" x14ac:dyDescent="0.25">
      <c r="A4719" s="67" t="s">
        <v>2562</v>
      </c>
      <c r="B4719" s="67" t="s">
        <v>2561</v>
      </c>
      <c r="C4719" s="67">
        <v>0</v>
      </c>
      <c r="D4719" s="67">
        <v>0</v>
      </c>
      <c r="E4719" s="67">
        <v>83900.41</v>
      </c>
      <c r="F4719" s="67">
        <v>25250</v>
      </c>
      <c r="H4719" s="68">
        <v>40764</v>
      </c>
      <c r="I4719" s="67" t="s">
        <v>148</v>
      </c>
    </row>
    <row r="4720" spans="1:9" x14ac:dyDescent="0.25">
      <c r="B4720" s="67" t="s">
        <v>2561</v>
      </c>
      <c r="C4720" s="67">
        <v>0</v>
      </c>
      <c r="D4720" s="67">
        <v>0</v>
      </c>
      <c r="E4720" s="67">
        <v>83900.45</v>
      </c>
      <c r="H4720" s="67" t="s">
        <v>146</v>
      </c>
    </row>
    <row r="4722" spans="1:9" x14ac:dyDescent="0.25">
      <c r="A4722" s="67" t="s">
        <v>2560</v>
      </c>
      <c r="B4722" s="67" t="s">
        <v>2559</v>
      </c>
      <c r="C4722" s="67">
        <v>0</v>
      </c>
      <c r="D4722" s="67">
        <v>0</v>
      </c>
      <c r="E4722" s="67">
        <v>83900.41</v>
      </c>
      <c r="F4722" s="67">
        <v>25250</v>
      </c>
      <c r="H4722" s="68">
        <v>40764</v>
      </c>
      <c r="I4722" s="67" t="s">
        <v>148</v>
      </c>
    </row>
    <row r="4723" spans="1:9" x14ac:dyDescent="0.25">
      <c r="B4723" s="67" t="s">
        <v>2559</v>
      </c>
      <c r="C4723" s="67">
        <v>0</v>
      </c>
      <c r="D4723" s="67">
        <v>0</v>
      </c>
      <c r="E4723" s="67">
        <v>83900.45</v>
      </c>
      <c r="H4723" s="67" t="s">
        <v>146</v>
      </c>
    </row>
    <row r="4725" spans="1:9" x14ac:dyDescent="0.25">
      <c r="A4725" s="67" t="s">
        <v>2558</v>
      </c>
      <c r="B4725" s="67" t="s">
        <v>2557</v>
      </c>
      <c r="C4725" s="67">
        <v>0</v>
      </c>
      <c r="D4725" s="67">
        <v>0</v>
      </c>
      <c r="E4725" s="67">
        <v>83900.41</v>
      </c>
      <c r="F4725" s="67">
        <v>25250</v>
      </c>
      <c r="H4725" s="68">
        <v>40764</v>
      </c>
      <c r="I4725" s="67" t="s">
        <v>148</v>
      </c>
    </row>
    <row r="4726" spans="1:9" x14ac:dyDescent="0.25">
      <c r="B4726" s="67" t="s">
        <v>2557</v>
      </c>
      <c r="C4726" s="67">
        <v>0</v>
      </c>
      <c r="D4726" s="67">
        <v>0</v>
      </c>
      <c r="E4726" s="67">
        <v>83900.45</v>
      </c>
      <c r="H4726" s="67" t="s">
        <v>146</v>
      </c>
    </row>
    <row r="4728" spans="1:9" x14ac:dyDescent="0.25">
      <c r="A4728" s="67" t="s">
        <v>2556</v>
      </c>
      <c r="B4728" s="67" t="s">
        <v>2555</v>
      </c>
      <c r="C4728" s="67">
        <v>0</v>
      </c>
      <c r="D4728" s="67">
        <v>0</v>
      </c>
      <c r="E4728" s="67">
        <v>83900.41</v>
      </c>
      <c r="F4728" s="67">
        <v>25250</v>
      </c>
      <c r="H4728" s="68">
        <v>40764</v>
      </c>
      <c r="I4728" s="67" t="s">
        <v>148</v>
      </c>
    </row>
    <row r="4729" spans="1:9" x14ac:dyDescent="0.25">
      <c r="B4729" s="67" t="s">
        <v>2555</v>
      </c>
      <c r="C4729" s="67">
        <v>0</v>
      </c>
      <c r="D4729" s="67">
        <v>0</v>
      </c>
      <c r="E4729" s="67">
        <v>83900.45</v>
      </c>
      <c r="H4729" s="67" t="s">
        <v>146</v>
      </c>
    </row>
    <row r="4731" spans="1:9" x14ac:dyDescent="0.25">
      <c r="A4731" s="67" t="s">
        <v>2554</v>
      </c>
      <c r="B4731" s="67" t="s">
        <v>2553</v>
      </c>
      <c r="C4731" s="67">
        <v>0</v>
      </c>
      <c r="D4731" s="67">
        <v>0</v>
      </c>
      <c r="E4731" s="67">
        <v>83900.41</v>
      </c>
      <c r="F4731" s="67">
        <v>25250</v>
      </c>
      <c r="H4731" s="68">
        <v>40764</v>
      </c>
      <c r="I4731" s="67" t="s">
        <v>148</v>
      </c>
    </row>
    <row r="4732" spans="1:9" x14ac:dyDescent="0.25">
      <c r="B4732" s="67" t="s">
        <v>2553</v>
      </c>
      <c r="C4732" s="67">
        <v>0</v>
      </c>
      <c r="D4732" s="67">
        <v>0</v>
      </c>
      <c r="E4732" s="67">
        <v>83900.45</v>
      </c>
      <c r="H4732" s="67" t="s">
        <v>146</v>
      </c>
    </row>
    <row r="4734" spans="1:9" x14ac:dyDescent="0.25">
      <c r="A4734" s="67" t="s">
        <v>2552</v>
      </c>
      <c r="B4734" s="67" t="s">
        <v>2551</v>
      </c>
      <c r="C4734" s="67">
        <v>0</v>
      </c>
      <c r="D4734" s="67">
        <v>0</v>
      </c>
      <c r="E4734" s="67">
        <v>83900.41</v>
      </c>
      <c r="F4734" s="67">
        <v>25250</v>
      </c>
      <c r="H4734" s="68">
        <v>40764</v>
      </c>
      <c r="I4734" s="67" t="s">
        <v>148</v>
      </c>
    </row>
    <row r="4735" spans="1:9" x14ac:dyDescent="0.25">
      <c r="B4735" s="67" t="s">
        <v>2551</v>
      </c>
      <c r="C4735" s="67">
        <v>0</v>
      </c>
      <c r="D4735" s="67">
        <v>0</v>
      </c>
      <c r="E4735" s="67">
        <v>83900.45</v>
      </c>
      <c r="H4735" s="67" t="s">
        <v>146</v>
      </c>
    </row>
    <row r="4737" spans="1:9" x14ac:dyDescent="0.25">
      <c r="A4737" s="67" t="s">
        <v>2550</v>
      </c>
      <c r="B4737" s="67" t="s">
        <v>2549</v>
      </c>
      <c r="C4737" s="67">
        <v>0</v>
      </c>
      <c r="D4737" s="67">
        <v>0</v>
      </c>
      <c r="E4737" s="67">
        <v>83900.41</v>
      </c>
      <c r="F4737" s="67">
        <v>25250</v>
      </c>
      <c r="H4737" s="68">
        <v>40764</v>
      </c>
      <c r="I4737" s="67" t="s">
        <v>148</v>
      </c>
    </row>
    <row r="4738" spans="1:9" x14ac:dyDescent="0.25">
      <c r="B4738" s="67" t="s">
        <v>2549</v>
      </c>
      <c r="C4738" s="67">
        <v>0</v>
      </c>
      <c r="D4738" s="67">
        <v>0</v>
      </c>
      <c r="E4738" s="67">
        <v>83900.45</v>
      </c>
      <c r="H4738" s="67" t="s">
        <v>146</v>
      </c>
    </row>
    <row r="4739" spans="1:9" x14ac:dyDescent="0.25">
      <c r="A4739" s="67" t="s">
        <v>233</v>
      </c>
    </row>
    <row r="4741" spans="1:9" x14ac:dyDescent="0.25">
      <c r="A4741" s="67" t="s">
        <v>232</v>
      </c>
      <c r="D4741" s="67" t="s">
        <v>231</v>
      </c>
      <c r="H4741" s="67" t="s">
        <v>148</v>
      </c>
      <c r="I4741" s="67" t="s">
        <v>230</v>
      </c>
    </row>
    <row r="4742" spans="1:9" x14ac:dyDescent="0.25">
      <c r="A4742" s="67">
        <v>41.1</v>
      </c>
      <c r="C4742" s="67" t="s">
        <v>215</v>
      </c>
      <c r="D4742" s="67" t="s">
        <v>229</v>
      </c>
      <c r="H4742" s="70">
        <v>44771</v>
      </c>
      <c r="I4742" s="69">
        <v>0.56736111111111109</v>
      </c>
    </row>
    <row r="4743" spans="1:9" x14ac:dyDescent="0.25">
      <c r="A4743" s="67" t="s">
        <v>228</v>
      </c>
      <c r="C4743" s="67" t="s">
        <v>227</v>
      </c>
      <c r="D4743" s="67" t="s">
        <v>226</v>
      </c>
      <c r="E4743" s="67">
        <v>589</v>
      </c>
      <c r="H4743" s="67" t="s">
        <v>225</v>
      </c>
      <c r="I4743" s="67">
        <v>83</v>
      </c>
    </row>
    <row r="4744" spans="1:9" x14ac:dyDescent="0.25">
      <c r="A4744" s="67" t="s">
        <v>884</v>
      </c>
    </row>
    <row r="4745" spans="1:9" x14ac:dyDescent="0.25">
      <c r="A4745" s="67" t="s">
        <v>223</v>
      </c>
      <c r="B4745" s="67" t="s">
        <v>222</v>
      </c>
      <c r="C4745" s="67" t="s">
        <v>221</v>
      </c>
      <c r="D4745" s="67" t="s">
        <v>220</v>
      </c>
      <c r="E4745" s="67" t="s">
        <v>219</v>
      </c>
      <c r="F4745" s="67" t="s">
        <v>217</v>
      </c>
      <c r="G4745" s="67" t="s">
        <v>218</v>
      </c>
      <c r="H4745" s="67" t="s">
        <v>217</v>
      </c>
      <c r="I4745" s="67" t="s">
        <v>216</v>
      </c>
    </row>
    <row r="4746" spans="1:9" x14ac:dyDescent="0.25">
      <c r="A4746" s="67" t="s">
        <v>215</v>
      </c>
      <c r="B4746" s="67" t="s">
        <v>214</v>
      </c>
      <c r="C4746" s="67" t="s">
        <v>213</v>
      </c>
      <c r="D4746" s="67" t="s">
        <v>212</v>
      </c>
      <c r="E4746" s="67" t="s">
        <v>211</v>
      </c>
      <c r="F4746" s="67" t="s">
        <v>210</v>
      </c>
      <c r="G4746" s="67" t="s">
        <v>209</v>
      </c>
      <c r="H4746" s="67" t="s">
        <v>208</v>
      </c>
      <c r="I4746" s="67" t="s">
        <v>207</v>
      </c>
    </row>
    <row r="4747" spans="1:9" x14ac:dyDescent="0.25">
      <c r="A4747" s="67" t="s">
        <v>206</v>
      </c>
      <c r="B4747" s="67" t="s">
        <v>205</v>
      </c>
      <c r="C4747" s="67" t="s">
        <v>204</v>
      </c>
      <c r="D4747" s="67" t="s">
        <v>203</v>
      </c>
      <c r="E4747" s="67" t="s">
        <v>202</v>
      </c>
      <c r="F4747" s="67" t="s">
        <v>201</v>
      </c>
      <c r="G4747" s="67" t="s">
        <v>200</v>
      </c>
      <c r="H4747" s="67" t="s">
        <v>199</v>
      </c>
    </row>
    <row r="4748" spans="1:9" x14ac:dyDescent="0.25">
      <c r="A4748" s="67" t="s">
        <v>2548</v>
      </c>
      <c r="B4748" s="67" t="s">
        <v>2547</v>
      </c>
      <c r="C4748" s="67">
        <v>0</v>
      </c>
      <c r="D4748" s="67">
        <v>0</v>
      </c>
      <c r="E4748" s="67">
        <v>83900.41</v>
      </c>
      <c r="F4748" s="67">
        <v>25250</v>
      </c>
      <c r="H4748" s="68">
        <v>40764</v>
      </c>
      <c r="I4748" s="67" t="s">
        <v>148</v>
      </c>
    </row>
    <row r="4749" spans="1:9" x14ac:dyDescent="0.25">
      <c r="B4749" s="67" t="s">
        <v>2547</v>
      </c>
      <c r="C4749" s="67">
        <v>0</v>
      </c>
      <c r="D4749" s="67">
        <v>0</v>
      </c>
      <c r="E4749" s="67">
        <v>83900.45</v>
      </c>
      <c r="H4749" s="67" t="s">
        <v>146</v>
      </c>
    </row>
    <row r="4751" spans="1:9" x14ac:dyDescent="0.25">
      <c r="A4751" s="67" t="s">
        <v>2546</v>
      </c>
      <c r="B4751" s="67" t="s">
        <v>2545</v>
      </c>
      <c r="C4751" s="67">
        <v>0</v>
      </c>
      <c r="D4751" s="67">
        <v>0</v>
      </c>
      <c r="E4751" s="67">
        <v>83900.41</v>
      </c>
      <c r="F4751" s="67">
        <v>25250</v>
      </c>
      <c r="H4751" s="68">
        <v>40764</v>
      </c>
      <c r="I4751" s="67" t="s">
        <v>148</v>
      </c>
    </row>
    <row r="4752" spans="1:9" x14ac:dyDescent="0.25">
      <c r="B4752" s="67" t="s">
        <v>2545</v>
      </c>
      <c r="C4752" s="67">
        <v>0</v>
      </c>
      <c r="D4752" s="67">
        <v>0</v>
      </c>
      <c r="E4752" s="67">
        <v>83900.45</v>
      </c>
      <c r="H4752" s="67" t="s">
        <v>146</v>
      </c>
    </row>
    <row r="4754" spans="1:9" x14ac:dyDescent="0.25">
      <c r="A4754" s="67" t="s">
        <v>2544</v>
      </c>
      <c r="B4754" s="67" t="s">
        <v>2543</v>
      </c>
      <c r="C4754" s="67">
        <v>0</v>
      </c>
      <c r="D4754" s="67">
        <v>0</v>
      </c>
      <c r="E4754" s="67">
        <v>83900.41</v>
      </c>
      <c r="F4754" s="67">
        <v>25250</v>
      </c>
      <c r="H4754" s="68">
        <v>40764</v>
      </c>
      <c r="I4754" s="67" t="s">
        <v>148</v>
      </c>
    </row>
    <row r="4755" spans="1:9" x14ac:dyDescent="0.25">
      <c r="B4755" s="67" t="s">
        <v>2543</v>
      </c>
      <c r="C4755" s="67">
        <v>0</v>
      </c>
      <c r="D4755" s="67">
        <v>0</v>
      </c>
      <c r="E4755" s="67">
        <v>83900.45</v>
      </c>
      <c r="H4755" s="67" t="s">
        <v>146</v>
      </c>
    </row>
    <row r="4757" spans="1:9" x14ac:dyDescent="0.25">
      <c r="A4757" s="67" t="s">
        <v>2542</v>
      </c>
      <c r="B4757" s="67" t="s">
        <v>2541</v>
      </c>
      <c r="C4757" s="67">
        <v>0</v>
      </c>
      <c r="D4757" s="67">
        <v>0</v>
      </c>
      <c r="E4757" s="67">
        <v>83900.41</v>
      </c>
      <c r="F4757" s="67">
        <v>25250</v>
      </c>
      <c r="H4757" s="68">
        <v>40764</v>
      </c>
      <c r="I4757" s="67" t="s">
        <v>148</v>
      </c>
    </row>
    <row r="4758" spans="1:9" x14ac:dyDescent="0.25">
      <c r="B4758" s="67" t="s">
        <v>2541</v>
      </c>
      <c r="C4758" s="67">
        <v>0</v>
      </c>
      <c r="D4758" s="67">
        <v>0</v>
      </c>
      <c r="E4758" s="67">
        <v>83900.45</v>
      </c>
      <c r="H4758" s="67" t="s">
        <v>146</v>
      </c>
    </row>
    <row r="4760" spans="1:9" x14ac:dyDescent="0.25">
      <c r="A4760" s="67" t="s">
        <v>2540</v>
      </c>
      <c r="B4760" s="67" t="s">
        <v>2539</v>
      </c>
      <c r="C4760" s="67">
        <v>0</v>
      </c>
      <c r="D4760" s="67">
        <v>0</v>
      </c>
      <c r="E4760" s="67">
        <v>83900.41</v>
      </c>
      <c r="F4760" s="67">
        <v>25250</v>
      </c>
      <c r="H4760" s="68">
        <v>40764</v>
      </c>
      <c r="I4760" s="67" t="s">
        <v>148</v>
      </c>
    </row>
    <row r="4761" spans="1:9" x14ac:dyDescent="0.25">
      <c r="B4761" s="67" t="s">
        <v>2539</v>
      </c>
      <c r="C4761" s="67">
        <v>0</v>
      </c>
      <c r="D4761" s="67">
        <v>0</v>
      </c>
      <c r="E4761" s="67">
        <v>83900.45</v>
      </c>
      <c r="H4761" s="67" t="s">
        <v>146</v>
      </c>
    </row>
    <row r="4763" spans="1:9" x14ac:dyDescent="0.25">
      <c r="A4763" s="67" t="s">
        <v>2538</v>
      </c>
      <c r="B4763" s="67" t="s">
        <v>2537</v>
      </c>
      <c r="C4763" s="67">
        <v>0</v>
      </c>
      <c r="D4763" s="67">
        <v>0</v>
      </c>
      <c r="E4763" s="67">
        <v>83900.41</v>
      </c>
      <c r="F4763" s="67">
        <v>25250</v>
      </c>
      <c r="H4763" s="68">
        <v>40764</v>
      </c>
      <c r="I4763" s="67" t="s">
        <v>148</v>
      </c>
    </row>
    <row r="4764" spans="1:9" x14ac:dyDescent="0.25">
      <c r="B4764" s="67" t="s">
        <v>2537</v>
      </c>
      <c r="C4764" s="67">
        <v>0</v>
      </c>
      <c r="D4764" s="67">
        <v>0</v>
      </c>
      <c r="E4764" s="67">
        <v>83900.45</v>
      </c>
      <c r="H4764" s="67" t="s">
        <v>146</v>
      </c>
    </row>
    <row r="4766" spans="1:9" x14ac:dyDescent="0.25">
      <c r="A4766" s="67" t="s">
        <v>2536</v>
      </c>
      <c r="B4766" s="67" t="s">
        <v>2535</v>
      </c>
      <c r="C4766" s="67">
        <v>0</v>
      </c>
      <c r="D4766" s="67">
        <v>0</v>
      </c>
      <c r="E4766" s="67">
        <v>83900.41</v>
      </c>
      <c r="F4766" s="67">
        <v>25250</v>
      </c>
      <c r="H4766" s="68">
        <v>40764</v>
      </c>
      <c r="I4766" s="67" t="s">
        <v>148</v>
      </c>
    </row>
    <row r="4767" spans="1:9" x14ac:dyDescent="0.25">
      <c r="B4767" s="67" t="s">
        <v>2535</v>
      </c>
      <c r="C4767" s="67">
        <v>0</v>
      </c>
      <c r="D4767" s="67">
        <v>0</v>
      </c>
      <c r="E4767" s="67">
        <v>83900.45</v>
      </c>
      <c r="H4767" s="67" t="s">
        <v>146</v>
      </c>
    </row>
    <row r="4769" spans="1:9" x14ac:dyDescent="0.25">
      <c r="A4769" s="67" t="s">
        <v>2534</v>
      </c>
      <c r="B4769" s="67" t="s">
        <v>2533</v>
      </c>
      <c r="C4769" s="67">
        <v>0</v>
      </c>
      <c r="D4769" s="67">
        <v>0</v>
      </c>
      <c r="E4769" s="67">
        <v>83900.41</v>
      </c>
      <c r="F4769" s="67">
        <v>25250</v>
      </c>
      <c r="H4769" s="68">
        <v>40764</v>
      </c>
      <c r="I4769" s="67" t="s">
        <v>148</v>
      </c>
    </row>
    <row r="4770" spans="1:9" x14ac:dyDescent="0.25">
      <c r="B4770" s="67" t="s">
        <v>2533</v>
      </c>
      <c r="C4770" s="67">
        <v>0</v>
      </c>
      <c r="D4770" s="67">
        <v>0</v>
      </c>
      <c r="E4770" s="67">
        <v>83900.45</v>
      </c>
      <c r="H4770" s="67" t="s">
        <v>146</v>
      </c>
    </row>
    <row r="4772" spans="1:9" x14ac:dyDescent="0.25">
      <c r="A4772" s="67" t="s">
        <v>2532</v>
      </c>
      <c r="B4772" s="67" t="s">
        <v>2531</v>
      </c>
      <c r="C4772" s="67">
        <v>0</v>
      </c>
      <c r="D4772" s="67">
        <v>0</v>
      </c>
      <c r="E4772" s="67">
        <v>83900.41</v>
      </c>
      <c r="F4772" s="67">
        <v>25250</v>
      </c>
      <c r="H4772" s="68">
        <v>40764</v>
      </c>
      <c r="I4772" s="67" t="s">
        <v>148</v>
      </c>
    </row>
    <row r="4773" spans="1:9" x14ac:dyDescent="0.25">
      <c r="B4773" s="67" t="s">
        <v>2531</v>
      </c>
      <c r="C4773" s="67">
        <v>0</v>
      </c>
      <c r="D4773" s="67">
        <v>0</v>
      </c>
      <c r="E4773" s="67">
        <v>83900.45</v>
      </c>
      <c r="H4773" s="67" t="s">
        <v>146</v>
      </c>
    </row>
    <row r="4775" spans="1:9" x14ac:dyDescent="0.25">
      <c r="A4775" s="67" t="s">
        <v>2530</v>
      </c>
      <c r="B4775" s="67" t="s">
        <v>2529</v>
      </c>
      <c r="C4775" s="67">
        <v>0</v>
      </c>
      <c r="D4775" s="67">
        <v>0</v>
      </c>
      <c r="E4775" s="67">
        <v>83900.41</v>
      </c>
      <c r="F4775" s="67">
        <v>25250</v>
      </c>
      <c r="H4775" s="68">
        <v>40764</v>
      </c>
      <c r="I4775" s="67" t="s">
        <v>148</v>
      </c>
    </row>
    <row r="4776" spans="1:9" x14ac:dyDescent="0.25">
      <c r="B4776" s="67" t="s">
        <v>2529</v>
      </c>
      <c r="C4776" s="67">
        <v>0</v>
      </c>
      <c r="D4776" s="67">
        <v>0</v>
      </c>
      <c r="E4776" s="67">
        <v>83900.45</v>
      </c>
      <c r="H4776" s="67" t="s">
        <v>146</v>
      </c>
    </row>
    <row r="4778" spans="1:9" x14ac:dyDescent="0.25">
      <c r="A4778" s="67" t="s">
        <v>2528</v>
      </c>
      <c r="B4778" s="67" t="s">
        <v>2527</v>
      </c>
      <c r="C4778" s="67">
        <v>0</v>
      </c>
      <c r="D4778" s="67">
        <v>0</v>
      </c>
      <c r="E4778" s="67">
        <v>83900.41</v>
      </c>
      <c r="F4778" s="67">
        <v>25250</v>
      </c>
      <c r="H4778" s="68">
        <v>40764</v>
      </c>
      <c r="I4778" s="67" t="s">
        <v>148</v>
      </c>
    </row>
    <row r="4779" spans="1:9" x14ac:dyDescent="0.25">
      <c r="B4779" s="67" t="s">
        <v>2527</v>
      </c>
      <c r="C4779" s="67">
        <v>0</v>
      </c>
      <c r="D4779" s="67">
        <v>0</v>
      </c>
      <c r="E4779" s="67">
        <v>83900.45</v>
      </c>
      <c r="H4779" s="67" t="s">
        <v>146</v>
      </c>
    </row>
    <row r="4781" spans="1:9" x14ac:dyDescent="0.25">
      <c r="A4781" s="67" t="s">
        <v>2526</v>
      </c>
      <c r="B4781" s="67" t="s">
        <v>2525</v>
      </c>
      <c r="C4781" s="67">
        <v>0</v>
      </c>
      <c r="D4781" s="67">
        <v>0</v>
      </c>
      <c r="E4781" s="67">
        <v>83900.41</v>
      </c>
      <c r="F4781" s="67">
        <v>25250</v>
      </c>
      <c r="H4781" s="68">
        <v>40764</v>
      </c>
      <c r="I4781" s="67" t="s">
        <v>148</v>
      </c>
    </row>
    <row r="4782" spans="1:9" x14ac:dyDescent="0.25">
      <c r="B4782" s="67" t="s">
        <v>2525</v>
      </c>
      <c r="C4782" s="67">
        <v>0</v>
      </c>
      <c r="D4782" s="67">
        <v>0</v>
      </c>
      <c r="E4782" s="67">
        <v>83900.45</v>
      </c>
      <c r="H4782" s="67" t="s">
        <v>146</v>
      </c>
    </row>
    <row r="4784" spans="1:9" x14ac:dyDescent="0.25">
      <c r="A4784" s="67" t="s">
        <v>2524</v>
      </c>
      <c r="B4784" s="67" t="s">
        <v>2523</v>
      </c>
      <c r="C4784" s="67">
        <v>0</v>
      </c>
      <c r="D4784" s="67">
        <v>0</v>
      </c>
      <c r="E4784" s="67">
        <v>83900.41</v>
      </c>
      <c r="F4784" s="67">
        <v>25250</v>
      </c>
      <c r="H4784" s="68">
        <v>40764</v>
      </c>
      <c r="I4784" s="67" t="s">
        <v>148</v>
      </c>
    </row>
    <row r="4785" spans="1:9" x14ac:dyDescent="0.25">
      <c r="B4785" s="67" t="s">
        <v>2523</v>
      </c>
      <c r="C4785" s="67">
        <v>0</v>
      </c>
      <c r="D4785" s="67">
        <v>0</v>
      </c>
      <c r="E4785" s="67">
        <v>83900.45</v>
      </c>
      <c r="H4785" s="67" t="s">
        <v>146</v>
      </c>
    </row>
    <row r="4787" spans="1:9" x14ac:dyDescent="0.25">
      <c r="A4787" s="67" t="s">
        <v>2522</v>
      </c>
      <c r="B4787" s="67" t="s">
        <v>2521</v>
      </c>
      <c r="C4787" s="67">
        <v>0</v>
      </c>
      <c r="D4787" s="67">
        <v>0</v>
      </c>
      <c r="E4787" s="67">
        <v>83900.41</v>
      </c>
      <c r="F4787" s="67">
        <v>25250</v>
      </c>
      <c r="H4787" s="68">
        <v>40764</v>
      </c>
      <c r="I4787" s="67" t="s">
        <v>148</v>
      </c>
    </row>
    <row r="4788" spans="1:9" x14ac:dyDescent="0.25">
      <c r="B4788" s="67" t="s">
        <v>2521</v>
      </c>
      <c r="C4788" s="67">
        <v>0</v>
      </c>
      <c r="D4788" s="67">
        <v>0</v>
      </c>
      <c r="E4788" s="67">
        <v>83900.45</v>
      </c>
      <c r="H4788" s="67" t="s">
        <v>146</v>
      </c>
    </row>
    <row r="4790" spans="1:9" x14ac:dyDescent="0.25">
      <c r="A4790" s="67" t="s">
        <v>2520</v>
      </c>
      <c r="B4790" s="67" t="s">
        <v>2519</v>
      </c>
      <c r="C4790" s="67">
        <v>0</v>
      </c>
      <c r="D4790" s="67">
        <v>0</v>
      </c>
      <c r="E4790" s="67">
        <v>83900.41</v>
      </c>
      <c r="F4790" s="67">
        <v>25250</v>
      </c>
      <c r="H4790" s="68">
        <v>40764</v>
      </c>
      <c r="I4790" s="67" t="s">
        <v>148</v>
      </c>
    </row>
    <row r="4791" spans="1:9" x14ac:dyDescent="0.25">
      <c r="B4791" s="67" t="s">
        <v>2519</v>
      </c>
      <c r="C4791" s="67">
        <v>0</v>
      </c>
      <c r="D4791" s="67">
        <v>0</v>
      </c>
      <c r="E4791" s="67">
        <v>83900.45</v>
      </c>
      <c r="H4791" s="67" t="s">
        <v>146</v>
      </c>
    </row>
    <row r="4793" spans="1:9" x14ac:dyDescent="0.25">
      <c r="A4793" s="67" t="s">
        <v>2518</v>
      </c>
      <c r="B4793" s="67" t="s">
        <v>2517</v>
      </c>
      <c r="C4793" s="67">
        <v>0</v>
      </c>
      <c r="D4793" s="67">
        <v>0</v>
      </c>
      <c r="E4793" s="67">
        <v>83900.41</v>
      </c>
      <c r="F4793" s="67">
        <v>25250</v>
      </c>
      <c r="H4793" s="68">
        <v>40764</v>
      </c>
      <c r="I4793" s="67" t="s">
        <v>148</v>
      </c>
    </row>
    <row r="4794" spans="1:9" x14ac:dyDescent="0.25">
      <c r="B4794" s="67" t="s">
        <v>2517</v>
      </c>
      <c r="C4794" s="67">
        <v>0</v>
      </c>
      <c r="D4794" s="67">
        <v>0</v>
      </c>
      <c r="E4794" s="67">
        <v>83900.45</v>
      </c>
      <c r="H4794" s="67" t="s">
        <v>146</v>
      </c>
    </row>
    <row r="4796" spans="1:9" x14ac:dyDescent="0.25">
      <c r="A4796" s="67" t="s">
        <v>2516</v>
      </c>
      <c r="B4796" s="67" t="s">
        <v>2515</v>
      </c>
      <c r="C4796" s="67">
        <v>0</v>
      </c>
      <c r="D4796" s="67">
        <v>0</v>
      </c>
      <c r="E4796" s="67">
        <v>83900.41</v>
      </c>
      <c r="F4796" s="67">
        <v>25250</v>
      </c>
      <c r="H4796" s="68">
        <v>40764</v>
      </c>
      <c r="I4796" s="67" t="s">
        <v>148</v>
      </c>
    </row>
    <row r="4797" spans="1:9" x14ac:dyDescent="0.25">
      <c r="B4797" s="67" t="s">
        <v>2515</v>
      </c>
      <c r="C4797" s="67">
        <v>0</v>
      </c>
      <c r="D4797" s="67">
        <v>0</v>
      </c>
      <c r="E4797" s="67">
        <v>83900.45</v>
      </c>
      <c r="H4797" s="67" t="s">
        <v>146</v>
      </c>
    </row>
    <row r="4798" spans="1:9" x14ac:dyDescent="0.25">
      <c r="A4798" s="67" t="s">
        <v>233</v>
      </c>
    </row>
    <row r="4800" spans="1:9" x14ac:dyDescent="0.25">
      <c r="A4800" s="67" t="s">
        <v>232</v>
      </c>
      <c r="D4800" s="67" t="s">
        <v>231</v>
      </c>
      <c r="H4800" s="67" t="s">
        <v>148</v>
      </c>
      <c r="I4800" s="67" t="s">
        <v>230</v>
      </c>
    </row>
    <row r="4801" spans="1:9" x14ac:dyDescent="0.25">
      <c r="A4801" s="67">
        <v>41.1</v>
      </c>
      <c r="C4801" s="67" t="s">
        <v>215</v>
      </c>
      <c r="D4801" s="67" t="s">
        <v>229</v>
      </c>
      <c r="H4801" s="70">
        <v>44771</v>
      </c>
      <c r="I4801" s="69">
        <v>0.56736111111111109</v>
      </c>
    </row>
    <row r="4802" spans="1:9" x14ac:dyDescent="0.25">
      <c r="A4802" s="67" t="s">
        <v>228</v>
      </c>
      <c r="C4802" s="67" t="s">
        <v>227</v>
      </c>
      <c r="D4802" s="67" t="s">
        <v>226</v>
      </c>
      <c r="E4802" s="67">
        <v>589</v>
      </c>
      <c r="H4802" s="67" t="s">
        <v>225</v>
      </c>
      <c r="I4802" s="67">
        <v>84</v>
      </c>
    </row>
    <row r="4803" spans="1:9" x14ac:dyDescent="0.25">
      <c r="A4803" s="67" t="s">
        <v>884</v>
      </c>
    </row>
    <row r="4804" spans="1:9" x14ac:dyDescent="0.25">
      <c r="A4804" s="67" t="s">
        <v>223</v>
      </c>
      <c r="B4804" s="67" t="s">
        <v>222</v>
      </c>
      <c r="C4804" s="67" t="s">
        <v>221</v>
      </c>
      <c r="D4804" s="67" t="s">
        <v>220</v>
      </c>
      <c r="E4804" s="67" t="s">
        <v>219</v>
      </c>
      <c r="F4804" s="67" t="s">
        <v>217</v>
      </c>
      <c r="G4804" s="67" t="s">
        <v>218</v>
      </c>
      <c r="H4804" s="67" t="s">
        <v>217</v>
      </c>
      <c r="I4804" s="67" t="s">
        <v>216</v>
      </c>
    </row>
    <row r="4805" spans="1:9" x14ac:dyDescent="0.25">
      <c r="A4805" s="67" t="s">
        <v>215</v>
      </c>
      <c r="B4805" s="67" t="s">
        <v>214</v>
      </c>
      <c r="C4805" s="67" t="s">
        <v>213</v>
      </c>
      <c r="D4805" s="67" t="s">
        <v>212</v>
      </c>
      <c r="E4805" s="67" t="s">
        <v>211</v>
      </c>
      <c r="F4805" s="67" t="s">
        <v>210</v>
      </c>
      <c r="G4805" s="67" t="s">
        <v>209</v>
      </c>
      <c r="H4805" s="67" t="s">
        <v>208</v>
      </c>
      <c r="I4805" s="67" t="s">
        <v>207</v>
      </c>
    </row>
    <row r="4806" spans="1:9" x14ac:dyDescent="0.25">
      <c r="A4806" s="67" t="s">
        <v>206</v>
      </c>
      <c r="B4806" s="67" t="s">
        <v>205</v>
      </c>
      <c r="C4806" s="67" t="s">
        <v>204</v>
      </c>
      <c r="D4806" s="67" t="s">
        <v>203</v>
      </c>
      <c r="E4806" s="67" t="s">
        <v>202</v>
      </c>
      <c r="F4806" s="67" t="s">
        <v>201</v>
      </c>
      <c r="G4806" s="67" t="s">
        <v>200</v>
      </c>
      <c r="H4806" s="67" t="s">
        <v>199</v>
      </c>
    </row>
    <row r="4807" spans="1:9" x14ac:dyDescent="0.25">
      <c r="A4807" s="67" t="s">
        <v>2514</v>
      </c>
      <c r="B4807" s="67" t="s">
        <v>2513</v>
      </c>
      <c r="C4807" s="67">
        <v>0</v>
      </c>
      <c r="D4807" s="67">
        <v>0</v>
      </c>
      <c r="E4807" s="67">
        <v>83900.41</v>
      </c>
      <c r="F4807" s="67">
        <v>25250</v>
      </c>
      <c r="H4807" s="68">
        <v>40764</v>
      </c>
      <c r="I4807" s="67" t="s">
        <v>148</v>
      </c>
    </row>
    <row r="4808" spans="1:9" x14ac:dyDescent="0.25">
      <c r="B4808" s="67" t="s">
        <v>2513</v>
      </c>
      <c r="C4808" s="67">
        <v>0</v>
      </c>
      <c r="D4808" s="67">
        <v>0</v>
      </c>
      <c r="E4808" s="67">
        <v>83900.45</v>
      </c>
      <c r="H4808" s="67" t="s">
        <v>146</v>
      </c>
    </row>
    <row r="4810" spans="1:9" x14ac:dyDescent="0.25">
      <c r="A4810" s="67" t="s">
        <v>2512</v>
      </c>
      <c r="B4810" s="67" t="s">
        <v>2511</v>
      </c>
      <c r="C4810" s="67">
        <v>0</v>
      </c>
      <c r="D4810" s="67">
        <v>0</v>
      </c>
      <c r="E4810" s="67">
        <v>83900.41</v>
      </c>
      <c r="F4810" s="67">
        <v>25250</v>
      </c>
      <c r="H4810" s="68">
        <v>40764</v>
      </c>
      <c r="I4810" s="67" t="s">
        <v>148</v>
      </c>
    </row>
    <row r="4811" spans="1:9" x14ac:dyDescent="0.25">
      <c r="B4811" s="67" t="s">
        <v>2511</v>
      </c>
      <c r="C4811" s="67">
        <v>0</v>
      </c>
      <c r="D4811" s="67">
        <v>0</v>
      </c>
      <c r="E4811" s="67">
        <v>83900.45</v>
      </c>
      <c r="H4811" s="67" t="s">
        <v>146</v>
      </c>
    </row>
    <row r="4813" spans="1:9" x14ac:dyDescent="0.25">
      <c r="A4813" s="67" t="s">
        <v>2510</v>
      </c>
      <c r="B4813" s="67" t="s">
        <v>2509</v>
      </c>
      <c r="C4813" s="67">
        <v>0</v>
      </c>
      <c r="D4813" s="67">
        <v>0</v>
      </c>
      <c r="E4813" s="67">
        <v>83900.41</v>
      </c>
      <c r="F4813" s="67">
        <v>25250</v>
      </c>
      <c r="H4813" s="68">
        <v>40764</v>
      </c>
      <c r="I4813" s="67" t="s">
        <v>148</v>
      </c>
    </row>
    <row r="4814" spans="1:9" x14ac:dyDescent="0.25">
      <c r="B4814" s="67" t="s">
        <v>2509</v>
      </c>
      <c r="C4814" s="67">
        <v>0</v>
      </c>
      <c r="D4814" s="67">
        <v>0</v>
      </c>
      <c r="E4814" s="67">
        <v>83900.45</v>
      </c>
      <c r="H4814" s="67" t="s">
        <v>146</v>
      </c>
    </row>
    <row r="4816" spans="1:9" x14ac:dyDescent="0.25">
      <c r="A4816" s="67" t="s">
        <v>2508</v>
      </c>
      <c r="B4816" s="67" t="s">
        <v>2507</v>
      </c>
      <c r="C4816" s="67">
        <v>0</v>
      </c>
      <c r="D4816" s="67">
        <v>0</v>
      </c>
      <c r="E4816" s="67">
        <v>83900.41</v>
      </c>
      <c r="F4816" s="67">
        <v>25250</v>
      </c>
      <c r="H4816" s="68">
        <v>40764</v>
      </c>
      <c r="I4816" s="67" t="s">
        <v>148</v>
      </c>
    </row>
    <row r="4817" spans="1:9" x14ac:dyDescent="0.25">
      <c r="B4817" s="67" t="s">
        <v>2507</v>
      </c>
      <c r="C4817" s="67">
        <v>0</v>
      </c>
      <c r="D4817" s="67">
        <v>0</v>
      </c>
      <c r="E4817" s="67">
        <v>83900.45</v>
      </c>
      <c r="H4817" s="67" t="s">
        <v>146</v>
      </c>
    </row>
    <row r="4819" spans="1:9" x14ac:dyDescent="0.25">
      <c r="A4819" s="67" t="s">
        <v>2506</v>
      </c>
      <c r="B4819" s="67" t="s">
        <v>2505</v>
      </c>
      <c r="C4819" s="67">
        <v>0</v>
      </c>
      <c r="D4819" s="67">
        <v>0</v>
      </c>
      <c r="E4819" s="67">
        <v>83900.41</v>
      </c>
      <c r="F4819" s="67">
        <v>25250</v>
      </c>
      <c r="H4819" s="68">
        <v>40764</v>
      </c>
      <c r="I4819" s="67" t="s">
        <v>148</v>
      </c>
    </row>
    <row r="4820" spans="1:9" x14ac:dyDescent="0.25">
      <c r="B4820" s="67" t="s">
        <v>2505</v>
      </c>
      <c r="C4820" s="67">
        <v>0</v>
      </c>
      <c r="D4820" s="67">
        <v>0</v>
      </c>
      <c r="E4820" s="67">
        <v>83900.45</v>
      </c>
      <c r="H4820" s="67" t="s">
        <v>146</v>
      </c>
    </row>
    <row r="4822" spans="1:9" x14ac:dyDescent="0.25">
      <c r="A4822" s="67" t="s">
        <v>2504</v>
      </c>
      <c r="B4822" s="67" t="s">
        <v>2503</v>
      </c>
      <c r="C4822" s="67">
        <v>0</v>
      </c>
      <c r="D4822" s="67">
        <v>0</v>
      </c>
      <c r="E4822" s="67">
        <v>83900.41</v>
      </c>
      <c r="F4822" s="67">
        <v>25250</v>
      </c>
      <c r="H4822" s="68">
        <v>40764</v>
      </c>
      <c r="I4822" s="67" t="s">
        <v>148</v>
      </c>
    </row>
    <row r="4823" spans="1:9" x14ac:dyDescent="0.25">
      <c r="B4823" s="67" t="s">
        <v>2503</v>
      </c>
      <c r="C4823" s="67">
        <v>0</v>
      </c>
      <c r="D4823" s="67">
        <v>0</v>
      </c>
      <c r="E4823" s="67">
        <v>83900.45</v>
      </c>
      <c r="H4823" s="67" t="s">
        <v>146</v>
      </c>
    </row>
    <row r="4825" spans="1:9" x14ac:dyDescent="0.25">
      <c r="A4825" s="67" t="s">
        <v>2502</v>
      </c>
      <c r="B4825" s="67" t="s">
        <v>2501</v>
      </c>
      <c r="C4825" s="67">
        <v>0</v>
      </c>
      <c r="D4825" s="67">
        <v>0</v>
      </c>
      <c r="E4825" s="67">
        <v>83900.41</v>
      </c>
      <c r="F4825" s="67">
        <v>25250</v>
      </c>
      <c r="H4825" s="68">
        <v>40764</v>
      </c>
      <c r="I4825" s="67" t="s">
        <v>148</v>
      </c>
    </row>
    <row r="4826" spans="1:9" x14ac:dyDescent="0.25">
      <c r="B4826" s="67" t="s">
        <v>2501</v>
      </c>
      <c r="C4826" s="67">
        <v>0</v>
      </c>
      <c r="D4826" s="67">
        <v>0</v>
      </c>
      <c r="E4826" s="67">
        <v>83900.45</v>
      </c>
      <c r="H4826" s="67" t="s">
        <v>146</v>
      </c>
    </row>
    <row r="4828" spans="1:9" x14ac:dyDescent="0.25">
      <c r="A4828" s="67" t="s">
        <v>2500</v>
      </c>
      <c r="B4828" s="67" t="s">
        <v>2499</v>
      </c>
      <c r="C4828" s="67">
        <v>0</v>
      </c>
      <c r="D4828" s="67">
        <v>0</v>
      </c>
      <c r="E4828" s="67">
        <v>83900.41</v>
      </c>
      <c r="F4828" s="67">
        <v>25250</v>
      </c>
      <c r="H4828" s="68">
        <v>40764</v>
      </c>
      <c r="I4828" s="67" t="s">
        <v>148</v>
      </c>
    </row>
    <row r="4829" spans="1:9" x14ac:dyDescent="0.25">
      <c r="B4829" s="67" t="s">
        <v>2499</v>
      </c>
      <c r="C4829" s="67">
        <v>0</v>
      </c>
      <c r="D4829" s="67">
        <v>0</v>
      </c>
      <c r="E4829" s="67">
        <v>83900.45</v>
      </c>
      <c r="H4829" s="67" t="s">
        <v>146</v>
      </c>
    </row>
    <row r="4831" spans="1:9" x14ac:dyDescent="0.25">
      <c r="A4831" s="67" t="s">
        <v>2498</v>
      </c>
      <c r="B4831" s="67" t="s">
        <v>2497</v>
      </c>
      <c r="C4831" s="67">
        <v>0</v>
      </c>
      <c r="D4831" s="67">
        <v>0</v>
      </c>
      <c r="E4831" s="67">
        <v>83900.41</v>
      </c>
      <c r="F4831" s="67">
        <v>25250</v>
      </c>
      <c r="H4831" s="68">
        <v>40764</v>
      </c>
      <c r="I4831" s="67" t="s">
        <v>148</v>
      </c>
    </row>
    <row r="4832" spans="1:9" x14ac:dyDescent="0.25">
      <c r="B4832" s="67" t="s">
        <v>2497</v>
      </c>
      <c r="C4832" s="67">
        <v>0</v>
      </c>
      <c r="D4832" s="67">
        <v>0</v>
      </c>
      <c r="E4832" s="67">
        <v>83900.45</v>
      </c>
      <c r="H4832" s="67" t="s">
        <v>146</v>
      </c>
    </row>
    <row r="4834" spans="1:9" x14ac:dyDescent="0.25">
      <c r="A4834" s="67" t="s">
        <v>2496</v>
      </c>
      <c r="B4834" s="67" t="s">
        <v>2495</v>
      </c>
      <c r="C4834" s="67">
        <v>0</v>
      </c>
      <c r="D4834" s="67">
        <v>0</v>
      </c>
      <c r="E4834" s="67">
        <v>83900.41</v>
      </c>
      <c r="F4834" s="67">
        <v>25250</v>
      </c>
      <c r="H4834" s="68">
        <v>40764</v>
      </c>
      <c r="I4834" s="67" t="s">
        <v>148</v>
      </c>
    </row>
    <row r="4835" spans="1:9" x14ac:dyDescent="0.25">
      <c r="B4835" s="67" t="s">
        <v>2495</v>
      </c>
      <c r="C4835" s="67">
        <v>0</v>
      </c>
      <c r="D4835" s="67">
        <v>0</v>
      </c>
      <c r="E4835" s="67">
        <v>83900.45</v>
      </c>
      <c r="H4835" s="67" t="s">
        <v>146</v>
      </c>
    </row>
    <row r="4837" spans="1:9" x14ac:dyDescent="0.25">
      <c r="A4837" s="67" t="s">
        <v>2494</v>
      </c>
      <c r="B4837" s="67" t="s">
        <v>2493</v>
      </c>
      <c r="C4837" s="67">
        <v>0</v>
      </c>
      <c r="D4837" s="67">
        <v>0</v>
      </c>
      <c r="E4837" s="67">
        <v>83900.41</v>
      </c>
      <c r="F4837" s="67">
        <v>25250</v>
      </c>
      <c r="H4837" s="68">
        <v>40764</v>
      </c>
      <c r="I4837" s="67" t="s">
        <v>148</v>
      </c>
    </row>
    <row r="4838" spans="1:9" x14ac:dyDescent="0.25">
      <c r="B4838" s="67" t="s">
        <v>2493</v>
      </c>
      <c r="C4838" s="67">
        <v>0</v>
      </c>
      <c r="D4838" s="67">
        <v>0</v>
      </c>
      <c r="E4838" s="67">
        <v>83900.45</v>
      </c>
      <c r="H4838" s="67" t="s">
        <v>146</v>
      </c>
    </row>
    <row r="4840" spans="1:9" x14ac:dyDescent="0.25">
      <c r="A4840" s="67" t="s">
        <v>2492</v>
      </c>
      <c r="B4840" s="67" t="s">
        <v>2491</v>
      </c>
      <c r="C4840" s="67">
        <v>0</v>
      </c>
      <c r="D4840" s="67">
        <v>0</v>
      </c>
      <c r="E4840" s="67">
        <v>83900.41</v>
      </c>
      <c r="F4840" s="67">
        <v>25250</v>
      </c>
      <c r="H4840" s="68">
        <v>40764</v>
      </c>
      <c r="I4840" s="67" t="s">
        <v>148</v>
      </c>
    </row>
    <row r="4841" spans="1:9" x14ac:dyDescent="0.25">
      <c r="B4841" s="67" t="s">
        <v>2491</v>
      </c>
      <c r="C4841" s="67">
        <v>0</v>
      </c>
      <c r="D4841" s="67">
        <v>0</v>
      </c>
      <c r="E4841" s="67">
        <v>83900.45</v>
      </c>
      <c r="H4841" s="67" t="s">
        <v>146</v>
      </c>
    </row>
    <row r="4843" spans="1:9" x14ac:dyDescent="0.25">
      <c r="A4843" s="67" t="s">
        <v>2490</v>
      </c>
      <c r="B4843" s="67" t="s">
        <v>2489</v>
      </c>
      <c r="C4843" s="67">
        <v>0</v>
      </c>
      <c r="D4843" s="67">
        <v>0</v>
      </c>
      <c r="E4843" s="67">
        <v>83900.41</v>
      </c>
      <c r="F4843" s="67">
        <v>25250</v>
      </c>
      <c r="H4843" s="68">
        <v>40764</v>
      </c>
      <c r="I4843" s="67" t="s">
        <v>148</v>
      </c>
    </row>
    <row r="4844" spans="1:9" x14ac:dyDescent="0.25">
      <c r="B4844" s="67" t="s">
        <v>2489</v>
      </c>
      <c r="C4844" s="67">
        <v>0</v>
      </c>
      <c r="D4844" s="67">
        <v>0</v>
      </c>
      <c r="E4844" s="67">
        <v>83900.45</v>
      </c>
      <c r="H4844" s="67" t="s">
        <v>146</v>
      </c>
    </row>
    <row r="4846" spans="1:9" x14ac:dyDescent="0.25">
      <c r="A4846" s="67" t="s">
        <v>2488</v>
      </c>
      <c r="B4846" s="67" t="s">
        <v>2487</v>
      </c>
      <c r="C4846" s="67">
        <v>0</v>
      </c>
      <c r="D4846" s="67">
        <v>0</v>
      </c>
      <c r="E4846" s="67">
        <v>83900.41</v>
      </c>
      <c r="F4846" s="67">
        <v>25250</v>
      </c>
      <c r="H4846" s="68">
        <v>40764</v>
      </c>
      <c r="I4846" s="67" t="s">
        <v>148</v>
      </c>
    </row>
    <row r="4847" spans="1:9" x14ac:dyDescent="0.25">
      <c r="B4847" s="67" t="s">
        <v>2487</v>
      </c>
      <c r="C4847" s="67">
        <v>0</v>
      </c>
      <c r="D4847" s="67">
        <v>0</v>
      </c>
      <c r="E4847" s="67">
        <v>83900.45</v>
      </c>
      <c r="H4847" s="67" t="s">
        <v>146</v>
      </c>
    </row>
    <row r="4849" spans="1:9" x14ac:dyDescent="0.25">
      <c r="A4849" s="67" t="s">
        <v>2486</v>
      </c>
      <c r="B4849" s="67" t="s">
        <v>2485</v>
      </c>
      <c r="C4849" s="67">
        <v>0</v>
      </c>
      <c r="D4849" s="67">
        <v>0</v>
      </c>
      <c r="E4849" s="67">
        <v>83900.41</v>
      </c>
      <c r="F4849" s="67">
        <v>25250</v>
      </c>
      <c r="H4849" s="68">
        <v>40764</v>
      </c>
      <c r="I4849" s="67" t="s">
        <v>148</v>
      </c>
    </row>
    <row r="4850" spans="1:9" x14ac:dyDescent="0.25">
      <c r="B4850" s="67" t="s">
        <v>2485</v>
      </c>
      <c r="C4850" s="67">
        <v>0</v>
      </c>
      <c r="D4850" s="67">
        <v>0</v>
      </c>
      <c r="E4850" s="67">
        <v>83900.45</v>
      </c>
      <c r="H4850" s="67" t="s">
        <v>146</v>
      </c>
    </row>
    <row r="4852" spans="1:9" x14ac:dyDescent="0.25">
      <c r="A4852" s="67" t="s">
        <v>2484</v>
      </c>
      <c r="B4852" s="67" t="s">
        <v>2483</v>
      </c>
      <c r="C4852" s="67">
        <v>0</v>
      </c>
      <c r="D4852" s="67">
        <v>0</v>
      </c>
      <c r="E4852" s="67">
        <v>83900.41</v>
      </c>
      <c r="F4852" s="67">
        <v>25250</v>
      </c>
      <c r="H4852" s="68">
        <v>40764</v>
      </c>
      <c r="I4852" s="67" t="s">
        <v>148</v>
      </c>
    </row>
    <row r="4853" spans="1:9" x14ac:dyDescent="0.25">
      <c r="B4853" s="67" t="s">
        <v>2483</v>
      </c>
      <c r="C4853" s="67">
        <v>0</v>
      </c>
      <c r="D4853" s="67">
        <v>0</v>
      </c>
      <c r="E4853" s="67">
        <v>83900.45</v>
      </c>
      <c r="H4853" s="67" t="s">
        <v>146</v>
      </c>
    </row>
    <row r="4855" spans="1:9" x14ac:dyDescent="0.25">
      <c r="A4855" s="67" t="s">
        <v>2482</v>
      </c>
      <c r="B4855" s="67" t="s">
        <v>2481</v>
      </c>
      <c r="C4855" s="67">
        <v>0</v>
      </c>
      <c r="D4855" s="67">
        <v>0</v>
      </c>
      <c r="E4855" s="67">
        <v>83900.41</v>
      </c>
      <c r="F4855" s="67">
        <v>25250</v>
      </c>
      <c r="H4855" s="68">
        <v>40764</v>
      </c>
      <c r="I4855" s="67" t="s">
        <v>148</v>
      </c>
    </row>
    <row r="4856" spans="1:9" x14ac:dyDescent="0.25">
      <c r="B4856" s="67" t="s">
        <v>2481</v>
      </c>
      <c r="C4856" s="67">
        <v>0</v>
      </c>
      <c r="D4856" s="67">
        <v>0</v>
      </c>
      <c r="E4856" s="67">
        <v>83900.45</v>
      </c>
      <c r="H4856" s="67" t="s">
        <v>146</v>
      </c>
    </row>
    <row r="4857" spans="1:9" x14ac:dyDescent="0.25">
      <c r="A4857" s="67" t="s">
        <v>233</v>
      </c>
    </row>
    <row r="4859" spans="1:9" x14ac:dyDescent="0.25">
      <c r="A4859" s="67" t="s">
        <v>232</v>
      </c>
      <c r="D4859" s="67" t="s">
        <v>231</v>
      </c>
      <c r="H4859" s="67" t="s">
        <v>148</v>
      </c>
      <c r="I4859" s="67" t="s">
        <v>230</v>
      </c>
    </row>
    <row r="4860" spans="1:9" x14ac:dyDescent="0.25">
      <c r="A4860" s="67">
        <v>41.1</v>
      </c>
      <c r="C4860" s="67" t="s">
        <v>215</v>
      </c>
      <c r="D4860" s="67" t="s">
        <v>229</v>
      </c>
      <c r="H4860" s="70">
        <v>44771</v>
      </c>
      <c r="I4860" s="69">
        <v>0.56736111111111109</v>
      </c>
    </row>
    <row r="4861" spans="1:9" x14ac:dyDescent="0.25">
      <c r="A4861" s="67" t="s">
        <v>228</v>
      </c>
      <c r="C4861" s="67" t="s">
        <v>227</v>
      </c>
      <c r="D4861" s="67" t="s">
        <v>226</v>
      </c>
      <c r="E4861" s="67">
        <v>589</v>
      </c>
      <c r="H4861" s="67" t="s">
        <v>225</v>
      </c>
      <c r="I4861" s="67">
        <v>85</v>
      </c>
    </row>
    <row r="4862" spans="1:9" x14ac:dyDescent="0.25">
      <c r="A4862" s="67" t="s">
        <v>884</v>
      </c>
    </row>
    <row r="4863" spans="1:9" x14ac:dyDescent="0.25">
      <c r="A4863" s="67" t="s">
        <v>223</v>
      </c>
      <c r="B4863" s="67" t="s">
        <v>222</v>
      </c>
      <c r="C4863" s="67" t="s">
        <v>221</v>
      </c>
      <c r="D4863" s="67" t="s">
        <v>220</v>
      </c>
      <c r="E4863" s="67" t="s">
        <v>219</v>
      </c>
      <c r="F4863" s="67" t="s">
        <v>217</v>
      </c>
      <c r="G4863" s="67" t="s">
        <v>218</v>
      </c>
      <c r="H4863" s="67" t="s">
        <v>217</v>
      </c>
      <c r="I4863" s="67" t="s">
        <v>216</v>
      </c>
    </row>
    <row r="4864" spans="1:9" x14ac:dyDescent="0.25">
      <c r="A4864" s="67" t="s">
        <v>215</v>
      </c>
      <c r="B4864" s="67" t="s">
        <v>214</v>
      </c>
      <c r="C4864" s="67" t="s">
        <v>213</v>
      </c>
      <c r="D4864" s="67" t="s">
        <v>212</v>
      </c>
      <c r="E4864" s="67" t="s">
        <v>211</v>
      </c>
      <c r="F4864" s="67" t="s">
        <v>210</v>
      </c>
      <c r="G4864" s="67" t="s">
        <v>209</v>
      </c>
      <c r="H4864" s="67" t="s">
        <v>208</v>
      </c>
      <c r="I4864" s="67" t="s">
        <v>207</v>
      </c>
    </row>
    <row r="4865" spans="1:9" x14ac:dyDescent="0.25">
      <c r="A4865" s="67" t="s">
        <v>206</v>
      </c>
      <c r="B4865" s="67" t="s">
        <v>205</v>
      </c>
      <c r="C4865" s="67" t="s">
        <v>204</v>
      </c>
      <c r="D4865" s="67" t="s">
        <v>203</v>
      </c>
      <c r="E4865" s="67" t="s">
        <v>202</v>
      </c>
      <c r="F4865" s="67" t="s">
        <v>201</v>
      </c>
      <c r="G4865" s="67" t="s">
        <v>200</v>
      </c>
      <c r="H4865" s="67" t="s">
        <v>199</v>
      </c>
    </row>
    <row r="4866" spans="1:9" x14ac:dyDescent="0.25">
      <c r="A4866" s="67" t="s">
        <v>2480</v>
      </c>
      <c r="B4866" s="67" t="s">
        <v>2479</v>
      </c>
      <c r="C4866" s="67">
        <v>0</v>
      </c>
      <c r="D4866" s="67">
        <v>0</v>
      </c>
      <c r="E4866" s="67">
        <v>83900.41</v>
      </c>
      <c r="F4866" s="67">
        <v>25250</v>
      </c>
      <c r="H4866" s="68">
        <v>40764</v>
      </c>
      <c r="I4866" s="67" t="s">
        <v>148</v>
      </c>
    </row>
    <row r="4867" spans="1:9" x14ac:dyDescent="0.25">
      <c r="B4867" s="67" t="s">
        <v>2479</v>
      </c>
      <c r="C4867" s="67">
        <v>0</v>
      </c>
      <c r="D4867" s="67">
        <v>0</v>
      </c>
      <c r="E4867" s="67">
        <v>83900.45</v>
      </c>
      <c r="H4867" s="67" t="s">
        <v>146</v>
      </c>
    </row>
    <row r="4869" spans="1:9" x14ac:dyDescent="0.25">
      <c r="A4869" s="67" t="s">
        <v>2478</v>
      </c>
      <c r="B4869" s="67" t="s">
        <v>2477</v>
      </c>
      <c r="C4869" s="67">
        <v>0</v>
      </c>
      <c r="D4869" s="67">
        <v>0</v>
      </c>
      <c r="E4869" s="67">
        <v>83900.41</v>
      </c>
      <c r="F4869" s="67">
        <v>25250</v>
      </c>
      <c r="H4869" s="68">
        <v>40764</v>
      </c>
      <c r="I4869" s="67" t="s">
        <v>148</v>
      </c>
    </row>
    <row r="4870" spans="1:9" x14ac:dyDescent="0.25">
      <c r="B4870" s="67" t="s">
        <v>2477</v>
      </c>
      <c r="C4870" s="67">
        <v>0</v>
      </c>
      <c r="D4870" s="67">
        <v>0</v>
      </c>
      <c r="E4870" s="67">
        <v>83900.45</v>
      </c>
      <c r="H4870" s="67" t="s">
        <v>146</v>
      </c>
    </row>
    <row r="4872" spans="1:9" x14ac:dyDescent="0.25">
      <c r="A4872" s="67" t="s">
        <v>2476</v>
      </c>
      <c r="B4872" s="67" t="s">
        <v>2475</v>
      </c>
      <c r="C4872" s="67">
        <v>0</v>
      </c>
      <c r="D4872" s="67">
        <v>0</v>
      </c>
      <c r="E4872" s="67">
        <v>83900.41</v>
      </c>
      <c r="F4872" s="67">
        <v>25250</v>
      </c>
      <c r="H4872" s="68">
        <v>40764</v>
      </c>
      <c r="I4872" s="67" t="s">
        <v>148</v>
      </c>
    </row>
    <row r="4873" spans="1:9" x14ac:dyDescent="0.25">
      <c r="B4873" s="67" t="s">
        <v>2475</v>
      </c>
      <c r="C4873" s="67">
        <v>0</v>
      </c>
      <c r="D4873" s="67">
        <v>0</v>
      </c>
      <c r="E4873" s="67">
        <v>83900.45</v>
      </c>
      <c r="H4873" s="67" t="s">
        <v>146</v>
      </c>
    </row>
    <row r="4875" spans="1:9" x14ac:dyDescent="0.25">
      <c r="A4875" s="67" t="s">
        <v>2474</v>
      </c>
      <c r="B4875" s="67" t="s">
        <v>2473</v>
      </c>
      <c r="C4875" s="67">
        <v>0</v>
      </c>
      <c r="D4875" s="67">
        <v>0</v>
      </c>
      <c r="E4875" s="67">
        <v>83900.41</v>
      </c>
      <c r="F4875" s="67">
        <v>25250</v>
      </c>
      <c r="H4875" s="68">
        <v>40764</v>
      </c>
      <c r="I4875" s="67" t="s">
        <v>148</v>
      </c>
    </row>
    <row r="4876" spans="1:9" x14ac:dyDescent="0.25">
      <c r="B4876" s="67" t="s">
        <v>2473</v>
      </c>
      <c r="C4876" s="67">
        <v>0</v>
      </c>
      <c r="D4876" s="67">
        <v>0</v>
      </c>
      <c r="E4876" s="67">
        <v>83900.45</v>
      </c>
      <c r="H4876" s="67" t="s">
        <v>146</v>
      </c>
    </row>
    <row r="4878" spans="1:9" x14ac:dyDescent="0.25">
      <c r="A4878" s="67" t="s">
        <v>2472</v>
      </c>
      <c r="B4878" s="67" t="s">
        <v>2471</v>
      </c>
      <c r="C4878" s="67">
        <v>0</v>
      </c>
      <c r="D4878" s="67">
        <v>0</v>
      </c>
      <c r="E4878" s="67">
        <v>83900.41</v>
      </c>
      <c r="F4878" s="67">
        <v>25250</v>
      </c>
      <c r="H4878" s="68">
        <v>40764</v>
      </c>
      <c r="I4878" s="67" t="s">
        <v>148</v>
      </c>
    </row>
    <row r="4879" spans="1:9" x14ac:dyDescent="0.25">
      <c r="B4879" s="67" t="s">
        <v>2471</v>
      </c>
      <c r="C4879" s="67">
        <v>0</v>
      </c>
      <c r="D4879" s="67">
        <v>0</v>
      </c>
      <c r="E4879" s="67">
        <v>83900.45</v>
      </c>
      <c r="H4879" s="67" t="s">
        <v>146</v>
      </c>
    </row>
    <row r="4881" spans="1:9" x14ac:dyDescent="0.25">
      <c r="A4881" s="67" t="s">
        <v>2470</v>
      </c>
      <c r="B4881" s="67" t="s">
        <v>2469</v>
      </c>
      <c r="C4881" s="67">
        <v>0</v>
      </c>
      <c r="D4881" s="67">
        <v>0</v>
      </c>
      <c r="E4881" s="67">
        <v>83900.41</v>
      </c>
      <c r="F4881" s="67">
        <v>25250</v>
      </c>
      <c r="H4881" s="68">
        <v>40764</v>
      </c>
      <c r="I4881" s="67" t="s">
        <v>148</v>
      </c>
    </row>
    <row r="4882" spans="1:9" x14ac:dyDescent="0.25">
      <c r="B4882" s="67" t="s">
        <v>2469</v>
      </c>
      <c r="C4882" s="67">
        <v>0</v>
      </c>
      <c r="D4882" s="67">
        <v>0</v>
      </c>
      <c r="E4882" s="67">
        <v>83900.45</v>
      </c>
      <c r="H4882" s="67" t="s">
        <v>146</v>
      </c>
    </row>
    <row r="4884" spans="1:9" x14ac:dyDescent="0.25">
      <c r="A4884" s="67" t="s">
        <v>2468</v>
      </c>
      <c r="B4884" s="67" t="s">
        <v>2467</v>
      </c>
      <c r="C4884" s="67">
        <v>0</v>
      </c>
      <c r="D4884" s="67">
        <v>0</v>
      </c>
      <c r="E4884" s="67">
        <v>83900.41</v>
      </c>
      <c r="F4884" s="67">
        <v>25250</v>
      </c>
      <c r="H4884" s="68">
        <v>40764</v>
      </c>
      <c r="I4884" s="67" t="s">
        <v>148</v>
      </c>
    </row>
    <row r="4885" spans="1:9" x14ac:dyDescent="0.25">
      <c r="B4885" s="67" t="s">
        <v>2467</v>
      </c>
      <c r="C4885" s="67">
        <v>0</v>
      </c>
      <c r="D4885" s="67">
        <v>0</v>
      </c>
      <c r="E4885" s="67">
        <v>83900.45</v>
      </c>
      <c r="H4885" s="67" t="s">
        <v>146</v>
      </c>
    </row>
    <row r="4887" spans="1:9" x14ac:dyDescent="0.25">
      <c r="A4887" s="67" t="s">
        <v>2466</v>
      </c>
      <c r="B4887" s="67" t="s">
        <v>2465</v>
      </c>
      <c r="C4887" s="67">
        <v>0</v>
      </c>
      <c r="D4887" s="67">
        <v>0</v>
      </c>
      <c r="E4887" s="67">
        <v>83900.41</v>
      </c>
      <c r="F4887" s="67">
        <v>25250</v>
      </c>
      <c r="H4887" s="68">
        <v>40764</v>
      </c>
      <c r="I4887" s="67" t="s">
        <v>148</v>
      </c>
    </row>
    <row r="4888" spans="1:9" x14ac:dyDescent="0.25">
      <c r="B4888" s="67" t="s">
        <v>2465</v>
      </c>
      <c r="C4888" s="67">
        <v>0</v>
      </c>
      <c r="D4888" s="67">
        <v>0</v>
      </c>
      <c r="E4888" s="67">
        <v>83900.45</v>
      </c>
      <c r="H4888" s="67" t="s">
        <v>146</v>
      </c>
    </row>
    <row r="4890" spans="1:9" x14ac:dyDescent="0.25">
      <c r="A4890" s="67" t="s">
        <v>2464</v>
      </c>
      <c r="B4890" s="67" t="s">
        <v>2463</v>
      </c>
      <c r="C4890" s="67">
        <v>0</v>
      </c>
      <c r="D4890" s="67">
        <v>0</v>
      </c>
      <c r="E4890" s="67">
        <v>83900.41</v>
      </c>
      <c r="F4890" s="67">
        <v>25250</v>
      </c>
      <c r="H4890" s="68">
        <v>40764</v>
      </c>
      <c r="I4890" s="67" t="s">
        <v>148</v>
      </c>
    </row>
    <row r="4891" spans="1:9" x14ac:dyDescent="0.25">
      <c r="B4891" s="67" t="s">
        <v>2463</v>
      </c>
      <c r="C4891" s="67">
        <v>0</v>
      </c>
      <c r="D4891" s="67">
        <v>0</v>
      </c>
      <c r="E4891" s="67">
        <v>83900.45</v>
      </c>
      <c r="H4891" s="67" t="s">
        <v>146</v>
      </c>
    </row>
    <row r="4893" spans="1:9" x14ac:dyDescent="0.25">
      <c r="A4893" s="67" t="s">
        <v>2462</v>
      </c>
      <c r="B4893" s="67" t="s">
        <v>2461</v>
      </c>
      <c r="C4893" s="67">
        <v>0</v>
      </c>
      <c r="D4893" s="67">
        <v>0</v>
      </c>
      <c r="E4893" s="67">
        <v>83900.41</v>
      </c>
      <c r="F4893" s="67">
        <v>25250</v>
      </c>
      <c r="H4893" s="68">
        <v>40764</v>
      </c>
      <c r="I4893" s="67" t="s">
        <v>148</v>
      </c>
    </row>
    <row r="4894" spans="1:9" x14ac:dyDescent="0.25">
      <c r="B4894" s="67" t="s">
        <v>2461</v>
      </c>
      <c r="C4894" s="67">
        <v>0</v>
      </c>
      <c r="D4894" s="67">
        <v>0</v>
      </c>
      <c r="E4894" s="67">
        <v>83900.45</v>
      </c>
      <c r="H4894" s="67" t="s">
        <v>146</v>
      </c>
    </row>
    <row r="4896" spans="1:9" x14ac:dyDescent="0.25">
      <c r="A4896" s="67" t="s">
        <v>2460</v>
      </c>
      <c r="B4896" s="67" t="s">
        <v>2459</v>
      </c>
      <c r="C4896" s="67">
        <v>0</v>
      </c>
      <c r="D4896" s="67">
        <v>0</v>
      </c>
      <c r="E4896" s="67">
        <v>83900.41</v>
      </c>
      <c r="F4896" s="67">
        <v>25250</v>
      </c>
      <c r="H4896" s="68">
        <v>40764</v>
      </c>
      <c r="I4896" s="67" t="s">
        <v>148</v>
      </c>
    </row>
    <row r="4897" spans="1:9" x14ac:dyDescent="0.25">
      <c r="B4897" s="67" t="s">
        <v>2459</v>
      </c>
      <c r="C4897" s="67">
        <v>0</v>
      </c>
      <c r="D4897" s="67">
        <v>0</v>
      </c>
      <c r="E4897" s="67">
        <v>83900.45</v>
      </c>
      <c r="H4897" s="67" t="s">
        <v>146</v>
      </c>
    </row>
    <row r="4899" spans="1:9" x14ac:dyDescent="0.25">
      <c r="A4899" s="67" t="s">
        <v>2458</v>
      </c>
      <c r="B4899" s="67" t="s">
        <v>2457</v>
      </c>
      <c r="C4899" s="67">
        <v>0</v>
      </c>
      <c r="D4899" s="67">
        <v>0</v>
      </c>
      <c r="E4899" s="67">
        <v>83900.41</v>
      </c>
      <c r="F4899" s="67">
        <v>25250</v>
      </c>
      <c r="H4899" s="68">
        <v>40764</v>
      </c>
      <c r="I4899" s="67" t="s">
        <v>148</v>
      </c>
    </row>
    <row r="4900" spans="1:9" x14ac:dyDescent="0.25">
      <c r="B4900" s="67" t="s">
        <v>2457</v>
      </c>
      <c r="C4900" s="67">
        <v>0</v>
      </c>
      <c r="D4900" s="67">
        <v>0</v>
      </c>
      <c r="E4900" s="67">
        <v>83900.45</v>
      </c>
      <c r="H4900" s="67" t="s">
        <v>146</v>
      </c>
    </row>
    <row r="4902" spans="1:9" x14ac:dyDescent="0.25">
      <c r="A4902" s="67" t="s">
        <v>2456</v>
      </c>
      <c r="B4902" s="67" t="s">
        <v>2455</v>
      </c>
      <c r="C4902" s="67">
        <v>0</v>
      </c>
      <c r="D4902" s="67">
        <v>0</v>
      </c>
      <c r="E4902" s="67">
        <v>83900.41</v>
      </c>
      <c r="F4902" s="67">
        <v>25250</v>
      </c>
      <c r="H4902" s="68">
        <v>40764</v>
      </c>
      <c r="I4902" s="67" t="s">
        <v>148</v>
      </c>
    </row>
    <row r="4903" spans="1:9" x14ac:dyDescent="0.25">
      <c r="B4903" s="67" t="s">
        <v>2455</v>
      </c>
      <c r="C4903" s="67">
        <v>0</v>
      </c>
      <c r="D4903" s="67">
        <v>0</v>
      </c>
      <c r="E4903" s="67">
        <v>83900.45</v>
      </c>
      <c r="H4903" s="67" t="s">
        <v>146</v>
      </c>
    </row>
    <row r="4905" spans="1:9" x14ac:dyDescent="0.25">
      <c r="A4905" s="67" t="s">
        <v>2454</v>
      </c>
      <c r="B4905" s="67" t="s">
        <v>2453</v>
      </c>
      <c r="C4905" s="67">
        <v>0</v>
      </c>
      <c r="D4905" s="67">
        <v>0</v>
      </c>
      <c r="E4905" s="67">
        <v>83900.41</v>
      </c>
      <c r="F4905" s="67">
        <v>25250</v>
      </c>
      <c r="H4905" s="68">
        <v>40764</v>
      </c>
      <c r="I4905" s="67" t="s">
        <v>148</v>
      </c>
    </row>
    <row r="4906" spans="1:9" x14ac:dyDescent="0.25">
      <c r="B4906" s="67" t="s">
        <v>2453</v>
      </c>
      <c r="C4906" s="67">
        <v>0</v>
      </c>
      <c r="D4906" s="67">
        <v>0</v>
      </c>
      <c r="E4906" s="67">
        <v>83900.45</v>
      </c>
      <c r="H4906" s="67" t="s">
        <v>146</v>
      </c>
    </row>
    <row r="4908" spans="1:9" x14ac:dyDescent="0.25">
      <c r="A4908" s="67" t="s">
        <v>2452</v>
      </c>
      <c r="B4908" s="67" t="s">
        <v>2451</v>
      </c>
      <c r="C4908" s="67">
        <v>0</v>
      </c>
      <c r="D4908" s="67">
        <v>0</v>
      </c>
      <c r="E4908" s="67">
        <v>83900.41</v>
      </c>
      <c r="F4908" s="67">
        <v>25250</v>
      </c>
      <c r="H4908" s="68">
        <v>40764</v>
      </c>
      <c r="I4908" s="67" t="s">
        <v>148</v>
      </c>
    </row>
    <row r="4909" spans="1:9" x14ac:dyDescent="0.25">
      <c r="B4909" s="67" t="s">
        <v>2451</v>
      </c>
      <c r="C4909" s="67">
        <v>0</v>
      </c>
      <c r="D4909" s="67">
        <v>0</v>
      </c>
      <c r="E4909" s="67">
        <v>83900.45</v>
      </c>
      <c r="H4909" s="67" t="s">
        <v>146</v>
      </c>
    </row>
    <row r="4911" spans="1:9" x14ac:dyDescent="0.25">
      <c r="A4911" s="67" t="s">
        <v>2450</v>
      </c>
      <c r="B4911" s="67" t="s">
        <v>2449</v>
      </c>
      <c r="C4911" s="67">
        <v>0</v>
      </c>
      <c r="D4911" s="67">
        <v>0</v>
      </c>
      <c r="E4911" s="67">
        <v>83900.41</v>
      </c>
      <c r="F4911" s="67">
        <v>25250</v>
      </c>
      <c r="H4911" s="68">
        <v>40764</v>
      </c>
      <c r="I4911" s="67" t="s">
        <v>148</v>
      </c>
    </row>
    <row r="4912" spans="1:9" x14ac:dyDescent="0.25">
      <c r="B4912" s="67" t="s">
        <v>2449</v>
      </c>
      <c r="C4912" s="67">
        <v>0</v>
      </c>
      <c r="D4912" s="67">
        <v>0</v>
      </c>
      <c r="E4912" s="67">
        <v>83900.45</v>
      </c>
      <c r="H4912" s="67" t="s">
        <v>146</v>
      </c>
    </row>
    <row r="4914" spans="1:9" x14ac:dyDescent="0.25">
      <c r="A4914" s="67" t="s">
        <v>2448</v>
      </c>
      <c r="B4914" s="67" t="s">
        <v>2447</v>
      </c>
      <c r="C4914" s="67">
        <v>0</v>
      </c>
      <c r="D4914" s="67">
        <v>0</v>
      </c>
      <c r="E4914" s="67">
        <v>83900.41</v>
      </c>
      <c r="F4914" s="67">
        <v>25250</v>
      </c>
      <c r="H4914" s="68">
        <v>40764</v>
      </c>
      <c r="I4914" s="67" t="s">
        <v>148</v>
      </c>
    </row>
    <row r="4915" spans="1:9" x14ac:dyDescent="0.25">
      <c r="B4915" s="67" t="s">
        <v>2447</v>
      </c>
      <c r="C4915" s="67">
        <v>0</v>
      </c>
      <c r="D4915" s="67">
        <v>0</v>
      </c>
      <c r="E4915" s="67">
        <v>83900.45</v>
      </c>
      <c r="H4915" s="67" t="s">
        <v>146</v>
      </c>
    </row>
    <row r="4916" spans="1:9" x14ac:dyDescent="0.25">
      <c r="A4916" s="67" t="s">
        <v>233</v>
      </c>
    </row>
    <row r="4918" spans="1:9" x14ac:dyDescent="0.25">
      <c r="A4918" s="67" t="s">
        <v>232</v>
      </c>
      <c r="D4918" s="67" t="s">
        <v>231</v>
      </c>
      <c r="H4918" s="67" t="s">
        <v>148</v>
      </c>
      <c r="I4918" s="67" t="s">
        <v>230</v>
      </c>
    </row>
    <row r="4919" spans="1:9" x14ac:dyDescent="0.25">
      <c r="A4919" s="67">
        <v>41.1</v>
      </c>
      <c r="C4919" s="67" t="s">
        <v>215</v>
      </c>
      <c r="D4919" s="67" t="s">
        <v>229</v>
      </c>
      <c r="H4919" s="70">
        <v>44771</v>
      </c>
      <c r="I4919" s="69">
        <v>0.56736111111111109</v>
      </c>
    </row>
    <row r="4920" spans="1:9" x14ac:dyDescent="0.25">
      <c r="A4920" s="67" t="s">
        <v>228</v>
      </c>
      <c r="C4920" s="67" t="s">
        <v>227</v>
      </c>
      <c r="D4920" s="67" t="s">
        <v>226</v>
      </c>
      <c r="E4920" s="67">
        <v>589</v>
      </c>
      <c r="H4920" s="67" t="s">
        <v>225</v>
      </c>
      <c r="I4920" s="67">
        <v>86</v>
      </c>
    </row>
    <row r="4921" spans="1:9" x14ac:dyDescent="0.25">
      <c r="A4921" s="67" t="s">
        <v>884</v>
      </c>
    </row>
    <row r="4922" spans="1:9" x14ac:dyDescent="0.25">
      <c r="A4922" s="67" t="s">
        <v>223</v>
      </c>
      <c r="B4922" s="67" t="s">
        <v>222</v>
      </c>
      <c r="C4922" s="67" t="s">
        <v>221</v>
      </c>
      <c r="D4922" s="67" t="s">
        <v>220</v>
      </c>
      <c r="E4922" s="67" t="s">
        <v>219</v>
      </c>
      <c r="F4922" s="67" t="s">
        <v>217</v>
      </c>
      <c r="G4922" s="67" t="s">
        <v>218</v>
      </c>
      <c r="H4922" s="67" t="s">
        <v>217</v>
      </c>
      <c r="I4922" s="67" t="s">
        <v>216</v>
      </c>
    </row>
    <row r="4923" spans="1:9" x14ac:dyDescent="0.25">
      <c r="A4923" s="67" t="s">
        <v>215</v>
      </c>
      <c r="B4923" s="67" t="s">
        <v>214</v>
      </c>
      <c r="C4923" s="67" t="s">
        <v>213</v>
      </c>
      <c r="D4923" s="67" t="s">
        <v>212</v>
      </c>
      <c r="E4923" s="67" t="s">
        <v>211</v>
      </c>
      <c r="F4923" s="67" t="s">
        <v>210</v>
      </c>
      <c r="G4923" s="67" t="s">
        <v>209</v>
      </c>
      <c r="H4923" s="67" t="s">
        <v>208</v>
      </c>
      <c r="I4923" s="67" t="s">
        <v>207</v>
      </c>
    </row>
    <row r="4924" spans="1:9" x14ac:dyDescent="0.25">
      <c r="A4924" s="67" t="s">
        <v>206</v>
      </c>
      <c r="B4924" s="67" t="s">
        <v>205</v>
      </c>
      <c r="C4924" s="67" t="s">
        <v>204</v>
      </c>
      <c r="D4924" s="67" t="s">
        <v>203</v>
      </c>
      <c r="E4924" s="67" t="s">
        <v>202</v>
      </c>
      <c r="F4924" s="67" t="s">
        <v>201</v>
      </c>
      <c r="G4924" s="67" t="s">
        <v>200</v>
      </c>
      <c r="H4924" s="67" t="s">
        <v>199</v>
      </c>
    </row>
    <row r="4925" spans="1:9" x14ac:dyDescent="0.25">
      <c r="A4925" s="67" t="s">
        <v>2446</v>
      </c>
      <c r="B4925" s="67" t="s">
        <v>2445</v>
      </c>
      <c r="C4925" s="67">
        <v>0</v>
      </c>
      <c r="D4925" s="67">
        <v>0</v>
      </c>
      <c r="E4925" s="67">
        <v>83900.41</v>
      </c>
      <c r="F4925" s="67">
        <v>25250</v>
      </c>
      <c r="H4925" s="68">
        <v>40764</v>
      </c>
      <c r="I4925" s="67" t="s">
        <v>148</v>
      </c>
    </row>
    <row r="4926" spans="1:9" x14ac:dyDescent="0.25">
      <c r="B4926" s="67" t="s">
        <v>2445</v>
      </c>
      <c r="C4926" s="67">
        <v>0</v>
      </c>
      <c r="D4926" s="67">
        <v>0</v>
      </c>
      <c r="E4926" s="67">
        <v>83900.45</v>
      </c>
      <c r="H4926" s="67" t="s">
        <v>146</v>
      </c>
    </row>
    <row r="4928" spans="1:9" x14ac:dyDescent="0.25">
      <c r="A4928" s="67" t="s">
        <v>2444</v>
      </c>
      <c r="B4928" s="67" t="s">
        <v>2443</v>
      </c>
      <c r="C4928" s="67">
        <v>0</v>
      </c>
      <c r="D4928" s="67">
        <v>0</v>
      </c>
      <c r="E4928" s="67">
        <v>83900.41</v>
      </c>
      <c r="F4928" s="67">
        <v>25250</v>
      </c>
      <c r="H4928" s="68">
        <v>40764</v>
      </c>
      <c r="I4928" s="67" t="s">
        <v>148</v>
      </c>
    </row>
    <row r="4929" spans="1:9" x14ac:dyDescent="0.25">
      <c r="B4929" s="67" t="s">
        <v>2443</v>
      </c>
      <c r="C4929" s="67">
        <v>0</v>
      </c>
      <c r="D4929" s="67">
        <v>0</v>
      </c>
      <c r="E4929" s="67">
        <v>83900.45</v>
      </c>
      <c r="H4929" s="67" t="s">
        <v>146</v>
      </c>
    </row>
    <row r="4931" spans="1:9" x14ac:dyDescent="0.25">
      <c r="A4931" s="67" t="s">
        <v>2442</v>
      </c>
      <c r="B4931" s="67" t="s">
        <v>2441</v>
      </c>
      <c r="C4931" s="67">
        <v>0</v>
      </c>
      <c r="D4931" s="67">
        <v>0</v>
      </c>
      <c r="E4931" s="67">
        <v>83900.41</v>
      </c>
      <c r="F4931" s="67">
        <v>25250</v>
      </c>
      <c r="H4931" s="68">
        <v>40764</v>
      </c>
      <c r="I4931" s="67" t="s">
        <v>148</v>
      </c>
    </row>
    <row r="4932" spans="1:9" x14ac:dyDescent="0.25">
      <c r="B4932" s="67" t="s">
        <v>2441</v>
      </c>
      <c r="C4932" s="67">
        <v>0</v>
      </c>
      <c r="D4932" s="67">
        <v>0</v>
      </c>
      <c r="E4932" s="67">
        <v>83900.45</v>
      </c>
      <c r="H4932" s="67" t="s">
        <v>146</v>
      </c>
    </row>
    <row r="4934" spans="1:9" x14ac:dyDescent="0.25">
      <c r="A4934" s="67" t="s">
        <v>2440</v>
      </c>
      <c r="B4934" s="67" t="s">
        <v>2439</v>
      </c>
      <c r="C4934" s="67">
        <v>0</v>
      </c>
      <c r="D4934" s="67">
        <v>0</v>
      </c>
      <c r="E4934" s="67">
        <v>83900.41</v>
      </c>
      <c r="F4934" s="67">
        <v>25250</v>
      </c>
      <c r="H4934" s="68">
        <v>40764</v>
      </c>
      <c r="I4934" s="67" t="s">
        <v>148</v>
      </c>
    </row>
    <row r="4935" spans="1:9" x14ac:dyDescent="0.25">
      <c r="B4935" s="67" t="s">
        <v>2439</v>
      </c>
      <c r="C4935" s="67">
        <v>0</v>
      </c>
      <c r="D4935" s="67">
        <v>0</v>
      </c>
      <c r="E4935" s="67">
        <v>83900.45</v>
      </c>
      <c r="H4935" s="67" t="s">
        <v>146</v>
      </c>
    </row>
    <row r="4937" spans="1:9" x14ac:dyDescent="0.25">
      <c r="A4937" s="67" t="s">
        <v>2438</v>
      </c>
      <c r="B4937" s="67" t="s">
        <v>2437</v>
      </c>
      <c r="C4937" s="67">
        <v>0</v>
      </c>
      <c r="D4937" s="67">
        <v>0</v>
      </c>
      <c r="E4937" s="67">
        <v>83900.41</v>
      </c>
      <c r="F4937" s="67">
        <v>25250</v>
      </c>
      <c r="H4937" s="68">
        <v>40764</v>
      </c>
      <c r="I4937" s="67" t="s">
        <v>148</v>
      </c>
    </row>
    <row r="4938" spans="1:9" x14ac:dyDescent="0.25">
      <c r="B4938" s="67" t="s">
        <v>2437</v>
      </c>
      <c r="C4938" s="67">
        <v>0</v>
      </c>
      <c r="D4938" s="67">
        <v>0</v>
      </c>
      <c r="E4938" s="67">
        <v>83900.45</v>
      </c>
      <c r="H4938" s="67" t="s">
        <v>146</v>
      </c>
    </row>
    <row r="4940" spans="1:9" x14ac:dyDescent="0.25">
      <c r="A4940" s="67" t="s">
        <v>2436</v>
      </c>
      <c r="B4940" s="67" t="s">
        <v>2435</v>
      </c>
      <c r="C4940" s="67">
        <v>0</v>
      </c>
      <c r="D4940" s="67">
        <v>0</v>
      </c>
      <c r="E4940" s="67">
        <v>83900.41</v>
      </c>
      <c r="F4940" s="67">
        <v>25250</v>
      </c>
      <c r="H4940" s="68">
        <v>40764</v>
      </c>
      <c r="I4940" s="67" t="s">
        <v>148</v>
      </c>
    </row>
    <row r="4941" spans="1:9" x14ac:dyDescent="0.25">
      <c r="B4941" s="67" t="s">
        <v>2435</v>
      </c>
      <c r="C4941" s="67">
        <v>0</v>
      </c>
      <c r="D4941" s="67">
        <v>0</v>
      </c>
      <c r="E4941" s="67">
        <v>83900.45</v>
      </c>
      <c r="H4941" s="67" t="s">
        <v>146</v>
      </c>
    </row>
    <row r="4943" spans="1:9" x14ac:dyDescent="0.25">
      <c r="A4943" s="67" t="s">
        <v>2434</v>
      </c>
      <c r="B4943" s="67" t="s">
        <v>2433</v>
      </c>
      <c r="C4943" s="67">
        <v>0</v>
      </c>
      <c r="D4943" s="67">
        <v>0</v>
      </c>
      <c r="E4943" s="67">
        <v>83900.41</v>
      </c>
      <c r="F4943" s="67">
        <v>25250</v>
      </c>
      <c r="H4943" s="68">
        <v>40764</v>
      </c>
      <c r="I4943" s="67" t="s">
        <v>148</v>
      </c>
    </row>
    <row r="4944" spans="1:9" x14ac:dyDescent="0.25">
      <c r="B4944" s="67" t="s">
        <v>2433</v>
      </c>
      <c r="C4944" s="67">
        <v>0</v>
      </c>
      <c r="D4944" s="67">
        <v>0</v>
      </c>
      <c r="E4944" s="67">
        <v>83900.45</v>
      </c>
      <c r="H4944" s="67" t="s">
        <v>146</v>
      </c>
    </row>
    <row r="4946" spans="1:9" x14ac:dyDescent="0.25">
      <c r="A4946" s="67" t="s">
        <v>2432</v>
      </c>
      <c r="B4946" s="67" t="s">
        <v>2431</v>
      </c>
      <c r="C4946" s="67">
        <v>0</v>
      </c>
      <c r="D4946" s="67">
        <v>0</v>
      </c>
      <c r="E4946" s="67">
        <v>83900.41</v>
      </c>
      <c r="F4946" s="67">
        <v>25250</v>
      </c>
      <c r="H4946" s="68">
        <v>40764</v>
      </c>
      <c r="I4946" s="67" t="s">
        <v>148</v>
      </c>
    </row>
    <row r="4947" spans="1:9" x14ac:dyDescent="0.25">
      <c r="B4947" s="67" t="s">
        <v>2431</v>
      </c>
      <c r="C4947" s="67">
        <v>0</v>
      </c>
      <c r="D4947" s="67">
        <v>0</v>
      </c>
      <c r="E4947" s="67">
        <v>83900.45</v>
      </c>
      <c r="H4947" s="67" t="s">
        <v>146</v>
      </c>
    </row>
    <row r="4949" spans="1:9" x14ac:dyDescent="0.25">
      <c r="A4949" s="67" t="s">
        <v>2430</v>
      </c>
      <c r="B4949" s="67" t="s">
        <v>2429</v>
      </c>
      <c r="C4949" s="67">
        <v>0</v>
      </c>
      <c r="D4949" s="67">
        <v>0</v>
      </c>
      <c r="E4949" s="67">
        <v>83900.41</v>
      </c>
      <c r="F4949" s="67">
        <v>25250</v>
      </c>
      <c r="H4949" s="68">
        <v>40764</v>
      </c>
      <c r="I4949" s="67" t="s">
        <v>148</v>
      </c>
    </row>
    <row r="4950" spans="1:9" x14ac:dyDescent="0.25">
      <c r="B4950" s="67" t="s">
        <v>2429</v>
      </c>
      <c r="C4950" s="67">
        <v>0</v>
      </c>
      <c r="D4950" s="67">
        <v>0</v>
      </c>
      <c r="E4950" s="67">
        <v>83900.45</v>
      </c>
      <c r="H4950" s="67" t="s">
        <v>146</v>
      </c>
    </row>
    <row r="4952" spans="1:9" x14ac:dyDescent="0.25">
      <c r="A4952" s="67" t="s">
        <v>2428</v>
      </c>
      <c r="B4952" s="67" t="s">
        <v>2427</v>
      </c>
      <c r="C4952" s="67">
        <v>0</v>
      </c>
      <c r="D4952" s="67">
        <v>0</v>
      </c>
      <c r="E4952" s="67">
        <v>83900.41</v>
      </c>
      <c r="F4952" s="67">
        <v>25250</v>
      </c>
      <c r="H4952" s="68">
        <v>40764</v>
      </c>
      <c r="I4952" s="67" t="s">
        <v>148</v>
      </c>
    </row>
    <row r="4953" spans="1:9" x14ac:dyDescent="0.25">
      <c r="B4953" s="67" t="s">
        <v>2427</v>
      </c>
      <c r="C4953" s="67">
        <v>0</v>
      </c>
      <c r="D4953" s="67">
        <v>0</v>
      </c>
      <c r="E4953" s="67">
        <v>83900.45</v>
      </c>
      <c r="H4953" s="67" t="s">
        <v>146</v>
      </c>
    </row>
    <row r="4955" spans="1:9" x14ac:dyDescent="0.25">
      <c r="A4955" s="67" t="s">
        <v>2426</v>
      </c>
      <c r="B4955" s="67" t="s">
        <v>2425</v>
      </c>
      <c r="C4955" s="67">
        <v>0</v>
      </c>
      <c r="D4955" s="67">
        <v>0</v>
      </c>
      <c r="E4955" s="67">
        <v>83900.41</v>
      </c>
      <c r="F4955" s="67">
        <v>25250</v>
      </c>
      <c r="H4955" s="68">
        <v>40764</v>
      </c>
      <c r="I4955" s="67" t="s">
        <v>148</v>
      </c>
    </row>
    <row r="4956" spans="1:9" x14ac:dyDescent="0.25">
      <c r="B4956" s="67" t="s">
        <v>2425</v>
      </c>
      <c r="C4956" s="67">
        <v>0</v>
      </c>
      <c r="D4956" s="67">
        <v>0</v>
      </c>
      <c r="E4956" s="67">
        <v>83900.45</v>
      </c>
      <c r="H4956" s="67" t="s">
        <v>146</v>
      </c>
    </row>
    <row r="4958" spans="1:9" x14ac:dyDescent="0.25">
      <c r="A4958" s="67" t="s">
        <v>2424</v>
      </c>
      <c r="B4958" s="67" t="s">
        <v>2423</v>
      </c>
      <c r="C4958" s="67">
        <v>0</v>
      </c>
      <c r="D4958" s="67">
        <v>0</v>
      </c>
      <c r="E4958" s="67">
        <v>83900.41</v>
      </c>
      <c r="F4958" s="67">
        <v>25250</v>
      </c>
      <c r="H4958" s="68">
        <v>40764</v>
      </c>
      <c r="I4958" s="67" t="s">
        <v>148</v>
      </c>
    </row>
    <row r="4959" spans="1:9" x14ac:dyDescent="0.25">
      <c r="B4959" s="67" t="s">
        <v>2423</v>
      </c>
      <c r="C4959" s="67">
        <v>0</v>
      </c>
      <c r="D4959" s="67">
        <v>0</v>
      </c>
      <c r="E4959" s="67">
        <v>83900.45</v>
      </c>
      <c r="H4959" s="67" t="s">
        <v>146</v>
      </c>
    </row>
    <row r="4961" spans="1:9" x14ac:dyDescent="0.25">
      <c r="A4961" s="67" t="s">
        <v>2422</v>
      </c>
      <c r="B4961" s="67" t="s">
        <v>2421</v>
      </c>
      <c r="C4961" s="67">
        <v>0</v>
      </c>
      <c r="D4961" s="67">
        <v>0</v>
      </c>
      <c r="E4961" s="67">
        <v>83900.41</v>
      </c>
      <c r="F4961" s="67">
        <v>25250</v>
      </c>
      <c r="H4961" s="68">
        <v>40764</v>
      </c>
      <c r="I4961" s="67" t="s">
        <v>148</v>
      </c>
    </row>
    <row r="4962" spans="1:9" x14ac:dyDescent="0.25">
      <c r="B4962" s="67" t="s">
        <v>2421</v>
      </c>
      <c r="C4962" s="67">
        <v>0</v>
      </c>
      <c r="D4962" s="67">
        <v>0</v>
      </c>
      <c r="E4962" s="67">
        <v>83900.45</v>
      </c>
      <c r="H4962" s="67" t="s">
        <v>146</v>
      </c>
    </row>
    <row r="4964" spans="1:9" x14ac:dyDescent="0.25">
      <c r="A4964" s="67" t="s">
        <v>2420</v>
      </c>
      <c r="B4964" s="67" t="s">
        <v>2419</v>
      </c>
      <c r="C4964" s="67">
        <v>0</v>
      </c>
      <c r="D4964" s="67">
        <v>0</v>
      </c>
      <c r="E4964" s="67">
        <v>83900.41</v>
      </c>
      <c r="F4964" s="67">
        <v>25250</v>
      </c>
      <c r="H4964" s="68">
        <v>40764</v>
      </c>
      <c r="I4964" s="67" t="s">
        <v>148</v>
      </c>
    </row>
    <row r="4965" spans="1:9" x14ac:dyDescent="0.25">
      <c r="B4965" s="67" t="s">
        <v>2419</v>
      </c>
      <c r="C4965" s="67">
        <v>0</v>
      </c>
      <c r="D4965" s="67">
        <v>0</v>
      </c>
      <c r="E4965" s="67">
        <v>83900.45</v>
      </c>
      <c r="H4965" s="67" t="s">
        <v>146</v>
      </c>
    </row>
    <row r="4967" spans="1:9" x14ac:dyDescent="0.25">
      <c r="A4967" s="67" t="s">
        <v>2418</v>
      </c>
      <c r="B4967" s="67" t="s">
        <v>2417</v>
      </c>
      <c r="C4967" s="67">
        <v>0</v>
      </c>
      <c r="D4967" s="67">
        <v>0</v>
      </c>
      <c r="E4967" s="67">
        <v>83900.41</v>
      </c>
      <c r="F4967" s="67">
        <v>25250</v>
      </c>
      <c r="H4967" s="68">
        <v>40764</v>
      </c>
      <c r="I4967" s="67" t="s">
        <v>148</v>
      </c>
    </row>
    <row r="4968" spans="1:9" x14ac:dyDescent="0.25">
      <c r="B4968" s="67" t="s">
        <v>2417</v>
      </c>
      <c r="C4968" s="67">
        <v>0</v>
      </c>
      <c r="D4968" s="67">
        <v>0</v>
      </c>
      <c r="E4968" s="67">
        <v>83900.45</v>
      </c>
      <c r="H4968" s="67" t="s">
        <v>146</v>
      </c>
    </row>
    <row r="4970" spans="1:9" x14ac:dyDescent="0.25">
      <c r="A4970" s="67" t="s">
        <v>2416</v>
      </c>
      <c r="B4970" s="67" t="s">
        <v>2415</v>
      </c>
      <c r="C4970" s="67">
        <v>0</v>
      </c>
      <c r="D4970" s="67">
        <v>0</v>
      </c>
      <c r="E4970" s="67">
        <v>83900.41</v>
      </c>
      <c r="F4970" s="67">
        <v>25250</v>
      </c>
      <c r="H4970" s="68">
        <v>40764</v>
      </c>
      <c r="I4970" s="67" t="s">
        <v>148</v>
      </c>
    </row>
    <row r="4971" spans="1:9" x14ac:dyDescent="0.25">
      <c r="B4971" s="67" t="s">
        <v>2415</v>
      </c>
      <c r="C4971" s="67">
        <v>0</v>
      </c>
      <c r="D4971" s="67">
        <v>0</v>
      </c>
      <c r="E4971" s="67">
        <v>83900.45</v>
      </c>
      <c r="H4971" s="67" t="s">
        <v>146</v>
      </c>
    </row>
    <row r="4973" spans="1:9" x14ac:dyDescent="0.25">
      <c r="A4973" s="67" t="s">
        <v>2414</v>
      </c>
      <c r="B4973" s="67" t="s">
        <v>2413</v>
      </c>
      <c r="C4973" s="67">
        <v>0</v>
      </c>
      <c r="D4973" s="67">
        <v>0</v>
      </c>
      <c r="E4973" s="67">
        <v>83900.41</v>
      </c>
      <c r="F4973" s="67">
        <v>25250</v>
      </c>
      <c r="H4973" s="68">
        <v>40764</v>
      </c>
      <c r="I4973" s="67" t="s">
        <v>148</v>
      </c>
    </row>
    <row r="4974" spans="1:9" x14ac:dyDescent="0.25">
      <c r="B4974" s="67" t="s">
        <v>2413</v>
      </c>
      <c r="C4974" s="67">
        <v>0</v>
      </c>
      <c r="D4974" s="67">
        <v>0</v>
      </c>
      <c r="E4974" s="67">
        <v>83900.45</v>
      </c>
      <c r="H4974" s="67" t="s">
        <v>146</v>
      </c>
    </row>
    <row r="4975" spans="1:9" x14ac:dyDescent="0.25">
      <c r="A4975" s="67" t="s">
        <v>233</v>
      </c>
    </row>
    <row r="4977" spans="1:9" x14ac:dyDescent="0.25">
      <c r="A4977" s="67" t="s">
        <v>232</v>
      </c>
      <c r="D4977" s="67" t="s">
        <v>231</v>
      </c>
      <c r="H4977" s="67" t="s">
        <v>148</v>
      </c>
      <c r="I4977" s="67" t="s">
        <v>230</v>
      </c>
    </row>
    <row r="4978" spans="1:9" x14ac:dyDescent="0.25">
      <c r="A4978" s="67">
        <v>41.1</v>
      </c>
      <c r="C4978" s="67" t="s">
        <v>215</v>
      </c>
      <c r="D4978" s="67" t="s">
        <v>229</v>
      </c>
      <c r="H4978" s="70">
        <v>44771</v>
      </c>
      <c r="I4978" s="69">
        <v>0.56736111111111109</v>
      </c>
    </row>
    <row r="4979" spans="1:9" x14ac:dyDescent="0.25">
      <c r="A4979" s="67" t="s">
        <v>228</v>
      </c>
      <c r="C4979" s="67" t="s">
        <v>227</v>
      </c>
      <c r="D4979" s="67" t="s">
        <v>226</v>
      </c>
      <c r="E4979" s="67">
        <v>589</v>
      </c>
      <c r="H4979" s="67" t="s">
        <v>225</v>
      </c>
      <c r="I4979" s="67">
        <v>87</v>
      </c>
    </row>
    <row r="4980" spans="1:9" x14ac:dyDescent="0.25">
      <c r="A4980" s="67" t="s">
        <v>884</v>
      </c>
    </row>
    <row r="4981" spans="1:9" x14ac:dyDescent="0.25">
      <c r="A4981" s="67" t="s">
        <v>223</v>
      </c>
      <c r="B4981" s="67" t="s">
        <v>222</v>
      </c>
      <c r="C4981" s="67" t="s">
        <v>221</v>
      </c>
      <c r="D4981" s="67" t="s">
        <v>220</v>
      </c>
      <c r="E4981" s="67" t="s">
        <v>219</v>
      </c>
      <c r="F4981" s="67" t="s">
        <v>217</v>
      </c>
      <c r="G4981" s="67" t="s">
        <v>218</v>
      </c>
      <c r="H4981" s="67" t="s">
        <v>217</v>
      </c>
      <c r="I4981" s="67" t="s">
        <v>216</v>
      </c>
    </row>
    <row r="4982" spans="1:9" x14ac:dyDescent="0.25">
      <c r="A4982" s="67" t="s">
        <v>215</v>
      </c>
      <c r="B4982" s="67" t="s">
        <v>214</v>
      </c>
      <c r="C4982" s="67" t="s">
        <v>213</v>
      </c>
      <c r="D4982" s="67" t="s">
        <v>212</v>
      </c>
      <c r="E4982" s="67" t="s">
        <v>211</v>
      </c>
      <c r="F4982" s="67" t="s">
        <v>210</v>
      </c>
      <c r="G4982" s="67" t="s">
        <v>209</v>
      </c>
      <c r="H4982" s="67" t="s">
        <v>208</v>
      </c>
      <c r="I4982" s="67" t="s">
        <v>207</v>
      </c>
    </row>
    <row r="4983" spans="1:9" x14ac:dyDescent="0.25">
      <c r="A4983" s="67" t="s">
        <v>206</v>
      </c>
      <c r="B4983" s="67" t="s">
        <v>205</v>
      </c>
      <c r="C4983" s="67" t="s">
        <v>204</v>
      </c>
      <c r="D4983" s="67" t="s">
        <v>203</v>
      </c>
      <c r="E4983" s="67" t="s">
        <v>202</v>
      </c>
      <c r="F4983" s="67" t="s">
        <v>201</v>
      </c>
      <c r="G4983" s="67" t="s">
        <v>200</v>
      </c>
      <c r="H4983" s="67" t="s">
        <v>199</v>
      </c>
    </row>
    <row r="4984" spans="1:9" x14ac:dyDescent="0.25">
      <c r="A4984" s="67" t="s">
        <v>2412</v>
      </c>
      <c r="B4984" s="67" t="s">
        <v>2411</v>
      </c>
      <c r="C4984" s="67">
        <v>0</v>
      </c>
      <c r="D4984" s="67">
        <v>0</v>
      </c>
      <c r="E4984" s="67">
        <v>83900.41</v>
      </c>
      <c r="F4984" s="67">
        <v>25250</v>
      </c>
      <c r="H4984" s="68">
        <v>40764</v>
      </c>
      <c r="I4984" s="67" t="s">
        <v>148</v>
      </c>
    </row>
    <row r="4985" spans="1:9" x14ac:dyDescent="0.25">
      <c r="B4985" s="67" t="s">
        <v>2411</v>
      </c>
      <c r="C4985" s="67">
        <v>0</v>
      </c>
      <c r="D4985" s="67">
        <v>0</v>
      </c>
      <c r="E4985" s="67">
        <v>83900.45</v>
      </c>
      <c r="H4985" s="67" t="s">
        <v>146</v>
      </c>
    </row>
    <row r="4987" spans="1:9" x14ac:dyDescent="0.25">
      <c r="A4987" s="67" t="s">
        <v>2410</v>
      </c>
      <c r="B4987" s="67" t="s">
        <v>2409</v>
      </c>
      <c r="C4987" s="67">
        <v>0</v>
      </c>
      <c r="D4987" s="67">
        <v>0</v>
      </c>
      <c r="E4987" s="67">
        <v>83900.41</v>
      </c>
      <c r="F4987" s="67">
        <v>25250</v>
      </c>
      <c r="H4987" s="68">
        <v>40764</v>
      </c>
      <c r="I4987" s="67" t="s">
        <v>148</v>
      </c>
    </row>
    <row r="4988" spans="1:9" x14ac:dyDescent="0.25">
      <c r="B4988" s="67" t="s">
        <v>2409</v>
      </c>
      <c r="C4988" s="67">
        <v>0</v>
      </c>
      <c r="D4988" s="67">
        <v>0</v>
      </c>
      <c r="E4988" s="67">
        <v>83900.45</v>
      </c>
      <c r="H4988" s="67" t="s">
        <v>146</v>
      </c>
    </row>
    <row r="4990" spans="1:9" x14ac:dyDescent="0.25">
      <c r="A4990" s="67" t="s">
        <v>2408</v>
      </c>
      <c r="B4990" s="67" t="s">
        <v>2407</v>
      </c>
      <c r="C4990" s="67">
        <v>0</v>
      </c>
      <c r="D4990" s="67">
        <v>0</v>
      </c>
      <c r="E4990" s="67">
        <v>83900.41</v>
      </c>
      <c r="F4990" s="67">
        <v>25250</v>
      </c>
      <c r="H4990" s="68">
        <v>40764</v>
      </c>
      <c r="I4990" s="67" t="s">
        <v>148</v>
      </c>
    </row>
    <row r="4991" spans="1:9" x14ac:dyDescent="0.25">
      <c r="B4991" s="67" t="s">
        <v>2407</v>
      </c>
      <c r="C4991" s="67">
        <v>0</v>
      </c>
      <c r="D4991" s="67">
        <v>0</v>
      </c>
      <c r="E4991" s="67">
        <v>83900.45</v>
      </c>
      <c r="H4991" s="67" t="s">
        <v>146</v>
      </c>
    </row>
    <row r="4993" spans="1:9" x14ac:dyDescent="0.25">
      <c r="A4993" s="67" t="s">
        <v>2406</v>
      </c>
      <c r="B4993" s="67" t="s">
        <v>2405</v>
      </c>
      <c r="C4993" s="67">
        <v>0</v>
      </c>
      <c r="D4993" s="67">
        <v>0</v>
      </c>
      <c r="E4993" s="67">
        <v>83900.41</v>
      </c>
      <c r="F4993" s="67">
        <v>25250</v>
      </c>
      <c r="H4993" s="68">
        <v>40764</v>
      </c>
      <c r="I4993" s="67" t="s">
        <v>148</v>
      </c>
    </row>
    <row r="4994" spans="1:9" x14ac:dyDescent="0.25">
      <c r="B4994" s="67" t="s">
        <v>2405</v>
      </c>
      <c r="C4994" s="67">
        <v>0</v>
      </c>
      <c r="D4994" s="67">
        <v>0</v>
      </c>
      <c r="E4994" s="67">
        <v>83900.45</v>
      </c>
      <c r="H4994" s="67" t="s">
        <v>146</v>
      </c>
    </row>
    <row r="4996" spans="1:9" x14ac:dyDescent="0.25">
      <c r="A4996" s="67" t="s">
        <v>2404</v>
      </c>
      <c r="B4996" s="67" t="s">
        <v>2403</v>
      </c>
      <c r="C4996" s="67">
        <v>0</v>
      </c>
      <c r="D4996" s="67">
        <v>0</v>
      </c>
      <c r="E4996" s="67">
        <v>83900.41</v>
      </c>
      <c r="F4996" s="67">
        <v>25250</v>
      </c>
      <c r="H4996" s="68">
        <v>40764</v>
      </c>
      <c r="I4996" s="67" t="s">
        <v>148</v>
      </c>
    </row>
    <row r="4997" spans="1:9" x14ac:dyDescent="0.25">
      <c r="B4997" s="67" t="s">
        <v>2403</v>
      </c>
      <c r="C4997" s="67">
        <v>0</v>
      </c>
      <c r="D4997" s="67">
        <v>0</v>
      </c>
      <c r="E4997" s="67">
        <v>83900.45</v>
      </c>
      <c r="H4997" s="67" t="s">
        <v>146</v>
      </c>
    </row>
    <row r="4999" spans="1:9" x14ac:dyDescent="0.25">
      <c r="A4999" s="67" t="s">
        <v>2402</v>
      </c>
      <c r="B4999" s="67" t="s">
        <v>2401</v>
      </c>
      <c r="C4999" s="67">
        <v>0</v>
      </c>
      <c r="D4999" s="67">
        <v>0</v>
      </c>
      <c r="E4999" s="67">
        <v>83900.41</v>
      </c>
      <c r="F4999" s="67">
        <v>25250</v>
      </c>
      <c r="H4999" s="68">
        <v>40764</v>
      </c>
      <c r="I4999" s="67" t="s">
        <v>148</v>
      </c>
    </row>
    <row r="5000" spans="1:9" x14ac:dyDescent="0.25">
      <c r="B5000" s="67" t="s">
        <v>2401</v>
      </c>
      <c r="C5000" s="67">
        <v>0</v>
      </c>
      <c r="D5000" s="67">
        <v>0</v>
      </c>
      <c r="E5000" s="67">
        <v>83900.45</v>
      </c>
      <c r="H5000" s="67" t="s">
        <v>146</v>
      </c>
    </row>
    <row r="5002" spans="1:9" x14ac:dyDescent="0.25">
      <c r="A5002" s="67" t="s">
        <v>2400</v>
      </c>
      <c r="B5002" s="67" t="s">
        <v>2399</v>
      </c>
      <c r="C5002" s="67">
        <v>0</v>
      </c>
      <c r="D5002" s="67">
        <v>0</v>
      </c>
      <c r="E5002" s="67">
        <v>83900.41</v>
      </c>
      <c r="F5002" s="67">
        <v>25250</v>
      </c>
      <c r="H5002" s="68">
        <v>40764</v>
      </c>
      <c r="I5002" s="67" t="s">
        <v>148</v>
      </c>
    </row>
    <row r="5003" spans="1:9" x14ac:dyDescent="0.25">
      <c r="B5003" s="67" t="s">
        <v>2399</v>
      </c>
      <c r="C5003" s="67">
        <v>0</v>
      </c>
      <c r="D5003" s="67">
        <v>0</v>
      </c>
      <c r="E5003" s="67">
        <v>83900.45</v>
      </c>
      <c r="H5003" s="67" t="s">
        <v>146</v>
      </c>
    </row>
    <row r="5005" spans="1:9" x14ac:dyDescent="0.25">
      <c r="A5005" s="67" t="s">
        <v>2398</v>
      </c>
      <c r="B5005" s="67" t="s">
        <v>2397</v>
      </c>
      <c r="C5005" s="67">
        <v>0</v>
      </c>
      <c r="D5005" s="67">
        <v>0</v>
      </c>
      <c r="E5005" s="67">
        <v>83900.41</v>
      </c>
      <c r="F5005" s="67">
        <v>25250</v>
      </c>
      <c r="H5005" s="68">
        <v>40764</v>
      </c>
      <c r="I5005" s="67" t="s">
        <v>148</v>
      </c>
    </row>
    <row r="5006" spans="1:9" x14ac:dyDescent="0.25">
      <c r="B5006" s="67" t="s">
        <v>2397</v>
      </c>
      <c r="C5006" s="67">
        <v>0</v>
      </c>
      <c r="D5006" s="67">
        <v>0</v>
      </c>
      <c r="E5006" s="67">
        <v>83900.45</v>
      </c>
      <c r="H5006" s="67" t="s">
        <v>146</v>
      </c>
    </row>
    <row r="5008" spans="1:9" x14ac:dyDescent="0.25">
      <c r="A5008" s="67" t="s">
        <v>2396</v>
      </c>
      <c r="B5008" s="67" t="s">
        <v>2395</v>
      </c>
      <c r="C5008" s="67">
        <v>0</v>
      </c>
      <c r="D5008" s="67">
        <v>0</v>
      </c>
      <c r="E5008" s="67">
        <v>83900.41</v>
      </c>
      <c r="F5008" s="67">
        <v>25250</v>
      </c>
      <c r="H5008" s="68">
        <v>40764</v>
      </c>
      <c r="I5008" s="67" t="s">
        <v>148</v>
      </c>
    </row>
    <row r="5009" spans="1:9" x14ac:dyDescent="0.25">
      <c r="B5009" s="67" t="s">
        <v>2395</v>
      </c>
      <c r="C5009" s="67">
        <v>0</v>
      </c>
      <c r="D5009" s="67">
        <v>0</v>
      </c>
      <c r="E5009" s="67">
        <v>83900.45</v>
      </c>
      <c r="H5009" s="67" t="s">
        <v>146</v>
      </c>
    </row>
    <row r="5011" spans="1:9" x14ac:dyDescent="0.25">
      <c r="A5011" s="67" t="s">
        <v>2394</v>
      </c>
      <c r="B5011" s="67" t="s">
        <v>2393</v>
      </c>
      <c r="C5011" s="67">
        <v>0</v>
      </c>
      <c r="D5011" s="67">
        <v>0</v>
      </c>
      <c r="E5011" s="67">
        <v>83900.41</v>
      </c>
      <c r="F5011" s="67">
        <v>25250</v>
      </c>
      <c r="H5011" s="68">
        <v>40764</v>
      </c>
      <c r="I5011" s="67" t="s">
        <v>148</v>
      </c>
    </row>
    <row r="5012" spans="1:9" x14ac:dyDescent="0.25">
      <c r="B5012" s="67" t="s">
        <v>2393</v>
      </c>
      <c r="C5012" s="67">
        <v>0</v>
      </c>
      <c r="D5012" s="67">
        <v>0</v>
      </c>
      <c r="E5012" s="67">
        <v>83900.45</v>
      </c>
      <c r="H5012" s="67" t="s">
        <v>146</v>
      </c>
    </row>
    <row r="5014" spans="1:9" x14ac:dyDescent="0.25">
      <c r="A5014" s="67" t="s">
        <v>2392</v>
      </c>
      <c r="B5014" s="67" t="s">
        <v>2391</v>
      </c>
      <c r="C5014" s="67">
        <v>0</v>
      </c>
      <c r="D5014" s="67">
        <v>0</v>
      </c>
      <c r="E5014" s="67">
        <v>83900.41</v>
      </c>
      <c r="F5014" s="67">
        <v>25250</v>
      </c>
      <c r="H5014" s="68">
        <v>40764</v>
      </c>
      <c r="I5014" s="67" t="s">
        <v>148</v>
      </c>
    </row>
    <row r="5015" spans="1:9" x14ac:dyDescent="0.25">
      <c r="B5015" s="67" t="s">
        <v>2391</v>
      </c>
      <c r="C5015" s="67">
        <v>0</v>
      </c>
      <c r="D5015" s="67">
        <v>0</v>
      </c>
      <c r="E5015" s="67">
        <v>83900.45</v>
      </c>
      <c r="H5015" s="67" t="s">
        <v>146</v>
      </c>
    </row>
    <row r="5017" spans="1:9" x14ac:dyDescent="0.25">
      <c r="A5017" s="67" t="s">
        <v>2390</v>
      </c>
      <c r="B5017" s="67" t="s">
        <v>2389</v>
      </c>
      <c r="C5017" s="67">
        <v>0</v>
      </c>
      <c r="D5017" s="67">
        <v>0</v>
      </c>
      <c r="E5017" s="67">
        <v>83900.41</v>
      </c>
      <c r="F5017" s="67">
        <v>25250</v>
      </c>
      <c r="H5017" s="68">
        <v>40764</v>
      </c>
      <c r="I5017" s="67" t="s">
        <v>148</v>
      </c>
    </row>
    <row r="5018" spans="1:9" x14ac:dyDescent="0.25">
      <c r="B5018" s="67" t="s">
        <v>2389</v>
      </c>
      <c r="C5018" s="67">
        <v>0</v>
      </c>
      <c r="D5018" s="67">
        <v>0</v>
      </c>
      <c r="E5018" s="67">
        <v>83900.45</v>
      </c>
      <c r="H5018" s="67" t="s">
        <v>146</v>
      </c>
    </row>
    <row r="5020" spans="1:9" x14ac:dyDescent="0.25">
      <c r="A5020" s="67" t="s">
        <v>2388</v>
      </c>
      <c r="B5020" s="67" t="s">
        <v>2387</v>
      </c>
      <c r="C5020" s="67">
        <v>0</v>
      </c>
      <c r="D5020" s="67">
        <v>0</v>
      </c>
      <c r="E5020" s="67">
        <v>83900.41</v>
      </c>
      <c r="F5020" s="67">
        <v>25250</v>
      </c>
      <c r="H5020" s="68">
        <v>40764</v>
      </c>
      <c r="I5020" s="67" t="s">
        <v>148</v>
      </c>
    </row>
    <row r="5021" spans="1:9" x14ac:dyDescent="0.25">
      <c r="B5021" s="67" t="s">
        <v>2387</v>
      </c>
      <c r="C5021" s="67">
        <v>0</v>
      </c>
      <c r="D5021" s="67">
        <v>0</v>
      </c>
      <c r="E5021" s="67">
        <v>83900.45</v>
      </c>
      <c r="H5021" s="67" t="s">
        <v>146</v>
      </c>
    </row>
    <row r="5023" spans="1:9" x14ac:dyDescent="0.25">
      <c r="A5023" s="67" t="s">
        <v>2386</v>
      </c>
      <c r="B5023" s="67" t="s">
        <v>2385</v>
      </c>
      <c r="C5023" s="67">
        <v>0</v>
      </c>
      <c r="D5023" s="67">
        <v>0</v>
      </c>
      <c r="E5023" s="67">
        <v>83900.41</v>
      </c>
      <c r="F5023" s="67">
        <v>25250</v>
      </c>
      <c r="H5023" s="68">
        <v>40764</v>
      </c>
      <c r="I5023" s="67" t="s">
        <v>148</v>
      </c>
    </row>
    <row r="5024" spans="1:9" x14ac:dyDescent="0.25">
      <c r="B5024" s="67" t="s">
        <v>2385</v>
      </c>
      <c r="C5024" s="67">
        <v>0</v>
      </c>
      <c r="D5024" s="67">
        <v>0</v>
      </c>
      <c r="E5024" s="67">
        <v>83900.45</v>
      </c>
      <c r="H5024" s="67" t="s">
        <v>146</v>
      </c>
    </row>
    <row r="5026" spans="1:9" x14ac:dyDescent="0.25">
      <c r="A5026" s="67" t="s">
        <v>2384</v>
      </c>
      <c r="B5026" s="67" t="s">
        <v>2383</v>
      </c>
      <c r="C5026" s="67">
        <v>0</v>
      </c>
      <c r="D5026" s="67">
        <v>0</v>
      </c>
      <c r="E5026" s="67">
        <v>83900.41</v>
      </c>
      <c r="F5026" s="67">
        <v>25250</v>
      </c>
      <c r="H5026" s="68">
        <v>40764</v>
      </c>
      <c r="I5026" s="67" t="s">
        <v>148</v>
      </c>
    </row>
    <row r="5027" spans="1:9" x14ac:dyDescent="0.25">
      <c r="B5027" s="67" t="s">
        <v>2383</v>
      </c>
      <c r="C5027" s="67">
        <v>0</v>
      </c>
      <c r="D5027" s="67">
        <v>0</v>
      </c>
      <c r="E5027" s="67">
        <v>83900.45</v>
      </c>
      <c r="H5027" s="67" t="s">
        <v>146</v>
      </c>
    </row>
    <row r="5029" spans="1:9" x14ac:dyDescent="0.25">
      <c r="A5029" s="67" t="s">
        <v>2382</v>
      </c>
      <c r="B5029" s="67" t="s">
        <v>2381</v>
      </c>
      <c r="C5029" s="67">
        <v>0</v>
      </c>
      <c r="D5029" s="67">
        <v>0</v>
      </c>
      <c r="E5029" s="67">
        <v>83900.41</v>
      </c>
      <c r="F5029" s="67">
        <v>25250</v>
      </c>
      <c r="H5029" s="68">
        <v>40764</v>
      </c>
      <c r="I5029" s="67" t="s">
        <v>148</v>
      </c>
    </row>
    <row r="5030" spans="1:9" x14ac:dyDescent="0.25">
      <c r="B5030" s="67" t="s">
        <v>2381</v>
      </c>
      <c r="C5030" s="67">
        <v>0</v>
      </c>
      <c r="D5030" s="67">
        <v>0</v>
      </c>
      <c r="E5030" s="67">
        <v>83900.45</v>
      </c>
      <c r="H5030" s="67" t="s">
        <v>146</v>
      </c>
    </row>
    <row r="5032" spans="1:9" x14ac:dyDescent="0.25">
      <c r="A5032" s="67" t="s">
        <v>2380</v>
      </c>
      <c r="B5032" s="67" t="s">
        <v>2379</v>
      </c>
      <c r="C5032" s="67">
        <v>0</v>
      </c>
      <c r="D5032" s="67">
        <v>0</v>
      </c>
      <c r="E5032" s="67">
        <v>83900.41</v>
      </c>
      <c r="F5032" s="67">
        <v>25250</v>
      </c>
      <c r="H5032" s="68">
        <v>40764</v>
      </c>
      <c r="I5032" s="67" t="s">
        <v>148</v>
      </c>
    </row>
    <row r="5033" spans="1:9" x14ac:dyDescent="0.25">
      <c r="B5033" s="67" t="s">
        <v>2379</v>
      </c>
      <c r="C5033" s="67">
        <v>0</v>
      </c>
      <c r="D5033" s="67">
        <v>0</v>
      </c>
      <c r="E5033" s="67">
        <v>83900.45</v>
      </c>
      <c r="H5033" s="67" t="s">
        <v>146</v>
      </c>
    </row>
    <row r="5034" spans="1:9" x14ac:dyDescent="0.25">
      <c r="A5034" s="67" t="s">
        <v>233</v>
      </c>
    </row>
    <row r="5036" spans="1:9" x14ac:dyDescent="0.25">
      <c r="A5036" s="67" t="s">
        <v>232</v>
      </c>
      <c r="D5036" s="67" t="s">
        <v>231</v>
      </c>
      <c r="H5036" s="67" t="s">
        <v>148</v>
      </c>
      <c r="I5036" s="67" t="s">
        <v>230</v>
      </c>
    </row>
    <row r="5037" spans="1:9" x14ac:dyDescent="0.25">
      <c r="A5037" s="67">
        <v>41.1</v>
      </c>
      <c r="C5037" s="67" t="s">
        <v>215</v>
      </c>
      <c r="D5037" s="67" t="s">
        <v>229</v>
      </c>
      <c r="H5037" s="70">
        <v>44771</v>
      </c>
      <c r="I5037" s="69">
        <v>0.56736111111111109</v>
      </c>
    </row>
    <row r="5038" spans="1:9" x14ac:dyDescent="0.25">
      <c r="A5038" s="67" t="s">
        <v>228</v>
      </c>
      <c r="C5038" s="67" t="s">
        <v>227</v>
      </c>
      <c r="D5038" s="67" t="s">
        <v>226</v>
      </c>
      <c r="E5038" s="67">
        <v>589</v>
      </c>
      <c r="H5038" s="67" t="s">
        <v>225</v>
      </c>
      <c r="I5038" s="67">
        <v>88</v>
      </c>
    </row>
    <row r="5039" spans="1:9" x14ac:dyDescent="0.25">
      <c r="A5039" s="67" t="s">
        <v>884</v>
      </c>
    </row>
    <row r="5040" spans="1:9" x14ac:dyDescent="0.25">
      <c r="A5040" s="67" t="s">
        <v>223</v>
      </c>
      <c r="B5040" s="67" t="s">
        <v>222</v>
      </c>
      <c r="C5040" s="67" t="s">
        <v>221</v>
      </c>
      <c r="D5040" s="67" t="s">
        <v>220</v>
      </c>
      <c r="E5040" s="67" t="s">
        <v>219</v>
      </c>
      <c r="F5040" s="67" t="s">
        <v>217</v>
      </c>
      <c r="G5040" s="67" t="s">
        <v>218</v>
      </c>
      <c r="H5040" s="67" t="s">
        <v>217</v>
      </c>
      <c r="I5040" s="67" t="s">
        <v>216</v>
      </c>
    </row>
    <row r="5041" spans="1:9" x14ac:dyDescent="0.25">
      <c r="A5041" s="67" t="s">
        <v>215</v>
      </c>
      <c r="B5041" s="67" t="s">
        <v>214</v>
      </c>
      <c r="C5041" s="67" t="s">
        <v>213</v>
      </c>
      <c r="D5041" s="67" t="s">
        <v>212</v>
      </c>
      <c r="E5041" s="67" t="s">
        <v>211</v>
      </c>
      <c r="F5041" s="67" t="s">
        <v>210</v>
      </c>
      <c r="G5041" s="67" t="s">
        <v>209</v>
      </c>
      <c r="H5041" s="67" t="s">
        <v>208</v>
      </c>
      <c r="I5041" s="67" t="s">
        <v>207</v>
      </c>
    </row>
    <row r="5042" spans="1:9" x14ac:dyDescent="0.25">
      <c r="A5042" s="67" t="s">
        <v>206</v>
      </c>
      <c r="B5042" s="67" t="s">
        <v>205</v>
      </c>
      <c r="C5042" s="67" t="s">
        <v>204</v>
      </c>
      <c r="D5042" s="67" t="s">
        <v>203</v>
      </c>
      <c r="E5042" s="67" t="s">
        <v>202</v>
      </c>
      <c r="F5042" s="67" t="s">
        <v>201</v>
      </c>
      <c r="G5042" s="67" t="s">
        <v>200</v>
      </c>
      <c r="H5042" s="67" t="s">
        <v>199</v>
      </c>
    </row>
    <row r="5043" spans="1:9" x14ac:dyDescent="0.25">
      <c r="A5043" s="67" t="s">
        <v>2378</v>
      </c>
      <c r="B5043" s="67" t="s">
        <v>2377</v>
      </c>
      <c r="C5043" s="67">
        <v>0</v>
      </c>
      <c r="D5043" s="67">
        <v>0</v>
      </c>
      <c r="E5043" s="67">
        <v>83900.41</v>
      </c>
      <c r="F5043" s="67">
        <v>25250</v>
      </c>
      <c r="H5043" s="68">
        <v>40764</v>
      </c>
      <c r="I5043" s="67" t="s">
        <v>148</v>
      </c>
    </row>
    <row r="5044" spans="1:9" x14ac:dyDescent="0.25">
      <c r="B5044" s="67" t="s">
        <v>2377</v>
      </c>
      <c r="C5044" s="67">
        <v>0</v>
      </c>
      <c r="D5044" s="67">
        <v>0</v>
      </c>
      <c r="E5044" s="67">
        <v>83900.45</v>
      </c>
      <c r="H5044" s="67" t="s">
        <v>146</v>
      </c>
    </row>
    <row r="5046" spans="1:9" x14ac:dyDescent="0.25">
      <c r="A5046" s="67" t="s">
        <v>2376</v>
      </c>
      <c r="B5046" s="67" t="s">
        <v>2375</v>
      </c>
      <c r="C5046" s="67">
        <v>0</v>
      </c>
      <c r="D5046" s="67">
        <v>0</v>
      </c>
      <c r="E5046" s="67">
        <v>83900.41</v>
      </c>
      <c r="F5046" s="67">
        <v>25250</v>
      </c>
      <c r="H5046" s="68">
        <v>40764</v>
      </c>
      <c r="I5046" s="67" t="s">
        <v>148</v>
      </c>
    </row>
    <row r="5047" spans="1:9" x14ac:dyDescent="0.25">
      <c r="B5047" s="67" t="s">
        <v>2375</v>
      </c>
      <c r="C5047" s="67">
        <v>0</v>
      </c>
      <c r="D5047" s="67">
        <v>0</v>
      </c>
      <c r="E5047" s="67">
        <v>83900.45</v>
      </c>
      <c r="H5047" s="67" t="s">
        <v>146</v>
      </c>
    </row>
    <row r="5049" spans="1:9" x14ac:dyDescent="0.25">
      <c r="A5049" s="67" t="s">
        <v>2374</v>
      </c>
      <c r="B5049" s="67" t="s">
        <v>2373</v>
      </c>
      <c r="C5049" s="67">
        <v>0</v>
      </c>
      <c r="D5049" s="67">
        <v>0</v>
      </c>
      <c r="E5049" s="67">
        <v>83900.41</v>
      </c>
      <c r="F5049" s="67">
        <v>25250</v>
      </c>
      <c r="H5049" s="68">
        <v>40764</v>
      </c>
      <c r="I5049" s="67" t="s">
        <v>148</v>
      </c>
    </row>
    <row r="5050" spans="1:9" x14ac:dyDescent="0.25">
      <c r="B5050" s="67" t="s">
        <v>2373</v>
      </c>
      <c r="C5050" s="67">
        <v>0</v>
      </c>
      <c r="D5050" s="67">
        <v>0</v>
      </c>
      <c r="E5050" s="67">
        <v>83900.45</v>
      </c>
      <c r="H5050" s="67" t="s">
        <v>146</v>
      </c>
    </row>
    <row r="5052" spans="1:9" x14ac:dyDescent="0.25">
      <c r="A5052" s="67" t="s">
        <v>2372</v>
      </c>
      <c r="B5052" s="67" t="s">
        <v>2371</v>
      </c>
      <c r="C5052" s="67">
        <v>0</v>
      </c>
      <c r="D5052" s="67">
        <v>0</v>
      </c>
      <c r="E5052" s="67">
        <v>83900.41</v>
      </c>
      <c r="F5052" s="67">
        <v>25250</v>
      </c>
      <c r="H5052" s="68">
        <v>40764</v>
      </c>
      <c r="I5052" s="67" t="s">
        <v>148</v>
      </c>
    </row>
    <row r="5053" spans="1:9" x14ac:dyDescent="0.25">
      <c r="B5053" s="67" t="s">
        <v>2371</v>
      </c>
      <c r="C5053" s="67">
        <v>0</v>
      </c>
      <c r="D5053" s="67">
        <v>0</v>
      </c>
      <c r="E5053" s="67">
        <v>83900.45</v>
      </c>
      <c r="H5053" s="67" t="s">
        <v>146</v>
      </c>
    </row>
    <row r="5055" spans="1:9" x14ac:dyDescent="0.25">
      <c r="A5055" s="67" t="s">
        <v>2370</v>
      </c>
      <c r="B5055" s="67" t="s">
        <v>2369</v>
      </c>
      <c r="C5055" s="67">
        <v>0</v>
      </c>
      <c r="D5055" s="67">
        <v>0</v>
      </c>
      <c r="E5055" s="67">
        <v>83900.41</v>
      </c>
      <c r="F5055" s="67">
        <v>25250</v>
      </c>
      <c r="H5055" s="68">
        <v>40764</v>
      </c>
      <c r="I5055" s="67" t="s">
        <v>148</v>
      </c>
    </row>
    <row r="5056" spans="1:9" x14ac:dyDescent="0.25">
      <c r="B5056" s="67" t="s">
        <v>2369</v>
      </c>
      <c r="C5056" s="67">
        <v>0</v>
      </c>
      <c r="D5056" s="67">
        <v>0</v>
      </c>
      <c r="E5056" s="67">
        <v>83900.45</v>
      </c>
      <c r="H5056" s="67" t="s">
        <v>146</v>
      </c>
    </row>
    <row r="5058" spans="1:9" x14ac:dyDescent="0.25">
      <c r="A5058" s="67" t="s">
        <v>2368</v>
      </c>
      <c r="B5058" s="67" t="s">
        <v>2367</v>
      </c>
      <c r="C5058" s="67">
        <v>0</v>
      </c>
      <c r="D5058" s="67">
        <v>0</v>
      </c>
      <c r="E5058" s="67">
        <v>83900.41</v>
      </c>
      <c r="F5058" s="67">
        <v>25250</v>
      </c>
      <c r="H5058" s="68">
        <v>40764</v>
      </c>
      <c r="I5058" s="67" t="s">
        <v>148</v>
      </c>
    </row>
    <row r="5059" spans="1:9" x14ac:dyDescent="0.25">
      <c r="B5059" s="67" t="s">
        <v>2367</v>
      </c>
      <c r="C5059" s="67">
        <v>0</v>
      </c>
      <c r="D5059" s="67">
        <v>0</v>
      </c>
      <c r="E5059" s="67">
        <v>83900.45</v>
      </c>
      <c r="H5059" s="67" t="s">
        <v>146</v>
      </c>
    </row>
    <row r="5061" spans="1:9" x14ac:dyDescent="0.25">
      <c r="A5061" s="67" t="s">
        <v>2366</v>
      </c>
      <c r="B5061" s="67" t="s">
        <v>2365</v>
      </c>
      <c r="C5061" s="67">
        <v>0</v>
      </c>
      <c r="D5061" s="67">
        <v>0</v>
      </c>
      <c r="E5061" s="67">
        <v>83900.41</v>
      </c>
      <c r="F5061" s="67">
        <v>25250</v>
      </c>
      <c r="H5061" s="68">
        <v>40764</v>
      </c>
      <c r="I5061" s="67" t="s">
        <v>148</v>
      </c>
    </row>
    <row r="5062" spans="1:9" x14ac:dyDescent="0.25">
      <c r="B5062" s="67" t="s">
        <v>2365</v>
      </c>
      <c r="C5062" s="67">
        <v>0</v>
      </c>
      <c r="D5062" s="67">
        <v>0</v>
      </c>
      <c r="E5062" s="67">
        <v>83900.45</v>
      </c>
      <c r="H5062" s="67" t="s">
        <v>146</v>
      </c>
    </row>
    <row r="5064" spans="1:9" x14ac:dyDescent="0.25">
      <c r="A5064" s="67" t="s">
        <v>2364</v>
      </c>
      <c r="B5064" s="67" t="s">
        <v>2363</v>
      </c>
      <c r="C5064" s="67">
        <v>0</v>
      </c>
      <c r="D5064" s="67">
        <v>0</v>
      </c>
      <c r="E5064" s="67">
        <v>83900.41</v>
      </c>
      <c r="F5064" s="67">
        <v>25250</v>
      </c>
      <c r="H5064" s="68">
        <v>40764</v>
      </c>
      <c r="I5064" s="67" t="s">
        <v>148</v>
      </c>
    </row>
    <row r="5065" spans="1:9" x14ac:dyDescent="0.25">
      <c r="B5065" s="67" t="s">
        <v>2363</v>
      </c>
      <c r="C5065" s="67">
        <v>0</v>
      </c>
      <c r="D5065" s="67">
        <v>0</v>
      </c>
      <c r="E5065" s="67">
        <v>83900.45</v>
      </c>
      <c r="H5065" s="67" t="s">
        <v>146</v>
      </c>
    </row>
    <row r="5067" spans="1:9" x14ac:dyDescent="0.25">
      <c r="A5067" s="67" t="s">
        <v>2362</v>
      </c>
      <c r="B5067" s="67" t="s">
        <v>2361</v>
      </c>
      <c r="C5067" s="67">
        <v>0</v>
      </c>
      <c r="D5067" s="67">
        <v>0</v>
      </c>
      <c r="E5067" s="67">
        <v>83900.41</v>
      </c>
      <c r="F5067" s="67">
        <v>25250</v>
      </c>
      <c r="H5067" s="68">
        <v>40764</v>
      </c>
      <c r="I5067" s="67" t="s">
        <v>148</v>
      </c>
    </row>
    <row r="5068" spans="1:9" x14ac:dyDescent="0.25">
      <c r="B5068" s="67" t="s">
        <v>2361</v>
      </c>
      <c r="C5068" s="67">
        <v>0</v>
      </c>
      <c r="D5068" s="67">
        <v>0</v>
      </c>
      <c r="E5068" s="67">
        <v>83900.45</v>
      </c>
      <c r="H5068" s="67" t="s">
        <v>146</v>
      </c>
    </row>
    <row r="5070" spans="1:9" x14ac:dyDescent="0.25">
      <c r="A5070" s="67" t="s">
        <v>2360</v>
      </c>
      <c r="B5070" s="67" t="s">
        <v>2359</v>
      </c>
      <c r="C5070" s="67">
        <v>0</v>
      </c>
      <c r="D5070" s="67">
        <v>0</v>
      </c>
      <c r="E5070" s="67">
        <v>83900.41</v>
      </c>
      <c r="F5070" s="67">
        <v>25250</v>
      </c>
      <c r="H5070" s="68">
        <v>40764</v>
      </c>
      <c r="I5070" s="67" t="s">
        <v>148</v>
      </c>
    </row>
    <row r="5071" spans="1:9" x14ac:dyDescent="0.25">
      <c r="B5071" s="67" t="s">
        <v>2359</v>
      </c>
      <c r="C5071" s="67">
        <v>0</v>
      </c>
      <c r="D5071" s="67">
        <v>0</v>
      </c>
      <c r="E5071" s="67">
        <v>83900.45</v>
      </c>
      <c r="H5071" s="67" t="s">
        <v>146</v>
      </c>
    </row>
    <row r="5073" spans="1:9" x14ac:dyDescent="0.25">
      <c r="A5073" s="67" t="s">
        <v>2358</v>
      </c>
      <c r="B5073" s="67" t="s">
        <v>2357</v>
      </c>
      <c r="C5073" s="67">
        <v>0</v>
      </c>
      <c r="D5073" s="67">
        <v>0</v>
      </c>
      <c r="E5073" s="67">
        <v>83900.41</v>
      </c>
      <c r="F5073" s="67">
        <v>25250</v>
      </c>
      <c r="H5073" s="68">
        <v>40764</v>
      </c>
      <c r="I5073" s="67" t="s">
        <v>148</v>
      </c>
    </row>
    <row r="5074" spans="1:9" x14ac:dyDescent="0.25">
      <c r="B5074" s="67" t="s">
        <v>2357</v>
      </c>
      <c r="C5074" s="67">
        <v>0</v>
      </c>
      <c r="D5074" s="67">
        <v>0</v>
      </c>
      <c r="E5074" s="67">
        <v>83900.45</v>
      </c>
      <c r="H5074" s="67" t="s">
        <v>146</v>
      </c>
    </row>
    <row r="5076" spans="1:9" x14ac:dyDescent="0.25">
      <c r="A5076" s="67" t="s">
        <v>2356</v>
      </c>
      <c r="B5076" s="67" t="s">
        <v>2355</v>
      </c>
      <c r="C5076" s="67">
        <v>0</v>
      </c>
      <c r="D5076" s="67">
        <v>0</v>
      </c>
      <c r="E5076" s="67">
        <v>83900.41</v>
      </c>
      <c r="F5076" s="67">
        <v>25250</v>
      </c>
      <c r="H5076" s="68">
        <v>40764</v>
      </c>
      <c r="I5076" s="67" t="s">
        <v>148</v>
      </c>
    </row>
    <row r="5077" spans="1:9" x14ac:dyDescent="0.25">
      <c r="B5077" s="67" t="s">
        <v>2355</v>
      </c>
      <c r="C5077" s="67">
        <v>0</v>
      </c>
      <c r="D5077" s="67">
        <v>0</v>
      </c>
      <c r="E5077" s="67">
        <v>83900.45</v>
      </c>
      <c r="H5077" s="67" t="s">
        <v>146</v>
      </c>
    </row>
    <row r="5079" spans="1:9" x14ac:dyDescent="0.25">
      <c r="A5079" s="67" t="s">
        <v>2354</v>
      </c>
      <c r="B5079" s="67" t="s">
        <v>2353</v>
      </c>
      <c r="C5079" s="67">
        <v>0</v>
      </c>
      <c r="D5079" s="67">
        <v>0</v>
      </c>
      <c r="E5079" s="67">
        <v>83900.41</v>
      </c>
      <c r="F5079" s="67">
        <v>25250</v>
      </c>
      <c r="H5079" s="68">
        <v>40764</v>
      </c>
      <c r="I5079" s="67" t="s">
        <v>148</v>
      </c>
    </row>
    <row r="5080" spans="1:9" x14ac:dyDescent="0.25">
      <c r="B5080" s="67" t="s">
        <v>2353</v>
      </c>
      <c r="C5080" s="67">
        <v>0</v>
      </c>
      <c r="D5080" s="67">
        <v>0</v>
      </c>
      <c r="E5080" s="67">
        <v>83900.45</v>
      </c>
      <c r="H5080" s="67" t="s">
        <v>146</v>
      </c>
    </row>
    <row r="5082" spans="1:9" x14ac:dyDescent="0.25">
      <c r="A5082" s="67" t="s">
        <v>2352</v>
      </c>
      <c r="B5082" s="67" t="s">
        <v>2351</v>
      </c>
      <c r="C5082" s="67">
        <v>0</v>
      </c>
      <c r="D5082" s="67">
        <v>0</v>
      </c>
      <c r="E5082" s="67">
        <v>83900.41</v>
      </c>
      <c r="F5082" s="67">
        <v>25250</v>
      </c>
      <c r="H5082" s="68">
        <v>40764</v>
      </c>
      <c r="I5082" s="67" t="s">
        <v>148</v>
      </c>
    </row>
    <row r="5083" spans="1:9" x14ac:dyDescent="0.25">
      <c r="B5083" s="67" t="s">
        <v>2351</v>
      </c>
      <c r="C5083" s="67">
        <v>0</v>
      </c>
      <c r="D5083" s="67">
        <v>0</v>
      </c>
      <c r="E5083" s="67">
        <v>83900.45</v>
      </c>
      <c r="H5083" s="67" t="s">
        <v>146</v>
      </c>
    </row>
    <row r="5085" spans="1:9" x14ac:dyDescent="0.25">
      <c r="A5085" s="67" t="s">
        <v>2350</v>
      </c>
      <c r="B5085" s="67" t="s">
        <v>2349</v>
      </c>
      <c r="C5085" s="67">
        <v>0</v>
      </c>
      <c r="D5085" s="67">
        <v>0</v>
      </c>
      <c r="E5085" s="67">
        <v>83900.41</v>
      </c>
      <c r="F5085" s="67">
        <v>25250</v>
      </c>
      <c r="H5085" s="68">
        <v>40764</v>
      </c>
      <c r="I5085" s="67" t="s">
        <v>148</v>
      </c>
    </row>
    <row r="5086" spans="1:9" x14ac:dyDescent="0.25">
      <c r="B5086" s="67" t="s">
        <v>2349</v>
      </c>
      <c r="C5086" s="67">
        <v>0</v>
      </c>
      <c r="D5086" s="67">
        <v>0</v>
      </c>
      <c r="E5086" s="67">
        <v>83900.45</v>
      </c>
      <c r="H5086" s="67" t="s">
        <v>146</v>
      </c>
    </row>
    <row r="5088" spans="1:9" x14ac:dyDescent="0.25">
      <c r="A5088" s="67" t="s">
        <v>2348</v>
      </c>
      <c r="B5088" s="67" t="s">
        <v>2347</v>
      </c>
      <c r="C5088" s="67">
        <v>0</v>
      </c>
      <c r="D5088" s="67">
        <v>0</v>
      </c>
      <c r="E5088" s="67">
        <v>83900.41</v>
      </c>
      <c r="F5088" s="67">
        <v>25250</v>
      </c>
      <c r="H5088" s="68">
        <v>40764</v>
      </c>
      <c r="I5088" s="67" t="s">
        <v>148</v>
      </c>
    </row>
    <row r="5089" spans="1:9" x14ac:dyDescent="0.25">
      <c r="B5089" s="67" t="s">
        <v>2347</v>
      </c>
      <c r="C5089" s="67">
        <v>0</v>
      </c>
      <c r="D5089" s="67">
        <v>0</v>
      </c>
      <c r="E5089" s="67">
        <v>83900.45</v>
      </c>
      <c r="H5089" s="67" t="s">
        <v>146</v>
      </c>
    </row>
    <row r="5091" spans="1:9" x14ac:dyDescent="0.25">
      <c r="A5091" s="67" t="s">
        <v>2346</v>
      </c>
      <c r="B5091" s="67" t="s">
        <v>2345</v>
      </c>
      <c r="C5091" s="67">
        <v>0</v>
      </c>
      <c r="D5091" s="67">
        <v>0</v>
      </c>
      <c r="E5091" s="67">
        <v>83900.41</v>
      </c>
      <c r="F5091" s="67">
        <v>25250</v>
      </c>
      <c r="H5091" s="68">
        <v>40764</v>
      </c>
      <c r="I5091" s="67" t="s">
        <v>148</v>
      </c>
    </row>
    <row r="5092" spans="1:9" x14ac:dyDescent="0.25">
      <c r="B5092" s="67" t="s">
        <v>2345</v>
      </c>
      <c r="C5092" s="67">
        <v>0</v>
      </c>
      <c r="D5092" s="67">
        <v>0</v>
      </c>
      <c r="E5092" s="67">
        <v>83900.45</v>
      </c>
      <c r="H5092" s="67" t="s">
        <v>146</v>
      </c>
    </row>
    <row r="5093" spans="1:9" x14ac:dyDescent="0.25">
      <c r="A5093" s="67" t="s">
        <v>233</v>
      </c>
    </row>
    <row r="5095" spans="1:9" x14ac:dyDescent="0.25">
      <c r="A5095" s="67" t="s">
        <v>232</v>
      </c>
      <c r="D5095" s="67" t="s">
        <v>231</v>
      </c>
      <c r="H5095" s="67" t="s">
        <v>148</v>
      </c>
      <c r="I5095" s="67" t="s">
        <v>230</v>
      </c>
    </row>
    <row r="5096" spans="1:9" x14ac:dyDescent="0.25">
      <c r="A5096" s="67">
        <v>41.1</v>
      </c>
      <c r="C5096" s="67" t="s">
        <v>215</v>
      </c>
      <c r="D5096" s="67" t="s">
        <v>229</v>
      </c>
      <c r="H5096" s="70">
        <v>44771</v>
      </c>
      <c r="I5096" s="69">
        <v>0.56736111111111109</v>
      </c>
    </row>
    <row r="5097" spans="1:9" x14ac:dyDescent="0.25">
      <c r="A5097" s="67" t="s">
        <v>228</v>
      </c>
      <c r="C5097" s="67" t="s">
        <v>227</v>
      </c>
      <c r="D5097" s="67" t="s">
        <v>226</v>
      </c>
      <c r="E5097" s="67">
        <v>589</v>
      </c>
      <c r="H5097" s="67" t="s">
        <v>225</v>
      </c>
      <c r="I5097" s="67">
        <v>89</v>
      </c>
    </row>
    <row r="5098" spans="1:9" x14ac:dyDescent="0.25">
      <c r="A5098" s="67" t="s">
        <v>884</v>
      </c>
    </row>
    <row r="5099" spans="1:9" x14ac:dyDescent="0.25">
      <c r="A5099" s="67" t="s">
        <v>223</v>
      </c>
      <c r="B5099" s="67" t="s">
        <v>222</v>
      </c>
      <c r="C5099" s="67" t="s">
        <v>221</v>
      </c>
      <c r="D5099" s="67" t="s">
        <v>220</v>
      </c>
      <c r="E5099" s="67" t="s">
        <v>219</v>
      </c>
      <c r="F5099" s="67" t="s">
        <v>217</v>
      </c>
      <c r="G5099" s="67" t="s">
        <v>218</v>
      </c>
      <c r="H5099" s="67" t="s">
        <v>217</v>
      </c>
      <c r="I5099" s="67" t="s">
        <v>216</v>
      </c>
    </row>
    <row r="5100" spans="1:9" x14ac:dyDescent="0.25">
      <c r="A5100" s="67" t="s">
        <v>215</v>
      </c>
      <c r="B5100" s="67" t="s">
        <v>214</v>
      </c>
      <c r="C5100" s="67" t="s">
        <v>213</v>
      </c>
      <c r="D5100" s="67" t="s">
        <v>212</v>
      </c>
      <c r="E5100" s="67" t="s">
        <v>211</v>
      </c>
      <c r="F5100" s="67" t="s">
        <v>210</v>
      </c>
      <c r="G5100" s="67" t="s">
        <v>209</v>
      </c>
      <c r="H5100" s="67" t="s">
        <v>208</v>
      </c>
      <c r="I5100" s="67" t="s">
        <v>207</v>
      </c>
    </row>
    <row r="5101" spans="1:9" x14ac:dyDescent="0.25">
      <c r="A5101" s="67" t="s">
        <v>206</v>
      </c>
      <c r="B5101" s="67" t="s">
        <v>205</v>
      </c>
      <c r="C5101" s="67" t="s">
        <v>204</v>
      </c>
      <c r="D5101" s="67" t="s">
        <v>203</v>
      </c>
      <c r="E5101" s="67" t="s">
        <v>202</v>
      </c>
      <c r="F5101" s="67" t="s">
        <v>201</v>
      </c>
      <c r="G5101" s="67" t="s">
        <v>200</v>
      </c>
      <c r="H5101" s="67" t="s">
        <v>199</v>
      </c>
    </row>
    <row r="5102" spans="1:9" x14ac:dyDescent="0.25">
      <c r="A5102" s="67" t="s">
        <v>2344</v>
      </c>
      <c r="B5102" s="67" t="s">
        <v>2343</v>
      </c>
      <c r="C5102" s="67">
        <v>0</v>
      </c>
      <c r="D5102" s="67">
        <v>0</v>
      </c>
      <c r="E5102" s="67">
        <v>83900.41</v>
      </c>
      <c r="F5102" s="67">
        <v>25250</v>
      </c>
      <c r="H5102" s="68">
        <v>40764</v>
      </c>
      <c r="I5102" s="67" t="s">
        <v>148</v>
      </c>
    </row>
    <row r="5103" spans="1:9" x14ac:dyDescent="0.25">
      <c r="B5103" s="67" t="s">
        <v>2343</v>
      </c>
      <c r="C5103" s="67">
        <v>0</v>
      </c>
      <c r="D5103" s="67">
        <v>0</v>
      </c>
      <c r="E5103" s="67">
        <v>83900.45</v>
      </c>
      <c r="H5103" s="67" t="s">
        <v>146</v>
      </c>
    </row>
    <row r="5105" spans="1:9" x14ac:dyDescent="0.25">
      <c r="A5105" s="67" t="s">
        <v>2342</v>
      </c>
      <c r="B5105" s="67" t="s">
        <v>2341</v>
      </c>
      <c r="C5105" s="67">
        <v>0</v>
      </c>
      <c r="D5105" s="67">
        <v>0</v>
      </c>
      <c r="E5105" s="67">
        <v>83900.41</v>
      </c>
      <c r="F5105" s="67">
        <v>25250</v>
      </c>
      <c r="H5105" s="68">
        <v>40764</v>
      </c>
      <c r="I5105" s="67" t="s">
        <v>148</v>
      </c>
    </row>
    <row r="5106" spans="1:9" x14ac:dyDescent="0.25">
      <c r="B5106" s="67" t="s">
        <v>2341</v>
      </c>
      <c r="C5106" s="67">
        <v>0</v>
      </c>
      <c r="D5106" s="67">
        <v>0</v>
      </c>
      <c r="E5106" s="67">
        <v>83900.45</v>
      </c>
      <c r="H5106" s="67" t="s">
        <v>146</v>
      </c>
    </row>
    <row r="5108" spans="1:9" x14ac:dyDescent="0.25">
      <c r="A5108" s="67" t="s">
        <v>2340</v>
      </c>
      <c r="B5108" s="67" t="s">
        <v>2339</v>
      </c>
      <c r="C5108" s="67">
        <v>0</v>
      </c>
      <c r="D5108" s="67">
        <v>0</v>
      </c>
      <c r="E5108" s="67">
        <v>83900.41</v>
      </c>
      <c r="F5108" s="67">
        <v>25250</v>
      </c>
      <c r="H5108" s="68">
        <v>40764</v>
      </c>
      <c r="I5108" s="67" t="s">
        <v>148</v>
      </c>
    </row>
    <row r="5109" spans="1:9" x14ac:dyDescent="0.25">
      <c r="B5109" s="67" t="s">
        <v>2339</v>
      </c>
      <c r="C5109" s="67">
        <v>0</v>
      </c>
      <c r="D5109" s="67">
        <v>0</v>
      </c>
      <c r="E5109" s="67">
        <v>83900.45</v>
      </c>
      <c r="H5109" s="67" t="s">
        <v>146</v>
      </c>
    </row>
    <row r="5111" spans="1:9" x14ac:dyDescent="0.25">
      <c r="A5111" s="67" t="s">
        <v>2338</v>
      </c>
      <c r="B5111" s="67" t="s">
        <v>2337</v>
      </c>
      <c r="C5111" s="67">
        <v>0</v>
      </c>
      <c r="D5111" s="67">
        <v>0</v>
      </c>
      <c r="E5111" s="67">
        <v>83900.41</v>
      </c>
      <c r="F5111" s="67">
        <v>25250</v>
      </c>
      <c r="H5111" s="68">
        <v>40764</v>
      </c>
      <c r="I5111" s="67" t="s">
        <v>148</v>
      </c>
    </row>
    <row r="5112" spans="1:9" x14ac:dyDescent="0.25">
      <c r="B5112" s="67" t="s">
        <v>2337</v>
      </c>
      <c r="C5112" s="67">
        <v>0</v>
      </c>
      <c r="D5112" s="67">
        <v>0</v>
      </c>
      <c r="E5112" s="67">
        <v>83900.45</v>
      </c>
      <c r="H5112" s="67" t="s">
        <v>146</v>
      </c>
    </row>
    <row r="5114" spans="1:9" x14ac:dyDescent="0.25">
      <c r="A5114" s="67" t="s">
        <v>2336</v>
      </c>
      <c r="B5114" s="67" t="s">
        <v>2335</v>
      </c>
      <c r="C5114" s="67">
        <v>0</v>
      </c>
      <c r="D5114" s="67">
        <v>0</v>
      </c>
      <c r="E5114" s="67">
        <v>83900.41</v>
      </c>
      <c r="F5114" s="67">
        <v>25250</v>
      </c>
      <c r="H5114" s="68">
        <v>40764</v>
      </c>
      <c r="I5114" s="67" t="s">
        <v>148</v>
      </c>
    </row>
    <row r="5115" spans="1:9" x14ac:dyDescent="0.25">
      <c r="B5115" s="67" t="s">
        <v>2335</v>
      </c>
      <c r="C5115" s="67">
        <v>0</v>
      </c>
      <c r="D5115" s="67">
        <v>0</v>
      </c>
      <c r="E5115" s="67">
        <v>83900.45</v>
      </c>
      <c r="H5115" s="67" t="s">
        <v>146</v>
      </c>
    </row>
    <row r="5117" spans="1:9" x14ac:dyDescent="0.25">
      <c r="A5117" s="67" t="s">
        <v>2334</v>
      </c>
      <c r="B5117" s="67" t="s">
        <v>2333</v>
      </c>
      <c r="C5117" s="67">
        <v>0</v>
      </c>
      <c r="D5117" s="67">
        <v>0</v>
      </c>
      <c r="E5117" s="67">
        <v>83900.41</v>
      </c>
      <c r="F5117" s="67">
        <v>25250</v>
      </c>
      <c r="H5117" s="68">
        <v>40764</v>
      </c>
      <c r="I5117" s="67" t="s">
        <v>148</v>
      </c>
    </row>
    <row r="5118" spans="1:9" x14ac:dyDescent="0.25">
      <c r="B5118" s="67" t="s">
        <v>2333</v>
      </c>
      <c r="C5118" s="67">
        <v>0</v>
      </c>
      <c r="D5118" s="67">
        <v>0</v>
      </c>
      <c r="E5118" s="67">
        <v>83900.45</v>
      </c>
      <c r="H5118" s="67" t="s">
        <v>146</v>
      </c>
    </row>
    <row r="5120" spans="1:9" x14ac:dyDescent="0.25">
      <c r="A5120" s="67" t="s">
        <v>2332</v>
      </c>
      <c r="B5120" s="67" t="s">
        <v>2331</v>
      </c>
      <c r="C5120" s="67">
        <v>0</v>
      </c>
      <c r="D5120" s="67">
        <v>0</v>
      </c>
      <c r="E5120" s="67">
        <v>83900.41</v>
      </c>
      <c r="F5120" s="67">
        <v>25250</v>
      </c>
      <c r="H5120" s="68">
        <v>40764</v>
      </c>
      <c r="I5120" s="67" t="s">
        <v>148</v>
      </c>
    </row>
    <row r="5121" spans="1:9" x14ac:dyDescent="0.25">
      <c r="B5121" s="67" t="s">
        <v>2331</v>
      </c>
      <c r="C5121" s="67">
        <v>0</v>
      </c>
      <c r="D5121" s="67">
        <v>0</v>
      </c>
      <c r="E5121" s="67">
        <v>83900.45</v>
      </c>
      <c r="H5121" s="67" t="s">
        <v>146</v>
      </c>
    </row>
    <row r="5123" spans="1:9" x14ac:dyDescent="0.25">
      <c r="A5123" s="67" t="s">
        <v>2330</v>
      </c>
      <c r="B5123" s="67" t="s">
        <v>2329</v>
      </c>
      <c r="C5123" s="67">
        <v>0</v>
      </c>
      <c r="D5123" s="67">
        <v>0</v>
      </c>
      <c r="E5123" s="67">
        <v>83900.41</v>
      </c>
      <c r="F5123" s="67">
        <v>25250</v>
      </c>
      <c r="H5123" s="68">
        <v>40764</v>
      </c>
      <c r="I5123" s="67" t="s">
        <v>148</v>
      </c>
    </row>
    <row r="5124" spans="1:9" x14ac:dyDescent="0.25">
      <c r="B5124" s="67" t="s">
        <v>2329</v>
      </c>
      <c r="C5124" s="67">
        <v>0</v>
      </c>
      <c r="D5124" s="67">
        <v>0</v>
      </c>
      <c r="E5124" s="67">
        <v>83900.45</v>
      </c>
      <c r="H5124" s="67" t="s">
        <v>146</v>
      </c>
    </row>
    <row r="5126" spans="1:9" x14ac:dyDescent="0.25">
      <c r="A5126" s="67" t="s">
        <v>2328</v>
      </c>
      <c r="B5126" s="67" t="s">
        <v>2327</v>
      </c>
      <c r="C5126" s="67">
        <v>0</v>
      </c>
      <c r="D5126" s="67">
        <v>0</v>
      </c>
      <c r="E5126" s="67">
        <v>83900.41</v>
      </c>
      <c r="F5126" s="67">
        <v>25250</v>
      </c>
      <c r="H5126" s="68">
        <v>40764</v>
      </c>
      <c r="I5126" s="67" t="s">
        <v>148</v>
      </c>
    </row>
    <row r="5127" spans="1:9" x14ac:dyDescent="0.25">
      <c r="B5127" s="67" t="s">
        <v>2327</v>
      </c>
      <c r="C5127" s="67">
        <v>0</v>
      </c>
      <c r="D5127" s="67">
        <v>0</v>
      </c>
      <c r="E5127" s="67">
        <v>83900.45</v>
      </c>
      <c r="H5127" s="67" t="s">
        <v>146</v>
      </c>
    </row>
    <row r="5129" spans="1:9" x14ac:dyDescent="0.25">
      <c r="A5129" s="67" t="s">
        <v>2326</v>
      </c>
      <c r="B5129" s="67" t="s">
        <v>2325</v>
      </c>
      <c r="C5129" s="67">
        <v>0</v>
      </c>
      <c r="D5129" s="67">
        <v>0</v>
      </c>
      <c r="E5129" s="67">
        <v>83900.41</v>
      </c>
      <c r="F5129" s="67">
        <v>25250</v>
      </c>
      <c r="H5129" s="68">
        <v>40764</v>
      </c>
      <c r="I5129" s="67" t="s">
        <v>148</v>
      </c>
    </row>
    <row r="5130" spans="1:9" x14ac:dyDescent="0.25">
      <c r="B5130" s="67" t="s">
        <v>2325</v>
      </c>
      <c r="C5130" s="67">
        <v>0</v>
      </c>
      <c r="D5130" s="67">
        <v>0</v>
      </c>
      <c r="E5130" s="67">
        <v>83900.45</v>
      </c>
      <c r="H5130" s="67" t="s">
        <v>146</v>
      </c>
    </row>
    <row r="5132" spans="1:9" x14ac:dyDescent="0.25">
      <c r="A5132" s="67" t="s">
        <v>2324</v>
      </c>
      <c r="B5132" s="67" t="s">
        <v>2323</v>
      </c>
      <c r="C5132" s="67">
        <v>0</v>
      </c>
      <c r="D5132" s="67">
        <v>0</v>
      </c>
      <c r="E5132" s="67">
        <v>83900.41</v>
      </c>
      <c r="F5132" s="67">
        <v>25250</v>
      </c>
      <c r="H5132" s="68">
        <v>40764</v>
      </c>
      <c r="I5132" s="67" t="s">
        <v>148</v>
      </c>
    </row>
    <row r="5133" spans="1:9" x14ac:dyDescent="0.25">
      <c r="B5133" s="67" t="s">
        <v>2323</v>
      </c>
      <c r="C5133" s="67">
        <v>0</v>
      </c>
      <c r="D5133" s="67">
        <v>0</v>
      </c>
      <c r="E5133" s="67">
        <v>83900.45</v>
      </c>
      <c r="H5133" s="67" t="s">
        <v>146</v>
      </c>
    </row>
    <row r="5135" spans="1:9" x14ac:dyDescent="0.25">
      <c r="A5135" s="67" t="s">
        <v>2322</v>
      </c>
      <c r="B5135" s="67" t="s">
        <v>2321</v>
      </c>
      <c r="C5135" s="67">
        <v>0</v>
      </c>
      <c r="D5135" s="67">
        <v>0</v>
      </c>
      <c r="E5135" s="67">
        <v>83900.41</v>
      </c>
      <c r="F5135" s="67">
        <v>25250</v>
      </c>
      <c r="H5135" s="68">
        <v>40764</v>
      </c>
      <c r="I5135" s="67" t="s">
        <v>148</v>
      </c>
    </row>
    <row r="5136" spans="1:9" x14ac:dyDescent="0.25">
      <c r="B5136" s="67" t="s">
        <v>2321</v>
      </c>
      <c r="C5136" s="67">
        <v>0</v>
      </c>
      <c r="D5136" s="67">
        <v>0</v>
      </c>
      <c r="E5136" s="67">
        <v>83900.45</v>
      </c>
      <c r="H5136" s="67" t="s">
        <v>146</v>
      </c>
    </row>
    <row r="5138" spans="1:9" x14ac:dyDescent="0.25">
      <c r="A5138" s="67" t="s">
        <v>2320</v>
      </c>
      <c r="B5138" s="67" t="s">
        <v>2319</v>
      </c>
      <c r="C5138" s="67">
        <v>0</v>
      </c>
      <c r="D5138" s="67">
        <v>0</v>
      </c>
      <c r="E5138" s="67">
        <v>83900.41</v>
      </c>
      <c r="F5138" s="67">
        <v>25250</v>
      </c>
      <c r="H5138" s="68">
        <v>40764</v>
      </c>
      <c r="I5138" s="67" t="s">
        <v>148</v>
      </c>
    </row>
    <row r="5139" spans="1:9" x14ac:dyDescent="0.25">
      <c r="B5139" s="67" t="s">
        <v>2319</v>
      </c>
      <c r="C5139" s="67">
        <v>0</v>
      </c>
      <c r="D5139" s="67">
        <v>0</v>
      </c>
      <c r="E5139" s="67">
        <v>83900.45</v>
      </c>
      <c r="H5139" s="67" t="s">
        <v>146</v>
      </c>
    </row>
    <row r="5141" spans="1:9" x14ac:dyDescent="0.25">
      <c r="A5141" s="67" t="s">
        <v>2318</v>
      </c>
      <c r="B5141" s="67" t="s">
        <v>2317</v>
      </c>
      <c r="C5141" s="67">
        <v>0</v>
      </c>
      <c r="D5141" s="67">
        <v>0</v>
      </c>
      <c r="E5141" s="67">
        <v>83900.41</v>
      </c>
      <c r="F5141" s="67">
        <v>25250</v>
      </c>
      <c r="H5141" s="68">
        <v>40764</v>
      </c>
      <c r="I5141" s="67" t="s">
        <v>148</v>
      </c>
    </row>
    <row r="5142" spans="1:9" x14ac:dyDescent="0.25">
      <c r="B5142" s="67" t="s">
        <v>2317</v>
      </c>
      <c r="C5142" s="67">
        <v>0</v>
      </c>
      <c r="D5142" s="67">
        <v>0</v>
      </c>
      <c r="E5142" s="67">
        <v>83900.45</v>
      </c>
      <c r="H5142" s="67" t="s">
        <v>146</v>
      </c>
    </row>
    <row r="5144" spans="1:9" x14ac:dyDescent="0.25">
      <c r="A5144" s="67" t="s">
        <v>2316</v>
      </c>
      <c r="B5144" s="67" t="s">
        <v>2315</v>
      </c>
      <c r="C5144" s="67">
        <v>0</v>
      </c>
      <c r="D5144" s="67">
        <v>0</v>
      </c>
      <c r="E5144" s="67">
        <v>83900.41</v>
      </c>
      <c r="F5144" s="67">
        <v>25250</v>
      </c>
      <c r="H5144" s="68">
        <v>40764</v>
      </c>
      <c r="I5144" s="67" t="s">
        <v>148</v>
      </c>
    </row>
    <row r="5145" spans="1:9" x14ac:dyDescent="0.25">
      <c r="B5145" s="67" t="s">
        <v>2315</v>
      </c>
      <c r="C5145" s="67">
        <v>0</v>
      </c>
      <c r="D5145" s="67">
        <v>0</v>
      </c>
      <c r="E5145" s="67">
        <v>83900.45</v>
      </c>
      <c r="H5145" s="67" t="s">
        <v>146</v>
      </c>
    </row>
    <row r="5147" spans="1:9" x14ac:dyDescent="0.25">
      <c r="A5147" s="67" t="s">
        <v>2314</v>
      </c>
      <c r="B5147" s="67" t="s">
        <v>2313</v>
      </c>
      <c r="C5147" s="67">
        <v>0</v>
      </c>
      <c r="D5147" s="67">
        <v>0</v>
      </c>
      <c r="E5147" s="67">
        <v>83900.41</v>
      </c>
      <c r="F5147" s="67">
        <v>25250</v>
      </c>
      <c r="H5147" s="68">
        <v>40764</v>
      </c>
      <c r="I5147" s="67" t="s">
        <v>148</v>
      </c>
    </row>
    <row r="5148" spans="1:9" x14ac:dyDescent="0.25">
      <c r="B5148" s="67" t="s">
        <v>2313</v>
      </c>
      <c r="C5148" s="67">
        <v>0</v>
      </c>
      <c r="D5148" s="67">
        <v>0</v>
      </c>
      <c r="E5148" s="67">
        <v>83900.45</v>
      </c>
      <c r="H5148" s="67" t="s">
        <v>146</v>
      </c>
    </row>
    <row r="5150" spans="1:9" x14ac:dyDescent="0.25">
      <c r="A5150" s="67" t="s">
        <v>2312</v>
      </c>
      <c r="B5150" s="67" t="s">
        <v>2311</v>
      </c>
      <c r="C5150" s="67">
        <v>0</v>
      </c>
      <c r="D5150" s="67">
        <v>0</v>
      </c>
      <c r="E5150" s="67">
        <v>83900.41</v>
      </c>
      <c r="F5150" s="67">
        <v>25250</v>
      </c>
      <c r="H5150" s="68">
        <v>40764</v>
      </c>
      <c r="I5150" s="67" t="s">
        <v>148</v>
      </c>
    </row>
    <row r="5151" spans="1:9" x14ac:dyDescent="0.25">
      <c r="B5151" s="67" t="s">
        <v>2311</v>
      </c>
      <c r="C5151" s="67">
        <v>0</v>
      </c>
      <c r="D5151" s="67">
        <v>0</v>
      </c>
      <c r="E5151" s="67">
        <v>83900.45</v>
      </c>
      <c r="H5151" s="67" t="s">
        <v>146</v>
      </c>
    </row>
    <row r="5152" spans="1:9" x14ac:dyDescent="0.25">
      <c r="A5152" s="67" t="s">
        <v>233</v>
      </c>
    </row>
    <row r="5154" spans="1:9" x14ac:dyDescent="0.25">
      <c r="A5154" s="67" t="s">
        <v>232</v>
      </c>
      <c r="D5154" s="67" t="s">
        <v>231</v>
      </c>
      <c r="H5154" s="67" t="s">
        <v>148</v>
      </c>
      <c r="I5154" s="67" t="s">
        <v>230</v>
      </c>
    </row>
    <row r="5155" spans="1:9" x14ac:dyDescent="0.25">
      <c r="A5155" s="67">
        <v>41.1</v>
      </c>
      <c r="C5155" s="67" t="s">
        <v>215</v>
      </c>
      <c r="D5155" s="67" t="s">
        <v>229</v>
      </c>
      <c r="H5155" s="70">
        <v>44771</v>
      </c>
      <c r="I5155" s="69">
        <v>0.56736111111111109</v>
      </c>
    </row>
    <row r="5156" spans="1:9" x14ac:dyDescent="0.25">
      <c r="A5156" s="67" t="s">
        <v>228</v>
      </c>
      <c r="C5156" s="67" t="s">
        <v>227</v>
      </c>
      <c r="D5156" s="67" t="s">
        <v>226</v>
      </c>
      <c r="E5156" s="67">
        <v>589</v>
      </c>
      <c r="H5156" s="67" t="s">
        <v>225</v>
      </c>
      <c r="I5156" s="67">
        <v>90</v>
      </c>
    </row>
    <row r="5157" spans="1:9" x14ac:dyDescent="0.25">
      <c r="A5157" s="67" t="s">
        <v>884</v>
      </c>
    </row>
    <row r="5158" spans="1:9" x14ac:dyDescent="0.25">
      <c r="A5158" s="67" t="s">
        <v>223</v>
      </c>
      <c r="B5158" s="67" t="s">
        <v>222</v>
      </c>
      <c r="C5158" s="67" t="s">
        <v>221</v>
      </c>
      <c r="D5158" s="67" t="s">
        <v>220</v>
      </c>
      <c r="E5158" s="67" t="s">
        <v>219</v>
      </c>
      <c r="F5158" s="67" t="s">
        <v>217</v>
      </c>
      <c r="G5158" s="67" t="s">
        <v>218</v>
      </c>
      <c r="H5158" s="67" t="s">
        <v>217</v>
      </c>
      <c r="I5158" s="67" t="s">
        <v>216</v>
      </c>
    </row>
    <row r="5159" spans="1:9" x14ac:dyDescent="0.25">
      <c r="A5159" s="67" t="s">
        <v>215</v>
      </c>
      <c r="B5159" s="67" t="s">
        <v>214</v>
      </c>
      <c r="C5159" s="67" t="s">
        <v>213</v>
      </c>
      <c r="D5159" s="67" t="s">
        <v>212</v>
      </c>
      <c r="E5159" s="67" t="s">
        <v>211</v>
      </c>
      <c r="F5159" s="67" t="s">
        <v>210</v>
      </c>
      <c r="G5159" s="67" t="s">
        <v>209</v>
      </c>
      <c r="H5159" s="67" t="s">
        <v>208</v>
      </c>
      <c r="I5159" s="67" t="s">
        <v>207</v>
      </c>
    </row>
    <row r="5160" spans="1:9" x14ac:dyDescent="0.25">
      <c r="A5160" s="67" t="s">
        <v>206</v>
      </c>
      <c r="B5160" s="67" t="s">
        <v>205</v>
      </c>
      <c r="C5160" s="67" t="s">
        <v>204</v>
      </c>
      <c r="D5160" s="67" t="s">
        <v>203</v>
      </c>
      <c r="E5160" s="67" t="s">
        <v>202</v>
      </c>
      <c r="F5160" s="67" t="s">
        <v>201</v>
      </c>
      <c r="G5160" s="67" t="s">
        <v>200</v>
      </c>
      <c r="H5160" s="67" t="s">
        <v>199</v>
      </c>
    </row>
    <row r="5161" spans="1:9" x14ac:dyDescent="0.25">
      <c r="A5161" s="67" t="s">
        <v>2310</v>
      </c>
      <c r="B5161" s="67" t="s">
        <v>2309</v>
      </c>
      <c r="C5161" s="67">
        <v>0</v>
      </c>
      <c r="D5161" s="67">
        <v>0</v>
      </c>
      <c r="E5161" s="67">
        <v>83900.41</v>
      </c>
      <c r="F5161" s="67">
        <v>25250</v>
      </c>
      <c r="H5161" s="68">
        <v>40764</v>
      </c>
      <c r="I5161" s="67" t="s">
        <v>148</v>
      </c>
    </row>
    <row r="5162" spans="1:9" x14ac:dyDescent="0.25">
      <c r="B5162" s="67" t="s">
        <v>2309</v>
      </c>
      <c r="C5162" s="67">
        <v>0</v>
      </c>
      <c r="D5162" s="67">
        <v>0</v>
      </c>
      <c r="E5162" s="67">
        <v>83900.45</v>
      </c>
      <c r="H5162" s="67" t="s">
        <v>146</v>
      </c>
    </row>
    <row r="5164" spans="1:9" x14ac:dyDescent="0.25">
      <c r="A5164" s="67" t="s">
        <v>2308</v>
      </c>
      <c r="B5164" s="67" t="s">
        <v>2307</v>
      </c>
      <c r="C5164" s="67">
        <v>0</v>
      </c>
      <c r="D5164" s="67">
        <v>0</v>
      </c>
      <c r="E5164" s="67">
        <v>83900.41</v>
      </c>
      <c r="F5164" s="67">
        <v>25250</v>
      </c>
      <c r="H5164" s="68">
        <v>40764</v>
      </c>
      <c r="I5164" s="67" t="s">
        <v>148</v>
      </c>
    </row>
    <row r="5165" spans="1:9" x14ac:dyDescent="0.25">
      <c r="B5165" s="67" t="s">
        <v>2307</v>
      </c>
      <c r="C5165" s="67">
        <v>0</v>
      </c>
      <c r="D5165" s="67">
        <v>0</v>
      </c>
      <c r="E5165" s="67">
        <v>83900.45</v>
      </c>
      <c r="H5165" s="67" t="s">
        <v>146</v>
      </c>
    </row>
    <row r="5167" spans="1:9" x14ac:dyDescent="0.25">
      <c r="A5167" s="67" t="s">
        <v>2306</v>
      </c>
      <c r="B5167" s="67" t="s">
        <v>2305</v>
      </c>
      <c r="C5167" s="67">
        <v>0</v>
      </c>
      <c r="D5167" s="67">
        <v>0</v>
      </c>
      <c r="E5167" s="67">
        <v>83900.41</v>
      </c>
      <c r="F5167" s="67">
        <v>25250</v>
      </c>
      <c r="H5167" s="68">
        <v>40764</v>
      </c>
      <c r="I5167" s="67" t="s">
        <v>148</v>
      </c>
    </row>
    <row r="5168" spans="1:9" x14ac:dyDescent="0.25">
      <c r="B5168" s="67" t="s">
        <v>2305</v>
      </c>
      <c r="C5168" s="67">
        <v>0</v>
      </c>
      <c r="D5168" s="67">
        <v>0</v>
      </c>
      <c r="E5168" s="67">
        <v>83900.45</v>
      </c>
      <c r="H5168" s="67" t="s">
        <v>146</v>
      </c>
    </row>
    <row r="5170" spans="1:9" x14ac:dyDescent="0.25">
      <c r="A5170" s="67" t="s">
        <v>2304</v>
      </c>
      <c r="B5170" s="67" t="s">
        <v>2303</v>
      </c>
      <c r="C5170" s="67">
        <v>0</v>
      </c>
      <c r="D5170" s="67">
        <v>0</v>
      </c>
      <c r="E5170" s="67">
        <v>83900.41</v>
      </c>
      <c r="F5170" s="67">
        <v>25250</v>
      </c>
      <c r="H5170" s="68">
        <v>40764</v>
      </c>
      <c r="I5170" s="67" t="s">
        <v>148</v>
      </c>
    </row>
    <row r="5171" spans="1:9" x14ac:dyDescent="0.25">
      <c r="B5171" s="67" t="s">
        <v>2303</v>
      </c>
      <c r="C5171" s="67">
        <v>0</v>
      </c>
      <c r="D5171" s="67">
        <v>0</v>
      </c>
      <c r="E5171" s="67">
        <v>83900.45</v>
      </c>
      <c r="H5171" s="67" t="s">
        <v>146</v>
      </c>
    </row>
    <row r="5173" spans="1:9" x14ac:dyDescent="0.25">
      <c r="A5173" s="67" t="s">
        <v>2302</v>
      </c>
      <c r="B5173" s="67" t="s">
        <v>2301</v>
      </c>
      <c r="C5173" s="67">
        <v>0</v>
      </c>
      <c r="D5173" s="67">
        <v>0</v>
      </c>
      <c r="E5173" s="67">
        <v>83900.41</v>
      </c>
      <c r="F5173" s="67">
        <v>25250</v>
      </c>
      <c r="H5173" s="68">
        <v>40764</v>
      </c>
      <c r="I5173" s="67" t="s">
        <v>148</v>
      </c>
    </row>
    <row r="5174" spans="1:9" x14ac:dyDescent="0.25">
      <c r="B5174" s="67" t="s">
        <v>2301</v>
      </c>
      <c r="C5174" s="67">
        <v>0</v>
      </c>
      <c r="D5174" s="67">
        <v>0</v>
      </c>
      <c r="E5174" s="67">
        <v>83900.45</v>
      </c>
      <c r="H5174" s="67" t="s">
        <v>146</v>
      </c>
    </row>
    <row r="5176" spans="1:9" x14ac:dyDescent="0.25">
      <c r="A5176" s="67" t="s">
        <v>2300</v>
      </c>
      <c r="B5176" s="67" t="s">
        <v>2299</v>
      </c>
      <c r="C5176" s="67">
        <v>0</v>
      </c>
      <c r="D5176" s="67">
        <v>0</v>
      </c>
      <c r="E5176" s="67">
        <v>83900.41</v>
      </c>
      <c r="F5176" s="67">
        <v>25250</v>
      </c>
      <c r="H5176" s="68">
        <v>40764</v>
      </c>
      <c r="I5176" s="67" t="s">
        <v>148</v>
      </c>
    </row>
    <row r="5177" spans="1:9" x14ac:dyDescent="0.25">
      <c r="B5177" s="67" t="s">
        <v>2299</v>
      </c>
      <c r="C5177" s="67">
        <v>0</v>
      </c>
      <c r="D5177" s="67">
        <v>0</v>
      </c>
      <c r="E5177" s="67">
        <v>83900.45</v>
      </c>
      <c r="H5177" s="67" t="s">
        <v>146</v>
      </c>
    </row>
    <row r="5179" spans="1:9" x14ac:dyDescent="0.25">
      <c r="A5179" s="67" t="s">
        <v>2298</v>
      </c>
      <c r="B5179" s="67" t="s">
        <v>2297</v>
      </c>
      <c r="C5179" s="67">
        <v>0</v>
      </c>
      <c r="D5179" s="67">
        <v>0</v>
      </c>
      <c r="E5179" s="67">
        <v>83900.41</v>
      </c>
      <c r="F5179" s="67">
        <v>25250</v>
      </c>
      <c r="H5179" s="68">
        <v>40764</v>
      </c>
      <c r="I5179" s="67" t="s">
        <v>148</v>
      </c>
    </row>
    <row r="5180" spans="1:9" x14ac:dyDescent="0.25">
      <c r="B5180" s="67" t="s">
        <v>2297</v>
      </c>
      <c r="C5180" s="67">
        <v>0</v>
      </c>
      <c r="D5180" s="67">
        <v>0</v>
      </c>
      <c r="E5180" s="67">
        <v>83900.45</v>
      </c>
      <c r="H5180" s="67" t="s">
        <v>146</v>
      </c>
    </row>
    <row r="5182" spans="1:9" x14ac:dyDescent="0.25">
      <c r="A5182" s="67" t="s">
        <v>2296</v>
      </c>
      <c r="B5182" s="67" t="s">
        <v>2295</v>
      </c>
      <c r="C5182" s="67">
        <v>0</v>
      </c>
      <c r="D5182" s="67">
        <v>0</v>
      </c>
      <c r="E5182" s="67">
        <v>83900.41</v>
      </c>
      <c r="F5182" s="67">
        <v>25250</v>
      </c>
      <c r="H5182" s="68">
        <v>40764</v>
      </c>
      <c r="I5182" s="67" t="s">
        <v>148</v>
      </c>
    </row>
    <row r="5183" spans="1:9" x14ac:dyDescent="0.25">
      <c r="B5183" s="67" t="s">
        <v>2295</v>
      </c>
      <c r="C5183" s="67">
        <v>0</v>
      </c>
      <c r="D5183" s="67">
        <v>0</v>
      </c>
      <c r="E5183" s="67">
        <v>83900.45</v>
      </c>
      <c r="H5183" s="67" t="s">
        <v>146</v>
      </c>
    </row>
    <row r="5185" spans="1:9" x14ac:dyDescent="0.25">
      <c r="A5185" s="67" t="s">
        <v>2294</v>
      </c>
      <c r="B5185" s="67" t="s">
        <v>2293</v>
      </c>
      <c r="C5185" s="67">
        <v>0</v>
      </c>
      <c r="D5185" s="67">
        <v>0</v>
      </c>
      <c r="E5185" s="67">
        <v>83900.41</v>
      </c>
      <c r="F5185" s="67">
        <v>25250</v>
      </c>
      <c r="H5185" s="68">
        <v>40764</v>
      </c>
      <c r="I5185" s="67" t="s">
        <v>148</v>
      </c>
    </row>
    <row r="5186" spans="1:9" x14ac:dyDescent="0.25">
      <c r="B5186" s="67" t="s">
        <v>2293</v>
      </c>
      <c r="C5186" s="67">
        <v>0</v>
      </c>
      <c r="D5186" s="67">
        <v>0</v>
      </c>
      <c r="E5186" s="67">
        <v>83900.45</v>
      </c>
      <c r="H5186" s="67" t="s">
        <v>146</v>
      </c>
    </row>
    <row r="5188" spans="1:9" x14ac:dyDescent="0.25">
      <c r="A5188" s="67" t="s">
        <v>2292</v>
      </c>
      <c r="B5188" s="67" t="s">
        <v>2291</v>
      </c>
      <c r="C5188" s="67">
        <v>0</v>
      </c>
      <c r="D5188" s="67">
        <v>0</v>
      </c>
      <c r="E5188" s="67">
        <v>83900.41</v>
      </c>
      <c r="F5188" s="67">
        <v>25250</v>
      </c>
      <c r="H5188" s="68">
        <v>40764</v>
      </c>
      <c r="I5188" s="67" t="s">
        <v>148</v>
      </c>
    </row>
    <row r="5189" spans="1:9" x14ac:dyDescent="0.25">
      <c r="B5189" s="67" t="s">
        <v>2291</v>
      </c>
      <c r="C5189" s="67">
        <v>0</v>
      </c>
      <c r="D5189" s="67">
        <v>0</v>
      </c>
      <c r="E5189" s="67">
        <v>83900.45</v>
      </c>
      <c r="H5189" s="67" t="s">
        <v>146</v>
      </c>
    </row>
    <row r="5191" spans="1:9" x14ac:dyDescent="0.25">
      <c r="A5191" s="67" t="s">
        <v>2290</v>
      </c>
      <c r="B5191" s="67" t="s">
        <v>2289</v>
      </c>
      <c r="C5191" s="67">
        <v>0</v>
      </c>
      <c r="D5191" s="67">
        <v>0</v>
      </c>
      <c r="E5191" s="67">
        <v>83900.41</v>
      </c>
      <c r="F5191" s="67">
        <v>25250</v>
      </c>
      <c r="H5191" s="68">
        <v>40764</v>
      </c>
      <c r="I5191" s="67" t="s">
        <v>148</v>
      </c>
    </row>
    <row r="5192" spans="1:9" x14ac:dyDescent="0.25">
      <c r="B5192" s="67" t="s">
        <v>2289</v>
      </c>
      <c r="C5192" s="67">
        <v>0</v>
      </c>
      <c r="D5192" s="67">
        <v>0</v>
      </c>
      <c r="E5192" s="67">
        <v>83900.45</v>
      </c>
      <c r="H5192" s="67" t="s">
        <v>146</v>
      </c>
    </row>
    <row r="5194" spans="1:9" x14ac:dyDescent="0.25">
      <c r="A5194" s="67" t="s">
        <v>2288</v>
      </c>
      <c r="B5194" s="67" t="s">
        <v>2287</v>
      </c>
      <c r="C5194" s="67">
        <v>0</v>
      </c>
      <c r="D5194" s="67">
        <v>0</v>
      </c>
      <c r="E5194" s="67">
        <v>83900.41</v>
      </c>
      <c r="F5194" s="67">
        <v>25250</v>
      </c>
      <c r="H5194" s="68">
        <v>40764</v>
      </c>
      <c r="I5194" s="67" t="s">
        <v>148</v>
      </c>
    </row>
    <row r="5195" spans="1:9" x14ac:dyDescent="0.25">
      <c r="B5195" s="67" t="s">
        <v>2287</v>
      </c>
      <c r="C5195" s="67">
        <v>0</v>
      </c>
      <c r="D5195" s="67">
        <v>0</v>
      </c>
      <c r="E5195" s="67">
        <v>83900.45</v>
      </c>
      <c r="H5195" s="67" t="s">
        <v>146</v>
      </c>
    </row>
    <row r="5197" spans="1:9" x14ac:dyDescent="0.25">
      <c r="A5197" s="67" t="s">
        <v>2286</v>
      </c>
      <c r="B5197" s="67" t="s">
        <v>2285</v>
      </c>
      <c r="C5197" s="67">
        <v>0</v>
      </c>
      <c r="D5197" s="67">
        <v>0</v>
      </c>
      <c r="E5197" s="67">
        <v>83900.41</v>
      </c>
      <c r="F5197" s="67">
        <v>25250</v>
      </c>
      <c r="H5197" s="68">
        <v>40764</v>
      </c>
      <c r="I5197" s="67" t="s">
        <v>148</v>
      </c>
    </row>
    <row r="5198" spans="1:9" x14ac:dyDescent="0.25">
      <c r="B5198" s="67" t="s">
        <v>2285</v>
      </c>
      <c r="C5198" s="67">
        <v>0</v>
      </c>
      <c r="D5198" s="67">
        <v>0</v>
      </c>
      <c r="E5198" s="67">
        <v>83900.45</v>
      </c>
      <c r="H5198" s="67" t="s">
        <v>146</v>
      </c>
    </row>
    <row r="5200" spans="1:9" x14ac:dyDescent="0.25">
      <c r="A5200" s="67" t="s">
        <v>2284</v>
      </c>
      <c r="B5200" s="67" t="s">
        <v>2283</v>
      </c>
      <c r="C5200" s="67">
        <v>0</v>
      </c>
      <c r="D5200" s="67">
        <v>0</v>
      </c>
      <c r="E5200" s="67">
        <v>83900.41</v>
      </c>
      <c r="F5200" s="67">
        <v>25250</v>
      </c>
      <c r="H5200" s="68">
        <v>40764</v>
      </c>
      <c r="I5200" s="67" t="s">
        <v>148</v>
      </c>
    </row>
    <row r="5201" spans="1:9" x14ac:dyDescent="0.25">
      <c r="B5201" s="67" t="s">
        <v>2283</v>
      </c>
      <c r="C5201" s="67">
        <v>0</v>
      </c>
      <c r="D5201" s="67">
        <v>0</v>
      </c>
      <c r="E5201" s="67">
        <v>83900.45</v>
      </c>
      <c r="H5201" s="67" t="s">
        <v>146</v>
      </c>
    </row>
    <row r="5203" spans="1:9" x14ac:dyDescent="0.25">
      <c r="A5203" s="67" t="s">
        <v>2282</v>
      </c>
      <c r="B5203" s="67" t="s">
        <v>2281</v>
      </c>
      <c r="C5203" s="67">
        <v>0</v>
      </c>
      <c r="D5203" s="67">
        <v>0</v>
      </c>
      <c r="E5203" s="67">
        <v>83900.41</v>
      </c>
      <c r="F5203" s="67">
        <v>25250</v>
      </c>
      <c r="H5203" s="68">
        <v>40764</v>
      </c>
      <c r="I5203" s="67" t="s">
        <v>148</v>
      </c>
    </row>
    <row r="5204" spans="1:9" x14ac:dyDescent="0.25">
      <c r="B5204" s="67" t="s">
        <v>2281</v>
      </c>
      <c r="C5204" s="67">
        <v>0</v>
      </c>
      <c r="D5204" s="67">
        <v>0</v>
      </c>
      <c r="E5204" s="67">
        <v>83900.45</v>
      </c>
      <c r="H5204" s="67" t="s">
        <v>146</v>
      </c>
    </row>
    <row r="5206" spans="1:9" x14ac:dyDescent="0.25">
      <c r="A5206" s="67" t="s">
        <v>2280</v>
      </c>
      <c r="B5206" s="67" t="s">
        <v>2279</v>
      </c>
      <c r="C5206" s="67">
        <v>0</v>
      </c>
      <c r="D5206" s="67">
        <v>0</v>
      </c>
      <c r="E5206" s="67">
        <v>83900.41</v>
      </c>
      <c r="F5206" s="67">
        <v>25250</v>
      </c>
      <c r="H5206" s="68">
        <v>40764</v>
      </c>
      <c r="I5206" s="67" t="s">
        <v>148</v>
      </c>
    </row>
    <row r="5207" spans="1:9" x14ac:dyDescent="0.25">
      <c r="B5207" s="67" t="s">
        <v>2279</v>
      </c>
      <c r="C5207" s="67">
        <v>0</v>
      </c>
      <c r="D5207" s="67">
        <v>0</v>
      </c>
      <c r="E5207" s="67">
        <v>83900.45</v>
      </c>
      <c r="H5207" s="67" t="s">
        <v>146</v>
      </c>
    </row>
    <row r="5209" spans="1:9" x14ac:dyDescent="0.25">
      <c r="A5209" s="67" t="s">
        <v>2278</v>
      </c>
      <c r="B5209" s="67" t="s">
        <v>2277</v>
      </c>
      <c r="C5209" s="67">
        <v>0</v>
      </c>
      <c r="D5209" s="67">
        <v>0</v>
      </c>
      <c r="E5209" s="67">
        <v>83900.41</v>
      </c>
      <c r="F5209" s="67">
        <v>25250</v>
      </c>
      <c r="H5209" s="68">
        <v>40764</v>
      </c>
      <c r="I5209" s="67" t="s">
        <v>148</v>
      </c>
    </row>
    <row r="5210" spans="1:9" x14ac:dyDescent="0.25">
      <c r="B5210" s="67" t="s">
        <v>2277</v>
      </c>
      <c r="C5210" s="67">
        <v>0</v>
      </c>
      <c r="D5210" s="67">
        <v>0</v>
      </c>
      <c r="E5210" s="67">
        <v>83900.45</v>
      </c>
      <c r="H5210" s="67" t="s">
        <v>146</v>
      </c>
    </row>
    <row r="5211" spans="1:9" x14ac:dyDescent="0.25">
      <c r="A5211" s="67" t="s">
        <v>233</v>
      </c>
    </row>
    <row r="5213" spans="1:9" x14ac:dyDescent="0.25">
      <c r="A5213" s="67" t="s">
        <v>232</v>
      </c>
      <c r="D5213" s="67" t="s">
        <v>231</v>
      </c>
      <c r="H5213" s="67" t="s">
        <v>148</v>
      </c>
      <c r="I5213" s="67" t="s">
        <v>230</v>
      </c>
    </row>
    <row r="5214" spans="1:9" x14ac:dyDescent="0.25">
      <c r="A5214" s="67">
        <v>41.1</v>
      </c>
      <c r="C5214" s="67" t="s">
        <v>215</v>
      </c>
      <c r="D5214" s="67" t="s">
        <v>229</v>
      </c>
      <c r="H5214" s="70">
        <v>44771</v>
      </c>
      <c r="I5214" s="69">
        <v>0.56736111111111109</v>
      </c>
    </row>
    <row r="5215" spans="1:9" x14ac:dyDescent="0.25">
      <c r="A5215" s="67" t="s">
        <v>228</v>
      </c>
      <c r="C5215" s="67" t="s">
        <v>227</v>
      </c>
      <c r="D5215" s="67" t="s">
        <v>226</v>
      </c>
      <c r="E5215" s="67">
        <v>589</v>
      </c>
      <c r="H5215" s="67" t="s">
        <v>225</v>
      </c>
      <c r="I5215" s="67">
        <v>91</v>
      </c>
    </row>
    <row r="5216" spans="1:9" x14ac:dyDescent="0.25">
      <c r="A5216" s="67" t="s">
        <v>884</v>
      </c>
    </row>
    <row r="5217" spans="1:9" x14ac:dyDescent="0.25">
      <c r="A5217" s="67" t="s">
        <v>223</v>
      </c>
      <c r="B5217" s="67" t="s">
        <v>222</v>
      </c>
      <c r="C5217" s="67" t="s">
        <v>221</v>
      </c>
      <c r="D5217" s="67" t="s">
        <v>220</v>
      </c>
      <c r="E5217" s="67" t="s">
        <v>219</v>
      </c>
      <c r="F5217" s="67" t="s">
        <v>217</v>
      </c>
      <c r="G5217" s="67" t="s">
        <v>218</v>
      </c>
      <c r="H5217" s="67" t="s">
        <v>217</v>
      </c>
      <c r="I5217" s="67" t="s">
        <v>216</v>
      </c>
    </row>
    <row r="5218" spans="1:9" x14ac:dyDescent="0.25">
      <c r="A5218" s="67" t="s">
        <v>215</v>
      </c>
      <c r="B5218" s="67" t="s">
        <v>214</v>
      </c>
      <c r="C5218" s="67" t="s">
        <v>213</v>
      </c>
      <c r="D5218" s="67" t="s">
        <v>212</v>
      </c>
      <c r="E5218" s="67" t="s">
        <v>211</v>
      </c>
      <c r="F5218" s="67" t="s">
        <v>210</v>
      </c>
      <c r="G5218" s="67" t="s">
        <v>209</v>
      </c>
      <c r="H5218" s="67" t="s">
        <v>208</v>
      </c>
      <c r="I5218" s="67" t="s">
        <v>207</v>
      </c>
    </row>
    <row r="5219" spans="1:9" x14ac:dyDescent="0.25">
      <c r="A5219" s="67" t="s">
        <v>206</v>
      </c>
      <c r="B5219" s="67" t="s">
        <v>205</v>
      </c>
      <c r="C5219" s="67" t="s">
        <v>204</v>
      </c>
      <c r="D5219" s="67" t="s">
        <v>203</v>
      </c>
      <c r="E5219" s="67" t="s">
        <v>202</v>
      </c>
      <c r="F5219" s="67" t="s">
        <v>201</v>
      </c>
      <c r="G5219" s="67" t="s">
        <v>200</v>
      </c>
      <c r="H5219" s="67" t="s">
        <v>199</v>
      </c>
    </row>
    <row r="5220" spans="1:9" x14ac:dyDescent="0.25">
      <c r="A5220" s="67" t="s">
        <v>2276</v>
      </c>
      <c r="B5220" s="67" t="s">
        <v>2275</v>
      </c>
      <c r="C5220" s="67">
        <v>0</v>
      </c>
      <c r="D5220" s="67">
        <v>0</v>
      </c>
      <c r="E5220" s="67">
        <v>83900.41</v>
      </c>
      <c r="F5220" s="67">
        <v>25250</v>
      </c>
      <c r="H5220" s="68">
        <v>40764</v>
      </c>
      <c r="I5220" s="67" t="s">
        <v>148</v>
      </c>
    </row>
    <row r="5221" spans="1:9" x14ac:dyDescent="0.25">
      <c r="B5221" s="67" t="s">
        <v>2275</v>
      </c>
      <c r="C5221" s="67">
        <v>0</v>
      </c>
      <c r="D5221" s="67">
        <v>0</v>
      </c>
      <c r="E5221" s="67">
        <v>83900.45</v>
      </c>
      <c r="H5221" s="67" t="s">
        <v>146</v>
      </c>
    </row>
    <row r="5223" spans="1:9" x14ac:dyDescent="0.25">
      <c r="A5223" s="67" t="s">
        <v>2274</v>
      </c>
      <c r="B5223" s="67" t="s">
        <v>2273</v>
      </c>
      <c r="C5223" s="67">
        <v>0</v>
      </c>
      <c r="D5223" s="67">
        <v>0</v>
      </c>
      <c r="E5223" s="67">
        <v>83900.41</v>
      </c>
      <c r="F5223" s="67">
        <v>25250</v>
      </c>
      <c r="H5223" s="68">
        <v>40764</v>
      </c>
      <c r="I5223" s="67" t="s">
        <v>148</v>
      </c>
    </row>
    <row r="5224" spans="1:9" x14ac:dyDescent="0.25">
      <c r="B5224" s="67" t="s">
        <v>2273</v>
      </c>
      <c r="C5224" s="67">
        <v>0</v>
      </c>
      <c r="D5224" s="67">
        <v>0</v>
      </c>
      <c r="E5224" s="67">
        <v>83900.45</v>
      </c>
      <c r="H5224" s="67" t="s">
        <v>146</v>
      </c>
    </row>
    <row r="5226" spans="1:9" x14ac:dyDescent="0.25">
      <c r="A5226" s="67" t="s">
        <v>2272</v>
      </c>
      <c r="B5226" s="67" t="s">
        <v>2271</v>
      </c>
      <c r="C5226" s="67">
        <v>0</v>
      </c>
      <c r="D5226" s="67">
        <v>0</v>
      </c>
      <c r="E5226" s="67">
        <v>83900.41</v>
      </c>
      <c r="F5226" s="67">
        <v>25250</v>
      </c>
      <c r="H5226" s="68">
        <v>40764</v>
      </c>
      <c r="I5226" s="67" t="s">
        <v>148</v>
      </c>
    </row>
    <row r="5227" spans="1:9" x14ac:dyDescent="0.25">
      <c r="B5227" s="67" t="s">
        <v>2271</v>
      </c>
      <c r="C5227" s="67">
        <v>0</v>
      </c>
      <c r="D5227" s="67">
        <v>0</v>
      </c>
      <c r="E5227" s="67">
        <v>83900.45</v>
      </c>
      <c r="H5227" s="67" t="s">
        <v>146</v>
      </c>
    </row>
    <row r="5229" spans="1:9" x14ac:dyDescent="0.25">
      <c r="A5229" s="67" t="s">
        <v>2270</v>
      </c>
      <c r="B5229" s="67" t="s">
        <v>2269</v>
      </c>
      <c r="C5229" s="67">
        <v>0</v>
      </c>
      <c r="D5229" s="67">
        <v>0</v>
      </c>
      <c r="E5229" s="67">
        <v>83900.41</v>
      </c>
      <c r="F5229" s="67">
        <v>25250</v>
      </c>
      <c r="H5229" s="68">
        <v>40764</v>
      </c>
      <c r="I5229" s="67" t="s">
        <v>148</v>
      </c>
    </row>
    <row r="5230" spans="1:9" x14ac:dyDescent="0.25">
      <c r="B5230" s="67" t="s">
        <v>2269</v>
      </c>
      <c r="C5230" s="67">
        <v>0</v>
      </c>
      <c r="D5230" s="67">
        <v>0</v>
      </c>
      <c r="E5230" s="67">
        <v>83900.45</v>
      </c>
      <c r="H5230" s="67" t="s">
        <v>146</v>
      </c>
    </row>
    <row r="5232" spans="1:9" x14ac:dyDescent="0.25">
      <c r="A5232" s="67" t="s">
        <v>2268</v>
      </c>
      <c r="B5232" s="67" t="s">
        <v>2267</v>
      </c>
      <c r="C5232" s="67">
        <v>0</v>
      </c>
      <c r="D5232" s="67">
        <v>0</v>
      </c>
      <c r="E5232" s="67">
        <v>83900.41</v>
      </c>
      <c r="F5232" s="67">
        <v>25250</v>
      </c>
      <c r="H5232" s="68">
        <v>40764</v>
      </c>
      <c r="I5232" s="67" t="s">
        <v>148</v>
      </c>
    </row>
    <row r="5233" spans="1:9" x14ac:dyDescent="0.25">
      <c r="B5233" s="67" t="s">
        <v>2267</v>
      </c>
      <c r="C5233" s="67">
        <v>0</v>
      </c>
      <c r="D5233" s="67">
        <v>0</v>
      </c>
      <c r="E5233" s="67">
        <v>83900.45</v>
      </c>
      <c r="H5233" s="67" t="s">
        <v>146</v>
      </c>
    </row>
    <row r="5235" spans="1:9" x14ac:dyDescent="0.25">
      <c r="A5235" s="67" t="s">
        <v>2266</v>
      </c>
      <c r="B5235" s="67" t="s">
        <v>2265</v>
      </c>
      <c r="C5235" s="67">
        <v>0</v>
      </c>
      <c r="D5235" s="67">
        <v>0</v>
      </c>
      <c r="E5235" s="67">
        <v>83900.41</v>
      </c>
      <c r="F5235" s="67">
        <v>25250</v>
      </c>
      <c r="H5235" s="68">
        <v>40764</v>
      </c>
      <c r="I5235" s="67" t="s">
        <v>148</v>
      </c>
    </row>
    <row r="5236" spans="1:9" x14ac:dyDescent="0.25">
      <c r="B5236" s="67" t="s">
        <v>2265</v>
      </c>
      <c r="C5236" s="67">
        <v>0</v>
      </c>
      <c r="D5236" s="67">
        <v>0</v>
      </c>
      <c r="E5236" s="67">
        <v>83900.45</v>
      </c>
      <c r="H5236" s="67" t="s">
        <v>146</v>
      </c>
    </row>
    <row r="5238" spans="1:9" x14ac:dyDescent="0.25">
      <c r="A5238" s="67" t="s">
        <v>2264</v>
      </c>
      <c r="B5238" s="67" t="s">
        <v>2263</v>
      </c>
      <c r="C5238" s="67">
        <v>0</v>
      </c>
      <c r="D5238" s="67">
        <v>0</v>
      </c>
      <c r="E5238" s="67">
        <v>83900.41</v>
      </c>
      <c r="F5238" s="67">
        <v>25250</v>
      </c>
      <c r="H5238" s="68">
        <v>40764</v>
      </c>
      <c r="I5238" s="67" t="s">
        <v>148</v>
      </c>
    </row>
    <row r="5239" spans="1:9" x14ac:dyDescent="0.25">
      <c r="B5239" s="67" t="s">
        <v>2263</v>
      </c>
      <c r="C5239" s="67">
        <v>0</v>
      </c>
      <c r="D5239" s="67">
        <v>0</v>
      </c>
      <c r="E5239" s="67">
        <v>83900.45</v>
      </c>
      <c r="H5239" s="67" t="s">
        <v>146</v>
      </c>
    </row>
    <row r="5241" spans="1:9" x14ac:dyDescent="0.25">
      <c r="A5241" s="67" t="s">
        <v>2262</v>
      </c>
      <c r="B5241" s="67" t="s">
        <v>2261</v>
      </c>
      <c r="C5241" s="67">
        <v>0</v>
      </c>
      <c r="D5241" s="67">
        <v>0</v>
      </c>
      <c r="E5241" s="67">
        <v>83900.41</v>
      </c>
      <c r="F5241" s="67">
        <v>25250</v>
      </c>
      <c r="H5241" s="68">
        <v>40764</v>
      </c>
      <c r="I5241" s="67" t="s">
        <v>148</v>
      </c>
    </row>
    <row r="5242" spans="1:9" x14ac:dyDescent="0.25">
      <c r="B5242" s="67" t="s">
        <v>2261</v>
      </c>
      <c r="C5242" s="67">
        <v>0</v>
      </c>
      <c r="D5242" s="67">
        <v>0</v>
      </c>
      <c r="E5242" s="67">
        <v>83900.45</v>
      </c>
      <c r="H5242" s="67" t="s">
        <v>146</v>
      </c>
    </row>
    <row r="5244" spans="1:9" x14ac:dyDescent="0.25">
      <c r="A5244" s="67" t="s">
        <v>2260</v>
      </c>
      <c r="B5244" s="67" t="s">
        <v>2259</v>
      </c>
      <c r="C5244" s="67">
        <v>0</v>
      </c>
      <c r="D5244" s="67">
        <v>0</v>
      </c>
      <c r="E5244" s="67">
        <v>83900.41</v>
      </c>
      <c r="F5244" s="67">
        <v>25250</v>
      </c>
      <c r="H5244" s="68">
        <v>40764</v>
      </c>
      <c r="I5244" s="67" t="s">
        <v>148</v>
      </c>
    </row>
    <row r="5245" spans="1:9" x14ac:dyDescent="0.25">
      <c r="B5245" s="67" t="s">
        <v>2259</v>
      </c>
      <c r="C5245" s="67">
        <v>0</v>
      </c>
      <c r="D5245" s="67">
        <v>0</v>
      </c>
      <c r="E5245" s="67">
        <v>83900.45</v>
      </c>
      <c r="H5245" s="67" t="s">
        <v>146</v>
      </c>
    </row>
    <row r="5247" spans="1:9" x14ac:dyDescent="0.25">
      <c r="A5247" s="67" t="s">
        <v>2258</v>
      </c>
      <c r="B5247" s="67" t="s">
        <v>2257</v>
      </c>
      <c r="C5247" s="67">
        <v>0</v>
      </c>
      <c r="D5247" s="67">
        <v>0</v>
      </c>
      <c r="E5247" s="67">
        <v>83900.41</v>
      </c>
      <c r="F5247" s="67">
        <v>25250</v>
      </c>
      <c r="H5247" s="68">
        <v>40764</v>
      </c>
      <c r="I5247" s="67" t="s">
        <v>148</v>
      </c>
    </row>
    <row r="5248" spans="1:9" x14ac:dyDescent="0.25">
      <c r="B5248" s="67" t="s">
        <v>2257</v>
      </c>
      <c r="C5248" s="67">
        <v>0</v>
      </c>
      <c r="D5248" s="67">
        <v>0</v>
      </c>
      <c r="E5248" s="67">
        <v>83900.45</v>
      </c>
      <c r="H5248" s="67" t="s">
        <v>146</v>
      </c>
    </row>
    <row r="5250" spans="1:9" x14ac:dyDescent="0.25">
      <c r="A5250" s="67" t="s">
        <v>2256</v>
      </c>
      <c r="B5250" s="67" t="s">
        <v>2255</v>
      </c>
      <c r="C5250" s="67">
        <v>0</v>
      </c>
      <c r="D5250" s="67">
        <v>0</v>
      </c>
      <c r="E5250" s="67">
        <v>83900.41</v>
      </c>
      <c r="F5250" s="67">
        <v>25250</v>
      </c>
      <c r="H5250" s="68">
        <v>40764</v>
      </c>
      <c r="I5250" s="67" t="s">
        <v>148</v>
      </c>
    </row>
    <row r="5251" spans="1:9" x14ac:dyDescent="0.25">
      <c r="B5251" s="67" t="s">
        <v>2255</v>
      </c>
      <c r="C5251" s="67">
        <v>0</v>
      </c>
      <c r="D5251" s="67">
        <v>0</v>
      </c>
      <c r="E5251" s="67">
        <v>83900.45</v>
      </c>
      <c r="H5251" s="67" t="s">
        <v>146</v>
      </c>
    </row>
    <row r="5253" spans="1:9" x14ac:dyDescent="0.25">
      <c r="A5253" s="67" t="s">
        <v>2254</v>
      </c>
      <c r="B5253" s="67" t="s">
        <v>2253</v>
      </c>
      <c r="C5253" s="67">
        <v>0</v>
      </c>
      <c r="D5253" s="67">
        <v>0</v>
      </c>
      <c r="E5253" s="67">
        <v>83900.41</v>
      </c>
      <c r="F5253" s="67">
        <v>25250</v>
      </c>
      <c r="H5253" s="68">
        <v>40764</v>
      </c>
      <c r="I5253" s="67" t="s">
        <v>148</v>
      </c>
    </row>
    <row r="5254" spans="1:9" x14ac:dyDescent="0.25">
      <c r="B5254" s="67" t="s">
        <v>2253</v>
      </c>
      <c r="C5254" s="67">
        <v>0</v>
      </c>
      <c r="D5254" s="67">
        <v>0</v>
      </c>
      <c r="E5254" s="67">
        <v>83900.45</v>
      </c>
      <c r="H5254" s="67" t="s">
        <v>146</v>
      </c>
    </row>
    <row r="5256" spans="1:9" x14ac:dyDescent="0.25">
      <c r="A5256" s="67" t="s">
        <v>2252</v>
      </c>
      <c r="B5256" s="67" t="s">
        <v>2251</v>
      </c>
      <c r="C5256" s="67">
        <v>0</v>
      </c>
      <c r="D5256" s="67">
        <v>0</v>
      </c>
      <c r="E5256" s="67">
        <v>83900.41</v>
      </c>
      <c r="F5256" s="67">
        <v>25250</v>
      </c>
      <c r="H5256" s="68">
        <v>40764</v>
      </c>
      <c r="I5256" s="67" t="s">
        <v>148</v>
      </c>
    </row>
    <row r="5257" spans="1:9" x14ac:dyDescent="0.25">
      <c r="B5257" s="67" t="s">
        <v>2251</v>
      </c>
      <c r="C5257" s="67">
        <v>0</v>
      </c>
      <c r="D5257" s="67">
        <v>0</v>
      </c>
      <c r="E5257" s="67">
        <v>83900.45</v>
      </c>
      <c r="H5257" s="67" t="s">
        <v>146</v>
      </c>
    </row>
    <row r="5259" spans="1:9" x14ac:dyDescent="0.25">
      <c r="A5259" s="67" t="s">
        <v>2250</v>
      </c>
      <c r="B5259" s="67" t="s">
        <v>2249</v>
      </c>
      <c r="C5259" s="67">
        <v>0</v>
      </c>
      <c r="D5259" s="67">
        <v>0</v>
      </c>
      <c r="E5259" s="67">
        <v>83900.41</v>
      </c>
      <c r="F5259" s="67">
        <v>25250</v>
      </c>
      <c r="H5259" s="68">
        <v>40764</v>
      </c>
      <c r="I5259" s="67" t="s">
        <v>148</v>
      </c>
    </row>
    <row r="5260" spans="1:9" x14ac:dyDescent="0.25">
      <c r="B5260" s="67" t="s">
        <v>2249</v>
      </c>
      <c r="C5260" s="67">
        <v>0</v>
      </c>
      <c r="D5260" s="67">
        <v>0</v>
      </c>
      <c r="E5260" s="67">
        <v>83900.45</v>
      </c>
      <c r="H5260" s="67" t="s">
        <v>146</v>
      </c>
    </row>
    <row r="5262" spans="1:9" x14ac:dyDescent="0.25">
      <c r="A5262" s="67" t="s">
        <v>2248</v>
      </c>
      <c r="B5262" s="67" t="s">
        <v>2247</v>
      </c>
      <c r="C5262" s="67">
        <v>0</v>
      </c>
      <c r="D5262" s="67">
        <v>0</v>
      </c>
      <c r="E5262" s="67">
        <v>83900.41</v>
      </c>
      <c r="F5262" s="67">
        <v>25250</v>
      </c>
      <c r="H5262" s="68">
        <v>40764</v>
      </c>
      <c r="I5262" s="67" t="s">
        <v>148</v>
      </c>
    </row>
    <row r="5263" spans="1:9" x14ac:dyDescent="0.25">
      <c r="B5263" s="67" t="s">
        <v>2247</v>
      </c>
      <c r="C5263" s="67">
        <v>0</v>
      </c>
      <c r="D5263" s="67">
        <v>0</v>
      </c>
      <c r="E5263" s="67">
        <v>83900.45</v>
      </c>
      <c r="H5263" s="67" t="s">
        <v>146</v>
      </c>
    </row>
    <row r="5265" spans="1:9" x14ac:dyDescent="0.25">
      <c r="A5265" s="67" t="s">
        <v>2246</v>
      </c>
      <c r="B5265" s="67" t="s">
        <v>2245</v>
      </c>
      <c r="C5265" s="67">
        <v>0</v>
      </c>
      <c r="D5265" s="67">
        <v>0</v>
      </c>
      <c r="E5265" s="67">
        <v>83900.41</v>
      </c>
      <c r="F5265" s="67">
        <v>25250</v>
      </c>
      <c r="H5265" s="68">
        <v>40764</v>
      </c>
      <c r="I5265" s="67" t="s">
        <v>148</v>
      </c>
    </row>
    <row r="5266" spans="1:9" x14ac:dyDescent="0.25">
      <c r="B5266" s="67" t="s">
        <v>2245</v>
      </c>
      <c r="C5266" s="67">
        <v>0</v>
      </c>
      <c r="D5266" s="67">
        <v>0</v>
      </c>
      <c r="E5266" s="67">
        <v>83900.45</v>
      </c>
      <c r="H5266" s="67" t="s">
        <v>146</v>
      </c>
    </row>
    <row r="5268" spans="1:9" x14ac:dyDescent="0.25">
      <c r="A5268" s="67" t="s">
        <v>2244</v>
      </c>
      <c r="B5268" s="67" t="s">
        <v>2243</v>
      </c>
      <c r="C5268" s="67">
        <v>0</v>
      </c>
      <c r="D5268" s="67">
        <v>0</v>
      </c>
      <c r="E5268" s="67">
        <v>83900.41</v>
      </c>
      <c r="F5268" s="67">
        <v>25250</v>
      </c>
      <c r="H5268" s="68">
        <v>40764</v>
      </c>
      <c r="I5268" s="67" t="s">
        <v>148</v>
      </c>
    </row>
    <row r="5269" spans="1:9" x14ac:dyDescent="0.25">
      <c r="B5269" s="67" t="s">
        <v>2243</v>
      </c>
      <c r="C5269" s="67">
        <v>0</v>
      </c>
      <c r="D5269" s="67">
        <v>0</v>
      </c>
      <c r="E5269" s="67">
        <v>83900.45</v>
      </c>
      <c r="H5269" s="67" t="s">
        <v>146</v>
      </c>
    </row>
    <row r="5270" spans="1:9" x14ac:dyDescent="0.25">
      <c r="A5270" s="67" t="s">
        <v>233</v>
      </c>
    </row>
    <row r="5272" spans="1:9" x14ac:dyDescent="0.25">
      <c r="A5272" s="67" t="s">
        <v>232</v>
      </c>
      <c r="D5272" s="67" t="s">
        <v>231</v>
      </c>
      <c r="H5272" s="67" t="s">
        <v>148</v>
      </c>
      <c r="I5272" s="67" t="s">
        <v>230</v>
      </c>
    </row>
    <row r="5273" spans="1:9" x14ac:dyDescent="0.25">
      <c r="A5273" s="67">
        <v>41.1</v>
      </c>
      <c r="C5273" s="67" t="s">
        <v>215</v>
      </c>
      <c r="D5273" s="67" t="s">
        <v>229</v>
      </c>
      <c r="H5273" s="70">
        <v>44771</v>
      </c>
      <c r="I5273" s="69">
        <v>0.56736111111111109</v>
      </c>
    </row>
    <row r="5274" spans="1:9" x14ac:dyDescent="0.25">
      <c r="A5274" s="67" t="s">
        <v>228</v>
      </c>
      <c r="C5274" s="67" t="s">
        <v>227</v>
      </c>
      <c r="D5274" s="67" t="s">
        <v>226</v>
      </c>
      <c r="E5274" s="67">
        <v>589</v>
      </c>
      <c r="H5274" s="67" t="s">
        <v>225</v>
      </c>
      <c r="I5274" s="67">
        <v>92</v>
      </c>
    </row>
    <row r="5275" spans="1:9" x14ac:dyDescent="0.25">
      <c r="A5275" s="67" t="s">
        <v>884</v>
      </c>
    </row>
    <row r="5276" spans="1:9" x14ac:dyDescent="0.25">
      <c r="A5276" s="67" t="s">
        <v>223</v>
      </c>
      <c r="B5276" s="67" t="s">
        <v>222</v>
      </c>
      <c r="C5276" s="67" t="s">
        <v>221</v>
      </c>
      <c r="D5276" s="67" t="s">
        <v>220</v>
      </c>
      <c r="E5276" s="67" t="s">
        <v>219</v>
      </c>
      <c r="F5276" s="67" t="s">
        <v>217</v>
      </c>
      <c r="G5276" s="67" t="s">
        <v>218</v>
      </c>
      <c r="H5276" s="67" t="s">
        <v>217</v>
      </c>
      <c r="I5276" s="67" t="s">
        <v>216</v>
      </c>
    </row>
    <row r="5277" spans="1:9" x14ac:dyDescent="0.25">
      <c r="A5277" s="67" t="s">
        <v>215</v>
      </c>
      <c r="B5277" s="67" t="s">
        <v>214</v>
      </c>
      <c r="C5277" s="67" t="s">
        <v>213</v>
      </c>
      <c r="D5277" s="67" t="s">
        <v>212</v>
      </c>
      <c r="E5277" s="67" t="s">
        <v>211</v>
      </c>
      <c r="F5277" s="67" t="s">
        <v>210</v>
      </c>
      <c r="G5277" s="67" t="s">
        <v>209</v>
      </c>
      <c r="H5277" s="67" t="s">
        <v>208</v>
      </c>
      <c r="I5277" s="67" t="s">
        <v>207</v>
      </c>
    </row>
    <row r="5278" spans="1:9" x14ac:dyDescent="0.25">
      <c r="A5278" s="67" t="s">
        <v>206</v>
      </c>
      <c r="B5278" s="67" t="s">
        <v>205</v>
      </c>
      <c r="C5278" s="67" t="s">
        <v>204</v>
      </c>
      <c r="D5278" s="67" t="s">
        <v>203</v>
      </c>
      <c r="E5278" s="67" t="s">
        <v>202</v>
      </c>
      <c r="F5278" s="67" t="s">
        <v>201</v>
      </c>
      <c r="G5278" s="67" t="s">
        <v>200</v>
      </c>
      <c r="H5278" s="67" t="s">
        <v>199</v>
      </c>
    </row>
    <row r="5279" spans="1:9" x14ac:dyDescent="0.25">
      <c r="A5279" s="67" t="s">
        <v>2242</v>
      </c>
      <c r="B5279" s="67" t="s">
        <v>2241</v>
      </c>
      <c r="C5279" s="67">
        <v>0</v>
      </c>
      <c r="D5279" s="67">
        <v>0</v>
      </c>
      <c r="E5279" s="67">
        <v>83900.41</v>
      </c>
      <c r="F5279" s="67">
        <v>25250</v>
      </c>
      <c r="H5279" s="68">
        <v>40764</v>
      </c>
      <c r="I5279" s="67" t="s">
        <v>148</v>
      </c>
    </row>
    <row r="5280" spans="1:9" x14ac:dyDescent="0.25">
      <c r="B5280" s="67" t="s">
        <v>2241</v>
      </c>
      <c r="C5280" s="67">
        <v>0</v>
      </c>
      <c r="D5280" s="67">
        <v>0</v>
      </c>
      <c r="E5280" s="67">
        <v>83900.45</v>
      </c>
      <c r="H5280" s="67" t="s">
        <v>146</v>
      </c>
    </row>
    <row r="5282" spans="1:9" x14ac:dyDescent="0.25">
      <c r="A5282" s="67" t="s">
        <v>2240</v>
      </c>
      <c r="B5282" s="67" t="s">
        <v>2239</v>
      </c>
      <c r="C5282" s="67">
        <v>0</v>
      </c>
      <c r="D5282" s="67">
        <v>0</v>
      </c>
      <c r="E5282" s="67">
        <v>83900.41</v>
      </c>
      <c r="F5282" s="67">
        <v>25250</v>
      </c>
      <c r="H5282" s="68">
        <v>40764</v>
      </c>
      <c r="I5282" s="67" t="s">
        <v>148</v>
      </c>
    </row>
    <row r="5283" spans="1:9" x14ac:dyDescent="0.25">
      <c r="B5283" s="67" t="s">
        <v>2239</v>
      </c>
      <c r="C5283" s="67">
        <v>0</v>
      </c>
      <c r="D5283" s="67">
        <v>0</v>
      </c>
      <c r="E5283" s="67">
        <v>83900.45</v>
      </c>
      <c r="H5283" s="67" t="s">
        <v>146</v>
      </c>
    </row>
    <row r="5285" spans="1:9" x14ac:dyDescent="0.25">
      <c r="A5285" s="67" t="s">
        <v>2238</v>
      </c>
      <c r="B5285" s="67" t="s">
        <v>2237</v>
      </c>
      <c r="C5285" s="67">
        <v>0</v>
      </c>
      <c r="D5285" s="67">
        <v>0</v>
      </c>
      <c r="E5285" s="67">
        <v>83900.41</v>
      </c>
      <c r="F5285" s="67">
        <v>25250</v>
      </c>
      <c r="H5285" s="68">
        <v>40764</v>
      </c>
      <c r="I5285" s="67" t="s">
        <v>148</v>
      </c>
    </row>
    <row r="5286" spans="1:9" x14ac:dyDescent="0.25">
      <c r="B5286" s="67" t="s">
        <v>2237</v>
      </c>
      <c r="C5286" s="67">
        <v>0</v>
      </c>
      <c r="D5286" s="67">
        <v>0</v>
      </c>
      <c r="E5286" s="67">
        <v>83900.45</v>
      </c>
      <c r="H5286" s="67" t="s">
        <v>146</v>
      </c>
    </row>
    <row r="5288" spans="1:9" x14ac:dyDescent="0.25">
      <c r="A5288" s="67" t="s">
        <v>2236</v>
      </c>
      <c r="B5288" s="67" t="s">
        <v>2235</v>
      </c>
      <c r="C5288" s="67">
        <v>0</v>
      </c>
      <c r="D5288" s="67">
        <v>0</v>
      </c>
      <c r="E5288" s="67">
        <v>83900.41</v>
      </c>
      <c r="F5288" s="67">
        <v>25250</v>
      </c>
      <c r="H5288" s="68">
        <v>40764</v>
      </c>
      <c r="I5288" s="67" t="s">
        <v>148</v>
      </c>
    </row>
    <row r="5289" spans="1:9" x14ac:dyDescent="0.25">
      <c r="B5289" s="67" t="s">
        <v>2235</v>
      </c>
      <c r="C5289" s="67">
        <v>0</v>
      </c>
      <c r="D5289" s="67">
        <v>0</v>
      </c>
      <c r="E5289" s="67">
        <v>83900.45</v>
      </c>
      <c r="H5289" s="67" t="s">
        <v>146</v>
      </c>
    </row>
    <row r="5291" spans="1:9" x14ac:dyDescent="0.25">
      <c r="A5291" s="67" t="s">
        <v>2234</v>
      </c>
      <c r="B5291" s="67" t="s">
        <v>2233</v>
      </c>
      <c r="C5291" s="67">
        <v>0</v>
      </c>
      <c r="D5291" s="67">
        <v>0</v>
      </c>
      <c r="E5291" s="67">
        <v>83900.41</v>
      </c>
      <c r="F5291" s="67">
        <v>25250</v>
      </c>
      <c r="H5291" s="68">
        <v>40764</v>
      </c>
      <c r="I5291" s="67" t="s">
        <v>148</v>
      </c>
    </row>
    <row r="5292" spans="1:9" x14ac:dyDescent="0.25">
      <c r="B5292" s="67" t="s">
        <v>2233</v>
      </c>
      <c r="C5292" s="67">
        <v>0</v>
      </c>
      <c r="D5292" s="67">
        <v>0</v>
      </c>
      <c r="E5292" s="67">
        <v>83900.45</v>
      </c>
      <c r="H5292" s="67" t="s">
        <v>146</v>
      </c>
    </row>
    <row r="5294" spans="1:9" x14ac:dyDescent="0.25">
      <c r="A5294" s="67" t="s">
        <v>2232</v>
      </c>
      <c r="B5294" s="67" t="s">
        <v>2231</v>
      </c>
      <c r="C5294" s="67">
        <v>0</v>
      </c>
      <c r="D5294" s="67">
        <v>0</v>
      </c>
      <c r="E5294" s="67">
        <v>83900.41</v>
      </c>
      <c r="F5294" s="67">
        <v>25250</v>
      </c>
      <c r="H5294" s="68">
        <v>40764</v>
      </c>
      <c r="I5294" s="67" t="s">
        <v>148</v>
      </c>
    </row>
    <row r="5295" spans="1:9" x14ac:dyDescent="0.25">
      <c r="B5295" s="67" t="s">
        <v>2231</v>
      </c>
      <c r="C5295" s="67">
        <v>0</v>
      </c>
      <c r="D5295" s="67">
        <v>0</v>
      </c>
      <c r="E5295" s="67">
        <v>83900.45</v>
      </c>
      <c r="H5295" s="67" t="s">
        <v>146</v>
      </c>
    </row>
    <row r="5297" spans="1:9" x14ac:dyDescent="0.25">
      <c r="A5297" s="67" t="s">
        <v>2230</v>
      </c>
      <c r="B5297" s="67" t="s">
        <v>2229</v>
      </c>
      <c r="C5297" s="67">
        <v>0</v>
      </c>
      <c r="D5297" s="67">
        <v>0</v>
      </c>
      <c r="E5297" s="67">
        <v>83900.41</v>
      </c>
      <c r="F5297" s="67">
        <v>25250</v>
      </c>
      <c r="H5297" s="68">
        <v>40764</v>
      </c>
      <c r="I5297" s="67" t="s">
        <v>148</v>
      </c>
    </row>
    <row r="5298" spans="1:9" x14ac:dyDescent="0.25">
      <c r="B5298" s="67" t="s">
        <v>2229</v>
      </c>
      <c r="C5298" s="67">
        <v>0</v>
      </c>
      <c r="D5298" s="67">
        <v>0</v>
      </c>
      <c r="E5298" s="67">
        <v>83900.45</v>
      </c>
      <c r="H5298" s="67" t="s">
        <v>146</v>
      </c>
    </row>
    <row r="5300" spans="1:9" x14ac:dyDescent="0.25">
      <c r="A5300" s="67" t="s">
        <v>2228</v>
      </c>
      <c r="B5300" s="67" t="s">
        <v>2227</v>
      </c>
      <c r="C5300" s="67">
        <v>0</v>
      </c>
      <c r="D5300" s="67">
        <v>0</v>
      </c>
      <c r="E5300" s="67">
        <v>83900.41</v>
      </c>
      <c r="F5300" s="67">
        <v>25250</v>
      </c>
      <c r="H5300" s="68">
        <v>40764</v>
      </c>
      <c r="I5300" s="67" t="s">
        <v>148</v>
      </c>
    </row>
    <row r="5301" spans="1:9" x14ac:dyDescent="0.25">
      <c r="B5301" s="67" t="s">
        <v>2227</v>
      </c>
      <c r="C5301" s="67">
        <v>0</v>
      </c>
      <c r="D5301" s="67">
        <v>0</v>
      </c>
      <c r="E5301" s="67">
        <v>83900.45</v>
      </c>
      <c r="H5301" s="67" t="s">
        <v>146</v>
      </c>
    </row>
    <row r="5303" spans="1:9" x14ac:dyDescent="0.25">
      <c r="A5303" s="67" t="s">
        <v>2226</v>
      </c>
      <c r="B5303" s="67" t="s">
        <v>2225</v>
      </c>
      <c r="C5303" s="67">
        <v>0</v>
      </c>
      <c r="D5303" s="67">
        <v>0</v>
      </c>
      <c r="E5303" s="67">
        <v>83900.41</v>
      </c>
      <c r="F5303" s="67">
        <v>25250</v>
      </c>
      <c r="H5303" s="68">
        <v>40764</v>
      </c>
      <c r="I5303" s="67" t="s">
        <v>148</v>
      </c>
    </row>
    <row r="5304" spans="1:9" x14ac:dyDescent="0.25">
      <c r="B5304" s="67" t="s">
        <v>2225</v>
      </c>
      <c r="C5304" s="67">
        <v>0</v>
      </c>
      <c r="D5304" s="67">
        <v>0</v>
      </c>
      <c r="E5304" s="67">
        <v>83900.45</v>
      </c>
      <c r="H5304" s="67" t="s">
        <v>146</v>
      </c>
    </row>
    <row r="5306" spans="1:9" x14ac:dyDescent="0.25">
      <c r="A5306" s="67" t="s">
        <v>2224</v>
      </c>
      <c r="B5306" s="67" t="s">
        <v>2223</v>
      </c>
      <c r="C5306" s="67">
        <v>0</v>
      </c>
      <c r="D5306" s="67">
        <v>0</v>
      </c>
      <c r="E5306" s="67">
        <v>83900.41</v>
      </c>
      <c r="F5306" s="67">
        <v>25250</v>
      </c>
      <c r="H5306" s="68">
        <v>40764</v>
      </c>
      <c r="I5306" s="67" t="s">
        <v>148</v>
      </c>
    </row>
    <row r="5307" spans="1:9" x14ac:dyDescent="0.25">
      <c r="B5307" s="67" t="s">
        <v>2223</v>
      </c>
      <c r="C5307" s="67">
        <v>0</v>
      </c>
      <c r="D5307" s="67">
        <v>0</v>
      </c>
      <c r="E5307" s="67">
        <v>83900.45</v>
      </c>
      <c r="H5307" s="67" t="s">
        <v>146</v>
      </c>
    </row>
    <row r="5309" spans="1:9" x14ac:dyDescent="0.25">
      <c r="A5309" s="67" t="s">
        <v>2222</v>
      </c>
      <c r="B5309" s="67" t="s">
        <v>2221</v>
      </c>
      <c r="C5309" s="67">
        <v>0</v>
      </c>
      <c r="D5309" s="67">
        <v>0</v>
      </c>
      <c r="E5309" s="67">
        <v>83900.41</v>
      </c>
      <c r="F5309" s="67">
        <v>25250</v>
      </c>
      <c r="H5309" s="68">
        <v>40764</v>
      </c>
      <c r="I5309" s="67" t="s">
        <v>148</v>
      </c>
    </row>
    <row r="5310" spans="1:9" x14ac:dyDescent="0.25">
      <c r="B5310" s="67" t="s">
        <v>2221</v>
      </c>
      <c r="C5310" s="67">
        <v>0</v>
      </c>
      <c r="D5310" s="67">
        <v>0</v>
      </c>
      <c r="E5310" s="67">
        <v>83900.45</v>
      </c>
      <c r="H5310" s="67" t="s">
        <v>146</v>
      </c>
    </row>
    <row r="5312" spans="1:9" x14ac:dyDescent="0.25">
      <c r="A5312" s="67" t="s">
        <v>2220</v>
      </c>
      <c r="B5312" s="67" t="s">
        <v>2219</v>
      </c>
      <c r="C5312" s="67">
        <v>0</v>
      </c>
      <c r="D5312" s="67">
        <v>0</v>
      </c>
      <c r="E5312" s="67">
        <v>83900.41</v>
      </c>
      <c r="F5312" s="67">
        <v>25250</v>
      </c>
      <c r="H5312" s="68">
        <v>40764</v>
      </c>
      <c r="I5312" s="67" t="s">
        <v>148</v>
      </c>
    </row>
    <row r="5313" spans="1:9" x14ac:dyDescent="0.25">
      <c r="B5313" s="67" t="s">
        <v>2219</v>
      </c>
      <c r="C5313" s="67">
        <v>0</v>
      </c>
      <c r="D5313" s="67">
        <v>0</v>
      </c>
      <c r="E5313" s="67">
        <v>83900.45</v>
      </c>
      <c r="H5313" s="67" t="s">
        <v>146</v>
      </c>
    </row>
    <row r="5315" spans="1:9" x14ac:dyDescent="0.25">
      <c r="A5315" s="67" t="s">
        <v>2218</v>
      </c>
      <c r="B5315" s="67" t="s">
        <v>2217</v>
      </c>
      <c r="C5315" s="67">
        <v>0</v>
      </c>
      <c r="D5315" s="67">
        <v>0</v>
      </c>
      <c r="E5315" s="67">
        <v>83900.41</v>
      </c>
      <c r="F5315" s="67">
        <v>25250</v>
      </c>
      <c r="H5315" s="68">
        <v>40764</v>
      </c>
      <c r="I5315" s="67" t="s">
        <v>148</v>
      </c>
    </row>
    <row r="5316" spans="1:9" x14ac:dyDescent="0.25">
      <c r="B5316" s="67" t="s">
        <v>2217</v>
      </c>
      <c r="C5316" s="67">
        <v>0</v>
      </c>
      <c r="D5316" s="67">
        <v>0</v>
      </c>
      <c r="E5316" s="67">
        <v>83900.45</v>
      </c>
      <c r="H5316" s="67" t="s">
        <v>146</v>
      </c>
    </row>
    <row r="5318" spans="1:9" x14ac:dyDescent="0.25">
      <c r="A5318" s="67" t="s">
        <v>2216</v>
      </c>
      <c r="B5318" s="67" t="s">
        <v>2215</v>
      </c>
      <c r="C5318" s="67">
        <v>0</v>
      </c>
      <c r="D5318" s="67">
        <v>0</v>
      </c>
      <c r="E5318" s="67">
        <v>83900.41</v>
      </c>
      <c r="F5318" s="67">
        <v>25250</v>
      </c>
      <c r="H5318" s="68">
        <v>40764</v>
      </c>
      <c r="I5318" s="67" t="s">
        <v>148</v>
      </c>
    </row>
    <row r="5319" spans="1:9" x14ac:dyDescent="0.25">
      <c r="B5319" s="67" t="s">
        <v>2215</v>
      </c>
      <c r="C5319" s="67">
        <v>0</v>
      </c>
      <c r="D5319" s="67">
        <v>0</v>
      </c>
      <c r="E5319" s="67">
        <v>83900.45</v>
      </c>
      <c r="H5319" s="67" t="s">
        <v>146</v>
      </c>
    </row>
    <row r="5321" spans="1:9" x14ac:dyDescent="0.25">
      <c r="A5321" s="67" t="s">
        <v>2214</v>
      </c>
      <c r="B5321" s="67" t="s">
        <v>2213</v>
      </c>
      <c r="C5321" s="67">
        <v>0</v>
      </c>
      <c r="D5321" s="67">
        <v>0</v>
      </c>
      <c r="E5321" s="67">
        <v>83900.41</v>
      </c>
      <c r="F5321" s="67">
        <v>25250</v>
      </c>
      <c r="H5321" s="68">
        <v>40764</v>
      </c>
      <c r="I5321" s="67" t="s">
        <v>148</v>
      </c>
    </row>
    <row r="5322" spans="1:9" x14ac:dyDescent="0.25">
      <c r="B5322" s="67" t="s">
        <v>2213</v>
      </c>
      <c r="C5322" s="67">
        <v>0</v>
      </c>
      <c r="D5322" s="67">
        <v>0</v>
      </c>
      <c r="E5322" s="67">
        <v>83900.45</v>
      </c>
      <c r="H5322" s="67" t="s">
        <v>146</v>
      </c>
    </row>
    <row r="5324" spans="1:9" x14ac:dyDescent="0.25">
      <c r="A5324" s="67" t="s">
        <v>2212</v>
      </c>
      <c r="B5324" s="67" t="s">
        <v>2211</v>
      </c>
      <c r="C5324" s="67">
        <v>0</v>
      </c>
      <c r="D5324" s="67">
        <v>0</v>
      </c>
      <c r="E5324" s="67">
        <v>83900.41</v>
      </c>
      <c r="F5324" s="67">
        <v>25250</v>
      </c>
      <c r="H5324" s="68">
        <v>40764</v>
      </c>
      <c r="I5324" s="67" t="s">
        <v>148</v>
      </c>
    </row>
    <row r="5325" spans="1:9" x14ac:dyDescent="0.25">
      <c r="B5325" s="67" t="s">
        <v>2211</v>
      </c>
      <c r="C5325" s="67">
        <v>0</v>
      </c>
      <c r="D5325" s="67">
        <v>0</v>
      </c>
      <c r="E5325" s="67">
        <v>83900.45</v>
      </c>
      <c r="H5325" s="67" t="s">
        <v>146</v>
      </c>
    </row>
    <row r="5327" spans="1:9" x14ac:dyDescent="0.25">
      <c r="A5327" s="67" t="s">
        <v>2210</v>
      </c>
      <c r="B5327" s="67" t="s">
        <v>2209</v>
      </c>
      <c r="C5327" s="67">
        <v>0</v>
      </c>
      <c r="D5327" s="67">
        <v>0</v>
      </c>
      <c r="E5327" s="67">
        <v>83900.41</v>
      </c>
      <c r="F5327" s="67">
        <v>25250</v>
      </c>
      <c r="H5327" s="68">
        <v>40764</v>
      </c>
      <c r="I5327" s="67" t="s">
        <v>148</v>
      </c>
    </row>
    <row r="5328" spans="1:9" x14ac:dyDescent="0.25">
      <c r="B5328" s="67" t="s">
        <v>2209</v>
      </c>
      <c r="C5328" s="67">
        <v>0</v>
      </c>
      <c r="D5328" s="67">
        <v>0</v>
      </c>
      <c r="E5328" s="67">
        <v>83900.45</v>
      </c>
      <c r="H5328" s="67" t="s">
        <v>146</v>
      </c>
    </row>
    <row r="5329" spans="1:9" x14ac:dyDescent="0.25">
      <c r="A5329" s="67" t="s">
        <v>233</v>
      </c>
    </row>
    <row r="5331" spans="1:9" x14ac:dyDescent="0.25">
      <c r="A5331" s="67" t="s">
        <v>232</v>
      </c>
      <c r="D5331" s="67" t="s">
        <v>231</v>
      </c>
      <c r="H5331" s="67" t="s">
        <v>148</v>
      </c>
      <c r="I5331" s="67" t="s">
        <v>230</v>
      </c>
    </row>
    <row r="5332" spans="1:9" x14ac:dyDescent="0.25">
      <c r="A5332" s="67">
        <v>41.1</v>
      </c>
      <c r="C5332" s="67" t="s">
        <v>215</v>
      </c>
      <c r="D5332" s="67" t="s">
        <v>229</v>
      </c>
      <c r="H5332" s="70">
        <v>44771</v>
      </c>
      <c r="I5332" s="69">
        <v>0.56736111111111109</v>
      </c>
    </row>
    <row r="5333" spans="1:9" x14ac:dyDescent="0.25">
      <c r="A5333" s="67" t="s">
        <v>228</v>
      </c>
      <c r="C5333" s="67" t="s">
        <v>227</v>
      </c>
      <c r="D5333" s="67" t="s">
        <v>226</v>
      </c>
      <c r="E5333" s="67">
        <v>589</v>
      </c>
      <c r="H5333" s="67" t="s">
        <v>225</v>
      </c>
      <c r="I5333" s="67">
        <v>93</v>
      </c>
    </row>
    <row r="5334" spans="1:9" x14ac:dyDescent="0.25">
      <c r="A5334" s="67" t="s">
        <v>884</v>
      </c>
    </row>
    <row r="5335" spans="1:9" x14ac:dyDescent="0.25">
      <c r="A5335" s="67" t="s">
        <v>223</v>
      </c>
      <c r="B5335" s="67" t="s">
        <v>222</v>
      </c>
      <c r="C5335" s="67" t="s">
        <v>221</v>
      </c>
      <c r="D5335" s="67" t="s">
        <v>220</v>
      </c>
      <c r="E5335" s="67" t="s">
        <v>219</v>
      </c>
      <c r="F5335" s="67" t="s">
        <v>217</v>
      </c>
      <c r="G5335" s="67" t="s">
        <v>218</v>
      </c>
      <c r="H5335" s="67" t="s">
        <v>217</v>
      </c>
      <c r="I5335" s="67" t="s">
        <v>216</v>
      </c>
    </row>
    <row r="5336" spans="1:9" x14ac:dyDescent="0.25">
      <c r="A5336" s="67" t="s">
        <v>215</v>
      </c>
      <c r="B5336" s="67" t="s">
        <v>214</v>
      </c>
      <c r="C5336" s="67" t="s">
        <v>213</v>
      </c>
      <c r="D5336" s="67" t="s">
        <v>212</v>
      </c>
      <c r="E5336" s="67" t="s">
        <v>211</v>
      </c>
      <c r="F5336" s="67" t="s">
        <v>210</v>
      </c>
      <c r="G5336" s="67" t="s">
        <v>209</v>
      </c>
      <c r="H5336" s="67" t="s">
        <v>208</v>
      </c>
      <c r="I5336" s="67" t="s">
        <v>207</v>
      </c>
    </row>
    <row r="5337" spans="1:9" x14ac:dyDescent="0.25">
      <c r="A5337" s="67" t="s">
        <v>206</v>
      </c>
      <c r="B5337" s="67" t="s">
        <v>205</v>
      </c>
      <c r="C5337" s="67" t="s">
        <v>204</v>
      </c>
      <c r="D5337" s="67" t="s">
        <v>203</v>
      </c>
      <c r="E5337" s="67" t="s">
        <v>202</v>
      </c>
      <c r="F5337" s="67" t="s">
        <v>201</v>
      </c>
      <c r="G5337" s="67" t="s">
        <v>200</v>
      </c>
      <c r="H5337" s="67" t="s">
        <v>199</v>
      </c>
    </row>
    <row r="5338" spans="1:9" x14ac:dyDescent="0.25">
      <c r="A5338" s="67" t="s">
        <v>2208</v>
      </c>
      <c r="B5338" s="67" t="s">
        <v>2207</v>
      </c>
      <c r="C5338" s="67">
        <v>0</v>
      </c>
      <c r="D5338" s="67">
        <v>0</v>
      </c>
      <c r="E5338" s="67">
        <v>83900.41</v>
      </c>
      <c r="F5338" s="67">
        <v>25250</v>
      </c>
      <c r="H5338" s="68">
        <v>40764</v>
      </c>
      <c r="I5338" s="67" t="s">
        <v>148</v>
      </c>
    </row>
    <row r="5339" spans="1:9" x14ac:dyDescent="0.25">
      <c r="B5339" s="67" t="s">
        <v>2207</v>
      </c>
      <c r="C5339" s="67">
        <v>0</v>
      </c>
      <c r="D5339" s="67">
        <v>0</v>
      </c>
      <c r="E5339" s="67">
        <v>83900.45</v>
      </c>
      <c r="H5339" s="67" t="s">
        <v>146</v>
      </c>
    </row>
    <row r="5341" spans="1:9" x14ac:dyDescent="0.25">
      <c r="A5341" s="67" t="s">
        <v>2206</v>
      </c>
      <c r="B5341" s="67" t="s">
        <v>2205</v>
      </c>
      <c r="C5341" s="67">
        <v>0</v>
      </c>
      <c r="D5341" s="67">
        <v>0</v>
      </c>
      <c r="E5341" s="67">
        <v>83900.41</v>
      </c>
      <c r="F5341" s="67">
        <v>25250</v>
      </c>
      <c r="H5341" s="68">
        <v>40764</v>
      </c>
      <c r="I5341" s="67" t="s">
        <v>148</v>
      </c>
    </row>
    <row r="5342" spans="1:9" x14ac:dyDescent="0.25">
      <c r="B5342" s="67" t="s">
        <v>2205</v>
      </c>
      <c r="C5342" s="67">
        <v>0</v>
      </c>
      <c r="D5342" s="67">
        <v>0</v>
      </c>
      <c r="E5342" s="67">
        <v>83900.45</v>
      </c>
      <c r="H5342" s="67" t="s">
        <v>146</v>
      </c>
    </row>
    <row r="5344" spans="1:9" x14ac:dyDescent="0.25">
      <c r="A5344" s="67" t="s">
        <v>2204</v>
      </c>
      <c r="B5344" s="67" t="s">
        <v>2203</v>
      </c>
      <c r="C5344" s="67">
        <v>0</v>
      </c>
      <c r="D5344" s="67">
        <v>0</v>
      </c>
      <c r="E5344" s="67">
        <v>83900.41</v>
      </c>
      <c r="F5344" s="67">
        <v>25250</v>
      </c>
      <c r="H5344" s="68">
        <v>40764</v>
      </c>
      <c r="I5344" s="67" t="s">
        <v>148</v>
      </c>
    </row>
    <row r="5345" spans="1:9" x14ac:dyDescent="0.25">
      <c r="B5345" s="67" t="s">
        <v>2203</v>
      </c>
      <c r="C5345" s="67">
        <v>0</v>
      </c>
      <c r="D5345" s="67">
        <v>0</v>
      </c>
      <c r="E5345" s="67">
        <v>83900.45</v>
      </c>
      <c r="H5345" s="67" t="s">
        <v>146</v>
      </c>
    </row>
    <row r="5347" spans="1:9" x14ac:dyDescent="0.25">
      <c r="A5347" s="67" t="s">
        <v>2202</v>
      </c>
      <c r="B5347" s="67" t="s">
        <v>2201</v>
      </c>
      <c r="C5347" s="67">
        <v>0</v>
      </c>
      <c r="D5347" s="67">
        <v>0</v>
      </c>
      <c r="E5347" s="67">
        <v>83900.41</v>
      </c>
      <c r="F5347" s="67">
        <v>25250</v>
      </c>
      <c r="H5347" s="68">
        <v>40764</v>
      </c>
      <c r="I5347" s="67" t="s">
        <v>148</v>
      </c>
    </row>
    <row r="5348" spans="1:9" x14ac:dyDescent="0.25">
      <c r="B5348" s="67" t="s">
        <v>2201</v>
      </c>
      <c r="C5348" s="67">
        <v>0</v>
      </c>
      <c r="D5348" s="67">
        <v>0</v>
      </c>
      <c r="E5348" s="67">
        <v>83900.45</v>
      </c>
      <c r="H5348" s="67" t="s">
        <v>146</v>
      </c>
    </row>
    <row r="5350" spans="1:9" x14ac:dyDescent="0.25">
      <c r="A5350" s="67" t="s">
        <v>2200</v>
      </c>
      <c r="B5350" s="67" t="s">
        <v>2199</v>
      </c>
      <c r="C5350" s="67">
        <v>0</v>
      </c>
      <c r="D5350" s="67">
        <v>0</v>
      </c>
      <c r="E5350" s="67">
        <v>83900.41</v>
      </c>
      <c r="F5350" s="67">
        <v>25250</v>
      </c>
      <c r="H5350" s="68">
        <v>40764</v>
      </c>
      <c r="I5350" s="67" t="s">
        <v>148</v>
      </c>
    </row>
    <row r="5351" spans="1:9" x14ac:dyDescent="0.25">
      <c r="B5351" s="67" t="s">
        <v>2199</v>
      </c>
      <c r="C5351" s="67">
        <v>0</v>
      </c>
      <c r="D5351" s="67">
        <v>0</v>
      </c>
      <c r="E5351" s="67">
        <v>83900.45</v>
      </c>
      <c r="H5351" s="67" t="s">
        <v>146</v>
      </c>
    </row>
    <row r="5353" spans="1:9" x14ac:dyDescent="0.25">
      <c r="A5353" s="67" t="s">
        <v>2198</v>
      </c>
      <c r="B5353" s="67" t="s">
        <v>2197</v>
      </c>
      <c r="C5353" s="67">
        <v>0</v>
      </c>
      <c r="D5353" s="67">
        <v>0</v>
      </c>
      <c r="E5353" s="67">
        <v>83900.41</v>
      </c>
      <c r="F5353" s="67">
        <v>25250</v>
      </c>
      <c r="H5353" s="68">
        <v>40764</v>
      </c>
      <c r="I5353" s="67" t="s">
        <v>148</v>
      </c>
    </row>
    <row r="5354" spans="1:9" x14ac:dyDescent="0.25">
      <c r="B5354" s="67" t="s">
        <v>2197</v>
      </c>
      <c r="C5354" s="67">
        <v>0</v>
      </c>
      <c r="D5354" s="67">
        <v>0</v>
      </c>
      <c r="E5354" s="67">
        <v>83900.45</v>
      </c>
      <c r="H5354" s="67" t="s">
        <v>146</v>
      </c>
    </row>
    <row r="5356" spans="1:9" x14ac:dyDescent="0.25">
      <c r="A5356" s="67" t="s">
        <v>2196</v>
      </c>
      <c r="B5356" s="67" t="s">
        <v>2195</v>
      </c>
      <c r="C5356" s="67">
        <v>0</v>
      </c>
      <c r="D5356" s="67">
        <v>0</v>
      </c>
      <c r="E5356" s="67">
        <v>83900.41</v>
      </c>
      <c r="F5356" s="67">
        <v>25250</v>
      </c>
      <c r="H5356" s="68">
        <v>40764</v>
      </c>
      <c r="I5356" s="67" t="s">
        <v>148</v>
      </c>
    </row>
    <row r="5357" spans="1:9" x14ac:dyDescent="0.25">
      <c r="B5357" s="67" t="s">
        <v>2195</v>
      </c>
      <c r="C5357" s="67">
        <v>0</v>
      </c>
      <c r="D5357" s="67">
        <v>0</v>
      </c>
      <c r="E5357" s="67">
        <v>83900.45</v>
      </c>
      <c r="H5357" s="67" t="s">
        <v>146</v>
      </c>
    </row>
    <row r="5359" spans="1:9" x14ac:dyDescent="0.25">
      <c r="A5359" s="67" t="s">
        <v>2194</v>
      </c>
      <c r="B5359" s="67" t="s">
        <v>2193</v>
      </c>
      <c r="C5359" s="67">
        <v>0</v>
      </c>
      <c r="D5359" s="67">
        <v>0</v>
      </c>
      <c r="E5359" s="67">
        <v>83900.41</v>
      </c>
      <c r="F5359" s="67">
        <v>25250</v>
      </c>
      <c r="H5359" s="68">
        <v>40764</v>
      </c>
      <c r="I5359" s="67" t="s">
        <v>148</v>
      </c>
    </row>
    <row r="5360" spans="1:9" x14ac:dyDescent="0.25">
      <c r="B5360" s="67" t="s">
        <v>2193</v>
      </c>
      <c r="C5360" s="67">
        <v>0</v>
      </c>
      <c r="D5360" s="67">
        <v>0</v>
      </c>
      <c r="E5360" s="67">
        <v>83900.45</v>
      </c>
      <c r="H5360" s="67" t="s">
        <v>146</v>
      </c>
    </row>
    <row r="5362" spans="1:9" x14ac:dyDescent="0.25">
      <c r="A5362" s="67" t="s">
        <v>2192</v>
      </c>
      <c r="B5362" s="67" t="s">
        <v>2191</v>
      </c>
      <c r="C5362" s="67">
        <v>0</v>
      </c>
      <c r="D5362" s="67">
        <v>0</v>
      </c>
      <c r="E5362" s="67">
        <v>83900.41</v>
      </c>
      <c r="F5362" s="67">
        <v>25250</v>
      </c>
      <c r="H5362" s="68">
        <v>40764</v>
      </c>
      <c r="I5362" s="67" t="s">
        <v>148</v>
      </c>
    </row>
    <row r="5363" spans="1:9" x14ac:dyDescent="0.25">
      <c r="B5363" s="67" t="s">
        <v>2191</v>
      </c>
      <c r="C5363" s="67">
        <v>0</v>
      </c>
      <c r="D5363" s="67">
        <v>0</v>
      </c>
      <c r="E5363" s="67">
        <v>83900.45</v>
      </c>
      <c r="H5363" s="67" t="s">
        <v>146</v>
      </c>
    </row>
    <row r="5365" spans="1:9" x14ac:dyDescent="0.25">
      <c r="A5365" s="67" t="s">
        <v>2190</v>
      </c>
      <c r="B5365" s="67" t="s">
        <v>2189</v>
      </c>
      <c r="C5365" s="67">
        <v>0</v>
      </c>
      <c r="D5365" s="67">
        <v>0</v>
      </c>
      <c r="E5365" s="67">
        <v>83900.41</v>
      </c>
      <c r="F5365" s="67">
        <v>25250</v>
      </c>
      <c r="H5365" s="68">
        <v>40764</v>
      </c>
      <c r="I5365" s="67" t="s">
        <v>148</v>
      </c>
    </row>
    <row r="5366" spans="1:9" x14ac:dyDescent="0.25">
      <c r="B5366" s="67" t="s">
        <v>2189</v>
      </c>
      <c r="C5366" s="67">
        <v>0</v>
      </c>
      <c r="D5366" s="67">
        <v>0</v>
      </c>
      <c r="E5366" s="67">
        <v>83900.45</v>
      </c>
      <c r="H5366" s="67" t="s">
        <v>146</v>
      </c>
    </row>
    <row r="5368" spans="1:9" x14ac:dyDescent="0.25">
      <c r="A5368" s="67" t="s">
        <v>2188</v>
      </c>
      <c r="B5368" s="67" t="s">
        <v>2187</v>
      </c>
      <c r="C5368" s="67">
        <v>0</v>
      </c>
      <c r="D5368" s="67">
        <v>0</v>
      </c>
      <c r="E5368" s="67">
        <v>83900.41</v>
      </c>
      <c r="F5368" s="67">
        <v>25250</v>
      </c>
      <c r="H5368" s="68">
        <v>40764</v>
      </c>
      <c r="I5368" s="67" t="s">
        <v>148</v>
      </c>
    </row>
    <row r="5369" spans="1:9" x14ac:dyDescent="0.25">
      <c r="B5369" s="67" t="s">
        <v>2187</v>
      </c>
      <c r="C5369" s="67">
        <v>0</v>
      </c>
      <c r="D5369" s="67">
        <v>0</v>
      </c>
      <c r="E5369" s="67">
        <v>83900.45</v>
      </c>
      <c r="H5369" s="67" t="s">
        <v>146</v>
      </c>
    </row>
    <row r="5371" spans="1:9" x14ac:dyDescent="0.25">
      <c r="A5371" s="67" t="s">
        <v>2186</v>
      </c>
      <c r="B5371" s="67" t="s">
        <v>2185</v>
      </c>
      <c r="C5371" s="67">
        <v>0</v>
      </c>
      <c r="D5371" s="67">
        <v>0</v>
      </c>
      <c r="E5371" s="67">
        <v>83900.41</v>
      </c>
      <c r="F5371" s="67">
        <v>25250</v>
      </c>
      <c r="H5371" s="68">
        <v>40764</v>
      </c>
      <c r="I5371" s="67" t="s">
        <v>148</v>
      </c>
    </row>
    <row r="5372" spans="1:9" x14ac:dyDescent="0.25">
      <c r="B5372" s="67" t="s">
        <v>2185</v>
      </c>
      <c r="C5372" s="67">
        <v>0</v>
      </c>
      <c r="D5372" s="67">
        <v>0</v>
      </c>
      <c r="E5372" s="67">
        <v>83900.45</v>
      </c>
      <c r="H5372" s="67" t="s">
        <v>146</v>
      </c>
    </row>
    <row r="5374" spans="1:9" x14ac:dyDescent="0.25">
      <c r="A5374" s="67" t="s">
        <v>2184</v>
      </c>
      <c r="B5374" s="67" t="s">
        <v>2183</v>
      </c>
      <c r="C5374" s="67">
        <v>0</v>
      </c>
      <c r="D5374" s="67">
        <v>0</v>
      </c>
      <c r="E5374" s="67">
        <v>83900.41</v>
      </c>
      <c r="F5374" s="67">
        <v>25250</v>
      </c>
      <c r="H5374" s="68">
        <v>40764</v>
      </c>
      <c r="I5374" s="67" t="s">
        <v>148</v>
      </c>
    </row>
    <row r="5375" spans="1:9" x14ac:dyDescent="0.25">
      <c r="B5375" s="67" t="s">
        <v>2183</v>
      </c>
      <c r="C5375" s="67">
        <v>0</v>
      </c>
      <c r="D5375" s="67">
        <v>0</v>
      </c>
      <c r="E5375" s="67">
        <v>83900.45</v>
      </c>
      <c r="H5375" s="67" t="s">
        <v>146</v>
      </c>
    </row>
    <row r="5377" spans="1:9" x14ac:dyDescent="0.25">
      <c r="A5377" s="67" t="s">
        <v>2182</v>
      </c>
      <c r="B5377" s="67" t="s">
        <v>2181</v>
      </c>
      <c r="C5377" s="67">
        <v>0</v>
      </c>
      <c r="D5377" s="67">
        <v>0</v>
      </c>
      <c r="E5377" s="67">
        <v>83900.41</v>
      </c>
      <c r="F5377" s="67">
        <v>25250</v>
      </c>
      <c r="H5377" s="68">
        <v>40764</v>
      </c>
      <c r="I5377" s="67" t="s">
        <v>148</v>
      </c>
    </row>
    <row r="5378" spans="1:9" x14ac:dyDescent="0.25">
      <c r="B5378" s="67" t="s">
        <v>2181</v>
      </c>
      <c r="C5378" s="67">
        <v>0</v>
      </c>
      <c r="D5378" s="67">
        <v>0</v>
      </c>
      <c r="E5378" s="67">
        <v>83900.45</v>
      </c>
      <c r="H5378" s="67" t="s">
        <v>146</v>
      </c>
    </row>
    <row r="5380" spans="1:9" x14ac:dyDescent="0.25">
      <c r="A5380" s="67" t="s">
        <v>2180</v>
      </c>
      <c r="B5380" s="67" t="s">
        <v>2179</v>
      </c>
      <c r="C5380" s="67">
        <v>0</v>
      </c>
      <c r="D5380" s="67">
        <v>0</v>
      </c>
      <c r="E5380" s="67">
        <v>83900.41</v>
      </c>
      <c r="F5380" s="67">
        <v>25250</v>
      </c>
      <c r="H5380" s="68">
        <v>40764</v>
      </c>
      <c r="I5380" s="67" t="s">
        <v>148</v>
      </c>
    </row>
    <row r="5381" spans="1:9" x14ac:dyDescent="0.25">
      <c r="B5381" s="67" t="s">
        <v>2179</v>
      </c>
      <c r="C5381" s="67">
        <v>0</v>
      </c>
      <c r="D5381" s="67">
        <v>0</v>
      </c>
      <c r="E5381" s="67">
        <v>83900.45</v>
      </c>
      <c r="H5381" s="67" t="s">
        <v>146</v>
      </c>
    </row>
    <row r="5383" spans="1:9" x14ac:dyDescent="0.25">
      <c r="A5383" s="67" t="s">
        <v>2178</v>
      </c>
      <c r="B5383" s="67" t="s">
        <v>2177</v>
      </c>
      <c r="C5383" s="67">
        <v>0</v>
      </c>
      <c r="D5383" s="67">
        <v>0</v>
      </c>
      <c r="E5383" s="67">
        <v>83900.41</v>
      </c>
      <c r="F5383" s="67">
        <v>25250</v>
      </c>
      <c r="H5383" s="68">
        <v>40764</v>
      </c>
      <c r="I5383" s="67" t="s">
        <v>148</v>
      </c>
    </row>
    <row r="5384" spans="1:9" x14ac:dyDescent="0.25">
      <c r="B5384" s="67" t="s">
        <v>2177</v>
      </c>
      <c r="C5384" s="67">
        <v>0</v>
      </c>
      <c r="D5384" s="67">
        <v>0</v>
      </c>
      <c r="E5384" s="67">
        <v>83900.45</v>
      </c>
      <c r="H5384" s="67" t="s">
        <v>146</v>
      </c>
    </row>
    <row r="5386" spans="1:9" x14ac:dyDescent="0.25">
      <c r="A5386" s="67" t="s">
        <v>2176</v>
      </c>
      <c r="B5386" s="67" t="s">
        <v>2175</v>
      </c>
      <c r="C5386" s="67">
        <v>0</v>
      </c>
      <c r="D5386" s="67">
        <v>0</v>
      </c>
      <c r="E5386" s="67">
        <v>83900.41</v>
      </c>
      <c r="F5386" s="67">
        <v>25250</v>
      </c>
      <c r="H5386" s="68">
        <v>40764</v>
      </c>
      <c r="I5386" s="67" t="s">
        <v>148</v>
      </c>
    </row>
    <row r="5387" spans="1:9" x14ac:dyDescent="0.25">
      <c r="B5387" s="67" t="s">
        <v>2175</v>
      </c>
      <c r="C5387" s="67">
        <v>0</v>
      </c>
      <c r="D5387" s="67">
        <v>0</v>
      </c>
      <c r="E5387" s="67">
        <v>83900.45</v>
      </c>
      <c r="H5387" s="67" t="s">
        <v>146</v>
      </c>
    </row>
    <row r="5388" spans="1:9" x14ac:dyDescent="0.25">
      <c r="A5388" s="67" t="s">
        <v>233</v>
      </c>
    </row>
    <row r="5390" spans="1:9" x14ac:dyDescent="0.25">
      <c r="A5390" s="67" t="s">
        <v>232</v>
      </c>
      <c r="D5390" s="67" t="s">
        <v>231</v>
      </c>
      <c r="H5390" s="67" t="s">
        <v>148</v>
      </c>
      <c r="I5390" s="67" t="s">
        <v>230</v>
      </c>
    </row>
    <row r="5391" spans="1:9" x14ac:dyDescent="0.25">
      <c r="A5391" s="67">
        <v>41.1</v>
      </c>
      <c r="C5391" s="67" t="s">
        <v>215</v>
      </c>
      <c r="D5391" s="67" t="s">
        <v>229</v>
      </c>
      <c r="H5391" s="70">
        <v>44771</v>
      </c>
      <c r="I5391" s="69">
        <v>0.56736111111111109</v>
      </c>
    </row>
    <row r="5392" spans="1:9" x14ac:dyDescent="0.25">
      <c r="A5392" s="67" t="s">
        <v>228</v>
      </c>
      <c r="C5392" s="67" t="s">
        <v>227</v>
      </c>
      <c r="D5392" s="67" t="s">
        <v>226</v>
      </c>
      <c r="E5392" s="67">
        <v>589</v>
      </c>
      <c r="H5392" s="67" t="s">
        <v>225</v>
      </c>
      <c r="I5392" s="67">
        <v>94</v>
      </c>
    </row>
    <row r="5393" spans="1:9" x14ac:dyDescent="0.25">
      <c r="A5393" s="67" t="s">
        <v>884</v>
      </c>
    </row>
    <row r="5394" spans="1:9" x14ac:dyDescent="0.25">
      <c r="A5394" s="67" t="s">
        <v>223</v>
      </c>
      <c r="B5394" s="67" t="s">
        <v>222</v>
      </c>
      <c r="C5394" s="67" t="s">
        <v>221</v>
      </c>
      <c r="D5394" s="67" t="s">
        <v>220</v>
      </c>
      <c r="E5394" s="67" t="s">
        <v>219</v>
      </c>
      <c r="F5394" s="67" t="s">
        <v>217</v>
      </c>
      <c r="G5394" s="67" t="s">
        <v>218</v>
      </c>
      <c r="H5394" s="67" t="s">
        <v>217</v>
      </c>
      <c r="I5394" s="67" t="s">
        <v>216</v>
      </c>
    </row>
    <row r="5395" spans="1:9" x14ac:dyDescent="0.25">
      <c r="A5395" s="67" t="s">
        <v>215</v>
      </c>
      <c r="B5395" s="67" t="s">
        <v>214</v>
      </c>
      <c r="C5395" s="67" t="s">
        <v>213</v>
      </c>
      <c r="D5395" s="67" t="s">
        <v>212</v>
      </c>
      <c r="E5395" s="67" t="s">
        <v>211</v>
      </c>
      <c r="F5395" s="67" t="s">
        <v>210</v>
      </c>
      <c r="G5395" s="67" t="s">
        <v>209</v>
      </c>
      <c r="H5395" s="67" t="s">
        <v>208</v>
      </c>
      <c r="I5395" s="67" t="s">
        <v>207</v>
      </c>
    </row>
    <row r="5396" spans="1:9" x14ac:dyDescent="0.25">
      <c r="A5396" s="67" t="s">
        <v>206</v>
      </c>
      <c r="B5396" s="67" t="s">
        <v>205</v>
      </c>
      <c r="C5396" s="67" t="s">
        <v>204</v>
      </c>
      <c r="D5396" s="67" t="s">
        <v>203</v>
      </c>
      <c r="E5396" s="67" t="s">
        <v>202</v>
      </c>
      <c r="F5396" s="67" t="s">
        <v>201</v>
      </c>
      <c r="G5396" s="67" t="s">
        <v>200</v>
      </c>
      <c r="H5396" s="67" t="s">
        <v>199</v>
      </c>
    </row>
    <row r="5397" spans="1:9" x14ac:dyDescent="0.25">
      <c r="A5397" s="67" t="s">
        <v>2174</v>
      </c>
      <c r="B5397" s="67" t="s">
        <v>2173</v>
      </c>
      <c r="C5397" s="67">
        <v>0</v>
      </c>
      <c r="D5397" s="67">
        <v>0</v>
      </c>
      <c r="E5397" s="67">
        <v>83900.41</v>
      </c>
      <c r="F5397" s="67">
        <v>25250</v>
      </c>
      <c r="H5397" s="68">
        <v>40764</v>
      </c>
      <c r="I5397" s="67" t="s">
        <v>148</v>
      </c>
    </row>
    <row r="5398" spans="1:9" x14ac:dyDescent="0.25">
      <c r="B5398" s="67" t="s">
        <v>2173</v>
      </c>
      <c r="C5398" s="67">
        <v>0</v>
      </c>
      <c r="D5398" s="67">
        <v>0</v>
      </c>
      <c r="E5398" s="67">
        <v>83900.45</v>
      </c>
      <c r="H5398" s="67" t="s">
        <v>146</v>
      </c>
    </row>
    <row r="5400" spans="1:9" x14ac:dyDescent="0.25">
      <c r="A5400" s="67" t="s">
        <v>2172</v>
      </c>
      <c r="B5400" s="67" t="s">
        <v>2171</v>
      </c>
      <c r="C5400" s="67">
        <v>0</v>
      </c>
      <c r="D5400" s="67">
        <v>0</v>
      </c>
      <c r="E5400" s="67">
        <v>83900.41</v>
      </c>
      <c r="F5400" s="67">
        <v>25250</v>
      </c>
      <c r="H5400" s="68">
        <v>40764</v>
      </c>
      <c r="I5400" s="67" t="s">
        <v>148</v>
      </c>
    </row>
    <row r="5401" spans="1:9" x14ac:dyDescent="0.25">
      <c r="B5401" s="67" t="s">
        <v>2171</v>
      </c>
      <c r="C5401" s="67">
        <v>0</v>
      </c>
      <c r="D5401" s="67">
        <v>0</v>
      </c>
      <c r="E5401" s="67">
        <v>83900.45</v>
      </c>
      <c r="H5401" s="67" t="s">
        <v>146</v>
      </c>
    </row>
    <row r="5403" spans="1:9" x14ac:dyDescent="0.25">
      <c r="A5403" s="67" t="s">
        <v>2170</v>
      </c>
      <c r="B5403" s="67" t="s">
        <v>2169</v>
      </c>
      <c r="C5403" s="67">
        <v>0</v>
      </c>
      <c r="D5403" s="67">
        <v>0</v>
      </c>
      <c r="E5403" s="67">
        <v>83900.41</v>
      </c>
      <c r="F5403" s="67">
        <v>25250</v>
      </c>
      <c r="H5403" s="68">
        <v>40764</v>
      </c>
      <c r="I5403" s="67" t="s">
        <v>148</v>
      </c>
    </row>
    <row r="5404" spans="1:9" x14ac:dyDescent="0.25">
      <c r="B5404" s="67" t="s">
        <v>2169</v>
      </c>
      <c r="C5404" s="67">
        <v>0</v>
      </c>
      <c r="D5404" s="67">
        <v>0</v>
      </c>
      <c r="E5404" s="67">
        <v>83900.45</v>
      </c>
      <c r="H5404" s="67" t="s">
        <v>146</v>
      </c>
    </row>
    <row r="5406" spans="1:9" x14ac:dyDescent="0.25">
      <c r="A5406" s="67" t="s">
        <v>2168</v>
      </c>
      <c r="B5406" s="67" t="s">
        <v>2167</v>
      </c>
      <c r="C5406" s="67">
        <v>0</v>
      </c>
      <c r="D5406" s="67">
        <v>0</v>
      </c>
      <c r="E5406" s="67">
        <v>83900.41</v>
      </c>
      <c r="F5406" s="67">
        <v>25250</v>
      </c>
      <c r="H5406" s="68">
        <v>40764</v>
      </c>
      <c r="I5406" s="67" t="s">
        <v>148</v>
      </c>
    </row>
    <row r="5407" spans="1:9" x14ac:dyDescent="0.25">
      <c r="B5407" s="67" t="s">
        <v>2167</v>
      </c>
      <c r="C5407" s="67">
        <v>0</v>
      </c>
      <c r="D5407" s="67">
        <v>0</v>
      </c>
      <c r="E5407" s="67">
        <v>83900.45</v>
      </c>
      <c r="H5407" s="67" t="s">
        <v>146</v>
      </c>
    </row>
    <row r="5409" spans="1:9" x14ac:dyDescent="0.25">
      <c r="A5409" s="67" t="s">
        <v>2166</v>
      </c>
      <c r="B5409" s="67" t="s">
        <v>2165</v>
      </c>
      <c r="C5409" s="67">
        <v>0</v>
      </c>
      <c r="D5409" s="67">
        <v>0</v>
      </c>
      <c r="E5409" s="67">
        <v>83900.41</v>
      </c>
      <c r="F5409" s="67">
        <v>25250</v>
      </c>
      <c r="H5409" s="68">
        <v>40764</v>
      </c>
      <c r="I5409" s="67" t="s">
        <v>148</v>
      </c>
    </row>
    <row r="5410" spans="1:9" x14ac:dyDescent="0.25">
      <c r="B5410" s="67" t="s">
        <v>2165</v>
      </c>
      <c r="C5410" s="67">
        <v>0</v>
      </c>
      <c r="D5410" s="67">
        <v>0</v>
      </c>
      <c r="E5410" s="67">
        <v>83900.45</v>
      </c>
      <c r="H5410" s="67" t="s">
        <v>146</v>
      </c>
    </row>
    <row r="5412" spans="1:9" x14ac:dyDescent="0.25">
      <c r="A5412" s="67" t="s">
        <v>2164</v>
      </c>
      <c r="B5412" s="67" t="s">
        <v>2163</v>
      </c>
      <c r="C5412" s="67">
        <v>0</v>
      </c>
      <c r="D5412" s="67">
        <v>0</v>
      </c>
      <c r="E5412" s="67">
        <v>83900.41</v>
      </c>
      <c r="F5412" s="67">
        <v>25250</v>
      </c>
      <c r="H5412" s="68">
        <v>40764</v>
      </c>
      <c r="I5412" s="67" t="s">
        <v>148</v>
      </c>
    </row>
    <row r="5413" spans="1:9" x14ac:dyDescent="0.25">
      <c r="B5413" s="67" t="s">
        <v>2163</v>
      </c>
      <c r="C5413" s="67">
        <v>0</v>
      </c>
      <c r="D5413" s="67">
        <v>0</v>
      </c>
      <c r="E5413" s="67">
        <v>83900.45</v>
      </c>
      <c r="H5413" s="67" t="s">
        <v>146</v>
      </c>
    </row>
    <row r="5415" spans="1:9" x14ac:dyDescent="0.25">
      <c r="A5415" s="67" t="s">
        <v>2162</v>
      </c>
      <c r="B5415" s="67" t="s">
        <v>2161</v>
      </c>
      <c r="C5415" s="67">
        <v>0</v>
      </c>
      <c r="D5415" s="67">
        <v>0</v>
      </c>
      <c r="E5415" s="67">
        <v>83900.41</v>
      </c>
      <c r="F5415" s="67">
        <v>25250</v>
      </c>
      <c r="H5415" s="68">
        <v>40764</v>
      </c>
      <c r="I5415" s="67" t="s">
        <v>148</v>
      </c>
    </row>
    <row r="5416" spans="1:9" x14ac:dyDescent="0.25">
      <c r="B5416" s="67" t="s">
        <v>2161</v>
      </c>
      <c r="C5416" s="67">
        <v>0</v>
      </c>
      <c r="D5416" s="67">
        <v>0</v>
      </c>
      <c r="E5416" s="67">
        <v>83900.45</v>
      </c>
      <c r="H5416" s="67" t="s">
        <v>146</v>
      </c>
    </row>
    <row r="5418" spans="1:9" x14ac:dyDescent="0.25">
      <c r="A5418" s="67" t="s">
        <v>2160</v>
      </c>
      <c r="B5418" s="67" t="s">
        <v>2159</v>
      </c>
      <c r="C5418" s="67">
        <v>0</v>
      </c>
      <c r="D5418" s="67">
        <v>0</v>
      </c>
      <c r="E5418" s="67">
        <v>83900.41</v>
      </c>
      <c r="F5418" s="67">
        <v>25250</v>
      </c>
      <c r="H5418" s="68">
        <v>40764</v>
      </c>
      <c r="I5418" s="67" t="s">
        <v>148</v>
      </c>
    </row>
    <row r="5419" spans="1:9" x14ac:dyDescent="0.25">
      <c r="B5419" s="67" t="s">
        <v>2159</v>
      </c>
      <c r="C5419" s="67">
        <v>0</v>
      </c>
      <c r="D5419" s="67">
        <v>0</v>
      </c>
      <c r="E5419" s="67">
        <v>83900.45</v>
      </c>
      <c r="H5419" s="67" t="s">
        <v>146</v>
      </c>
    </row>
    <row r="5421" spans="1:9" x14ac:dyDescent="0.25">
      <c r="A5421" s="67" t="s">
        <v>2158</v>
      </c>
      <c r="B5421" s="67" t="s">
        <v>2157</v>
      </c>
      <c r="C5421" s="67">
        <v>0</v>
      </c>
      <c r="D5421" s="67">
        <v>0</v>
      </c>
      <c r="E5421" s="67">
        <v>83900.41</v>
      </c>
      <c r="F5421" s="67">
        <v>25250</v>
      </c>
      <c r="H5421" s="68">
        <v>40764</v>
      </c>
      <c r="I5421" s="67" t="s">
        <v>148</v>
      </c>
    </row>
    <row r="5422" spans="1:9" x14ac:dyDescent="0.25">
      <c r="B5422" s="67" t="s">
        <v>2157</v>
      </c>
      <c r="C5422" s="67">
        <v>0</v>
      </c>
      <c r="D5422" s="67">
        <v>0</v>
      </c>
      <c r="E5422" s="67">
        <v>83900.45</v>
      </c>
      <c r="H5422" s="67" t="s">
        <v>146</v>
      </c>
    </row>
    <row r="5424" spans="1:9" x14ac:dyDescent="0.25">
      <c r="A5424" s="67" t="s">
        <v>2156</v>
      </c>
      <c r="B5424" s="67" t="s">
        <v>2155</v>
      </c>
      <c r="C5424" s="67">
        <v>0</v>
      </c>
      <c r="D5424" s="67">
        <v>0</v>
      </c>
      <c r="E5424" s="67">
        <v>83900.41</v>
      </c>
      <c r="F5424" s="67">
        <v>25250</v>
      </c>
      <c r="H5424" s="68">
        <v>40764</v>
      </c>
      <c r="I5424" s="67" t="s">
        <v>148</v>
      </c>
    </row>
    <row r="5425" spans="1:9" x14ac:dyDescent="0.25">
      <c r="B5425" s="67" t="s">
        <v>2155</v>
      </c>
      <c r="C5425" s="67">
        <v>0</v>
      </c>
      <c r="D5425" s="67">
        <v>0</v>
      </c>
      <c r="E5425" s="67">
        <v>83900.45</v>
      </c>
      <c r="H5425" s="67" t="s">
        <v>146</v>
      </c>
    </row>
    <row r="5427" spans="1:9" x14ac:dyDescent="0.25">
      <c r="A5427" s="67" t="s">
        <v>2154</v>
      </c>
      <c r="B5427" s="67" t="s">
        <v>2153</v>
      </c>
      <c r="C5427" s="67">
        <v>0</v>
      </c>
      <c r="D5427" s="67">
        <v>0</v>
      </c>
      <c r="E5427" s="67">
        <v>83900.41</v>
      </c>
      <c r="F5427" s="67">
        <v>25250</v>
      </c>
      <c r="H5427" s="68">
        <v>40764</v>
      </c>
      <c r="I5427" s="67" t="s">
        <v>148</v>
      </c>
    </row>
    <row r="5428" spans="1:9" x14ac:dyDescent="0.25">
      <c r="B5428" s="67" t="s">
        <v>2153</v>
      </c>
      <c r="C5428" s="67">
        <v>0</v>
      </c>
      <c r="D5428" s="67">
        <v>0</v>
      </c>
      <c r="E5428" s="67">
        <v>83900.45</v>
      </c>
      <c r="H5428" s="67" t="s">
        <v>146</v>
      </c>
    </row>
    <row r="5430" spans="1:9" x14ac:dyDescent="0.25">
      <c r="A5430" s="67" t="s">
        <v>2152</v>
      </c>
      <c r="B5430" s="67" t="s">
        <v>2151</v>
      </c>
      <c r="C5430" s="67">
        <v>0</v>
      </c>
      <c r="D5430" s="67">
        <v>0</v>
      </c>
      <c r="E5430" s="67">
        <v>83900.41</v>
      </c>
      <c r="F5430" s="67">
        <v>25250</v>
      </c>
      <c r="H5430" s="68">
        <v>40764</v>
      </c>
      <c r="I5430" s="67" t="s">
        <v>148</v>
      </c>
    </row>
    <row r="5431" spans="1:9" x14ac:dyDescent="0.25">
      <c r="B5431" s="67" t="s">
        <v>2151</v>
      </c>
      <c r="C5431" s="67">
        <v>0</v>
      </c>
      <c r="D5431" s="67">
        <v>0</v>
      </c>
      <c r="E5431" s="67">
        <v>83900.45</v>
      </c>
      <c r="H5431" s="67" t="s">
        <v>146</v>
      </c>
    </row>
    <row r="5433" spans="1:9" x14ac:dyDescent="0.25">
      <c r="A5433" s="67" t="s">
        <v>2150</v>
      </c>
      <c r="B5433" s="67" t="s">
        <v>2149</v>
      </c>
      <c r="C5433" s="67">
        <v>0</v>
      </c>
      <c r="D5433" s="67">
        <v>0</v>
      </c>
      <c r="E5433" s="67">
        <v>83900.41</v>
      </c>
      <c r="F5433" s="67">
        <v>25250</v>
      </c>
      <c r="H5433" s="68">
        <v>40764</v>
      </c>
      <c r="I5433" s="67" t="s">
        <v>148</v>
      </c>
    </row>
    <row r="5434" spans="1:9" x14ac:dyDescent="0.25">
      <c r="B5434" s="67" t="s">
        <v>2149</v>
      </c>
      <c r="C5434" s="67">
        <v>0</v>
      </c>
      <c r="D5434" s="67">
        <v>0</v>
      </c>
      <c r="E5434" s="67">
        <v>83900.45</v>
      </c>
      <c r="H5434" s="67" t="s">
        <v>146</v>
      </c>
    </row>
    <row r="5436" spans="1:9" x14ac:dyDescent="0.25">
      <c r="A5436" s="67" t="s">
        <v>2148</v>
      </c>
      <c r="B5436" s="67" t="s">
        <v>2147</v>
      </c>
      <c r="C5436" s="67">
        <v>0</v>
      </c>
      <c r="D5436" s="67">
        <v>0</v>
      </c>
      <c r="E5436" s="67">
        <v>83900.41</v>
      </c>
      <c r="F5436" s="67">
        <v>25250</v>
      </c>
      <c r="H5436" s="68">
        <v>40764</v>
      </c>
      <c r="I5436" s="67" t="s">
        <v>148</v>
      </c>
    </row>
    <row r="5437" spans="1:9" x14ac:dyDescent="0.25">
      <c r="B5437" s="67" t="s">
        <v>2147</v>
      </c>
      <c r="C5437" s="67">
        <v>0</v>
      </c>
      <c r="D5437" s="67">
        <v>0</v>
      </c>
      <c r="E5437" s="67">
        <v>83900.45</v>
      </c>
      <c r="H5437" s="67" t="s">
        <v>146</v>
      </c>
    </row>
    <row r="5439" spans="1:9" x14ac:dyDescent="0.25">
      <c r="A5439" s="67" t="s">
        <v>2146</v>
      </c>
      <c r="B5439" s="67" t="s">
        <v>2145</v>
      </c>
      <c r="C5439" s="67">
        <v>0</v>
      </c>
      <c r="D5439" s="67">
        <v>0</v>
      </c>
      <c r="E5439" s="67">
        <v>83900.41</v>
      </c>
      <c r="F5439" s="67">
        <v>25250</v>
      </c>
      <c r="H5439" s="68">
        <v>40764</v>
      </c>
      <c r="I5439" s="67" t="s">
        <v>148</v>
      </c>
    </row>
    <row r="5440" spans="1:9" x14ac:dyDescent="0.25">
      <c r="B5440" s="67" t="s">
        <v>2145</v>
      </c>
      <c r="C5440" s="67">
        <v>0</v>
      </c>
      <c r="D5440" s="67">
        <v>0</v>
      </c>
      <c r="E5440" s="67">
        <v>83900.45</v>
      </c>
      <c r="H5440" s="67" t="s">
        <v>146</v>
      </c>
    </row>
    <row r="5442" spans="1:9" x14ac:dyDescent="0.25">
      <c r="A5442" s="67" t="s">
        <v>2144</v>
      </c>
      <c r="B5442" s="67" t="s">
        <v>2143</v>
      </c>
      <c r="C5442" s="67">
        <v>0</v>
      </c>
      <c r="D5442" s="67">
        <v>0</v>
      </c>
      <c r="E5442" s="67">
        <v>83900.41</v>
      </c>
      <c r="F5442" s="67">
        <v>25250</v>
      </c>
      <c r="H5442" s="68">
        <v>40764</v>
      </c>
      <c r="I5442" s="67" t="s">
        <v>148</v>
      </c>
    </row>
    <row r="5443" spans="1:9" x14ac:dyDescent="0.25">
      <c r="B5443" s="67" t="s">
        <v>2143</v>
      </c>
      <c r="C5443" s="67">
        <v>0</v>
      </c>
      <c r="D5443" s="67">
        <v>0</v>
      </c>
      <c r="E5443" s="67">
        <v>83900.45</v>
      </c>
      <c r="H5443" s="67" t="s">
        <v>146</v>
      </c>
    </row>
    <row r="5445" spans="1:9" x14ac:dyDescent="0.25">
      <c r="A5445" s="67" t="s">
        <v>2142</v>
      </c>
      <c r="B5445" s="67" t="s">
        <v>2141</v>
      </c>
      <c r="C5445" s="67">
        <v>0</v>
      </c>
      <c r="D5445" s="67">
        <v>0</v>
      </c>
      <c r="E5445" s="67">
        <v>83900.41</v>
      </c>
      <c r="F5445" s="67">
        <v>25250</v>
      </c>
      <c r="H5445" s="68">
        <v>40764</v>
      </c>
      <c r="I5445" s="67" t="s">
        <v>148</v>
      </c>
    </row>
    <row r="5446" spans="1:9" x14ac:dyDescent="0.25">
      <c r="B5446" s="67" t="s">
        <v>2141</v>
      </c>
      <c r="C5446" s="67">
        <v>0</v>
      </c>
      <c r="D5446" s="67">
        <v>0</v>
      </c>
      <c r="E5446" s="67">
        <v>83900.45</v>
      </c>
      <c r="H5446" s="67" t="s">
        <v>146</v>
      </c>
    </row>
    <row r="5447" spans="1:9" x14ac:dyDescent="0.25">
      <c r="A5447" s="67" t="s">
        <v>233</v>
      </c>
    </row>
    <row r="5449" spans="1:9" x14ac:dyDescent="0.25">
      <c r="A5449" s="67" t="s">
        <v>232</v>
      </c>
      <c r="D5449" s="67" t="s">
        <v>231</v>
      </c>
      <c r="H5449" s="67" t="s">
        <v>148</v>
      </c>
      <c r="I5449" s="67" t="s">
        <v>230</v>
      </c>
    </row>
    <row r="5450" spans="1:9" x14ac:dyDescent="0.25">
      <c r="A5450" s="67">
        <v>41.1</v>
      </c>
      <c r="C5450" s="67" t="s">
        <v>215</v>
      </c>
      <c r="D5450" s="67" t="s">
        <v>229</v>
      </c>
      <c r="H5450" s="70">
        <v>44771</v>
      </c>
      <c r="I5450" s="69">
        <v>0.56736111111111109</v>
      </c>
    </row>
    <row r="5451" spans="1:9" x14ac:dyDescent="0.25">
      <c r="A5451" s="67" t="s">
        <v>228</v>
      </c>
      <c r="C5451" s="67" t="s">
        <v>227</v>
      </c>
      <c r="D5451" s="67" t="s">
        <v>226</v>
      </c>
      <c r="E5451" s="67">
        <v>589</v>
      </c>
      <c r="H5451" s="67" t="s">
        <v>225</v>
      </c>
      <c r="I5451" s="67">
        <v>95</v>
      </c>
    </row>
    <row r="5452" spans="1:9" x14ac:dyDescent="0.25">
      <c r="A5452" s="67" t="s">
        <v>884</v>
      </c>
    </row>
    <row r="5453" spans="1:9" x14ac:dyDescent="0.25">
      <c r="A5453" s="67" t="s">
        <v>223</v>
      </c>
      <c r="B5453" s="67" t="s">
        <v>222</v>
      </c>
      <c r="C5453" s="67" t="s">
        <v>221</v>
      </c>
      <c r="D5453" s="67" t="s">
        <v>220</v>
      </c>
      <c r="E5453" s="67" t="s">
        <v>219</v>
      </c>
      <c r="F5453" s="67" t="s">
        <v>217</v>
      </c>
      <c r="G5453" s="67" t="s">
        <v>218</v>
      </c>
      <c r="H5453" s="67" t="s">
        <v>217</v>
      </c>
      <c r="I5453" s="67" t="s">
        <v>216</v>
      </c>
    </row>
    <row r="5454" spans="1:9" x14ac:dyDescent="0.25">
      <c r="A5454" s="67" t="s">
        <v>215</v>
      </c>
      <c r="B5454" s="67" t="s">
        <v>214</v>
      </c>
      <c r="C5454" s="67" t="s">
        <v>213</v>
      </c>
      <c r="D5454" s="67" t="s">
        <v>212</v>
      </c>
      <c r="E5454" s="67" t="s">
        <v>211</v>
      </c>
      <c r="F5454" s="67" t="s">
        <v>210</v>
      </c>
      <c r="G5454" s="67" t="s">
        <v>209</v>
      </c>
      <c r="H5454" s="67" t="s">
        <v>208</v>
      </c>
      <c r="I5454" s="67" t="s">
        <v>207</v>
      </c>
    </row>
    <row r="5455" spans="1:9" x14ac:dyDescent="0.25">
      <c r="A5455" s="67" t="s">
        <v>206</v>
      </c>
      <c r="B5455" s="67" t="s">
        <v>205</v>
      </c>
      <c r="C5455" s="67" t="s">
        <v>204</v>
      </c>
      <c r="D5455" s="67" t="s">
        <v>203</v>
      </c>
      <c r="E5455" s="67" t="s">
        <v>202</v>
      </c>
      <c r="F5455" s="67" t="s">
        <v>201</v>
      </c>
      <c r="G5455" s="67" t="s">
        <v>200</v>
      </c>
      <c r="H5455" s="67" t="s">
        <v>199</v>
      </c>
    </row>
    <row r="5456" spans="1:9" x14ac:dyDescent="0.25">
      <c r="A5456" s="67" t="s">
        <v>2140</v>
      </c>
      <c r="B5456" s="67" t="s">
        <v>2139</v>
      </c>
      <c r="C5456" s="67">
        <v>0</v>
      </c>
      <c r="D5456" s="67">
        <v>0</v>
      </c>
      <c r="E5456" s="67">
        <v>83900.41</v>
      </c>
      <c r="F5456" s="67">
        <v>25250</v>
      </c>
      <c r="H5456" s="68">
        <v>40764</v>
      </c>
      <c r="I5456" s="67" t="s">
        <v>148</v>
      </c>
    </row>
    <row r="5457" spans="1:9" x14ac:dyDescent="0.25">
      <c r="B5457" s="67" t="s">
        <v>2139</v>
      </c>
      <c r="C5457" s="67">
        <v>0</v>
      </c>
      <c r="D5457" s="67">
        <v>0</v>
      </c>
      <c r="E5457" s="67">
        <v>83900.45</v>
      </c>
      <c r="H5457" s="67" t="s">
        <v>146</v>
      </c>
    </row>
    <row r="5459" spans="1:9" x14ac:dyDescent="0.25">
      <c r="A5459" s="67" t="s">
        <v>2138</v>
      </c>
      <c r="B5459" s="67" t="s">
        <v>2137</v>
      </c>
      <c r="C5459" s="67">
        <v>0</v>
      </c>
      <c r="D5459" s="67">
        <v>0</v>
      </c>
      <c r="E5459" s="67">
        <v>83900.41</v>
      </c>
      <c r="F5459" s="67">
        <v>25250</v>
      </c>
      <c r="H5459" s="68">
        <v>40764</v>
      </c>
      <c r="I5459" s="67" t="s">
        <v>148</v>
      </c>
    </row>
    <row r="5460" spans="1:9" x14ac:dyDescent="0.25">
      <c r="B5460" s="67" t="s">
        <v>2137</v>
      </c>
      <c r="C5460" s="67">
        <v>0</v>
      </c>
      <c r="D5460" s="67">
        <v>0</v>
      </c>
      <c r="E5460" s="67">
        <v>83900.45</v>
      </c>
      <c r="H5460" s="67" t="s">
        <v>146</v>
      </c>
    </row>
    <row r="5462" spans="1:9" x14ac:dyDescent="0.25">
      <c r="A5462" s="67" t="s">
        <v>2136</v>
      </c>
      <c r="B5462" s="67" t="s">
        <v>2135</v>
      </c>
      <c r="C5462" s="67">
        <v>0</v>
      </c>
      <c r="D5462" s="67">
        <v>0</v>
      </c>
      <c r="E5462" s="67">
        <v>83900.41</v>
      </c>
      <c r="F5462" s="67">
        <v>25250</v>
      </c>
      <c r="H5462" s="68">
        <v>40764</v>
      </c>
      <c r="I5462" s="67" t="s">
        <v>148</v>
      </c>
    </row>
    <row r="5463" spans="1:9" x14ac:dyDescent="0.25">
      <c r="B5463" s="67" t="s">
        <v>2135</v>
      </c>
      <c r="C5463" s="67">
        <v>0</v>
      </c>
      <c r="D5463" s="67">
        <v>0</v>
      </c>
      <c r="E5463" s="67">
        <v>83900.45</v>
      </c>
      <c r="H5463" s="67" t="s">
        <v>146</v>
      </c>
    </row>
    <row r="5465" spans="1:9" x14ac:dyDescent="0.25">
      <c r="A5465" s="67" t="s">
        <v>2134</v>
      </c>
      <c r="B5465" s="67" t="s">
        <v>2133</v>
      </c>
      <c r="C5465" s="67">
        <v>0</v>
      </c>
      <c r="D5465" s="67">
        <v>0</v>
      </c>
      <c r="E5465" s="67">
        <v>83900.41</v>
      </c>
      <c r="F5465" s="67">
        <v>25250</v>
      </c>
      <c r="H5465" s="68">
        <v>40764</v>
      </c>
      <c r="I5465" s="67" t="s">
        <v>148</v>
      </c>
    </row>
    <row r="5466" spans="1:9" x14ac:dyDescent="0.25">
      <c r="B5466" s="67" t="s">
        <v>2133</v>
      </c>
      <c r="C5466" s="67">
        <v>0</v>
      </c>
      <c r="D5466" s="67">
        <v>0</v>
      </c>
      <c r="E5466" s="67">
        <v>83900.45</v>
      </c>
      <c r="H5466" s="67" t="s">
        <v>146</v>
      </c>
    </row>
    <row r="5468" spans="1:9" x14ac:dyDescent="0.25">
      <c r="A5468" s="67" t="s">
        <v>2132</v>
      </c>
      <c r="B5468" s="67" t="s">
        <v>2131</v>
      </c>
      <c r="C5468" s="67">
        <v>0</v>
      </c>
      <c r="D5468" s="67">
        <v>0</v>
      </c>
      <c r="E5468" s="67">
        <v>83900.41</v>
      </c>
      <c r="F5468" s="67">
        <v>25250</v>
      </c>
      <c r="H5468" s="68">
        <v>40764</v>
      </c>
      <c r="I5468" s="67" t="s">
        <v>148</v>
      </c>
    </row>
    <row r="5469" spans="1:9" x14ac:dyDescent="0.25">
      <c r="B5469" s="67" t="s">
        <v>2131</v>
      </c>
      <c r="C5469" s="67">
        <v>0</v>
      </c>
      <c r="D5469" s="67">
        <v>0</v>
      </c>
      <c r="E5469" s="67">
        <v>83900.45</v>
      </c>
      <c r="H5469" s="67" t="s">
        <v>146</v>
      </c>
    </row>
    <row r="5471" spans="1:9" x14ac:dyDescent="0.25">
      <c r="A5471" s="67" t="s">
        <v>2130</v>
      </c>
      <c r="B5471" s="67" t="s">
        <v>2129</v>
      </c>
      <c r="C5471" s="67">
        <v>0</v>
      </c>
      <c r="D5471" s="67">
        <v>0</v>
      </c>
      <c r="E5471" s="67">
        <v>83900.41</v>
      </c>
      <c r="F5471" s="67">
        <v>25250</v>
      </c>
      <c r="H5471" s="68">
        <v>40764</v>
      </c>
      <c r="I5471" s="67" t="s">
        <v>148</v>
      </c>
    </row>
    <row r="5472" spans="1:9" x14ac:dyDescent="0.25">
      <c r="B5472" s="67" t="s">
        <v>2129</v>
      </c>
      <c r="C5472" s="67">
        <v>0</v>
      </c>
      <c r="D5472" s="67">
        <v>0</v>
      </c>
      <c r="E5472" s="67">
        <v>83900.45</v>
      </c>
      <c r="H5472" s="67" t="s">
        <v>146</v>
      </c>
    </row>
    <row r="5474" spans="1:9" x14ac:dyDescent="0.25">
      <c r="A5474" s="67" t="s">
        <v>2128</v>
      </c>
      <c r="B5474" s="67" t="s">
        <v>2127</v>
      </c>
      <c r="C5474" s="67">
        <v>0</v>
      </c>
      <c r="D5474" s="67">
        <v>0</v>
      </c>
      <c r="E5474" s="67">
        <v>83900.41</v>
      </c>
      <c r="F5474" s="67">
        <v>25250</v>
      </c>
      <c r="H5474" s="68">
        <v>40764</v>
      </c>
      <c r="I5474" s="67" t="s">
        <v>148</v>
      </c>
    </row>
    <row r="5475" spans="1:9" x14ac:dyDescent="0.25">
      <c r="B5475" s="67" t="s">
        <v>2127</v>
      </c>
      <c r="C5475" s="67">
        <v>0</v>
      </c>
      <c r="D5475" s="67">
        <v>0</v>
      </c>
      <c r="E5475" s="67">
        <v>83900.45</v>
      </c>
      <c r="H5475" s="67" t="s">
        <v>146</v>
      </c>
    </row>
    <row r="5477" spans="1:9" x14ac:dyDescent="0.25">
      <c r="A5477" s="67" t="s">
        <v>2126</v>
      </c>
      <c r="B5477" s="67" t="s">
        <v>2125</v>
      </c>
      <c r="C5477" s="67">
        <v>0</v>
      </c>
      <c r="D5477" s="67">
        <v>0</v>
      </c>
      <c r="E5477" s="67">
        <v>83900.41</v>
      </c>
      <c r="F5477" s="67">
        <v>25250</v>
      </c>
      <c r="H5477" s="68">
        <v>40764</v>
      </c>
      <c r="I5477" s="67" t="s">
        <v>148</v>
      </c>
    </row>
    <row r="5478" spans="1:9" x14ac:dyDescent="0.25">
      <c r="B5478" s="67" t="s">
        <v>2125</v>
      </c>
      <c r="C5478" s="67">
        <v>0</v>
      </c>
      <c r="D5478" s="67">
        <v>0</v>
      </c>
      <c r="E5478" s="67">
        <v>83900.45</v>
      </c>
      <c r="H5478" s="67" t="s">
        <v>146</v>
      </c>
    </row>
    <row r="5480" spans="1:9" x14ac:dyDescent="0.25">
      <c r="A5480" s="67" t="s">
        <v>2124</v>
      </c>
      <c r="B5480" s="67" t="s">
        <v>2123</v>
      </c>
      <c r="C5480" s="67">
        <v>0</v>
      </c>
      <c r="D5480" s="67">
        <v>0</v>
      </c>
      <c r="E5480" s="67">
        <v>83900.41</v>
      </c>
      <c r="F5480" s="67">
        <v>25250</v>
      </c>
      <c r="H5480" s="68">
        <v>40764</v>
      </c>
      <c r="I5480" s="67" t="s">
        <v>148</v>
      </c>
    </row>
    <row r="5481" spans="1:9" x14ac:dyDescent="0.25">
      <c r="B5481" s="67" t="s">
        <v>2123</v>
      </c>
      <c r="C5481" s="67">
        <v>0</v>
      </c>
      <c r="D5481" s="67">
        <v>0</v>
      </c>
      <c r="E5481" s="67">
        <v>83900.45</v>
      </c>
      <c r="H5481" s="67" t="s">
        <v>146</v>
      </c>
    </row>
    <row r="5483" spans="1:9" x14ac:dyDescent="0.25">
      <c r="A5483" s="67" t="s">
        <v>2122</v>
      </c>
      <c r="B5483" s="67" t="s">
        <v>2121</v>
      </c>
      <c r="C5483" s="67">
        <v>0</v>
      </c>
      <c r="D5483" s="67">
        <v>0</v>
      </c>
      <c r="E5483" s="67">
        <v>83900.41</v>
      </c>
      <c r="F5483" s="67">
        <v>25250</v>
      </c>
      <c r="H5483" s="68">
        <v>40764</v>
      </c>
      <c r="I5483" s="67" t="s">
        <v>148</v>
      </c>
    </row>
    <row r="5484" spans="1:9" x14ac:dyDescent="0.25">
      <c r="B5484" s="67" t="s">
        <v>2121</v>
      </c>
      <c r="C5484" s="67">
        <v>0</v>
      </c>
      <c r="D5484" s="67">
        <v>0</v>
      </c>
      <c r="E5484" s="67">
        <v>83900.45</v>
      </c>
      <c r="H5484" s="67" t="s">
        <v>146</v>
      </c>
    </row>
    <row r="5486" spans="1:9" x14ac:dyDescent="0.25">
      <c r="A5486" s="67" t="s">
        <v>2120</v>
      </c>
      <c r="B5486" s="67" t="s">
        <v>2119</v>
      </c>
      <c r="C5486" s="67">
        <v>0</v>
      </c>
      <c r="D5486" s="67">
        <v>0</v>
      </c>
      <c r="E5486" s="67">
        <v>83900.41</v>
      </c>
      <c r="F5486" s="67">
        <v>25250</v>
      </c>
      <c r="H5486" s="68">
        <v>40764</v>
      </c>
      <c r="I5486" s="67" t="s">
        <v>148</v>
      </c>
    </row>
    <row r="5487" spans="1:9" x14ac:dyDescent="0.25">
      <c r="B5487" s="67" t="s">
        <v>2119</v>
      </c>
      <c r="C5487" s="67">
        <v>0</v>
      </c>
      <c r="D5487" s="67">
        <v>0</v>
      </c>
      <c r="E5487" s="67">
        <v>83900.45</v>
      </c>
      <c r="H5487" s="67" t="s">
        <v>146</v>
      </c>
    </row>
    <row r="5489" spans="1:9" x14ac:dyDescent="0.25">
      <c r="A5489" s="67" t="s">
        <v>2118</v>
      </c>
      <c r="B5489" s="67" t="s">
        <v>2117</v>
      </c>
      <c r="C5489" s="67">
        <v>0</v>
      </c>
      <c r="D5489" s="67">
        <v>0</v>
      </c>
      <c r="E5489" s="67">
        <v>83900.41</v>
      </c>
      <c r="F5489" s="67">
        <v>25250</v>
      </c>
      <c r="H5489" s="68">
        <v>40764</v>
      </c>
      <c r="I5489" s="67" t="s">
        <v>148</v>
      </c>
    </row>
    <row r="5490" spans="1:9" x14ac:dyDescent="0.25">
      <c r="B5490" s="67" t="s">
        <v>2117</v>
      </c>
      <c r="C5490" s="67">
        <v>0</v>
      </c>
      <c r="D5490" s="67">
        <v>0</v>
      </c>
      <c r="E5490" s="67">
        <v>83900.45</v>
      </c>
      <c r="H5490" s="67" t="s">
        <v>146</v>
      </c>
    </row>
    <row r="5492" spans="1:9" x14ac:dyDescent="0.25">
      <c r="A5492" s="67" t="s">
        <v>2116</v>
      </c>
      <c r="B5492" s="67" t="s">
        <v>2115</v>
      </c>
      <c r="C5492" s="67">
        <v>0</v>
      </c>
      <c r="D5492" s="67">
        <v>0</v>
      </c>
      <c r="E5492" s="67">
        <v>83900.41</v>
      </c>
      <c r="F5492" s="67">
        <v>25250</v>
      </c>
      <c r="H5492" s="68">
        <v>40764</v>
      </c>
      <c r="I5492" s="67" t="s">
        <v>148</v>
      </c>
    </row>
    <row r="5493" spans="1:9" x14ac:dyDescent="0.25">
      <c r="B5493" s="67" t="s">
        <v>2115</v>
      </c>
      <c r="C5493" s="67">
        <v>0</v>
      </c>
      <c r="D5493" s="67">
        <v>0</v>
      </c>
      <c r="E5493" s="67">
        <v>83900.45</v>
      </c>
      <c r="H5493" s="67" t="s">
        <v>146</v>
      </c>
    </row>
    <row r="5495" spans="1:9" x14ac:dyDescent="0.25">
      <c r="A5495" s="67" t="s">
        <v>2114</v>
      </c>
      <c r="B5495" s="67" t="s">
        <v>2113</v>
      </c>
      <c r="C5495" s="67">
        <v>0</v>
      </c>
      <c r="D5495" s="67">
        <v>0</v>
      </c>
      <c r="E5495" s="67">
        <v>83900.41</v>
      </c>
      <c r="F5495" s="67">
        <v>25250</v>
      </c>
      <c r="H5495" s="68">
        <v>40764</v>
      </c>
      <c r="I5495" s="67" t="s">
        <v>148</v>
      </c>
    </row>
    <row r="5496" spans="1:9" x14ac:dyDescent="0.25">
      <c r="B5496" s="67" t="s">
        <v>2113</v>
      </c>
      <c r="C5496" s="67">
        <v>0</v>
      </c>
      <c r="D5496" s="67">
        <v>0</v>
      </c>
      <c r="E5496" s="67">
        <v>83900.45</v>
      </c>
      <c r="H5496" s="67" t="s">
        <v>146</v>
      </c>
    </row>
    <row r="5498" spans="1:9" x14ac:dyDescent="0.25">
      <c r="A5498" s="67" t="s">
        <v>2112</v>
      </c>
      <c r="B5498" s="67" t="s">
        <v>2111</v>
      </c>
      <c r="C5498" s="67">
        <v>0</v>
      </c>
      <c r="D5498" s="67">
        <v>0</v>
      </c>
      <c r="E5498" s="67">
        <v>83900.41</v>
      </c>
      <c r="F5498" s="67">
        <v>25250</v>
      </c>
      <c r="H5498" s="68">
        <v>40764</v>
      </c>
      <c r="I5498" s="67" t="s">
        <v>148</v>
      </c>
    </row>
    <row r="5499" spans="1:9" x14ac:dyDescent="0.25">
      <c r="B5499" s="67" t="s">
        <v>2111</v>
      </c>
      <c r="C5499" s="67">
        <v>0</v>
      </c>
      <c r="D5499" s="67">
        <v>0</v>
      </c>
      <c r="E5499" s="67">
        <v>83900.45</v>
      </c>
      <c r="H5499" s="67" t="s">
        <v>146</v>
      </c>
    </row>
    <row r="5501" spans="1:9" x14ac:dyDescent="0.25">
      <c r="A5501" s="67" t="s">
        <v>2110</v>
      </c>
      <c r="B5501" s="67" t="s">
        <v>2109</v>
      </c>
      <c r="C5501" s="67">
        <v>0</v>
      </c>
      <c r="D5501" s="67">
        <v>0</v>
      </c>
      <c r="E5501" s="67">
        <v>83900.41</v>
      </c>
      <c r="F5501" s="67">
        <v>25250</v>
      </c>
      <c r="H5501" s="68">
        <v>40764</v>
      </c>
      <c r="I5501" s="67" t="s">
        <v>148</v>
      </c>
    </row>
    <row r="5502" spans="1:9" x14ac:dyDescent="0.25">
      <c r="B5502" s="67" t="s">
        <v>2109</v>
      </c>
      <c r="C5502" s="67">
        <v>0</v>
      </c>
      <c r="D5502" s="67">
        <v>0</v>
      </c>
      <c r="E5502" s="67">
        <v>83900.45</v>
      </c>
      <c r="H5502" s="67" t="s">
        <v>146</v>
      </c>
    </row>
    <row r="5504" spans="1:9" x14ac:dyDescent="0.25">
      <c r="A5504" s="67" t="s">
        <v>2108</v>
      </c>
      <c r="B5504" s="67" t="s">
        <v>2107</v>
      </c>
      <c r="C5504" s="67">
        <v>0</v>
      </c>
      <c r="D5504" s="67">
        <v>0</v>
      </c>
      <c r="E5504" s="67">
        <v>83900.41</v>
      </c>
      <c r="F5504" s="67">
        <v>25250</v>
      </c>
      <c r="H5504" s="68">
        <v>40764</v>
      </c>
      <c r="I5504" s="67" t="s">
        <v>148</v>
      </c>
    </row>
    <row r="5505" spans="1:9" x14ac:dyDescent="0.25">
      <c r="B5505" s="67" t="s">
        <v>2107</v>
      </c>
      <c r="C5505" s="67">
        <v>0</v>
      </c>
      <c r="D5505" s="67">
        <v>0</v>
      </c>
      <c r="E5505" s="67">
        <v>83900.45</v>
      </c>
      <c r="H5505" s="67" t="s">
        <v>146</v>
      </c>
    </row>
    <row r="5506" spans="1:9" x14ac:dyDescent="0.25">
      <c r="A5506" s="67" t="s">
        <v>233</v>
      </c>
    </row>
    <row r="5508" spans="1:9" x14ac:dyDescent="0.25">
      <c r="A5508" s="67" t="s">
        <v>232</v>
      </c>
      <c r="D5508" s="67" t="s">
        <v>231</v>
      </c>
      <c r="H5508" s="67" t="s">
        <v>148</v>
      </c>
      <c r="I5508" s="67" t="s">
        <v>230</v>
      </c>
    </row>
    <row r="5509" spans="1:9" x14ac:dyDescent="0.25">
      <c r="A5509" s="67">
        <v>41.1</v>
      </c>
      <c r="C5509" s="67" t="s">
        <v>215</v>
      </c>
      <c r="D5509" s="67" t="s">
        <v>229</v>
      </c>
      <c r="H5509" s="70">
        <v>44771</v>
      </c>
      <c r="I5509" s="69">
        <v>0.56736111111111109</v>
      </c>
    </row>
    <row r="5510" spans="1:9" x14ac:dyDescent="0.25">
      <c r="A5510" s="67" t="s">
        <v>228</v>
      </c>
      <c r="C5510" s="67" t="s">
        <v>227</v>
      </c>
      <c r="D5510" s="67" t="s">
        <v>226</v>
      </c>
      <c r="E5510" s="67">
        <v>589</v>
      </c>
      <c r="H5510" s="67" t="s">
        <v>225</v>
      </c>
      <c r="I5510" s="67">
        <v>96</v>
      </c>
    </row>
    <row r="5511" spans="1:9" x14ac:dyDescent="0.25">
      <c r="A5511" s="67" t="s">
        <v>884</v>
      </c>
    </row>
    <row r="5512" spans="1:9" x14ac:dyDescent="0.25">
      <c r="A5512" s="67" t="s">
        <v>223</v>
      </c>
      <c r="B5512" s="67" t="s">
        <v>222</v>
      </c>
      <c r="C5512" s="67" t="s">
        <v>221</v>
      </c>
      <c r="D5512" s="67" t="s">
        <v>220</v>
      </c>
      <c r="E5512" s="67" t="s">
        <v>219</v>
      </c>
      <c r="F5512" s="67" t="s">
        <v>217</v>
      </c>
      <c r="G5512" s="67" t="s">
        <v>218</v>
      </c>
      <c r="H5512" s="67" t="s">
        <v>217</v>
      </c>
      <c r="I5512" s="67" t="s">
        <v>216</v>
      </c>
    </row>
    <row r="5513" spans="1:9" x14ac:dyDescent="0.25">
      <c r="A5513" s="67" t="s">
        <v>215</v>
      </c>
      <c r="B5513" s="67" t="s">
        <v>214</v>
      </c>
      <c r="C5513" s="67" t="s">
        <v>213</v>
      </c>
      <c r="D5513" s="67" t="s">
        <v>212</v>
      </c>
      <c r="E5513" s="67" t="s">
        <v>211</v>
      </c>
      <c r="F5513" s="67" t="s">
        <v>210</v>
      </c>
      <c r="G5513" s="67" t="s">
        <v>209</v>
      </c>
      <c r="H5513" s="67" t="s">
        <v>208</v>
      </c>
      <c r="I5513" s="67" t="s">
        <v>207</v>
      </c>
    </row>
    <row r="5514" spans="1:9" x14ac:dyDescent="0.25">
      <c r="A5514" s="67" t="s">
        <v>206</v>
      </c>
      <c r="B5514" s="67" t="s">
        <v>205</v>
      </c>
      <c r="C5514" s="67" t="s">
        <v>204</v>
      </c>
      <c r="D5514" s="67" t="s">
        <v>203</v>
      </c>
      <c r="E5514" s="67" t="s">
        <v>202</v>
      </c>
      <c r="F5514" s="67" t="s">
        <v>201</v>
      </c>
      <c r="G5514" s="67" t="s">
        <v>200</v>
      </c>
      <c r="H5514" s="67" t="s">
        <v>199</v>
      </c>
    </row>
    <row r="5515" spans="1:9" x14ac:dyDescent="0.25">
      <c r="A5515" s="67" t="s">
        <v>2106</v>
      </c>
      <c r="B5515" s="67" t="s">
        <v>2105</v>
      </c>
      <c r="C5515" s="67">
        <v>0</v>
      </c>
      <c r="D5515" s="67">
        <v>0</v>
      </c>
      <c r="E5515" s="67">
        <v>83900.41</v>
      </c>
      <c r="F5515" s="67">
        <v>25250</v>
      </c>
      <c r="H5515" s="68">
        <v>40764</v>
      </c>
      <c r="I5515" s="67" t="s">
        <v>148</v>
      </c>
    </row>
    <row r="5516" spans="1:9" x14ac:dyDescent="0.25">
      <c r="B5516" s="67" t="s">
        <v>2105</v>
      </c>
      <c r="C5516" s="67">
        <v>0</v>
      </c>
      <c r="D5516" s="67">
        <v>0</v>
      </c>
      <c r="E5516" s="67">
        <v>83900.45</v>
      </c>
      <c r="H5516" s="67" t="s">
        <v>146</v>
      </c>
    </row>
    <row r="5518" spans="1:9" x14ac:dyDescent="0.25">
      <c r="A5518" s="67" t="s">
        <v>2104</v>
      </c>
      <c r="B5518" s="67" t="s">
        <v>2103</v>
      </c>
      <c r="C5518" s="67">
        <v>0</v>
      </c>
      <c r="D5518" s="67">
        <v>0</v>
      </c>
      <c r="E5518" s="67">
        <v>83900.41</v>
      </c>
      <c r="F5518" s="67">
        <v>25250</v>
      </c>
      <c r="H5518" s="68">
        <v>40764</v>
      </c>
      <c r="I5518" s="67" t="s">
        <v>148</v>
      </c>
    </row>
    <row r="5519" spans="1:9" x14ac:dyDescent="0.25">
      <c r="B5519" s="67" t="s">
        <v>2103</v>
      </c>
      <c r="C5519" s="67">
        <v>0</v>
      </c>
      <c r="D5519" s="67">
        <v>0</v>
      </c>
      <c r="E5519" s="67">
        <v>83900.45</v>
      </c>
      <c r="H5519" s="67" t="s">
        <v>146</v>
      </c>
    </row>
    <row r="5521" spans="1:9" x14ac:dyDescent="0.25">
      <c r="A5521" s="67" t="s">
        <v>2102</v>
      </c>
      <c r="B5521" s="67" t="s">
        <v>2101</v>
      </c>
      <c r="C5521" s="67">
        <v>0</v>
      </c>
      <c r="D5521" s="67">
        <v>0</v>
      </c>
      <c r="E5521" s="67">
        <v>83900.41</v>
      </c>
      <c r="F5521" s="67">
        <v>25250</v>
      </c>
      <c r="H5521" s="68">
        <v>40764</v>
      </c>
      <c r="I5521" s="67" t="s">
        <v>148</v>
      </c>
    </row>
    <row r="5522" spans="1:9" x14ac:dyDescent="0.25">
      <c r="B5522" s="67" t="s">
        <v>2101</v>
      </c>
      <c r="C5522" s="67">
        <v>0</v>
      </c>
      <c r="D5522" s="67">
        <v>0</v>
      </c>
      <c r="E5522" s="67">
        <v>83900.45</v>
      </c>
      <c r="H5522" s="67" t="s">
        <v>146</v>
      </c>
    </row>
    <row r="5524" spans="1:9" x14ac:dyDescent="0.25">
      <c r="A5524" s="67" t="s">
        <v>2100</v>
      </c>
      <c r="B5524" s="67" t="s">
        <v>2099</v>
      </c>
      <c r="C5524" s="67">
        <v>0</v>
      </c>
      <c r="D5524" s="67">
        <v>0</v>
      </c>
      <c r="E5524" s="67">
        <v>83900.41</v>
      </c>
      <c r="F5524" s="67">
        <v>25250</v>
      </c>
      <c r="H5524" s="68">
        <v>40764</v>
      </c>
      <c r="I5524" s="67" t="s">
        <v>148</v>
      </c>
    </row>
    <row r="5525" spans="1:9" x14ac:dyDescent="0.25">
      <c r="B5525" s="67" t="s">
        <v>2099</v>
      </c>
      <c r="C5525" s="67">
        <v>0</v>
      </c>
      <c r="D5525" s="67">
        <v>0</v>
      </c>
      <c r="E5525" s="67">
        <v>83900.45</v>
      </c>
      <c r="H5525" s="67" t="s">
        <v>146</v>
      </c>
    </row>
    <row r="5527" spans="1:9" x14ac:dyDescent="0.25">
      <c r="A5527" s="67" t="s">
        <v>2098</v>
      </c>
      <c r="B5527" s="67" t="s">
        <v>2097</v>
      </c>
      <c r="C5527" s="67">
        <v>0</v>
      </c>
      <c r="D5527" s="67">
        <v>0</v>
      </c>
      <c r="E5527" s="67">
        <v>83900.41</v>
      </c>
      <c r="F5527" s="67">
        <v>25250</v>
      </c>
      <c r="H5527" s="68">
        <v>40764</v>
      </c>
      <c r="I5527" s="67" t="s">
        <v>148</v>
      </c>
    </row>
    <row r="5528" spans="1:9" x14ac:dyDescent="0.25">
      <c r="B5528" s="67" t="s">
        <v>2097</v>
      </c>
      <c r="C5528" s="67">
        <v>0</v>
      </c>
      <c r="D5528" s="67">
        <v>0</v>
      </c>
      <c r="E5528" s="67">
        <v>83900.45</v>
      </c>
      <c r="H5528" s="67" t="s">
        <v>146</v>
      </c>
    </row>
    <row r="5530" spans="1:9" x14ac:dyDescent="0.25">
      <c r="A5530" s="67" t="s">
        <v>2096</v>
      </c>
      <c r="B5530" s="67" t="s">
        <v>2095</v>
      </c>
      <c r="C5530" s="67">
        <v>0</v>
      </c>
      <c r="D5530" s="67">
        <v>0</v>
      </c>
      <c r="E5530" s="67">
        <v>83900.41</v>
      </c>
      <c r="F5530" s="67">
        <v>25250</v>
      </c>
      <c r="H5530" s="68">
        <v>40764</v>
      </c>
      <c r="I5530" s="67" t="s">
        <v>148</v>
      </c>
    </row>
    <row r="5531" spans="1:9" x14ac:dyDescent="0.25">
      <c r="B5531" s="67" t="s">
        <v>2095</v>
      </c>
      <c r="C5531" s="67">
        <v>0</v>
      </c>
      <c r="D5531" s="67">
        <v>0</v>
      </c>
      <c r="E5531" s="67">
        <v>83900.45</v>
      </c>
      <c r="H5531" s="67" t="s">
        <v>146</v>
      </c>
    </row>
    <row r="5533" spans="1:9" x14ac:dyDescent="0.25">
      <c r="A5533" s="67" t="s">
        <v>2094</v>
      </c>
      <c r="B5533" s="67" t="s">
        <v>2093</v>
      </c>
      <c r="C5533" s="67">
        <v>0</v>
      </c>
      <c r="D5533" s="67">
        <v>0</v>
      </c>
      <c r="E5533" s="67">
        <v>83900.41</v>
      </c>
      <c r="F5533" s="67">
        <v>25250</v>
      </c>
      <c r="H5533" s="68">
        <v>40764</v>
      </c>
      <c r="I5533" s="67" t="s">
        <v>148</v>
      </c>
    </row>
    <row r="5534" spans="1:9" x14ac:dyDescent="0.25">
      <c r="B5534" s="67" t="s">
        <v>2093</v>
      </c>
      <c r="C5534" s="67">
        <v>0</v>
      </c>
      <c r="D5534" s="67">
        <v>0</v>
      </c>
      <c r="E5534" s="67">
        <v>83900.45</v>
      </c>
      <c r="H5534" s="67" t="s">
        <v>146</v>
      </c>
    </row>
    <row r="5536" spans="1:9" x14ac:dyDescent="0.25">
      <c r="A5536" s="67" t="s">
        <v>2092</v>
      </c>
      <c r="B5536" s="67" t="s">
        <v>2091</v>
      </c>
      <c r="C5536" s="67">
        <v>0</v>
      </c>
      <c r="D5536" s="67">
        <v>0</v>
      </c>
      <c r="E5536" s="67">
        <v>83900.41</v>
      </c>
      <c r="F5536" s="67">
        <v>25250</v>
      </c>
      <c r="H5536" s="68">
        <v>40764</v>
      </c>
      <c r="I5536" s="67" t="s">
        <v>148</v>
      </c>
    </row>
    <row r="5537" spans="1:9" x14ac:dyDescent="0.25">
      <c r="B5537" s="67" t="s">
        <v>2091</v>
      </c>
      <c r="C5537" s="67">
        <v>0</v>
      </c>
      <c r="D5537" s="67">
        <v>0</v>
      </c>
      <c r="E5537" s="67">
        <v>83900.45</v>
      </c>
      <c r="H5537" s="67" t="s">
        <v>146</v>
      </c>
    </row>
    <row r="5539" spans="1:9" x14ac:dyDescent="0.25">
      <c r="A5539" s="67" t="s">
        <v>2090</v>
      </c>
      <c r="B5539" s="67" t="s">
        <v>2089</v>
      </c>
      <c r="C5539" s="67">
        <v>0</v>
      </c>
      <c r="D5539" s="67">
        <v>0</v>
      </c>
      <c r="E5539" s="67">
        <v>83900.41</v>
      </c>
      <c r="F5539" s="67">
        <v>25250</v>
      </c>
      <c r="H5539" s="68">
        <v>40764</v>
      </c>
      <c r="I5539" s="67" t="s">
        <v>148</v>
      </c>
    </row>
    <row r="5540" spans="1:9" x14ac:dyDescent="0.25">
      <c r="B5540" s="67" t="s">
        <v>2089</v>
      </c>
      <c r="C5540" s="67">
        <v>0</v>
      </c>
      <c r="D5540" s="67">
        <v>0</v>
      </c>
      <c r="E5540" s="67">
        <v>83900.45</v>
      </c>
      <c r="H5540" s="67" t="s">
        <v>146</v>
      </c>
    </row>
    <row r="5542" spans="1:9" x14ac:dyDescent="0.25">
      <c r="A5542" s="67" t="s">
        <v>2088</v>
      </c>
      <c r="B5542" s="67" t="s">
        <v>2087</v>
      </c>
      <c r="C5542" s="67">
        <v>0</v>
      </c>
      <c r="D5542" s="67">
        <v>0</v>
      </c>
      <c r="E5542" s="67">
        <v>83900.41</v>
      </c>
      <c r="F5542" s="67">
        <v>25250</v>
      </c>
      <c r="H5542" s="68">
        <v>40764</v>
      </c>
      <c r="I5542" s="67" t="s">
        <v>148</v>
      </c>
    </row>
    <row r="5543" spans="1:9" x14ac:dyDescent="0.25">
      <c r="B5543" s="67" t="s">
        <v>2087</v>
      </c>
      <c r="C5543" s="67">
        <v>0</v>
      </c>
      <c r="D5543" s="67">
        <v>0</v>
      </c>
      <c r="E5543" s="67">
        <v>83900.45</v>
      </c>
      <c r="H5543" s="67" t="s">
        <v>146</v>
      </c>
    </row>
    <row r="5545" spans="1:9" x14ac:dyDescent="0.25">
      <c r="A5545" s="67" t="s">
        <v>2086</v>
      </c>
      <c r="B5545" s="67" t="s">
        <v>2085</v>
      </c>
      <c r="C5545" s="67">
        <v>0</v>
      </c>
      <c r="D5545" s="67">
        <v>0</v>
      </c>
      <c r="E5545" s="67">
        <v>83900.41</v>
      </c>
      <c r="F5545" s="67">
        <v>25250</v>
      </c>
      <c r="H5545" s="68">
        <v>40764</v>
      </c>
      <c r="I5545" s="67" t="s">
        <v>148</v>
      </c>
    </row>
    <row r="5546" spans="1:9" x14ac:dyDescent="0.25">
      <c r="B5546" s="67" t="s">
        <v>2085</v>
      </c>
      <c r="C5546" s="67">
        <v>0</v>
      </c>
      <c r="D5546" s="67">
        <v>0</v>
      </c>
      <c r="E5546" s="67">
        <v>83900.45</v>
      </c>
      <c r="H5546" s="67" t="s">
        <v>146</v>
      </c>
    </row>
    <row r="5548" spans="1:9" x14ac:dyDescent="0.25">
      <c r="A5548" s="67" t="s">
        <v>2084</v>
      </c>
      <c r="B5548" s="67" t="s">
        <v>2083</v>
      </c>
      <c r="C5548" s="67">
        <v>0</v>
      </c>
      <c r="D5548" s="67">
        <v>0</v>
      </c>
      <c r="E5548" s="67">
        <v>83900.41</v>
      </c>
      <c r="F5548" s="67">
        <v>25250</v>
      </c>
      <c r="H5548" s="68">
        <v>40764</v>
      </c>
      <c r="I5548" s="67" t="s">
        <v>148</v>
      </c>
    </row>
    <row r="5549" spans="1:9" x14ac:dyDescent="0.25">
      <c r="B5549" s="67" t="s">
        <v>2083</v>
      </c>
      <c r="C5549" s="67">
        <v>0</v>
      </c>
      <c r="D5549" s="67">
        <v>0</v>
      </c>
      <c r="E5549" s="67">
        <v>83900.45</v>
      </c>
      <c r="H5549" s="67" t="s">
        <v>146</v>
      </c>
    </row>
    <row r="5551" spans="1:9" x14ac:dyDescent="0.25">
      <c r="A5551" s="67" t="s">
        <v>2082</v>
      </c>
      <c r="B5551" s="67" t="s">
        <v>2081</v>
      </c>
      <c r="C5551" s="67">
        <v>0</v>
      </c>
      <c r="D5551" s="67">
        <v>0</v>
      </c>
      <c r="E5551" s="67">
        <v>83900.41</v>
      </c>
      <c r="F5551" s="67">
        <v>25250</v>
      </c>
      <c r="H5551" s="68">
        <v>40764</v>
      </c>
      <c r="I5551" s="67" t="s">
        <v>148</v>
      </c>
    </row>
    <row r="5552" spans="1:9" x14ac:dyDescent="0.25">
      <c r="B5552" s="67" t="s">
        <v>2081</v>
      </c>
      <c r="C5552" s="67">
        <v>0</v>
      </c>
      <c r="D5552" s="67">
        <v>0</v>
      </c>
      <c r="E5552" s="67">
        <v>83900.45</v>
      </c>
      <c r="H5552" s="67" t="s">
        <v>146</v>
      </c>
    </row>
    <row r="5554" spans="1:9" x14ac:dyDescent="0.25">
      <c r="A5554" s="67" t="s">
        <v>2080</v>
      </c>
      <c r="B5554" s="67" t="s">
        <v>2079</v>
      </c>
      <c r="C5554" s="67">
        <v>0</v>
      </c>
      <c r="D5554" s="67">
        <v>0</v>
      </c>
      <c r="E5554" s="67">
        <v>83900.41</v>
      </c>
      <c r="F5554" s="67">
        <v>25250</v>
      </c>
      <c r="H5554" s="68">
        <v>40764</v>
      </c>
      <c r="I5554" s="67" t="s">
        <v>148</v>
      </c>
    </row>
    <row r="5555" spans="1:9" x14ac:dyDescent="0.25">
      <c r="B5555" s="67" t="s">
        <v>2079</v>
      </c>
      <c r="C5555" s="67">
        <v>0</v>
      </c>
      <c r="D5555" s="67">
        <v>0</v>
      </c>
      <c r="E5555" s="67">
        <v>83900.45</v>
      </c>
      <c r="H5555" s="67" t="s">
        <v>146</v>
      </c>
    </row>
    <row r="5557" spans="1:9" x14ac:dyDescent="0.25">
      <c r="A5557" s="67" t="s">
        <v>2078</v>
      </c>
      <c r="B5557" s="67" t="s">
        <v>2077</v>
      </c>
      <c r="C5557" s="67">
        <v>0</v>
      </c>
      <c r="D5557" s="67">
        <v>0</v>
      </c>
      <c r="E5557" s="67">
        <v>83900.41</v>
      </c>
      <c r="F5557" s="67">
        <v>25250</v>
      </c>
      <c r="H5557" s="68">
        <v>40764</v>
      </c>
      <c r="I5557" s="67" t="s">
        <v>148</v>
      </c>
    </row>
    <row r="5558" spans="1:9" x14ac:dyDescent="0.25">
      <c r="B5558" s="67" t="s">
        <v>2077</v>
      </c>
      <c r="C5558" s="67">
        <v>0</v>
      </c>
      <c r="D5558" s="67">
        <v>0</v>
      </c>
      <c r="E5558" s="67">
        <v>83900.45</v>
      </c>
      <c r="H5558" s="67" t="s">
        <v>146</v>
      </c>
    </row>
    <row r="5560" spans="1:9" x14ac:dyDescent="0.25">
      <c r="A5560" s="67" t="s">
        <v>2076</v>
      </c>
      <c r="B5560" s="67" t="s">
        <v>2075</v>
      </c>
      <c r="C5560" s="67">
        <v>0</v>
      </c>
      <c r="D5560" s="67">
        <v>0</v>
      </c>
      <c r="E5560" s="67">
        <v>83900.41</v>
      </c>
      <c r="F5560" s="67">
        <v>25250</v>
      </c>
      <c r="H5560" s="68">
        <v>40764</v>
      </c>
      <c r="I5560" s="67" t="s">
        <v>148</v>
      </c>
    </row>
    <row r="5561" spans="1:9" x14ac:dyDescent="0.25">
      <c r="B5561" s="67" t="s">
        <v>2075</v>
      </c>
      <c r="C5561" s="67">
        <v>0</v>
      </c>
      <c r="D5561" s="67">
        <v>0</v>
      </c>
      <c r="E5561" s="67">
        <v>83900.45</v>
      </c>
      <c r="H5561" s="67" t="s">
        <v>146</v>
      </c>
    </row>
    <row r="5563" spans="1:9" x14ac:dyDescent="0.25">
      <c r="A5563" s="67" t="s">
        <v>2074</v>
      </c>
      <c r="B5563" s="67" t="s">
        <v>2073</v>
      </c>
      <c r="C5563" s="67">
        <v>0</v>
      </c>
      <c r="D5563" s="67">
        <v>0</v>
      </c>
      <c r="E5563" s="67">
        <v>83900.41</v>
      </c>
      <c r="F5563" s="67">
        <v>25250</v>
      </c>
      <c r="H5563" s="68">
        <v>40764</v>
      </c>
      <c r="I5563" s="67" t="s">
        <v>148</v>
      </c>
    </row>
    <row r="5564" spans="1:9" x14ac:dyDescent="0.25">
      <c r="B5564" s="67" t="s">
        <v>2073</v>
      </c>
      <c r="C5564" s="67">
        <v>0</v>
      </c>
      <c r="D5564" s="67">
        <v>0</v>
      </c>
      <c r="E5564" s="67">
        <v>83900.45</v>
      </c>
      <c r="H5564" s="67" t="s">
        <v>146</v>
      </c>
    </row>
    <row r="5565" spans="1:9" x14ac:dyDescent="0.25">
      <c r="A5565" s="67" t="s">
        <v>233</v>
      </c>
    </row>
    <row r="5567" spans="1:9" x14ac:dyDescent="0.25">
      <c r="A5567" s="67" t="s">
        <v>232</v>
      </c>
      <c r="D5567" s="67" t="s">
        <v>231</v>
      </c>
      <c r="H5567" s="67" t="s">
        <v>148</v>
      </c>
      <c r="I5567" s="67" t="s">
        <v>230</v>
      </c>
    </row>
    <row r="5568" spans="1:9" x14ac:dyDescent="0.25">
      <c r="A5568" s="67">
        <v>41.1</v>
      </c>
      <c r="C5568" s="67" t="s">
        <v>215</v>
      </c>
      <c r="D5568" s="67" t="s">
        <v>229</v>
      </c>
      <c r="H5568" s="70">
        <v>44771</v>
      </c>
      <c r="I5568" s="69">
        <v>0.56736111111111109</v>
      </c>
    </row>
    <row r="5569" spans="1:9" x14ac:dyDescent="0.25">
      <c r="A5569" s="67" t="s">
        <v>228</v>
      </c>
      <c r="C5569" s="67" t="s">
        <v>227</v>
      </c>
      <c r="D5569" s="67" t="s">
        <v>226</v>
      </c>
      <c r="E5569" s="67">
        <v>589</v>
      </c>
      <c r="H5569" s="67" t="s">
        <v>225</v>
      </c>
      <c r="I5569" s="67">
        <v>97</v>
      </c>
    </row>
    <row r="5570" spans="1:9" x14ac:dyDescent="0.25">
      <c r="A5570" s="67" t="s">
        <v>884</v>
      </c>
    </row>
    <row r="5571" spans="1:9" x14ac:dyDescent="0.25">
      <c r="A5571" s="67" t="s">
        <v>223</v>
      </c>
      <c r="B5571" s="67" t="s">
        <v>222</v>
      </c>
      <c r="C5571" s="67" t="s">
        <v>221</v>
      </c>
      <c r="D5571" s="67" t="s">
        <v>220</v>
      </c>
      <c r="E5571" s="67" t="s">
        <v>219</v>
      </c>
      <c r="F5571" s="67" t="s">
        <v>217</v>
      </c>
      <c r="G5571" s="67" t="s">
        <v>218</v>
      </c>
      <c r="H5571" s="67" t="s">
        <v>217</v>
      </c>
      <c r="I5571" s="67" t="s">
        <v>216</v>
      </c>
    </row>
    <row r="5572" spans="1:9" x14ac:dyDescent="0.25">
      <c r="A5572" s="67" t="s">
        <v>215</v>
      </c>
      <c r="B5572" s="67" t="s">
        <v>214</v>
      </c>
      <c r="C5572" s="67" t="s">
        <v>213</v>
      </c>
      <c r="D5572" s="67" t="s">
        <v>212</v>
      </c>
      <c r="E5572" s="67" t="s">
        <v>211</v>
      </c>
      <c r="F5572" s="67" t="s">
        <v>210</v>
      </c>
      <c r="G5572" s="67" t="s">
        <v>209</v>
      </c>
      <c r="H5572" s="67" t="s">
        <v>208</v>
      </c>
      <c r="I5572" s="67" t="s">
        <v>207</v>
      </c>
    </row>
    <row r="5573" spans="1:9" x14ac:dyDescent="0.25">
      <c r="A5573" s="67" t="s">
        <v>206</v>
      </c>
      <c r="B5573" s="67" t="s">
        <v>205</v>
      </c>
      <c r="C5573" s="67" t="s">
        <v>204</v>
      </c>
      <c r="D5573" s="67" t="s">
        <v>203</v>
      </c>
      <c r="E5573" s="67" t="s">
        <v>202</v>
      </c>
      <c r="F5573" s="67" t="s">
        <v>201</v>
      </c>
      <c r="G5573" s="67" t="s">
        <v>200</v>
      </c>
      <c r="H5573" s="67" t="s">
        <v>199</v>
      </c>
    </row>
    <row r="5574" spans="1:9" x14ac:dyDescent="0.25">
      <c r="A5574" s="67" t="s">
        <v>2072</v>
      </c>
      <c r="B5574" s="67" t="s">
        <v>2071</v>
      </c>
      <c r="C5574" s="67">
        <v>0</v>
      </c>
      <c r="D5574" s="67">
        <v>0</v>
      </c>
      <c r="E5574" s="67">
        <v>83900.41</v>
      </c>
      <c r="F5574" s="67">
        <v>25250</v>
      </c>
      <c r="H5574" s="68">
        <v>40764</v>
      </c>
      <c r="I5574" s="67" t="s">
        <v>148</v>
      </c>
    </row>
    <row r="5575" spans="1:9" x14ac:dyDescent="0.25">
      <c r="B5575" s="67" t="s">
        <v>2071</v>
      </c>
      <c r="C5575" s="67">
        <v>0</v>
      </c>
      <c r="D5575" s="67">
        <v>0</v>
      </c>
      <c r="E5575" s="67">
        <v>83900.45</v>
      </c>
      <c r="H5575" s="67" t="s">
        <v>146</v>
      </c>
    </row>
    <row r="5577" spans="1:9" x14ac:dyDescent="0.25">
      <c r="A5577" s="67" t="s">
        <v>2070</v>
      </c>
      <c r="B5577" s="67" t="s">
        <v>2069</v>
      </c>
      <c r="C5577" s="67">
        <v>0</v>
      </c>
      <c r="D5577" s="67">
        <v>0</v>
      </c>
      <c r="E5577" s="67">
        <v>83900.41</v>
      </c>
      <c r="F5577" s="67">
        <v>25250</v>
      </c>
      <c r="H5577" s="68">
        <v>40764</v>
      </c>
      <c r="I5577" s="67" t="s">
        <v>148</v>
      </c>
    </row>
    <row r="5578" spans="1:9" x14ac:dyDescent="0.25">
      <c r="B5578" s="67" t="s">
        <v>2069</v>
      </c>
      <c r="C5578" s="67">
        <v>0</v>
      </c>
      <c r="D5578" s="67">
        <v>0</v>
      </c>
      <c r="E5578" s="67">
        <v>83900.45</v>
      </c>
      <c r="H5578" s="67" t="s">
        <v>146</v>
      </c>
    </row>
    <row r="5580" spans="1:9" x14ac:dyDescent="0.25">
      <c r="A5580" s="67" t="s">
        <v>2068</v>
      </c>
      <c r="B5580" s="67" t="s">
        <v>2067</v>
      </c>
      <c r="C5580" s="67">
        <v>0</v>
      </c>
      <c r="D5580" s="67">
        <v>0</v>
      </c>
      <c r="E5580" s="67">
        <v>83900.41</v>
      </c>
      <c r="F5580" s="67">
        <v>25250</v>
      </c>
      <c r="H5580" s="68">
        <v>40764</v>
      </c>
      <c r="I5580" s="67" t="s">
        <v>148</v>
      </c>
    </row>
    <row r="5581" spans="1:9" x14ac:dyDescent="0.25">
      <c r="B5581" s="67" t="s">
        <v>2067</v>
      </c>
      <c r="C5581" s="67">
        <v>0</v>
      </c>
      <c r="D5581" s="67">
        <v>0</v>
      </c>
      <c r="E5581" s="67">
        <v>83900.45</v>
      </c>
      <c r="H5581" s="67" t="s">
        <v>146</v>
      </c>
    </row>
    <row r="5583" spans="1:9" x14ac:dyDescent="0.25">
      <c r="A5583" s="67" t="s">
        <v>2066</v>
      </c>
      <c r="B5583" s="67" t="s">
        <v>2065</v>
      </c>
      <c r="C5583" s="67">
        <v>0</v>
      </c>
      <c r="D5583" s="67">
        <v>0</v>
      </c>
      <c r="E5583" s="67">
        <v>83900.41</v>
      </c>
      <c r="F5583" s="67">
        <v>25250</v>
      </c>
      <c r="H5583" s="68">
        <v>40764</v>
      </c>
      <c r="I5583" s="67" t="s">
        <v>148</v>
      </c>
    </row>
    <row r="5584" spans="1:9" x14ac:dyDescent="0.25">
      <c r="B5584" s="67" t="s">
        <v>2065</v>
      </c>
      <c r="C5584" s="67">
        <v>0</v>
      </c>
      <c r="D5584" s="67">
        <v>0</v>
      </c>
      <c r="E5584" s="67">
        <v>83900.45</v>
      </c>
      <c r="H5584" s="67" t="s">
        <v>146</v>
      </c>
    </row>
    <row r="5586" spans="1:9" x14ac:dyDescent="0.25">
      <c r="A5586" s="67" t="s">
        <v>2064</v>
      </c>
      <c r="B5586" s="67" t="s">
        <v>2063</v>
      </c>
      <c r="C5586" s="67">
        <v>0</v>
      </c>
      <c r="D5586" s="67">
        <v>0</v>
      </c>
      <c r="E5586" s="67">
        <v>83900.41</v>
      </c>
      <c r="F5586" s="67">
        <v>25250</v>
      </c>
      <c r="H5586" s="68">
        <v>40764</v>
      </c>
      <c r="I5586" s="67" t="s">
        <v>148</v>
      </c>
    </row>
    <row r="5587" spans="1:9" x14ac:dyDescent="0.25">
      <c r="B5587" s="67" t="s">
        <v>2063</v>
      </c>
      <c r="C5587" s="67">
        <v>0</v>
      </c>
      <c r="D5587" s="67">
        <v>0</v>
      </c>
      <c r="E5587" s="67">
        <v>83900.45</v>
      </c>
      <c r="H5587" s="67" t="s">
        <v>146</v>
      </c>
    </row>
    <row r="5589" spans="1:9" x14ac:dyDescent="0.25">
      <c r="A5589" s="67" t="s">
        <v>2062</v>
      </c>
      <c r="B5589" s="67" t="s">
        <v>2061</v>
      </c>
      <c r="C5589" s="67">
        <v>0</v>
      </c>
      <c r="D5589" s="67">
        <v>0</v>
      </c>
      <c r="E5589" s="67">
        <v>83900.41</v>
      </c>
      <c r="F5589" s="67">
        <v>25250</v>
      </c>
      <c r="H5589" s="68">
        <v>40764</v>
      </c>
      <c r="I5589" s="67" t="s">
        <v>148</v>
      </c>
    </row>
    <row r="5590" spans="1:9" x14ac:dyDescent="0.25">
      <c r="B5590" s="67" t="s">
        <v>2061</v>
      </c>
      <c r="C5590" s="67">
        <v>0</v>
      </c>
      <c r="D5590" s="67">
        <v>0</v>
      </c>
      <c r="E5590" s="67">
        <v>83900.45</v>
      </c>
      <c r="H5590" s="67" t="s">
        <v>146</v>
      </c>
    </row>
    <row r="5592" spans="1:9" x14ac:dyDescent="0.25">
      <c r="A5592" s="67" t="s">
        <v>2060</v>
      </c>
      <c r="B5592" s="67" t="s">
        <v>2059</v>
      </c>
      <c r="C5592" s="67">
        <v>0</v>
      </c>
      <c r="D5592" s="67">
        <v>0</v>
      </c>
      <c r="E5592" s="67">
        <v>83900.41</v>
      </c>
      <c r="F5592" s="67">
        <v>25250</v>
      </c>
      <c r="H5592" s="68">
        <v>40764</v>
      </c>
      <c r="I5592" s="67" t="s">
        <v>148</v>
      </c>
    </row>
    <row r="5593" spans="1:9" x14ac:dyDescent="0.25">
      <c r="B5593" s="67" t="s">
        <v>2059</v>
      </c>
      <c r="C5593" s="67">
        <v>0</v>
      </c>
      <c r="D5593" s="67">
        <v>0</v>
      </c>
      <c r="E5593" s="67">
        <v>83900.45</v>
      </c>
      <c r="H5593" s="67" t="s">
        <v>146</v>
      </c>
    </row>
    <row r="5595" spans="1:9" x14ac:dyDescent="0.25">
      <c r="A5595" s="67" t="s">
        <v>2058</v>
      </c>
      <c r="B5595" s="67" t="s">
        <v>2057</v>
      </c>
      <c r="C5595" s="67">
        <v>0</v>
      </c>
      <c r="D5595" s="67">
        <v>0</v>
      </c>
      <c r="E5595" s="67">
        <v>83900.41</v>
      </c>
      <c r="F5595" s="67">
        <v>25250</v>
      </c>
      <c r="H5595" s="68">
        <v>40764</v>
      </c>
      <c r="I5595" s="67" t="s">
        <v>148</v>
      </c>
    </row>
    <row r="5596" spans="1:9" x14ac:dyDescent="0.25">
      <c r="B5596" s="67" t="s">
        <v>2057</v>
      </c>
      <c r="C5596" s="67">
        <v>0</v>
      </c>
      <c r="D5596" s="67">
        <v>0</v>
      </c>
      <c r="E5596" s="67">
        <v>83900.45</v>
      </c>
      <c r="H5596" s="67" t="s">
        <v>146</v>
      </c>
    </row>
    <row r="5598" spans="1:9" x14ac:dyDescent="0.25">
      <c r="A5598" s="67" t="s">
        <v>2056</v>
      </c>
      <c r="B5598" s="67" t="s">
        <v>2055</v>
      </c>
      <c r="C5598" s="67">
        <v>0</v>
      </c>
      <c r="D5598" s="67">
        <v>0</v>
      </c>
      <c r="E5598" s="67">
        <v>83900.41</v>
      </c>
      <c r="F5598" s="67">
        <v>25250</v>
      </c>
      <c r="H5598" s="68">
        <v>40764</v>
      </c>
      <c r="I5598" s="67" t="s">
        <v>148</v>
      </c>
    </row>
    <row r="5599" spans="1:9" x14ac:dyDescent="0.25">
      <c r="B5599" s="67" t="s">
        <v>2055</v>
      </c>
      <c r="C5599" s="67">
        <v>0</v>
      </c>
      <c r="D5599" s="67">
        <v>0</v>
      </c>
      <c r="E5599" s="67">
        <v>83900.45</v>
      </c>
      <c r="H5599" s="67" t="s">
        <v>146</v>
      </c>
    </row>
    <row r="5601" spans="1:9" x14ac:dyDescent="0.25">
      <c r="A5601" s="67" t="s">
        <v>2054</v>
      </c>
      <c r="B5601" s="67" t="s">
        <v>2053</v>
      </c>
      <c r="C5601" s="67">
        <v>0</v>
      </c>
      <c r="D5601" s="67">
        <v>0</v>
      </c>
      <c r="E5601" s="67">
        <v>83900.41</v>
      </c>
      <c r="F5601" s="67">
        <v>25250</v>
      </c>
      <c r="H5601" s="68">
        <v>40764</v>
      </c>
      <c r="I5601" s="67" t="s">
        <v>148</v>
      </c>
    </row>
    <row r="5602" spans="1:9" x14ac:dyDescent="0.25">
      <c r="B5602" s="67" t="s">
        <v>2053</v>
      </c>
      <c r="C5602" s="67">
        <v>0</v>
      </c>
      <c r="D5602" s="67">
        <v>0</v>
      </c>
      <c r="E5602" s="67">
        <v>83900.45</v>
      </c>
      <c r="H5602" s="67" t="s">
        <v>146</v>
      </c>
    </row>
    <row r="5604" spans="1:9" x14ac:dyDescent="0.25">
      <c r="A5604" s="67" t="s">
        <v>2052</v>
      </c>
      <c r="B5604" s="67" t="s">
        <v>2051</v>
      </c>
      <c r="C5604" s="67">
        <v>0</v>
      </c>
      <c r="D5604" s="67">
        <v>0</v>
      </c>
      <c r="E5604" s="67">
        <v>83900.41</v>
      </c>
      <c r="F5604" s="67">
        <v>25250</v>
      </c>
      <c r="H5604" s="68">
        <v>40764</v>
      </c>
      <c r="I5604" s="67" t="s">
        <v>148</v>
      </c>
    </row>
    <row r="5605" spans="1:9" x14ac:dyDescent="0.25">
      <c r="B5605" s="67" t="s">
        <v>2051</v>
      </c>
      <c r="C5605" s="67">
        <v>0</v>
      </c>
      <c r="D5605" s="67">
        <v>0</v>
      </c>
      <c r="E5605" s="67">
        <v>83900.45</v>
      </c>
      <c r="H5605" s="67" t="s">
        <v>146</v>
      </c>
    </row>
    <row r="5607" spans="1:9" x14ac:dyDescent="0.25">
      <c r="A5607" s="67" t="s">
        <v>2050</v>
      </c>
      <c r="B5607" s="67" t="s">
        <v>2049</v>
      </c>
      <c r="C5607" s="67">
        <v>0</v>
      </c>
      <c r="D5607" s="67">
        <v>0</v>
      </c>
      <c r="E5607" s="67">
        <v>83900.41</v>
      </c>
      <c r="F5607" s="67">
        <v>25250</v>
      </c>
      <c r="H5607" s="68">
        <v>40764</v>
      </c>
      <c r="I5607" s="67" t="s">
        <v>148</v>
      </c>
    </row>
    <row r="5608" spans="1:9" x14ac:dyDescent="0.25">
      <c r="B5608" s="67" t="s">
        <v>2049</v>
      </c>
      <c r="C5608" s="67">
        <v>0</v>
      </c>
      <c r="D5608" s="67">
        <v>0</v>
      </c>
      <c r="E5608" s="67">
        <v>83900.45</v>
      </c>
      <c r="H5608" s="67" t="s">
        <v>146</v>
      </c>
    </row>
    <row r="5610" spans="1:9" x14ac:dyDescent="0.25">
      <c r="A5610" s="67" t="s">
        <v>2048</v>
      </c>
      <c r="B5610" s="67" t="s">
        <v>2047</v>
      </c>
      <c r="C5610" s="67">
        <v>0</v>
      </c>
      <c r="D5610" s="67">
        <v>0</v>
      </c>
      <c r="E5610" s="67">
        <v>83900.41</v>
      </c>
      <c r="F5610" s="67">
        <v>25250</v>
      </c>
      <c r="H5610" s="68">
        <v>40764</v>
      </c>
      <c r="I5610" s="67" t="s">
        <v>148</v>
      </c>
    </row>
    <row r="5611" spans="1:9" x14ac:dyDescent="0.25">
      <c r="B5611" s="67" t="s">
        <v>2047</v>
      </c>
      <c r="C5611" s="67">
        <v>0</v>
      </c>
      <c r="D5611" s="67">
        <v>0</v>
      </c>
      <c r="E5611" s="67">
        <v>83900.45</v>
      </c>
      <c r="H5611" s="67" t="s">
        <v>146</v>
      </c>
    </row>
    <row r="5613" spans="1:9" x14ac:dyDescent="0.25">
      <c r="A5613" s="67" t="s">
        <v>2046</v>
      </c>
      <c r="B5613" s="67" t="s">
        <v>2045</v>
      </c>
      <c r="C5613" s="67">
        <v>0</v>
      </c>
      <c r="D5613" s="67">
        <v>0</v>
      </c>
      <c r="E5613" s="67">
        <v>83900.41</v>
      </c>
      <c r="F5613" s="67">
        <v>25250</v>
      </c>
      <c r="H5613" s="68">
        <v>40764</v>
      </c>
      <c r="I5613" s="67" t="s">
        <v>148</v>
      </c>
    </row>
    <row r="5614" spans="1:9" x14ac:dyDescent="0.25">
      <c r="B5614" s="67" t="s">
        <v>2045</v>
      </c>
      <c r="C5614" s="67">
        <v>0</v>
      </c>
      <c r="D5614" s="67">
        <v>0</v>
      </c>
      <c r="E5614" s="67">
        <v>83900.45</v>
      </c>
      <c r="H5614" s="67" t="s">
        <v>146</v>
      </c>
    </row>
    <row r="5616" spans="1:9" x14ac:dyDescent="0.25">
      <c r="A5616" s="67" t="s">
        <v>2044</v>
      </c>
      <c r="B5616" s="67" t="s">
        <v>2043</v>
      </c>
      <c r="C5616" s="67">
        <v>0</v>
      </c>
      <c r="D5616" s="67">
        <v>0</v>
      </c>
      <c r="E5616" s="67">
        <v>83900.41</v>
      </c>
      <c r="F5616" s="67">
        <v>25250</v>
      </c>
      <c r="H5616" s="68">
        <v>40764</v>
      </c>
      <c r="I5616" s="67" t="s">
        <v>148</v>
      </c>
    </row>
    <row r="5617" spans="1:9" x14ac:dyDescent="0.25">
      <c r="B5617" s="67" t="s">
        <v>2043</v>
      </c>
      <c r="C5617" s="67">
        <v>0</v>
      </c>
      <c r="D5617" s="67">
        <v>0</v>
      </c>
      <c r="E5617" s="67">
        <v>83900.45</v>
      </c>
      <c r="H5617" s="67" t="s">
        <v>146</v>
      </c>
    </row>
    <row r="5619" spans="1:9" x14ac:dyDescent="0.25">
      <c r="A5619" s="67" t="s">
        <v>2042</v>
      </c>
      <c r="B5619" s="67" t="s">
        <v>2041</v>
      </c>
      <c r="C5619" s="67">
        <v>0</v>
      </c>
      <c r="D5619" s="67">
        <v>0</v>
      </c>
      <c r="E5619" s="67">
        <v>83900.41</v>
      </c>
      <c r="F5619" s="67">
        <v>25250</v>
      </c>
      <c r="H5619" s="68">
        <v>40764</v>
      </c>
      <c r="I5619" s="67" t="s">
        <v>148</v>
      </c>
    </row>
    <row r="5620" spans="1:9" x14ac:dyDescent="0.25">
      <c r="B5620" s="67" t="s">
        <v>2041</v>
      </c>
      <c r="C5620" s="67">
        <v>0</v>
      </c>
      <c r="D5620" s="67">
        <v>0</v>
      </c>
      <c r="E5620" s="67">
        <v>83900.45</v>
      </c>
      <c r="H5620" s="67" t="s">
        <v>146</v>
      </c>
    </row>
    <row r="5622" spans="1:9" x14ac:dyDescent="0.25">
      <c r="A5622" s="67" t="s">
        <v>2040</v>
      </c>
      <c r="B5622" s="67" t="s">
        <v>2039</v>
      </c>
      <c r="C5622" s="67">
        <v>0</v>
      </c>
      <c r="D5622" s="67">
        <v>0</v>
      </c>
      <c r="E5622" s="67">
        <v>83900.41</v>
      </c>
      <c r="F5622" s="67">
        <v>25250</v>
      </c>
      <c r="H5622" s="68">
        <v>40764</v>
      </c>
      <c r="I5622" s="67" t="s">
        <v>148</v>
      </c>
    </row>
    <row r="5623" spans="1:9" x14ac:dyDescent="0.25">
      <c r="B5623" s="67" t="s">
        <v>2039</v>
      </c>
      <c r="C5623" s="67">
        <v>0</v>
      </c>
      <c r="D5623" s="67">
        <v>0</v>
      </c>
      <c r="E5623" s="67">
        <v>83900.45</v>
      </c>
      <c r="H5623" s="67" t="s">
        <v>146</v>
      </c>
    </row>
    <row r="5624" spans="1:9" x14ac:dyDescent="0.25">
      <c r="A5624" s="67" t="s">
        <v>233</v>
      </c>
    </row>
    <row r="5626" spans="1:9" x14ac:dyDescent="0.25">
      <c r="A5626" s="67" t="s">
        <v>232</v>
      </c>
      <c r="D5626" s="67" t="s">
        <v>231</v>
      </c>
      <c r="H5626" s="67" t="s">
        <v>148</v>
      </c>
      <c r="I5626" s="67" t="s">
        <v>230</v>
      </c>
    </row>
    <row r="5627" spans="1:9" x14ac:dyDescent="0.25">
      <c r="A5627" s="67">
        <v>41.1</v>
      </c>
      <c r="C5627" s="67" t="s">
        <v>215</v>
      </c>
      <c r="D5627" s="67" t="s">
        <v>229</v>
      </c>
      <c r="H5627" s="70">
        <v>44771</v>
      </c>
      <c r="I5627" s="69">
        <v>0.56736111111111109</v>
      </c>
    </row>
    <row r="5628" spans="1:9" x14ac:dyDescent="0.25">
      <c r="A5628" s="67" t="s">
        <v>228</v>
      </c>
      <c r="C5628" s="67" t="s">
        <v>227</v>
      </c>
      <c r="D5628" s="67" t="s">
        <v>226</v>
      </c>
      <c r="E5628" s="67">
        <v>589</v>
      </c>
      <c r="H5628" s="67" t="s">
        <v>225</v>
      </c>
      <c r="I5628" s="67">
        <v>98</v>
      </c>
    </row>
    <row r="5629" spans="1:9" x14ac:dyDescent="0.25">
      <c r="A5629" s="67" t="s">
        <v>884</v>
      </c>
    </row>
    <row r="5630" spans="1:9" x14ac:dyDescent="0.25">
      <c r="A5630" s="67" t="s">
        <v>223</v>
      </c>
      <c r="B5630" s="67" t="s">
        <v>222</v>
      </c>
      <c r="C5630" s="67" t="s">
        <v>221</v>
      </c>
      <c r="D5630" s="67" t="s">
        <v>220</v>
      </c>
      <c r="E5630" s="67" t="s">
        <v>219</v>
      </c>
      <c r="F5630" s="67" t="s">
        <v>217</v>
      </c>
      <c r="G5630" s="67" t="s">
        <v>218</v>
      </c>
      <c r="H5630" s="67" t="s">
        <v>217</v>
      </c>
      <c r="I5630" s="67" t="s">
        <v>216</v>
      </c>
    </row>
    <row r="5631" spans="1:9" x14ac:dyDescent="0.25">
      <c r="A5631" s="67" t="s">
        <v>215</v>
      </c>
      <c r="B5631" s="67" t="s">
        <v>214</v>
      </c>
      <c r="C5631" s="67" t="s">
        <v>213</v>
      </c>
      <c r="D5631" s="67" t="s">
        <v>212</v>
      </c>
      <c r="E5631" s="67" t="s">
        <v>211</v>
      </c>
      <c r="F5631" s="67" t="s">
        <v>210</v>
      </c>
      <c r="G5631" s="67" t="s">
        <v>209</v>
      </c>
      <c r="H5631" s="67" t="s">
        <v>208</v>
      </c>
      <c r="I5631" s="67" t="s">
        <v>207</v>
      </c>
    </row>
    <row r="5632" spans="1:9" x14ac:dyDescent="0.25">
      <c r="A5632" s="67" t="s">
        <v>206</v>
      </c>
      <c r="B5632" s="67" t="s">
        <v>205</v>
      </c>
      <c r="C5632" s="67" t="s">
        <v>204</v>
      </c>
      <c r="D5632" s="67" t="s">
        <v>203</v>
      </c>
      <c r="E5632" s="67" t="s">
        <v>202</v>
      </c>
      <c r="F5632" s="67" t="s">
        <v>201</v>
      </c>
      <c r="G5632" s="67" t="s">
        <v>200</v>
      </c>
      <c r="H5632" s="67" t="s">
        <v>199</v>
      </c>
    </row>
    <row r="5633" spans="1:9" x14ac:dyDescent="0.25">
      <c r="A5633" s="67" t="s">
        <v>2038</v>
      </c>
      <c r="B5633" s="67" t="s">
        <v>2037</v>
      </c>
      <c r="C5633" s="67">
        <v>0</v>
      </c>
      <c r="D5633" s="67">
        <v>0</v>
      </c>
      <c r="E5633" s="67">
        <v>83900.41</v>
      </c>
      <c r="F5633" s="67">
        <v>25250</v>
      </c>
      <c r="H5633" s="68">
        <v>40764</v>
      </c>
      <c r="I5633" s="67" t="s">
        <v>148</v>
      </c>
    </row>
    <row r="5634" spans="1:9" x14ac:dyDescent="0.25">
      <c r="B5634" s="67" t="s">
        <v>2037</v>
      </c>
      <c r="C5634" s="67">
        <v>0</v>
      </c>
      <c r="D5634" s="67">
        <v>0</v>
      </c>
      <c r="E5634" s="67">
        <v>83900.45</v>
      </c>
      <c r="H5634" s="67" t="s">
        <v>146</v>
      </c>
    </row>
    <row r="5636" spans="1:9" x14ac:dyDescent="0.25">
      <c r="A5636" s="67" t="s">
        <v>2036</v>
      </c>
      <c r="B5636" s="67" t="s">
        <v>2035</v>
      </c>
      <c r="C5636" s="67">
        <v>0</v>
      </c>
      <c r="D5636" s="67">
        <v>0</v>
      </c>
      <c r="E5636" s="67">
        <v>83900.41</v>
      </c>
      <c r="F5636" s="67">
        <v>25250</v>
      </c>
      <c r="H5636" s="68">
        <v>40764</v>
      </c>
      <c r="I5636" s="67" t="s">
        <v>148</v>
      </c>
    </row>
    <row r="5637" spans="1:9" x14ac:dyDescent="0.25">
      <c r="B5637" s="67" t="s">
        <v>2035</v>
      </c>
      <c r="C5637" s="67">
        <v>0</v>
      </c>
      <c r="D5637" s="67">
        <v>0</v>
      </c>
      <c r="E5637" s="67">
        <v>83900.45</v>
      </c>
      <c r="H5637" s="67" t="s">
        <v>146</v>
      </c>
    </row>
    <row r="5639" spans="1:9" x14ac:dyDescent="0.25">
      <c r="A5639" s="67" t="s">
        <v>2034</v>
      </c>
      <c r="B5639" s="67" t="s">
        <v>2033</v>
      </c>
      <c r="C5639" s="67">
        <v>0</v>
      </c>
      <c r="D5639" s="67">
        <v>0</v>
      </c>
      <c r="E5639" s="67">
        <v>83900.41</v>
      </c>
      <c r="F5639" s="67">
        <v>25250</v>
      </c>
      <c r="H5639" s="68">
        <v>40764</v>
      </c>
      <c r="I5639" s="67" t="s">
        <v>148</v>
      </c>
    </row>
    <row r="5640" spans="1:9" x14ac:dyDescent="0.25">
      <c r="B5640" s="67" t="s">
        <v>2033</v>
      </c>
      <c r="C5640" s="67">
        <v>0</v>
      </c>
      <c r="D5640" s="67">
        <v>0</v>
      </c>
      <c r="E5640" s="67">
        <v>83900.45</v>
      </c>
      <c r="H5640" s="67" t="s">
        <v>146</v>
      </c>
    </row>
    <row r="5642" spans="1:9" x14ac:dyDescent="0.25">
      <c r="A5642" s="67" t="s">
        <v>2032</v>
      </c>
      <c r="B5642" s="67" t="s">
        <v>2031</v>
      </c>
      <c r="C5642" s="67">
        <v>0</v>
      </c>
      <c r="D5642" s="67">
        <v>0</v>
      </c>
      <c r="E5642" s="67">
        <v>83900.41</v>
      </c>
      <c r="F5642" s="67">
        <v>25250</v>
      </c>
      <c r="H5642" s="68">
        <v>40764</v>
      </c>
      <c r="I5642" s="67" t="s">
        <v>148</v>
      </c>
    </row>
    <row r="5643" spans="1:9" x14ac:dyDescent="0.25">
      <c r="B5643" s="67" t="s">
        <v>2031</v>
      </c>
      <c r="C5643" s="67">
        <v>0</v>
      </c>
      <c r="D5643" s="67">
        <v>0</v>
      </c>
      <c r="E5643" s="67">
        <v>83900.45</v>
      </c>
      <c r="H5643" s="67" t="s">
        <v>146</v>
      </c>
    </row>
    <row r="5645" spans="1:9" x14ac:dyDescent="0.25">
      <c r="A5645" s="67" t="s">
        <v>2030</v>
      </c>
      <c r="B5645" s="67" t="s">
        <v>2029</v>
      </c>
      <c r="C5645" s="67">
        <v>0</v>
      </c>
      <c r="D5645" s="67">
        <v>0</v>
      </c>
      <c r="E5645" s="67">
        <v>83900.41</v>
      </c>
      <c r="F5645" s="67">
        <v>25250</v>
      </c>
      <c r="H5645" s="68">
        <v>40764</v>
      </c>
      <c r="I5645" s="67" t="s">
        <v>148</v>
      </c>
    </row>
    <row r="5646" spans="1:9" x14ac:dyDescent="0.25">
      <c r="B5646" s="67" t="s">
        <v>2029</v>
      </c>
      <c r="C5646" s="67">
        <v>0</v>
      </c>
      <c r="D5646" s="67">
        <v>0</v>
      </c>
      <c r="E5646" s="67">
        <v>83900.45</v>
      </c>
      <c r="H5646" s="67" t="s">
        <v>146</v>
      </c>
    </row>
    <row r="5648" spans="1:9" x14ac:dyDescent="0.25">
      <c r="A5648" s="67" t="s">
        <v>2028</v>
      </c>
      <c r="B5648" s="67" t="s">
        <v>2027</v>
      </c>
      <c r="C5648" s="67">
        <v>0</v>
      </c>
      <c r="D5648" s="67">
        <v>0</v>
      </c>
      <c r="E5648" s="67">
        <v>83900.41</v>
      </c>
      <c r="F5648" s="67">
        <v>25250</v>
      </c>
      <c r="H5648" s="68">
        <v>40764</v>
      </c>
      <c r="I5648" s="67" t="s">
        <v>148</v>
      </c>
    </row>
    <row r="5649" spans="1:9" x14ac:dyDescent="0.25">
      <c r="B5649" s="67" t="s">
        <v>2027</v>
      </c>
      <c r="C5649" s="67">
        <v>0</v>
      </c>
      <c r="D5649" s="67">
        <v>0</v>
      </c>
      <c r="E5649" s="67">
        <v>83900.45</v>
      </c>
      <c r="H5649" s="67" t="s">
        <v>146</v>
      </c>
    </row>
    <row r="5651" spans="1:9" x14ac:dyDescent="0.25">
      <c r="A5651" s="67" t="s">
        <v>2026</v>
      </c>
      <c r="B5651" s="67" t="s">
        <v>2025</v>
      </c>
      <c r="C5651" s="67">
        <v>0</v>
      </c>
      <c r="D5651" s="67">
        <v>0</v>
      </c>
      <c r="E5651" s="67">
        <v>83900.41</v>
      </c>
      <c r="F5651" s="67">
        <v>25250</v>
      </c>
      <c r="H5651" s="68">
        <v>40764</v>
      </c>
      <c r="I5651" s="67" t="s">
        <v>148</v>
      </c>
    </row>
    <row r="5652" spans="1:9" x14ac:dyDescent="0.25">
      <c r="B5652" s="67" t="s">
        <v>2025</v>
      </c>
      <c r="C5652" s="67">
        <v>0</v>
      </c>
      <c r="D5652" s="67">
        <v>0</v>
      </c>
      <c r="E5652" s="67">
        <v>83900.45</v>
      </c>
      <c r="H5652" s="67" t="s">
        <v>146</v>
      </c>
    </row>
    <row r="5654" spans="1:9" x14ac:dyDescent="0.25">
      <c r="A5654" s="67" t="s">
        <v>2024</v>
      </c>
      <c r="B5654" s="67" t="s">
        <v>2023</v>
      </c>
      <c r="C5654" s="67">
        <v>0</v>
      </c>
      <c r="D5654" s="67">
        <v>0</v>
      </c>
      <c r="E5654" s="67">
        <v>83900.41</v>
      </c>
      <c r="F5654" s="67">
        <v>25250</v>
      </c>
      <c r="H5654" s="68">
        <v>40764</v>
      </c>
      <c r="I5654" s="67" t="s">
        <v>148</v>
      </c>
    </row>
    <row r="5655" spans="1:9" x14ac:dyDescent="0.25">
      <c r="B5655" s="67" t="s">
        <v>2023</v>
      </c>
      <c r="C5655" s="67">
        <v>0</v>
      </c>
      <c r="D5655" s="67">
        <v>0</v>
      </c>
      <c r="E5655" s="67">
        <v>83900.45</v>
      </c>
      <c r="H5655" s="67" t="s">
        <v>146</v>
      </c>
    </row>
    <row r="5657" spans="1:9" x14ac:dyDescent="0.25">
      <c r="A5657" s="67" t="s">
        <v>2022</v>
      </c>
      <c r="B5657" s="67" t="s">
        <v>2021</v>
      </c>
      <c r="C5657" s="67">
        <v>0</v>
      </c>
      <c r="D5657" s="67">
        <v>0</v>
      </c>
      <c r="E5657" s="67">
        <v>83900.41</v>
      </c>
      <c r="F5657" s="67">
        <v>25250</v>
      </c>
      <c r="H5657" s="68">
        <v>40764</v>
      </c>
      <c r="I5657" s="67" t="s">
        <v>148</v>
      </c>
    </row>
    <row r="5658" spans="1:9" x14ac:dyDescent="0.25">
      <c r="B5658" s="67" t="s">
        <v>2021</v>
      </c>
      <c r="C5658" s="67">
        <v>0</v>
      </c>
      <c r="D5658" s="67">
        <v>0</v>
      </c>
      <c r="E5658" s="67">
        <v>83900.45</v>
      </c>
      <c r="H5658" s="67" t="s">
        <v>146</v>
      </c>
    </row>
    <row r="5660" spans="1:9" x14ac:dyDescent="0.25">
      <c r="A5660" s="67" t="s">
        <v>2020</v>
      </c>
      <c r="B5660" s="67" t="s">
        <v>2019</v>
      </c>
      <c r="C5660" s="67">
        <v>0</v>
      </c>
      <c r="D5660" s="67">
        <v>0</v>
      </c>
      <c r="E5660" s="67">
        <v>83900.41</v>
      </c>
      <c r="F5660" s="67">
        <v>25250</v>
      </c>
      <c r="H5660" s="68">
        <v>40764</v>
      </c>
      <c r="I5660" s="67" t="s">
        <v>148</v>
      </c>
    </row>
    <row r="5661" spans="1:9" x14ac:dyDescent="0.25">
      <c r="B5661" s="67" t="s">
        <v>2019</v>
      </c>
      <c r="C5661" s="67">
        <v>0</v>
      </c>
      <c r="D5661" s="67">
        <v>0</v>
      </c>
      <c r="E5661" s="67">
        <v>83900.45</v>
      </c>
      <c r="H5661" s="67" t="s">
        <v>146</v>
      </c>
    </row>
    <row r="5663" spans="1:9" x14ac:dyDescent="0.25">
      <c r="A5663" s="67" t="s">
        <v>2018</v>
      </c>
      <c r="B5663" s="67" t="s">
        <v>2017</v>
      </c>
      <c r="C5663" s="67">
        <v>0</v>
      </c>
      <c r="D5663" s="67">
        <v>0</v>
      </c>
      <c r="E5663" s="67">
        <v>83900.41</v>
      </c>
      <c r="F5663" s="67">
        <v>25250</v>
      </c>
      <c r="H5663" s="68">
        <v>40764</v>
      </c>
      <c r="I5663" s="67" t="s">
        <v>148</v>
      </c>
    </row>
    <row r="5664" spans="1:9" x14ac:dyDescent="0.25">
      <c r="B5664" s="67" t="s">
        <v>2017</v>
      </c>
      <c r="C5664" s="67">
        <v>0</v>
      </c>
      <c r="D5664" s="67">
        <v>0</v>
      </c>
      <c r="E5664" s="67">
        <v>83900.45</v>
      </c>
      <c r="H5664" s="67" t="s">
        <v>146</v>
      </c>
    </row>
    <row r="5666" spans="1:9" x14ac:dyDescent="0.25">
      <c r="A5666" s="67" t="s">
        <v>2016</v>
      </c>
      <c r="B5666" s="67" t="s">
        <v>2015</v>
      </c>
      <c r="C5666" s="67">
        <v>0</v>
      </c>
      <c r="D5666" s="67">
        <v>0</v>
      </c>
      <c r="E5666" s="67">
        <v>83900.41</v>
      </c>
      <c r="F5666" s="67">
        <v>25250</v>
      </c>
      <c r="H5666" s="68">
        <v>40764</v>
      </c>
      <c r="I5666" s="67" t="s">
        <v>148</v>
      </c>
    </row>
    <row r="5667" spans="1:9" x14ac:dyDescent="0.25">
      <c r="B5667" s="67" t="s">
        <v>2015</v>
      </c>
      <c r="C5667" s="67">
        <v>0</v>
      </c>
      <c r="D5667" s="67">
        <v>0</v>
      </c>
      <c r="E5667" s="67">
        <v>83900.45</v>
      </c>
      <c r="H5667" s="67" t="s">
        <v>146</v>
      </c>
    </row>
    <row r="5669" spans="1:9" x14ac:dyDescent="0.25">
      <c r="A5669" s="67" t="s">
        <v>2014</v>
      </c>
      <c r="B5669" s="67" t="s">
        <v>2013</v>
      </c>
      <c r="C5669" s="67">
        <v>0</v>
      </c>
      <c r="D5669" s="67">
        <v>0</v>
      </c>
      <c r="E5669" s="67">
        <v>83900.41</v>
      </c>
      <c r="F5669" s="67">
        <v>25250</v>
      </c>
      <c r="H5669" s="68">
        <v>40764</v>
      </c>
      <c r="I5669" s="67" t="s">
        <v>148</v>
      </c>
    </row>
    <row r="5670" spans="1:9" x14ac:dyDescent="0.25">
      <c r="B5670" s="67" t="s">
        <v>2013</v>
      </c>
      <c r="C5670" s="67">
        <v>0</v>
      </c>
      <c r="D5670" s="67">
        <v>0</v>
      </c>
      <c r="E5670" s="67">
        <v>83900.45</v>
      </c>
      <c r="H5670" s="67" t="s">
        <v>146</v>
      </c>
    </row>
    <row r="5672" spans="1:9" x14ac:dyDescent="0.25">
      <c r="A5672" s="67" t="s">
        <v>2012</v>
      </c>
      <c r="B5672" s="67" t="s">
        <v>2011</v>
      </c>
      <c r="C5672" s="67">
        <v>0</v>
      </c>
      <c r="D5672" s="67">
        <v>0</v>
      </c>
      <c r="E5672" s="67">
        <v>83900.41</v>
      </c>
      <c r="F5672" s="67">
        <v>25250</v>
      </c>
      <c r="H5672" s="68">
        <v>40764</v>
      </c>
      <c r="I5672" s="67" t="s">
        <v>148</v>
      </c>
    </row>
    <row r="5673" spans="1:9" x14ac:dyDescent="0.25">
      <c r="B5673" s="67" t="s">
        <v>2011</v>
      </c>
      <c r="C5673" s="67">
        <v>0</v>
      </c>
      <c r="D5673" s="67">
        <v>0</v>
      </c>
      <c r="E5673" s="67">
        <v>83900.45</v>
      </c>
      <c r="H5673" s="67" t="s">
        <v>146</v>
      </c>
    </row>
    <row r="5675" spans="1:9" x14ac:dyDescent="0.25">
      <c r="A5675" s="67" t="s">
        <v>2010</v>
      </c>
      <c r="B5675" s="67" t="s">
        <v>2009</v>
      </c>
      <c r="C5675" s="67">
        <v>0</v>
      </c>
      <c r="D5675" s="67">
        <v>0</v>
      </c>
      <c r="E5675" s="67">
        <v>83900.41</v>
      </c>
      <c r="F5675" s="67">
        <v>25250</v>
      </c>
      <c r="H5675" s="68">
        <v>40764</v>
      </c>
      <c r="I5675" s="67" t="s">
        <v>148</v>
      </c>
    </row>
    <row r="5676" spans="1:9" x14ac:dyDescent="0.25">
      <c r="B5676" s="67" t="s">
        <v>2009</v>
      </c>
      <c r="C5676" s="67">
        <v>0</v>
      </c>
      <c r="D5676" s="67">
        <v>0</v>
      </c>
      <c r="E5676" s="67">
        <v>83900.45</v>
      </c>
      <c r="H5676" s="67" t="s">
        <v>146</v>
      </c>
    </row>
    <row r="5678" spans="1:9" x14ac:dyDescent="0.25">
      <c r="A5678" s="67" t="s">
        <v>2008</v>
      </c>
      <c r="B5678" s="67" t="s">
        <v>2007</v>
      </c>
      <c r="C5678" s="67">
        <v>0</v>
      </c>
      <c r="D5678" s="67">
        <v>0</v>
      </c>
      <c r="E5678" s="67">
        <v>83900.41</v>
      </c>
      <c r="F5678" s="67">
        <v>25250</v>
      </c>
      <c r="H5678" s="68">
        <v>40764</v>
      </c>
      <c r="I5678" s="67" t="s">
        <v>148</v>
      </c>
    </row>
    <row r="5679" spans="1:9" x14ac:dyDescent="0.25">
      <c r="B5679" s="67" t="s">
        <v>2007</v>
      </c>
      <c r="C5679" s="67">
        <v>0</v>
      </c>
      <c r="D5679" s="67">
        <v>0</v>
      </c>
      <c r="E5679" s="67">
        <v>83900.45</v>
      </c>
      <c r="H5679" s="67" t="s">
        <v>146</v>
      </c>
    </row>
    <row r="5681" spans="1:9" x14ac:dyDescent="0.25">
      <c r="A5681" s="67" t="s">
        <v>2006</v>
      </c>
      <c r="B5681" s="67" t="s">
        <v>2005</v>
      </c>
      <c r="C5681" s="67">
        <v>0</v>
      </c>
      <c r="D5681" s="67">
        <v>0</v>
      </c>
      <c r="E5681" s="67">
        <v>83900.41</v>
      </c>
      <c r="F5681" s="67">
        <v>25250</v>
      </c>
      <c r="H5681" s="68">
        <v>40764</v>
      </c>
      <c r="I5681" s="67" t="s">
        <v>148</v>
      </c>
    </row>
    <row r="5682" spans="1:9" x14ac:dyDescent="0.25">
      <c r="B5682" s="67" t="s">
        <v>2005</v>
      </c>
      <c r="C5682" s="67">
        <v>0</v>
      </c>
      <c r="D5682" s="67">
        <v>0</v>
      </c>
      <c r="E5682" s="67">
        <v>83900.45</v>
      </c>
      <c r="H5682" s="67" t="s">
        <v>146</v>
      </c>
    </row>
    <row r="5683" spans="1:9" x14ac:dyDescent="0.25">
      <c r="A5683" s="67" t="s">
        <v>233</v>
      </c>
    </row>
    <row r="5685" spans="1:9" x14ac:dyDescent="0.25">
      <c r="A5685" s="67" t="s">
        <v>232</v>
      </c>
      <c r="D5685" s="67" t="s">
        <v>231</v>
      </c>
      <c r="H5685" s="67" t="s">
        <v>148</v>
      </c>
      <c r="I5685" s="67" t="s">
        <v>230</v>
      </c>
    </row>
    <row r="5686" spans="1:9" x14ac:dyDescent="0.25">
      <c r="A5686" s="67">
        <v>41.1</v>
      </c>
      <c r="C5686" s="67" t="s">
        <v>215</v>
      </c>
      <c r="D5686" s="67" t="s">
        <v>229</v>
      </c>
      <c r="H5686" s="70">
        <v>44771</v>
      </c>
      <c r="I5686" s="69">
        <v>0.56736111111111109</v>
      </c>
    </row>
    <row r="5687" spans="1:9" x14ac:dyDescent="0.25">
      <c r="A5687" s="67" t="s">
        <v>228</v>
      </c>
      <c r="C5687" s="67" t="s">
        <v>227</v>
      </c>
      <c r="D5687" s="67" t="s">
        <v>226</v>
      </c>
      <c r="E5687" s="67">
        <v>589</v>
      </c>
      <c r="H5687" s="67" t="s">
        <v>225</v>
      </c>
      <c r="I5687" s="67">
        <v>99</v>
      </c>
    </row>
    <row r="5688" spans="1:9" x14ac:dyDescent="0.25">
      <c r="A5688" s="67" t="s">
        <v>884</v>
      </c>
    </row>
    <row r="5689" spans="1:9" x14ac:dyDescent="0.25">
      <c r="A5689" s="67" t="s">
        <v>223</v>
      </c>
      <c r="B5689" s="67" t="s">
        <v>222</v>
      </c>
      <c r="C5689" s="67" t="s">
        <v>221</v>
      </c>
      <c r="D5689" s="67" t="s">
        <v>220</v>
      </c>
      <c r="E5689" s="67" t="s">
        <v>219</v>
      </c>
      <c r="F5689" s="67" t="s">
        <v>217</v>
      </c>
      <c r="G5689" s="67" t="s">
        <v>218</v>
      </c>
      <c r="H5689" s="67" t="s">
        <v>217</v>
      </c>
      <c r="I5689" s="67" t="s">
        <v>216</v>
      </c>
    </row>
    <row r="5690" spans="1:9" x14ac:dyDescent="0.25">
      <c r="A5690" s="67" t="s">
        <v>215</v>
      </c>
      <c r="B5690" s="67" t="s">
        <v>214</v>
      </c>
      <c r="C5690" s="67" t="s">
        <v>213</v>
      </c>
      <c r="D5690" s="67" t="s">
        <v>212</v>
      </c>
      <c r="E5690" s="67" t="s">
        <v>211</v>
      </c>
      <c r="F5690" s="67" t="s">
        <v>210</v>
      </c>
      <c r="G5690" s="67" t="s">
        <v>209</v>
      </c>
      <c r="H5690" s="67" t="s">
        <v>208</v>
      </c>
      <c r="I5690" s="67" t="s">
        <v>207</v>
      </c>
    </row>
    <row r="5691" spans="1:9" x14ac:dyDescent="0.25">
      <c r="A5691" s="67" t="s">
        <v>206</v>
      </c>
      <c r="B5691" s="67" t="s">
        <v>205</v>
      </c>
      <c r="C5691" s="67" t="s">
        <v>204</v>
      </c>
      <c r="D5691" s="67" t="s">
        <v>203</v>
      </c>
      <c r="E5691" s="67" t="s">
        <v>202</v>
      </c>
      <c r="F5691" s="67" t="s">
        <v>201</v>
      </c>
      <c r="G5691" s="67" t="s">
        <v>200</v>
      </c>
      <c r="H5691" s="67" t="s">
        <v>199</v>
      </c>
    </row>
    <row r="5692" spans="1:9" x14ac:dyDescent="0.25">
      <c r="A5692" s="67" t="s">
        <v>2004</v>
      </c>
      <c r="B5692" s="67" t="s">
        <v>2003</v>
      </c>
      <c r="C5692" s="67">
        <v>0</v>
      </c>
      <c r="D5692" s="67">
        <v>0</v>
      </c>
      <c r="E5692" s="67">
        <v>83900.41</v>
      </c>
      <c r="F5692" s="67">
        <v>25250</v>
      </c>
      <c r="H5692" s="68">
        <v>40764</v>
      </c>
      <c r="I5692" s="67" t="s">
        <v>148</v>
      </c>
    </row>
    <row r="5693" spans="1:9" x14ac:dyDescent="0.25">
      <c r="B5693" s="67" t="s">
        <v>2003</v>
      </c>
      <c r="C5693" s="67">
        <v>0</v>
      </c>
      <c r="D5693" s="67">
        <v>0</v>
      </c>
      <c r="E5693" s="67">
        <v>83900.45</v>
      </c>
      <c r="H5693" s="67" t="s">
        <v>146</v>
      </c>
    </row>
    <row r="5695" spans="1:9" x14ac:dyDescent="0.25">
      <c r="A5695" s="67" t="s">
        <v>2002</v>
      </c>
      <c r="B5695" s="67" t="s">
        <v>2001</v>
      </c>
      <c r="C5695" s="67">
        <v>0</v>
      </c>
      <c r="D5695" s="67">
        <v>0</v>
      </c>
      <c r="E5695" s="67">
        <v>83900.41</v>
      </c>
      <c r="F5695" s="67">
        <v>25250</v>
      </c>
      <c r="H5695" s="68">
        <v>40764</v>
      </c>
      <c r="I5695" s="67" t="s">
        <v>148</v>
      </c>
    </row>
    <row r="5696" spans="1:9" x14ac:dyDescent="0.25">
      <c r="B5696" s="67" t="s">
        <v>2001</v>
      </c>
      <c r="C5696" s="67">
        <v>0</v>
      </c>
      <c r="D5696" s="67">
        <v>0</v>
      </c>
      <c r="E5696" s="67">
        <v>83900.45</v>
      </c>
      <c r="H5696" s="67" t="s">
        <v>146</v>
      </c>
    </row>
    <row r="5698" spans="1:9" x14ac:dyDescent="0.25">
      <c r="A5698" s="67" t="s">
        <v>2000</v>
      </c>
      <c r="B5698" s="67" t="s">
        <v>1999</v>
      </c>
      <c r="C5698" s="67">
        <v>0</v>
      </c>
      <c r="D5698" s="67">
        <v>0</v>
      </c>
      <c r="E5698" s="67">
        <v>83900.41</v>
      </c>
      <c r="F5698" s="67">
        <v>25250</v>
      </c>
      <c r="H5698" s="68">
        <v>40764</v>
      </c>
      <c r="I5698" s="67" t="s">
        <v>148</v>
      </c>
    </row>
    <row r="5699" spans="1:9" x14ac:dyDescent="0.25">
      <c r="B5699" s="67" t="s">
        <v>1999</v>
      </c>
      <c r="C5699" s="67">
        <v>0</v>
      </c>
      <c r="D5699" s="67">
        <v>0</v>
      </c>
      <c r="E5699" s="67">
        <v>83900.45</v>
      </c>
      <c r="H5699" s="67" t="s">
        <v>146</v>
      </c>
    </row>
    <row r="5701" spans="1:9" x14ac:dyDescent="0.25">
      <c r="A5701" s="67" t="s">
        <v>1998</v>
      </c>
      <c r="B5701" s="67" t="s">
        <v>1997</v>
      </c>
      <c r="C5701" s="67">
        <v>0</v>
      </c>
      <c r="D5701" s="67">
        <v>0</v>
      </c>
      <c r="E5701" s="67">
        <v>83900.41</v>
      </c>
      <c r="F5701" s="67">
        <v>25250</v>
      </c>
      <c r="H5701" s="68">
        <v>40764</v>
      </c>
      <c r="I5701" s="67" t="s">
        <v>148</v>
      </c>
    </row>
    <row r="5702" spans="1:9" x14ac:dyDescent="0.25">
      <c r="B5702" s="67" t="s">
        <v>1997</v>
      </c>
      <c r="C5702" s="67">
        <v>0</v>
      </c>
      <c r="D5702" s="67">
        <v>0</v>
      </c>
      <c r="E5702" s="67">
        <v>83900.45</v>
      </c>
      <c r="H5702" s="67" t="s">
        <v>146</v>
      </c>
    </row>
    <row r="5704" spans="1:9" x14ac:dyDescent="0.25">
      <c r="A5704" s="67" t="s">
        <v>1996</v>
      </c>
      <c r="B5704" s="67" t="s">
        <v>1995</v>
      </c>
      <c r="C5704" s="67">
        <v>0</v>
      </c>
      <c r="D5704" s="67">
        <v>0</v>
      </c>
      <c r="E5704" s="67">
        <v>83900.41</v>
      </c>
      <c r="F5704" s="67">
        <v>25250</v>
      </c>
      <c r="H5704" s="68">
        <v>40764</v>
      </c>
      <c r="I5704" s="67" t="s">
        <v>148</v>
      </c>
    </row>
    <row r="5705" spans="1:9" x14ac:dyDescent="0.25">
      <c r="B5705" s="67" t="s">
        <v>1995</v>
      </c>
      <c r="C5705" s="67">
        <v>0</v>
      </c>
      <c r="D5705" s="67">
        <v>0</v>
      </c>
      <c r="E5705" s="67">
        <v>83900.45</v>
      </c>
      <c r="H5705" s="67" t="s">
        <v>146</v>
      </c>
    </row>
    <row r="5707" spans="1:9" x14ac:dyDescent="0.25">
      <c r="A5707" s="67" t="s">
        <v>1994</v>
      </c>
      <c r="B5707" s="67" t="s">
        <v>1993</v>
      </c>
      <c r="C5707" s="67">
        <v>0</v>
      </c>
      <c r="D5707" s="67">
        <v>0</v>
      </c>
      <c r="E5707" s="67">
        <v>83900.41</v>
      </c>
      <c r="F5707" s="67">
        <v>25250</v>
      </c>
      <c r="H5707" s="68">
        <v>40764</v>
      </c>
      <c r="I5707" s="67" t="s">
        <v>148</v>
      </c>
    </row>
    <row r="5708" spans="1:9" x14ac:dyDescent="0.25">
      <c r="B5708" s="67" t="s">
        <v>1993</v>
      </c>
      <c r="C5708" s="67">
        <v>0</v>
      </c>
      <c r="D5708" s="67">
        <v>0</v>
      </c>
      <c r="E5708" s="67">
        <v>83900.45</v>
      </c>
      <c r="H5708" s="67" t="s">
        <v>146</v>
      </c>
    </row>
    <row r="5710" spans="1:9" x14ac:dyDescent="0.25">
      <c r="A5710" s="67" t="s">
        <v>1992</v>
      </c>
      <c r="B5710" s="67" t="s">
        <v>1991</v>
      </c>
      <c r="C5710" s="67">
        <v>0</v>
      </c>
      <c r="D5710" s="67">
        <v>0</v>
      </c>
      <c r="E5710" s="67">
        <v>83900.41</v>
      </c>
      <c r="F5710" s="67">
        <v>25250</v>
      </c>
      <c r="H5710" s="68">
        <v>40764</v>
      </c>
      <c r="I5710" s="67" t="s">
        <v>148</v>
      </c>
    </row>
    <row r="5711" spans="1:9" x14ac:dyDescent="0.25">
      <c r="B5711" s="67" t="s">
        <v>1991</v>
      </c>
      <c r="C5711" s="67">
        <v>0</v>
      </c>
      <c r="D5711" s="67">
        <v>0</v>
      </c>
      <c r="E5711" s="67">
        <v>83900.45</v>
      </c>
      <c r="H5711" s="67" t="s">
        <v>146</v>
      </c>
    </row>
    <row r="5713" spans="1:9" x14ac:dyDescent="0.25">
      <c r="A5713" s="67" t="s">
        <v>1990</v>
      </c>
      <c r="B5713" s="67" t="s">
        <v>1989</v>
      </c>
      <c r="C5713" s="67">
        <v>0</v>
      </c>
      <c r="D5713" s="67">
        <v>0</v>
      </c>
      <c r="E5713" s="67">
        <v>83900.41</v>
      </c>
      <c r="F5713" s="67">
        <v>25250</v>
      </c>
      <c r="H5713" s="68">
        <v>40764</v>
      </c>
      <c r="I5713" s="67" t="s">
        <v>148</v>
      </c>
    </row>
    <row r="5714" spans="1:9" x14ac:dyDescent="0.25">
      <c r="B5714" s="67" t="s">
        <v>1989</v>
      </c>
      <c r="C5714" s="67">
        <v>0</v>
      </c>
      <c r="D5714" s="67">
        <v>0</v>
      </c>
      <c r="E5714" s="67">
        <v>83900.45</v>
      </c>
      <c r="H5714" s="67" t="s">
        <v>146</v>
      </c>
    </row>
    <row r="5716" spans="1:9" x14ac:dyDescent="0.25">
      <c r="A5716" s="67" t="s">
        <v>1988</v>
      </c>
      <c r="B5716" s="67" t="s">
        <v>1987</v>
      </c>
      <c r="C5716" s="67">
        <v>0</v>
      </c>
      <c r="D5716" s="67">
        <v>0</v>
      </c>
      <c r="E5716" s="67">
        <v>83900.41</v>
      </c>
      <c r="F5716" s="67">
        <v>25250</v>
      </c>
      <c r="H5716" s="68">
        <v>40764</v>
      </c>
      <c r="I5716" s="67" t="s">
        <v>148</v>
      </c>
    </row>
    <row r="5717" spans="1:9" x14ac:dyDescent="0.25">
      <c r="B5717" s="67" t="s">
        <v>1987</v>
      </c>
      <c r="C5717" s="67">
        <v>0</v>
      </c>
      <c r="D5717" s="67">
        <v>0</v>
      </c>
      <c r="E5717" s="67">
        <v>83900.45</v>
      </c>
      <c r="H5717" s="67" t="s">
        <v>146</v>
      </c>
    </row>
    <row r="5719" spans="1:9" x14ac:dyDescent="0.25">
      <c r="A5719" s="67" t="s">
        <v>1986</v>
      </c>
      <c r="B5719" s="67" t="s">
        <v>1985</v>
      </c>
      <c r="C5719" s="67">
        <v>0</v>
      </c>
      <c r="D5719" s="67">
        <v>0</v>
      </c>
      <c r="E5719" s="67">
        <v>83900.41</v>
      </c>
      <c r="F5719" s="67">
        <v>25250</v>
      </c>
      <c r="H5719" s="68">
        <v>40764</v>
      </c>
      <c r="I5719" s="67" t="s">
        <v>148</v>
      </c>
    </row>
    <row r="5720" spans="1:9" x14ac:dyDescent="0.25">
      <c r="B5720" s="67" t="s">
        <v>1985</v>
      </c>
      <c r="C5720" s="67">
        <v>0</v>
      </c>
      <c r="D5720" s="67">
        <v>0</v>
      </c>
      <c r="E5720" s="67">
        <v>83900.45</v>
      </c>
      <c r="H5720" s="67" t="s">
        <v>146</v>
      </c>
    </row>
    <row r="5722" spans="1:9" x14ac:dyDescent="0.25">
      <c r="A5722" s="67" t="s">
        <v>1984</v>
      </c>
      <c r="B5722" s="67" t="s">
        <v>1983</v>
      </c>
      <c r="C5722" s="67">
        <v>0</v>
      </c>
      <c r="D5722" s="67">
        <v>0</v>
      </c>
      <c r="E5722" s="67">
        <v>83900.41</v>
      </c>
      <c r="F5722" s="67">
        <v>25250</v>
      </c>
      <c r="H5722" s="68">
        <v>40764</v>
      </c>
      <c r="I5722" s="67" t="s">
        <v>148</v>
      </c>
    </row>
    <row r="5723" spans="1:9" x14ac:dyDescent="0.25">
      <c r="B5723" s="67" t="s">
        <v>1983</v>
      </c>
      <c r="C5723" s="67">
        <v>0</v>
      </c>
      <c r="D5723" s="67">
        <v>0</v>
      </c>
      <c r="E5723" s="67">
        <v>83900.45</v>
      </c>
      <c r="H5723" s="67" t="s">
        <v>146</v>
      </c>
    </row>
    <row r="5725" spans="1:9" x14ac:dyDescent="0.25">
      <c r="A5725" s="67" t="s">
        <v>1982</v>
      </c>
      <c r="B5725" s="67" t="s">
        <v>1981</v>
      </c>
      <c r="C5725" s="67">
        <v>0</v>
      </c>
      <c r="D5725" s="67">
        <v>0</v>
      </c>
      <c r="E5725" s="67">
        <v>83900.41</v>
      </c>
      <c r="F5725" s="67">
        <v>25250</v>
      </c>
      <c r="H5725" s="68">
        <v>40764</v>
      </c>
      <c r="I5725" s="67" t="s">
        <v>148</v>
      </c>
    </row>
    <row r="5726" spans="1:9" x14ac:dyDescent="0.25">
      <c r="B5726" s="67" t="s">
        <v>1981</v>
      </c>
      <c r="C5726" s="67">
        <v>0</v>
      </c>
      <c r="D5726" s="67">
        <v>0</v>
      </c>
      <c r="E5726" s="67">
        <v>83900.45</v>
      </c>
      <c r="H5726" s="67" t="s">
        <v>146</v>
      </c>
    </row>
    <row r="5728" spans="1:9" x14ac:dyDescent="0.25">
      <c r="A5728" s="67" t="s">
        <v>1980</v>
      </c>
      <c r="B5728" s="67" t="s">
        <v>1979</v>
      </c>
      <c r="C5728" s="67">
        <v>0</v>
      </c>
      <c r="D5728" s="67">
        <v>0</v>
      </c>
      <c r="E5728" s="67">
        <v>83900.41</v>
      </c>
      <c r="F5728" s="67">
        <v>25250</v>
      </c>
      <c r="H5728" s="68">
        <v>40764</v>
      </c>
      <c r="I5728" s="67" t="s">
        <v>148</v>
      </c>
    </row>
    <row r="5729" spans="1:9" x14ac:dyDescent="0.25">
      <c r="B5729" s="67" t="s">
        <v>1979</v>
      </c>
      <c r="C5729" s="67">
        <v>0</v>
      </c>
      <c r="D5729" s="67">
        <v>0</v>
      </c>
      <c r="E5729" s="67">
        <v>83900.45</v>
      </c>
      <c r="H5729" s="67" t="s">
        <v>146</v>
      </c>
    </row>
    <row r="5731" spans="1:9" x14ac:dyDescent="0.25">
      <c r="A5731" s="67" t="s">
        <v>1978</v>
      </c>
      <c r="B5731" s="67" t="s">
        <v>1977</v>
      </c>
      <c r="C5731" s="67">
        <v>0</v>
      </c>
      <c r="D5731" s="67">
        <v>0</v>
      </c>
      <c r="E5731" s="67">
        <v>83900.41</v>
      </c>
      <c r="F5731" s="67">
        <v>25250</v>
      </c>
      <c r="H5731" s="68">
        <v>40764</v>
      </c>
      <c r="I5731" s="67" t="s">
        <v>148</v>
      </c>
    </row>
    <row r="5732" spans="1:9" x14ac:dyDescent="0.25">
      <c r="B5732" s="67" t="s">
        <v>1977</v>
      </c>
      <c r="C5732" s="67">
        <v>0</v>
      </c>
      <c r="D5732" s="67">
        <v>0</v>
      </c>
      <c r="E5732" s="67">
        <v>83900.45</v>
      </c>
      <c r="H5732" s="67" t="s">
        <v>146</v>
      </c>
    </row>
    <row r="5734" spans="1:9" x14ac:dyDescent="0.25">
      <c r="A5734" s="67" t="s">
        <v>1976</v>
      </c>
      <c r="B5734" s="67" t="s">
        <v>1975</v>
      </c>
      <c r="C5734" s="67">
        <v>0</v>
      </c>
      <c r="D5734" s="67">
        <v>0</v>
      </c>
      <c r="E5734" s="67">
        <v>83900.41</v>
      </c>
      <c r="F5734" s="67">
        <v>25250</v>
      </c>
      <c r="H5734" s="68">
        <v>40764</v>
      </c>
      <c r="I5734" s="67" t="s">
        <v>148</v>
      </c>
    </row>
    <row r="5735" spans="1:9" x14ac:dyDescent="0.25">
      <c r="B5735" s="67" t="s">
        <v>1975</v>
      </c>
      <c r="C5735" s="67">
        <v>0</v>
      </c>
      <c r="D5735" s="67">
        <v>0</v>
      </c>
      <c r="E5735" s="67">
        <v>83900.45</v>
      </c>
      <c r="H5735" s="67" t="s">
        <v>146</v>
      </c>
    </row>
    <row r="5737" spans="1:9" x14ac:dyDescent="0.25">
      <c r="A5737" s="67" t="s">
        <v>1974</v>
      </c>
      <c r="B5737" s="67" t="s">
        <v>1973</v>
      </c>
      <c r="C5737" s="67">
        <v>0</v>
      </c>
      <c r="D5737" s="67">
        <v>0</v>
      </c>
      <c r="E5737" s="67">
        <v>83900.41</v>
      </c>
      <c r="F5737" s="67">
        <v>25250</v>
      </c>
      <c r="H5737" s="68">
        <v>40764</v>
      </c>
      <c r="I5737" s="67" t="s">
        <v>148</v>
      </c>
    </row>
    <row r="5738" spans="1:9" x14ac:dyDescent="0.25">
      <c r="B5738" s="67" t="s">
        <v>1973</v>
      </c>
      <c r="C5738" s="67">
        <v>0</v>
      </c>
      <c r="D5738" s="67">
        <v>0</v>
      </c>
      <c r="E5738" s="67">
        <v>83900.45</v>
      </c>
      <c r="H5738" s="67" t="s">
        <v>146</v>
      </c>
    </row>
    <row r="5740" spans="1:9" x14ac:dyDescent="0.25">
      <c r="A5740" s="67" t="s">
        <v>1972</v>
      </c>
      <c r="B5740" s="67" t="s">
        <v>1971</v>
      </c>
      <c r="C5740" s="67">
        <v>0</v>
      </c>
      <c r="D5740" s="67">
        <v>0</v>
      </c>
      <c r="E5740" s="67">
        <v>83900.41</v>
      </c>
      <c r="F5740" s="67">
        <v>25250</v>
      </c>
      <c r="H5740" s="68">
        <v>40764</v>
      </c>
      <c r="I5740" s="67" t="s">
        <v>148</v>
      </c>
    </row>
    <row r="5741" spans="1:9" x14ac:dyDescent="0.25">
      <c r="B5741" s="67" t="s">
        <v>1971</v>
      </c>
      <c r="C5741" s="67">
        <v>0</v>
      </c>
      <c r="D5741" s="67">
        <v>0</v>
      </c>
      <c r="E5741" s="67">
        <v>83900.45</v>
      </c>
      <c r="H5741" s="67" t="s">
        <v>146</v>
      </c>
    </row>
    <row r="5742" spans="1:9" x14ac:dyDescent="0.25">
      <c r="A5742" s="67" t="s">
        <v>233</v>
      </c>
    </row>
    <row r="5744" spans="1:9" x14ac:dyDescent="0.25">
      <c r="A5744" s="67" t="s">
        <v>232</v>
      </c>
      <c r="D5744" s="67" t="s">
        <v>231</v>
      </c>
      <c r="H5744" s="67" t="s">
        <v>148</v>
      </c>
      <c r="I5744" s="67" t="s">
        <v>230</v>
      </c>
    </row>
    <row r="5745" spans="1:9" x14ac:dyDescent="0.25">
      <c r="A5745" s="67">
        <v>41.1</v>
      </c>
      <c r="C5745" s="67" t="s">
        <v>215</v>
      </c>
      <c r="D5745" s="67" t="s">
        <v>229</v>
      </c>
      <c r="H5745" s="70">
        <v>44771</v>
      </c>
      <c r="I5745" s="69">
        <v>0.56736111111111109</v>
      </c>
    </row>
    <row r="5746" spans="1:9" x14ac:dyDescent="0.25">
      <c r="A5746" s="67" t="s">
        <v>228</v>
      </c>
      <c r="C5746" s="67" t="s">
        <v>227</v>
      </c>
      <c r="D5746" s="67" t="s">
        <v>226</v>
      </c>
      <c r="E5746" s="67">
        <v>589</v>
      </c>
      <c r="H5746" s="67" t="s">
        <v>225</v>
      </c>
      <c r="I5746" s="67">
        <v>100</v>
      </c>
    </row>
    <row r="5747" spans="1:9" x14ac:dyDescent="0.25">
      <c r="A5747" s="67" t="s">
        <v>884</v>
      </c>
    </row>
    <row r="5748" spans="1:9" x14ac:dyDescent="0.25">
      <c r="A5748" s="67" t="s">
        <v>223</v>
      </c>
      <c r="B5748" s="67" t="s">
        <v>222</v>
      </c>
      <c r="C5748" s="67" t="s">
        <v>221</v>
      </c>
      <c r="D5748" s="67" t="s">
        <v>220</v>
      </c>
      <c r="E5748" s="67" t="s">
        <v>219</v>
      </c>
      <c r="F5748" s="67" t="s">
        <v>217</v>
      </c>
      <c r="G5748" s="67" t="s">
        <v>218</v>
      </c>
      <c r="H5748" s="67" t="s">
        <v>217</v>
      </c>
      <c r="I5748" s="67" t="s">
        <v>216</v>
      </c>
    </row>
    <row r="5749" spans="1:9" x14ac:dyDescent="0.25">
      <c r="A5749" s="67" t="s">
        <v>215</v>
      </c>
      <c r="B5749" s="67" t="s">
        <v>214</v>
      </c>
      <c r="C5749" s="67" t="s">
        <v>213</v>
      </c>
      <c r="D5749" s="67" t="s">
        <v>212</v>
      </c>
      <c r="E5749" s="67" t="s">
        <v>211</v>
      </c>
      <c r="F5749" s="67" t="s">
        <v>210</v>
      </c>
      <c r="G5749" s="67" t="s">
        <v>209</v>
      </c>
      <c r="H5749" s="67" t="s">
        <v>208</v>
      </c>
      <c r="I5749" s="67" t="s">
        <v>207</v>
      </c>
    </row>
    <row r="5750" spans="1:9" x14ac:dyDescent="0.25">
      <c r="A5750" s="67" t="s">
        <v>206</v>
      </c>
      <c r="B5750" s="67" t="s">
        <v>205</v>
      </c>
      <c r="C5750" s="67" t="s">
        <v>204</v>
      </c>
      <c r="D5750" s="67" t="s">
        <v>203</v>
      </c>
      <c r="E5750" s="67" t="s">
        <v>202</v>
      </c>
      <c r="F5750" s="67" t="s">
        <v>201</v>
      </c>
      <c r="G5750" s="67" t="s">
        <v>200</v>
      </c>
      <c r="H5750" s="67" t="s">
        <v>199</v>
      </c>
    </row>
    <row r="5751" spans="1:9" x14ac:dyDescent="0.25">
      <c r="A5751" s="67" t="s">
        <v>1970</v>
      </c>
      <c r="B5751" s="67" t="s">
        <v>1969</v>
      </c>
      <c r="C5751" s="67">
        <v>0</v>
      </c>
      <c r="D5751" s="67">
        <v>0</v>
      </c>
      <c r="E5751" s="67">
        <v>83900.41</v>
      </c>
      <c r="F5751" s="67">
        <v>25250</v>
      </c>
      <c r="H5751" s="68">
        <v>40764</v>
      </c>
      <c r="I5751" s="67" t="s">
        <v>148</v>
      </c>
    </row>
    <row r="5752" spans="1:9" x14ac:dyDescent="0.25">
      <c r="B5752" s="67" t="s">
        <v>1969</v>
      </c>
      <c r="C5752" s="67">
        <v>0</v>
      </c>
      <c r="D5752" s="67">
        <v>0</v>
      </c>
      <c r="E5752" s="67">
        <v>83900.45</v>
      </c>
      <c r="H5752" s="67" t="s">
        <v>146</v>
      </c>
    </row>
    <row r="5754" spans="1:9" x14ac:dyDescent="0.25">
      <c r="A5754" s="67" t="s">
        <v>1968</v>
      </c>
      <c r="B5754" s="67" t="s">
        <v>1967</v>
      </c>
      <c r="C5754" s="67">
        <v>0</v>
      </c>
      <c r="D5754" s="67">
        <v>0</v>
      </c>
      <c r="E5754" s="67">
        <v>83900.41</v>
      </c>
      <c r="F5754" s="67">
        <v>25250</v>
      </c>
      <c r="H5754" s="68">
        <v>40764</v>
      </c>
      <c r="I5754" s="67" t="s">
        <v>148</v>
      </c>
    </row>
    <row r="5755" spans="1:9" x14ac:dyDescent="0.25">
      <c r="B5755" s="67" t="s">
        <v>1967</v>
      </c>
      <c r="C5755" s="67">
        <v>0</v>
      </c>
      <c r="D5755" s="67">
        <v>0</v>
      </c>
      <c r="E5755" s="67">
        <v>83900.45</v>
      </c>
      <c r="H5755" s="67" t="s">
        <v>146</v>
      </c>
    </row>
    <row r="5757" spans="1:9" x14ac:dyDescent="0.25">
      <c r="A5757" s="67" t="s">
        <v>1966</v>
      </c>
      <c r="B5757" s="67" t="s">
        <v>1965</v>
      </c>
      <c r="C5757" s="67">
        <v>0</v>
      </c>
      <c r="D5757" s="67">
        <v>0</v>
      </c>
      <c r="E5757" s="67">
        <v>83900.41</v>
      </c>
      <c r="F5757" s="67">
        <v>25250</v>
      </c>
      <c r="H5757" s="68">
        <v>40764</v>
      </c>
      <c r="I5757" s="67" t="s">
        <v>148</v>
      </c>
    </row>
    <row r="5758" spans="1:9" x14ac:dyDescent="0.25">
      <c r="B5758" s="67" t="s">
        <v>1965</v>
      </c>
      <c r="C5758" s="67">
        <v>0</v>
      </c>
      <c r="D5758" s="67">
        <v>0</v>
      </c>
      <c r="E5758" s="67">
        <v>83900.45</v>
      </c>
      <c r="H5758" s="67" t="s">
        <v>146</v>
      </c>
    </row>
    <row r="5760" spans="1:9" x14ac:dyDescent="0.25">
      <c r="A5760" s="67" t="s">
        <v>1964</v>
      </c>
      <c r="B5760" s="67" t="s">
        <v>1963</v>
      </c>
      <c r="C5760" s="67">
        <v>0</v>
      </c>
      <c r="D5760" s="67">
        <v>0</v>
      </c>
      <c r="E5760" s="67">
        <v>83900.41</v>
      </c>
      <c r="F5760" s="67">
        <v>25250</v>
      </c>
      <c r="H5760" s="68">
        <v>40764</v>
      </c>
      <c r="I5760" s="67" t="s">
        <v>148</v>
      </c>
    </row>
    <row r="5761" spans="1:9" x14ac:dyDescent="0.25">
      <c r="B5761" s="67" t="s">
        <v>1963</v>
      </c>
      <c r="C5761" s="67">
        <v>0</v>
      </c>
      <c r="D5761" s="67">
        <v>0</v>
      </c>
      <c r="E5761" s="67">
        <v>83900.45</v>
      </c>
      <c r="H5761" s="67" t="s">
        <v>146</v>
      </c>
    </row>
    <row r="5763" spans="1:9" x14ac:dyDescent="0.25">
      <c r="A5763" s="67" t="s">
        <v>1962</v>
      </c>
      <c r="B5763" s="67" t="s">
        <v>1961</v>
      </c>
      <c r="C5763" s="67">
        <v>0</v>
      </c>
      <c r="D5763" s="67">
        <v>0</v>
      </c>
      <c r="E5763" s="67">
        <v>83900.41</v>
      </c>
      <c r="F5763" s="67">
        <v>25250</v>
      </c>
      <c r="H5763" s="68">
        <v>40764</v>
      </c>
      <c r="I5763" s="67" t="s">
        <v>148</v>
      </c>
    </row>
    <row r="5764" spans="1:9" x14ac:dyDescent="0.25">
      <c r="B5764" s="67" t="s">
        <v>1961</v>
      </c>
      <c r="C5764" s="67">
        <v>0</v>
      </c>
      <c r="D5764" s="67">
        <v>0</v>
      </c>
      <c r="E5764" s="67">
        <v>83900.45</v>
      </c>
      <c r="H5764" s="67" t="s">
        <v>146</v>
      </c>
    </row>
    <row r="5766" spans="1:9" x14ac:dyDescent="0.25">
      <c r="A5766" s="67" t="s">
        <v>1960</v>
      </c>
      <c r="B5766" s="67" t="s">
        <v>1959</v>
      </c>
      <c r="C5766" s="67">
        <v>0</v>
      </c>
      <c r="D5766" s="67">
        <v>0</v>
      </c>
      <c r="E5766" s="67">
        <v>83900.41</v>
      </c>
      <c r="F5766" s="67">
        <v>25250</v>
      </c>
      <c r="H5766" s="68">
        <v>40764</v>
      </c>
      <c r="I5766" s="67" t="s">
        <v>148</v>
      </c>
    </row>
    <row r="5767" spans="1:9" x14ac:dyDescent="0.25">
      <c r="B5767" s="67" t="s">
        <v>1959</v>
      </c>
      <c r="C5767" s="67">
        <v>0</v>
      </c>
      <c r="D5767" s="67">
        <v>0</v>
      </c>
      <c r="E5767" s="67">
        <v>83900.45</v>
      </c>
      <c r="H5767" s="67" t="s">
        <v>146</v>
      </c>
    </row>
    <row r="5769" spans="1:9" x14ac:dyDescent="0.25">
      <c r="A5769" s="67" t="s">
        <v>1958</v>
      </c>
      <c r="B5769" s="67" t="s">
        <v>1957</v>
      </c>
      <c r="C5769" s="67">
        <v>0</v>
      </c>
      <c r="D5769" s="67">
        <v>0</v>
      </c>
      <c r="E5769" s="67">
        <v>83900.41</v>
      </c>
      <c r="F5769" s="67">
        <v>25250</v>
      </c>
      <c r="H5769" s="68">
        <v>40764</v>
      </c>
      <c r="I5769" s="67" t="s">
        <v>148</v>
      </c>
    </row>
    <row r="5770" spans="1:9" x14ac:dyDescent="0.25">
      <c r="B5770" s="67" t="s">
        <v>1957</v>
      </c>
      <c r="C5770" s="67">
        <v>0</v>
      </c>
      <c r="D5770" s="67">
        <v>0</v>
      </c>
      <c r="E5770" s="67">
        <v>83900.45</v>
      </c>
      <c r="H5770" s="67" t="s">
        <v>146</v>
      </c>
    </row>
    <row r="5772" spans="1:9" x14ac:dyDescent="0.25">
      <c r="A5772" s="67" t="s">
        <v>1956</v>
      </c>
      <c r="B5772" s="67" t="s">
        <v>1955</v>
      </c>
      <c r="C5772" s="67">
        <v>0</v>
      </c>
      <c r="D5772" s="67">
        <v>0</v>
      </c>
      <c r="E5772" s="67">
        <v>83900.41</v>
      </c>
      <c r="F5772" s="67">
        <v>25250</v>
      </c>
      <c r="H5772" s="68">
        <v>40764</v>
      </c>
      <c r="I5772" s="67" t="s">
        <v>148</v>
      </c>
    </row>
    <row r="5773" spans="1:9" x14ac:dyDescent="0.25">
      <c r="B5773" s="67" t="s">
        <v>1955</v>
      </c>
      <c r="C5773" s="67">
        <v>0</v>
      </c>
      <c r="D5773" s="67">
        <v>0</v>
      </c>
      <c r="E5773" s="67">
        <v>83900.45</v>
      </c>
      <c r="H5773" s="67" t="s">
        <v>146</v>
      </c>
    </row>
    <row r="5775" spans="1:9" x14ac:dyDescent="0.25">
      <c r="A5775" s="67" t="s">
        <v>1954</v>
      </c>
      <c r="B5775" s="67" t="s">
        <v>1953</v>
      </c>
      <c r="C5775" s="67">
        <v>0</v>
      </c>
      <c r="D5775" s="67">
        <v>0</v>
      </c>
      <c r="E5775" s="67">
        <v>83900.41</v>
      </c>
      <c r="F5775" s="67">
        <v>25250</v>
      </c>
      <c r="H5775" s="68">
        <v>40764</v>
      </c>
      <c r="I5775" s="67" t="s">
        <v>148</v>
      </c>
    </row>
    <row r="5776" spans="1:9" x14ac:dyDescent="0.25">
      <c r="B5776" s="67" t="s">
        <v>1953</v>
      </c>
      <c r="C5776" s="67">
        <v>0</v>
      </c>
      <c r="D5776" s="67">
        <v>0</v>
      </c>
      <c r="E5776" s="67">
        <v>83900.45</v>
      </c>
      <c r="H5776" s="67" t="s">
        <v>146</v>
      </c>
    </row>
    <row r="5778" spans="1:9" x14ac:dyDescent="0.25">
      <c r="A5778" s="67" t="s">
        <v>1952</v>
      </c>
      <c r="B5778" s="67" t="s">
        <v>1951</v>
      </c>
      <c r="C5778" s="67">
        <v>0</v>
      </c>
      <c r="D5778" s="67">
        <v>0</v>
      </c>
      <c r="E5778" s="67">
        <v>83900.41</v>
      </c>
      <c r="F5778" s="67">
        <v>25250</v>
      </c>
      <c r="H5778" s="68">
        <v>40764</v>
      </c>
      <c r="I5778" s="67" t="s">
        <v>148</v>
      </c>
    </row>
    <row r="5779" spans="1:9" x14ac:dyDescent="0.25">
      <c r="B5779" s="67" t="s">
        <v>1951</v>
      </c>
      <c r="C5779" s="67">
        <v>0</v>
      </c>
      <c r="D5779" s="67">
        <v>0</v>
      </c>
      <c r="E5779" s="67">
        <v>83900.45</v>
      </c>
      <c r="H5779" s="67" t="s">
        <v>146</v>
      </c>
    </row>
    <row r="5781" spans="1:9" x14ac:dyDescent="0.25">
      <c r="A5781" s="67" t="s">
        <v>1950</v>
      </c>
      <c r="B5781" s="67" t="s">
        <v>1949</v>
      </c>
      <c r="C5781" s="67">
        <v>0</v>
      </c>
      <c r="D5781" s="67">
        <v>0</v>
      </c>
      <c r="E5781" s="67">
        <v>83900.41</v>
      </c>
      <c r="F5781" s="67">
        <v>25250</v>
      </c>
      <c r="H5781" s="68">
        <v>40764</v>
      </c>
      <c r="I5781" s="67" t="s">
        <v>148</v>
      </c>
    </row>
    <row r="5782" spans="1:9" x14ac:dyDescent="0.25">
      <c r="B5782" s="67" t="s">
        <v>1949</v>
      </c>
      <c r="C5782" s="67">
        <v>0</v>
      </c>
      <c r="D5782" s="67">
        <v>0</v>
      </c>
      <c r="E5782" s="67">
        <v>83900.45</v>
      </c>
      <c r="H5782" s="67" t="s">
        <v>146</v>
      </c>
    </row>
    <row r="5784" spans="1:9" x14ac:dyDescent="0.25">
      <c r="A5784" s="67" t="s">
        <v>1948</v>
      </c>
      <c r="B5784" s="67" t="s">
        <v>1947</v>
      </c>
      <c r="C5784" s="67">
        <v>0</v>
      </c>
      <c r="D5784" s="67">
        <v>0</v>
      </c>
      <c r="E5784" s="67">
        <v>83900.41</v>
      </c>
      <c r="F5784" s="67">
        <v>25250</v>
      </c>
      <c r="H5784" s="68">
        <v>40764</v>
      </c>
      <c r="I5784" s="67" t="s">
        <v>148</v>
      </c>
    </row>
    <row r="5785" spans="1:9" x14ac:dyDescent="0.25">
      <c r="B5785" s="67" t="s">
        <v>1947</v>
      </c>
      <c r="C5785" s="67">
        <v>0</v>
      </c>
      <c r="D5785" s="67">
        <v>0</v>
      </c>
      <c r="E5785" s="67">
        <v>83900.45</v>
      </c>
      <c r="H5785" s="67" t="s">
        <v>146</v>
      </c>
    </row>
    <row r="5787" spans="1:9" x14ac:dyDescent="0.25">
      <c r="A5787" s="67" t="s">
        <v>1946</v>
      </c>
      <c r="B5787" s="67" t="s">
        <v>1945</v>
      </c>
      <c r="C5787" s="67">
        <v>0</v>
      </c>
      <c r="D5787" s="67">
        <v>0</v>
      </c>
      <c r="E5787" s="67">
        <v>83900.41</v>
      </c>
      <c r="F5787" s="67">
        <v>25250</v>
      </c>
      <c r="H5787" s="68">
        <v>40764</v>
      </c>
      <c r="I5787" s="67" t="s">
        <v>148</v>
      </c>
    </row>
    <row r="5788" spans="1:9" x14ac:dyDescent="0.25">
      <c r="B5788" s="67" t="s">
        <v>1945</v>
      </c>
      <c r="C5788" s="67">
        <v>0</v>
      </c>
      <c r="D5788" s="67">
        <v>0</v>
      </c>
      <c r="E5788" s="67">
        <v>83900.45</v>
      </c>
      <c r="H5788" s="67" t="s">
        <v>146</v>
      </c>
    </row>
    <row r="5790" spans="1:9" x14ac:dyDescent="0.25">
      <c r="A5790" s="67" t="s">
        <v>1944</v>
      </c>
      <c r="B5790" s="67" t="s">
        <v>1943</v>
      </c>
      <c r="C5790" s="67">
        <v>0</v>
      </c>
      <c r="D5790" s="67">
        <v>0</v>
      </c>
      <c r="E5790" s="67">
        <v>83900.41</v>
      </c>
      <c r="F5790" s="67">
        <v>25250</v>
      </c>
      <c r="H5790" s="68">
        <v>40764</v>
      </c>
      <c r="I5790" s="67" t="s">
        <v>148</v>
      </c>
    </row>
    <row r="5791" spans="1:9" x14ac:dyDescent="0.25">
      <c r="B5791" s="67" t="s">
        <v>1943</v>
      </c>
      <c r="C5791" s="67">
        <v>0</v>
      </c>
      <c r="D5791" s="67">
        <v>0</v>
      </c>
      <c r="E5791" s="67">
        <v>83900.45</v>
      </c>
      <c r="H5791" s="67" t="s">
        <v>146</v>
      </c>
    </row>
    <row r="5793" spans="1:9" x14ac:dyDescent="0.25">
      <c r="A5793" s="67" t="s">
        <v>1942</v>
      </c>
      <c r="B5793" s="67" t="s">
        <v>1941</v>
      </c>
      <c r="C5793" s="67">
        <v>0</v>
      </c>
      <c r="D5793" s="67">
        <v>0</v>
      </c>
      <c r="E5793" s="67">
        <v>83900.41</v>
      </c>
      <c r="F5793" s="67">
        <v>25250</v>
      </c>
      <c r="H5793" s="68">
        <v>40764</v>
      </c>
      <c r="I5793" s="67" t="s">
        <v>148</v>
      </c>
    </row>
    <row r="5794" spans="1:9" x14ac:dyDescent="0.25">
      <c r="B5794" s="67" t="s">
        <v>1941</v>
      </c>
      <c r="C5794" s="67">
        <v>0</v>
      </c>
      <c r="D5794" s="67">
        <v>0</v>
      </c>
      <c r="E5794" s="67">
        <v>83900.45</v>
      </c>
      <c r="H5794" s="67" t="s">
        <v>146</v>
      </c>
    </row>
    <row r="5796" spans="1:9" x14ac:dyDescent="0.25">
      <c r="A5796" s="67" t="s">
        <v>1940</v>
      </c>
      <c r="B5796" s="67" t="s">
        <v>1939</v>
      </c>
      <c r="C5796" s="67">
        <v>0</v>
      </c>
      <c r="D5796" s="67">
        <v>0</v>
      </c>
      <c r="E5796" s="67">
        <v>83900.41</v>
      </c>
      <c r="F5796" s="67">
        <v>25250</v>
      </c>
      <c r="H5796" s="68">
        <v>40764</v>
      </c>
      <c r="I5796" s="67" t="s">
        <v>148</v>
      </c>
    </row>
    <row r="5797" spans="1:9" x14ac:dyDescent="0.25">
      <c r="B5797" s="67" t="s">
        <v>1939</v>
      </c>
      <c r="C5797" s="67">
        <v>0</v>
      </c>
      <c r="D5797" s="67">
        <v>0</v>
      </c>
      <c r="E5797" s="67">
        <v>83900.45</v>
      </c>
      <c r="H5797" s="67" t="s">
        <v>146</v>
      </c>
    </row>
    <row r="5799" spans="1:9" x14ac:dyDescent="0.25">
      <c r="A5799" s="67" t="s">
        <v>1938</v>
      </c>
      <c r="B5799" s="67" t="s">
        <v>1937</v>
      </c>
      <c r="C5799" s="67">
        <v>0</v>
      </c>
      <c r="D5799" s="67">
        <v>0</v>
      </c>
      <c r="E5799" s="67">
        <v>83900.41</v>
      </c>
      <c r="F5799" s="67">
        <v>25250</v>
      </c>
      <c r="H5799" s="68">
        <v>40764</v>
      </c>
      <c r="I5799" s="67" t="s">
        <v>148</v>
      </c>
    </row>
    <row r="5800" spans="1:9" x14ac:dyDescent="0.25">
      <c r="B5800" s="67" t="s">
        <v>1937</v>
      </c>
      <c r="C5800" s="67">
        <v>0</v>
      </c>
      <c r="D5800" s="67">
        <v>0</v>
      </c>
      <c r="E5800" s="67">
        <v>83900.45</v>
      </c>
      <c r="H5800" s="67" t="s">
        <v>146</v>
      </c>
    </row>
    <row r="5801" spans="1:9" x14ac:dyDescent="0.25">
      <c r="A5801" s="67" t="s">
        <v>233</v>
      </c>
    </row>
    <row r="5803" spans="1:9" x14ac:dyDescent="0.25">
      <c r="A5803" s="67" t="s">
        <v>232</v>
      </c>
      <c r="D5803" s="67" t="s">
        <v>231</v>
      </c>
      <c r="H5803" s="67" t="s">
        <v>148</v>
      </c>
      <c r="I5803" s="67" t="s">
        <v>230</v>
      </c>
    </row>
    <row r="5804" spans="1:9" x14ac:dyDescent="0.25">
      <c r="A5804" s="67">
        <v>41.1</v>
      </c>
      <c r="C5804" s="67" t="s">
        <v>215</v>
      </c>
      <c r="D5804" s="67" t="s">
        <v>229</v>
      </c>
      <c r="H5804" s="70">
        <v>44771</v>
      </c>
      <c r="I5804" s="69">
        <v>0.56736111111111109</v>
      </c>
    </row>
    <row r="5805" spans="1:9" x14ac:dyDescent="0.25">
      <c r="A5805" s="67" t="s">
        <v>228</v>
      </c>
      <c r="C5805" s="67" t="s">
        <v>227</v>
      </c>
      <c r="D5805" s="67" t="s">
        <v>226</v>
      </c>
      <c r="E5805" s="67">
        <v>589</v>
      </c>
      <c r="H5805" s="67" t="s">
        <v>225</v>
      </c>
      <c r="I5805" s="67">
        <v>101</v>
      </c>
    </row>
    <row r="5806" spans="1:9" x14ac:dyDescent="0.25">
      <c r="A5806" s="67" t="s">
        <v>884</v>
      </c>
    </row>
    <row r="5807" spans="1:9" x14ac:dyDescent="0.25">
      <c r="A5807" s="67" t="s">
        <v>223</v>
      </c>
      <c r="B5807" s="67" t="s">
        <v>222</v>
      </c>
      <c r="C5807" s="67" t="s">
        <v>221</v>
      </c>
      <c r="D5807" s="67" t="s">
        <v>220</v>
      </c>
      <c r="E5807" s="67" t="s">
        <v>219</v>
      </c>
      <c r="F5807" s="67" t="s">
        <v>217</v>
      </c>
      <c r="G5807" s="67" t="s">
        <v>218</v>
      </c>
      <c r="H5807" s="67" t="s">
        <v>217</v>
      </c>
      <c r="I5807" s="67" t="s">
        <v>216</v>
      </c>
    </row>
    <row r="5808" spans="1:9" x14ac:dyDescent="0.25">
      <c r="A5808" s="67" t="s">
        <v>215</v>
      </c>
      <c r="B5808" s="67" t="s">
        <v>214</v>
      </c>
      <c r="C5808" s="67" t="s">
        <v>213</v>
      </c>
      <c r="D5808" s="67" t="s">
        <v>212</v>
      </c>
      <c r="E5808" s="67" t="s">
        <v>211</v>
      </c>
      <c r="F5808" s="67" t="s">
        <v>210</v>
      </c>
      <c r="G5808" s="67" t="s">
        <v>209</v>
      </c>
      <c r="H5808" s="67" t="s">
        <v>208</v>
      </c>
      <c r="I5808" s="67" t="s">
        <v>207</v>
      </c>
    </row>
    <row r="5809" spans="1:9" x14ac:dyDescent="0.25">
      <c r="A5809" s="67" t="s">
        <v>206</v>
      </c>
      <c r="B5809" s="67" t="s">
        <v>205</v>
      </c>
      <c r="C5809" s="67" t="s">
        <v>204</v>
      </c>
      <c r="D5809" s="67" t="s">
        <v>203</v>
      </c>
      <c r="E5809" s="67" t="s">
        <v>202</v>
      </c>
      <c r="F5809" s="67" t="s">
        <v>201</v>
      </c>
      <c r="G5809" s="67" t="s">
        <v>200</v>
      </c>
      <c r="H5809" s="67" t="s">
        <v>199</v>
      </c>
    </row>
    <row r="5810" spans="1:9" x14ac:dyDescent="0.25">
      <c r="A5810" s="67" t="s">
        <v>1936</v>
      </c>
      <c r="B5810" s="67" t="s">
        <v>1935</v>
      </c>
      <c r="C5810" s="67">
        <v>0</v>
      </c>
      <c r="D5810" s="67">
        <v>0</v>
      </c>
      <c r="E5810" s="67">
        <v>83900.41</v>
      </c>
      <c r="F5810" s="67">
        <v>25250</v>
      </c>
      <c r="H5810" s="68">
        <v>40764</v>
      </c>
      <c r="I5810" s="67" t="s">
        <v>148</v>
      </c>
    </row>
    <row r="5811" spans="1:9" x14ac:dyDescent="0.25">
      <c r="B5811" s="67" t="s">
        <v>1935</v>
      </c>
      <c r="C5811" s="67">
        <v>0</v>
      </c>
      <c r="D5811" s="67">
        <v>0</v>
      </c>
      <c r="E5811" s="67">
        <v>83900.45</v>
      </c>
      <c r="H5811" s="67" t="s">
        <v>146</v>
      </c>
    </row>
    <row r="5813" spans="1:9" x14ac:dyDescent="0.25">
      <c r="A5813" s="67" t="s">
        <v>1934</v>
      </c>
      <c r="B5813" s="67" t="s">
        <v>1933</v>
      </c>
      <c r="C5813" s="67">
        <v>0</v>
      </c>
      <c r="D5813" s="67">
        <v>0</v>
      </c>
      <c r="E5813" s="67">
        <v>83900.41</v>
      </c>
      <c r="F5813" s="67">
        <v>25250</v>
      </c>
      <c r="H5813" s="68">
        <v>40764</v>
      </c>
      <c r="I5813" s="67" t="s">
        <v>148</v>
      </c>
    </row>
    <row r="5814" spans="1:9" x14ac:dyDescent="0.25">
      <c r="B5814" s="67" t="s">
        <v>1933</v>
      </c>
      <c r="C5814" s="67">
        <v>0</v>
      </c>
      <c r="D5814" s="67">
        <v>0</v>
      </c>
      <c r="E5814" s="67">
        <v>83900.45</v>
      </c>
      <c r="H5814" s="67" t="s">
        <v>146</v>
      </c>
    </row>
    <row r="5816" spans="1:9" x14ac:dyDescent="0.25">
      <c r="A5816" s="67" t="s">
        <v>1932</v>
      </c>
      <c r="B5816" s="67" t="s">
        <v>1931</v>
      </c>
      <c r="C5816" s="67">
        <v>0</v>
      </c>
      <c r="D5816" s="67">
        <v>0</v>
      </c>
      <c r="E5816" s="67">
        <v>83900.41</v>
      </c>
      <c r="F5816" s="67">
        <v>25250</v>
      </c>
      <c r="H5816" s="68">
        <v>40764</v>
      </c>
      <c r="I5816" s="67" t="s">
        <v>148</v>
      </c>
    </row>
    <row r="5817" spans="1:9" x14ac:dyDescent="0.25">
      <c r="B5817" s="67" t="s">
        <v>1931</v>
      </c>
      <c r="C5817" s="67">
        <v>0</v>
      </c>
      <c r="D5817" s="67">
        <v>0</v>
      </c>
      <c r="E5817" s="67">
        <v>83900.45</v>
      </c>
      <c r="H5817" s="67" t="s">
        <v>146</v>
      </c>
    </row>
    <row r="5819" spans="1:9" x14ac:dyDescent="0.25">
      <c r="A5819" s="67" t="s">
        <v>1930</v>
      </c>
      <c r="B5819" s="67" t="s">
        <v>1929</v>
      </c>
      <c r="C5819" s="67">
        <v>0</v>
      </c>
      <c r="D5819" s="67">
        <v>0</v>
      </c>
      <c r="E5819" s="67">
        <v>83900.41</v>
      </c>
      <c r="F5819" s="67">
        <v>25250</v>
      </c>
      <c r="H5819" s="68">
        <v>40764</v>
      </c>
      <c r="I5819" s="67" t="s">
        <v>148</v>
      </c>
    </row>
    <row r="5820" spans="1:9" x14ac:dyDescent="0.25">
      <c r="B5820" s="67" t="s">
        <v>1929</v>
      </c>
      <c r="C5820" s="67">
        <v>0</v>
      </c>
      <c r="D5820" s="67">
        <v>0</v>
      </c>
      <c r="E5820" s="67">
        <v>83900.45</v>
      </c>
      <c r="H5820" s="67" t="s">
        <v>146</v>
      </c>
    </row>
    <row r="5822" spans="1:9" x14ac:dyDescent="0.25">
      <c r="A5822" s="67" t="s">
        <v>1928</v>
      </c>
      <c r="B5822" s="67" t="s">
        <v>1927</v>
      </c>
      <c r="C5822" s="67">
        <v>0</v>
      </c>
      <c r="D5822" s="67">
        <v>0</v>
      </c>
      <c r="E5822" s="67">
        <v>83900.41</v>
      </c>
      <c r="F5822" s="67">
        <v>25250</v>
      </c>
      <c r="H5822" s="68">
        <v>40764</v>
      </c>
      <c r="I5822" s="67" t="s">
        <v>148</v>
      </c>
    </row>
    <row r="5823" spans="1:9" x14ac:dyDescent="0.25">
      <c r="B5823" s="67" t="s">
        <v>1927</v>
      </c>
      <c r="C5823" s="67">
        <v>0</v>
      </c>
      <c r="D5823" s="67">
        <v>0</v>
      </c>
      <c r="E5823" s="67">
        <v>83900.45</v>
      </c>
      <c r="H5823" s="67" t="s">
        <v>146</v>
      </c>
    </row>
    <row r="5825" spans="1:9" x14ac:dyDescent="0.25">
      <c r="A5825" s="67" t="s">
        <v>1926</v>
      </c>
      <c r="B5825" s="67" t="s">
        <v>1925</v>
      </c>
      <c r="C5825" s="67">
        <v>0</v>
      </c>
      <c r="D5825" s="67">
        <v>0</v>
      </c>
      <c r="E5825" s="67">
        <v>83900.41</v>
      </c>
      <c r="F5825" s="67">
        <v>25250</v>
      </c>
      <c r="H5825" s="68">
        <v>40764</v>
      </c>
      <c r="I5825" s="67" t="s">
        <v>148</v>
      </c>
    </row>
    <row r="5826" spans="1:9" x14ac:dyDescent="0.25">
      <c r="B5826" s="67" t="s">
        <v>1925</v>
      </c>
      <c r="C5826" s="67">
        <v>0</v>
      </c>
      <c r="D5826" s="67">
        <v>0</v>
      </c>
      <c r="E5826" s="67">
        <v>83900.45</v>
      </c>
      <c r="H5826" s="67" t="s">
        <v>146</v>
      </c>
    </row>
    <row r="5828" spans="1:9" x14ac:dyDescent="0.25">
      <c r="A5828" s="67" t="s">
        <v>1924</v>
      </c>
      <c r="B5828" s="67" t="s">
        <v>1923</v>
      </c>
      <c r="C5828" s="67">
        <v>0</v>
      </c>
      <c r="D5828" s="67">
        <v>0</v>
      </c>
      <c r="E5828" s="67">
        <v>83900.41</v>
      </c>
      <c r="F5828" s="67">
        <v>25250</v>
      </c>
      <c r="H5828" s="68">
        <v>40764</v>
      </c>
      <c r="I5828" s="67" t="s">
        <v>148</v>
      </c>
    </row>
    <row r="5829" spans="1:9" x14ac:dyDescent="0.25">
      <c r="B5829" s="67" t="s">
        <v>1923</v>
      </c>
      <c r="C5829" s="67">
        <v>0</v>
      </c>
      <c r="D5829" s="67">
        <v>0</v>
      </c>
      <c r="E5829" s="67">
        <v>83900.45</v>
      </c>
      <c r="H5829" s="67" t="s">
        <v>146</v>
      </c>
    </row>
    <row r="5831" spans="1:9" x14ac:dyDescent="0.25">
      <c r="A5831" s="67" t="s">
        <v>1922</v>
      </c>
      <c r="B5831" s="67" t="s">
        <v>1921</v>
      </c>
      <c r="C5831" s="67">
        <v>0</v>
      </c>
      <c r="D5831" s="67">
        <v>0</v>
      </c>
      <c r="E5831" s="67">
        <v>83900.41</v>
      </c>
      <c r="F5831" s="67">
        <v>25250</v>
      </c>
      <c r="H5831" s="68">
        <v>40764</v>
      </c>
      <c r="I5831" s="67" t="s">
        <v>148</v>
      </c>
    </row>
    <row r="5832" spans="1:9" x14ac:dyDescent="0.25">
      <c r="B5832" s="67" t="s">
        <v>1921</v>
      </c>
      <c r="C5832" s="67">
        <v>0</v>
      </c>
      <c r="D5832" s="67">
        <v>0</v>
      </c>
      <c r="E5832" s="67">
        <v>83900.45</v>
      </c>
      <c r="H5832" s="67" t="s">
        <v>146</v>
      </c>
    </row>
    <row r="5834" spans="1:9" x14ac:dyDescent="0.25">
      <c r="A5834" s="67" t="s">
        <v>1920</v>
      </c>
      <c r="B5834" s="67" t="s">
        <v>1919</v>
      </c>
      <c r="C5834" s="67">
        <v>0</v>
      </c>
      <c r="D5834" s="67">
        <v>0</v>
      </c>
      <c r="E5834" s="67">
        <v>83900.41</v>
      </c>
      <c r="F5834" s="67">
        <v>25250</v>
      </c>
      <c r="H5834" s="68">
        <v>40764</v>
      </c>
      <c r="I5834" s="67" t="s">
        <v>148</v>
      </c>
    </row>
    <row r="5835" spans="1:9" x14ac:dyDescent="0.25">
      <c r="B5835" s="67" t="s">
        <v>1919</v>
      </c>
      <c r="C5835" s="67">
        <v>0</v>
      </c>
      <c r="D5835" s="67">
        <v>0</v>
      </c>
      <c r="E5835" s="67">
        <v>83900.45</v>
      </c>
      <c r="H5835" s="67" t="s">
        <v>146</v>
      </c>
    </row>
    <row r="5837" spans="1:9" x14ac:dyDescent="0.25">
      <c r="A5837" s="67" t="s">
        <v>1918</v>
      </c>
      <c r="B5837" s="67" t="s">
        <v>1917</v>
      </c>
      <c r="C5837" s="67">
        <v>0</v>
      </c>
      <c r="D5837" s="67">
        <v>0</v>
      </c>
      <c r="E5837" s="67">
        <v>83900.41</v>
      </c>
      <c r="F5837" s="67">
        <v>25250</v>
      </c>
      <c r="H5837" s="68">
        <v>40764</v>
      </c>
      <c r="I5837" s="67" t="s">
        <v>148</v>
      </c>
    </row>
    <row r="5838" spans="1:9" x14ac:dyDescent="0.25">
      <c r="B5838" s="67" t="s">
        <v>1917</v>
      </c>
      <c r="C5838" s="67">
        <v>0</v>
      </c>
      <c r="D5838" s="67">
        <v>0</v>
      </c>
      <c r="E5838" s="67">
        <v>83900.45</v>
      </c>
      <c r="H5838" s="67" t="s">
        <v>146</v>
      </c>
    </row>
    <row r="5840" spans="1:9" x14ac:dyDescent="0.25">
      <c r="A5840" s="67" t="s">
        <v>1916</v>
      </c>
      <c r="B5840" s="67" t="s">
        <v>1915</v>
      </c>
      <c r="C5840" s="67">
        <v>0</v>
      </c>
      <c r="D5840" s="67">
        <v>0</v>
      </c>
      <c r="E5840" s="67">
        <v>83900.41</v>
      </c>
      <c r="F5840" s="67">
        <v>25250</v>
      </c>
      <c r="H5840" s="68">
        <v>40764</v>
      </c>
      <c r="I5840" s="67" t="s">
        <v>148</v>
      </c>
    </row>
    <row r="5841" spans="1:9" x14ac:dyDescent="0.25">
      <c r="B5841" s="67" t="s">
        <v>1915</v>
      </c>
      <c r="C5841" s="67">
        <v>0</v>
      </c>
      <c r="D5841" s="67">
        <v>0</v>
      </c>
      <c r="E5841" s="67">
        <v>83900.45</v>
      </c>
      <c r="H5841" s="67" t="s">
        <v>146</v>
      </c>
    </row>
    <row r="5843" spans="1:9" x14ac:dyDescent="0.25">
      <c r="A5843" s="67" t="s">
        <v>1914</v>
      </c>
      <c r="B5843" s="67" t="s">
        <v>1913</v>
      </c>
      <c r="C5843" s="67">
        <v>0</v>
      </c>
      <c r="D5843" s="67">
        <v>0</v>
      </c>
      <c r="E5843" s="67">
        <v>83900.41</v>
      </c>
      <c r="F5843" s="67">
        <v>25250</v>
      </c>
      <c r="H5843" s="68">
        <v>40764</v>
      </c>
      <c r="I5843" s="67" t="s">
        <v>148</v>
      </c>
    </row>
    <row r="5844" spans="1:9" x14ac:dyDescent="0.25">
      <c r="B5844" s="67" t="s">
        <v>1913</v>
      </c>
      <c r="C5844" s="67">
        <v>0</v>
      </c>
      <c r="D5844" s="67">
        <v>0</v>
      </c>
      <c r="E5844" s="67">
        <v>83900.45</v>
      </c>
      <c r="H5844" s="67" t="s">
        <v>146</v>
      </c>
    </row>
    <row r="5846" spans="1:9" x14ac:dyDescent="0.25">
      <c r="A5846" s="67" t="s">
        <v>1912</v>
      </c>
      <c r="B5846" s="67" t="s">
        <v>1911</v>
      </c>
      <c r="C5846" s="67">
        <v>0</v>
      </c>
      <c r="D5846" s="67">
        <v>0</v>
      </c>
      <c r="E5846" s="67">
        <v>83900.41</v>
      </c>
      <c r="F5846" s="67">
        <v>25250</v>
      </c>
      <c r="H5846" s="68">
        <v>40764</v>
      </c>
      <c r="I5846" s="67" t="s">
        <v>148</v>
      </c>
    </row>
    <row r="5847" spans="1:9" x14ac:dyDescent="0.25">
      <c r="B5847" s="67" t="s">
        <v>1911</v>
      </c>
      <c r="C5847" s="67">
        <v>0</v>
      </c>
      <c r="D5847" s="67">
        <v>0</v>
      </c>
      <c r="E5847" s="67">
        <v>83900.45</v>
      </c>
      <c r="H5847" s="67" t="s">
        <v>146</v>
      </c>
    </row>
    <row r="5849" spans="1:9" x14ac:dyDescent="0.25">
      <c r="A5849" s="67" t="s">
        <v>1910</v>
      </c>
      <c r="B5849" s="67" t="s">
        <v>1909</v>
      </c>
      <c r="C5849" s="67">
        <v>0</v>
      </c>
      <c r="D5849" s="67">
        <v>0</v>
      </c>
      <c r="E5849" s="67">
        <v>83900.41</v>
      </c>
      <c r="F5849" s="67">
        <v>25250</v>
      </c>
      <c r="H5849" s="68">
        <v>40764</v>
      </c>
      <c r="I5849" s="67" t="s">
        <v>148</v>
      </c>
    </row>
    <row r="5850" spans="1:9" x14ac:dyDescent="0.25">
      <c r="B5850" s="67" t="s">
        <v>1909</v>
      </c>
      <c r="C5850" s="67">
        <v>0</v>
      </c>
      <c r="D5850" s="67">
        <v>0</v>
      </c>
      <c r="E5850" s="67">
        <v>83900.45</v>
      </c>
      <c r="H5850" s="67" t="s">
        <v>146</v>
      </c>
    </row>
    <row r="5852" spans="1:9" x14ac:dyDescent="0.25">
      <c r="A5852" s="67" t="s">
        <v>1908</v>
      </c>
      <c r="B5852" s="67" t="s">
        <v>1907</v>
      </c>
      <c r="C5852" s="67">
        <v>0</v>
      </c>
      <c r="D5852" s="67">
        <v>0</v>
      </c>
      <c r="E5852" s="67">
        <v>83900.41</v>
      </c>
      <c r="F5852" s="67">
        <v>25250</v>
      </c>
      <c r="H5852" s="68">
        <v>40764</v>
      </c>
      <c r="I5852" s="67" t="s">
        <v>148</v>
      </c>
    </row>
    <row r="5853" spans="1:9" x14ac:dyDescent="0.25">
      <c r="B5853" s="67" t="s">
        <v>1907</v>
      </c>
      <c r="C5853" s="67">
        <v>0</v>
      </c>
      <c r="D5853" s="67">
        <v>0</v>
      </c>
      <c r="E5853" s="67">
        <v>83900.45</v>
      </c>
      <c r="H5853" s="67" t="s">
        <v>146</v>
      </c>
    </row>
    <row r="5855" spans="1:9" x14ac:dyDescent="0.25">
      <c r="A5855" s="67" t="s">
        <v>1906</v>
      </c>
      <c r="B5855" s="67" t="s">
        <v>1905</v>
      </c>
      <c r="C5855" s="67">
        <v>0</v>
      </c>
      <c r="D5855" s="67">
        <v>0</v>
      </c>
      <c r="E5855" s="67">
        <v>83900.41</v>
      </c>
      <c r="F5855" s="67">
        <v>25250</v>
      </c>
      <c r="H5855" s="68">
        <v>40764</v>
      </c>
      <c r="I5855" s="67" t="s">
        <v>148</v>
      </c>
    </row>
    <row r="5856" spans="1:9" x14ac:dyDescent="0.25">
      <c r="B5856" s="67" t="s">
        <v>1905</v>
      </c>
      <c r="C5856" s="67">
        <v>0</v>
      </c>
      <c r="D5856" s="67">
        <v>0</v>
      </c>
      <c r="E5856" s="67">
        <v>83900.45</v>
      </c>
      <c r="H5856" s="67" t="s">
        <v>146</v>
      </c>
    </row>
    <row r="5858" spans="1:9" x14ac:dyDescent="0.25">
      <c r="A5858" s="67" t="s">
        <v>1904</v>
      </c>
      <c r="B5858" s="67" t="s">
        <v>1903</v>
      </c>
      <c r="C5858" s="67">
        <v>0</v>
      </c>
      <c r="D5858" s="67">
        <v>0</v>
      </c>
      <c r="E5858" s="67">
        <v>83900.41</v>
      </c>
      <c r="F5858" s="67">
        <v>25250</v>
      </c>
      <c r="H5858" s="68">
        <v>40764</v>
      </c>
      <c r="I5858" s="67" t="s">
        <v>148</v>
      </c>
    </row>
    <row r="5859" spans="1:9" x14ac:dyDescent="0.25">
      <c r="B5859" s="67" t="s">
        <v>1903</v>
      </c>
      <c r="C5859" s="67">
        <v>0</v>
      </c>
      <c r="D5859" s="67">
        <v>0</v>
      </c>
      <c r="E5859" s="67">
        <v>83900.45</v>
      </c>
      <c r="H5859" s="67" t="s">
        <v>146</v>
      </c>
    </row>
    <row r="5860" spans="1:9" x14ac:dyDescent="0.25">
      <c r="A5860" s="67" t="s">
        <v>233</v>
      </c>
    </row>
    <row r="5862" spans="1:9" x14ac:dyDescent="0.25">
      <c r="A5862" s="67" t="s">
        <v>232</v>
      </c>
      <c r="D5862" s="67" t="s">
        <v>231</v>
      </c>
      <c r="H5862" s="67" t="s">
        <v>148</v>
      </c>
      <c r="I5862" s="67" t="s">
        <v>230</v>
      </c>
    </row>
    <row r="5863" spans="1:9" x14ac:dyDescent="0.25">
      <c r="A5863" s="67">
        <v>41.1</v>
      </c>
      <c r="C5863" s="67" t="s">
        <v>215</v>
      </c>
      <c r="D5863" s="67" t="s">
        <v>229</v>
      </c>
      <c r="H5863" s="70">
        <v>44771</v>
      </c>
      <c r="I5863" s="69">
        <v>0.56736111111111109</v>
      </c>
    </row>
    <row r="5864" spans="1:9" x14ac:dyDescent="0.25">
      <c r="A5864" s="67" t="s">
        <v>228</v>
      </c>
      <c r="C5864" s="67" t="s">
        <v>227</v>
      </c>
      <c r="D5864" s="67" t="s">
        <v>226</v>
      </c>
      <c r="E5864" s="67">
        <v>589</v>
      </c>
      <c r="H5864" s="67" t="s">
        <v>225</v>
      </c>
      <c r="I5864" s="67">
        <v>102</v>
      </c>
    </row>
    <row r="5865" spans="1:9" x14ac:dyDescent="0.25">
      <c r="A5865" s="67" t="s">
        <v>884</v>
      </c>
    </row>
    <row r="5866" spans="1:9" x14ac:dyDescent="0.25">
      <c r="A5866" s="67" t="s">
        <v>223</v>
      </c>
      <c r="B5866" s="67" t="s">
        <v>222</v>
      </c>
      <c r="C5866" s="67" t="s">
        <v>221</v>
      </c>
      <c r="D5866" s="67" t="s">
        <v>220</v>
      </c>
      <c r="E5866" s="67" t="s">
        <v>219</v>
      </c>
      <c r="F5866" s="67" t="s">
        <v>217</v>
      </c>
      <c r="G5866" s="67" t="s">
        <v>218</v>
      </c>
      <c r="H5866" s="67" t="s">
        <v>217</v>
      </c>
      <c r="I5866" s="67" t="s">
        <v>216</v>
      </c>
    </row>
    <row r="5867" spans="1:9" x14ac:dyDescent="0.25">
      <c r="A5867" s="67" t="s">
        <v>215</v>
      </c>
      <c r="B5867" s="67" t="s">
        <v>214</v>
      </c>
      <c r="C5867" s="67" t="s">
        <v>213</v>
      </c>
      <c r="D5867" s="67" t="s">
        <v>212</v>
      </c>
      <c r="E5867" s="67" t="s">
        <v>211</v>
      </c>
      <c r="F5867" s="67" t="s">
        <v>210</v>
      </c>
      <c r="G5867" s="67" t="s">
        <v>209</v>
      </c>
      <c r="H5867" s="67" t="s">
        <v>208</v>
      </c>
      <c r="I5867" s="67" t="s">
        <v>207</v>
      </c>
    </row>
    <row r="5868" spans="1:9" x14ac:dyDescent="0.25">
      <c r="A5868" s="67" t="s">
        <v>206</v>
      </c>
      <c r="B5868" s="67" t="s">
        <v>205</v>
      </c>
      <c r="C5868" s="67" t="s">
        <v>204</v>
      </c>
      <c r="D5868" s="67" t="s">
        <v>203</v>
      </c>
      <c r="E5868" s="67" t="s">
        <v>202</v>
      </c>
      <c r="F5868" s="67" t="s">
        <v>201</v>
      </c>
      <c r="G5868" s="67" t="s">
        <v>200</v>
      </c>
      <c r="H5868" s="67" t="s">
        <v>199</v>
      </c>
    </row>
    <row r="5869" spans="1:9" x14ac:dyDescent="0.25">
      <c r="A5869" s="67" t="s">
        <v>1902</v>
      </c>
      <c r="B5869" s="67" t="s">
        <v>1901</v>
      </c>
      <c r="C5869" s="67">
        <v>0</v>
      </c>
      <c r="D5869" s="67">
        <v>0</v>
      </c>
      <c r="E5869" s="67">
        <v>83900.41</v>
      </c>
      <c r="F5869" s="67">
        <v>25250</v>
      </c>
      <c r="H5869" s="68">
        <v>40764</v>
      </c>
      <c r="I5869" s="67" t="s">
        <v>148</v>
      </c>
    </row>
    <row r="5870" spans="1:9" x14ac:dyDescent="0.25">
      <c r="B5870" s="67" t="s">
        <v>1901</v>
      </c>
      <c r="C5870" s="67">
        <v>0</v>
      </c>
      <c r="D5870" s="67">
        <v>0</v>
      </c>
      <c r="E5870" s="67">
        <v>83900.45</v>
      </c>
      <c r="H5870" s="67" t="s">
        <v>146</v>
      </c>
    </row>
    <row r="5872" spans="1:9" x14ac:dyDescent="0.25">
      <c r="A5872" s="67" t="s">
        <v>1900</v>
      </c>
      <c r="B5872" s="67" t="s">
        <v>1899</v>
      </c>
      <c r="C5872" s="67">
        <v>0</v>
      </c>
      <c r="D5872" s="67">
        <v>0</v>
      </c>
      <c r="E5872" s="67">
        <v>83900.41</v>
      </c>
      <c r="F5872" s="67">
        <v>25250</v>
      </c>
      <c r="H5872" s="68">
        <v>40764</v>
      </c>
      <c r="I5872" s="67" t="s">
        <v>148</v>
      </c>
    </row>
    <row r="5873" spans="1:9" x14ac:dyDescent="0.25">
      <c r="B5873" s="67" t="s">
        <v>1899</v>
      </c>
      <c r="C5873" s="67">
        <v>0</v>
      </c>
      <c r="D5873" s="67">
        <v>0</v>
      </c>
      <c r="E5873" s="67">
        <v>83900.45</v>
      </c>
      <c r="H5873" s="67" t="s">
        <v>146</v>
      </c>
    </row>
    <row r="5875" spans="1:9" x14ac:dyDescent="0.25">
      <c r="A5875" s="67" t="s">
        <v>1898</v>
      </c>
      <c r="B5875" s="67" t="s">
        <v>1897</v>
      </c>
      <c r="C5875" s="67">
        <v>0</v>
      </c>
      <c r="D5875" s="67">
        <v>0</v>
      </c>
      <c r="E5875" s="67">
        <v>83900.41</v>
      </c>
      <c r="F5875" s="67">
        <v>25250</v>
      </c>
      <c r="H5875" s="68">
        <v>40764</v>
      </c>
      <c r="I5875" s="67" t="s">
        <v>148</v>
      </c>
    </row>
    <row r="5876" spans="1:9" x14ac:dyDescent="0.25">
      <c r="B5876" s="67" t="s">
        <v>1897</v>
      </c>
      <c r="C5876" s="67">
        <v>0</v>
      </c>
      <c r="D5876" s="67">
        <v>0</v>
      </c>
      <c r="E5876" s="67">
        <v>83900.45</v>
      </c>
      <c r="H5876" s="67" t="s">
        <v>146</v>
      </c>
    </row>
    <row r="5878" spans="1:9" x14ac:dyDescent="0.25">
      <c r="A5878" s="67" t="s">
        <v>1896</v>
      </c>
      <c r="B5878" s="67" t="s">
        <v>1895</v>
      </c>
      <c r="C5878" s="67">
        <v>0</v>
      </c>
      <c r="D5878" s="67">
        <v>0</v>
      </c>
      <c r="E5878" s="67">
        <v>83900.41</v>
      </c>
      <c r="F5878" s="67">
        <v>25250</v>
      </c>
      <c r="H5878" s="68">
        <v>40764</v>
      </c>
      <c r="I5878" s="67" t="s">
        <v>148</v>
      </c>
    </row>
    <row r="5879" spans="1:9" x14ac:dyDescent="0.25">
      <c r="B5879" s="67" t="s">
        <v>1895</v>
      </c>
      <c r="C5879" s="67">
        <v>0</v>
      </c>
      <c r="D5879" s="67">
        <v>0</v>
      </c>
      <c r="E5879" s="67">
        <v>83900.45</v>
      </c>
      <c r="H5879" s="67" t="s">
        <v>146</v>
      </c>
    </row>
    <row r="5881" spans="1:9" x14ac:dyDescent="0.25">
      <c r="A5881" s="67" t="s">
        <v>1894</v>
      </c>
      <c r="B5881" s="67" t="s">
        <v>1893</v>
      </c>
      <c r="C5881" s="67">
        <v>0</v>
      </c>
      <c r="D5881" s="67">
        <v>0</v>
      </c>
      <c r="E5881" s="67">
        <v>83900.41</v>
      </c>
      <c r="F5881" s="67">
        <v>25250</v>
      </c>
      <c r="H5881" s="68">
        <v>40764</v>
      </c>
      <c r="I5881" s="67" t="s">
        <v>148</v>
      </c>
    </row>
    <row r="5882" spans="1:9" x14ac:dyDescent="0.25">
      <c r="B5882" s="67" t="s">
        <v>1893</v>
      </c>
      <c r="C5882" s="67">
        <v>0</v>
      </c>
      <c r="D5882" s="67">
        <v>0</v>
      </c>
      <c r="E5882" s="67">
        <v>83900.45</v>
      </c>
      <c r="H5882" s="67" t="s">
        <v>146</v>
      </c>
    </row>
    <row r="5884" spans="1:9" x14ac:dyDescent="0.25">
      <c r="A5884" s="67" t="s">
        <v>1892</v>
      </c>
      <c r="B5884" s="67" t="s">
        <v>1891</v>
      </c>
      <c r="C5884" s="67">
        <v>0</v>
      </c>
      <c r="D5884" s="67">
        <v>0</v>
      </c>
      <c r="E5884" s="67">
        <v>83900.41</v>
      </c>
      <c r="F5884" s="67">
        <v>25250</v>
      </c>
      <c r="H5884" s="68">
        <v>40764</v>
      </c>
      <c r="I5884" s="67" t="s">
        <v>148</v>
      </c>
    </row>
    <row r="5885" spans="1:9" x14ac:dyDescent="0.25">
      <c r="B5885" s="67" t="s">
        <v>1891</v>
      </c>
      <c r="C5885" s="67">
        <v>0</v>
      </c>
      <c r="D5885" s="67">
        <v>0</v>
      </c>
      <c r="E5885" s="67">
        <v>83900.45</v>
      </c>
      <c r="H5885" s="67" t="s">
        <v>146</v>
      </c>
    </row>
    <row r="5887" spans="1:9" x14ac:dyDescent="0.25">
      <c r="A5887" s="67" t="s">
        <v>1890</v>
      </c>
      <c r="B5887" s="67" t="s">
        <v>1889</v>
      </c>
      <c r="C5887" s="67">
        <v>0</v>
      </c>
      <c r="D5887" s="67">
        <v>0</v>
      </c>
      <c r="E5887" s="67">
        <v>83900.41</v>
      </c>
      <c r="F5887" s="67">
        <v>25250</v>
      </c>
      <c r="H5887" s="68">
        <v>40764</v>
      </c>
      <c r="I5887" s="67" t="s">
        <v>148</v>
      </c>
    </row>
    <row r="5888" spans="1:9" x14ac:dyDescent="0.25">
      <c r="B5888" s="67" t="s">
        <v>1889</v>
      </c>
      <c r="C5888" s="67">
        <v>0</v>
      </c>
      <c r="D5888" s="67">
        <v>0</v>
      </c>
      <c r="E5888" s="67">
        <v>83900.45</v>
      </c>
      <c r="H5888" s="67" t="s">
        <v>146</v>
      </c>
    </row>
    <row r="5890" spans="1:9" x14ac:dyDescent="0.25">
      <c r="A5890" s="67" t="s">
        <v>1888</v>
      </c>
      <c r="B5890" s="67" t="s">
        <v>1887</v>
      </c>
      <c r="C5890" s="67">
        <v>0</v>
      </c>
      <c r="D5890" s="67">
        <v>0</v>
      </c>
      <c r="E5890" s="67">
        <v>83900.41</v>
      </c>
      <c r="F5890" s="67">
        <v>25250</v>
      </c>
      <c r="H5890" s="68">
        <v>40764</v>
      </c>
      <c r="I5890" s="67" t="s">
        <v>148</v>
      </c>
    </row>
    <row r="5891" spans="1:9" x14ac:dyDescent="0.25">
      <c r="B5891" s="67" t="s">
        <v>1887</v>
      </c>
      <c r="C5891" s="67">
        <v>0</v>
      </c>
      <c r="D5891" s="67">
        <v>0</v>
      </c>
      <c r="E5891" s="67">
        <v>83900.45</v>
      </c>
      <c r="H5891" s="67" t="s">
        <v>146</v>
      </c>
    </row>
    <row r="5893" spans="1:9" x14ac:dyDescent="0.25">
      <c r="A5893" s="67" t="s">
        <v>1886</v>
      </c>
      <c r="B5893" s="67" t="s">
        <v>1885</v>
      </c>
      <c r="C5893" s="67">
        <v>0</v>
      </c>
      <c r="D5893" s="67">
        <v>0</v>
      </c>
      <c r="E5893" s="67">
        <v>83900.41</v>
      </c>
      <c r="F5893" s="67">
        <v>25250</v>
      </c>
      <c r="H5893" s="68">
        <v>40764</v>
      </c>
      <c r="I5893" s="67" t="s">
        <v>148</v>
      </c>
    </row>
    <row r="5894" spans="1:9" x14ac:dyDescent="0.25">
      <c r="B5894" s="67" t="s">
        <v>1885</v>
      </c>
      <c r="C5894" s="67">
        <v>0</v>
      </c>
      <c r="D5894" s="67">
        <v>0</v>
      </c>
      <c r="E5894" s="67">
        <v>83900.45</v>
      </c>
      <c r="H5894" s="67" t="s">
        <v>146</v>
      </c>
    </row>
    <row r="5896" spans="1:9" x14ac:dyDescent="0.25">
      <c r="A5896" s="67" t="s">
        <v>1884</v>
      </c>
      <c r="B5896" s="67" t="s">
        <v>1883</v>
      </c>
      <c r="C5896" s="67">
        <v>0</v>
      </c>
      <c r="D5896" s="67">
        <v>0</v>
      </c>
      <c r="E5896" s="67">
        <v>83900.41</v>
      </c>
      <c r="F5896" s="67">
        <v>25250</v>
      </c>
      <c r="H5896" s="68">
        <v>40764</v>
      </c>
      <c r="I5896" s="67" t="s">
        <v>148</v>
      </c>
    </row>
    <row r="5897" spans="1:9" x14ac:dyDescent="0.25">
      <c r="B5897" s="67" t="s">
        <v>1883</v>
      </c>
      <c r="C5897" s="67">
        <v>0</v>
      </c>
      <c r="D5897" s="67">
        <v>0</v>
      </c>
      <c r="E5897" s="67">
        <v>83900.45</v>
      </c>
      <c r="H5897" s="67" t="s">
        <v>146</v>
      </c>
    </row>
    <row r="5899" spans="1:9" x14ac:dyDescent="0.25">
      <c r="A5899" s="67" t="s">
        <v>1882</v>
      </c>
      <c r="B5899" s="67" t="s">
        <v>1881</v>
      </c>
      <c r="C5899" s="67">
        <v>0</v>
      </c>
      <c r="D5899" s="67">
        <v>0</v>
      </c>
      <c r="E5899" s="67">
        <v>83900.41</v>
      </c>
      <c r="F5899" s="67">
        <v>25250</v>
      </c>
      <c r="H5899" s="68">
        <v>40764</v>
      </c>
      <c r="I5899" s="67" t="s">
        <v>148</v>
      </c>
    </row>
    <row r="5900" spans="1:9" x14ac:dyDescent="0.25">
      <c r="B5900" s="67" t="s">
        <v>1881</v>
      </c>
      <c r="C5900" s="67">
        <v>0</v>
      </c>
      <c r="D5900" s="67">
        <v>0</v>
      </c>
      <c r="E5900" s="67">
        <v>83900.45</v>
      </c>
      <c r="H5900" s="67" t="s">
        <v>146</v>
      </c>
    </row>
    <row r="5902" spans="1:9" x14ac:dyDescent="0.25">
      <c r="A5902" s="67" t="s">
        <v>1880</v>
      </c>
      <c r="B5902" s="67" t="s">
        <v>1879</v>
      </c>
      <c r="C5902" s="67">
        <v>0</v>
      </c>
      <c r="D5902" s="67">
        <v>0</v>
      </c>
      <c r="E5902" s="67">
        <v>83900.41</v>
      </c>
      <c r="F5902" s="67">
        <v>25250</v>
      </c>
      <c r="H5902" s="68">
        <v>40764</v>
      </c>
      <c r="I5902" s="67" t="s">
        <v>148</v>
      </c>
    </row>
    <row r="5903" spans="1:9" x14ac:dyDescent="0.25">
      <c r="B5903" s="67" t="s">
        <v>1879</v>
      </c>
      <c r="C5903" s="67">
        <v>0</v>
      </c>
      <c r="D5903" s="67">
        <v>0</v>
      </c>
      <c r="E5903" s="67">
        <v>83900.45</v>
      </c>
      <c r="H5903" s="67" t="s">
        <v>146</v>
      </c>
    </row>
    <row r="5905" spans="1:9" x14ac:dyDescent="0.25">
      <c r="A5905" s="67" t="s">
        <v>1878</v>
      </c>
      <c r="B5905" s="67" t="s">
        <v>1877</v>
      </c>
      <c r="C5905" s="67">
        <v>0</v>
      </c>
      <c r="D5905" s="67">
        <v>0</v>
      </c>
      <c r="E5905" s="67">
        <v>83900.41</v>
      </c>
      <c r="F5905" s="67">
        <v>25250</v>
      </c>
      <c r="H5905" s="68">
        <v>40764</v>
      </c>
      <c r="I5905" s="67" t="s">
        <v>148</v>
      </c>
    </row>
    <row r="5906" spans="1:9" x14ac:dyDescent="0.25">
      <c r="B5906" s="67" t="s">
        <v>1877</v>
      </c>
      <c r="C5906" s="67">
        <v>0</v>
      </c>
      <c r="D5906" s="67">
        <v>0</v>
      </c>
      <c r="E5906" s="67">
        <v>83900.45</v>
      </c>
      <c r="H5906" s="67" t="s">
        <v>146</v>
      </c>
    </row>
    <row r="5908" spans="1:9" x14ac:dyDescent="0.25">
      <c r="A5908" s="67" t="s">
        <v>1876</v>
      </c>
      <c r="B5908" s="67" t="s">
        <v>1875</v>
      </c>
      <c r="C5908" s="67">
        <v>0</v>
      </c>
      <c r="D5908" s="67">
        <v>0</v>
      </c>
      <c r="E5908" s="67">
        <v>83900.41</v>
      </c>
      <c r="F5908" s="67">
        <v>25250</v>
      </c>
      <c r="H5908" s="68">
        <v>40764</v>
      </c>
      <c r="I5908" s="67" t="s">
        <v>148</v>
      </c>
    </row>
    <row r="5909" spans="1:9" x14ac:dyDescent="0.25">
      <c r="B5909" s="67" t="s">
        <v>1875</v>
      </c>
      <c r="C5909" s="67">
        <v>0</v>
      </c>
      <c r="D5909" s="67">
        <v>0</v>
      </c>
      <c r="E5909" s="67">
        <v>83900.45</v>
      </c>
      <c r="H5909" s="67" t="s">
        <v>146</v>
      </c>
    </row>
    <row r="5911" spans="1:9" x14ac:dyDescent="0.25">
      <c r="A5911" s="67" t="s">
        <v>1874</v>
      </c>
      <c r="B5911" s="67" t="s">
        <v>1873</v>
      </c>
      <c r="C5911" s="67">
        <v>0</v>
      </c>
      <c r="D5911" s="67">
        <v>0</v>
      </c>
      <c r="E5911" s="67">
        <v>83900.41</v>
      </c>
      <c r="F5911" s="67">
        <v>25250</v>
      </c>
      <c r="H5911" s="68">
        <v>40764</v>
      </c>
      <c r="I5911" s="67" t="s">
        <v>148</v>
      </c>
    </row>
    <row r="5912" spans="1:9" x14ac:dyDescent="0.25">
      <c r="B5912" s="67" t="s">
        <v>1873</v>
      </c>
      <c r="C5912" s="67">
        <v>0</v>
      </c>
      <c r="D5912" s="67">
        <v>0</v>
      </c>
      <c r="E5912" s="67">
        <v>83900.45</v>
      </c>
      <c r="H5912" s="67" t="s">
        <v>146</v>
      </c>
    </row>
    <row r="5914" spans="1:9" x14ac:dyDescent="0.25">
      <c r="A5914" s="67" t="s">
        <v>1872</v>
      </c>
      <c r="B5914" s="67" t="s">
        <v>1871</v>
      </c>
      <c r="C5914" s="67">
        <v>0</v>
      </c>
      <c r="D5914" s="67">
        <v>0</v>
      </c>
      <c r="E5914" s="67">
        <v>83900.41</v>
      </c>
      <c r="F5914" s="67">
        <v>25250</v>
      </c>
      <c r="H5914" s="68">
        <v>40764</v>
      </c>
      <c r="I5914" s="67" t="s">
        <v>148</v>
      </c>
    </row>
    <row r="5915" spans="1:9" x14ac:dyDescent="0.25">
      <c r="B5915" s="67" t="s">
        <v>1871</v>
      </c>
      <c r="C5915" s="67">
        <v>0</v>
      </c>
      <c r="D5915" s="67">
        <v>0</v>
      </c>
      <c r="E5915" s="67">
        <v>83900.45</v>
      </c>
      <c r="H5915" s="67" t="s">
        <v>146</v>
      </c>
    </row>
    <row r="5917" spans="1:9" x14ac:dyDescent="0.25">
      <c r="A5917" s="67" t="s">
        <v>1870</v>
      </c>
      <c r="B5917" s="67" t="s">
        <v>1869</v>
      </c>
      <c r="C5917" s="67">
        <v>0</v>
      </c>
      <c r="D5917" s="67">
        <v>0</v>
      </c>
      <c r="E5917" s="67">
        <v>83900.41</v>
      </c>
      <c r="F5917" s="67">
        <v>25250</v>
      </c>
      <c r="H5917" s="68">
        <v>40764</v>
      </c>
      <c r="I5917" s="67" t="s">
        <v>148</v>
      </c>
    </row>
    <row r="5918" spans="1:9" x14ac:dyDescent="0.25">
      <c r="B5918" s="67" t="s">
        <v>1869</v>
      </c>
      <c r="C5918" s="67">
        <v>0</v>
      </c>
      <c r="D5918" s="67">
        <v>0</v>
      </c>
      <c r="E5918" s="67">
        <v>83900.45</v>
      </c>
      <c r="H5918" s="67" t="s">
        <v>146</v>
      </c>
    </row>
    <row r="5919" spans="1:9" x14ac:dyDescent="0.25">
      <c r="A5919" s="67" t="s">
        <v>233</v>
      </c>
    </row>
    <row r="5921" spans="1:9" x14ac:dyDescent="0.25">
      <c r="A5921" s="67" t="s">
        <v>232</v>
      </c>
      <c r="D5921" s="67" t="s">
        <v>231</v>
      </c>
      <c r="H5921" s="67" t="s">
        <v>148</v>
      </c>
      <c r="I5921" s="67" t="s">
        <v>230</v>
      </c>
    </row>
    <row r="5922" spans="1:9" x14ac:dyDescent="0.25">
      <c r="A5922" s="67">
        <v>41.1</v>
      </c>
      <c r="C5922" s="67" t="s">
        <v>215</v>
      </c>
      <c r="D5922" s="67" t="s">
        <v>229</v>
      </c>
      <c r="H5922" s="70">
        <v>44771</v>
      </c>
      <c r="I5922" s="69">
        <v>0.56736111111111109</v>
      </c>
    </row>
    <row r="5923" spans="1:9" x14ac:dyDescent="0.25">
      <c r="A5923" s="67" t="s">
        <v>228</v>
      </c>
      <c r="C5923" s="67" t="s">
        <v>227</v>
      </c>
      <c r="D5923" s="67" t="s">
        <v>226</v>
      </c>
      <c r="E5923" s="67">
        <v>589</v>
      </c>
      <c r="H5923" s="67" t="s">
        <v>225</v>
      </c>
      <c r="I5923" s="67">
        <v>103</v>
      </c>
    </row>
    <row r="5924" spans="1:9" x14ac:dyDescent="0.25">
      <c r="A5924" s="67" t="s">
        <v>884</v>
      </c>
    </row>
    <row r="5925" spans="1:9" x14ac:dyDescent="0.25">
      <c r="A5925" s="67" t="s">
        <v>223</v>
      </c>
      <c r="B5925" s="67" t="s">
        <v>222</v>
      </c>
      <c r="C5925" s="67" t="s">
        <v>221</v>
      </c>
      <c r="D5925" s="67" t="s">
        <v>220</v>
      </c>
      <c r="E5925" s="67" t="s">
        <v>219</v>
      </c>
      <c r="F5925" s="67" t="s">
        <v>217</v>
      </c>
      <c r="G5925" s="67" t="s">
        <v>218</v>
      </c>
      <c r="H5925" s="67" t="s">
        <v>217</v>
      </c>
      <c r="I5925" s="67" t="s">
        <v>216</v>
      </c>
    </row>
    <row r="5926" spans="1:9" x14ac:dyDescent="0.25">
      <c r="A5926" s="67" t="s">
        <v>215</v>
      </c>
      <c r="B5926" s="67" t="s">
        <v>214</v>
      </c>
      <c r="C5926" s="67" t="s">
        <v>213</v>
      </c>
      <c r="D5926" s="67" t="s">
        <v>212</v>
      </c>
      <c r="E5926" s="67" t="s">
        <v>211</v>
      </c>
      <c r="F5926" s="67" t="s">
        <v>210</v>
      </c>
      <c r="G5926" s="67" t="s">
        <v>209</v>
      </c>
      <c r="H5926" s="67" t="s">
        <v>208</v>
      </c>
      <c r="I5926" s="67" t="s">
        <v>207</v>
      </c>
    </row>
    <row r="5927" spans="1:9" x14ac:dyDescent="0.25">
      <c r="A5927" s="67" t="s">
        <v>206</v>
      </c>
      <c r="B5927" s="67" t="s">
        <v>205</v>
      </c>
      <c r="C5927" s="67" t="s">
        <v>204</v>
      </c>
      <c r="D5927" s="67" t="s">
        <v>203</v>
      </c>
      <c r="E5927" s="67" t="s">
        <v>202</v>
      </c>
      <c r="F5927" s="67" t="s">
        <v>201</v>
      </c>
      <c r="G5927" s="67" t="s">
        <v>200</v>
      </c>
      <c r="H5927" s="67" t="s">
        <v>199</v>
      </c>
    </row>
    <row r="5928" spans="1:9" x14ac:dyDescent="0.25">
      <c r="A5928" s="67" t="s">
        <v>1868</v>
      </c>
      <c r="B5928" s="67" t="s">
        <v>1867</v>
      </c>
      <c r="C5928" s="67">
        <v>0</v>
      </c>
      <c r="D5928" s="67">
        <v>0</v>
      </c>
      <c r="E5928" s="67">
        <v>83900.41</v>
      </c>
      <c r="F5928" s="67">
        <v>25250</v>
      </c>
      <c r="H5928" s="68">
        <v>40764</v>
      </c>
      <c r="I5928" s="67" t="s">
        <v>148</v>
      </c>
    </row>
    <row r="5929" spans="1:9" x14ac:dyDescent="0.25">
      <c r="B5929" s="67" t="s">
        <v>1867</v>
      </c>
      <c r="C5929" s="67">
        <v>0</v>
      </c>
      <c r="D5929" s="67">
        <v>0</v>
      </c>
      <c r="E5929" s="67">
        <v>83900.45</v>
      </c>
      <c r="H5929" s="67" t="s">
        <v>146</v>
      </c>
    </row>
    <row r="5931" spans="1:9" x14ac:dyDescent="0.25">
      <c r="A5931" s="67" t="s">
        <v>1866</v>
      </c>
      <c r="B5931" s="67" t="s">
        <v>1865</v>
      </c>
      <c r="C5931" s="67">
        <v>0</v>
      </c>
      <c r="D5931" s="67">
        <v>0</v>
      </c>
      <c r="E5931" s="67">
        <v>83900.41</v>
      </c>
      <c r="F5931" s="67">
        <v>25250</v>
      </c>
      <c r="H5931" s="68">
        <v>40764</v>
      </c>
      <c r="I5931" s="67" t="s">
        <v>148</v>
      </c>
    </row>
    <row r="5932" spans="1:9" x14ac:dyDescent="0.25">
      <c r="B5932" s="67" t="s">
        <v>1865</v>
      </c>
      <c r="C5932" s="67">
        <v>0</v>
      </c>
      <c r="D5932" s="67">
        <v>0</v>
      </c>
      <c r="E5932" s="67">
        <v>83900.45</v>
      </c>
      <c r="H5932" s="67" t="s">
        <v>146</v>
      </c>
    </row>
    <row r="5934" spans="1:9" x14ac:dyDescent="0.25">
      <c r="A5934" s="67" t="s">
        <v>1864</v>
      </c>
      <c r="B5934" s="67" t="s">
        <v>1863</v>
      </c>
      <c r="C5934" s="67">
        <v>0</v>
      </c>
      <c r="D5934" s="67">
        <v>0</v>
      </c>
      <c r="E5934" s="67">
        <v>83900.41</v>
      </c>
      <c r="F5934" s="67">
        <v>25250</v>
      </c>
      <c r="H5934" s="68">
        <v>40764</v>
      </c>
      <c r="I5934" s="67" t="s">
        <v>148</v>
      </c>
    </row>
    <row r="5935" spans="1:9" x14ac:dyDescent="0.25">
      <c r="B5935" s="67" t="s">
        <v>1863</v>
      </c>
      <c r="C5935" s="67">
        <v>0</v>
      </c>
      <c r="D5935" s="67">
        <v>0</v>
      </c>
      <c r="E5935" s="67">
        <v>83900.45</v>
      </c>
      <c r="H5935" s="67" t="s">
        <v>146</v>
      </c>
    </row>
    <row r="5937" spans="1:9" x14ac:dyDescent="0.25">
      <c r="A5937" s="67" t="s">
        <v>1862</v>
      </c>
      <c r="B5937" s="67" t="s">
        <v>1861</v>
      </c>
      <c r="C5937" s="67">
        <v>0</v>
      </c>
      <c r="D5937" s="67">
        <v>0</v>
      </c>
      <c r="E5937" s="67">
        <v>83900.41</v>
      </c>
      <c r="F5937" s="67">
        <v>25250</v>
      </c>
      <c r="H5937" s="68">
        <v>40764</v>
      </c>
      <c r="I5937" s="67" t="s">
        <v>148</v>
      </c>
    </row>
    <row r="5938" spans="1:9" x14ac:dyDescent="0.25">
      <c r="B5938" s="67" t="s">
        <v>1861</v>
      </c>
      <c r="C5938" s="67">
        <v>0</v>
      </c>
      <c r="D5938" s="67">
        <v>0</v>
      </c>
      <c r="E5938" s="67">
        <v>83900.45</v>
      </c>
      <c r="H5938" s="67" t="s">
        <v>146</v>
      </c>
    </row>
    <row r="5940" spans="1:9" x14ac:dyDescent="0.25">
      <c r="A5940" s="67" t="s">
        <v>1860</v>
      </c>
      <c r="B5940" s="67" t="s">
        <v>1859</v>
      </c>
      <c r="C5940" s="67">
        <v>0</v>
      </c>
      <c r="D5940" s="67">
        <v>0</v>
      </c>
      <c r="E5940" s="67">
        <v>83900.41</v>
      </c>
      <c r="F5940" s="67">
        <v>25250</v>
      </c>
      <c r="H5940" s="68">
        <v>40764</v>
      </c>
      <c r="I5940" s="67" t="s">
        <v>148</v>
      </c>
    </row>
    <row r="5941" spans="1:9" x14ac:dyDescent="0.25">
      <c r="B5941" s="67" t="s">
        <v>1859</v>
      </c>
      <c r="C5941" s="67">
        <v>0</v>
      </c>
      <c r="D5941" s="67">
        <v>0</v>
      </c>
      <c r="E5941" s="67">
        <v>83900.45</v>
      </c>
      <c r="H5941" s="67" t="s">
        <v>146</v>
      </c>
    </row>
    <row r="5943" spans="1:9" x14ac:dyDescent="0.25">
      <c r="A5943" s="67" t="s">
        <v>1858</v>
      </c>
      <c r="B5943" s="67" t="s">
        <v>1857</v>
      </c>
      <c r="C5943" s="67">
        <v>0</v>
      </c>
      <c r="D5943" s="67">
        <v>0</v>
      </c>
      <c r="E5943" s="67">
        <v>83900.41</v>
      </c>
      <c r="F5943" s="67">
        <v>25250</v>
      </c>
      <c r="H5943" s="68">
        <v>40764</v>
      </c>
      <c r="I5943" s="67" t="s">
        <v>148</v>
      </c>
    </row>
    <row r="5944" spans="1:9" x14ac:dyDescent="0.25">
      <c r="B5944" s="67" t="s">
        <v>1857</v>
      </c>
      <c r="C5944" s="67">
        <v>0</v>
      </c>
      <c r="D5944" s="67">
        <v>0</v>
      </c>
      <c r="E5944" s="67">
        <v>83900.45</v>
      </c>
      <c r="H5944" s="67" t="s">
        <v>146</v>
      </c>
    </row>
    <row r="5946" spans="1:9" x14ac:dyDescent="0.25">
      <c r="A5946" s="67" t="s">
        <v>1856</v>
      </c>
      <c r="B5946" s="67" t="s">
        <v>1855</v>
      </c>
      <c r="C5946" s="67">
        <v>0</v>
      </c>
      <c r="D5946" s="67">
        <v>0</v>
      </c>
      <c r="E5946" s="67">
        <v>83900.41</v>
      </c>
      <c r="F5946" s="67">
        <v>25250</v>
      </c>
      <c r="H5946" s="68">
        <v>40764</v>
      </c>
      <c r="I5946" s="67" t="s">
        <v>148</v>
      </c>
    </row>
    <row r="5947" spans="1:9" x14ac:dyDescent="0.25">
      <c r="B5947" s="67" t="s">
        <v>1855</v>
      </c>
      <c r="C5947" s="67">
        <v>0</v>
      </c>
      <c r="D5947" s="67">
        <v>0</v>
      </c>
      <c r="E5947" s="67">
        <v>83900.45</v>
      </c>
      <c r="H5947" s="67" t="s">
        <v>146</v>
      </c>
    </row>
    <row r="5949" spans="1:9" x14ac:dyDescent="0.25">
      <c r="A5949" s="67" t="s">
        <v>1854</v>
      </c>
      <c r="B5949" s="67" t="s">
        <v>1853</v>
      </c>
      <c r="C5949" s="67">
        <v>0</v>
      </c>
      <c r="D5949" s="67">
        <v>0</v>
      </c>
      <c r="E5949" s="67">
        <v>83900.41</v>
      </c>
      <c r="F5949" s="67">
        <v>25250</v>
      </c>
      <c r="H5949" s="68">
        <v>40764</v>
      </c>
      <c r="I5949" s="67" t="s">
        <v>148</v>
      </c>
    </row>
    <row r="5950" spans="1:9" x14ac:dyDescent="0.25">
      <c r="B5950" s="67" t="s">
        <v>1853</v>
      </c>
      <c r="C5950" s="67">
        <v>0</v>
      </c>
      <c r="D5950" s="67">
        <v>0</v>
      </c>
      <c r="E5950" s="67">
        <v>83900.45</v>
      </c>
      <c r="H5950" s="67" t="s">
        <v>146</v>
      </c>
    </row>
    <row r="5952" spans="1:9" x14ac:dyDescent="0.25">
      <c r="A5952" s="67" t="s">
        <v>1852</v>
      </c>
      <c r="B5952" s="67" t="s">
        <v>1851</v>
      </c>
      <c r="C5952" s="67">
        <v>0</v>
      </c>
      <c r="D5952" s="67">
        <v>0</v>
      </c>
      <c r="E5952" s="67">
        <v>83900.41</v>
      </c>
      <c r="F5952" s="67">
        <v>25250</v>
      </c>
      <c r="H5952" s="68">
        <v>40764</v>
      </c>
      <c r="I5952" s="67" t="s">
        <v>148</v>
      </c>
    </row>
    <row r="5953" spans="1:9" x14ac:dyDescent="0.25">
      <c r="B5953" s="67" t="s">
        <v>1851</v>
      </c>
      <c r="C5953" s="67">
        <v>0</v>
      </c>
      <c r="D5953" s="67">
        <v>0</v>
      </c>
      <c r="E5953" s="67">
        <v>83900.45</v>
      </c>
      <c r="H5953" s="67" t="s">
        <v>146</v>
      </c>
    </row>
    <row r="5955" spans="1:9" x14ac:dyDescent="0.25">
      <c r="A5955" s="67" t="s">
        <v>1850</v>
      </c>
      <c r="B5955" s="67" t="s">
        <v>1849</v>
      </c>
      <c r="C5955" s="67">
        <v>0</v>
      </c>
      <c r="D5955" s="67">
        <v>0</v>
      </c>
      <c r="E5955" s="67">
        <v>83900.41</v>
      </c>
      <c r="F5955" s="67">
        <v>25250</v>
      </c>
      <c r="H5955" s="68">
        <v>40764</v>
      </c>
      <c r="I5955" s="67" t="s">
        <v>148</v>
      </c>
    </row>
    <row r="5956" spans="1:9" x14ac:dyDescent="0.25">
      <c r="B5956" s="67" t="s">
        <v>1849</v>
      </c>
      <c r="C5956" s="67">
        <v>0</v>
      </c>
      <c r="D5956" s="67">
        <v>0</v>
      </c>
      <c r="E5956" s="67">
        <v>83900.45</v>
      </c>
      <c r="H5956" s="67" t="s">
        <v>146</v>
      </c>
    </row>
    <row r="5958" spans="1:9" x14ac:dyDescent="0.25">
      <c r="A5958" s="67" t="s">
        <v>1848</v>
      </c>
      <c r="B5958" s="67" t="s">
        <v>1847</v>
      </c>
      <c r="C5958" s="67">
        <v>0</v>
      </c>
      <c r="D5958" s="67">
        <v>0</v>
      </c>
      <c r="E5958" s="67">
        <v>83900.41</v>
      </c>
      <c r="F5958" s="67">
        <v>25250</v>
      </c>
      <c r="H5958" s="68">
        <v>40764</v>
      </c>
      <c r="I5958" s="67" t="s">
        <v>148</v>
      </c>
    </row>
    <row r="5959" spans="1:9" x14ac:dyDescent="0.25">
      <c r="B5959" s="67" t="s">
        <v>1847</v>
      </c>
      <c r="C5959" s="67">
        <v>0</v>
      </c>
      <c r="D5959" s="67">
        <v>0</v>
      </c>
      <c r="E5959" s="67">
        <v>83900.45</v>
      </c>
      <c r="H5959" s="67" t="s">
        <v>146</v>
      </c>
    </row>
    <row r="5961" spans="1:9" x14ac:dyDescent="0.25">
      <c r="A5961" s="67" t="s">
        <v>1846</v>
      </c>
      <c r="B5961" s="67" t="s">
        <v>1845</v>
      </c>
      <c r="C5961" s="67">
        <v>0</v>
      </c>
      <c r="D5961" s="67">
        <v>0</v>
      </c>
      <c r="E5961" s="67">
        <v>83900.41</v>
      </c>
      <c r="F5961" s="67">
        <v>25250</v>
      </c>
      <c r="H5961" s="68">
        <v>40764</v>
      </c>
      <c r="I5961" s="67" t="s">
        <v>148</v>
      </c>
    </row>
    <row r="5962" spans="1:9" x14ac:dyDescent="0.25">
      <c r="B5962" s="67" t="s">
        <v>1845</v>
      </c>
      <c r="C5962" s="67">
        <v>0</v>
      </c>
      <c r="D5962" s="67">
        <v>0</v>
      </c>
      <c r="E5962" s="67">
        <v>83900.45</v>
      </c>
      <c r="H5962" s="67" t="s">
        <v>146</v>
      </c>
    </row>
    <row r="5964" spans="1:9" x14ac:dyDescent="0.25">
      <c r="A5964" s="67" t="s">
        <v>1844</v>
      </c>
      <c r="B5964" s="67" t="s">
        <v>1843</v>
      </c>
      <c r="C5964" s="67">
        <v>0</v>
      </c>
      <c r="D5964" s="67">
        <v>0</v>
      </c>
      <c r="E5964" s="67">
        <v>83900.41</v>
      </c>
      <c r="F5964" s="67">
        <v>25250</v>
      </c>
      <c r="H5964" s="68">
        <v>40764</v>
      </c>
      <c r="I5964" s="67" t="s">
        <v>148</v>
      </c>
    </row>
    <row r="5965" spans="1:9" x14ac:dyDescent="0.25">
      <c r="B5965" s="67" t="s">
        <v>1843</v>
      </c>
      <c r="C5965" s="67">
        <v>0</v>
      </c>
      <c r="D5965" s="67">
        <v>0</v>
      </c>
      <c r="E5965" s="67">
        <v>83900.45</v>
      </c>
      <c r="H5965" s="67" t="s">
        <v>146</v>
      </c>
    </row>
    <row r="5967" spans="1:9" x14ac:dyDescent="0.25">
      <c r="A5967" s="67" t="s">
        <v>1842</v>
      </c>
      <c r="B5967" s="67" t="s">
        <v>1841</v>
      </c>
      <c r="C5967" s="67">
        <v>0</v>
      </c>
      <c r="D5967" s="67">
        <v>0</v>
      </c>
      <c r="E5967" s="67">
        <v>83900.41</v>
      </c>
      <c r="F5967" s="67">
        <v>25250</v>
      </c>
      <c r="H5967" s="68">
        <v>40764</v>
      </c>
      <c r="I5967" s="67" t="s">
        <v>148</v>
      </c>
    </row>
    <row r="5968" spans="1:9" x14ac:dyDescent="0.25">
      <c r="B5968" s="67" t="s">
        <v>1841</v>
      </c>
      <c r="C5968" s="67">
        <v>0</v>
      </c>
      <c r="D5968" s="67">
        <v>0</v>
      </c>
      <c r="E5968" s="67">
        <v>83900.45</v>
      </c>
      <c r="H5968" s="67" t="s">
        <v>146</v>
      </c>
    </row>
    <row r="5970" spans="1:9" x14ac:dyDescent="0.25">
      <c r="A5970" s="67" t="s">
        <v>1840</v>
      </c>
      <c r="B5970" s="67" t="s">
        <v>1839</v>
      </c>
      <c r="C5970" s="67">
        <v>0</v>
      </c>
      <c r="D5970" s="67">
        <v>0</v>
      </c>
      <c r="E5970" s="67">
        <v>83900.41</v>
      </c>
      <c r="F5970" s="67">
        <v>25250</v>
      </c>
      <c r="H5970" s="68">
        <v>40764</v>
      </c>
      <c r="I5970" s="67" t="s">
        <v>148</v>
      </c>
    </row>
    <row r="5971" spans="1:9" x14ac:dyDescent="0.25">
      <c r="B5971" s="67" t="s">
        <v>1839</v>
      </c>
      <c r="C5971" s="67">
        <v>0</v>
      </c>
      <c r="D5971" s="67">
        <v>0</v>
      </c>
      <c r="E5971" s="67">
        <v>83900.45</v>
      </c>
      <c r="H5971" s="67" t="s">
        <v>146</v>
      </c>
    </row>
    <row r="5973" spans="1:9" x14ac:dyDescent="0.25">
      <c r="A5973" s="67" t="s">
        <v>1838</v>
      </c>
      <c r="B5973" s="67" t="s">
        <v>1837</v>
      </c>
      <c r="C5973" s="67">
        <v>0</v>
      </c>
      <c r="D5973" s="67">
        <v>0</v>
      </c>
      <c r="E5973" s="67">
        <v>83900.41</v>
      </c>
      <c r="F5973" s="67">
        <v>25250</v>
      </c>
      <c r="H5973" s="68">
        <v>40764</v>
      </c>
      <c r="I5973" s="67" t="s">
        <v>148</v>
      </c>
    </row>
    <row r="5974" spans="1:9" x14ac:dyDescent="0.25">
      <c r="B5974" s="67" t="s">
        <v>1837</v>
      </c>
      <c r="C5974" s="67">
        <v>0</v>
      </c>
      <c r="D5974" s="67">
        <v>0</v>
      </c>
      <c r="E5974" s="67">
        <v>83900.45</v>
      </c>
      <c r="H5974" s="67" t="s">
        <v>146</v>
      </c>
    </row>
    <row r="5976" spans="1:9" x14ac:dyDescent="0.25">
      <c r="A5976" s="67" t="s">
        <v>1836</v>
      </c>
      <c r="B5976" s="67" t="s">
        <v>1835</v>
      </c>
      <c r="C5976" s="67">
        <v>0</v>
      </c>
      <c r="D5976" s="67">
        <v>0</v>
      </c>
      <c r="E5976" s="67">
        <v>83900.41</v>
      </c>
      <c r="F5976" s="67">
        <v>25250</v>
      </c>
      <c r="H5976" s="68">
        <v>40764</v>
      </c>
      <c r="I5976" s="67" t="s">
        <v>148</v>
      </c>
    </row>
    <row r="5977" spans="1:9" x14ac:dyDescent="0.25">
      <c r="B5977" s="67" t="s">
        <v>1835</v>
      </c>
      <c r="C5977" s="67">
        <v>0</v>
      </c>
      <c r="D5977" s="67">
        <v>0</v>
      </c>
      <c r="E5977" s="67">
        <v>83900.45</v>
      </c>
      <c r="H5977" s="67" t="s">
        <v>146</v>
      </c>
    </row>
    <row r="5978" spans="1:9" x14ac:dyDescent="0.25">
      <c r="A5978" s="67" t="s">
        <v>233</v>
      </c>
    </row>
    <row r="5980" spans="1:9" x14ac:dyDescent="0.25">
      <c r="A5980" s="67" t="s">
        <v>232</v>
      </c>
      <c r="D5980" s="67" t="s">
        <v>231</v>
      </c>
      <c r="H5980" s="67" t="s">
        <v>148</v>
      </c>
      <c r="I5980" s="67" t="s">
        <v>230</v>
      </c>
    </row>
    <row r="5981" spans="1:9" x14ac:dyDescent="0.25">
      <c r="A5981" s="67">
        <v>41.1</v>
      </c>
      <c r="C5981" s="67" t="s">
        <v>215</v>
      </c>
      <c r="D5981" s="67" t="s">
        <v>229</v>
      </c>
      <c r="H5981" s="70">
        <v>44771</v>
      </c>
      <c r="I5981" s="69">
        <v>0.56736111111111109</v>
      </c>
    </row>
    <row r="5982" spans="1:9" x14ac:dyDescent="0.25">
      <c r="A5982" s="67" t="s">
        <v>228</v>
      </c>
      <c r="C5982" s="67" t="s">
        <v>227</v>
      </c>
      <c r="D5982" s="67" t="s">
        <v>226</v>
      </c>
      <c r="E5982" s="67">
        <v>589</v>
      </c>
      <c r="H5982" s="67" t="s">
        <v>225</v>
      </c>
      <c r="I5982" s="67">
        <v>104</v>
      </c>
    </row>
    <row r="5983" spans="1:9" x14ac:dyDescent="0.25">
      <c r="A5983" s="67" t="s">
        <v>884</v>
      </c>
    </row>
    <row r="5984" spans="1:9" x14ac:dyDescent="0.25">
      <c r="A5984" s="67" t="s">
        <v>223</v>
      </c>
      <c r="B5984" s="67" t="s">
        <v>222</v>
      </c>
      <c r="C5984" s="67" t="s">
        <v>221</v>
      </c>
      <c r="D5984" s="67" t="s">
        <v>220</v>
      </c>
      <c r="E5984" s="67" t="s">
        <v>219</v>
      </c>
      <c r="F5984" s="67" t="s">
        <v>217</v>
      </c>
      <c r="G5984" s="67" t="s">
        <v>218</v>
      </c>
      <c r="H5984" s="67" t="s">
        <v>217</v>
      </c>
      <c r="I5984" s="67" t="s">
        <v>216</v>
      </c>
    </row>
    <row r="5985" spans="1:9" x14ac:dyDescent="0.25">
      <c r="A5985" s="67" t="s">
        <v>215</v>
      </c>
      <c r="B5985" s="67" t="s">
        <v>214</v>
      </c>
      <c r="C5985" s="67" t="s">
        <v>213</v>
      </c>
      <c r="D5985" s="67" t="s">
        <v>212</v>
      </c>
      <c r="E5985" s="67" t="s">
        <v>211</v>
      </c>
      <c r="F5985" s="67" t="s">
        <v>210</v>
      </c>
      <c r="G5985" s="67" t="s">
        <v>209</v>
      </c>
      <c r="H5985" s="67" t="s">
        <v>208</v>
      </c>
      <c r="I5985" s="67" t="s">
        <v>207</v>
      </c>
    </row>
    <row r="5986" spans="1:9" x14ac:dyDescent="0.25">
      <c r="A5986" s="67" t="s">
        <v>206</v>
      </c>
      <c r="B5986" s="67" t="s">
        <v>205</v>
      </c>
      <c r="C5986" s="67" t="s">
        <v>204</v>
      </c>
      <c r="D5986" s="67" t="s">
        <v>203</v>
      </c>
      <c r="E5986" s="67" t="s">
        <v>202</v>
      </c>
      <c r="F5986" s="67" t="s">
        <v>201</v>
      </c>
      <c r="G5986" s="67" t="s">
        <v>200</v>
      </c>
      <c r="H5986" s="67" t="s">
        <v>199</v>
      </c>
    </row>
    <row r="5987" spans="1:9" x14ac:dyDescent="0.25">
      <c r="A5987" s="67" t="s">
        <v>1834</v>
      </c>
      <c r="B5987" s="67" t="s">
        <v>1833</v>
      </c>
      <c r="C5987" s="67">
        <v>0</v>
      </c>
      <c r="D5987" s="67">
        <v>0</v>
      </c>
      <c r="E5987" s="67">
        <v>83900.41</v>
      </c>
      <c r="F5987" s="67">
        <v>25250</v>
      </c>
      <c r="H5987" s="68">
        <v>40764</v>
      </c>
      <c r="I5987" s="67" t="s">
        <v>148</v>
      </c>
    </row>
    <row r="5988" spans="1:9" x14ac:dyDescent="0.25">
      <c r="B5988" s="67" t="s">
        <v>1833</v>
      </c>
      <c r="C5988" s="67">
        <v>0</v>
      </c>
      <c r="D5988" s="67">
        <v>0</v>
      </c>
      <c r="E5988" s="67">
        <v>83900.45</v>
      </c>
      <c r="H5988" s="67" t="s">
        <v>146</v>
      </c>
    </row>
    <row r="5990" spans="1:9" x14ac:dyDescent="0.25">
      <c r="A5990" s="67" t="s">
        <v>1832</v>
      </c>
      <c r="B5990" s="67" t="s">
        <v>1831</v>
      </c>
      <c r="C5990" s="67">
        <v>0</v>
      </c>
      <c r="D5990" s="67">
        <v>0</v>
      </c>
      <c r="E5990" s="67">
        <v>83900.41</v>
      </c>
      <c r="F5990" s="67">
        <v>25250</v>
      </c>
      <c r="H5990" s="68">
        <v>40764</v>
      </c>
      <c r="I5990" s="67" t="s">
        <v>148</v>
      </c>
    </row>
    <row r="5991" spans="1:9" x14ac:dyDescent="0.25">
      <c r="B5991" s="67" t="s">
        <v>1831</v>
      </c>
      <c r="C5991" s="67">
        <v>0</v>
      </c>
      <c r="D5991" s="67">
        <v>0</v>
      </c>
      <c r="E5991" s="67">
        <v>83900.45</v>
      </c>
      <c r="H5991" s="67" t="s">
        <v>146</v>
      </c>
    </row>
    <row r="5993" spans="1:9" x14ac:dyDescent="0.25">
      <c r="A5993" s="67" t="s">
        <v>1830</v>
      </c>
      <c r="B5993" s="67" t="s">
        <v>1829</v>
      </c>
      <c r="C5993" s="67">
        <v>0</v>
      </c>
      <c r="D5993" s="67">
        <v>0</v>
      </c>
      <c r="E5993" s="67">
        <v>83900.41</v>
      </c>
      <c r="F5993" s="67">
        <v>25250</v>
      </c>
      <c r="H5993" s="68">
        <v>40764</v>
      </c>
      <c r="I5993" s="67" t="s">
        <v>148</v>
      </c>
    </row>
    <row r="5994" spans="1:9" x14ac:dyDescent="0.25">
      <c r="B5994" s="67" t="s">
        <v>1829</v>
      </c>
      <c r="C5994" s="67">
        <v>0</v>
      </c>
      <c r="D5994" s="67">
        <v>0</v>
      </c>
      <c r="E5994" s="67">
        <v>83900.45</v>
      </c>
      <c r="H5994" s="67" t="s">
        <v>146</v>
      </c>
    </row>
    <row r="5996" spans="1:9" x14ac:dyDescent="0.25">
      <c r="A5996" s="67" t="s">
        <v>1828</v>
      </c>
      <c r="B5996" s="67" t="s">
        <v>1827</v>
      </c>
      <c r="C5996" s="67">
        <v>0</v>
      </c>
      <c r="D5996" s="67">
        <v>0</v>
      </c>
      <c r="E5996" s="67">
        <v>83900.41</v>
      </c>
      <c r="F5996" s="67">
        <v>25250</v>
      </c>
      <c r="H5996" s="68">
        <v>40764</v>
      </c>
      <c r="I5996" s="67" t="s">
        <v>148</v>
      </c>
    </row>
    <row r="5997" spans="1:9" x14ac:dyDescent="0.25">
      <c r="B5997" s="67" t="s">
        <v>1827</v>
      </c>
      <c r="C5997" s="67">
        <v>0</v>
      </c>
      <c r="D5997" s="67">
        <v>0</v>
      </c>
      <c r="E5997" s="67">
        <v>83900.45</v>
      </c>
      <c r="H5997" s="67" t="s">
        <v>146</v>
      </c>
    </row>
    <row r="5999" spans="1:9" x14ac:dyDescent="0.25">
      <c r="A5999" s="67" t="s">
        <v>1826</v>
      </c>
      <c r="B5999" s="67" t="s">
        <v>1825</v>
      </c>
      <c r="C5999" s="67">
        <v>0</v>
      </c>
      <c r="D5999" s="67">
        <v>0</v>
      </c>
      <c r="E5999" s="67">
        <v>83900.41</v>
      </c>
      <c r="F5999" s="67">
        <v>25250</v>
      </c>
      <c r="H5999" s="68">
        <v>40764</v>
      </c>
      <c r="I5999" s="67" t="s">
        <v>148</v>
      </c>
    </row>
    <row r="6000" spans="1:9" x14ac:dyDescent="0.25">
      <c r="B6000" s="67" t="s">
        <v>1825</v>
      </c>
      <c r="C6000" s="67">
        <v>0</v>
      </c>
      <c r="D6000" s="67">
        <v>0</v>
      </c>
      <c r="E6000" s="67">
        <v>83900.45</v>
      </c>
      <c r="H6000" s="67" t="s">
        <v>146</v>
      </c>
    </row>
    <row r="6002" spans="1:9" x14ac:dyDescent="0.25">
      <c r="A6002" s="67" t="s">
        <v>1824</v>
      </c>
      <c r="B6002" s="67" t="s">
        <v>1823</v>
      </c>
      <c r="C6002" s="67">
        <v>0</v>
      </c>
      <c r="D6002" s="67">
        <v>0</v>
      </c>
      <c r="E6002" s="67">
        <v>83900.41</v>
      </c>
      <c r="F6002" s="67">
        <v>25250</v>
      </c>
      <c r="H6002" s="68">
        <v>40764</v>
      </c>
      <c r="I6002" s="67" t="s">
        <v>148</v>
      </c>
    </row>
    <row r="6003" spans="1:9" x14ac:dyDescent="0.25">
      <c r="B6003" s="67" t="s">
        <v>1823</v>
      </c>
      <c r="C6003" s="67">
        <v>0</v>
      </c>
      <c r="D6003" s="67">
        <v>0</v>
      </c>
      <c r="E6003" s="67">
        <v>83900.45</v>
      </c>
      <c r="H6003" s="67" t="s">
        <v>146</v>
      </c>
    </row>
    <row r="6005" spans="1:9" x14ac:dyDescent="0.25">
      <c r="A6005" s="67" t="s">
        <v>1822</v>
      </c>
      <c r="B6005" s="67" t="s">
        <v>1821</v>
      </c>
      <c r="C6005" s="67">
        <v>0</v>
      </c>
      <c r="D6005" s="67">
        <v>0</v>
      </c>
      <c r="E6005" s="67">
        <v>83900.41</v>
      </c>
      <c r="F6005" s="67">
        <v>25250</v>
      </c>
      <c r="H6005" s="68">
        <v>40764</v>
      </c>
      <c r="I6005" s="67" t="s">
        <v>148</v>
      </c>
    </row>
    <row r="6006" spans="1:9" x14ac:dyDescent="0.25">
      <c r="B6006" s="67" t="s">
        <v>1821</v>
      </c>
      <c r="C6006" s="67">
        <v>0</v>
      </c>
      <c r="D6006" s="67">
        <v>0</v>
      </c>
      <c r="E6006" s="67">
        <v>83900.45</v>
      </c>
      <c r="H6006" s="67" t="s">
        <v>146</v>
      </c>
    </row>
    <row r="6008" spans="1:9" x14ac:dyDescent="0.25">
      <c r="A6008" s="67" t="s">
        <v>1820</v>
      </c>
      <c r="B6008" s="67" t="s">
        <v>1819</v>
      </c>
      <c r="C6008" s="67">
        <v>0</v>
      </c>
      <c r="D6008" s="67">
        <v>0</v>
      </c>
      <c r="E6008" s="67">
        <v>83900.41</v>
      </c>
      <c r="F6008" s="67">
        <v>25250</v>
      </c>
      <c r="H6008" s="68">
        <v>40764</v>
      </c>
      <c r="I6008" s="67" t="s">
        <v>148</v>
      </c>
    </row>
    <row r="6009" spans="1:9" x14ac:dyDescent="0.25">
      <c r="B6009" s="67" t="s">
        <v>1819</v>
      </c>
      <c r="C6009" s="67">
        <v>0</v>
      </c>
      <c r="D6009" s="67">
        <v>0</v>
      </c>
      <c r="E6009" s="67">
        <v>83900.45</v>
      </c>
      <c r="H6009" s="67" t="s">
        <v>146</v>
      </c>
    </row>
    <row r="6011" spans="1:9" x14ac:dyDescent="0.25">
      <c r="A6011" s="67" t="s">
        <v>1818</v>
      </c>
      <c r="B6011" s="67" t="s">
        <v>1817</v>
      </c>
      <c r="C6011" s="67">
        <v>0</v>
      </c>
      <c r="D6011" s="67">
        <v>0</v>
      </c>
      <c r="E6011" s="67">
        <v>83900.41</v>
      </c>
      <c r="F6011" s="67">
        <v>25250</v>
      </c>
      <c r="H6011" s="68">
        <v>40764</v>
      </c>
      <c r="I6011" s="67" t="s">
        <v>148</v>
      </c>
    </row>
    <row r="6012" spans="1:9" x14ac:dyDescent="0.25">
      <c r="B6012" s="67" t="s">
        <v>1817</v>
      </c>
      <c r="C6012" s="67">
        <v>0</v>
      </c>
      <c r="D6012" s="67">
        <v>0</v>
      </c>
      <c r="E6012" s="67">
        <v>83900.45</v>
      </c>
      <c r="H6012" s="67" t="s">
        <v>146</v>
      </c>
    </row>
    <row r="6014" spans="1:9" x14ac:dyDescent="0.25">
      <c r="A6014" s="67" t="s">
        <v>1816</v>
      </c>
      <c r="B6014" s="67" t="s">
        <v>1815</v>
      </c>
      <c r="C6014" s="67">
        <v>0</v>
      </c>
      <c r="D6014" s="67">
        <v>0</v>
      </c>
      <c r="E6014" s="67">
        <v>83900.41</v>
      </c>
      <c r="F6014" s="67">
        <v>25250</v>
      </c>
      <c r="H6014" s="68">
        <v>40764</v>
      </c>
      <c r="I6014" s="67" t="s">
        <v>148</v>
      </c>
    </row>
    <row r="6015" spans="1:9" x14ac:dyDescent="0.25">
      <c r="B6015" s="67" t="s">
        <v>1815</v>
      </c>
      <c r="C6015" s="67">
        <v>0</v>
      </c>
      <c r="D6015" s="67">
        <v>0</v>
      </c>
      <c r="E6015" s="67">
        <v>83900.45</v>
      </c>
      <c r="H6015" s="67" t="s">
        <v>146</v>
      </c>
    </row>
    <row r="6017" spans="1:9" x14ac:dyDescent="0.25">
      <c r="A6017" s="67" t="s">
        <v>1814</v>
      </c>
      <c r="B6017" s="67" t="s">
        <v>1813</v>
      </c>
      <c r="C6017" s="67">
        <v>0</v>
      </c>
      <c r="D6017" s="67">
        <v>0</v>
      </c>
      <c r="E6017" s="67">
        <v>83900.41</v>
      </c>
      <c r="F6017" s="67">
        <v>25250</v>
      </c>
      <c r="H6017" s="68">
        <v>40764</v>
      </c>
      <c r="I6017" s="67" t="s">
        <v>148</v>
      </c>
    </row>
    <row r="6018" spans="1:9" x14ac:dyDescent="0.25">
      <c r="B6018" s="67" t="s">
        <v>1813</v>
      </c>
      <c r="C6018" s="67">
        <v>0</v>
      </c>
      <c r="D6018" s="67">
        <v>0</v>
      </c>
      <c r="E6018" s="67">
        <v>83900.45</v>
      </c>
      <c r="H6018" s="67" t="s">
        <v>146</v>
      </c>
    </row>
    <row r="6020" spans="1:9" x14ac:dyDescent="0.25">
      <c r="A6020" s="67" t="s">
        <v>1812</v>
      </c>
      <c r="B6020" s="67" t="s">
        <v>1811</v>
      </c>
      <c r="C6020" s="67">
        <v>0</v>
      </c>
      <c r="D6020" s="67">
        <v>0</v>
      </c>
      <c r="E6020" s="67">
        <v>83900.41</v>
      </c>
      <c r="F6020" s="67">
        <v>25250</v>
      </c>
      <c r="H6020" s="68">
        <v>40764</v>
      </c>
      <c r="I6020" s="67" t="s">
        <v>148</v>
      </c>
    </row>
    <row r="6021" spans="1:9" x14ac:dyDescent="0.25">
      <c r="B6021" s="67" t="s">
        <v>1811</v>
      </c>
      <c r="C6021" s="67">
        <v>0</v>
      </c>
      <c r="D6021" s="67">
        <v>0</v>
      </c>
      <c r="E6021" s="67">
        <v>83900.45</v>
      </c>
      <c r="H6021" s="67" t="s">
        <v>146</v>
      </c>
    </row>
    <row r="6023" spans="1:9" x14ac:dyDescent="0.25">
      <c r="A6023" s="67" t="s">
        <v>1810</v>
      </c>
      <c r="B6023" s="67" t="s">
        <v>1809</v>
      </c>
      <c r="C6023" s="67">
        <v>0</v>
      </c>
      <c r="D6023" s="67">
        <v>0</v>
      </c>
      <c r="E6023" s="67">
        <v>83900.41</v>
      </c>
      <c r="F6023" s="67">
        <v>25250</v>
      </c>
      <c r="H6023" s="68">
        <v>40764</v>
      </c>
      <c r="I6023" s="67" t="s">
        <v>148</v>
      </c>
    </row>
    <row r="6024" spans="1:9" x14ac:dyDescent="0.25">
      <c r="B6024" s="67" t="s">
        <v>1809</v>
      </c>
      <c r="C6024" s="67">
        <v>0</v>
      </c>
      <c r="D6024" s="67">
        <v>0</v>
      </c>
      <c r="E6024" s="67">
        <v>83900.45</v>
      </c>
      <c r="H6024" s="67" t="s">
        <v>146</v>
      </c>
    </row>
    <row r="6026" spans="1:9" x14ac:dyDescent="0.25">
      <c r="A6026" s="67" t="s">
        <v>1808</v>
      </c>
      <c r="B6026" s="67" t="s">
        <v>1807</v>
      </c>
      <c r="C6026" s="67">
        <v>0</v>
      </c>
      <c r="D6026" s="67">
        <v>0</v>
      </c>
      <c r="E6026" s="67">
        <v>83900.41</v>
      </c>
      <c r="F6026" s="67">
        <v>25250</v>
      </c>
      <c r="H6026" s="68">
        <v>40764</v>
      </c>
      <c r="I6026" s="67" t="s">
        <v>148</v>
      </c>
    </row>
    <row r="6027" spans="1:9" x14ac:dyDescent="0.25">
      <c r="B6027" s="67" t="s">
        <v>1807</v>
      </c>
      <c r="C6027" s="67">
        <v>0</v>
      </c>
      <c r="D6027" s="67">
        <v>0</v>
      </c>
      <c r="E6027" s="67">
        <v>83900.45</v>
      </c>
      <c r="H6027" s="67" t="s">
        <v>146</v>
      </c>
    </row>
    <row r="6029" spans="1:9" x14ac:dyDescent="0.25">
      <c r="A6029" s="67" t="s">
        <v>1806</v>
      </c>
      <c r="B6029" s="67" t="s">
        <v>1805</v>
      </c>
      <c r="C6029" s="67">
        <v>0</v>
      </c>
      <c r="D6029" s="67">
        <v>0</v>
      </c>
      <c r="E6029" s="67">
        <v>83900.41</v>
      </c>
      <c r="F6029" s="67">
        <v>25250</v>
      </c>
      <c r="H6029" s="68">
        <v>40764</v>
      </c>
      <c r="I6029" s="67" t="s">
        <v>148</v>
      </c>
    </row>
    <row r="6030" spans="1:9" x14ac:dyDescent="0.25">
      <c r="B6030" s="67" t="s">
        <v>1805</v>
      </c>
      <c r="C6030" s="67">
        <v>0</v>
      </c>
      <c r="D6030" s="67">
        <v>0</v>
      </c>
      <c r="E6030" s="67">
        <v>83900.45</v>
      </c>
      <c r="H6030" s="67" t="s">
        <v>146</v>
      </c>
    </row>
    <row r="6032" spans="1:9" x14ac:dyDescent="0.25">
      <c r="A6032" s="67" t="s">
        <v>1804</v>
      </c>
      <c r="B6032" s="67" t="s">
        <v>1803</v>
      </c>
      <c r="C6032" s="67">
        <v>0</v>
      </c>
      <c r="D6032" s="67">
        <v>0</v>
      </c>
      <c r="E6032" s="67">
        <v>83900.41</v>
      </c>
      <c r="F6032" s="67">
        <v>25250</v>
      </c>
      <c r="H6032" s="68">
        <v>40764</v>
      </c>
      <c r="I6032" s="67" t="s">
        <v>148</v>
      </c>
    </row>
    <row r="6033" spans="1:9" x14ac:dyDescent="0.25">
      <c r="B6033" s="67" t="s">
        <v>1803</v>
      </c>
      <c r="C6033" s="67">
        <v>0</v>
      </c>
      <c r="D6033" s="67">
        <v>0</v>
      </c>
      <c r="E6033" s="67">
        <v>83900.45</v>
      </c>
      <c r="H6033" s="67" t="s">
        <v>146</v>
      </c>
    </row>
    <row r="6035" spans="1:9" x14ac:dyDescent="0.25">
      <c r="A6035" s="67" t="s">
        <v>1802</v>
      </c>
      <c r="B6035" s="67" t="s">
        <v>1801</v>
      </c>
      <c r="C6035" s="67">
        <v>0</v>
      </c>
      <c r="D6035" s="67">
        <v>0</v>
      </c>
      <c r="E6035" s="67">
        <v>83900.41</v>
      </c>
      <c r="F6035" s="67">
        <v>25250</v>
      </c>
      <c r="H6035" s="68">
        <v>40764</v>
      </c>
      <c r="I6035" s="67" t="s">
        <v>148</v>
      </c>
    </row>
    <row r="6036" spans="1:9" x14ac:dyDescent="0.25">
      <c r="B6036" s="67" t="s">
        <v>1801</v>
      </c>
      <c r="C6036" s="67">
        <v>0</v>
      </c>
      <c r="D6036" s="67">
        <v>0</v>
      </c>
      <c r="E6036" s="67">
        <v>83900.45</v>
      </c>
      <c r="H6036" s="67" t="s">
        <v>146</v>
      </c>
    </row>
    <row r="6037" spans="1:9" x14ac:dyDescent="0.25">
      <c r="A6037" s="67" t="s">
        <v>233</v>
      </c>
    </row>
    <row r="6039" spans="1:9" x14ac:dyDescent="0.25">
      <c r="A6039" s="67" t="s">
        <v>232</v>
      </c>
      <c r="D6039" s="67" t="s">
        <v>231</v>
      </c>
      <c r="H6039" s="67" t="s">
        <v>148</v>
      </c>
      <c r="I6039" s="67" t="s">
        <v>230</v>
      </c>
    </row>
    <row r="6040" spans="1:9" x14ac:dyDescent="0.25">
      <c r="A6040" s="67">
        <v>41.1</v>
      </c>
      <c r="C6040" s="67" t="s">
        <v>215</v>
      </c>
      <c r="D6040" s="67" t="s">
        <v>229</v>
      </c>
      <c r="H6040" s="70">
        <v>44771</v>
      </c>
      <c r="I6040" s="69">
        <v>0.56736111111111109</v>
      </c>
    </row>
    <row r="6041" spans="1:9" x14ac:dyDescent="0.25">
      <c r="A6041" s="67" t="s">
        <v>228</v>
      </c>
      <c r="C6041" s="67" t="s">
        <v>227</v>
      </c>
      <c r="D6041" s="67" t="s">
        <v>226</v>
      </c>
      <c r="E6041" s="67">
        <v>589</v>
      </c>
      <c r="H6041" s="67" t="s">
        <v>225</v>
      </c>
      <c r="I6041" s="67">
        <v>105</v>
      </c>
    </row>
    <row r="6042" spans="1:9" x14ac:dyDescent="0.25">
      <c r="A6042" s="67" t="s">
        <v>884</v>
      </c>
    </row>
    <row r="6043" spans="1:9" x14ac:dyDescent="0.25">
      <c r="A6043" s="67" t="s">
        <v>223</v>
      </c>
      <c r="B6043" s="67" t="s">
        <v>222</v>
      </c>
      <c r="C6043" s="67" t="s">
        <v>221</v>
      </c>
      <c r="D6043" s="67" t="s">
        <v>220</v>
      </c>
      <c r="E6043" s="67" t="s">
        <v>219</v>
      </c>
      <c r="F6043" s="67" t="s">
        <v>217</v>
      </c>
      <c r="G6043" s="67" t="s">
        <v>218</v>
      </c>
      <c r="H6043" s="67" t="s">
        <v>217</v>
      </c>
      <c r="I6043" s="67" t="s">
        <v>216</v>
      </c>
    </row>
    <row r="6044" spans="1:9" x14ac:dyDescent="0.25">
      <c r="A6044" s="67" t="s">
        <v>215</v>
      </c>
      <c r="B6044" s="67" t="s">
        <v>214</v>
      </c>
      <c r="C6044" s="67" t="s">
        <v>213</v>
      </c>
      <c r="D6044" s="67" t="s">
        <v>212</v>
      </c>
      <c r="E6044" s="67" t="s">
        <v>211</v>
      </c>
      <c r="F6044" s="67" t="s">
        <v>210</v>
      </c>
      <c r="G6044" s="67" t="s">
        <v>209</v>
      </c>
      <c r="H6044" s="67" t="s">
        <v>208</v>
      </c>
      <c r="I6044" s="67" t="s">
        <v>207</v>
      </c>
    </row>
    <row r="6045" spans="1:9" x14ac:dyDescent="0.25">
      <c r="A6045" s="67" t="s">
        <v>206</v>
      </c>
      <c r="B6045" s="67" t="s">
        <v>205</v>
      </c>
      <c r="C6045" s="67" t="s">
        <v>204</v>
      </c>
      <c r="D6045" s="67" t="s">
        <v>203</v>
      </c>
      <c r="E6045" s="67" t="s">
        <v>202</v>
      </c>
      <c r="F6045" s="67" t="s">
        <v>201</v>
      </c>
      <c r="G6045" s="67" t="s">
        <v>200</v>
      </c>
      <c r="H6045" s="67" t="s">
        <v>199</v>
      </c>
    </row>
    <row r="6046" spans="1:9" x14ac:dyDescent="0.25">
      <c r="A6046" s="67" t="s">
        <v>1800</v>
      </c>
      <c r="B6046" s="67" t="s">
        <v>1799</v>
      </c>
      <c r="C6046" s="67">
        <v>0</v>
      </c>
      <c r="D6046" s="67">
        <v>0</v>
      </c>
      <c r="E6046" s="67">
        <v>83900.41</v>
      </c>
      <c r="F6046" s="67">
        <v>25250</v>
      </c>
      <c r="H6046" s="68">
        <v>40764</v>
      </c>
      <c r="I6046" s="67" t="s">
        <v>148</v>
      </c>
    </row>
    <row r="6047" spans="1:9" x14ac:dyDescent="0.25">
      <c r="B6047" s="67" t="s">
        <v>1799</v>
      </c>
      <c r="C6047" s="67">
        <v>0</v>
      </c>
      <c r="D6047" s="67">
        <v>0</v>
      </c>
      <c r="E6047" s="67">
        <v>83900.45</v>
      </c>
      <c r="H6047" s="67" t="s">
        <v>146</v>
      </c>
    </row>
    <row r="6049" spans="1:9" x14ac:dyDescent="0.25">
      <c r="A6049" s="67" t="s">
        <v>1798</v>
      </c>
      <c r="B6049" s="67" t="s">
        <v>1797</v>
      </c>
      <c r="C6049" s="67">
        <v>0</v>
      </c>
      <c r="D6049" s="67">
        <v>0</v>
      </c>
      <c r="E6049" s="67">
        <v>83900.41</v>
      </c>
      <c r="F6049" s="67">
        <v>25250</v>
      </c>
      <c r="H6049" s="68">
        <v>40764</v>
      </c>
      <c r="I6049" s="67" t="s">
        <v>148</v>
      </c>
    </row>
    <row r="6050" spans="1:9" x14ac:dyDescent="0.25">
      <c r="B6050" s="67" t="s">
        <v>1797</v>
      </c>
      <c r="C6050" s="67">
        <v>0</v>
      </c>
      <c r="D6050" s="67">
        <v>0</v>
      </c>
      <c r="E6050" s="67">
        <v>83900.45</v>
      </c>
      <c r="H6050" s="67" t="s">
        <v>146</v>
      </c>
    </row>
    <row r="6052" spans="1:9" x14ac:dyDescent="0.25">
      <c r="A6052" s="67" t="s">
        <v>1796</v>
      </c>
      <c r="B6052" s="67" t="s">
        <v>1795</v>
      </c>
      <c r="C6052" s="67">
        <v>0</v>
      </c>
      <c r="D6052" s="67">
        <v>0</v>
      </c>
      <c r="E6052" s="67">
        <v>83900.41</v>
      </c>
      <c r="F6052" s="67">
        <v>25250</v>
      </c>
      <c r="H6052" s="68">
        <v>40764</v>
      </c>
      <c r="I6052" s="67" t="s">
        <v>148</v>
      </c>
    </row>
    <row r="6053" spans="1:9" x14ac:dyDescent="0.25">
      <c r="B6053" s="67" t="s">
        <v>1795</v>
      </c>
      <c r="C6053" s="67">
        <v>0</v>
      </c>
      <c r="D6053" s="67">
        <v>0</v>
      </c>
      <c r="E6053" s="67">
        <v>83900.45</v>
      </c>
      <c r="H6053" s="67" t="s">
        <v>146</v>
      </c>
    </row>
    <row r="6055" spans="1:9" x14ac:dyDescent="0.25">
      <c r="A6055" s="67" t="s">
        <v>1794</v>
      </c>
      <c r="B6055" s="67" t="s">
        <v>1793</v>
      </c>
      <c r="C6055" s="67">
        <v>0</v>
      </c>
      <c r="D6055" s="67">
        <v>0</v>
      </c>
      <c r="E6055" s="67">
        <v>83900.41</v>
      </c>
      <c r="F6055" s="67">
        <v>25250</v>
      </c>
      <c r="H6055" s="68">
        <v>40764</v>
      </c>
      <c r="I6055" s="67" t="s">
        <v>148</v>
      </c>
    </row>
    <row r="6056" spans="1:9" x14ac:dyDescent="0.25">
      <c r="B6056" s="67" t="s">
        <v>1793</v>
      </c>
      <c r="C6056" s="67">
        <v>0</v>
      </c>
      <c r="D6056" s="67">
        <v>0</v>
      </c>
      <c r="E6056" s="67">
        <v>83900.45</v>
      </c>
      <c r="H6056" s="67" t="s">
        <v>146</v>
      </c>
    </row>
    <row r="6058" spans="1:9" x14ac:dyDescent="0.25">
      <c r="A6058" s="67" t="s">
        <v>1792</v>
      </c>
      <c r="B6058" s="67" t="s">
        <v>1791</v>
      </c>
      <c r="C6058" s="67">
        <v>0</v>
      </c>
      <c r="D6058" s="67">
        <v>0</v>
      </c>
      <c r="E6058" s="67">
        <v>83900.41</v>
      </c>
      <c r="F6058" s="67">
        <v>25250</v>
      </c>
      <c r="H6058" s="68">
        <v>40764</v>
      </c>
      <c r="I6058" s="67" t="s">
        <v>148</v>
      </c>
    </row>
    <row r="6059" spans="1:9" x14ac:dyDescent="0.25">
      <c r="B6059" s="67" t="s">
        <v>1791</v>
      </c>
      <c r="C6059" s="67">
        <v>0</v>
      </c>
      <c r="D6059" s="67">
        <v>0</v>
      </c>
      <c r="E6059" s="67">
        <v>83900.45</v>
      </c>
      <c r="H6059" s="67" t="s">
        <v>146</v>
      </c>
    </row>
    <row r="6061" spans="1:9" x14ac:dyDescent="0.25">
      <c r="A6061" s="67" t="s">
        <v>1790</v>
      </c>
      <c r="B6061" s="67" t="s">
        <v>1789</v>
      </c>
      <c r="C6061" s="67">
        <v>0</v>
      </c>
      <c r="D6061" s="67">
        <v>0</v>
      </c>
      <c r="E6061" s="67">
        <v>83900.41</v>
      </c>
      <c r="F6061" s="67">
        <v>25250</v>
      </c>
      <c r="H6061" s="68">
        <v>40764</v>
      </c>
      <c r="I6061" s="67" t="s">
        <v>148</v>
      </c>
    </row>
    <row r="6062" spans="1:9" x14ac:dyDescent="0.25">
      <c r="B6062" s="67" t="s">
        <v>1789</v>
      </c>
      <c r="C6062" s="67">
        <v>0</v>
      </c>
      <c r="D6062" s="67">
        <v>0</v>
      </c>
      <c r="E6062" s="67">
        <v>83900.45</v>
      </c>
      <c r="H6062" s="67" t="s">
        <v>146</v>
      </c>
    </row>
    <row r="6064" spans="1:9" x14ac:dyDescent="0.25">
      <c r="A6064" s="67" t="s">
        <v>1788</v>
      </c>
      <c r="B6064" s="67" t="s">
        <v>1787</v>
      </c>
      <c r="C6064" s="67">
        <v>0</v>
      </c>
      <c r="D6064" s="67">
        <v>0</v>
      </c>
      <c r="E6064" s="67">
        <v>83900.41</v>
      </c>
      <c r="F6064" s="67">
        <v>25250</v>
      </c>
      <c r="H6064" s="68">
        <v>40764</v>
      </c>
      <c r="I6064" s="67" t="s">
        <v>148</v>
      </c>
    </row>
    <row r="6065" spans="1:9" x14ac:dyDescent="0.25">
      <c r="B6065" s="67" t="s">
        <v>1787</v>
      </c>
      <c r="C6065" s="67">
        <v>0</v>
      </c>
      <c r="D6065" s="67">
        <v>0</v>
      </c>
      <c r="E6065" s="67">
        <v>83900.45</v>
      </c>
      <c r="H6065" s="67" t="s">
        <v>146</v>
      </c>
    </row>
    <row r="6067" spans="1:9" x14ac:dyDescent="0.25">
      <c r="A6067" s="67" t="s">
        <v>1786</v>
      </c>
      <c r="B6067" s="67" t="s">
        <v>1785</v>
      </c>
      <c r="C6067" s="67">
        <v>0</v>
      </c>
      <c r="D6067" s="67">
        <v>0</v>
      </c>
      <c r="E6067" s="67">
        <v>83900.41</v>
      </c>
      <c r="F6067" s="67">
        <v>25250</v>
      </c>
      <c r="H6067" s="68">
        <v>40764</v>
      </c>
      <c r="I6067" s="67" t="s">
        <v>148</v>
      </c>
    </row>
    <row r="6068" spans="1:9" x14ac:dyDescent="0.25">
      <c r="B6068" s="67" t="s">
        <v>1785</v>
      </c>
      <c r="C6068" s="67">
        <v>0</v>
      </c>
      <c r="D6068" s="67">
        <v>0</v>
      </c>
      <c r="E6068" s="67">
        <v>83900.45</v>
      </c>
      <c r="H6068" s="67" t="s">
        <v>146</v>
      </c>
    </row>
    <row r="6070" spans="1:9" x14ac:dyDescent="0.25">
      <c r="A6070" s="67" t="s">
        <v>1784</v>
      </c>
      <c r="B6070" s="67" t="s">
        <v>1783</v>
      </c>
      <c r="C6070" s="67">
        <v>0</v>
      </c>
      <c r="D6070" s="67">
        <v>0</v>
      </c>
      <c r="E6070" s="67">
        <v>83900.41</v>
      </c>
      <c r="F6070" s="67">
        <v>25250</v>
      </c>
      <c r="H6070" s="68">
        <v>40764</v>
      </c>
      <c r="I6070" s="67" t="s">
        <v>148</v>
      </c>
    </row>
    <row r="6071" spans="1:9" x14ac:dyDescent="0.25">
      <c r="B6071" s="67" t="s">
        <v>1783</v>
      </c>
      <c r="C6071" s="67">
        <v>0</v>
      </c>
      <c r="D6071" s="67">
        <v>0</v>
      </c>
      <c r="E6071" s="67">
        <v>83900.45</v>
      </c>
      <c r="H6071" s="67" t="s">
        <v>146</v>
      </c>
    </row>
    <row r="6073" spans="1:9" x14ac:dyDescent="0.25">
      <c r="A6073" s="67" t="s">
        <v>1782</v>
      </c>
      <c r="B6073" s="67" t="s">
        <v>1781</v>
      </c>
      <c r="C6073" s="67">
        <v>0</v>
      </c>
      <c r="D6073" s="67">
        <v>0</v>
      </c>
      <c r="E6073" s="67">
        <v>83900.41</v>
      </c>
      <c r="F6073" s="67">
        <v>25250</v>
      </c>
      <c r="H6073" s="68">
        <v>40764</v>
      </c>
      <c r="I6073" s="67" t="s">
        <v>148</v>
      </c>
    </row>
    <row r="6074" spans="1:9" x14ac:dyDescent="0.25">
      <c r="B6074" s="67" t="s">
        <v>1781</v>
      </c>
      <c r="C6074" s="67">
        <v>0</v>
      </c>
      <c r="D6074" s="67">
        <v>0</v>
      </c>
      <c r="E6074" s="67">
        <v>83900.45</v>
      </c>
      <c r="H6074" s="67" t="s">
        <v>146</v>
      </c>
    </row>
    <row r="6076" spans="1:9" x14ac:dyDescent="0.25">
      <c r="A6076" s="67" t="s">
        <v>1780</v>
      </c>
      <c r="B6076" s="67" t="s">
        <v>1779</v>
      </c>
      <c r="C6076" s="67">
        <v>0</v>
      </c>
      <c r="D6076" s="67">
        <v>0</v>
      </c>
      <c r="E6076" s="67">
        <v>83900.41</v>
      </c>
      <c r="F6076" s="67">
        <v>25250</v>
      </c>
      <c r="H6076" s="68">
        <v>40764</v>
      </c>
      <c r="I6076" s="67" t="s">
        <v>148</v>
      </c>
    </row>
    <row r="6077" spans="1:9" x14ac:dyDescent="0.25">
      <c r="B6077" s="67" t="s">
        <v>1779</v>
      </c>
      <c r="C6077" s="67">
        <v>0</v>
      </c>
      <c r="D6077" s="67">
        <v>0</v>
      </c>
      <c r="E6077" s="67">
        <v>83900.45</v>
      </c>
      <c r="H6077" s="67" t="s">
        <v>146</v>
      </c>
    </row>
    <row r="6079" spans="1:9" x14ac:dyDescent="0.25">
      <c r="A6079" s="67" t="s">
        <v>1778</v>
      </c>
      <c r="B6079" s="67" t="s">
        <v>1777</v>
      </c>
      <c r="C6079" s="67">
        <v>0</v>
      </c>
      <c r="D6079" s="67">
        <v>0</v>
      </c>
      <c r="E6079" s="67">
        <v>83900.41</v>
      </c>
      <c r="F6079" s="67">
        <v>25250</v>
      </c>
      <c r="H6079" s="68">
        <v>40764</v>
      </c>
      <c r="I6079" s="67" t="s">
        <v>148</v>
      </c>
    </row>
    <row r="6080" spans="1:9" x14ac:dyDescent="0.25">
      <c r="B6080" s="67" t="s">
        <v>1777</v>
      </c>
      <c r="C6080" s="67">
        <v>0</v>
      </c>
      <c r="D6080" s="67">
        <v>0</v>
      </c>
      <c r="E6080" s="67">
        <v>83900.45</v>
      </c>
      <c r="H6080" s="67" t="s">
        <v>146</v>
      </c>
    </row>
    <row r="6082" spans="1:9" x14ac:dyDescent="0.25">
      <c r="A6082" s="67" t="s">
        <v>1776</v>
      </c>
      <c r="B6082" s="67" t="s">
        <v>1775</v>
      </c>
      <c r="C6082" s="67">
        <v>0</v>
      </c>
      <c r="D6082" s="67">
        <v>0</v>
      </c>
      <c r="E6082" s="67">
        <v>83900.41</v>
      </c>
      <c r="F6082" s="67">
        <v>25250</v>
      </c>
      <c r="H6082" s="68">
        <v>40764</v>
      </c>
      <c r="I6082" s="67" t="s">
        <v>148</v>
      </c>
    </row>
    <row r="6083" spans="1:9" x14ac:dyDescent="0.25">
      <c r="B6083" s="67" t="s">
        <v>1775</v>
      </c>
      <c r="C6083" s="67">
        <v>0</v>
      </c>
      <c r="D6083" s="67">
        <v>0</v>
      </c>
      <c r="E6083" s="67">
        <v>83900.45</v>
      </c>
      <c r="H6083" s="67" t="s">
        <v>146</v>
      </c>
    </row>
    <row r="6085" spans="1:9" x14ac:dyDescent="0.25">
      <c r="A6085" s="67" t="s">
        <v>1774</v>
      </c>
      <c r="B6085" s="67" t="s">
        <v>1773</v>
      </c>
      <c r="C6085" s="67">
        <v>0</v>
      </c>
      <c r="D6085" s="67">
        <v>0</v>
      </c>
      <c r="E6085" s="67">
        <v>83900.41</v>
      </c>
      <c r="F6085" s="67">
        <v>25250</v>
      </c>
      <c r="H6085" s="68">
        <v>40764</v>
      </c>
      <c r="I6085" s="67" t="s">
        <v>148</v>
      </c>
    </row>
    <row r="6086" spans="1:9" x14ac:dyDescent="0.25">
      <c r="B6086" s="67" t="s">
        <v>1773</v>
      </c>
      <c r="C6086" s="67">
        <v>0</v>
      </c>
      <c r="D6086" s="67">
        <v>0</v>
      </c>
      <c r="E6086" s="67">
        <v>83900.45</v>
      </c>
      <c r="H6086" s="67" t="s">
        <v>146</v>
      </c>
    </row>
    <row r="6088" spans="1:9" x14ac:dyDescent="0.25">
      <c r="A6088" s="67" t="s">
        <v>1772</v>
      </c>
      <c r="B6088" s="67" t="s">
        <v>1771</v>
      </c>
      <c r="C6088" s="67">
        <v>0</v>
      </c>
      <c r="D6088" s="67">
        <v>0</v>
      </c>
      <c r="E6088" s="67">
        <v>83900.41</v>
      </c>
      <c r="F6088" s="67">
        <v>25250</v>
      </c>
      <c r="H6088" s="68">
        <v>40764</v>
      </c>
      <c r="I6088" s="67" t="s">
        <v>148</v>
      </c>
    </row>
    <row r="6089" spans="1:9" x14ac:dyDescent="0.25">
      <c r="B6089" s="67" t="s">
        <v>1771</v>
      </c>
      <c r="C6089" s="67">
        <v>0</v>
      </c>
      <c r="D6089" s="67">
        <v>0</v>
      </c>
      <c r="E6089" s="67">
        <v>83900.45</v>
      </c>
      <c r="H6089" s="67" t="s">
        <v>146</v>
      </c>
    </row>
    <row r="6091" spans="1:9" x14ac:dyDescent="0.25">
      <c r="A6091" s="67" t="s">
        <v>1770</v>
      </c>
      <c r="B6091" s="67" t="s">
        <v>1769</v>
      </c>
      <c r="C6091" s="67">
        <v>0</v>
      </c>
      <c r="D6091" s="67">
        <v>0</v>
      </c>
      <c r="E6091" s="67">
        <v>83900.41</v>
      </c>
      <c r="F6091" s="67">
        <v>25250</v>
      </c>
      <c r="H6091" s="68">
        <v>40764</v>
      </c>
      <c r="I6091" s="67" t="s">
        <v>148</v>
      </c>
    </row>
    <row r="6092" spans="1:9" x14ac:dyDescent="0.25">
      <c r="B6092" s="67" t="s">
        <v>1769</v>
      </c>
      <c r="C6092" s="67">
        <v>0</v>
      </c>
      <c r="D6092" s="67">
        <v>0</v>
      </c>
      <c r="E6092" s="67">
        <v>83900.45</v>
      </c>
      <c r="H6092" s="67" t="s">
        <v>146</v>
      </c>
    </row>
    <row r="6094" spans="1:9" x14ac:dyDescent="0.25">
      <c r="A6094" s="67" t="s">
        <v>1768</v>
      </c>
      <c r="B6094" s="67" t="s">
        <v>1767</v>
      </c>
      <c r="C6094" s="67">
        <v>0</v>
      </c>
      <c r="D6094" s="67">
        <v>0</v>
      </c>
      <c r="E6094" s="67">
        <v>83900.41</v>
      </c>
      <c r="F6094" s="67">
        <v>25250</v>
      </c>
      <c r="H6094" s="68">
        <v>40764</v>
      </c>
      <c r="I6094" s="67" t="s">
        <v>148</v>
      </c>
    </row>
    <row r="6095" spans="1:9" x14ac:dyDescent="0.25">
      <c r="B6095" s="67" t="s">
        <v>1767</v>
      </c>
      <c r="C6095" s="67">
        <v>0</v>
      </c>
      <c r="D6095" s="67">
        <v>0</v>
      </c>
      <c r="E6095" s="67">
        <v>83900.45</v>
      </c>
      <c r="H6095" s="67" t="s">
        <v>146</v>
      </c>
    </row>
    <row r="6096" spans="1:9" x14ac:dyDescent="0.25">
      <c r="A6096" s="67" t="s">
        <v>233</v>
      </c>
    </row>
    <row r="6098" spans="1:9" x14ac:dyDescent="0.25">
      <c r="A6098" s="67" t="s">
        <v>232</v>
      </c>
      <c r="D6098" s="67" t="s">
        <v>231</v>
      </c>
      <c r="H6098" s="67" t="s">
        <v>148</v>
      </c>
      <c r="I6098" s="67" t="s">
        <v>230</v>
      </c>
    </row>
    <row r="6099" spans="1:9" x14ac:dyDescent="0.25">
      <c r="A6099" s="67">
        <v>41.1</v>
      </c>
      <c r="C6099" s="67" t="s">
        <v>215</v>
      </c>
      <c r="D6099" s="67" t="s">
        <v>229</v>
      </c>
      <c r="H6099" s="70">
        <v>44771</v>
      </c>
      <c r="I6099" s="69">
        <v>0.56736111111111109</v>
      </c>
    </row>
    <row r="6100" spans="1:9" x14ac:dyDescent="0.25">
      <c r="A6100" s="67" t="s">
        <v>228</v>
      </c>
      <c r="C6100" s="67" t="s">
        <v>227</v>
      </c>
      <c r="D6100" s="67" t="s">
        <v>226</v>
      </c>
      <c r="E6100" s="67">
        <v>589</v>
      </c>
      <c r="H6100" s="67" t="s">
        <v>225</v>
      </c>
      <c r="I6100" s="67">
        <v>106</v>
      </c>
    </row>
    <row r="6101" spans="1:9" x14ac:dyDescent="0.25">
      <c r="A6101" s="67" t="s">
        <v>884</v>
      </c>
    </row>
    <row r="6102" spans="1:9" x14ac:dyDescent="0.25">
      <c r="A6102" s="67" t="s">
        <v>223</v>
      </c>
      <c r="B6102" s="67" t="s">
        <v>222</v>
      </c>
      <c r="C6102" s="67" t="s">
        <v>221</v>
      </c>
      <c r="D6102" s="67" t="s">
        <v>220</v>
      </c>
      <c r="E6102" s="67" t="s">
        <v>219</v>
      </c>
      <c r="F6102" s="67" t="s">
        <v>217</v>
      </c>
      <c r="G6102" s="67" t="s">
        <v>218</v>
      </c>
      <c r="H6102" s="67" t="s">
        <v>217</v>
      </c>
      <c r="I6102" s="67" t="s">
        <v>216</v>
      </c>
    </row>
    <row r="6103" spans="1:9" x14ac:dyDescent="0.25">
      <c r="A6103" s="67" t="s">
        <v>215</v>
      </c>
      <c r="B6103" s="67" t="s">
        <v>214</v>
      </c>
      <c r="C6103" s="67" t="s">
        <v>213</v>
      </c>
      <c r="D6103" s="67" t="s">
        <v>212</v>
      </c>
      <c r="E6103" s="67" t="s">
        <v>211</v>
      </c>
      <c r="F6103" s="67" t="s">
        <v>210</v>
      </c>
      <c r="G6103" s="67" t="s">
        <v>209</v>
      </c>
      <c r="H6103" s="67" t="s">
        <v>208</v>
      </c>
      <c r="I6103" s="67" t="s">
        <v>207</v>
      </c>
    </row>
    <row r="6104" spans="1:9" x14ac:dyDescent="0.25">
      <c r="A6104" s="67" t="s">
        <v>206</v>
      </c>
      <c r="B6104" s="67" t="s">
        <v>205</v>
      </c>
      <c r="C6104" s="67" t="s">
        <v>204</v>
      </c>
      <c r="D6104" s="67" t="s">
        <v>203</v>
      </c>
      <c r="E6104" s="67" t="s">
        <v>202</v>
      </c>
      <c r="F6104" s="67" t="s">
        <v>201</v>
      </c>
      <c r="G6104" s="67" t="s">
        <v>200</v>
      </c>
      <c r="H6104" s="67" t="s">
        <v>199</v>
      </c>
    </row>
    <row r="6105" spans="1:9" x14ac:dyDescent="0.25">
      <c r="A6105" s="67" t="s">
        <v>1766</v>
      </c>
      <c r="B6105" s="67" t="s">
        <v>1765</v>
      </c>
      <c r="C6105" s="67">
        <v>0</v>
      </c>
      <c r="D6105" s="67">
        <v>0</v>
      </c>
      <c r="E6105" s="67">
        <v>83900.41</v>
      </c>
      <c r="F6105" s="67">
        <v>25250</v>
      </c>
      <c r="H6105" s="68">
        <v>40764</v>
      </c>
      <c r="I6105" s="67" t="s">
        <v>148</v>
      </c>
    </row>
    <row r="6106" spans="1:9" x14ac:dyDescent="0.25">
      <c r="B6106" s="67" t="s">
        <v>1765</v>
      </c>
      <c r="C6106" s="67">
        <v>0</v>
      </c>
      <c r="D6106" s="67">
        <v>0</v>
      </c>
      <c r="E6106" s="67">
        <v>83900.45</v>
      </c>
      <c r="H6106" s="67" t="s">
        <v>146</v>
      </c>
    </row>
    <row r="6108" spans="1:9" x14ac:dyDescent="0.25">
      <c r="A6108" s="67" t="s">
        <v>1764</v>
      </c>
      <c r="B6108" s="67" t="s">
        <v>1763</v>
      </c>
      <c r="C6108" s="67">
        <v>0</v>
      </c>
      <c r="D6108" s="67">
        <v>0</v>
      </c>
      <c r="E6108" s="67">
        <v>83900.41</v>
      </c>
      <c r="F6108" s="67">
        <v>25250</v>
      </c>
      <c r="H6108" s="68">
        <v>40764</v>
      </c>
      <c r="I6108" s="67" t="s">
        <v>148</v>
      </c>
    </row>
    <row r="6109" spans="1:9" x14ac:dyDescent="0.25">
      <c r="B6109" s="67" t="s">
        <v>1763</v>
      </c>
      <c r="C6109" s="67">
        <v>0</v>
      </c>
      <c r="D6109" s="67">
        <v>0</v>
      </c>
      <c r="E6109" s="67">
        <v>83900.45</v>
      </c>
      <c r="H6109" s="67" t="s">
        <v>146</v>
      </c>
    </row>
    <row r="6111" spans="1:9" x14ac:dyDescent="0.25">
      <c r="A6111" s="67" t="s">
        <v>1762</v>
      </c>
      <c r="B6111" s="67" t="s">
        <v>1761</v>
      </c>
      <c r="C6111" s="67">
        <v>0</v>
      </c>
      <c r="D6111" s="67">
        <v>0</v>
      </c>
      <c r="E6111" s="67">
        <v>83900.41</v>
      </c>
      <c r="F6111" s="67">
        <v>25250</v>
      </c>
      <c r="H6111" s="68">
        <v>40764</v>
      </c>
      <c r="I6111" s="67" t="s">
        <v>148</v>
      </c>
    </row>
    <row r="6112" spans="1:9" x14ac:dyDescent="0.25">
      <c r="B6112" s="67" t="s">
        <v>1761</v>
      </c>
      <c r="C6112" s="67">
        <v>0</v>
      </c>
      <c r="D6112" s="67">
        <v>0</v>
      </c>
      <c r="E6112" s="67">
        <v>83900.45</v>
      </c>
      <c r="H6112" s="67" t="s">
        <v>146</v>
      </c>
    </row>
    <row r="6114" spans="1:9" x14ac:dyDescent="0.25">
      <c r="A6114" s="67" t="s">
        <v>1760</v>
      </c>
      <c r="B6114" s="67" t="s">
        <v>1759</v>
      </c>
      <c r="C6114" s="67">
        <v>0</v>
      </c>
      <c r="D6114" s="67">
        <v>0</v>
      </c>
      <c r="E6114" s="67">
        <v>83900.41</v>
      </c>
      <c r="F6114" s="67">
        <v>25250</v>
      </c>
      <c r="H6114" s="68">
        <v>40764</v>
      </c>
      <c r="I6114" s="67" t="s">
        <v>148</v>
      </c>
    </row>
    <row r="6115" spans="1:9" x14ac:dyDescent="0.25">
      <c r="B6115" s="67" t="s">
        <v>1759</v>
      </c>
      <c r="C6115" s="67">
        <v>0</v>
      </c>
      <c r="D6115" s="67">
        <v>0</v>
      </c>
      <c r="E6115" s="67">
        <v>83900.45</v>
      </c>
      <c r="H6115" s="67" t="s">
        <v>146</v>
      </c>
    </row>
    <row r="6117" spans="1:9" x14ac:dyDescent="0.25">
      <c r="A6117" s="67" t="s">
        <v>1758</v>
      </c>
      <c r="B6117" s="67" t="s">
        <v>1757</v>
      </c>
      <c r="C6117" s="67">
        <v>0</v>
      </c>
      <c r="D6117" s="67">
        <v>0</v>
      </c>
      <c r="E6117" s="67">
        <v>83900.41</v>
      </c>
      <c r="F6117" s="67">
        <v>25250</v>
      </c>
      <c r="H6117" s="68">
        <v>40764</v>
      </c>
      <c r="I6117" s="67" t="s">
        <v>148</v>
      </c>
    </row>
    <row r="6118" spans="1:9" x14ac:dyDescent="0.25">
      <c r="B6118" s="67" t="s">
        <v>1757</v>
      </c>
      <c r="C6118" s="67">
        <v>0</v>
      </c>
      <c r="D6118" s="67">
        <v>0</v>
      </c>
      <c r="E6118" s="67">
        <v>83900.45</v>
      </c>
      <c r="H6118" s="67" t="s">
        <v>146</v>
      </c>
    </row>
    <row r="6120" spans="1:9" x14ac:dyDescent="0.25">
      <c r="A6120" s="67" t="s">
        <v>1756</v>
      </c>
      <c r="B6120" s="67" t="s">
        <v>1755</v>
      </c>
      <c r="C6120" s="67">
        <v>0</v>
      </c>
      <c r="D6120" s="67">
        <v>0</v>
      </c>
      <c r="E6120" s="67">
        <v>83900.41</v>
      </c>
      <c r="F6120" s="67">
        <v>25250</v>
      </c>
      <c r="H6120" s="68">
        <v>40764</v>
      </c>
      <c r="I6120" s="67" t="s">
        <v>148</v>
      </c>
    </row>
    <row r="6121" spans="1:9" x14ac:dyDescent="0.25">
      <c r="B6121" s="67" t="s">
        <v>1755</v>
      </c>
      <c r="C6121" s="67">
        <v>0</v>
      </c>
      <c r="D6121" s="67">
        <v>0</v>
      </c>
      <c r="E6121" s="67">
        <v>83900.45</v>
      </c>
      <c r="H6121" s="67" t="s">
        <v>146</v>
      </c>
    </row>
    <row r="6123" spans="1:9" x14ac:dyDescent="0.25">
      <c r="A6123" s="67" t="s">
        <v>1754</v>
      </c>
      <c r="B6123" s="67" t="s">
        <v>1753</v>
      </c>
      <c r="C6123" s="67">
        <v>0</v>
      </c>
      <c r="D6123" s="67">
        <v>0</v>
      </c>
      <c r="E6123" s="67">
        <v>83900.41</v>
      </c>
      <c r="F6123" s="67">
        <v>25250</v>
      </c>
      <c r="H6123" s="68">
        <v>40764</v>
      </c>
      <c r="I6123" s="67" t="s">
        <v>148</v>
      </c>
    </row>
    <row r="6124" spans="1:9" x14ac:dyDescent="0.25">
      <c r="B6124" s="67" t="s">
        <v>1753</v>
      </c>
      <c r="C6124" s="67">
        <v>0</v>
      </c>
      <c r="D6124" s="67">
        <v>0</v>
      </c>
      <c r="E6124" s="67">
        <v>83900.45</v>
      </c>
      <c r="H6124" s="67" t="s">
        <v>146</v>
      </c>
    </row>
    <row r="6126" spans="1:9" x14ac:dyDescent="0.25">
      <c r="A6126" s="67" t="s">
        <v>1752</v>
      </c>
      <c r="B6126" s="67" t="s">
        <v>1751</v>
      </c>
      <c r="C6126" s="67">
        <v>0</v>
      </c>
      <c r="D6126" s="67">
        <v>0</v>
      </c>
      <c r="E6126" s="67">
        <v>83900.41</v>
      </c>
      <c r="F6126" s="67">
        <v>25250</v>
      </c>
      <c r="H6126" s="68">
        <v>40764</v>
      </c>
      <c r="I6126" s="67" t="s">
        <v>148</v>
      </c>
    </row>
    <row r="6127" spans="1:9" x14ac:dyDescent="0.25">
      <c r="B6127" s="67" t="s">
        <v>1751</v>
      </c>
      <c r="C6127" s="67">
        <v>0</v>
      </c>
      <c r="D6127" s="67">
        <v>0</v>
      </c>
      <c r="E6127" s="67">
        <v>83900.45</v>
      </c>
      <c r="H6127" s="67" t="s">
        <v>146</v>
      </c>
    </row>
    <row r="6129" spans="1:9" x14ac:dyDescent="0.25">
      <c r="A6129" s="67" t="s">
        <v>1750</v>
      </c>
      <c r="B6129" s="67" t="s">
        <v>1749</v>
      </c>
      <c r="C6129" s="67">
        <v>0</v>
      </c>
      <c r="D6129" s="67">
        <v>0</v>
      </c>
      <c r="E6129" s="67">
        <v>83900.41</v>
      </c>
      <c r="F6129" s="67">
        <v>25250</v>
      </c>
      <c r="H6129" s="68">
        <v>40764</v>
      </c>
      <c r="I6129" s="67" t="s">
        <v>148</v>
      </c>
    </row>
    <row r="6130" spans="1:9" x14ac:dyDescent="0.25">
      <c r="B6130" s="67" t="s">
        <v>1749</v>
      </c>
      <c r="C6130" s="67">
        <v>0</v>
      </c>
      <c r="D6130" s="67">
        <v>0</v>
      </c>
      <c r="E6130" s="67">
        <v>83900.45</v>
      </c>
      <c r="H6130" s="67" t="s">
        <v>146</v>
      </c>
    </row>
    <row r="6132" spans="1:9" x14ac:dyDescent="0.25">
      <c r="A6132" s="67" t="s">
        <v>1748</v>
      </c>
      <c r="B6132" s="67" t="s">
        <v>1747</v>
      </c>
      <c r="C6132" s="67">
        <v>0</v>
      </c>
      <c r="D6132" s="67">
        <v>0</v>
      </c>
      <c r="E6132" s="67">
        <v>83900.41</v>
      </c>
      <c r="F6132" s="67">
        <v>25250</v>
      </c>
      <c r="H6132" s="68">
        <v>40764</v>
      </c>
      <c r="I6132" s="67" t="s">
        <v>148</v>
      </c>
    </row>
    <row r="6133" spans="1:9" x14ac:dyDescent="0.25">
      <c r="B6133" s="67" t="s">
        <v>1747</v>
      </c>
      <c r="C6133" s="67">
        <v>0</v>
      </c>
      <c r="D6133" s="67">
        <v>0</v>
      </c>
      <c r="E6133" s="67">
        <v>83900.45</v>
      </c>
      <c r="H6133" s="67" t="s">
        <v>146</v>
      </c>
    </row>
    <row r="6135" spans="1:9" x14ac:dyDescent="0.25">
      <c r="A6135" s="67" t="s">
        <v>1746</v>
      </c>
      <c r="B6135" s="67" t="s">
        <v>1745</v>
      </c>
      <c r="C6135" s="67">
        <v>0</v>
      </c>
      <c r="D6135" s="67">
        <v>0</v>
      </c>
      <c r="E6135" s="67">
        <v>83900.41</v>
      </c>
      <c r="F6135" s="67">
        <v>25250</v>
      </c>
      <c r="H6135" s="68">
        <v>40764</v>
      </c>
      <c r="I6135" s="67" t="s">
        <v>148</v>
      </c>
    </row>
    <row r="6136" spans="1:9" x14ac:dyDescent="0.25">
      <c r="B6136" s="67" t="s">
        <v>1745</v>
      </c>
      <c r="C6136" s="67">
        <v>0</v>
      </c>
      <c r="D6136" s="67">
        <v>0</v>
      </c>
      <c r="E6136" s="67">
        <v>83900.45</v>
      </c>
      <c r="H6136" s="67" t="s">
        <v>146</v>
      </c>
    </row>
    <row r="6138" spans="1:9" x14ac:dyDescent="0.25">
      <c r="A6138" s="67" t="s">
        <v>1744</v>
      </c>
      <c r="B6138" s="67" t="s">
        <v>1743</v>
      </c>
      <c r="C6138" s="67">
        <v>0</v>
      </c>
      <c r="D6138" s="67">
        <v>0</v>
      </c>
      <c r="E6138" s="67">
        <v>83900.41</v>
      </c>
      <c r="F6138" s="67">
        <v>25250</v>
      </c>
      <c r="H6138" s="68">
        <v>40764</v>
      </c>
      <c r="I6138" s="67" t="s">
        <v>148</v>
      </c>
    </row>
    <row r="6139" spans="1:9" x14ac:dyDescent="0.25">
      <c r="B6139" s="67" t="s">
        <v>1743</v>
      </c>
      <c r="C6139" s="67">
        <v>0</v>
      </c>
      <c r="D6139" s="67">
        <v>0</v>
      </c>
      <c r="E6139" s="67">
        <v>83900.45</v>
      </c>
      <c r="H6139" s="67" t="s">
        <v>146</v>
      </c>
    </row>
    <row r="6141" spans="1:9" x14ac:dyDescent="0.25">
      <c r="A6141" s="67" t="s">
        <v>1742</v>
      </c>
      <c r="B6141" s="67" t="s">
        <v>1741</v>
      </c>
      <c r="C6141" s="67">
        <v>0</v>
      </c>
      <c r="D6141" s="67">
        <v>0</v>
      </c>
      <c r="E6141" s="67">
        <v>83900.41</v>
      </c>
      <c r="F6141" s="67">
        <v>25250</v>
      </c>
      <c r="H6141" s="68">
        <v>40764</v>
      </c>
      <c r="I6141" s="67" t="s">
        <v>148</v>
      </c>
    </row>
    <row r="6142" spans="1:9" x14ac:dyDescent="0.25">
      <c r="B6142" s="67" t="s">
        <v>1741</v>
      </c>
      <c r="C6142" s="67">
        <v>0</v>
      </c>
      <c r="D6142" s="67">
        <v>0</v>
      </c>
      <c r="E6142" s="67">
        <v>83900.45</v>
      </c>
      <c r="H6142" s="67" t="s">
        <v>146</v>
      </c>
    </row>
    <row r="6144" spans="1:9" x14ac:dyDescent="0.25">
      <c r="A6144" s="67" t="s">
        <v>1740</v>
      </c>
      <c r="B6144" s="67" t="s">
        <v>1739</v>
      </c>
      <c r="C6144" s="67">
        <v>0</v>
      </c>
      <c r="D6144" s="67">
        <v>0</v>
      </c>
      <c r="E6144" s="67">
        <v>83900.41</v>
      </c>
      <c r="F6144" s="67">
        <v>25250</v>
      </c>
      <c r="H6144" s="68">
        <v>40764</v>
      </c>
      <c r="I6144" s="67" t="s">
        <v>148</v>
      </c>
    </row>
    <row r="6145" spans="1:9" x14ac:dyDescent="0.25">
      <c r="B6145" s="67" t="s">
        <v>1739</v>
      </c>
      <c r="C6145" s="67">
        <v>0</v>
      </c>
      <c r="D6145" s="67">
        <v>0</v>
      </c>
      <c r="E6145" s="67">
        <v>83900.45</v>
      </c>
      <c r="H6145" s="67" t="s">
        <v>146</v>
      </c>
    </row>
    <row r="6147" spans="1:9" x14ac:dyDescent="0.25">
      <c r="A6147" s="67" t="s">
        <v>1738</v>
      </c>
      <c r="B6147" s="67" t="s">
        <v>1737</v>
      </c>
      <c r="C6147" s="67">
        <v>0</v>
      </c>
      <c r="D6147" s="67">
        <v>0</v>
      </c>
      <c r="E6147" s="67">
        <v>83900.41</v>
      </c>
      <c r="F6147" s="67">
        <v>25250</v>
      </c>
      <c r="H6147" s="68">
        <v>40764</v>
      </c>
      <c r="I6147" s="67" t="s">
        <v>148</v>
      </c>
    </row>
    <row r="6148" spans="1:9" x14ac:dyDescent="0.25">
      <c r="B6148" s="67" t="s">
        <v>1737</v>
      </c>
      <c r="C6148" s="67">
        <v>0</v>
      </c>
      <c r="D6148" s="67">
        <v>0</v>
      </c>
      <c r="E6148" s="67">
        <v>83900.45</v>
      </c>
      <c r="H6148" s="67" t="s">
        <v>146</v>
      </c>
    </row>
    <row r="6150" spans="1:9" x14ac:dyDescent="0.25">
      <c r="A6150" s="67" t="s">
        <v>1736</v>
      </c>
      <c r="B6150" s="67" t="s">
        <v>1735</v>
      </c>
      <c r="C6150" s="67">
        <v>0</v>
      </c>
      <c r="D6150" s="67">
        <v>0</v>
      </c>
      <c r="E6150" s="67">
        <v>83900.41</v>
      </c>
      <c r="F6150" s="67">
        <v>25250</v>
      </c>
      <c r="H6150" s="68">
        <v>40764</v>
      </c>
      <c r="I6150" s="67" t="s">
        <v>148</v>
      </c>
    </row>
    <row r="6151" spans="1:9" x14ac:dyDescent="0.25">
      <c r="B6151" s="67" t="s">
        <v>1735</v>
      </c>
      <c r="C6151" s="67">
        <v>0</v>
      </c>
      <c r="D6151" s="67">
        <v>0</v>
      </c>
      <c r="E6151" s="67">
        <v>83900.45</v>
      </c>
      <c r="H6151" s="67" t="s">
        <v>146</v>
      </c>
    </row>
    <row r="6153" spans="1:9" x14ac:dyDescent="0.25">
      <c r="A6153" s="67" t="s">
        <v>1734</v>
      </c>
      <c r="B6153" s="67" t="s">
        <v>1733</v>
      </c>
      <c r="C6153" s="67">
        <v>0</v>
      </c>
      <c r="D6153" s="67">
        <v>0</v>
      </c>
      <c r="E6153" s="67">
        <v>83900.41</v>
      </c>
      <c r="F6153" s="67">
        <v>25250</v>
      </c>
      <c r="H6153" s="68">
        <v>40764</v>
      </c>
      <c r="I6153" s="67" t="s">
        <v>148</v>
      </c>
    </row>
    <row r="6154" spans="1:9" x14ac:dyDescent="0.25">
      <c r="B6154" s="67" t="s">
        <v>1733</v>
      </c>
      <c r="C6154" s="67">
        <v>0</v>
      </c>
      <c r="D6154" s="67">
        <v>0</v>
      </c>
      <c r="E6154" s="67">
        <v>83900.45</v>
      </c>
      <c r="H6154" s="67" t="s">
        <v>146</v>
      </c>
    </row>
    <row r="6155" spans="1:9" x14ac:dyDescent="0.25">
      <c r="A6155" s="67" t="s">
        <v>233</v>
      </c>
    </row>
    <row r="6157" spans="1:9" x14ac:dyDescent="0.25">
      <c r="A6157" s="67" t="s">
        <v>232</v>
      </c>
      <c r="D6157" s="67" t="s">
        <v>231</v>
      </c>
      <c r="H6157" s="67" t="s">
        <v>148</v>
      </c>
      <c r="I6157" s="67" t="s">
        <v>230</v>
      </c>
    </row>
    <row r="6158" spans="1:9" x14ac:dyDescent="0.25">
      <c r="A6158" s="67">
        <v>41.1</v>
      </c>
      <c r="C6158" s="67" t="s">
        <v>215</v>
      </c>
      <c r="D6158" s="67" t="s">
        <v>229</v>
      </c>
      <c r="H6158" s="70">
        <v>44771</v>
      </c>
      <c r="I6158" s="69">
        <v>0.56736111111111109</v>
      </c>
    </row>
    <row r="6159" spans="1:9" x14ac:dyDescent="0.25">
      <c r="A6159" s="67" t="s">
        <v>228</v>
      </c>
      <c r="C6159" s="67" t="s">
        <v>227</v>
      </c>
      <c r="D6159" s="67" t="s">
        <v>226</v>
      </c>
      <c r="E6159" s="67">
        <v>589</v>
      </c>
      <c r="H6159" s="67" t="s">
        <v>225</v>
      </c>
      <c r="I6159" s="67">
        <v>107</v>
      </c>
    </row>
    <row r="6160" spans="1:9" x14ac:dyDescent="0.25">
      <c r="A6160" s="67" t="s">
        <v>884</v>
      </c>
    </row>
    <row r="6161" spans="1:9" x14ac:dyDescent="0.25">
      <c r="A6161" s="67" t="s">
        <v>223</v>
      </c>
      <c r="B6161" s="67" t="s">
        <v>222</v>
      </c>
      <c r="C6161" s="67" t="s">
        <v>221</v>
      </c>
      <c r="D6161" s="67" t="s">
        <v>220</v>
      </c>
      <c r="E6161" s="67" t="s">
        <v>219</v>
      </c>
      <c r="F6161" s="67" t="s">
        <v>217</v>
      </c>
      <c r="G6161" s="67" t="s">
        <v>218</v>
      </c>
      <c r="H6161" s="67" t="s">
        <v>217</v>
      </c>
      <c r="I6161" s="67" t="s">
        <v>216</v>
      </c>
    </row>
    <row r="6162" spans="1:9" x14ac:dyDescent="0.25">
      <c r="A6162" s="67" t="s">
        <v>215</v>
      </c>
      <c r="B6162" s="67" t="s">
        <v>214</v>
      </c>
      <c r="C6162" s="67" t="s">
        <v>213</v>
      </c>
      <c r="D6162" s="67" t="s">
        <v>212</v>
      </c>
      <c r="E6162" s="67" t="s">
        <v>211</v>
      </c>
      <c r="F6162" s="67" t="s">
        <v>210</v>
      </c>
      <c r="G6162" s="67" t="s">
        <v>209</v>
      </c>
      <c r="H6162" s="67" t="s">
        <v>208</v>
      </c>
      <c r="I6162" s="67" t="s">
        <v>207</v>
      </c>
    </row>
    <row r="6163" spans="1:9" x14ac:dyDescent="0.25">
      <c r="A6163" s="67" t="s">
        <v>206</v>
      </c>
      <c r="B6163" s="67" t="s">
        <v>205</v>
      </c>
      <c r="C6163" s="67" t="s">
        <v>204</v>
      </c>
      <c r="D6163" s="67" t="s">
        <v>203</v>
      </c>
      <c r="E6163" s="67" t="s">
        <v>202</v>
      </c>
      <c r="F6163" s="67" t="s">
        <v>201</v>
      </c>
      <c r="G6163" s="67" t="s">
        <v>200</v>
      </c>
      <c r="H6163" s="67" t="s">
        <v>199</v>
      </c>
    </row>
    <row r="6164" spans="1:9" x14ac:dyDescent="0.25">
      <c r="A6164" s="67" t="s">
        <v>1732</v>
      </c>
      <c r="B6164" s="67" t="s">
        <v>1731</v>
      </c>
      <c r="C6164" s="67">
        <v>0</v>
      </c>
      <c r="D6164" s="67">
        <v>0</v>
      </c>
      <c r="E6164" s="67">
        <v>83900.41</v>
      </c>
      <c r="F6164" s="67">
        <v>25250</v>
      </c>
      <c r="H6164" s="68">
        <v>40764</v>
      </c>
      <c r="I6164" s="67" t="s">
        <v>148</v>
      </c>
    </row>
    <row r="6165" spans="1:9" x14ac:dyDescent="0.25">
      <c r="B6165" s="67" t="s">
        <v>1731</v>
      </c>
      <c r="C6165" s="67">
        <v>0</v>
      </c>
      <c r="D6165" s="67">
        <v>0</v>
      </c>
      <c r="E6165" s="67">
        <v>83900.45</v>
      </c>
      <c r="H6165" s="67" t="s">
        <v>146</v>
      </c>
    </row>
    <row r="6167" spans="1:9" x14ac:dyDescent="0.25">
      <c r="A6167" s="67" t="s">
        <v>1730</v>
      </c>
      <c r="B6167" s="67" t="s">
        <v>1729</v>
      </c>
      <c r="C6167" s="67">
        <v>0</v>
      </c>
      <c r="D6167" s="67">
        <v>0</v>
      </c>
      <c r="E6167" s="67">
        <v>83900.41</v>
      </c>
      <c r="F6167" s="67">
        <v>25250</v>
      </c>
      <c r="H6167" s="68">
        <v>40764</v>
      </c>
      <c r="I6167" s="67" t="s">
        <v>148</v>
      </c>
    </row>
    <row r="6168" spans="1:9" x14ac:dyDescent="0.25">
      <c r="B6168" s="67" t="s">
        <v>1729</v>
      </c>
      <c r="C6168" s="67">
        <v>0</v>
      </c>
      <c r="D6168" s="67">
        <v>0</v>
      </c>
      <c r="E6168" s="67">
        <v>83900.45</v>
      </c>
      <c r="H6168" s="67" t="s">
        <v>146</v>
      </c>
    </row>
    <row r="6170" spans="1:9" x14ac:dyDescent="0.25">
      <c r="A6170" s="67" t="s">
        <v>1728</v>
      </c>
      <c r="B6170" s="67" t="s">
        <v>1727</v>
      </c>
      <c r="C6170" s="67">
        <v>0</v>
      </c>
      <c r="D6170" s="67">
        <v>0</v>
      </c>
      <c r="E6170" s="67">
        <v>83900.41</v>
      </c>
      <c r="F6170" s="67">
        <v>25250</v>
      </c>
      <c r="H6170" s="68">
        <v>40764</v>
      </c>
      <c r="I6170" s="67" t="s">
        <v>148</v>
      </c>
    </row>
    <row r="6171" spans="1:9" x14ac:dyDescent="0.25">
      <c r="B6171" s="67" t="s">
        <v>1727</v>
      </c>
      <c r="C6171" s="67">
        <v>0</v>
      </c>
      <c r="D6171" s="67">
        <v>0</v>
      </c>
      <c r="E6171" s="67">
        <v>83900.45</v>
      </c>
      <c r="H6171" s="67" t="s">
        <v>146</v>
      </c>
    </row>
    <row r="6173" spans="1:9" x14ac:dyDescent="0.25">
      <c r="A6173" s="67" t="s">
        <v>1726</v>
      </c>
      <c r="B6173" s="67" t="s">
        <v>1725</v>
      </c>
      <c r="C6173" s="67">
        <v>0</v>
      </c>
      <c r="D6173" s="67">
        <v>0</v>
      </c>
      <c r="E6173" s="67">
        <v>83900.41</v>
      </c>
      <c r="F6173" s="67">
        <v>25250</v>
      </c>
      <c r="H6173" s="68">
        <v>40764</v>
      </c>
      <c r="I6173" s="67" t="s">
        <v>148</v>
      </c>
    </row>
    <row r="6174" spans="1:9" x14ac:dyDescent="0.25">
      <c r="B6174" s="67" t="s">
        <v>1725</v>
      </c>
      <c r="C6174" s="67">
        <v>0</v>
      </c>
      <c r="D6174" s="67">
        <v>0</v>
      </c>
      <c r="E6174" s="67">
        <v>83900.45</v>
      </c>
      <c r="H6174" s="67" t="s">
        <v>146</v>
      </c>
    </row>
    <row r="6176" spans="1:9" x14ac:dyDescent="0.25">
      <c r="A6176" s="67" t="s">
        <v>1724</v>
      </c>
      <c r="B6176" s="67" t="s">
        <v>1723</v>
      </c>
      <c r="C6176" s="67">
        <v>0</v>
      </c>
      <c r="D6176" s="67">
        <v>0</v>
      </c>
      <c r="E6176" s="67">
        <v>83900.41</v>
      </c>
      <c r="F6176" s="67">
        <v>25250</v>
      </c>
      <c r="H6176" s="68">
        <v>40764</v>
      </c>
      <c r="I6176" s="67" t="s">
        <v>148</v>
      </c>
    </row>
    <row r="6177" spans="1:9" x14ac:dyDescent="0.25">
      <c r="B6177" s="67" t="s">
        <v>1723</v>
      </c>
      <c r="C6177" s="67">
        <v>0</v>
      </c>
      <c r="D6177" s="67">
        <v>0</v>
      </c>
      <c r="E6177" s="67">
        <v>83900.45</v>
      </c>
      <c r="H6177" s="67" t="s">
        <v>146</v>
      </c>
    </row>
    <row r="6179" spans="1:9" x14ac:dyDescent="0.25">
      <c r="A6179" s="67" t="s">
        <v>1722</v>
      </c>
      <c r="B6179" s="67" t="s">
        <v>1721</v>
      </c>
      <c r="C6179" s="67">
        <v>0</v>
      </c>
      <c r="D6179" s="67">
        <v>0</v>
      </c>
      <c r="E6179" s="67">
        <v>83900.41</v>
      </c>
      <c r="F6179" s="67">
        <v>25250</v>
      </c>
      <c r="H6179" s="68">
        <v>40764</v>
      </c>
      <c r="I6179" s="67" t="s">
        <v>148</v>
      </c>
    </row>
    <row r="6180" spans="1:9" x14ac:dyDescent="0.25">
      <c r="B6180" s="67" t="s">
        <v>1721</v>
      </c>
      <c r="C6180" s="67">
        <v>0</v>
      </c>
      <c r="D6180" s="67">
        <v>0</v>
      </c>
      <c r="E6180" s="67">
        <v>83900.45</v>
      </c>
      <c r="H6180" s="67" t="s">
        <v>146</v>
      </c>
    </row>
    <row r="6182" spans="1:9" x14ac:dyDescent="0.25">
      <c r="A6182" s="67" t="s">
        <v>1720</v>
      </c>
      <c r="B6182" s="67" t="s">
        <v>1719</v>
      </c>
      <c r="C6182" s="67">
        <v>0</v>
      </c>
      <c r="D6182" s="67">
        <v>0</v>
      </c>
      <c r="E6182" s="67">
        <v>83900.41</v>
      </c>
      <c r="F6182" s="67">
        <v>25250</v>
      </c>
      <c r="H6182" s="68">
        <v>40764</v>
      </c>
      <c r="I6182" s="67" t="s">
        <v>148</v>
      </c>
    </row>
    <row r="6183" spans="1:9" x14ac:dyDescent="0.25">
      <c r="B6183" s="67" t="s">
        <v>1719</v>
      </c>
      <c r="C6183" s="67">
        <v>0</v>
      </c>
      <c r="D6183" s="67">
        <v>0</v>
      </c>
      <c r="E6183" s="67">
        <v>83900.45</v>
      </c>
      <c r="H6183" s="67" t="s">
        <v>146</v>
      </c>
    </row>
    <row r="6185" spans="1:9" x14ac:dyDescent="0.25">
      <c r="A6185" s="67" t="s">
        <v>1718</v>
      </c>
      <c r="B6185" s="67" t="s">
        <v>1717</v>
      </c>
      <c r="C6185" s="67">
        <v>0</v>
      </c>
      <c r="D6185" s="67">
        <v>0</v>
      </c>
      <c r="E6185" s="67">
        <v>83900.41</v>
      </c>
      <c r="F6185" s="67">
        <v>25250</v>
      </c>
      <c r="H6185" s="68">
        <v>40764</v>
      </c>
      <c r="I6185" s="67" t="s">
        <v>148</v>
      </c>
    </row>
    <row r="6186" spans="1:9" x14ac:dyDescent="0.25">
      <c r="B6186" s="67" t="s">
        <v>1717</v>
      </c>
      <c r="C6186" s="67">
        <v>0</v>
      </c>
      <c r="D6186" s="67">
        <v>0</v>
      </c>
      <c r="E6186" s="67">
        <v>83900.45</v>
      </c>
      <c r="H6186" s="67" t="s">
        <v>146</v>
      </c>
    </row>
    <row r="6188" spans="1:9" x14ac:dyDescent="0.25">
      <c r="A6188" s="67" t="s">
        <v>1716</v>
      </c>
      <c r="B6188" s="67" t="s">
        <v>1715</v>
      </c>
      <c r="C6188" s="67">
        <v>0</v>
      </c>
      <c r="D6188" s="67">
        <v>0</v>
      </c>
      <c r="E6188" s="67">
        <v>83900.41</v>
      </c>
      <c r="F6188" s="67">
        <v>25250</v>
      </c>
      <c r="H6188" s="68">
        <v>40764</v>
      </c>
      <c r="I6188" s="67" t="s">
        <v>148</v>
      </c>
    </row>
    <row r="6189" spans="1:9" x14ac:dyDescent="0.25">
      <c r="B6189" s="67" t="s">
        <v>1715</v>
      </c>
      <c r="C6189" s="67">
        <v>0</v>
      </c>
      <c r="D6189" s="67">
        <v>0</v>
      </c>
      <c r="E6189" s="67">
        <v>83900.45</v>
      </c>
      <c r="H6189" s="67" t="s">
        <v>146</v>
      </c>
    </row>
    <row r="6191" spans="1:9" x14ac:dyDescent="0.25">
      <c r="A6191" s="67" t="s">
        <v>1714</v>
      </c>
      <c r="B6191" s="67" t="s">
        <v>1713</v>
      </c>
      <c r="C6191" s="67">
        <v>0</v>
      </c>
      <c r="D6191" s="67">
        <v>0</v>
      </c>
      <c r="E6191" s="67">
        <v>83900.41</v>
      </c>
      <c r="F6191" s="67">
        <v>25250</v>
      </c>
      <c r="H6191" s="68">
        <v>40764</v>
      </c>
      <c r="I6191" s="67" t="s">
        <v>148</v>
      </c>
    </row>
    <row r="6192" spans="1:9" x14ac:dyDescent="0.25">
      <c r="B6192" s="67" t="s">
        <v>1713</v>
      </c>
      <c r="C6192" s="67">
        <v>0</v>
      </c>
      <c r="D6192" s="67">
        <v>0</v>
      </c>
      <c r="E6192" s="67">
        <v>83900.45</v>
      </c>
      <c r="H6192" s="67" t="s">
        <v>146</v>
      </c>
    </row>
    <row r="6194" spans="1:9" x14ac:dyDescent="0.25">
      <c r="A6194" s="67" t="s">
        <v>1712</v>
      </c>
      <c r="B6194" s="67" t="s">
        <v>1711</v>
      </c>
      <c r="C6194" s="67">
        <v>0</v>
      </c>
      <c r="D6194" s="67">
        <v>0</v>
      </c>
      <c r="E6194" s="67">
        <v>83900.41</v>
      </c>
      <c r="F6194" s="67">
        <v>25250</v>
      </c>
      <c r="H6194" s="68">
        <v>40764</v>
      </c>
      <c r="I6194" s="67" t="s">
        <v>148</v>
      </c>
    </row>
    <row r="6195" spans="1:9" x14ac:dyDescent="0.25">
      <c r="B6195" s="67" t="s">
        <v>1711</v>
      </c>
      <c r="C6195" s="67">
        <v>0</v>
      </c>
      <c r="D6195" s="67">
        <v>0</v>
      </c>
      <c r="E6195" s="67">
        <v>83900.45</v>
      </c>
      <c r="H6195" s="67" t="s">
        <v>146</v>
      </c>
    </row>
    <row r="6197" spans="1:9" x14ac:dyDescent="0.25">
      <c r="A6197" s="67" t="s">
        <v>1710</v>
      </c>
      <c r="B6197" s="67" t="s">
        <v>1709</v>
      </c>
      <c r="C6197" s="67">
        <v>0</v>
      </c>
      <c r="D6197" s="67">
        <v>0</v>
      </c>
      <c r="E6197" s="67">
        <v>83900.41</v>
      </c>
      <c r="F6197" s="67">
        <v>25250</v>
      </c>
      <c r="H6197" s="68">
        <v>40764</v>
      </c>
      <c r="I6197" s="67" t="s">
        <v>148</v>
      </c>
    </row>
    <row r="6198" spans="1:9" x14ac:dyDescent="0.25">
      <c r="B6198" s="67" t="s">
        <v>1709</v>
      </c>
      <c r="C6198" s="67">
        <v>0</v>
      </c>
      <c r="D6198" s="67">
        <v>0</v>
      </c>
      <c r="E6198" s="67">
        <v>83900.45</v>
      </c>
      <c r="H6198" s="67" t="s">
        <v>146</v>
      </c>
    </row>
    <row r="6200" spans="1:9" x14ac:dyDescent="0.25">
      <c r="A6200" s="67" t="s">
        <v>1708</v>
      </c>
      <c r="B6200" s="67" t="s">
        <v>1707</v>
      </c>
      <c r="C6200" s="67">
        <v>0</v>
      </c>
      <c r="D6200" s="67">
        <v>0</v>
      </c>
      <c r="E6200" s="67">
        <v>83900.41</v>
      </c>
      <c r="F6200" s="67">
        <v>25250</v>
      </c>
      <c r="H6200" s="68">
        <v>40764</v>
      </c>
      <c r="I6200" s="67" t="s">
        <v>148</v>
      </c>
    </row>
    <row r="6201" spans="1:9" x14ac:dyDescent="0.25">
      <c r="B6201" s="67" t="s">
        <v>1707</v>
      </c>
      <c r="C6201" s="67">
        <v>0</v>
      </c>
      <c r="D6201" s="67">
        <v>0</v>
      </c>
      <c r="E6201" s="67">
        <v>83900.45</v>
      </c>
      <c r="H6201" s="67" t="s">
        <v>146</v>
      </c>
    </row>
    <row r="6203" spans="1:9" x14ac:dyDescent="0.25">
      <c r="A6203" s="67" t="s">
        <v>1706</v>
      </c>
      <c r="B6203" s="67" t="s">
        <v>1705</v>
      </c>
      <c r="C6203" s="67">
        <v>0</v>
      </c>
      <c r="D6203" s="67">
        <v>0</v>
      </c>
      <c r="E6203" s="67">
        <v>83900.41</v>
      </c>
      <c r="F6203" s="67">
        <v>25250</v>
      </c>
      <c r="H6203" s="68">
        <v>40764</v>
      </c>
      <c r="I6203" s="67" t="s">
        <v>148</v>
      </c>
    </row>
    <row r="6204" spans="1:9" x14ac:dyDescent="0.25">
      <c r="B6204" s="67" t="s">
        <v>1705</v>
      </c>
      <c r="C6204" s="67">
        <v>0</v>
      </c>
      <c r="D6204" s="67">
        <v>0</v>
      </c>
      <c r="E6204" s="67">
        <v>83900.45</v>
      </c>
      <c r="H6204" s="67" t="s">
        <v>146</v>
      </c>
    </row>
    <row r="6206" spans="1:9" x14ac:dyDescent="0.25">
      <c r="A6206" s="67" t="s">
        <v>1704</v>
      </c>
      <c r="B6206" s="67" t="s">
        <v>884</v>
      </c>
      <c r="C6206" s="67">
        <v>0</v>
      </c>
      <c r="D6206" s="67">
        <v>0</v>
      </c>
      <c r="E6206" s="67">
        <v>83900.41</v>
      </c>
      <c r="F6206" s="67">
        <v>25250</v>
      </c>
      <c r="H6206" s="68">
        <v>40764</v>
      </c>
      <c r="I6206" s="67" t="s">
        <v>148</v>
      </c>
    </row>
    <row r="6207" spans="1:9" x14ac:dyDescent="0.25">
      <c r="B6207" s="67" t="s">
        <v>884</v>
      </c>
      <c r="C6207" s="67">
        <v>0</v>
      </c>
      <c r="D6207" s="67">
        <v>0</v>
      </c>
      <c r="E6207" s="67">
        <v>83900.45</v>
      </c>
      <c r="H6207" s="67" t="s">
        <v>146</v>
      </c>
    </row>
    <row r="6209" spans="1:9" x14ac:dyDescent="0.25">
      <c r="A6209" s="67" t="s">
        <v>1703</v>
      </c>
      <c r="B6209" s="67" t="s">
        <v>1702</v>
      </c>
      <c r="C6209" s="67">
        <v>0</v>
      </c>
      <c r="D6209" s="67">
        <v>0</v>
      </c>
      <c r="E6209" s="67">
        <v>83900.41</v>
      </c>
      <c r="F6209" s="67">
        <v>25250</v>
      </c>
      <c r="H6209" s="68">
        <v>40764</v>
      </c>
      <c r="I6209" s="67" t="s">
        <v>148</v>
      </c>
    </row>
    <row r="6210" spans="1:9" x14ac:dyDescent="0.25">
      <c r="B6210" s="67" t="s">
        <v>1702</v>
      </c>
      <c r="C6210" s="67">
        <v>0</v>
      </c>
      <c r="D6210" s="67">
        <v>0</v>
      </c>
      <c r="E6210" s="67">
        <v>83900.45</v>
      </c>
      <c r="H6210" s="67" t="s">
        <v>146</v>
      </c>
    </row>
    <row r="6212" spans="1:9" x14ac:dyDescent="0.25">
      <c r="A6212" s="67" t="s">
        <v>1701</v>
      </c>
      <c r="B6212" s="67" t="s">
        <v>1700</v>
      </c>
      <c r="C6212" s="67">
        <v>0</v>
      </c>
      <c r="D6212" s="67">
        <v>0</v>
      </c>
      <c r="E6212" s="67">
        <v>83900.41</v>
      </c>
      <c r="F6212" s="67">
        <v>25250</v>
      </c>
      <c r="H6212" s="68">
        <v>40764</v>
      </c>
      <c r="I6212" s="67" t="s">
        <v>148</v>
      </c>
    </row>
    <row r="6213" spans="1:9" x14ac:dyDescent="0.25">
      <c r="B6213" s="67" t="s">
        <v>1700</v>
      </c>
      <c r="C6213" s="67">
        <v>0</v>
      </c>
      <c r="D6213" s="67">
        <v>0</v>
      </c>
      <c r="E6213" s="67">
        <v>83900.45</v>
      </c>
      <c r="H6213" s="67" t="s">
        <v>146</v>
      </c>
    </row>
    <row r="6214" spans="1:9" x14ac:dyDescent="0.25">
      <c r="A6214" s="67" t="s">
        <v>233</v>
      </c>
    </row>
    <row r="6216" spans="1:9" x14ac:dyDescent="0.25">
      <c r="A6216" s="67" t="s">
        <v>232</v>
      </c>
      <c r="D6216" s="67" t="s">
        <v>231</v>
      </c>
      <c r="H6216" s="67" t="s">
        <v>148</v>
      </c>
      <c r="I6216" s="67" t="s">
        <v>230</v>
      </c>
    </row>
    <row r="6217" spans="1:9" x14ac:dyDescent="0.25">
      <c r="A6217" s="67">
        <v>41.1</v>
      </c>
      <c r="C6217" s="67" t="s">
        <v>215</v>
      </c>
      <c r="D6217" s="67" t="s">
        <v>229</v>
      </c>
      <c r="H6217" s="70">
        <v>44771</v>
      </c>
      <c r="I6217" s="69">
        <v>0.56736111111111109</v>
      </c>
    </row>
    <row r="6218" spans="1:9" x14ac:dyDescent="0.25">
      <c r="A6218" s="67" t="s">
        <v>228</v>
      </c>
      <c r="C6218" s="67" t="s">
        <v>227</v>
      </c>
      <c r="D6218" s="67" t="s">
        <v>226</v>
      </c>
      <c r="E6218" s="67">
        <v>589</v>
      </c>
      <c r="H6218" s="67" t="s">
        <v>225</v>
      </c>
      <c r="I6218" s="67">
        <v>108</v>
      </c>
    </row>
    <row r="6219" spans="1:9" x14ac:dyDescent="0.25">
      <c r="A6219" s="67" t="s">
        <v>884</v>
      </c>
    </row>
    <row r="6220" spans="1:9" x14ac:dyDescent="0.25">
      <c r="A6220" s="67" t="s">
        <v>223</v>
      </c>
      <c r="B6220" s="67" t="s">
        <v>222</v>
      </c>
      <c r="C6220" s="67" t="s">
        <v>221</v>
      </c>
      <c r="D6220" s="67" t="s">
        <v>220</v>
      </c>
      <c r="E6220" s="67" t="s">
        <v>219</v>
      </c>
      <c r="F6220" s="67" t="s">
        <v>217</v>
      </c>
      <c r="G6220" s="67" t="s">
        <v>218</v>
      </c>
      <c r="H6220" s="67" t="s">
        <v>217</v>
      </c>
      <c r="I6220" s="67" t="s">
        <v>216</v>
      </c>
    </row>
    <row r="6221" spans="1:9" x14ac:dyDescent="0.25">
      <c r="A6221" s="67" t="s">
        <v>215</v>
      </c>
      <c r="B6221" s="67" t="s">
        <v>214</v>
      </c>
      <c r="C6221" s="67" t="s">
        <v>213</v>
      </c>
      <c r="D6221" s="67" t="s">
        <v>212</v>
      </c>
      <c r="E6221" s="67" t="s">
        <v>211</v>
      </c>
      <c r="F6221" s="67" t="s">
        <v>210</v>
      </c>
      <c r="G6221" s="67" t="s">
        <v>209</v>
      </c>
      <c r="H6221" s="67" t="s">
        <v>208</v>
      </c>
      <c r="I6221" s="67" t="s">
        <v>207</v>
      </c>
    </row>
    <row r="6222" spans="1:9" x14ac:dyDescent="0.25">
      <c r="A6222" s="67" t="s">
        <v>206</v>
      </c>
      <c r="B6222" s="67" t="s">
        <v>205</v>
      </c>
      <c r="C6222" s="67" t="s">
        <v>204</v>
      </c>
      <c r="D6222" s="67" t="s">
        <v>203</v>
      </c>
      <c r="E6222" s="67" t="s">
        <v>202</v>
      </c>
      <c r="F6222" s="67" t="s">
        <v>201</v>
      </c>
      <c r="G6222" s="67" t="s">
        <v>200</v>
      </c>
      <c r="H6222" s="67" t="s">
        <v>199</v>
      </c>
    </row>
    <row r="6223" spans="1:9" x14ac:dyDescent="0.25">
      <c r="A6223" s="67" t="s">
        <v>1699</v>
      </c>
      <c r="B6223" s="67" t="s">
        <v>1698</v>
      </c>
      <c r="C6223" s="67">
        <v>0</v>
      </c>
      <c r="D6223" s="67">
        <v>0</v>
      </c>
      <c r="E6223" s="67">
        <v>83900.41</v>
      </c>
      <c r="F6223" s="67">
        <v>25250</v>
      </c>
      <c r="H6223" s="68">
        <v>40764</v>
      </c>
      <c r="I6223" s="67" t="s">
        <v>148</v>
      </c>
    </row>
    <row r="6224" spans="1:9" x14ac:dyDescent="0.25">
      <c r="B6224" s="67" t="s">
        <v>1698</v>
      </c>
      <c r="C6224" s="67">
        <v>0</v>
      </c>
      <c r="D6224" s="67">
        <v>0</v>
      </c>
      <c r="E6224" s="67">
        <v>83900.45</v>
      </c>
      <c r="H6224" s="67" t="s">
        <v>146</v>
      </c>
    </row>
    <row r="6226" spans="1:9" x14ac:dyDescent="0.25">
      <c r="A6226" s="67" t="s">
        <v>1697</v>
      </c>
      <c r="B6226" s="67" t="s">
        <v>1696</v>
      </c>
      <c r="C6226" s="67">
        <v>0</v>
      </c>
      <c r="D6226" s="67">
        <v>0</v>
      </c>
      <c r="E6226" s="67">
        <v>83900.41</v>
      </c>
      <c r="F6226" s="67">
        <v>25250</v>
      </c>
      <c r="H6226" s="68">
        <v>40764</v>
      </c>
      <c r="I6226" s="67" t="s">
        <v>148</v>
      </c>
    </row>
    <row r="6227" spans="1:9" x14ac:dyDescent="0.25">
      <c r="B6227" s="67" t="s">
        <v>1696</v>
      </c>
      <c r="C6227" s="67">
        <v>0</v>
      </c>
      <c r="D6227" s="67">
        <v>0</v>
      </c>
      <c r="E6227" s="67">
        <v>83900.45</v>
      </c>
      <c r="H6227" s="67" t="s">
        <v>146</v>
      </c>
    </row>
    <row r="6229" spans="1:9" x14ac:dyDescent="0.25">
      <c r="A6229" s="67" t="s">
        <v>1695</v>
      </c>
      <c r="B6229" s="67" t="s">
        <v>1694</v>
      </c>
      <c r="C6229" s="67">
        <v>0</v>
      </c>
      <c r="D6229" s="67">
        <v>0</v>
      </c>
      <c r="E6229" s="67">
        <v>83900.41</v>
      </c>
      <c r="F6229" s="67">
        <v>25250</v>
      </c>
      <c r="H6229" s="68">
        <v>40764</v>
      </c>
      <c r="I6229" s="67" t="s">
        <v>148</v>
      </c>
    </row>
    <row r="6230" spans="1:9" x14ac:dyDescent="0.25">
      <c r="B6230" s="67" t="s">
        <v>1694</v>
      </c>
      <c r="C6230" s="67">
        <v>0</v>
      </c>
      <c r="D6230" s="67">
        <v>0</v>
      </c>
      <c r="E6230" s="67">
        <v>83900.45</v>
      </c>
      <c r="H6230" s="67" t="s">
        <v>146</v>
      </c>
    </row>
    <row r="6232" spans="1:9" x14ac:dyDescent="0.25">
      <c r="A6232" s="67" t="s">
        <v>1693</v>
      </c>
      <c r="B6232" s="67" t="s">
        <v>1692</v>
      </c>
      <c r="C6232" s="67">
        <v>0</v>
      </c>
      <c r="D6232" s="67">
        <v>0</v>
      </c>
      <c r="E6232" s="67">
        <v>83900.41</v>
      </c>
      <c r="F6232" s="67">
        <v>25250</v>
      </c>
      <c r="H6232" s="68">
        <v>40764</v>
      </c>
      <c r="I6232" s="67" t="s">
        <v>148</v>
      </c>
    </row>
    <row r="6233" spans="1:9" x14ac:dyDescent="0.25">
      <c r="B6233" s="67" t="s">
        <v>1692</v>
      </c>
      <c r="C6233" s="67">
        <v>0</v>
      </c>
      <c r="D6233" s="67">
        <v>0</v>
      </c>
      <c r="E6233" s="67">
        <v>83900.45</v>
      </c>
      <c r="H6233" s="67" t="s">
        <v>146</v>
      </c>
    </row>
    <row r="6235" spans="1:9" x14ac:dyDescent="0.25">
      <c r="A6235" s="67" t="s">
        <v>1691</v>
      </c>
      <c r="B6235" s="67" t="s">
        <v>1690</v>
      </c>
      <c r="C6235" s="67">
        <v>0</v>
      </c>
      <c r="D6235" s="67">
        <v>0</v>
      </c>
      <c r="E6235" s="67">
        <v>83900.41</v>
      </c>
      <c r="F6235" s="67">
        <v>25250</v>
      </c>
      <c r="H6235" s="68">
        <v>40764</v>
      </c>
      <c r="I6235" s="67" t="s">
        <v>148</v>
      </c>
    </row>
    <row r="6236" spans="1:9" x14ac:dyDescent="0.25">
      <c r="B6236" s="67" t="s">
        <v>1690</v>
      </c>
      <c r="C6236" s="67">
        <v>0</v>
      </c>
      <c r="D6236" s="67">
        <v>0</v>
      </c>
      <c r="E6236" s="67">
        <v>83900.45</v>
      </c>
      <c r="H6236" s="67" t="s">
        <v>146</v>
      </c>
    </row>
    <row r="6238" spans="1:9" x14ac:dyDescent="0.25">
      <c r="A6238" s="67" t="s">
        <v>1689</v>
      </c>
      <c r="B6238" s="67" t="s">
        <v>1688</v>
      </c>
      <c r="C6238" s="67">
        <v>0</v>
      </c>
      <c r="D6238" s="67">
        <v>0</v>
      </c>
      <c r="E6238" s="67">
        <v>83900.41</v>
      </c>
      <c r="F6238" s="67">
        <v>25250</v>
      </c>
      <c r="H6238" s="68">
        <v>40764</v>
      </c>
      <c r="I6238" s="67" t="s">
        <v>148</v>
      </c>
    </row>
    <row r="6239" spans="1:9" x14ac:dyDescent="0.25">
      <c r="B6239" s="67" t="s">
        <v>1688</v>
      </c>
      <c r="C6239" s="67">
        <v>0</v>
      </c>
      <c r="D6239" s="67">
        <v>0</v>
      </c>
      <c r="E6239" s="67">
        <v>83900.45</v>
      </c>
      <c r="H6239" s="67" t="s">
        <v>146</v>
      </c>
    </row>
    <row r="6241" spans="1:9" x14ac:dyDescent="0.25">
      <c r="A6241" s="67" t="s">
        <v>1687</v>
      </c>
      <c r="B6241" s="67" t="s">
        <v>1686</v>
      </c>
      <c r="C6241" s="67">
        <v>0</v>
      </c>
      <c r="D6241" s="67">
        <v>0</v>
      </c>
      <c r="E6241" s="67">
        <v>83900.41</v>
      </c>
      <c r="F6241" s="67">
        <v>25250</v>
      </c>
      <c r="H6241" s="68">
        <v>40764</v>
      </c>
      <c r="I6241" s="67" t="s">
        <v>148</v>
      </c>
    </row>
    <row r="6242" spans="1:9" x14ac:dyDescent="0.25">
      <c r="B6242" s="67" t="s">
        <v>1686</v>
      </c>
      <c r="C6242" s="67">
        <v>0</v>
      </c>
      <c r="D6242" s="67">
        <v>0</v>
      </c>
      <c r="E6242" s="67">
        <v>83900.45</v>
      </c>
      <c r="H6242" s="67" t="s">
        <v>146</v>
      </c>
    </row>
    <row r="6244" spans="1:9" x14ac:dyDescent="0.25">
      <c r="A6244" s="67" t="s">
        <v>1685</v>
      </c>
      <c r="B6244" s="67" t="s">
        <v>1684</v>
      </c>
      <c r="C6244" s="67">
        <v>0</v>
      </c>
      <c r="D6244" s="67">
        <v>0</v>
      </c>
      <c r="E6244" s="67">
        <v>83900.41</v>
      </c>
      <c r="F6244" s="67">
        <v>25250</v>
      </c>
      <c r="H6244" s="68">
        <v>40764</v>
      </c>
      <c r="I6244" s="67" t="s">
        <v>148</v>
      </c>
    </row>
    <row r="6245" spans="1:9" x14ac:dyDescent="0.25">
      <c r="B6245" s="67" t="s">
        <v>1684</v>
      </c>
      <c r="C6245" s="67">
        <v>0</v>
      </c>
      <c r="D6245" s="67">
        <v>0</v>
      </c>
      <c r="E6245" s="67">
        <v>83900.45</v>
      </c>
      <c r="H6245" s="67" t="s">
        <v>146</v>
      </c>
    </row>
    <row r="6247" spans="1:9" x14ac:dyDescent="0.25">
      <c r="A6247" s="67" t="s">
        <v>1683</v>
      </c>
      <c r="B6247" s="67" t="s">
        <v>1682</v>
      </c>
      <c r="C6247" s="67">
        <v>0</v>
      </c>
      <c r="D6247" s="67">
        <v>0</v>
      </c>
      <c r="E6247" s="67">
        <v>83900.41</v>
      </c>
      <c r="F6247" s="67">
        <v>25250</v>
      </c>
      <c r="H6247" s="68">
        <v>40764</v>
      </c>
      <c r="I6247" s="67" t="s">
        <v>148</v>
      </c>
    </row>
    <row r="6248" spans="1:9" x14ac:dyDescent="0.25">
      <c r="B6248" s="67" t="s">
        <v>1682</v>
      </c>
      <c r="C6248" s="67">
        <v>0</v>
      </c>
      <c r="D6248" s="67">
        <v>0</v>
      </c>
      <c r="E6248" s="67">
        <v>83900.45</v>
      </c>
      <c r="H6248" s="67" t="s">
        <v>146</v>
      </c>
    </row>
    <row r="6250" spans="1:9" x14ac:dyDescent="0.25">
      <c r="A6250" s="67" t="s">
        <v>1681</v>
      </c>
      <c r="B6250" s="67" t="s">
        <v>1680</v>
      </c>
      <c r="C6250" s="67">
        <v>0</v>
      </c>
      <c r="D6250" s="67">
        <v>0</v>
      </c>
      <c r="E6250" s="67">
        <v>83900.41</v>
      </c>
      <c r="F6250" s="67">
        <v>25250</v>
      </c>
      <c r="H6250" s="68">
        <v>40764</v>
      </c>
      <c r="I6250" s="67" t="s">
        <v>148</v>
      </c>
    </row>
    <row r="6251" spans="1:9" x14ac:dyDescent="0.25">
      <c r="B6251" s="67" t="s">
        <v>1680</v>
      </c>
      <c r="C6251" s="67">
        <v>0</v>
      </c>
      <c r="D6251" s="67">
        <v>0</v>
      </c>
      <c r="E6251" s="67">
        <v>83900.45</v>
      </c>
      <c r="H6251" s="67" t="s">
        <v>146</v>
      </c>
    </row>
    <row r="6253" spans="1:9" x14ac:dyDescent="0.25">
      <c r="A6253" s="67" t="s">
        <v>1679</v>
      </c>
      <c r="B6253" s="67" t="s">
        <v>1678</v>
      </c>
      <c r="C6253" s="67">
        <v>0</v>
      </c>
      <c r="D6253" s="67">
        <v>0</v>
      </c>
      <c r="E6253" s="67">
        <v>83900.41</v>
      </c>
      <c r="F6253" s="67">
        <v>25250</v>
      </c>
      <c r="H6253" s="68">
        <v>40764</v>
      </c>
      <c r="I6253" s="67" t="s">
        <v>148</v>
      </c>
    </row>
    <row r="6254" spans="1:9" x14ac:dyDescent="0.25">
      <c r="B6254" s="67" t="s">
        <v>1678</v>
      </c>
      <c r="C6254" s="67">
        <v>0</v>
      </c>
      <c r="D6254" s="67">
        <v>0</v>
      </c>
      <c r="E6254" s="67">
        <v>83900.45</v>
      </c>
      <c r="H6254" s="67" t="s">
        <v>146</v>
      </c>
    </row>
    <row r="6256" spans="1:9" x14ac:dyDescent="0.25">
      <c r="A6256" s="67" t="s">
        <v>1677</v>
      </c>
      <c r="B6256" s="67" t="s">
        <v>1676</v>
      </c>
      <c r="C6256" s="67">
        <v>0</v>
      </c>
      <c r="D6256" s="67">
        <v>0</v>
      </c>
      <c r="E6256" s="67">
        <v>83900.41</v>
      </c>
      <c r="F6256" s="67">
        <v>25250</v>
      </c>
      <c r="H6256" s="68">
        <v>40764</v>
      </c>
      <c r="I6256" s="67" t="s">
        <v>148</v>
      </c>
    </row>
    <row r="6257" spans="1:9" x14ac:dyDescent="0.25">
      <c r="B6257" s="67" t="s">
        <v>1676</v>
      </c>
      <c r="C6257" s="67">
        <v>0</v>
      </c>
      <c r="D6257" s="67">
        <v>0</v>
      </c>
      <c r="E6257" s="67">
        <v>83900.45</v>
      </c>
      <c r="H6257" s="67" t="s">
        <v>146</v>
      </c>
    </row>
    <row r="6259" spans="1:9" x14ac:dyDescent="0.25">
      <c r="A6259" s="67" t="s">
        <v>1675</v>
      </c>
      <c r="B6259" s="67" t="s">
        <v>1674</v>
      </c>
      <c r="C6259" s="67">
        <v>0</v>
      </c>
      <c r="D6259" s="67">
        <v>0</v>
      </c>
      <c r="E6259" s="67">
        <v>83900.41</v>
      </c>
      <c r="F6259" s="67">
        <v>25250</v>
      </c>
      <c r="H6259" s="68">
        <v>40764</v>
      </c>
      <c r="I6259" s="67" t="s">
        <v>148</v>
      </c>
    </row>
    <row r="6260" spans="1:9" x14ac:dyDescent="0.25">
      <c r="B6260" s="67" t="s">
        <v>1674</v>
      </c>
      <c r="C6260" s="67">
        <v>0</v>
      </c>
      <c r="D6260" s="67">
        <v>0</v>
      </c>
      <c r="E6260" s="67">
        <v>83900.45</v>
      </c>
      <c r="H6260" s="67" t="s">
        <v>146</v>
      </c>
    </row>
    <row r="6262" spans="1:9" x14ac:dyDescent="0.25">
      <c r="A6262" s="67" t="s">
        <v>1673</v>
      </c>
      <c r="B6262" s="67" t="s">
        <v>1672</v>
      </c>
      <c r="C6262" s="67">
        <v>0</v>
      </c>
      <c r="D6262" s="67">
        <v>0</v>
      </c>
      <c r="E6262" s="67">
        <v>83900.41</v>
      </c>
      <c r="F6262" s="67">
        <v>25250</v>
      </c>
      <c r="H6262" s="68">
        <v>40764</v>
      </c>
      <c r="I6262" s="67" t="s">
        <v>148</v>
      </c>
    </row>
    <row r="6263" spans="1:9" x14ac:dyDescent="0.25">
      <c r="B6263" s="67" t="s">
        <v>1672</v>
      </c>
      <c r="C6263" s="67">
        <v>0</v>
      </c>
      <c r="D6263" s="67">
        <v>0</v>
      </c>
      <c r="E6263" s="67">
        <v>83900.45</v>
      </c>
      <c r="H6263" s="67" t="s">
        <v>146</v>
      </c>
    </row>
    <row r="6265" spans="1:9" x14ac:dyDescent="0.25">
      <c r="A6265" s="67" t="s">
        <v>1671</v>
      </c>
      <c r="B6265" s="67" t="s">
        <v>1670</v>
      </c>
      <c r="C6265" s="67">
        <v>0</v>
      </c>
      <c r="D6265" s="67">
        <v>0</v>
      </c>
      <c r="E6265" s="67">
        <v>83900.41</v>
      </c>
      <c r="F6265" s="67">
        <v>25250</v>
      </c>
      <c r="H6265" s="68">
        <v>40764</v>
      </c>
      <c r="I6265" s="67" t="s">
        <v>148</v>
      </c>
    </row>
    <row r="6266" spans="1:9" x14ac:dyDescent="0.25">
      <c r="B6266" s="67" t="s">
        <v>1670</v>
      </c>
      <c r="C6266" s="67">
        <v>0</v>
      </c>
      <c r="D6266" s="67">
        <v>0</v>
      </c>
      <c r="E6266" s="67">
        <v>83900.45</v>
      </c>
      <c r="H6266" s="67" t="s">
        <v>146</v>
      </c>
    </row>
    <row r="6268" spans="1:9" x14ac:dyDescent="0.25">
      <c r="A6268" s="67" t="s">
        <v>1669</v>
      </c>
      <c r="B6268" s="67" t="s">
        <v>1668</v>
      </c>
      <c r="C6268" s="67">
        <v>0</v>
      </c>
      <c r="D6268" s="67">
        <v>0</v>
      </c>
      <c r="E6268" s="67">
        <v>83900.41</v>
      </c>
      <c r="F6268" s="67">
        <v>25250</v>
      </c>
      <c r="H6268" s="68">
        <v>40764</v>
      </c>
      <c r="I6268" s="67" t="s">
        <v>148</v>
      </c>
    </row>
    <row r="6269" spans="1:9" x14ac:dyDescent="0.25">
      <c r="B6269" s="67" t="s">
        <v>1668</v>
      </c>
      <c r="C6269" s="67">
        <v>0</v>
      </c>
      <c r="D6269" s="67">
        <v>0</v>
      </c>
      <c r="E6269" s="67">
        <v>83900.45</v>
      </c>
      <c r="H6269" s="67" t="s">
        <v>146</v>
      </c>
    </row>
    <row r="6271" spans="1:9" x14ac:dyDescent="0.25">
      <c r="A6271" s="67" t="s">
        <v>1667</v>
      </c>
      <c r="B6271" s="67" t="s">
        <v>1666</v>
      </c>
      <c r="C6271" s="67">
        <v>0</v>
      </c>
      <c r="D6271" s="67">
        <v>0</v>
      </c>
      <c r="E6271" s="67">
        <v>83900.41</v>
      </c>
      <c r="F6271" s="67">
        <v>25250</v>
      </c>
      <c r="H6271" s="68">
        <v>40764</v>
      </c>
      <c r="I6271" s="67" t="s">
        <v>148</v>
      </c>
    </row>
    <row r="6272" spans="1:9" x14ac:dyDescent="0.25">
      <c r="B6272" s="67" t="s">
        <v>1666</v>
      </c>
      <c r="C6272" s="67">
        <v>0</v>
      </c>
      <c r="D6272" s="67">
        <v>0</v>
      </c>
      <c r="E6272" s="67">
        <v>83900.45</v>
      </c>
      <c r="H6272" s="67" t="s">
        <v>146</v>
      </c>
    </row>
    <row r="6273" spans="1:9" x14ac:dyDescent="0.25">
      <c r="A6273" s="67" t="s">
        <v>233</v>
      </c>
    </row>
    <row r="6275" spans="1:9" x14ac:dyDescent="0.25">
      <c r="A6275" s="67" t="s">
        <v>232</v>
      </c>
      <c r="D6275" s="67" t="s">
        <v>231</v>
      </c>
      <c r="H6275" s="67" t="s">
        <v>148</v>
      </c>
      <c r="I6275" s="67" t="s">
        <v>230</v>
      </c>
    </row>
    <row r="6276" spans="1:9" x14ac:dyDescent="0.25">
      <c r="A6276" s="67">
        <v>41.1</v>
      </c>
      <c r="C6276" s="67" t="s">
        <v>215</v>
      </c>
      <c r="D6276" s="67" t="s">
        <v>229</v>
      </c>
      <c r="H6276" s="70">
        <v>44771</v>
      </c>
      <c r="I6276" s="69">
        <v>0.56736111111111109</v>
      </c>
    </row>
    <row r="6277" spans="1:9" x14ac:dyDescent="0.25">
      <c r="A6277" s="67" t="s">
        <v>228</v>
      </c>
      <c r="C6277" s="67" t="s">
        <v>227</v>
      </c>
      <c r="D6277" s="67" t="s">
        <v>226</v>
      </c>
      <c r="E6277" s="67">
        <v>589</v>
      </c>
      <c r="H6277" s="67" t="s">
        <v>225</v>
      </c>
      <c r="I6277" s="67">
        <v>109</v>
      </c>
    </row>
    <row r="6278" spans="1:9" x14ac:dyDescent="0.25">
      <c r="A6278" s="67" t="s">
        <v>884</v>
      </c>
    </row>
    <row r="6279" spans="1:9" x14ac:dyDescent="0.25">
      <c r="A6279" s="67" t="s">
        <v>223</v>
      </c>
      <c r="B6279" s="67" t="s">
        <v>222</v>
      </c>
      <c r="C6279" s="67" t="s">
        <v>221</v>
      </c>
      <c r="D6279" s="67" t="s">
        <v>220</v>
      </c>
      <c r="E6279" s="67" t="s">
        <v>219</v>
      </c>
      <c r="F6279" s="67" t="s">
        <v>217</v>
      </c>
      <c r="G6279" s="67" t="s">
        <v>218</v>
      </c>
      <c r="H6279" s="67" t="s">
        <v>217</v>
      </c>
      <c r="I6279" s="67" t="s">
        <v>216</v>
      </c>
    </row>
    <row r="6280" spans="1:9" x14ac:dyDescent="0.25">
      <c r="A6280" s="67" t="s">
        <v>215</v>
      </c>
      <c r="B6280" s="67" t="s">
        <v>214</v>
      </c>
      <c r="C6280" s="67" t="s">
        <v>213</v>
      </c>
      <c r="D6280" s="67" t="s">
        <v>212</v>
      </c>
      <c r="E6280" s="67" t="s">
        <v>211</v>
      </c>
      <c r="F6280" s="67" t="s">
        <v>210</v>
      </c>
      <c r="G6280" s="67" t="s">
        <v>209</v>
      </c>
      <c r="H6280" s="67" t="s">
        <v>208</v>
      </c>
      <c r="I6280" s="67" t="s">
        <v>207</v>
      </c>
    </row>
    <row r="6281" spans="1:9" x14ac:dyDescent="0.25">
      <c r="A6281" s="67" t="s">
        <v>206</v>
      </c>
      <c r="B6281" s="67" t="s">
        <v>205</v>
      </c>
      <c r="C6281" s="67" t="s">
        <v>204</v>
      </c>
      <c r="D6281" s="67" t="s">
        <v>203</v>
      </c>
      <c r="E6281" s="67" t="s">
        <v>202</v>
      </c>
      <c r="F6281" s="67" t="s">
        <v>201</v>
      </c>
      <c r="G6281" s="67" t="s">
        <v>200</v>
      </c>
      <c r="H6281" s="67" t="s">
        <v>199</v>
      </c>
    </row>
    <row r="6282" spans="1:9" x14ac:dyDescent="0.25">
      <c r="A6282" s="67" t="s">
        <v>1665</v>
      </c>
      <c r="B6282" s="67" t="s">
        <v>1664</v>
      </c>
      <c r="C6282" s="67">
        <v>0</v>
      </c>
      <c r="D6282" s="67">
        <v>0</v>
      </c>
      <c r="E6282" s="67">
        <v>83900.41</v>
      </c>
      <c r="F6282" s="67">
        <v>25250</v>
      </c>
      <c r="H6282" s="68">
        <v>40764</v>
      </c>
      <c r="I6282" s="67" t="s">
        <v>148</v>
      </c>
    </row>
    <row r="6283" spans="1:9" x14ac:dyDescent="0.25">
      <c r="B6283" s="67" t="s">
        <v>1664</v>
      </c>
      <c r="C6283" s="67">
        <v>0</v>
      </c>
      <c r="D6283" s="67">
        <v>0</v>
      </c>
      <c r="E6283" s="67">
        <v>83900.45</v>
      </c>
      <c r="H6283" s="67" t="s">
        <v>146</v>
      </c>
    </row>
    <row r="6285" spans="1:9" x14ac:dyDescent="0.25">
      <c r="A6285" s="67" t="s">
        <v>1663</v>
      </c>
      <c r="B6285" s="67" t="s">
        <v>1662</v>
      </c>
      <c r="C6285" s="67">
        <v>0</v>
      </c>
      <c r="D6285" s="67">
        <v>0</v>
      </c>
      <c r="E6285" s="67">
        <v>83900.41</v>
      </c>
      <c r="F6285" s="67">
        <v>25250</v>
      </c>
      <c r="H6285" s="68">
        <v>40764</v>
      </c>
      <c r="I6285" s="67" t="s">
        <v>148</v>
      </c>
    </row>
    <row r="6286" spans="1:9" x14ac:dyDescent="0.25">
      <c r="B6286" s="67" t="s">
        <v>1662</v>
      </c>
      <c r="C6286" s="67">
        <v>0</v>
      </c>
      <c r="D6286" s="67">
        <v>0</v>
      </c>
      <c r="E6286" s="67">
        <v>83900.45</v>
      </c>
      <c r="H6286" s="67" t="s">
        <v>146</v>
      </c>
    </row>
    <row r="6288" spans="1:9" x14ac:dyDescent="0.25">
      <c r="A6288" s="67" t="s">
        <v>1661</v>
      </c>
      <c r="B6288" s="67" t="s">
        <v>1660</v>
      </c>
      <c r="C6288" s="67">
        <v>0</v>
      </c>
      <c r="D6288" s="67">
        <v>0</v>
      </c>
      <c r="E6288" s="67">
        <v>83900.41</v>
      </c>
      <c r="F6288" s="67">
        <v>25250</v>
      </c>
      <c r="H6288" s="68">
        <v>40764</v>
      </c>
      <c r="I6288" s="67" t="s">
        <v>148</v>
      </c>
    </row>
    <row r="6289" spans="1:9" x14ac:dyDescent="0.25">
      <c r="B6289" s="67" t="s">
        <v>1660</v>
      </c>
      <c r="C6289" s="67">
        <v>0</v>
      </c>
      <c r="D6289" s="67">
        <v>0</v>
      </c>
      <c r="E6289" s="67">
        <v>83900.45</v>
      </c>
      <c r="H6289" s="67" t="s">
        <v>146</v>
      </c>
    </row>
    <row r="6291" spans="1:9" x14ac:dyDescent="0.25">
      <c r="A6291" s="67" t="s">
        <v>1659</v>
      </c>
      <c r="B6291" s="67" t="s">
        <v>1658</v>
      </c>
      <c r="C6291" s="67">
        <v>0</v>
      </c>
      <c r="D6291" s="67">
        <v>0</v>
      </c>
      <c r="E6291" s="67">
        <v>83900.41</v>
      </c>
      <c r="F6291" s="67">
        <v>25250</v>
      </c>
      <c r="H6291" s="68">
        <v>40764</v>
      </c>
      <c r="I6291" s="67" t="s">
        <v>148</v>
      </c>
    </row>
    <row r="6292" spans="1:9" x14ac:dyDescent="0.25">
      <c r="B6292" s="67" t="s">
        <v>1658</v>
      </c>
      <c r="C6292" s="67">
        <v>0</v>
      </c>
      <c r="D6292" s="67">
        <v>0</v>
      </c>
      <c r="E6292" s="67">
        <v>83900.45</v>
      </c>
      <c r="H6292" s="67" t="s">
        <v>146</v>
      </c>
    </row>
    <row r="6294" spans="1:9" x14ac:dyDescent="0.25">
      <c r="A6294" s="67" t="s">
        <v>1657</v>
      </c>
      <c r="B6294" s="67" t="s">
        <v>1656</v>
      </c>
      <c r="C6294" s="67">
        <v>0</v>
      </c>
      <c r="D6294" s="67">
        <v>0</v>
      </c>
      <c r="E6294" s="67">
        <v>83900.41</v>
      </c>
      <c r="F6294" s="67">
        <v>25250</v>
      </c>
      <c r="H6294" s="68">
        <v>40764</v>
      </c>
      <c r="I6294" s="67" t="s">
        <v>148</v>
      </c>
    </row>
    <row r="6295" spans="1:9" x14ac:dyDescent="0.25">
      <c r="B6295" s="67" t="s">
        <v>1656</v>
      </c>
      <c r="C6295" s="67">
        <v>0</v>
      </c>
      <c r="D6295" s="67">
        <v>0</v>
      </c>
      <c r="E6295" s="67">
        <v>83900.45</v>
      </c>
      <c r="H6295" s="67" t="s">
        <v>146</v>
      </c>
    </row>
    <row r="6297" spans="1:9" x14ac:dyDescent="0.25">
      <c r="A6297" s="67" t="s">
        <v>1655</v>
      </c>
      <c r="B6297" s="67" t="s">
        <v>1654</v>
      </c>
      <c r="C6297" s="67">
        <v>0</v>
      </c>
      <c r="D6297" s="67">
        <v>0</v>
      </c>
      <c r="E6297" s="67">
        <v>83900.41</v>
      </c>
      <c r="F6297" s="67">
        <v>25250</v>
      </c>
      <c r="H6297" s="68">
        <v>40764</v>
      </c>
      <c r="I6297" s="67" t="s">
        <v>148</v>
      </c>
    </row>
    <row r="6298" spans="1:9" x14ac:dyDescent="0.25">
      <c r="B6298" s="67" t="s">
        <v>1654</v>
      </c>
      <c r="C6298" s="67">
        <v>0</v>
      </c>
      <c r="D6298" s="67">
        <v>0</v>
      </c>
      <c r="E6298" s="67">
        <v>83900.45</v>
      </c>
      <c r="H6298" s="67" t="s">
        <v>146</v>
      </c>
    </row>
    <row r="6300" spans="1:9" x14ac:dyDescent="0.25">
      <c r="A6300" s="67" t="s">
        <v>1653</v>
      </c>
      <c r="B6300" s="67" t="s">
        <v>1652</v>
      </c>
      <c r="C6300" s="67">
        <v>0</v>
      </c>
      <c r="D6300" s="67">
        <v>0</v>
      </c>
      <c r="E6300" s="67">
        <v>83900.41</v>
      </c>
      <c r="F6300" s="67">
        <v>25250</v>
      </c>
      <c r="H6300" s="68">
        <v>40764</v>
      </c>
      <c r="I6300" s="67" t="s">
        <v>148</v>
      </c>
    </row>
    <row r="6301" spans="1:9" x14ac:dyDescent="0.25">
      <c r="B6301" s="67" t="s">
        <v>1652</v>
      </c>
      <c r="C6301" s="67">
        <v>0</v>
      </c>
      <c r="D6301" s="67">
        <v>0</v>
      </c>
      <c r="E6301" s="67">
        <v>83900.45</v>
      </c>
      <c r="H6301" s="67" t="s">
        <v>146</v>
      </c>
    </row>
    <row r="6303" spans="1:9" x14ac:dyDescent="0.25">
      <c r="A6303" s="67" t="s">
        <v>1651</v>
      </c>
      <c r="B6303" s="67" t="s">
        <v>1650</v>
      </c>
      <c r="C6303" s="67">
        <v>0</v>
      </c>
      <c r="D6303" s="67">
        <v>0</v>
      </c>
      <c r="E6303" s="67">
        <v>83900.41</v>
      </c>
      <c r="F6303" s="67">
        <v>25250</v>
      </c>
      <c r="H6303" s="68">
        <v>40764</v>
      </c>
      <c r="I6303" s="67" t="s">
        <v>148</v>
      </c>
    </row>
    <row r="6304" spans="1:9" x14ac:dyDescent="0.25">
      <c r="B6304" s="67" t="s">
        <v>1650</v>
      </c>
      <c r="C6304" s="67">
        <v>0</v>
      </c>
      <c r="D6304" s="67">
        <v>0</v>
      </c>
      <c r="E6304" s="67">
        <v>83900.45</v>
      </c>
      <c r="H6304" s="67" t="s">
        <v>146</v>
      </c>
    </row>
    <row r="6306" spans="1:9" x14ac:dyDescent="0.25">
      <c r="A6306" s="67" t="s">
        <v>1649</v>
      </c>
      <c r="B6306" s="67" t="s">
        <v>1648</v>
      </c>
      <c r="C6306" s="67">
        <v>0</v>
      </c>
      <c r="D6306" s="67">
        <v>0</v>
      </c>
      <c r="E6306" s="67">
        <v>83900.41</v>
      </c>
      <c r="F6306" s="67">
        <v>25250</v>
      </c>
      <c r="H6306" s="68">
        <v>40764</v>
      </c>
      <c r="I6306" s="67" t="s">
        <v>148</v>
      </c>
    </row>
    <row r="6307" spans="1:9" x14ac:dyDescent="0.25">
      <c r="B6307" s="67" t="s">
        <v>1648</v>
      </c>
      <c r="C6307" s="67">
        <v>0</v>
      </c>
      <c r="D6307" s="67">
        <v>0</v>
      </c>
      <c r="E6307" s="67">
        <v>83900.45</v>
      </c>
      <c r="H6307" s="67" t="s">
        <v>146</v>
      </c>
    </row>
    <row r="6309" spans="1:9" x14ac:dyDescent="0.25">
      <c r="A6309" s="67" t="s">
        <v>1647</v>
      </c>
      <c r="B6309" s="67" t="s">
        <v>1646</v>
      </c>
      <c r="C6309" s="67">
        <v>0</v>
      </c>
      <c r="D6309" s="67">
        <v>0</v>
      </c>
      <c r="E6309" s="67">
        <v>83900.41</v>
      </c>
      <c r="F6309" s="67">
        <v>25250</v>
      </c>
      <c r="H6309" s="68">
        <v>40764</v>
      </c>
      <c r="I6309" s="67" t="s">
        <v>148</v>
      </c>
    </row>
    <row r="6310" spans="1:9" x14ac:dyDescent="0.25">
      <c r="B6310" s="67" t="s">
        <v>1646</v>
      </c>
      <c r="C6310" s="67">
        <v>0</v>
      </c>
      <c r="D6310" s="67">
        <v>0</v>
      </c>
      <c r="E6310" s="67">
        <v>83900.45</v>
      </c>
      <c r="H6310" s="67" t="s">
        <v>146</v>
      </c>
    </row>
    <row r="6312" spans="1:9" x14ac:dyDescent="0.25">
      <c r="A6312" s="67" t="s">
        <v>1645</v>
      </c>
      <c r="B6312" s="67" t="s">
        <v>1644</v>
      </c>
      <c r="C6312" s="67">
        <v>0</v>
      </c>
      <c r="D6312" s="67">
        <v>0</v>
      </c>
      <c r="E6312" s="67">
        <v>83900.41</v>
      </c>
      <c r="F6312" s="67">
        <v>25250</v>
      </c>
      <c r="H6312" s="68">
        <v>40764</v>
      </c>
      <c r="I6312" s="67" t="s">
        <v>148</v>
      </c>
    </row>
    <row r="6313" spans="1:9" x14ac:dyDescent="0.25">
      <c r="B6313" s="67" t="s">
        <v>1644</v>
      </c>
      <c r="C6313" s="67">
        <v>0</v>
      </c>
      <c r="D6313" s="67">
        <v>0</v>
      </c>
      <c r="E6313" s="67">
        <v>83900.45</v>
      </c>
      <c r="H6313" s="67" t="s">
        <v>146</v>
      </c>
    </row>
    <row r="6315" spans="1:9" x14ac:dyDescent="0.25">
      <c r="A6315" s="67" t="s">
        <v>1643</v>
      </c>
      <c r="B6315" s="67" t="s">
        <v>1642</v>
      </c>
      <c r="C6315" s="67">
        <v>0</v>
      </c>
      <c r="D6315" s="67">
        <v>0</v>
      </c>
      <c r="E6315" s="67">
        <v>83900.41</v>
      </c>
      <c r="F6315" s="67">
        <v>25250</v>
      </c>
      <c r="H6315" s="68">
        <v>40764</v>
      </c>
      <c r="I6315" s="67" t="s">
        <v>148</v>
      </c>
    </row>
    <row r="6316" spans="1:9" x14ac:dyDescent="0.25">
      <c r="B6316" s="67" t="s">
        <v>1642</v>
      </c>
      <c r="C6316" s="67">
        <v>0</v>
      </c>
      <c r="D6316" s="67">
        <v>0</v>
      </c>
      <c r="E6316" s="67">
        <v>83900.45</v>
      </c>
      <c r="H6316" s="67" t="s">
        <v>146</v>
      </c>
    </row>
    <row r="6318" spans="1:9" x14ac:dyDescent="0.25">
      <c r="A6318" s="67" t="s">
        <v>1641</v>
      </c>
      <c r="B6318" s="67" t="s">
        <v>1640</v>
      </c>
      <c r="C6318" s="67">
        <v>0</v>
      </c>
      <c r="D6318" s="67">
        <v>0</v>
      </c>
      <c r="E6318" s="67">
        <v>83900.41</v>
      </c>
      <c r="F6318" s="67">
        <v>25250</v>
      </c>
      <c r="H6318" s="68">
        <v>40764</v>
      </c>
      <c r="I6318" s="67" t="s">
        <v>148</v>
      </c>
    </row>
    <row r="6319" spans="1:9" x14ac:dyDescent="0.25">
      <c r="B6319" s="67" t="s">
        <v>1640</v>
      </c>
      <c r="C6319" s="67">
        <v>0</v>
      </c>
      <c r="D6319" s="67">
        <v>0</v>
      </c>
      <c r="E6319" s="67">
        <v>83900.45</v>
      </c>
      <c r="H6319" s="67" t="s">
        <v>146</v>
      </c>
    </row>
    <row r="6321" spans="1:9" x14ac:dyDescent="0.25">
      <c r="A6321" s="67" t="s">
        <v>1639</v>
      </c>
      <c r="B6321" s="67" t="s">
        <v>1638</v>
      </c>
      <c r="C6321" s="67">
        <v>0</v>
      </c>
      <c r="D6321" s="67">
        <v>0</v>
      </c>
      <c r="E6321" s="67">
        <v>83900.41</v>
      </c>
      <c r="F6321" s="67">
        <v>25250</v>
      </c>
      <c r="H6321" s="68">
        <v>40764</v>
      </c>
      <c r="I6321" s="67" t="s">
        <v>148</v>
      </c>
    </row>
    <row r="6322" spans="1:9" x14ac:dyDescent="0.25">
      <c r="B6322" s="67" t="s">
        <v>1638</v>
      </c>
      <c r="C6322" s="67">
        <v>0</v>
      </c>
      <c r="D6322" s="67">
        <v>0</v>
      </c>
      <c r="E6322" s="67">
        <v>83900.45</v>
      </c>
      <c r="H6322" s="67" t="s">
        <v>146</v>
      </c>
    </row>
    <row r="6324" spans="1:9" x14ac:dyDescent="0.25">
      <c r="A6324" s="67" t="s">
        <v>1637</v>
      </c>
      <c r="B6324" s="67" t="s">
        <v>1636</v>
      </c>
      <c r="C6324" s="67">
        <v>0</v>
      </c>
      <c r="D6324" s="67">
        <v>0</v>
      </c>
      <c r="E6324" s="67">
        <v>83900.41</v>
      </c>
      <c r="F6324" s="67">
        <v>25250</v>
      </c>
      <c r="H6324" s="68">
        <v>40764</v>
      </c>
      <c r="I6324" s="67" t="s">
        <v>148</v>
      </c>
    </row>
    <row r="6325" spans="1:9" x14ac:dyDescent="0.25">
      <c r="B6325" s="67" t="s">
        <v>1636</v>
      </c>
      <c r="C6325" s="67">
        <v>0</v>
      </c>
      <c r="D6325" s="67">
        <v>0</v>
      </c>
      <c r="E6325" s="67">
        <v>83900.45</v>
      </c>
      <c r="H6325" s="67" t="s">
        <v>146</v>
      </c>
    </row>
    <row r="6327" spans="1:9" x14ac:dyDescent="0.25">
      <c r="A6327" s="67" t="s">
        <v>1635</v>
      </c>
      <c r="B6327" s="67" t="s">
        <v>1634</v>
      </c>
      <c r="C6327" s="67">
        <v>0</v>
      </c>
      <c r="D6327" s="67">
        <v>0</v>
      </c>
      <c r="E6327" s="67">
        <v>83900.41</v>
      </c>
      <c r="F6327" s="67">
        <v>25250</v>
      </c>
      <c r="H6327" s="68">
        <v>40764</v>
      </c>
      <c r="I6327" s="67" t="s">
        <v>148</v>
      </c>
    </row>
    <row r="6328" spans="1:9" x14ac:dyDescent="0.25">
      <c r="B6328" s="67" t="s">
        <v>1634</v>
      </c>
      <c r="C6328" s="67">
        <v>0</v>
      </c>
      <c r="D6328" s="67">
        <v>0</v>
      </c>
      <c r="E6328" s="67">
        <v>83900.45</v>
      </c>
      <c r="H6328" s="67" t="s">
        <v>146</v>
      </c>
    </row>
    <row r="6330" spans="1:9" x14ac:dyDescent="0.25">
      <c r="A6330" s="67" t="s">
        <v>1633</v>
      </c>
      <c r="B6330" s="67" t="s">
        <v>1632</v>
      </c>
      <c r="C6330" s="67">
        <v>0</v>
      </c>
      <c r="D6330" s="67">
        <v>0</v>
      </c>
      <c r="E6330" s="67">
        <v>83900.41</v>
      </c>
      <c r="F6330" s="67">
        <v>25250</v>
      </c>
      <c r="H6330" s="68">
        <v>40764</v>
      </c>
      <c r="I6330" s="67" t="s">
        <v>148</v>
      </c>
    </row>
    <row r="6331" spans="1:9" x14ac:dyDescent="0.25">
      <c r="B6331" s="67" t="s">
        <v>1632</v>
      </c>
      <c r="C6331" s="67">
        <v>0</v>
      </c>
      <c r="D6331" s="67">
        <v>0</v>
      </c>
      <c r="E6331" s="67">
        <v>83900.45</v>
      </c>
      <c r="H6331" s="67" t="s">
        <v>146</v>
      </c>
    </row>
    <row r="6332" spans="1:9" x14ac:dyDescent="0.25">
      <c r="A6332" s="67" t="s">
        <v>233</v>
      </c>
    </row>
    <row r="6334" spans="1:9" x14ac:dyDescent="0.25">
      <c r="A6334" s="67" t="s">
        <v>232</v>
      </c>
      <c r="D6334" s="67" t="s">
        <v>231</v>
      </c>
      <c r="H6334" s="67" t="s">
        <v>148</v>
      </c>
      <c r="I6334" s="67" t="s">
        <v>230</v>
      </c>
    </row>
    <row r="6335" spans="1:9" x14ac:dyDescent="0.25">
      <c r="A6335" s="67">
        <v>41.1</v>
      </c>
      <c r="C6335" s="67" t="s">
        <v>215</v>
      </c>
      <c r="D6335" s="67" t="s">
        <v>229</v>
      </c>
      <c r="H6335" s="70">
        <v>44771</v>
      </c>
      <c r="I6335" s="69">
        <v>0.56736111111111109</v>
      </c>
    </row>
    <row r="6336" spans="1:9" x14ac:dyDescent="0.25">
      <c r="A6336" s="67" t="s">
        <v>228</v>
      </c>
      <c r="C6336" s="67" t="s">
        <v>227</v>
      </c>
      <c r="D6336" s="67" t="s">
        <v>226</v>
      </c>
      <c r="E6336" s="67">
        <v>589</v>
      </c>
      <c r="H6336" s="67" t="s">
        <v>225</v>
      </c>
      <c r="I6336" s="67">
        <v>110</v>
      </c>
    </row>
    <row r="6337" spans="1:9" x14ac:dyDescent="0.25">
      <c r="A6337" s="67" t="s">
        <v>884</v>
      </c>
    </row>
    <row r="6338" spans="1:9" x14ac:dyDescent="0.25">
      <c r="A6338" s="67" t="s">
        <v>223</v>
      </c>
      <c r="B6338" s="67" t="s">
        <v>222</v>
      </c>
      <c r="C6338" s="67" t="s">
        <v>221</v>
      </c>
      <c r="D6338" s="67" t="s">
        <v>220</v>
      </c>
      <c r="E6338" s="67" t="s">
        <v>219</v>
      </c>
      <c r="F6338" s="67" t="s">
        <v>217</v>
      </c>
      <c r="G6338" s="67" t="s">
        <v>218</v>
      </c>
      <c r="H6338" s="67" t="s">
        <v>217</v>
      </c>
      <c r="I6338" s="67" t="s">
        <v>216</v>
      </c>
    </row>
    <row r="6339" spans="1:9" x14ac:dyDescent="0.25">
      <c r="A6339" s="67" t="s">
        <v>215</v>
      </c>
      <c r="B6339" s="67" t="s">
        <v>214</v>
      </c>
      <c r="C6339" s="67" t="s">
        <v>213</v>
      </c>
      <c r="D6339" s="67" t="s">
        <v>212</v>
      </c>
      <c r="E6339" s="67" t="s">
        <v>211</v>
      </c>
      <c r="F6339" s="67" t="s">
        <v>210</v>
      </c>
      <c r="G6339" s="67" t="s">
        <v>209</v>
      </c>
      <c r="H6339" s="67" t="s">
        <v>208</v>
      </c>
      <c r="I6339" s="67" t="s">
        <v>207</v>
      </c>
    </row>
    <row r="6340" spans="1:9" x14ac:dyDescent="0.25">
      <c r="A6340" s="67" t="s">
        <v>206</v>
      </c>
      <c r="B6340" s="67" t="s">
        <v>205</v>
      </c>
      <c r="C6340" s="67" t="s">
        <v>204</v>
      </c>
      <c r="D6340" s="67" t="s">
        <v>203</v>
      </c>
      <c r="E6340" s="67" t="s">
        <v>202</v>
      </c>
      <c r="F6340" s="67" t="s">
        <v>201</v>
      </c>
      <c r="G6340" s="67" t="s">
        <v>200</v>
      </c>
      <c r="H6340" s="67" t="s">
        <v>199</v>
      </c>
    </row>
    <row r="6341" spans="1:9" x14ac:dyDescent="0.25">
      <c r="A6341" s="67" t="s">
        <v>1631</v>
      </c>
      <c r="B6341" s="67" t="s">
        <v>1630</v>
      </c>
      <c r="C6341" s="67">
        <v>0</v>
      </c>
      <c r="D6341" s="67">
        <v>0</v>
      </c>
      <c r="E6341" s="67">
        <v>83900.41</v>
      </c>
      <c r="F6341" s="67">
        <v>25250</v>
      </c>
      <c r="H6341" s="68">
        <v>40764</v>
      </c>
      <c r="I6341" s="67" t="s">
        <v>148</v>
      </c>
    </row>
    <row r="6342" spans="1:9" x14ac:dyDescent="0.25">
      <c r="B6342" s="67" t="s">
        <v>1630</v>
      </c>
      <c r="C6342" s="67">
        <v>0</v>
      </c>
      <c r="D6342" s="67">
        <v>0</v>
      </c>
      <c r="E6342" s="67">
        <v>83900.45</v>
      </c>
      <c r="H6342" s="67" t="s">
        <v>146</v>
      </c>
    </row>
    <row r="6344" spans="1:9" x14ac:dyDescent="0.25">
      <c r="A6344" s="67" t="s">
        <v>1629</v>
      </c>
      <c r="B6344" s="67" t="s">
        <v>1628</v>
      </c>
      <c r="C6344" s="67">
        <v>0</v>
      </c>
      <c r="D6344" s="67">
        <v>0</v>
      </c>
      <c r="E6344" s="67">
        <v>83900.41</v>
      </c>
      <c r="F6344" s="67">
        <v>25250</v>
      </c>
      <c r="H6344" s="68">
        <v>40764</v>
      </c>
      <c r="I6344" s="67" t="s">
        <v>148</v>
      </c>
    </row>
    <row r="6345" spans="1:9" x14ac:dyDescent="0.25">
      <c r="B6345" s="67" t="s">
        <v>1628</v>
      </c>
      <c r="C6345" s="67">
        <v>0</v>
      </c>
      <c r="D6345" s="67">
        <v>0</v>
      </c>
      <c r="E6345" s="67">
        <v>83900.45</v>
      </c>
      <c r="H6345" s="67" t="s">
        <v>146</v>
      </c>
    </row>
    <row r="6347" spans="1:9" x14ac:dyDescent="0.25">
      <c r="A6347" s="67" t="s">
        <v>1627</v>
      </c>
      <c r="B6347" s="67" t="s">
        <v>1626</v>
      </c>
      <c r="C6347" s="67">
        <v>0</v>
      </c>
      <c r="D6347" s="67">
        <v>0</v>
      </c>
      <c r="E6347" s="67">
        <v>83900.41</v>
      </c>
      <c r="F6347" s="67">
        <v>25250</v>
      </c>
      <c r="H6347" s="68">
        <v>40764</v>
      </c>
      <c r="I6347" s="67" t="s">
        <v>148</v>
      </c>
    </row>
    <row r="6348" spans="1:9" x14ac:dyDescent="0.25">
      <c r="B6348" s="67" t="s">
        <v>1626</v>
      </c>
      <c r="C6348" s="67">
        <v>0</v>
      </c>
      <c r="D6348" s="67">
        <v>0</v>
      </c>
      <c r="E6348" s="67">
        <v>83900.45</v>
      </c>
      <c r="H6348" s="67" t="s">
        <v>146</v>
      </c>
    </row>
    <row r="6350" spans="1:9" x14ac:dyDescent="0.25">
      <c r="A6350" s="67" t="s">
        <v>1625</v>
      </c>
      <c r="B6350" s="67" t="s">
        <v>1624</v>
      </c>
      <c r="C6350" s="67">
        <v>0</v>
      </c>
      <c r="D6350" s="67">
        <v>0</v>
      </c>
      <c r="E6350" s="67">
        <v>83900.41</v>
      </c>
      <c r="F6350" s="67">
        <v>25250</v>
      </c>
      <c r="H6350" s="68">
        <v>40764</v>
      </c>
      <c r="I6350" s="67" t="s">
        <v>148</v>
      </c>
    </row>
    <row r="6351" spans="1:9" x14ac:dyDescent="0.25">
      <c r="B6351" s="67" t="s">
        <v>1624</v>
      </c>
      <c r="C6351" s="67">
        <v>0</v>
      </c>
      <c r="D6351" s="67">
        <v>0</v>
      </c>
      <c r="E6351" s="67">
        <v>83900.45</v>
      </c>
      <c r="H6351" s="67" t="s">
        <v>146</v>
      </c>
    </row>
    <row r="6353" spans="1:9" x14ac:dyDescent="0.25">
      <c r="A6353" s="67" t="s">
        <v>1623</v>
      </c>
      <c r="B6353" s="67" t="s">
        <v>1622</v>
      </c>
      <c r="C6353" s="67">
        <v>0</v>
      </c>
      <c r="D6353" s="67">
        <v>0</v>
      </c>
      <c r="E6353" s="67">
        <v>83900.41</v>
      </c>
      <c r="F6353" s="67">
        <v>25250</v>
      </c>
      <c r="H6353" s="68">
        <v>40764</v>
      </c>
      <c r="I6353" s="67" t="s">
        <v>148</v>
      </c>
    </row>
    <row r="6354" spans="1:9" x14ac:dyDescent="0.25">
      <c r="B6354" s="67" t="s">
        <v>1622</v>
      </c>
      <c r="C6354" s="67">
        <v>0</v>
      </c>
      <c r="D6354" s="67">
        <v>0</v>
      </c>
      <c r="E6354" s="67">
        <v>83900.45</v>
      </c>
      <c r="H6354" s="67" t="s">
        <v>146</v>
      </c>
    </row>
    <row r="6356" spans="1:9" x14ac:dyDescent="0.25">
      <c r="A6356" s="67" t="s">
        <v>1621</v>
      </c>
      <c r="B6356" s="67" t="s">
        <v>1620</v>
      </c>
      <c r="C6356" s="67">
        <v>0</v>
      </c>
      <c r="D6356" s="67">
        <v>0</v>
      </c>
      <c r="E6356" s="67">
        <v>83900.41</v>
      </c>
      <c r="F6356" s="67">
        <v>25250</v>
      </c>
      <c r="H6356" s="68">
        <v>40764</v>
      </c>
      <c r="I6356" s="67" t="s">
        <v>148</v>
      </c>
    </row>
    <row r="6357" spans="1:9" x14ac:dyDescent="0.25">
      <c r="B6357" s="67" t="s">
        <v>1620</v>
      </c>
      <c r="C6357" s="67">
        <v>0</v>
      </c>
      <c r="D6357" s="67">
        <v>0</v>
      </c>
      <c r="E6357" s="67">
        <v>83900.45</v>
      </c>
      <c r="H6357" s="67" t="s">
        <v>146</v>
      </c>
    </row>
    <row r="6359" spans="1:9" x14ac:dyDescent="0.25">
      <c r="A6359" s="67" t="s">
        <v>1619</v>
      </c>
      <c r="B6359" s="67" t="s">
        <v>1618</v>
      </c>
      <c r="C6359" s="67">
        <v>0</v>
      </c>
      <c r="D6359" s="67">
        <v>0</v>
      </c>
      <c r="E6359" s="67">
        <v>83900.41</v>
      </c>
      <c r="F6359" s="67">
        <v>25250</v>
      </c>
      <c r="H6359" s="68">
        <v>40764</v>
      </c>
      <c r="I6359" s="67" t="s">
        <v>148</v>
      </c>
    </row>
    <row r="6360" spans="1:9" x14ac:dyDescent="0.25">
      <c r="B6360" s="67" t="s">
        <v>1618</v>
      </c>
      <c r="C6360" s="67">
        <v>0</v>
      </c>
      <c r="D6360" s="67">
        <v>0</v>
      </c>
      <c r="E6360" s="67">
        <v>83900.45</v>
      </c>
      <c r="H6360" s="67" t="s">
        <v>146</v>
      </c>
    </row>
    <row r="6362" spans="1:9" x14ac:dyDescent="0.25">
      <c r="A6362" s="67" t="s">
        <v>1617</v>
      </c>
      <c r="B6362" s="67" t="s">
        <v>1616</v>
      </c>
      <c r="C6362" s="67">
        <v>0</v>
      </c>
      <c r="D6362" s="67">
        <v>0</v>
      </c>
      <c r="E6362" s="67">
        <v>83900.41</v>
      </c>
      <c r="F6362" s="67">
        <v>25250</v>
      </c>
      <c r="H6362" s="68">
        <v>40764</v>
      </c>
      <c r="I6362" s="67" t="s">
        <v>148</v>
      </c>
    </row>
    <row r="6363" spans="1:9" x14ac:dyDescent="0.25">
      <c r="B6363" s="67" t="s">
        <v>1616</v>
      </c>
      <c r="C6363" s="67">
        <v>0</v>
      </c>
      <c r="D6363" s="67">
        <v>0</v>
      </c>
      <c r="E6363" s="67">
        <v>83900.45</v>
      </c>
      <c r="H6363" s="67" t="s">
        <v>146</v>
      </c>
    </row>
    <row r="6365" spans="1:9" x14ac:dyDescent="0.25">
      <c r="A6365" s="67" t="s">
        <v>1615</v>
      </c>
      <c r="B6365" s="67" t="s">
        <v>1614</v>
      </c>
      <c r="C6365" s="67">
        <v>0</v>
      </c>
      <c r="D6365" s="67">
        <v>0</v>
      </c>
      <c r="E6365" s="67">
        <v>83900.41</v>
      </c>
      <c r="F6365" s="67">
        <v>25250</v>
      </c>
      <c r="H6365" s="68">
        <v>40764</v>
      </c>
      <c r="I6365" s="67" t="s">
        <v>148</v>
      </c>
    </row>
    <row r="6366" spans="1:9" x14ac:dyDescent="0.25">
      <c r="B6366" s="67" t="s">
        <v>1614</v>
      </c>
      <c r="C6366" s="67">
        <v>0</v>
      </c>
      <c r="D6366" s="67">
        <v>0</v>
      </c>
      <c r="E6366" s="67">
        <v>83900.45</v>
      </c>
      <c r="H6366" s="67" t="s">
        <v>146</v>
      </c>
    </row>
    <row r="6368" spans="1:9" x14ac:dyDescent="0.25">
      <c r="A6368" s="67" t="s">
        <v>1613</v>
      </c>
      <c r="B6368" s="67" t="s">
        <v>1612</v>
      </c>
      <c r="C6368" s="67">
        <v>0</v>
      </c>
      <c r="D6368" s="67">
        <v>0</v>
      </c>
      <c r="E6368" s="67">
        <v>83900.41</v>
      </c>
      <c r="F6368" s="67">
        <v>25250</v>
      </c>
      <c r="H6368" s="68">
        <v>40764</v>
      </c>
      <c r="I6368" s="67" t="s">
        <v>148</v>
      </c>
    </row>
    <row r="6369" spans="1:9" x14ac:dyDescent="0.25">
      <c r="B6369" s="67" t="s">
        <v>1612</v>
      </c>
      <c r="C6369" s="67">
        <v>0</v>
      </c>
      <c r="D6369" s="67">
        <v>0</v>
      </c>
      <c r="E6369" s="67">
        <v>83900.45</v>
      </c>
      <c r="H6369" s="67" t="s">
        <v>146</v>
      </c>
    </row>
    <row r="6371" spans="1:9" x14ac:dyDescent="0.25">
      <c r="A6371" s="67" t="s">
        <v>1611</v>
      </c>
      <c r="B6371" s="67" t="s">
        <v>1610</v>
      </c>
      <c r="C6371" s="67">
        <v>0</v>
      </c>
      <c r="D6371" s="67">
        <v>0</v>
      </c>
      <c r="E6371" s="67">
        <v>83900.41</v>
      </c>
      <c r="F6371" s="67">
        <v>25250</v>
      </c>
      <c r="H6371" s="68">
        <v>40764</v>
      </c>
      <c r="I6371" s="67" t="s">
        <v>148</v>
      </c>
    </row>
    <row r="6372" spans="1:9" x14ac:dyDescent="0.25">
      <c r="B6372" s="67" t="s">
        <v>1610</v>
      </c>
      <c r="C6372" s="67">
        <v>0</v>
      </c>
      <c r="D6372" s="67">
        <v>0</v>
      </c>
      <c r="E6372" s="67">
        <v>83900.45</v>
      </c>
      <c r="H6372" s="67" t="s">
        <v>146</v>
      </c>
    </row>
    <row r="6374" spans="1:9" x14ac:dyDescent="0.25">
      <c r="A6374" s="67" t="s">
        <v>1609</v>
      </c>
      <c r="B6374" s="67" t="s">
        <v>1608</v>
      </c>
      <c r="C6374" s="67">
        <v>0</v>
      </c>
      <c r="D6374" s="67">
        <v>0</v>
      </c>
      <c r="E6374" s="67">
        <v>83900.41</v>
      </c>
      <c r="F6374" s="67">
        <v>25250</v>
      </c>
      <c r="H6374" s="68">
        <v>40764</v>
      </c>
      <c r="I6374" s="67" t="s">
        <v>148</v>
      </c>
    </row>
    <row r="6375" spans="1:9" x14ac:dyDescent="0.25">
      <c r="B6375" s="67" t="s">
        <v>1608</v>
      </c>
      <c r="C6375" s="67">
        <v>0</v>
      </c>
      <c r="D6375" s="67">
        <v>0</v>
      </c>
      <c r="E6375" s="67">
        <v>83900.45</v>
      </c>
      <c r="H6375" s="67" t="s">
        <v>146</v>
      </c>
    </row>
    <row r="6377" spans="1:9" x14ac:dyDescent="0.25">
      <c r="A6377" s="67" t="s">
        <v>1607</v>
      </c>
      <c r="B6377" s="67" t="s">
        <v>1606</v>
      </c>
      <c r="C6377" s="67">
        <v>0</v>
      </c>
      <c r="D6377" s="67">
        <v>0</v>
      </c>
      <c r="E6377" s="67">
        <v>83900.41</v>
      </c>
      <c r="F6377" s="67">
        <v>25250</v>
      </c>
      <c r="H6377" s="68">
        <v>40764</v>
      </c>
      <c r="I6377" s="67" t="s">
        <v>148</v>
      </c>
    </row>
    <row r="6378" spans="1:9" x14ac:dyDescent="0.25">
      <c r="B6378" s="67" t="s">
        <v>1606</v>
      </c>
      <c r="C6378" s="67">
        <v>0</v>
      </c>
      <c r="D6378" s="67">
        <v>0</v>
      </c>
      <c r="E6378" s="67">
        <v>83900.45</v>
      </c>
      <c r="H6378" s="67" t="s">
        <v>146</v>
      </c>
    </row>
    <row r="6380" spans="1:9" x14ac:dyDescent="0.25">
      <c r="A6380" s="67" t="s">
        <v>1605</v>
      </c>
      <c r="B6380" s="67" t="s">
        <v>1604</v>
      </c>
      <c r="C6380" s="67">
        <v>0</v>
      </c>
      <c r="D6380" s="67">
        <v>0</v>
      </c>
      <c r="E6380" s="67">
        <v>83900.41</v>
      </c>
      <c r="F6380" s="67">
        <v>25250</v>
      </c>
      <c r="H6380" s="68">
        <v>40764</v>
      </c>
      <c r="I6380" s="67" t="s">
        <v>148</v>
      </c>
    </row>
    <row r="6381" spans="1:9" x14ac:dyDescent="0.25">
      <c r="B6381" s="67" t="s">
        <v>1604</v>
      </c>
      <c r="C6381" s="67">
        <v>0</v>
      </c>
      <c r="D6381" s="67">
        <v>0</v>
      </c>
      <c r="E6381" s="67">
        <v>83900.45</v>
      </c>
      <c r="H6381" s="67" t="s">
        <v>146</v>
      </c>
    </row>
    <row r="6383" spans="1:9" x14ac:dyDescent="0.25">
      <c r="A6383" s="67" t="s">
        <v>1603</v>
      </c>
      <c r="B6383" s="67" t="s">
        <v>1602</v>
      </c>
      <c r="C6383" s="67">
        <v>0</v>
      </c>
      <c r="D6383" s="67">
        <v>0</v>
      </c>
      <c r="E6383" s="67">
        <v>83900.41</v>
      </c>
      <c r="F6383" s="67">
        <v>25250</v>
      </c>
      <c r="H6383" s="68">
        <v>40764</v>
      </c>
      <c r="I6383" s="67" t="s">
        <v>148</v>
      </c>
    </row>
    <row r="6384" spans="1:9" x14ac:dyDescent="0.25">
      <c r="B6384" s="67" t="s">
        <v>1602</v>
      </c>
      <c r="C6384" s="67">
        <v>0</v>
      </c>
      <c r="D6384" s="67">
        <v>0</v>
      </c>
      <c r="E6384" s="67">
        <v>83900.45</v>
      </c>
      <c r="H6384" s="67" t="s">
        <v>146</v>
      </c>
    </row>
    <row r="6386" spans="1:9" x14ac:dyDescent="0.25">
      <c r="A6386" s="67" t="s">
        <v>1601</v>
      </c>
      <c r="B6386" s="67" t="s">
        <v>1600</v>
      </c>
      <c r="C6386" s="67">
        <v>0</v>
      </c>
      <c r="D6386" s="67">
        <v>0</v>
      </c>
      <c r="E6386" s="67">
        <v>83900.41</v>
      </c>
      <c r="F6386" s="67">
        <v>25250</v>
      </c>
      <c r="H6386" s="68">
        <v>40764</v>
      </c>
      <c r="I6386" s="67" t="s">
        <v>148</v>
      </c>
    </row>
    <row r="6387" spans="1:9" x14ac:dyDescent="0.25">
      <c r="B6387" s="67" t="s">
        <v>1600</v>
      </c>
      <c r="C6387" s="67">
        <v>0</v>
      </c>
      <c r="D6387" s="67">
        <v>0</v>
      </c>
      <c r="E6387" s="67">
        <v>83900.45</v>
      </c>
      <c r="H6387" s="67" t="s">
        <v>146</v>
      </c>
    </row>
    <row r="6389" spans="1:9" x14ac:dyDescent="0.25">
      <c r="A6389" s="67" t="s">
        <v>1599</v>
      </c>
      <c r="B6389" s="67" t="s">
        <v>1598</v>
      </c>
      <c r="C6389" s="67">
        <v>0</v>
      </c>
      <c r="D6389" s="67">
        <v>0</v>
      </c>
      <c r="E6389" s="67">
        <v>83900.41</v>
      </c>
      <c r="F6389" s="67">
        <v>25250</v>
      </c>
      <c r="H6389" s="68">
        <v>40764</v>
      </c>
      <c r="I6389" s="67" t="s">
        <v>148</v>
      </c>
    </row>
    <row r="6390" spans="1:9" x14ac:dyDescent="0.25">
      <c r="B6390" s="67" t="s">
        <v>1598</v>
      </c>
      <c r="C6390" s="67">
        <v>0</v>
      </c>
      <c r="D6390" s="67">
        <v>0</v>
      </c>
      <c r="E6390" s="67">
        <v>83900.45</v>
      </c>
      <c r="H6390" s="67" t="s">
        <v>146</v>
      </c>
    </row>
    <row r="6391" spans="1:9" x14ac:dyDescent="0.25">
      <c r="A6391" s="67" t="s">
        <v>233</v>
      </c>
    </row>
    <row r="6393" spans="1:9" x14ac:dyDescent="0.25">
      <c r="A6393" s="67" t="s">
        <v>232</v>
      </c>
      <c r="D6393" s="67" t="s">
        <v>231</v>
      </c>
      <c r="H6393" s="67" t="s">
        <v>148</v>
      </c>
      <c r="I6393" s="67" t="s">
        <v>230</v>
      </c>
    </row>
    <row r="6394" spans="1:9" x14ac:dyDescent="0.25">
      <c r="A6394" s="67">
        <v>41.1</v>
      </c>
      <c r="C6394" s="67" t="s">
        <v>215</v>
      </c>
      <c r="D6394" s="67" t="s">
        <v>229</v>
      </c>
      <c r="H6394" s="70">
        <v>44771</v>
      </c>
      <c r="I6394" s="69">
        <v>0.56736111111111109</v>
      </c>
    </row>
    <row r="6395" spans="1:9" x14ac:dyDescent="0.25">
      <c r="A6395" s="67" t="s">
        <v>228</v>
      </c>
      <c r="C6395" s="67" t="s">
        <v>227</v>
      </c>
      <c r="D6395" s="67" t="s">
        <v>226</v>
      </c>
      <c r="E6395" s="67">
        <v>589</v>
      </c>
      <c r="H6395" s="67" t="s">
        <v>225</v>
      </c>
      <c r="I6395" s="67">
        <v>111</v>
      </c>
    </row>
    <row r="6396" spans="1:9" x14ac:dyDescent="0.25">
      <c r="A6396" s="67" t="s">
        <v>884</v>
      </c>
    </row>
    <row r="6397" spans="1:9" x14ac:dyDescent="0.25">
      <c r="A6397" s="67" t="s">
        <v>223</v>
      </c>
      <c r="B6397" s="67" t="s">
        <v>222</v>
      </c>
      <c r="C6397" s="67" t="s">
        <v>221</v>
      </c>
      <c r="D6397" s="67" t="s">
        <v>220</v>
      </c>
      <c r="E6397" s="67" t="s">
        <v>219</v>
      </c>
      <c r="F6397" s="67" t="s">
        <v>217</v>
      </c>
      <c r="G6397" s="67" t="s">
        <v>218</v>
      </c>
      <c r="H6397" s="67" t="s">
        <v>217</v>
      </c>
      <c r="I6397" s="67" t="s">
        <v>216</v>
      </c>
    </row>
    <row r="6398" spans="1:9" x14ac:dyDescent="0.25">
      <c r="A6398" s="67" t="s">
        <v>215</v>
      </c>
      <c r="B6398" s="67" t="s">
        <v>214</v>
      </c>
      <c r="C6398" s="67" t="s">
        <v>213</v>
      </c>
      <c r="D6398" s="67" t="s">
        <v>212</v>
      </c>
      <c r="E6398" s="67" t="s">
        <v>211</v>
      </c>
      <c r="F6398" s="67" t="s">
        <v>210</v>
      </c>
      <c r="G6398" s="67" t="s">
        <v>209</v>
      </c>
      <c r="H6398" s="67" t="s">
        <v>208</v>
      </c>
      <c r="I6398" s="67" t="s">
        <v>207</v>
      </c>
    </row>
    <row r="6399" spans="1:9" x14ac:dyDescent="0.25">
      <c r="A6399" s="67" t="s">
        <v>206</v>
      </c>
      <c r="B6399" s="67" t="s">
        <v>205</v>
      </c>
      <c r="C6399" s="67" t="s">
        <v>204</v>
      </c>
      <c r="D6399" s="67" t="s">
        <v>203</v>
      </c>
      <c r="E6399" s="67" t="s">
        <v>202</v>
      </c>
      <c r="F6399" s="67" t="s">
        <v>201</v>
      </c>
      <c r="G6399" s="67" t="s">
        <v>200</v>
      </c>
      <c r="H6399" s="67" t="s">
        <v>199</v>
      </c>
    </row>
    <row r="6400" spans="1:9" x14ac:dyDescent="0.25">
      <c r="A6400" s="67" t="s">
        <v>1597</v>
      </c>
      <c r="B6400" s="67" t="s">
        <v>1596</v>
      </c>
      <c r="C6400" s="67">
        <v>0</v>
      </c>
      <c r="D6400" s="67">
        <v>0</v>
      </c>
      <c r="E6400" s="67">
        <v>83900.41</v>
      </c>
      <c r="F6400" s="67">
        <v>25250</v>
      </c>
      <c r="H6400" s="68">
        <v>40764</v>
      </c>
      <c r="I6400" s="67" t="s">
        <v>148</v>
      </c>
    </row>
    <row r="6401" spans="1:9" x14ac:dyDescent="0.25">
      <c r="B6401" s="67" t="s">
        <v>1596</v>
      </c>
      <c r="C6401" s="67">
        <v>0</v>
      </c>
      <c r="D6401" s="67">
        <v>0</v>
      </c>
      <c r="E6401" s="67">
        <v>83900.45</v>
      </c>
      <c r="H6401" s="67" t="s">
        <v>146</v>
      </c>
    </row>
    <row r="6403" spans="1:9" x14ac:dyDescent="0.25">
      <c r="A6403" s="67" t="s">
        <v>1595</v>
      </c>
      <c r="B6403" s="67" t="s">
        <v>1594</v>
      </c>
      <c r="C6403" s="67">
        <v>0</v>
      </c>
      <c r="D6403" s="67">
        <v>0</v>
      </c>
      <c r="E6403" s="67">
        <v>83900.41</v>
      </c>
      <c r="F6403" s="67">
        <v>25250</v>
      </c>
      <c r="H6403" s="68">
        <v>40764</v>
      </c>
      <c r="I6403" s="67" t="s">
        <v>148</v>
      </c>
    </row>
    <row r="6404" spans="1:9" x14ac:dyDescent="0.25">
      <c r="B6404" s="67" t="s">
        <v>1594</v>
      </c>
      <c r="C6404" s="67">
        <v>0</v>
      </c>
      <c r="D6404" s="67">
        <v>0</v>
      </c>
      <c r="E6404" s="67">
        <v>83900.45</v>
      </c>
      <c r="H6404" s="67" t="s">
        <v>146</v>
      </c>
    </row>
    <row r="6406" spans="1:9" x14ac:dyDescent="0.25">
      <c r="A6406" s="67" t="s">
        <v>1593</v>
      </c>
      <c r="B6406" s="67" t="s">
        <v>1592</v>
      </c>
      <c r="C6406" s="67">
        <v>0</v>
      </c>
      <c r="D6406" s="67">
        <v>0</v>
      </c>
      <c r="E6406" s="67">
        <v>83900.41</v>
      </c>
      <c r="F6406" s="67">
        <v>25250</v>
      </c>
      <c r="H6406" s="68">
        <v>40764</v>
      </c>
      <c r="I6406" s="67" t="s">
        <v>148</v>
      </c>
    </row>
    <row r="6407" spans="1:9" x14ac:dyDescent="0.25">
      <c r="B6407" s="67" t="s">
        <v>1592</v>
      </c>
      <c r="C6407" s="67">
        <v>0</v>
      </c>
      <c r="D6407" s="67">
        <v>0</v>
      </c>
      <c r="E6407" s="67">
        <v>83900.45</v>
      </c>
      <c r="H6407" s="67" t="s">
        <v>146</v>
      </c>
    </row>
    <row r="6409" spans="1:9" x14ac:dyDescent="0.25">
      <c r="A6409" s="67" t="s">
        <v>1591</v>
      </c>
      <c r="B6409" s="67" t="s">
        <v>1590</v>
      </c>
      <c r="C6409" s="67">
        <v>0</v>
      </c>
      <c r="D6409" s="67">
        <v>0</v>
      </c>
      <c r="E6409" s="67">
        <v>83900.41</v>
      </c>
      <c r="F6409" s="67">
        <v>25250</v>
      </c>
      <c r="H6409" s="68">
        <v>40764</v>
      </c>
      <c r="I6409" s="67" t="s">
        <v>148</v>
      </c>
    </row>
    <row r="6410" spans="1:9" x14ac:dyDescent="0.25">
      <c r="B6410" s="67" t="s">
        <v>1590</v>
      </c>
      <c r="C6410" s="67">
        <v>0</v>
      </c>
      <c r="D6410" s="67">
        <v>0</v>
      </c>
      <c r="E6410" s="67">
        <v>83900.45</v>
      </c>
      <c r="H6410" s="67" t="s">
        <v>146</v>
      </c>
    </row>
    <row r="6412" spans="1:9" x14ac:dyDescent="0.25">
      <c r="A6412" s="67" t="s">
        <v>1589</v>
      </c>
      <c r="B6412" s="67" t="s">
        <v>1588</v>
      </c>
      <c r="C6412" s="67">
        <v>0</v>
      </c>
      <c r="D6412" s="67">
        <v>0</v>
      </c>
      <c r="E6412" s="67">
        <v>83900.41</v>
      </c>
      <c r="F6412" s="67">
        <v>25250</v>
      </c>
      <c r="H6412" s="68">
        <v>40764</v>
      </c>
      <c r="I6412" s="67" t="s">
        <v>148</v>
      </c>
    </row>
    <row r="6413" spans="1:9" x14ac:dyDescent="0.25">
      <c r="B6413" s="67" t="s">
        <v>1588</v>
      </c>
      <c r="C6413" s="67">
        <v>0</v>
      </c>
      <c r="D6413" s="67">
        <v>0</v>
      </c>
      <c r="E6413" s="67">
        <v>83900.45</v>
      </c>
      <c r="H6413" s="67" t="s">
        <v>146</v>
      </c>
    </row>
    <row r="6415" spans="1:9" x14ac:dyDescent="0.25">
      <c r="A6415" s="67" t="s">
        <v>1587</v>
      </c>
      <c r="B6415" s="67" t="s">
        <v>1586</v>
      </c>
      <c r="C6415" s="67">
        <v>0</v>
      </c>
      <c r="D6415" s="67">
        <v>0</v>
      </c>
      <c r="E6415" s="67">
        <v>83900.41</v>
      </c>
      <c r="F6415" s="67">
        <v>25250</v>
      </c>
      <c r="H6415" s="68">
        <v>40764</v>
      </c>
      <c r="I6415" s="67" t="s">
        <v>148</v>
      </c>
    </row>
    <row r="6416" spans="1:9" x14ac:dyDescent="0.25">
      <c r="B6416" s="67" t="s">
        <v>1586</v>
      </c>
      <c r="C6416" s="67">
        <v>0</v>
      </c>
      <c r="D6416" s="67">
        <v>0</v>
      </c>
      <c r="E6416" s="67">
        <v>83900.45</v>
      </c>
      <c r="H6416" s="67" t="s">
        <v>146</v>
      </c>
    </row>
    <row r="6418" spans="1:9" x14ac:dyDescent="0.25">
      <c r="A6418" s="67" t="s">
        <v>1585</v>
      </c>
      <c r="B6418" s="67" t="s">
        <v>1584</v>
      </c>
      <c r="C6418" s="67">
        <v>0</v>
      </c>
      <c r="D6418" s="67">
        <v>0</v>
      </c>
      <c r="E6418" s="67">
        <v>83900.41</v>
      </c>
      <c r="F6418" s="67">
        <v>25250</v>
      </c>
      <c r="H6418" s="68">
        <v>40764</v>
      </c>
      <c r="I6418" s="67" t="s">
        <v>148</v>
      </c>
    </row>
    <row r="6419" spans="1:9" x14ac:dyDescent="0.25">
      <c r="B6419" s="67" t="s">
        <v>1584</v>
      </c>
      <c r="C6419" s="67">
        <v>0</v>
      </c>
      <c r="D6419" s="67">
        <v>0</v>
      </c>
      <c r="E6419" s="67">
        <v>83900.45</v>
      </c>
      <c r="H6419" s="67" t="s">
        <v>146</v>
      </c>
    </row>
    <row r="6421" spans="1:9" x14ac:dyDescent="0.25">
      <c r="A6421" s="67" t="s">
        <v>1583</v>
      </c>
      <c r="B6421" s="67" t="s">
        <v>1582</v>
      </c>
      <c r="C6421" s="67">
        <v>0</v>
      </c>
      <c r="D6421" s="67">
        <v>0</v>
      </c>
      <c r="E6421" s="67">
        <v>83900.41</v>
      </c>
      <c r="F6421" s="67">
        <v>25250</v>
      </c>
      <c r="H6421" s="68">
        <v>40764</v>
      </c>
      <c r="I6421" s="67" t="s">
        <v>148</v>
      </c>
    </row>
    <row r="6422" spans="1:9" x14ac:dyDescent="0.25">
      <c r="B6422" s="67" t="s">
        <v>1582</v>
      </c>
      <c r="C6422" s="67">
        <v>0</v>
      </c>
      <c r="D6422" s="67">
        <v>0</v>
      </c>
      <c r="E6422" s="67">
        <v>83900.45</v>
      </c>
      <c r="H6422" s="67" t="s">
        <v>146</v>
      </c>
    </row>
    <row r="6424" spans="1:9" x14ac:dyDescent="0.25">
      <c r="A6424" s="67" t="s">
        <v>1581</v>
      </c>
      <c r="B6424" s="67" t="s">
        <v>1580</v>
      </c>
      <c r="C6424" s="67">
        <v>0</v>
      </c>
      <c r="D6424" s="67">
        <v>0</v>
      </c>
      <c r="E6424" s="67">
        <v>83900.41</v>
      </c>
      <c r="F6424" s="67">
        <v>25250</v>
      </c>
      <c r="H6424" s="68">
        <v>40764</v>
      </c>
      <c r="I6424" s="67" t="s">
        <v>148</v>
      </c>
    </row>
    <row r="6425" spans="1:9" x14ac:dyDescent="0.25">
      <c r="B6425" s="67" t="s">
        <v>1580</v>
      </c>
      <c r="C6425" s="67">
        <v>0</v>
      </c>
      <c r="D6425" s="67">
        <v>0</v>
      </c>
      <c r="E6425" s="67">
        <v>83900.45</v>
      </c>
      <c r="H6425" s="67" t="s">
        <v>146</v>
      </c>
    </row>
    <row r="6427" spans="1:9" x14ac:dyDescent="0.25">
      <c r="A6427" s="67" t="s">
        <v>1579</v>
      </c>
      <c r="B6427" s="67" t="s">
        <v>1578</v>
      </c>
      <c r="C6427" s="67">
        <v>0</v>
      </c>
      <c r="D6427" s="67">
        <v>0</v>
      </c>
      <c r="E6427" s="67">
        <v>83900.41</v>
      </c>
      <c r="F6427" s="67">
        <v>25250</v>
      </c>
      <c r="H6427" s="68">
        <v>40764</v>
      </c>
      <c r="I6427" s="67" t="s">
        <v>148</v>
      </c>
    </row>
    <row r="6428" spans="1:9" x14ac:dyDescent="0.25">
      <c r="B6428" s="67" t="s">
        <v>1578</v>
      </c>
      <c r="C6428" s="67">
        <v>0</v>
      </c>
      <c r="D6428" s="67">
        <v>0</v>
      </c>
      <c r="E6428" s="67">
        <v>83900.45</v>
      </c>
      <c r="H6428" s="67" t="s">
        <v>146</v>
      </c>
    </row>
    <row r="6430" spans="1:9" x14ac:dyDescent="0.25">
      <c r="A6430" s="67" t="s">
        <v>1577</v>
      </c>
      <c r="B6430" s="67" t="s">
        <v>1576</v>
      </c>
      <c r="C6430" s="67">
        <v>0</v>
      </c>
      <c r="D6430" s="67">
        <v>0</v>
      </c>
      <c r="E6430" s="67">
        <v>83900.41</v>
      </c>
      <c r="F6430" s="67">
        <v>25250</v>
      </c>
      <c r="H6430" s="68">
        <v>40764</v>
      </c>
      <c r="I6430" s="67" t="s">
        <v>148</v>
      </c>
    </row>
    <row r="6431" spans="1:9" x14ac:dyDescent="0.25">
      <c r="B6431" s="67" t="s">
        <v>1576</v>
      </c>
      <c r="C6431" s="67">
        <v>0</v>
      </c>
      <c r="D6431" s="67">
        <v>0</v>
      </c>
      <c r="E6431" s="67">
        <v>83900.45</v>
      </c>
      <c r="H6431" s="67" t="s">
        <v>146</v>
      </c>
    </row>
    <row r="6433" spans="1:9" x14ac:dyDescent="0.25">
      <c r="A6433" s="67" t="s">
        <v>1575</v>
      </c>
      <c r="B6433" s="67" t="s">
        <v>1574</v>
      </c>
      <c r="C6433" s="67">
        <v>0</v>
      </c>
      <c r="D6433" s="67">
        <v>0</v>
      </c>
      <c r="E6433" s="67">
        <v>83900.41</v>
      </c>
      <c r="F6433" s="67">
        <v>25250</v>
      </c>
      <c r="H6433" s="68">
        <v>40764</v>
      </c>
      <c r="I6433" s="67" t="s">
        <v>148</v>
      </c>
    </row>
    <row r="6434" spans="1:9" x14ac:dyDescent="0.25">
      <c r="B6434" s="67" t="s">
        <v>1574</v>
      </c>
      <c r="C6434" s="67">
        <v>0</v>
      </c>
      <c r="D6434" s="67">
        <v>0</v>
      </c>
      <c r="E6434" s="67">
        <v>83900.45</v>
      </c>
      <c r="H6434" s="67" t="s">
        <v>146</v>
      </c>
    </row>
    <row r="6436" spans="1:9" x14ac:dyDescent="0.25">
      <c r="A6436" s="67" t="s">
        <v>1573</v>
      </c>
      <c r="B6436" s="67" t="s">
        <v>1572</v>
      </c>
      <c r="C6436" s="67">
        <v>0</v>
      </c>
      <c r="D6436" s="67">
        <v>0</v>
      </c>
      <c r="E6436" s="67">
        <v>83900.41</v>
      </c>
      <c r="F6436" s="67">
        <v>25250</v>
      </c>
      <c r="H6436" s="68">
        <v>40764</v>
      </c>
      <c r="I6436" s="67" t="s">
        <v>148</v>
      </c>
    </row>
    <row r="6437" spans="1:9" x14ac:dyDescent="0.25">
      <c r="B6437" s="67" t="s">
        <v>1572</v>
      </c>
      <c r="C6437" s="67">
        <v>0</v>
      </c>
      <c r="D6437" s="67">
        <v>0</v>
      </c>
      <c r="E6437" s="67">
        <v>83900.45</v>
      </c>
      <c r="H6437" s="67" t="s">
        <v>146</v>
      </c>
    </row>
    <row r="6439" spans="1:9" x14ac:dyDescent="0.25">
      <c r="A6439" s="67" t="s">
        <v>1571</v>
      </c>
      <c r="B6439" s="67" t="s">
        <v>1570</v>
      </c>
      <c r="C6439" s="67">
        <v>0</v>
      </c>
      <c r="D6439" s="67">
        <v>0</v>
      </c>
      <c r="E6439" s="67">
        <v>83900.41</v>
      </c>
      <c r="F6439" s="67">
        <v>25250</v>
      </c>
      <c r="H6439" s="68">
        <v>40764</v>
      </c>
      <c r="I6439" s="67" t="s">
        <v>148</v>
      </c>
    </row>
    <row r="6440" spans="1:9" x14ac:dyDescent="0.25">
      <c r="B6440" s="67" t="s">
        <v>1570</v>
      </c>
      <c r="C6440" s="67">
        <v>0</v>
      </c>
      <c r="D6440" s="67">
        <v>0</v>
      </c>
      <c r="E6440" s="67">
        <v>83900.45</v>
      </c>
      <c r="H6440" s="67" t="s">
        <v>146</v>
      </c>
    </row>
    <row r="6442" spans="1:9" x14ac:dyDescent="0.25">
      <c r="A6442" s="67" t="s">
        <v>1569</v>
      </c>
      <c r="B6442" s="67" t="s">
        <v>1568</v>
      </c>
      <c r="C6442" s="67">
        <v>0</v>
      </c>
      <c r="D6442" s="67">
        <v>0</v>
      </c>
      <c r="E6442" s="67">
        <v>83900.41</v>
      </c>
      <c r="F6442" s="67">
        <v>25250</v>
      </c>
      <c r="H6442" s="68">
        <v>40764</v>
      </c>
      <c r="I6442" s="67" t="s">
        <v>148</v>
      </c>
    </row>
    <row r="6443" spans="1:9" x14ac:dyDescent="0.25">
      <c r="B6443" s="67" t="s">
        <v>1568</v>
      </c>
      <c r="C6443" s="67">
        <v>0</v>
      </c>
      <c r="D6443" s="67">
        <v>0</v>
      </c>
      <c r="E6443" s="67">
        <v>83900.45</v>
      </c>
      <c r="H6443" s="67" t="s">
        <v>146</v>
      </c>
    </row>
    <row r="6445" spans="1:9" x14ac:dyDescent="0.25">
      <c r="A6445" s="67" t="s">
        <v>1567</v>
      </c>
      <c r="B6445" s="67" t="s">
        <v>1566</v>
      </c>
      <c r="C6445" s="67">
        <v>0</v>
      </c>
      <c r="D6445" s="67">
        <v>0</v>
      </c>
      <c r="E6445" s="67">
        <v>83900.41</v>
      </c>
      <c r="F6445" s="67">
        <v>25250</v>
      </c>
      <c r="H6445" s="68">
        <v>40764</v>
      </c>
      <c r="I6445" s="67" t="s">
        <v>148</v>
      </c>
    </row>
    <row r="6446" spans="1:9" x14ac:dyDescent="0.25">
      <c r="B6446" s="67" t="s">
        <v>1566</v>
      </c>
      <c r="C6446" s="67">
        <v>0</v>
      </c>
      <c r="D6446" s="67">
        <v>0</v>
      </c>
      <c r="E6446" s="67">
        <v>83900.45</v>
      </c>
      <c r="H6446" s="67" t="s">
        <v>146</v>
      </c>
    </row>
    <row r="6448" spans="1:9" x14ac:dyDescent="0.25">
      <c r="A6448" s="67" t="s">
        <v>1565</v>
      </c>
      <c r="B6448" s="67" t="s">
        <v>1564</v>
      </c>
      <c r="C6448" s="67">
        <v>0</v>
      </c>
      <c r="D6448" s="67">
        <v>0</v>
      </c>
      <c r="E6448" s="67">
        <v>83900.41</v>
      </c>
      <c r="F6448" s="67">
        <v>25250</v>
      </c>
      <c r="H6448" s="68">
        <v>40764</v>
      </c>
      <c r="I6448" s="67" t="s">
        <v>148</v>
      </c>
    </row>
    <row r="6449" spans="1:9" x14ac:dyDescent="0.25">
      <c r="B6449" s="67" t="s">
        <v>1564</v>
      </c>
      <c r="C6449" s="67">
        <v>0</v>
      </c>
      <c r="D6449" s="67">
        <v>0</v>
      </c>
      <c r="E6449" s="67">
        <v>83900.45</v>
      </c>
      <c r="H6449" s="67" t="s">
        <v>146</v>
      </c>
    </row>
    <row r="6450" spans="1:9" x14ac:dyDescent="0.25">
      <c r="A6450" s="67" t="s">
        <v>233</v>
      </c>
    </row>
    <row r="6452" spans="1:9" x14ac:dyDescent="0.25">
      <c r="A6452" s="67" t="s">
        <v>232</v>
      </c>
      <c r="D6452" s="67" t="s">
        <v>231</v>
      </c>
      <c r="H6452" s="67" t="s">
        <v>148</v>
      </c>
      <c r="I6452" s="67" t="s">
        <v>230</v>
      </c>
    </row>
    <row r="6453" spans="1:9" x14ac:dyDescent="0.25">
      <c r="A6453" s="67">
        <v>41.1</v>
      </c>
      <c r="C6453" s="67" t="s">
        <v>215</v>
      </c>
      <c r="D6453" s="67" t="s">
        <v>229</v>
      </c>
      <c r="H6453" s="70">
        <v>44771</v>
      </c>
      <c r="I6453" s="69">
        <v>0.56736111111111109</v>
      </c>
    </row>
    <row r="6454" spans="1:9" x14ac:dyDescent="0.25">
      <c r="A6454" s="67" t="s">
        <v>228</v>
      </c>
      <c r="C6454" s="67" t="s">
        <v>227</v>
      </c>
      <c r="D6454" s="67" t="s">
        <v>226</v>
      </c>
      <c r="E6454" s="67">
        <v>589</v>
      </c>
      <c r="H6454" s="67" t="s">
        <v>225</v>
      </c>
      <c r="I6454" s="67">
        <v>112</v>
      </c>
    </row>
    <row r="6455" spans="1:9" x14ac:dyDescent="0.25">
      <c r="A6455" s="67" t="s">
        <v>884</v>
      </c>
    </row>
    <row r="6456" spans="1:9" x14ac:dyDescent="0.25">
      <c r="A6456" s="67" t="s">
        <v>223</v>
      </c>
      <c r="B6456" s="67" t="s">
        <v>222</v>
      </c>
      <c r="C6456" s="67" t="s">
        <v>221</v>
      </c>
      <c r="D6456" s="67" t="s">
        <v>220</v>
      </c>
      <c r="E6456" s="67" t="s">
        <v>219</v>
      </c>
      <c r="F6456" s="67" t="s">
        <v>217</v>
      </c>
      <c r="G6456" s="67" t="s">
        <v>218</v>
      </c>
      <c r="H6456" s="67" t="s">
        <v>217</v>
      </c>
      <c r="I6456" s="67" t="s">
        <v>216</v>
      </c>
    </row>
    <row r="6457" spans="1:9" x14ac:dyDescent="0.25">
      <c r="A6457" s="67" t="s">
        <v>215</v>
      </c>
      <c r="B6457" s="67" t="s">
        <v>214</v>
      </c>
      <c r="C6457" s="67" t="s">
        <v>213</v>
      </c>
      <c r="D6457" s="67" t="s">
        <v>212</v>
      </c>
      <c r="E6457" s="67" t="s">
        <v>211</v>
      </c>
      <c r="F6457" s="67" t="s">
        <v>210</v>
      </c>
      <c r="G6457" s="67" t="s">
        <v>209</v>
      </c>
      <c r="H6457" s="67" t="s">
        <v>208</v>
      </c>
      <c r="I6457" s="67" t="s">
        <v>207</v>
      </c>
    </row>
    <row r="6458" spans="1:9" x14ac:dyDescent="0.25">
      <c r="A6458" s="67" t="s">
        <v>206</v>
      </c>
      <c r="B6458" s="67" t="s">
        <v>205</v>
      </c>
      <c r="C6458" s="67" t="s">
        <v>204</v>
      </c>
      <c r="D6458" s="67" t="s">
        <v>203</v>
      </c>
      <c r="E6458" s="67" t="s">
        <v>202</v>
      </c>
      <c r="F6458" s="67" t="s">
        <v>201</v>
      </c>
      <c r="G6458" s="67" t="s">
        <v>200</v>
      </c>
      <c r="H6458" s="67" t="s">
        <v>199</v>
      </c>
    </row>
    <row r="6459" spans="1:9" x14ac:dyDescent="0.25">
      <c r="A6459" s="67" t="s">
        <v>1563</v>
      </c>
      <c r="B6459" s="67" t="s">
        <v>1562</v>
      </c>
      <c r="C6459" s="67">
        <v>0</v>
      </c>
      <c r="D6459" s="67">
        <v>0</v>
      </c>
      <c r="E6459" s="67">
        <v>83900.41</v>
      </c>
      <c r="F6459" s="67">
        <v>25250</v>
      </c>
      <c r="H6459" s="68">
        <v>40764</v>
      </c>
      <c r="I6459" s="67" t="s">
        <v>148</v>
      </c>
    </row>
    <row r="6460" spans="1:9" x14ac:dyDescent="0.25">
      <c r="B6460" s="67" t="s">
        <v>1562</v>
      </c>
      <c r="C6460" s="67">
        <v>0</v>
      </c>
      <c r="D6460" s="67">
        <v>0</v>
      </c>
      <c r="E6460" s="67">
        <v>83900.45</v>
      </c>
      <c r="H6460" s="67" t="s">
        <v>146</v>
      </c>
    </row>
    <row r="6462" spans="1:9" x14ac:dyDescent="0.25">
      <c r="A6462" s="67" t="s">
        <v>1561</v>
      </c>
      <c r="B6462" s="67" t="s">
        <v>1560</v>
      </c>
      <c r="C6462" s="67">
        <v>0</v>
      </c>
      <c r="D6462" s="67">
        <v>0</v>
      </c>
      <c r="E6462" s="67">
        <v>83900.41</v>
      </c>
      <c r="F6462" s="67">
        <v>25250</v>
      </c>
      <c r="H6462" s="68">
        <v>40764</v>
      </c>
      <c r="I6462" s="67" t="s">
        <v>148</v>
      </c>
    </row>
    <row r="6463" spans="1:9" x14ac:dyDescent="0.25">
      <c r="B6463" s="67" t="s">
        <v>1560</v>
      </c>
      <c r="C6463" s="67">
        <v>0</v>
      </c>
      <c r="D6463" s="67">
        <v>0</v>
      </c>
      <c r="E6463" s="67">
        <v>83900.45</v>
      </c>
      <c r="H6463" s="67" t="s">
        <v>146</v>
      </c>
    </row>
    <row r="6465" spans="1:9" x14ac:dyDescent="0.25">
      <c r="A6465" s="67" t="s">
        <v>1559</v>
      </c>
      <c r="B6465" s="67" t="s">
        <v>1558</v>
      </c>
      <c r="C6465" s="67">
        <v>0</v>
      </c>
      <c r="D6465" s="67">
        <v>0</v>
      </c>
      <c r="E6465" s="67">
        <v>83900.41</v>
      </c>
      <c r="F6465" s="67">
        <v>25250</v>
      </c>
      <c r="H6465" s="68">
        <v>40764</v>
      </c>
      <c r="I6465" s="67" t="s">
        <v>148</v>
      </c>
    </row>
    <row r="6466" spans="1:9" x14ac:dyDescent="0.25">
      <c r="B6466" s="67" t="s">
        <v>1558</v>
      </c>
      <c r="C6466" s="67">
        <v>0</v>
      </c>
      <c r="D6466" s="67">
        <v>0</v>
      </c>
      <c r="E6466" s="67">
        <v>83900.45</v>
      </c>
      <c r="H6466" s="67" t="s">
        <v>146</v>
      </c>
    </row>
    <row r="6468" spans="1:9" x14ac:dyDescent="0.25">
      <c r="A6468" s="67" t="s">
        <v>1557</v>
      </c>
      <c r="B6468" s="67" t="s">
        <v>1556</v>
      </c>
      <c r="C6468" s="67">
        <v>0</v>
      </c>
      <c r="D6468" s="67">
        <v>0</v>
      </c>
      <c r="E6468" s="67">
        <v>83900.41</v>
      </c>
      <c r="F6468" s="67">
        <v>25250</v>
      </c>
      <c r="H6468" s="68">
        <v>40764</v>
      </c>
      <c r="I6468" s="67" t="s">
        <v>148</v>
      </c>
    </row>
    <row r="6469" spans="1:9" x14ac:dyDescent="0.25">
      <c r="B6469" s="67" t="s">
        <v>1556</v>
      </c>
      <c r="C6469" s="67">
        <v>0</v>
      </c>
      <c r="D6469" s="67">
        <v>0</v>
      </c>
      <c r="E6469" s="67">
        <v>83900.45</v>
      </c>
      <c r="H6469" s="67" t="s">
        <v>146</v>
      </c>
    </row>
    <row r="6471" spans="1:9" x14ac:dyDescent="0.25">
      <c r="A6471" s="67" t="s">
        <v>1555</v>
      </c>
      <c r="B6471" s="67" t="s">
        <v>1554</v>
      </c>
      <c r="C6471" s="67">
        <v>0</v>
      </c>
      <c r="D6471" s="67">
        <v>0</v>
      </c>
      <c r="E6471" s="67">
        <v>83900.41</v>
      </c>
      <c r="F6471" s="67">
        <v>25250</v>
      </c>
      <c r="H6471" s="68">
        <v>40764</v>
      </c>
      <c r="I6471" s="67" t="s">
        <v>148</v>
      </c>
    </row>
    <row r="6472" spans="1:9" x14ac:dyDescent="0.25">
      <c r="B6472" s="67" t="s">
        <v>1554</v>
      </c>
      <c r="C6472" s="67">
        <v>0</v>
      </c>
      <c r="D6472" s="67">
        <v>0</v>
      </c>
      <c r="E6472" s="67">
        <v>83900.45</v>
      </c>
      <c r="H6472" s="67" t="s">
        <v>146</v>
      </c>
    </row>
    <row r="6474" spans="1:9" x14ac:dyDescent="0.25">
      <c r="A6474" s="67" t="s">
        <v>1553</v>
      </c>
      <c r="B6474" s="67" t="s">
        <v>1552</v>
      </c>
      <c r="C6474" s="67">
        <v>0</v>
      </c>
      <c r="D6474" s="67">
        <v>0</v>
      </c>
      <c r="E6474" s="67">
        <v>83900.41</v>
      </c>
      <c r="F6474" s="67">
        <v>25250</v>
      </c>
      <c r="H6474" s="68">
        <v>40764</v>
      </c>
      <c r="I6474" s="67" t="s">
        <v>148</v>
      </c>
    </row>
    <row r="6475" spans="1:9" x14ac:dyDescent="0.25">
      <c r="B6475" s="67" t="s">
        <v>1552</v>
      </c>
      <c r="C6475" s="67">
        <v>0</v>
      </c>
      <c r="D6475" s="67">
        <v>0</v>
      </c>
      <c r="E6475" s="67">
        <v>83900.45</v>
      </c>
      <c r="H6475" s="67" t="s">
        <v>146</v>
      </c>
    </row>
    <row r="6477" spans="1:9" x14ac:dyDescent="0.25">
      <c r="A6477" s="67" t="s">
        <v>1551</v>
      </c>
      <c r="B6477" s="67" t="s">
        <v>1550</v>
      </c>
      <c r="C6477" s="67">
        <v>0</v>
      </c>
      <c r="D6477" s="67">
        <v>0</v>
      </c>
      <c r="E6477" s="67">
        <v>83900.41</v>
      </c>
      <c r="F6477" s="67">
        <v>25250</v>
      </c>
      <c r="H6477" s="68">
        <v>40764</v>
      </c>
      <c r="I6477" s="67" t="s">
        <v>148</v>
      </c>
    </row>
    <row r="6478" spans="1:9" x14ac:dyDescent="0.25">
      <c r="B6478" s="67" t="s">
        <v>1550</v>
      </c>
      <c r="C6478" s="67">
        <v>0</v>
      </c>
      <c r="D6478" s="67">
        <v>0</v>
      </c>
      <c r="E6478" s="67">
        <v>83900.45</v>
      </c>
      <c r="H6478" s="67" t="s">
        <v>146</v>
      </c>
    </row>
    <row r="6480" spans="1:9" x14ac:dyDescent="0.25">
      <c r="A6480" s="67" t="s">
        <v>1549</v>
      </c>
      <c r="B6480" s="67" t="s">
        <v>1548</v>
      </c>
      <c r="C6480" s="67">
        <v>0</v>
      </c>
      <c r="D6480" s="67">
        <v>0</v>
      </c>
      <c r="E6480" s="67">
        <v>83900.41</v>
      </c>
      <c r="F6480" s="67">
        <v>25250</v>
      </c>
      <c r="H6480" s="68">
        <v>40764</v>
      </c>
      <c r="I6480" s="67" t="s">
        <v>148</v>
      </c>
    </row>
    <row r="6481" spans="1:9" x14ac:dyDescent="0.25">
      <c r="B6481" s="67" t="s">
        <v>1548</v>
      </c>
      <c r="C6481" s="67">
        <v>0</v>
      </c>
      <c r="D6481" s="67">
        <v>0</v>
      </c>
      <c r="E6481" s="67">
        <v>83900.45</v>
      </c>
      <c r="H6481" s="67" t="s">
        <v>146</v>
      </c>
    </row>
    <row r="6483" spans="1:9" x14ac:dyDescent="0.25">
      <c r="A6483" s="67" t="s">
        <v>1547</v>
      </c>
      <c r="B6483" s="67" t="s">
        <v>1546</v>
      </c>
      <c r="C6483" s="67">
        <v>0</v>
      </c>
      <c r="D6483" s="67">
        <v>0</v>
      </c>
      <c r="E6483" s="67">
        <v>83900.41</v>
      </c>
      <c r="F6483" s="67">
        <v>25250</v>
      </c>
      <c r="H6483" s="68">
        <v>40764</v>
      </c>
      <c r="I6483" s="67" t="s">
        <v>148</v>
      </c>
    </row>
    <row r="6484" spans="1:9" x14ac:dyDescent="0.25">
      <c r="B6484" s="67" t="s">
        <v>1546</v>
      </c>
      <c r="C6484" s="67">
        <v>0</v>
      </c>
      <c r="D6484" s="67">
        <v>0</v>
      </c>
      <c r="E6484" s="67">
        <v>83900.45</v>
      </c>
      <c r="H6484" s="67" t="s">
        <v>146</v>
      </c>
    </row>
    <row r="6486" spans="1:9" x14ac:dyDescent="0.25">
      <c r="A6486" s="67" t="s">
        <v>1545</v>
      </c>
      <c r="B6486" s="67" t="s">
        <v>1544</v>
      </c>
      <c r="C6486" s="67">
        <v>0</v>
      </c>
      <c r="D6486" s="67">
        <v>0</v>
      </c>
      <c r="E6486" s="67">
        <v>83900.41</v>
      </c>
      <c r="F6486" s="67">
        <v>25250</v>
      </c>
      <c r="H6486" s="68">
        <v>40764</v>
      </c>
      <c r="I6486" s="67" t="s">
        <v>148</v>
      </c>
    </row>
    <row r="6487" spans="1:9" x14ac:dyDescent="0.25">
      <c r="B6487" s="67" t="s">
        <v>1544</v>
      </c>
      <c r="C6487" s="67">
        <v>0</v>
      </c>
      <c r="D6487" s="67">
        <v>0</v>
      </c>
      <c r="E6487" s="67">
        <v>83900.45</v>
      </c>
      <c r="H6487" s="67" t="s">
        <v>146</v>
      </c>
    </row>
    <row r="6489" spans="1:9" x14ac:dyDescent="0.25">
      <c r="A6489" s="67" t="s">
        <v>1543</v>
      </c>
      <c r="B6489" s="67" t="s">
        <v>1542</v>
      </c>
      <c r="C6489" s="67">
        <v>0</v>
      </c>
      <c r="D6489" s="67">
        <v>0</v>
      </c>
      <c r="E6489" s="67">
        <v>83900.41</v>
      </c>
      <c r="F6489" s="67">
        <v>25250</v>
      </c>
      <c r="H6489" s="68">
        <v>40764</v>
      </c>
      <c r="I6489" s="67" t="s">
        <v>148</v>
      </c>
    </row>
    <row r="6490" spans="1:9" x14ac:dyDescent="0.25">
      <c r="B6490" s="67" t="s">
        <v>1542</v>
      </c>
      <c r="C6490" s="67">
        <v>0</v>
      </c>
      <c r="D6490" s="67">
        <v>0</v>
      </c>
      <c r="E6490" s="67">
        <v>83900.45</v>
      </c>
      <c r="H6490" s="67" t="s">
        <v>146</v>
      </c>
    </row>
    <row r="6492" spans="1:9" x14ac:dyDescent="0.25">
      <c r="A6492" s="67" t="s">
        <v>1541</v>
      </c>
      <c r="B6492" s="67" t="s">
        <v>1540</v>
      </c>
      <c r="C6492" s="67">
        <v>0</v>
      </c>
      <c r="D6492" s="67">
        <v>0</v>
      </c>
      <c r="E6492" s="67">
        <v>83900.41</v>
      </c>
      <c r="F6492" s="67">
        <v>25250</v>
      </c>
      <c r="H6492" s="68">
        <v>40764</v>
      </c>
      <c r="I6492" s="67" t="s">
        <v>148</v>
      </c>
    </row>
    <row r="6493" spans="1:9" x14ac:dyDescent="0.25">
      <c r="B6493" s="67" t="s">
        <v>1540</v>
      </c>
      <c r="C6493" s="67">
        <v>0</v>
      </c>
      <c r="D6493" s="67">
        <v>0</v>
      </c>
      <c r="E6493" s="67">
        <v>83900.45</v>
      </c>
      <c r="H6493" s="67" t="s">
        <v>146</v>
      </c>
    </row>
    <row r="6495" spans="1:9" x14ac:dyDescent="0.25">
      <c r="A6495" s="67" t="s">
        <v>1539</v>
      </c>
      <c r="B6495" s="67" t="s">
        <v>1538</v>
      </c>
      <c r="C6495" s="67">
        <v>0</v>
      </c>
      <c r="D6495" s="67">
        <v>0</v>
      </c>
      <c r="E6495" s="67">
        <v>83900.41</v>
      </c>
      <c r="F6495" s="67">
        <v>25250</v>
      </c>
      <c r="H6495" s="68">
        <v>40764</v>
      </c>
      <c r="I6495" s="67" t="s">
        <v>148</v>
      </c>
    </row>
    <row r="6496" spans="1:9" x14ac:dyDescent="0.25">
      <c r="B6496" s="67" t="s">
        <v>1538</v>
      </c>
      <c r="C6496" s="67">
        <v>0</v>
      </c>
      <c r="D6496" s="67">
        <v>0</v>
      </c>
      <c r="E6496" s="67">
        <v>83900.45</v>
      </c>
      <c r="H6496" s="67" t="s">
        <v>146</v>
      </c>
    </row>
    <row r="6498" spans="1:9" x14ac:dyDescent="0.25">
      <c r="A6498" s="67" t="s">
        <v>1537</v>
      </c>
      <c r="B6498" s="67" t="s">
        <v>1536</v>
      </c>
      <c r="C6498" s="67">
        <v>0</v>
      </c>
      <c r="D6498" s="67">
        <v>0</v>
      </c>
      <c r="E6498" s="67">
        <v>83900.41</v>
      </c>
      <c r="F6498" s="67">
        <v>25250</v>
      </c>
      <c r="H6498" s="68">
        <v>40764</v>
      </c>
      <c r="I6498" s="67" t="s">
        <v>148</v>
      </c>
    </row>
    <row r="6499" spans="1:9" x14ac:dyDescent="0.25">
      <c r="B6499" s="67" t="s">
        <v>1536</v>
      </c>
      <c r="C6499" s="67">
        <v>0</v>
      </c>
      <c r="D6499" s="67">
        <v>0</v>
      </c>
      <c r="E6499" s="67">
        <v>83900.45</v>
      </c>
      <c r="H6499" s="67" t="s">
        <v>146</v>
      </c>
    </row>
    <row r="6501" spans="1:9" x14ac:dyDescent="0.25">
      <c r="A6501" s="67" t="s">
        <v>1535</v>
      </c>
      <c r="B6501" s="67" t="s">
        <v>1534</v>
      </c>
      <c r="C6501" s="67">
        <v>0</v>
      </c>
      <c r="D6501" s="67">
        <v>0</v>
      </c>
      <c r="E6501" s="67">
        <v>83900.41</v>
      </c>
      <c r="F6501" s="67">
        <v>25250</v>
      </c>
      <c r="H6501" s="68">
        <v>40764</v>
      </c>
      <c r="I6501" s="67" t="s">
        <v>148</v>
      </c>
    </row>
    <row r="6502" spans="1:9" x14ac:dyDescent="0.25">
      <c r="B6502" s="67" t="s">
        <v>1534</v>
      </c>
      <c r="C6502" s="67">
        <v>0</v>
      </c>
      <c r="D6502" s="67">
        <v>0</v>
      </c>
      <c r="E6502" s="67">
        <v>83900.45</v>
      </c>
      <c r="H6502" s="67" t="s">
        <v>146</v>
      </c>
    </row>
    <row r="6504" spans="1:9" x14ac:dyDescent="0.25">
      <c r="A6504" s="67" t="s">
        <v>1533</v>
      </c>
      <c r="B6504" s="67" t="s">
        <v>1532</v>
      </c>
      <c r="C6504" s="67">
        <v>0</v>
      </c>
      <c r="D6504" s="67">
        <v>0</v>
      </c>
      <c r="E6504" s="67">
        <v>83900.41</v>
      </c>
      <c r="F6504" s="67">
        <v>25250</v>
      </c>
      <c r="H6504" s="68">
        <v>40764</v>
      </c>
      <c r="I6504" s="67" t="s">
        <v>148</v>
      </c>
    </row>
    <row r="6505" spans="1:9" x14ac:dyDescent="0.25">
      <c r="B6505" s="67" t="s">
        <v>1532</v>
      </c>
      <c r="C6505" s="67">
        <v>0</v>
      </c>
      <c r="D6505" s="67">
        <v>0</v>
      </c>
      <c r="E6505" s="67">
        <v>83900.45</v>
      </c>
      <c r="H6505" s="67" t="s">
        <v>146</v>
      </c>
    </row>
    <row r="6507" spans="1:9" x14ac:dyDescent="0.25">
      <c r="A6507" s="67" t="s">
        <v>1531</v>
      </c>
      <c r="B6507" s="67" t="s">
        <v>1530</v>
      </c>
      <c r="C6507" s="67">
        <v>0</v>
      </c>
      <c r="D6507" s="67">
        <v>0</v>
      </c>
      <c r="E6507" s="67">
        <v>83900.41</v>
      </c>
      <c r="F6507" s="67">
        <v>25250</v>
      </c>
      <c r="H6507" s="68">
        <v>40764</v>
      </c>
      <c r="I6507" s="67" t="s">
        <v>148</v>
      </c>
    </row>
    <row r="6508" spans="1:9" x14ac:dyDescent="0.25">
      <c r="B6508" s="67" t="s">
        <v>1530</v>
      </c>
      <c r="C6508" s="67">
        <v>0</v>
      </c>
      <c r="D6508" s="67">
        <v>0</v>
      </c>
      <c r="E6508" s="67">
        <v>83900.45</v>
      </c>
      <c r="H6508" s="67" t="s">
        <v>146</v>
      </c>
    </row>
    <row r="6509" spans="1:9" x14ac:dyDescent="0.25">
      <c r="A6509" s="67" t="s">
        <v>233</v>
      </c>
    </row>
    <row r="6511" spans="1:9" x14ac:dyDescent="0.25">
      <c r="A6511" s="67" t="s">
        <v>232</v>
      </c>
      <c r="D6511" s="67" t="s">
        <v>231</v>
      </c>
      <c r="H6511" s="67" t="s">
        <v>148</v>
      </c>
      <c r="I6511" s="67" t="s">
        <v>230</v>
      </c>
    </row>
    <row r="6512" spans="1:9" x14ac:dyDescent="0.25">
      <c r="A6512" s="67">
        <v>41.1</v>
      </c>
      <c r="C6512" s="67" t="s">
        <v>215</v>
      </c>
      <c r="D6512" s="67" t="s">
        <v>229</v>
      </c>
      <c r="H6512" s="70">
        <v>44771</v>
      </c>
      <c r="I6512" s="69">
        <v>0.56736111111111109</v>
      </c>
    </row>
    <row r="6513" spans="1:9" x14ac:dyDescent="0.25">
      <c r="A6513" s="67" t="s">
        <v>228</v>
      </c>
      <c r="C6513" s="67" t="s">
        <v>227</v>
      </c>
      <c r="D6513" s="67" t="s">
        <v>226</v>
      </c>
      <c r="E6513" s="67">
        <v>589</v>
      </c>
      <c r="H6513" s="67" t="s">
        <v>225</v>
      </c>
      <c r="I6513" s="67">
        <v>113</v>
      </c>
    </row>
    <row r="6514" spans="1:9" x14ac:dyDescent="0.25">
      <c r="A6514" s="67" t="s">
        <v>884</v>
      </c>
    </row>
    <row r="6515" spans="1:9" x14ac:dyDescent="0.25">
      <c r="A6515" s="67" t="s">
        <v>223</v>
      </c>
      <c r="B6515" s="67" t="s">
        <v>222</v>
      </c>
      <c r="C6515" s="67" t="s">
        <v>221</v>
      </c>
      <c r="D6515" s="67" t="s">
        <v>220</v>
      </c>
      <c r="E6515" s="67" t="s">
        <v>219</v>
      </c>
      <c r="F6515" s="67" t="s">
        <v>217</v>
      </c>
      <c r="G6515" s="67" t="s">
        <v>218</v>
      </c>
      <c r="H6515" s="67" t="s">
        <v>217</v>
      </c>
      <c r="I6515" s="67" t="s">
        <v>216</v>
      </c>
    </row>
    <row r="6516" spans="1:9" x14ac:dyDescent="0.25">
      <c r="A6516" s="67" t="s">
        <v>215</v>
      </c>
      <c r="B6516" s="67" t="s">
        <v>214</v>
      </c>
      <c r="C6516" s="67" t="s">
        <v>213</v>
      </c>
      <c r="D6516" s="67" t="s">
        <v>212</v>
      </c>
      <c r="E6516" s="67" t="s">
        <v>211</v>
      </c>
      <c r="F6516" s="67" t="s">
        <v>210</v>
      </c>
      <c r="G6516" s="67" t="s">
        <v>209</v>
      </c>
      <c r="H6516" s="67" t="s">
        <v>208</v>
      </c>
      <c r="I6516" s="67" t="s">
        <v>207</v>
      </c>
    </row>
    <row r="6517" spans="1:9" x14ac:dyDescent="0.25">
      <c r="A6517" s="67" t="s">
        <v>206</v>
      </c>
      <c r="B6517" s="67" t="s">
        <v>205</v>
      </c>
      <c r="C6517" s="67" t="s">
        <v>204</v>
      </c>
      <c r="D6517" s="67" t="s">
        <v>203</v>
      </c>
      <c r="E6517" s="67" t="s">
        <v>202</v>
      </c>
      <c r="F6517" s="67" t="s">
        <v>201</v>
      </c>
      <c r="G6517" s="67" t="s">
        <v>200</v>
      </c>
      <c r="H6517" s="67" t="s">
        <v>199</v>
      </c>
    </row>
    <row r="6518" spans="1:9" x14ac:dyDescent="0.25">
      <c r="A6518" s="67" t="s">
        <v>1529</v>
      </c>
      <c r="B6518" s="67" t="s">
        <v>1528</v>
      </c>
      <c r="C6518" s="67">
        <v>0</v>
      </c>
      <c r="D6518" s="67">
        <v>0</v>
      </c>
      <c r="E6518" s="67">
        <v>83900.41</v>
      </c>
      <c r="F6518" s="67">
        <v>25250</v>
      </c>
      <c r="H6518" s="68">
        <v>40764</v>
      </c>
      <c r="I6518" s="67" t="s">
        <v>148</v>
      </c>
    </row>
    <row r="6519" spans="1:9" x14ac:dyDescent="0.25">
      <c r="B6519" s="67" t="s">
        <v>1528</v>
      </c>
      <c r="C6519" s="67">
        <v>0</v>
      </c>
      <c r="D6519" s="67">
        <v>0</v>
      </c>
      <c r="E6519" s="67">
        <v>83900.45</v>
      </c>
      <c r="H6519" s="67" t="s">
        <v>146</v>
      </c>
    </row>
    <row r="6521" spans="1:9" x14ac:dyDescent="0.25">
      <c r="A6521" s="67" t="s">
        <v>1527</v>
      </c>
      <c r="B6521" s="67" t="s">
        <v>1526</v>
      </c>
      <c r="C6521" s="67">
        <v>0</v>
      </c>
      <c r="D6521" s="67">
        <v>0</v>
      </c>
      <c r="E6521" s="67">
        <v>83900.41</v>
      </c>
      <c r="F6521" s="67">
        <v>25250</v>
      </c>
      <c r="H6521" s="68">
        <v>40764</v>
      </c>
      <c r="I6521" s="67" t="s">
        <v>148</v>
      </c>
    </row>
    <row r="6522" spans="1:9" x14ac:dyDescent="0.25">
      <c r="B6522" s="67" t="s">
        <v>1526</v>
      </c>
      <c r="C6522" s="67">
        <v>0</v>
      </c>
      <c r="D6522" s="67">
        <v>0</v>
      </c>
      <c r="E6522" s="67">
        <v>83900.45</v>
      </c>
      <c r="H6522" s="67" t="s">
        <v>146</v>
      </c>
    </row>
    <row r="6524" spans="1:9" x14ac:dyDescent="0.25">
      <c r="A6524" s="67" t="s">
        <v>1525</v>
      </c>
      <c r="B6524" s="67" t="s">
        <v>1524</v>
      </c>
      <c r="C6524" s="67">
        <v>0</v>
      </c>
      <c r="D6524" s="67">
        <v>0</v>
      </c>
      <c r="E6524" s="67">
        <v>83900.41</v>
      </c>
      <c r="F6524" s="67">
        <v>25250</v>
      </c>
      <c r="H6524" s="68">
        <v>40764</v>
      </c>
      <c r="I6524" s="67" t="s">
        <v>148</v>
      </c>
    </row>
    <row r="6525" spans="1:9" x14ac:dyDescent="0.25">
      <c r="B6525" s="67" t="s">
        <v>1524</v>
      </c>
      <c r="C6525" s="67">
        <v>0</v>
      </c>
      <c r="D6525" s="67">
        <v>0</v>
      </c>
      <c r="E6525" s="67">
        <v>83900.45</v>
      </c>
      <c r="H6525" s="67" t="s">
        <v>146</v>
      </c>
    </row>
    <row r="6527" spans="1:9" x14ac:dyDescent="0.25">
      <c r="A6527" s="67" t="s">
        <v>1523</v>
      </c>
      <c r="B6527" s="67" t="s">
        <v>1522</v>
      </c>
      <c r="C6527" s="67">
        <v>0</v>
      </c>
      <c r="D6527" s="67">
        <v>0</v>
      </c>
      <c r="E6527" s="67">
        <v>83900.41</v>
      </c>
      <c r="F6527" s="67">
        <v>25250</v>
      </c>
      <c r="H6527" s="68">
        <v>40764</v>
      </c>
      <c r="I6527" s="67" t="s">
        <v>148</v>
      </c>
    </row>
    <row r="6528" spans="1:9" x14ac:dyDescent="0.25">
      <c r="B6528" s="67" t="s">
        <v>1522</v>
      </c>
      <c r="C6528" s="67">
        <v>0</v>
      </c>
      <c r="D6528" s="67">
        <v>0</v>
      </c>
      <c r="E6528" s="67">
        <v>83900.45</v>
      </c>
      <c r="H6528" s="67" t="s">
        <v>146</v>
      </c>
    </row>
    <row r="6530" spans="1:9" x14ac:dyDescent="0.25">
      <c r="A6530" s="67" t="s">
        <v>1521</v>
      </c>
      <c r="B6530" s="67" t="s">
        <v>1520</v>
      </c>
      <c r="C6530" s="67">
        <v>0</v>
      </c>
      <c r="D6530" s="67">
        <v>0</v>
      </c>
      <c r="E6530" s="67">
        <v>83900.41</v>
      </c>
      <c r="F6530" s="67">
        <v>25250</v>
      </c>
      <c r="H6530" s="68">
        <v>40764</v>
      </c>
      <c r="I6530" s="67" t="s">
        <v>148</v>
      </c>
    </row>
    <row r="6531" spans="1:9" x14ac:dyDescent="0.25">
      <c r="B6531" s="67" t="s">
        <v>1520</v>
      </c>
      <c r="C6531" s="67">
        <v>0</v>
      </c>
      <c r="D6531" s="67">
        <v>0</v>
      </c>
      <c r="E6531" s="67">
        <v>83900.45</v>
      </c>
      <c r="H6531" s="67" t="s">
        <v>146</v>
      </c>
    </row>
    <row r="6533" spans="1:9" x14ac:dyDescent="0.25">
      <c r="A6533" s="67" t="s">
        <v>1519</v>
      </c>
      <c r="B6533" s="67" t="s">
        <v>1518</v>
      </c>
      <c r="C6533" s="67">
        <v>0</v>
      </c>
      <c r="D6533" s="67">
        <v>0</v>
      </c>
      <c r="E6533" s="67">
        <v>83900.41</v>
      </c>
      <c r="F6533" s="67">
        <v>25250</v>
      </c>
      <c r="H6533" s="68">
        <v>40764</v>
      </c>
      <c r="I6533" s="67" t="s">
        <v>148</v>
      </c>
    </row>
    <row r="6534" spans="1:9" x14ac:dyDescent="0.25">
      <c r="B6534" s="67" t="s">
        <v>1518</v>
      </c>
      <c r="C6534" s="67">
        <v>0</v>
      </c>
      <c r="D6534" s="67">
        <v>0</v>
      </c>
      <c r="E6534" s="67">
        <v>83900.45</v>
      </c>
      <c r="H6534" s="67" t="s">
        <v>146</v>
      </c>
    </row>
    <row r="6536" spans="1:9" x14ac:dyDescent="0.25">
      <c r="A6536" s="67" t="s">
        <v>1517</v>
      </c>
      <c r="B6536" s="67" t="s">
        <v>1516</v>
      </c>
      <c r="C6536" s="67">
        <v>0</v>
      </c>
      <c r="D6536" s="67">
        <v>0</v>
      </c>
      <c r="E6536" s="67">
        <v>83900.41</v>
      </c>
      <c r="F6536" s="67">
        <v>25250</v>
      </c>
      <c r="H6536" s="68">
        <v>40764</v>
      </c>
      <c r="I6536" s="67" t="s">
        <v>148</v>
      </c>
    </row>
    <row r="6537" spans="1:9" x14ac:dyDescent="0.25">
      <c r="B6537" s="67" t="s">
        <v>1516</v>
      </c>
      <c r="C6537" s="67">
        <v>0</v>
      </c>
      <c r="D6537" s="67">
        <v>0</v>
      </c>
      <c r="E6537" s="67">
        <v>83900.45</v>
      </c>
      <c r="H6537" s="67" t="s">
        <v>146</v>
      </c>
    </row>
    <row r="6539" spans="1:9" x14ac:dyDescent="0.25">
      <c r="A6539" s="67" t="s">
        <v>1515</v>
      </c>
      <c r="B6539" s="67" t="s">
        <v>1514</v>
      </c>
      <c r="C6539" s="67">
        <v>0</v>
      </c>
      <c r="D6539" s="67">
        <v>0</v>
      </c>
      <c r="E6539" s="67">
        <v>83900.41</v>
      </c>
      <c r="F6539" s="67">
        <v>25250</v>
      </c>
      <c r="H6539" s="68">
        <v>40764</v>
      </c>
      <c r="I6539" s="67" t="s">
        <v>148</v>
      </c>
    </row>
    <row r="6540" spans="1:9" x14ac:dyDescent="0.25">
      <c r="B6540" s="67" t="s">
        <v>1514</v>
      </c>
      <c r="C6540" s="67">
        <v>0</v>
      </c>
      <c r="D6540" s="67">
        <v>0</v>
      </c>
      <c r="E6540" s="67">
        <v>83900.45</v>
      </c>
      <c r="H6540" s="67" t="s">
        <v>146</v>
      </c>
    </row>
    <row r="6542" spans="1:9" x14ac:dyDescent="0.25">
      <c r="A6542" s="67" t="s">
        <v>1513</v>
      </c>
      <c r="B6542" s="67" t="s">
        <v>1512</v>
      </c>
      <c r="C6542" s="67">
        <v>0</v>
      </c>
      <c r="D6542" s="67">
        <v>0</v>
      </c>
      <c r="E6542" s="67">
        <v>83900.41</v>
      </c>
      <c r="F6542" s="67">
        <v>25250</v>
      </c>
      <c r="H6542" s="68">
        <v>40764</v>
      </c>
      <c r="I6542" s="67" t="s">
        <v>148</v>
      </c>
    </row>
    <row r="6543" spans="1:9" x14ac:dyDescent="0.25">
      <c r="B6543" s="67" t="s">
        <v>1512</v>
      </c>
      <c r="C6543" s="67">
        <v>0</v>
      </c>
      <c r="D6543" s="67">
        <v>0</v>
      </c>
      <c r="E6543" s="67">
        <v>83900.45</v>
      </c>
      <c r="H6543" s="67" t="s">
        <v>146</v>
      </c>
    </row>
    <row r="6545" spans="1:9" x14ac:dyDescent="0.25">
      <c r="A6545" s="67" t="s">
        <v>1511</v>
      </c>
      <c r="B6545" s="67" t="s">
        <v>1510</v>
      </c>
      <c r="C6545" s="67">
        <v>0</v>
      </c>
      <c r="D6545" s="67">
        <v>0</v>
      </c>
      <c r="E6545" s="67">
        <v>83900.41</v>
      </c>
      <c r="F6545" s="67">
        <v>25250</v>
      </c>
      <c r="H6545" s="68">
        <v>40764</v>
      </c>
      <c r="I6545" s="67" t="s">
        <v>148</v>
      </c>
    </row>
    <row r="6546" spans="1:9" x14ac:dyDescent="0.25">
      <c r="B6546" s="67" t="s">
        <v>1510</v>
      </c>
      <c r="C6546" s="67">
        <v>0</v>
      </c>
      <c r="D6546" s="67">
        <v>0</v>
      </c>
      <c r="E6546" s="67">
        <v>83900.45</v>
      </c>
      <c r="H6546" s="67" t="s">
        <v>146</v>
      </c>
    </row>
    <row r="6548" spans="1:9" x14ac:dyDescent="0.25">
      <c r="A6548" s="67" t="s">
        <v>1509</v>
      </c>
      <c r="B6548" s="67" t="s">
        <v>1508</v>
      </c>
      <c r="C6548" s="67">
        <v>0</v>
      </c>
      <c r="D6548" s="67">
        <v>0</v>
      </c>
      <c r="E6548" s="67">
        <v>83900.41</v>
      </c>
      <c r="F6548" s="67">
        <v>25250</v>
      </c>
      <c r="H6548" s="68">
        <v>40764</v>
      </c>
      <c r="I6548" s="67" t="s">
        <v>148</v>
      </c>
    </row>
    <row r="6549" spans="1:9" x14ac:dyDescent="0.25">
      <c r="B6549" s="67" t="s">
        <v>1508</v>
      </c>
      <c r="C6549" s="67">
        <v>0</v>
      </c>
      <c r="D6549" s="67">
        <v>0</v>
      </c>
      <c r="E6549" s="67">
        <v>83900.45</v>
      </c>
      <c r="H6549" s="67" t="s">
        <v>146</v>
      </c>
    </row>
    <row r="6551" spans="1:9" x14ac:dyDescent="0.25">
      <c r="A6551" s="67" t="s">
        <v>1507</v>
      </c>
      <c r="B6551" s="67" t="s">
        <v>1506</v>
      </c>
      <c r="C6551" s="67">
        <v>0</v>
      </c>
      <c r="D6551" s="67">
        <v>0</v>
      </c>
      <c r="E6551" s="67">
        <v>83900.41</v>
      </c>
      <c r="F6551" s="67">
        <v>25250</v>
      </c>
      <c r="H6551" s="68">
        <v>40764</v>
      </c>
      <c r="I6551" s="67" t="s">
        <v>148</v>
      </c>
    </row>
    <row r="6552" spans="1:9" x14ac:dyDescent="0.25">
      <c r="B6552" s="67" t="s">
        <v>1506</v>
      </c>
      <c r="C6552" s="67">
        <v>0</v>
      </c>
      <c r="D6552" s="67">
        <v>0</v>
      </c>
      <c r="E6552" s="67">
        <v>83900.45</v>
      </c>
      <c r="H6552" s="67" t="s">
        <v>146</v>
      </c>
    </row>
    <row r="6554" spans="1:9" x14ac:dyDescent="0.25">
      <c r="A6554" s="67" t="s">
        <v>1505</v>
      </c>
      <c r="B6554" s="67" t="s">
        <v>1504</v>
      </c>
      <c r="C6554" s="67">
        <v>0</v>
      </c>
      <c r="D6554" s="67">
        <v>0</v>
      </c>
      <c r="E6554" s="67">
        <v>83900.41</v>
      </c>
      <c r="F6554" s="67">
        <v>25250</v>
      </c>
      <c r="H6554" s="68">
        <v>40764</v>
      </c>
      <c r="I6554" s="67" t="s">
        <v>148</v>
      </c>
    </row>
    <row r="6555" spans="1:9" x14ac:dyDescent="0.25">
      <c r="B6555" s="67" t="s">
        <v>1504</v>
      </c>
      <c r="C6555" s="67">
        <v>0</v>
      </c>
      <c r="D6555" s="67">
        <v>0</v>
      </c>
      <c r="E6555" s="67">
        <v>83900.45</v>
      </c>
      <c r="H6555" s="67" t="s">
        <v>146</v>
      </c>
    </row>
    <row r="6557" spans="1:9" x14ac:dyDescent="0.25">
      <c r="A6557" s="67" t="s">
        <v>1503</v>
      </c>
      <c r="B6557" s="67" t="s">
        <v>1502</v>
      </c>
      <c r="C6557" s="67">
        <v>0</v>
      </c>
      <c r="D6557" s="67">
        <v>0</v>
      </c>
      <c r="E6557" s="67">
        <v>83900.41</v>
      </c>
      <c r="F6557" s="67">
        <v>25250</v>
      </c>
      <c r="H6557" s="68">
        <v>40764</v>
      </c>
      <c r="I6557" s="67" t="s">
        <v>148</v>
      </c>
    </row>
    <row r="6558" spans="1:9" x14ac:dyDescent="0.25">
      <c r="B6558" s="67" t="s">
        <v>1502</v>
      </c>
      <c r="C6558" s="67">
        <v>0</v>
      </c>
      <c r="D6558" s="67">
        <v>0</v>
      </c>
      <c r="E6558" s="67">
        <v>83900.45</v>
      </c>
      <c r="H6558" s="67" t="s">
        <v>146</v>
      </c>
    </row>
    <row r="6560" spans="1:9" x14ac:dyDescent="0.25">
      <c r="A6560" s="67" t="s">
        <v>1501</v>
      </c>
      <c r="B6560" s="67" t="s">
        <v>1500</v>
      </c>
      <c r="C6560" s="67">
        <v>0</v>
      </c>
      <c r="D6560" s="67">
        <v>0</v>
      </c>
      <c r="E6560" s="67">
        <v>83900.41</v>
      </c>
      <c r="F6560" s="67">
        <v>25250</v>
      </c>
      <c r="H6560" s="68">
        <v>40764</v>
      </c>
      <c r="I6560" s="67" t="s">
        <v>148</v>
      </c>
    </row>
    <row r="6561" spans="1:9" x14ac:dyDescent="0.25">
      <c r="B6561" s="67" t="s">
        <v>1500</v>
      </c>
      <c r="C6561" s="67">
        <v>0</v>
      </c>
      <c r="D6561" s="67">
        <v>0</v>
      </c>
      <c r="E6561" s="67">
        <v>83900.45</v>
      </c>
      <c r="H6561" s="67" t="s">
        <v>146</v>
      </c>
    </row>
    <row r="6563" spans="1:9" x14ac:dyDescent="0.25">
      <c r="A6563" s="67" t="s">
        <v>1499</v>
      </c>
      <c r="B6563" s="67" t="s">
        <v>1498</v>
      </c>
      <c r="C6563" s="67">
        <v>0</v>
      </c>
      <c r="D6563" s="67">
        <v>0</v>
      </c>
      <c r="E6563" s="67">
        <v>83900.41</v>
      </c>
      <c r="F6563" s="67">
        <v>25250</v>
      </c>
      <c r="H6563" s="68">
        <v>40764</v>
      </c>
      <c r="I6563" s="67" t="s">
        <v>148</v>
      </c>
    </row>
    <row r="6564" spans="1:9" x14ac:dyDescent="0.25">
      <c r="B6564" s="67" t="s">
        <v>1498</v>
      </c>
      <c r="C6564" s="67">
        <v>0</v>
      </c>
      <c r="D6564" s="67">
        <v>0</v>
      </c>
      <c r="E6564" s="67">
        <v>83900.45</v>
      </c>
      <c r="H6564" s="67" t="s">
        <v>146</v>
      </c>
    </row>
    <row r="6566" spans="1:9" x14ac:dyDescent="0.25">
      <c r="A6566" s="67" t="s">
        <v>1497</v>
      </c>
      <c r="B6566" s="67" t="s">
        <v>1496</v>
      </c>
      <c r="C6566" s="67">
        <v>0</v>
      </c>
      <c r="D6566" s="67">
        <v>0</v>
      </c>
      <c r="E6566" s="67">
        <v>83900.41</v>
      </c>
      <c r="F6566" s="67">
        <v>25250</v>
      </c>
      <c r="H6566" s="68">
        <v>40764</v>
      </c>
      <c r="I6566" s="67" t="s">
        <v>148</v>
      </c>
    </row>
    <row r="6567" spans="1:9" x14ac:dyDescent="0.25">
      <c r="B6567" s="67" t="s">
        <v>1496</v>
      </c>
      <c r="C6567" s="67">
        <v>0</v>
      </c>
      <c r="D6567" s="67">
        <v>0</v>
      </c>
      <c r="E6567" s="67">
        <v>83900.45</v>
      </c>
      <c r="H6567" s="67" t="s">
        <v>146</v>
      </c>
    </row>
    <row r="6568" spans="1:9" x14ac:dyDescent="0.25">
      <c r="A6568" s="67" t="s">
        <v>233</v>
      </c>
    </row>
    <row r="6570" spans="1:9" x14ac:dyDescent="0.25">
      <c r="A6570" s="67" t="s">
        <v>232</v>
      </c>
      <c r="D6570" s="67" t="s">
        <v>231</v>
      </c>
      <c r="H6570" s="67" t="s">
        <v>148</v>
      </c>
      <c r="I6570" s="67" t="s">
        <v>230</v>
      </c>
    </row>
    <row r="6571" spans="1:9" x14ac:dyDescent="0.25">
      <c r="A6571" s="67">
        <v>41.1</v>
      </c>
      <c r="C6571" s="67" t="s">
        <v>215</v>
      </c>
      <c r="D6571" s="67" t="s">
        <v>229</v>
      </c>
      <c r="H6571" s="70">
        <v>44771</v>
      </c>
      <c r="I6571" s="69">
        <v>0.56736111111111109</v>
      </c>
    </row>
    <row r="6572" spans="1:9" x14ac:dyDescent="0.25">
      <c r="A6572" s="67" t="s">
        <v>228</v>
      </c>
      <c r="C6572" s="67" t="s">
        <v>227</v>
      </c>
      <c r="D6572" s="67" t="s">
        <v>226</v>
      </c>
      <c r="E6572" s="67">
        <v>589</v>
      </c>
      <c r="H6572" s="67" t="s">
        <v>225</v>
      </c>
      <c r="I6572" s="67">
        <v>114</v>
      </c>
    </row>
    <row r="6573" spans="1:9" x14ac:dyDescent="0.25">
      <c r="A6573" s="67" t="s">
        <v>884</v>
      </c>
    </row>
    <row r="6574" spans="1:9" x14ac:dyDescent="0.25">
      <c r="A6574" s="67" t="s">
        <v>223</v>
      </c>
      <c r="B6574" s="67" t="s">
        <v>222</v>
      </c>
      <c r="C6574" s="67" t="s">
        <v>221</v>
      </c>
      <c r="D6574" s="67" t="s">
        <v>220</v>
      </c>
      <c r="E6574" s="67" t="s">
        <v>219</v>
      </c>
      <c r="F6574" s="67" t="s">
        <v>217</v>
      </c>
      <c r="G6574" s="67" t="s">
        <v>218</v>
      </c>
      <c r="H6574" s="67" t="s">
        <v>217</v>
      </c>
      <c r="I6574" s="67" t="s">
        <v>216</v>
      </c>
    </row>
    <row r="6575" spans="1:9" x14ac:dyDescent="0.25">
      <c r="A6575" s="67" t="s">
        <v>215</v>
      </c>
      <c r="B6575" s="67" t="s">
        <v>214</v>
      </c>
      <c r="C6575" s="67" t="s">
        <v>213</v>
      </c>
      <c r="D6575" s="67" t="s">
        <v>212</v>
      </c>
      <c r="E6575" s="67" t="s">
        <v>211</v>
      </c>
      <c r="F6575" s="67" t="s">
        <v>210</v>
      </c>
      <c r="G6575" s="67" t="s">
        <v>209</v>
      </c>
      <c r="H6575" s="67" t="s">
        <v>208</v>
      </c>
      <c r="I6575" s="67" t="s">
        <v>207</v>
      </c>
    </row>
    <row r="6576" spans="1:9" x14ac:dyDescent="0.25">
      <c r="A6576" s="67" t="s">
        <v>206</v>
      </c>
      <c r="B6576" s="67" t="s">
        <v>205</v>
      </c>
      <c r="C6576" s="67" t="s">
        <v>204</v>
      </c>
      <c r="D6576" s="67" t="s">
        <v>203</v>
      </c>
      <c r="E6576" s="67" t="s">
        <v>202</v>
      </c>
      <c r="F6576" s="67" t="s">
        <v>201</v>
      </c>
      <c r="G6576" s="67" t="s">
        <v>200</v>
      </c>
      <c r="H6576" s="67" t="s">
        <v>199</v>
      </c>
    </row>
    <row r="6577" spans="1:9" x14ac:dyDescent="0.25">
      <c r="A6577" s="67" t="s">
        <v>1495</v>
      </c>
      <c r="B6577" s="67" t="s">
        <v>1494</v>
      </c>
      <c r="C6577" s="67">
        <v>0</v>
      </c>
      <c r="D6577" s="67">
        <v>0</v>
      </c>
      <c r="E6577" s="67">
        <v>83900.41</v>
      </c>
      <c r="F6577" s="67">
        <v>25250</v>
      </c>
      <c r="H6577" s="68">
        <v>40764</v>
      </c>
      <c r="I6577" s="67" t="s">
        <v>148</v>
      </c>
    </row>
    <row r="6578" spans="1:9" x14ac:dyDescent="0.25">
      <c r="B6578" s="67" t="s">
        <v>1494</v>
      </c>
      <c r="C6578" s="67">
        <v>0</v>
      </c>
      <c r="D6578" s="67">
        <v>0</v>
      </c>
      <c r="E6578" s="67">
        <v>83900.45</v>
      </c>
      <c r="H6578" s="67" t="s">
        <v>146</v>
      </c>
    </row>
    <row r="6580" spans="1:9" x14ac:dyDescent="0.25">
      <c r="A6580" s="67" t="s">
        <v>1493</v>
      </c>
      <c r="B6580" s="67" t="s">
        <v>1492</v>
      </c>
      <c r="C6580" s="67">
        <v>0</v>
      </c>
      <c r="D6580" s="67">
        <v>0</v>
      </c>
      <c r="E6580" s="67">
        <v>83900.41</v>
      </c>
      <c r="F6580" s="67">
        <v>25250</v>
      </c>
      <c r="H6580" s="68">
        <v>40764</v>
      </c>
      <c r="I6580" s="67" t="s">
        <v>148</v>
      </c>
    </row>
    <row r="6581" spans="1:9" x14ac:dyDescent="0.25">
      <c r="B6581" s="67" t="s">
        <v>1492</v>
      </c>
      <c r="C6581" s="67">
        <v>0</v>
      </c>
      <c r="D6581" s="67">
        <v>0</v>
      </c>
      <c r="E6581" s="67">
        <v>83900.45</v>
      </c>
      <c r="H6581" s="67" t="s">
        <v>146</v>
      </c>
    </row>
    <row r="6583" spans="1:9" x14ac:dyDescent="0.25">
      <c r="A6583" s="67" t="s">
        <v>1491</v>
      </c>
      <c r="B6583" s="67" t="s">
        <v>1490</v>
      </c>
      <c r="C6583" s="67">
        <v>0</v>
      </c>
      <c r="D6583" s="67">
        <v>0</v>
      </c>
      <c r="E6583" s="67">
        <v>83900.41</v>
      </c>
      <c r="F6583" s="67">
        <v>25250</v>
      </c>
      <c r="H6583" s="68">
        <v>40764</v>
      </c>
      <c r="I6583" s="67" t="s">
        <v>148</v>
      </c>
    </row>
    <row r="6584" spans="1:9" x14ac:dyDescent="0.25">
      <c r="B6584" s="67" t="s">
        <v>1490</v>
      </c>
      <c r="C6584" s="67">
        <v>0</v>
      </c>
      <c r="D6584" s="67">
        <v>0</v>
      </c>
      <c r="E6584" s="67">
        <v>83900.45</v>
      </c>
      <c r="H6584" s="67" t="s">
        <v>146</v>
      </c>
    </row>
    <row r="6586" spans="1:9" x14ac:dyDescent="0.25">
      <c r="A6586" s="67" t="s">
        <v>1489</v>
      </c>
      <c r="B6586" s="67" t="s">
        <v>1488</v>
      </c>
      <c r="C6586" s="67">
        <v>0</v>
      </c>
      <c r="D6586" s="67">
        <v>0</v>
      </c>
      <c r="E6586" s="67">
        <v>83900.41</v>
      </c>
      <c r="F6586" s="67">
        <v>25250</v>
      </c>
      <c r="H6586" s="68">
        <v>40764</v>
      </c>
      <c r="I6586" s="67" t="s">
        <v>148</v>
      </c>
    </row>
    <row r="6587" spans="1:9" x14ac:dyDescent="0.25">
      <c r="B6587" s="67" t="s">
        <v>1488</v>
      </c>
      <c r="C6587" s="67">
        <v>0</v>
      </c>
      <c r="D6587" s="67">
        <v>0</v>
      </c>
      <c r="E6587" s="67">
        <v>83900.45</v>
      </c>
      <c r="H6587" s="67" t="s">
        <v>146</v>
      </c>
    </row>
    <row r="6589" spans="1:9" x14ac:dyDescent="0.25">
      <c r="A6589" s="67" t="s">
        <v>1487</v>
      </c>
      <c r="B6589" s="67" t="s">
        <v>1486</v>
      </c>
      <c r="C6589" s="67">
        <v>0</v>
      </c>
      <c r="D6589" s="67">
        <v>0</v>
      </c>
      <c r="E6589" s="67">
        <v>83900.41</v>
      </c>
      <c r="F6589" s="67">
        <v>25250</v>
      </c>
      <c r="H6589" s="68">
        <v>40764</v>
      </c>
      <c r="I6589" s="67" t="s">
        <v>148</v>
      </c>
    </row>
    <row r="6590" spans="1:9" x14ac:dyDescent="0.25">
      <c r="B6590" s="67" t="s">
        <v>1486</v>
      </c>
      <c r="C6590" s="67">
        <v>0</v>
      </c>
      <c r="D6590" s="67">
        <v>0</v>
      </c>
      <c r="E6590" s="67">
        <v>83900.45</v>
      </c>
      <c r="H6590" s="67" t="s">
        <v>146</v>
      </c>
    </row>
    <row r="6592" spans="1:9" x14ac:dyDescent="0.25">
      <c r="A6592" s="67" t="s">
        <v>1485</v>
      </c>
      <c r="B6592" s="67" t="s">
        <v>1484</v>
      </c>
      <c r="C6592" s="67">
        <v>0</v>
      </c>
      <c r="D6592" s="67">
        <v>0</v>
      </c>
      <c r="E6592" s="67">
        <v>83900.41</v>
      </c>
      <c r="F6592" s="67">
        <v>25250</v>
      </c>
      <c r="H6592" s="68">
        <v>40764</v>
      </c>
      <c r="I6592" s="67" t="s">
        <v>148</v>
      </c>
    </row>
    <row r="6593" spans="1:9" x14ac:dyDescent="0.25">
      <c r="B6593" s="67" t="s">
        <v>1484</v>
      </c>
      <c r="C6593" s="67">
        <v>0</v>
      </c>
      <c r="D6593" s="67">
        <v>0</v>
      </c>
      <c r="E6593" s="67">
        <v>83900.45</v>
      </c>
      <c r="H6593" s="67" t="s">
        <v>146</v>
      </c>
    </row>
    <row r="6595" spans="1:9" x14ac:dyDescent="0.25">
      <c r="A6595" s="67" t="s">
        <v>1483</v>
      </c>
      <c r="B6595" s="67" t="s">
        <v>1482</v>
      </c>
      <c r="C6595" s="67">
        <v>0</v>
      </c>
      <c r="D6595" s="67">
        <v>0</v>
      </c>
      <c r="E6595" s="67">
        <v>83900.41</v>
      </c>
      <c r="F6595" s="67">
        <v>25250</v>
      </c>
      <c r="H6595" s="68">
        <v>40764</v>
      </c>
      <c r="I6595" s="67" t="s">
        <v>148</v>
      </c>
    </row>
    <row r="6596" spans="1:9" x14ac:dyDescent="0.25">
      <c r="B6596" s="67" t="s">
        <v>1482</v>
      </c>
      <c r="C6596" s="67">
        <v>0</v>
      </c>
      <c r="D6596" s="67">
        <v>0</v>
      </c>
      <c r="E6596" s="67">
        <v>83900.45</v>
      </c>
      <c r="H6596" s="67" t="s">
        <v>146</v>
      </c>
    </row>
    <row r="6598" spans="1:9" x14ac:dyDescent="0.25">
      <c r="A6598" s="67" t="s">
        <v>1481</v>
      </c>
      <c r="B6598" s="67" t="s">
        <v>1480</v>
      </c>
      <c r="C6598" s="67">
        <v>0</v>
      </c>
      <c r="D6598" s="67">
        <v>0</v>
      </c>
      <c r="E6598" s="67">
        <v>83900.41</v>
      </c>
      <c r="F6598" s="67">
        <v>25250</v>
      </c>
      <c r="H6598" s="68">
        <v>40764</v>
      </c>
      <c r="I6598" s="67" t="s">
        <v>148</v>
      </c>
    </row>
    <row r="6599" spans="1:9" x14ac:dyDescent="0.25">
      <c r="B6599" s="67" t="s">
        <v>1480</v>
      </c>
      <c r="C6599" s="67">
        <v>0</v>
      </c>
      <c r="D6599" s="67">
        <v>0</v>
      </c>
      <c r="E6599" s="67">
        <v>83900.45</v>
      </c>
      <c r="H6599" s="67" t="s">
        <v>146</v>
      </c>
    </row>
    <row r="6601" spans="1:9" x14ac:dyDescent="0.25">
      <c r="A6601" s="67" t="s">
        <v>1479</v>
      </c>
      <c r="B6601" s="67" t="s">
        <v>1478</v>
      </c>
      <c r="C6601" s="67">
        <v>0</v>
      </c>
      <c r="D6601" s="67">
        <v>0</v>
      </c>
      <c r="E6601" s="67">
        <v>83900.41</v>
      </c>
      <c r="F6601" s="67">
        <v>25250</v>
      </c>
      <c r="H6601" s="68">
        <v>40764</v>
      </c>
      <c r="I6601" s="67" t="s">
        <v>148</v>
      </c>
    </row>
    <row r="6602" spans="1:9" x14ac:dyDescent="0.25">
      <c r="B6602" s="67" t="s">
        <v>1478</v>
      </c>
      <c r="C6602" s="67">
        <v>0</v>
      </c>
      <c r="D6602" s="67">
        <v>0</v>
      </c>
      <c r="E6602" s="67">
        <v>83900.45</v>
      </c>
      <c r="H6602" s="67" t="s">
        <v>146</v>
      </c>
    </row>
    <row r="6604" spans="1:9" x14ac:dyDescent="0.25">
      <c r="A6604" s="67" t="s">
        <v>1477</v>
      </c>
      <c r="B6604" s="67" t="s">
        <v>1476</v>
      </c>
      <c r="C6604" s="67">
        <v>0</v>
      </c>
      <c r="D6604" s="67">
        <v>0</v>
      </c>
      <c r="E6604" s="67">
        <v>83900.41</v>
      </c>
      <c r="F6604" s="67">
        <v>25250</v>
      </c>
      <c r="H6604" s="68">
        <v>40764</v>
      </c>
      <c r="I6604" s="67" t="s">
        <v>148</v>
      </c>
    </row>
    <row r="6605" spans="1:9" x14ac:dyDescent="0.25">
      <c r="B6605" s="67" t="s">
        <v>1476</v>
      </c>
      <c r="C6605" s="67">
        <v>0</v>
      </c>
      <c r="D6605" s="67">
        <v>0</v>
      </c>
      <c r="E6605" s="67">
        <v>83900.45</v>
      </c>
      <c r="H6605" s="67" t="s">
        <v>146</v>
      </c>
    </row>
    <row r="6607" spans="1:9" x14ac:dyDescent="0.25">
      <c r="A6607" s="67" t="s">
        <v>1475</v>
      </c>
      <c r="B6607" s="67" t="s">
        <v>1474</v>
      </c>
      <c r="C6607" s="67">
        <v>0</v>
      </c>
      <c r="D6607" s="67">
        <v>0</v>
      </c>
      <c r="E6607" s="67">
        <v>83900.41</v>
      </c>
      <c r="F6607" s="67">
        <v>25250</v>
      </c>
      <c r="H6607" s="68">
        <v>40764</v>
      </c>
      <c r="I6607" s="67" t="s">
        <v>148</v>
      </c>
    </row>
    <row r="6608" spans="1:9" x14ac:dyDescent="0.25">
      <c r="B6608" s="67" t="s">
        <v>1474</v>
      </c>
      <c r="C6608" s="67">
        <v>0</v>
      </c>
      <c r="D6608" s="67">
        <v>0</v>
      </c>
      <c r="E6608" s="67">
        <v>83900.45</v>
      </c>
      <c r="H6608" s="67" t="s">
        <v>146</v>
      </c>
    </row>
    <row r="6610" spans="1:9" x14ac:dyDescent="0.25">
      <c r="A6610" s="67" t="s">
        <v>1473</v>
      </c>
      <c r="B6610" s="67" t="s">
        <v>1472</v>
      </c>
      <c r="C6610" s="67">
        <v>0</v>
      </c>
      <c r="D6610" s="67">
        <v>0</v>
      </c>
      <c r="E6610" s="67">
        <v>83900.41</v>
      </c>
      <c r="F6610" s="67">
        <v>25250</v>
      </c>
      <c r="H6610" s="68">
        <v>40764</v>
      </c>
      <c r="I6610" s="67" t="s">
        <v>148</v>
      </c>
    </row>
    <row r="6611" spans="1:9" x14ac:dyDescent="0.25">
      <c r="B6611" s="67" t="s">
        <v>1472</v>
      </c>
      <c r="C6611" s="67">
        <v>0</v>
      </c>
      <c r="D6611" s="67">
        <v>0</v>
      </c>
      <c r="E6611" s="67">
        <v>83900.45</v>
      </c>
      <c r="H6611" s="67" t="s">
        <v>146</v>
      </c>
    </row>
    <row r="6613" spans="1:9" x14ac:dyDescent="0.25">
      <c r="A6613" s="67" t="s">
        <v>1471</v>
      </c>
      <c r="B6613" s="67" t="s">
        <v>1470</v>
      </c>
      <c r="C6613" s="67">
        <v>0</v>
      </c>
      <c r="D6613" s="67">
        <v>0</v>
      </c>
      <c r="E6613" s="67">
        <v>83900.41</v>
      </c>
      <c r="F6613" s="67">
        <v>25250</v>
      </c>
      <c r="H6613" s="68">
        <v>40764</v>
      </c>
      <c r="I6613" s="67" t="s">
        <v>148</v>
      </c>
    </row>
    <row r="6614" spans="1:9" x14ac:dyDescent="0.25">
      <c r="B6614" s="67" t="s">
        <v>1470</v>
      </c>
      <c r="C6614" s="67">
        <v>0</v>
      </c>
      <c r="D6614" s="67">
        <v>0</v>
      </c>
      <c r="E6614" s="67">
        <v>83900.45</v>
      </c>
      <c r="H6614" s="67" t="s">
        <v>146</v>
      </c>
    </row>
    <row r="6616" spans="1:9" x14ac:dyDescent="0.25">
      <c r="A6616" s="67" t="s">
        <v>1469</v>
      </c>
      <c r="B6616" s="67" t="s">
        <v>1468</v>
      </c>
      <c r="C6616" s="67">
        <v>0</v>
      </c>
      <c r="D6616" s="67">
        <v>0</v>
      </c>
      <c r="E6616" s="67">
        <v>83900.41</v>
      </c>
      <c r="F6616" s="67">
        <v>25250</v>
      </c>
      <c r="H6616" s="68">
        <v>40764</v>
      </c>
      <c r="I6616" s="67" t="s">
        <v>148</v>
      </c>
    </row>
    <row r="6617" spans="1:9" x14ac:dyDescent="0.25">
      <c r="B6617" s="67" t="s">
        <v>1468</v>
      </c>
      <c r="C6617" s="67">
        <v>0</v>
      </c>
      <c r="D6617" s="67">
        <v>0</v>
      </c>
      <c r="E6617" s="67">
        <v>83900.45</v>
      </c>
      <c r="H6617" s="67" t="s">
        <v>146</v>
      </c>
    </row>
    <row r="6619" spans="1:9" x14ac:dyDescent="0.25">
      <c r="A6619" s="67" t="s">
        <v>1467</v>
      </c>
      <c r="B6619" s="67" t="s">
        <v>1466</v>
      </c>
      <c r="C6619" s="67">
        <v>0</v>
      </c>
      <c r="D6619" s="67">
        <v>0</v>
      </c>
      <c r="E6619" s="67">
        <v>83900.41</v>
      </c>
      <c r="F6619" s="67">
        <v>25250</v>
      </c>
      <c r="H6619" s="68">
        <v>40764</v>
      </c>
      <c r="I6619" s="67" t="s">
        <v>148</v>
      </c>
    </row>
    <row r="6620" spans="1:9" x14ac:dyDescent="0.25">
      <c r="B6620" s="67" t="s">
        <v>1466</v>
      </c>
      <c r="C6620" s="67">
        <v>0</v>
      </c>
      <c r="D6620" s="67">
        <v>0</v>
      </c>
      <c r="E6620" s="67">
        <v>83900.45</v>
      </c>
      <c r="H6620" s="67" t="s">
        <v>146</v>
      </c>
    </row>
    <row r="6622" spans="1:9" x14ac:dyDescent="0.25">
      <c r="A6622" s="67" t="s">
        <v>1465</v>
      </c>
      <c r="B6622" s="67" t="s">
        <v>1464</v>
      </c>
      <c r="C6622" s="67">
        <v>0</v>
      </c>
      <c r="D6622" s="67">
        <v>0</v>
      </c>
      <c r="E6622" s="67">
        <v>83900.41</v>
      </c>
      <c r="F6622" s="67">
        <v>25250</v>
      </c>
      <c r="H6622" s="68">
        <v>40764</v>
      </c>
      <c r="I6622" s="67" t="s">
        <v>148</v>
      </c>
    </row>
    <row r="6623" spans="1:9" x14ac:dyDescent="0.25">
      <c r="B6623" s="67" t="s">
        <v>1464</v>
      </c>
      <c r="C6623" s="67">
        <v>0</v>
      </c>
      <c r="D6623" s="67">
        <v>0</v>
      </c>
      <c r="E6623" s="67">
        <v>83900.45</v>
      </c>
      <c r="H6623" s="67" t="s">
        <v>146</v>
      </c>
    </row>
    <row r="6625" spans="1:9" x14ac:dyDescent="0.25">
      <c r="A6625" s="67" t="s">
        <v>1463</v>
      </c>
      <c r="B6625" s="67" t="s">
        <v>1462</v>
      </c>
      <c r="C6625" s="67">
        <v>0</v>
      </c>
      <c r="D6625" s="67">
        <v>0</v>
      </c>
      <c r="E6625" s="67">
        <v>83900.41</v>
      </c>
      <c r="F6625" s="67">
        <v>25250</v>
      </c>
      <c r="H6625" s="68">
        <v>40764</v>
      </c>
      <c r="I6625" s="67" t="s">
        <v>148</v>
      </c>
    </row>
    <row r="6626" spans="1:9" x14ac:dyDescent="0.25">
      <c r="B6626" s="67" t="s">
        <v>1462</v>
      </c>
      <c r="C6626" s="67">
        <v>0</v>
      </c>
      <c r="D6626" s="67">
        <v>0</v>
      </c>
      <c r="E6626" s="67">
        <v>83900.45</v>
      </c>
      <c r="H6626" s="67" t="s">
        <v>146</v>
      </c>
    </row>
    <row r="6627" spans="1:9" x14ac:dyDescent="0.25">
      <c r="A6627" s="67" t="s">
        <v>233</v>
      </c>
    </row>
    <row r="6629" spans="1:9" x14ac:dyDescent="0.25">
      <c r="A6629" s="67" t="s">
        <v>232</v>
      </c>
      <c r="D6629" s="67" t="s">
        <v>231</v>
      </c>
      <c r="H6629" s="67" t="s">
        <v>148</v>
      </c>
      <c r="I6629" s="67" t="s">
        <v>230</v>
      </c>
    </row>
    <row r="6630" spans="1:9" x14ac:dyDescent="0.25">
      <c r="A6630" s="67">
        <v>41.1</v>
      </c>
      <c r="C6630" s="67" t="s">
        <v>215</v>
      </c>
      <c r="D6630" s="67" t="s">
        <v>229</v>
      </c>
      <c r="H6630" s="70">
        <v>44771</v>
      </c>
      <c r="I6630" s="69">
        <v>0.56736111111111109</v>
      </c>
    </row>
    <row r="6631" spans="1:9" x14ac:dyDescent="0.25">
      <c r="A6631" s="67" t="s">
        <v>228</v>
      </c>
      <c r="C6631" s="67" t="s">
        <v>227</v>
      </c>
      <c r="D6631" s="67" t="s">
        <v>226</v>
      </c>
      <c r="E6631" s="67">
        <v>589</v>
      </c>
      <c r="H6631" s="67" t="s">
        <v>225</v>
      </c>
      <c r="I6631" s="67">
        <v>115</v>
      </c>
    </row>
    <row r="6632" spans="1:9" x14ac:dyDescent="0.25">
      <c r="A6632" s="67" t="s">
        <v>884</v>
      </c>
    </row>
    <row r="6633" spans="1:9" x14ac:dyDescent="0.25">
      <c r="A6633" s="67" t="s">
        <v>223</v>
      </c>
      <c r="B6633" s="67" t="s">
        <v>222</v>
      </c>
      <c r="C6633" s="67" t="s">
        <v>221</v>
      </c>
      <c r="D6633" s="67" t="s">
        <v>220</v>
      </c>
      <c r="E6633" s="67" t="s">
        <v>219</v>
      </c>
      <c r="F6633" s="67" t="s">
        <v>217</v>
      </c>
      <c r="G6633" s="67" t="s">
        <v>218</v>
      </c>
      <c r="H6633" s="67" t="s">
        <v>217</v>
      </c>
      <c r="I6633" s="67" t="s">
        <v>216</v>
      </c>
    </row>
    <row r="6634" spans="1:9" x14ac:dyDescent="0.25">
      <c r="A6634" s="67" t="s">
        <v>215</v>
      </c>
      <c r="B6634" s="67" t="s">
        <v>214</v>
      </c>
      <c r="C6634" s="67" t="s">
        <v>213</v>
      </c>
      <c r="D6634" s="67" t="s">
        <v>212</v>
      </c>
      <c r="E6634" s="67" t="s">
        <v>211</v>
      </c>
      <c r="F6634" s="67" t="s">
        <v>210</v>
      </c>
      <c r="G6634" s="67" t="s">
        <v>209</v>
      </c>
      <c r="H6634" s="67" t="s">
        <v>208</v>
      </c>
      <c r="I6634" s="67" t="s">
        <v>207</v>
      </c>
    </row>
    <row r="6635" spans="1:9" x14ac:dyDescent="0.25">
      <c r="A6635" s="67" t="s">
        <v>206</v>
      </c>
      <c r="B6635" s="67" t="s">
        <v>205</v>
      </c>
      <c r="C6635" s="67" t="s">
        <v>204</v>
      </c>
      <c r="D6635" s="67" t="s">
        <v>203</v>
      </c>
      <c r="E6635" s="67" t="s">
        <v>202</v>
      </c>
      <c r="F6635" s="67" t="s">
        <v>201</v>
      </c>
      <c r="G6635" s="67" t="s">
        <v>200</v>
      </c>
      <c r="H6635" s="67" t="s">
        <v>199</v>
      </c>
    </row>
    <row r="6636" spans="1:9" x14ac:dyDescent="0.25">
      <c r="A6636" s="67" t="s">
        <v>1461</v>
      </c>
      <c r="B6636" s="67" t="s">
        <v>1460</v>
      </c>
      <c r="C6636" s="67">
        <v>0</v>
      </c>
      <c r="D6636" s="67">
        <v>0</v>
      </c>
      <c r="E6636" s="67">
        <v>83900.41</v>
      </c>
      <c r="F6636" s="67">
        <v>25250</v>
      </c>
      <c r="H6636" s="68">
        <v>40764</v>
      </c>
      <c r="I6636" s="67" t="s">
        <v>148</v>
      </c>
    </row>
    <row r="6637" spans="1:9" x14ac:dyDescent="0.25">
      <c r="B6637" s="67" t="s">
        <v>1460</v>
      </c>
      <c r="C6637" s="67">
        <v>0</v>
      </c>
      <c r="D6637" s="67">
        <v>0</v>
      </c>
      <c r="E6637" s="67">
        <v>83900.45</v>
      </c>
      <c r="H6637" s="67" t="s">
        <v>146</v>
      </c>
    </row>
    <row r="6639" spans="1:9" x14ac:dyDescent="0.25">
      <c r="A6639" s="67" t="s">
        <v>1459</v>
      </c>
      <c r="B6639" s="67" t="s">
        <v>1458</v>
      </c>
      <c r="C6639" s="67">
        <v>0</v>
      </c>
      <c r="D6639" s="67">
        <v>0</v>
      </c>
      <c r="E6639" s="67">
        <v>83900.41</v>
      </c>
      <c r="F6639" s="67">
        <v>25250</v>
      </c>
      <c r="H6639" s="68">
        <v>40764</v>
      </c>
      <c r="I6639" s="67" t="s">
        <v>148</v>
      </c>
    </row>
    <row r="6640" spans="1:9" x14ac:dyDescent="0.25">
      <c r="B6640" s="67" t="s">
        <v>1458</v>
      </c>
      <c r="C6640" s="67">
        <v>0</v>
      </c>
      <c r="D6640" s="67">
        <v>0</v>
      </c>
      <c r="E6640" s="67">
        <v>83900.45</v>
      </c>
      <c r="H6640" s="67" t="s">
        <v>146</v>
      </c>
    </row>
    <row r="6642" spans="1:9" x14ac:dyDescent="0.25">
      <c r="A6642" s="67" t="s">
        <v>1457</v>
      </c>
      <c r="B6642" s="67" t="s">
        <v>1456</v>
      </c>
      <c r="C6642" s="67">
        <v>0</v>
      </c>
      <c r="D6642" s="67">
        <v>0</v>
      </c>
      <c r="E6642" s="67">
        <v>83900.41</v>
      </c>
      <c r="F6642" s="67">
        <v>25250</v>
      </c>
      <c r="H6642" s="68">
        <v>40764</v>
      </c>
      <c r="I6642" s="67" t="s">
        <v>148</v>
      </c>
    </row>
    <row r="6643" spans="1:9" x14ac:dyDescent="0.25">
      <c r="B6643" s="67" t="s">
        <v>1456</v>
      </c>
      <c r="C6643" s="67">
        <v>0</v>
      </c>
      <c r="D6643" s="67">
        <v>0</v>
      </c>
      <c r="E6643" s="67">
        <v>83900.45</v>
      </c>
      <c r="H6643" s="67" t="s">
        <v>146</v>
      </c>
    </row>
    <row r="6645" spans="1:9" x14ac:dyDescent="0.25">
      <c r="A6645" s="67" t="s">
        <v>1455</v>
      </c>
      <c r="B6645" s="67" t="s">
        <v>1454</v>
      </c>
      <c r="C6645" s="67">
        <v>0</v>
      </c>
      <c r="D6645" s="67">
        <v>0</v>
      </c>
      <c r="E6645" s="67">
        <v>83900.41</v>
      </c>
      <c r="F6645" s="67">
        <v>25250</v>
      </c>
      <c r="H6645" s="68">
        <v>40764</v>
      </c>
      <c r="I6645" s="67" t="s">
        <v>148</v>
      </c>
    </row>
    <row r="6646" spans="1:9" x14ac:dyDescent="0.25">
      <c r="B6646" s="67" t="s">
        <v>1454</v>
      </c>
      <c r="C6646" s="67">
        <v>0</v>
      </c>
      <c r="D6646" s="67">
        <v>0</v>
      </c>
      <c r="E6646" s="67">
        <v>83900.45</v>
      </c>
      <c r="H6646" s="67" t="s">
        <v>146</v>
      </c>
    </row>
    <row r="6648" spans="1:9" x14ac:dyDescent="0.25">
      <c r="A6648" s="67" t="s">
        <v>1453</v>
      </c>
      <c r="B6648" s="67" t="s">
        <v>1452</v>
      </c>
      <c r="C6648" s="67">
        <v>0</v>
      </c>
      <c r="D6648" s="67">
        <v>0</v>
      </c>
      <c r="E6648" s="67">
        <v>83900.41</v>
      </c>
      <c r="F6648" s="67">
        <v>25250</v>
      </c>
      <c r="H6648" s="68">
        <v>40764</v>
      </c>
      <c r="I6648" s="67" t="s">
        <v>148</v>
      </c>
    </row>
    <row r="6649" spans="1:9" x14ac:dyDescent="0.25">
      <c r="B6649" s="67" t="s">
        <v>1452</v>
      </c>
      <c r="C6649" s="67">
        <v>0</v>
      </c>
      <c r="D6649" s="67">
        <v>0</v>
      </c>
      <c r="E6649" s="67">
        <v>83900.45</v>
      </c>
      <c r="H6649" s="67" t="s">
        <v>146</v>
      </c>
    </row>
    <row r="6651" spans="1:9" x14ac:dyDescent="0.25">
      <c r="A6651" s="67" t="s">
        <v>1451</v>
      </c>
      <c r="B6651" s="67" t="s">
        <v>1450</v>
      </c>
      <c r="C6651" s="67">
        <v>0</v>
      </c>
      <c r="D6651" s="67">
        <v>0</v>
      </c>
      <c r="E6651" s="67">
        <v>83900.41</v>
      </c>
      <c r="F6651" s="67">
        <v>25250</v>
      </c>
      <c r="H6651" s="68">
        <v>40764</v>
      </c>
      <c r="I6651" s="67" t="s">
        <v>148</v>
      </c>
    </row>
    <row r="6652" spans="1:9" x14ac:dyDescent="0.25">
      <c r="B6652" s="67" t="s">
        <v>1450</v>
      </c>
      <c r="C6652" s="67">
        <v>0</v>
      </c>
      <c r="D6652" s="67">
        <v>0</v>
      </c>
      <c r="E6652" s="67">
        <v>83900.45</v>
      </c>
      <c r="H6652" s="67" t="s">
        <v>146</v>
      </c>
    </row>
    <row r="6654" spans="1:9" x14ac:dyDescent="0.25">
      <c r="A6654" s="67" t="s">
        <v>1449</v>
      </c>
      <c r="B6654" s="67" t="s">
        <v>1448</v>
      </c>
      <c r="C6654" s="67">
        <v>0</v>
      </c>
      <c r="D6654" s="67">
        <v>0</v>
      </c>
      <c r="E6654" s="67">
        <v>83900.41</v>
      </c>
      <c r="F6654" s="67">
        <v>25250</v>
      </c>
      <c r="H6654" s="68">
        <v>40764</v>
      </c>
      <c r="I6654" s="67" t="s">
        <v>148</v>
      </c>
    </row>
    <row r="6655" spans="1:9" x14ac:dyDescent="0.25">
      <c r="B6655" s="67" t="s">
        <v>1448</v>
      </c>
      <c r="C6655" s="67">
        <v>0</v>
      </c>
      <c r="D6655" s="67">
        <v>0</v>
      </c>
      <c r="E6655" s="67">
        <v>83900.45</v>
      </c>
      <c r="H6655" s="67" t="s">
        <v>146</v>
      </c>
    </row>
    <row r="6657" spans="1:9" x14ac:dyDescent="0.25">
      <c r="A6657" s="67" t="s">
        <v>1447</v>
      </c>
      <c r="B6657" s="67" t="s">
        <v>1446</v>
      </c>
      <c r="C6657" s="67">
        <v>0</v>
      </c>
      <c r="D6657" s="67">
        <v>0</v>
      </c>
      <c r="E6657" s="67">
        <v>83900.41</v>
      </c>
      <c r="F6657" s="67">
        <v>25250</v>
      </c>
      <c r="H6657" s="68">
        <v>40764</v>
      </c>
      <c r="I6657" s="67" t="s">
        <v>148</v>
      </c>
    </row>
    <row r="6658" spans="1:9" x14ac:dyDescent="0.25">
      <c r="B6658" s="67" t="s">
        <v>1446</v>
      </c>
      <c r="C6658" s="67">
        <v>0</v>
      </c>
      <c r="D6658" s="67">
        <v>0</v>
      </c>
      <c r="E6658" s="67">
        <v>83900.45</v>
      </c>
      <c r="H6658" s="67" t="s">
        <v>146</v>
      </c>
    </row>
    <row r="6660" spans="1:9" x14ac:dyDescent="0.25">
      <c r="A6660" s="67" t="s">
        <v>1445</v>
      </c>
      <c r="B6660" s="67" t="s">
        <v>1444</v>
      </c>
      <c r="C6660" s="67">
        <v>0</v>
      </c>
      <c r="D6660" s="67">
        <v>0</v>
      </c>
      <c r="E6660" s="67">
        <v>83900.41</v>
      </c>
      <c r="F6660" s="67">
        <v>25250</v>
      </c>
      <c r="H6660" s="68">
        <v>40764</v>
      </c>
      <c r="I6660" s="67" t="s">
        <v>148</v>
      </c>
    </row>
    <row r="6661" spans="1:9" x14ac:dyDescent="0.25">
      <c r="B6661" s="67" t="s">
        <v>1444</v>
      </c>
      <c r="C6661" s="67">
        <v>0</v>
      </c>
      <c r="D6661" s="67">
        <v>0</v>
      </c>
      <c r="E6661" s="67">
        <v>83900.45</v>
      </c>
      <c r="H6661" s="67" t="s">
        <v>146</v>
      </c>
    </row>
    <row r="6663" spans="1:9" x14ac:dyDescent="0.25">
      <c r="A6663" s="67" t="s">
        <v>1443</v>
      </c>
      <c r="B6663" s="67" t="s">
        <v>1442</v>
      </c>
      <c r="C6663" s="67">
        <v>0</v>
      </c>
      <c r="D6663" s="67">
        <v>0</v>
      </c>
      <c r="E6663" s="67">
        <v>83900.41</v>
      </c>
      <c r="F6663" s="67">
        <v>25250</v>
      </c>
      <c r="H6663" s="68">
        <v>40764</v>
      </c>
      <c r="I6663" s="67" t="s">
        <v>148</v>
      </c>
    </row>
    <row r="6664" spans="1:9" x14ac:dyDescent="0.25">
      <c r="B6664" s="67" t="s">
        <v>1442</v>
      </c>
      <c r="C6664" s="67">
        <v>0</v>
      </c>
      <c r="D6664" s="67">
        <v>0</v>
      </c>
      <c r="E6664" s="67">
        <v>83900.45</v>
      </c>
      <c r="H6664" s="67" t="s">
        <v>146</v>
      </c>
    </row>
    <row r="6666" spans="1:9" x14ac:dyDescent="0.25">
      <c r="A6666" s="67" t="s">
        <v>1441</v>
      </c>
      <c r="B6666" s="67" t="s">
        <v>1440</v>
      </c>
      <c r="C6666" s="67">
        <v>0</v>
      </c>
      <c r="D6666" s="67">
        <v>0</v>
      </c>
      <c r="E6666" s="67">
        <v>83900.41</v>
      </c>
      <c r="F6666" s="67">
        <v>25250</v>
      </c>
      <c r="H6666" s="68">
        <v>40764</v>
      </c>
      <c r="I6666" s="67" t="s">
        <v>148</v>
      </c>
    </row>
    <row r="6667" spans="1:9" x14ac:dyDescent="0.25">
      <c r="B6667" s="67" t="s">
        <v>1440</v>
      </c>
      <c r="C6667" s="67">
        <v>0</v>
      </c>
      <c r="D6667" s="67">
        <v>0</v>
      </c>
      <c r="E6667" s="67">
        <v>83900.45</v>
      </c>
      <c r="H6667" s="67" t="s">
        <v>146</v>
      </c>
    </row>
    <row r="6669" spans="1:9" x14ac:dyDescent="0.25">
      <c r="A6669" s="67" t="s">
        <v>1439</v>
      </c>
      <c r="B6669" s="67" t="s">
        <v>1438</v>
      </c>
      <c r="C6669" s="67">
        <v>0</v>
      </c>
      <c r="D6669" s="67">
        <v>0</v>
      </c>
      <c r="E6669" s="67">
        <v>83900.41</v>
      </c>
      <c r="F6669" s="67">
        <v>25250</v>
      </c>
      <c r="H6669" s="68">
        <v>40764</v>
      </c>
      <c r="I6669" s="67" t="s">
        <v>148</v>
      </c>
    </row>
    <row r="6670" spans="1:9" x14ac:dyDescent="0.25">
      <c r="B6670" s="67" t="s">
        <v>1438</v>
      </c>
      <c r="C6670" s="67">
        <v>0</v>
      </c>
      <c r="D6670" s="67">
        <v>0</v>
      </c>
      <c r="E6670" s="67">
        <v>83900.45</v>
      </c>
      <c r="H6670" s="67" t="s">
        <v>146</v>
      </c>
    </row>
    <row r="6672" spans="1:9" x14ac:dyDescent="0.25">
      <c r="A6672" s="67" t="s">
        <v>1437</v>
      </c>
      <c r="B6672" s="67" t="s">
        <v>1436</v>
      </c>
      <c r="C6672" s="67">
        <v>0</v>
      </c>
      <c r="D6672" s="67">
        <v>0</v>
      </c>
      <c r="E6672" s="67">
        <v>83900.41</v>
      </c>
      <c r="F6672" s="67">
        <v>25250</v>
      </c>
      <c r="H6672" s="68">
        <v>40764</v>
      </c>
      <c r="I6672" s="67" t="s">
        <v>148</v>
      </c>
    </row>
    <row r="6673" spans="1:9" x14ac:dyDescent="0.25">
      <c r="B6673" s="67" t="s">
        <v>1436</v>
      </c>
      <c r="C6673" s="67">
        <v>0</v>
      </c>
      <c r="D6673" s="67">
        <v>0</v>
      </c>
      <c r="E6673" s="67">
        <v>83900.45</v>
      </c>
      <c r="H6673" s="67" t="s">
        <v>146</v>
      </c>
    </row>
    <row r="6675" spans="1:9" x14ac:dyDescent="0.25">
      <c r="A6675" s="67" t="s">
        <v>1435</v>
      </c>
      <c r="B6675" s="67" t="s">
        <v>1434</v>
      </c>
      <c r="C6675" s="67">
        <v>0</v>
      </c>
      <c r="D6675" s="67">
        <v>0</v>
      </c>
      <c r="E6675" s="67">
        <v>83900.41</v>
      </c>
      <c r="F6675" s="67">
        <v>25250</v>
      </c>
      <c r="H6675" s="68">
        <v>40764</v>
      </c>
      <c r="I6675" s="67" t="s">
        <v>148</v>
      </c>
    </row>
    <row r="6676" spans="1:9" x14ac:dyDescent="0.25">
      <c r="B6676" s="67" t="s">
        <v>1434</v>
      </c>
      <c r="C6676" s="67">
        <v>0</v>
      </c>
      <c r="D6676" s="67">
        <v>0</v>
      </c>
      <c r="E6676" s="67">
        <v>83900.45</v>
      </c>
      <c r="H6676" s="67" t="s">
        <v>146</v>
      </c>
    </row>
    <row r="6678" spans="1:9" x14ac:dyDescent="0.25">
      <c r="A6678" s="67" t="s">
        <v>1433</v>
      </c>
      <c r="B6678" s="67" t="s">
        <v>1432</v>
      </c>
      <c r="C6678" s="67">
        <v>0</v>
      </c>
      <c r="D6678" s="67">
        <v>0</v>
      </c>
      <c r="E6678" s="67">
        <v>83900.41</v>
      </c>
      <c r="F6678" s="67">
        <v>25250</v>
      </c>
      <c r="H6678" s="68">
        <v>40764</v>
      </c>
      <c r="I6678" s="67" t="s">
        <v>148</v>
      </c>
    </row>
    <row r="6679" spans="1:9" x14ac:dyDescent="0.25">
      <c r="B6679" s="67" t="s">
        <v>1432</v>
      </c>
      <c r="C6679" s="67">
        <v>0</v>
      </c>
      <c r="D6679" s="67">
        <v>0</v>
      </c>
      <c r="E6679" s="67">
        <v>83900.45</v>
      </c>
      <c r="H6679" s="67" t="s">
        <v>146</v>
      </c>
    </row>
    <row r="6681" spans="1:9" x14ac:dyDescent="0.25">
      <c r="A6681" s="67" t="s">
        <v>1431</v>
      </c>
      <c r="B6681" s="67" t="s">
        <v>1430</v>
      </c>
      <c r="C6681" s="67">
        <v>0</v>
      </c>
      <c r="D6681" s="67">
        <v>0</v>
      </c>
      <c r="E6681" s="67">
        <v>83900.41</v>
      </c>
      <c r="F6681" s="67">
        <v>25250</v>
      </c>
      <c r="H6681" s="68">
        <v>40764</v>
      </c>
      <c r="I6681" s="67" t="s">
        <v>148</v>
      </c>
    </row>
    <row r="6682" spans="1:9" x14ac:dyDescent="0.25">
      <c r="B6682" s="67" t="s">
        <v>1430</v>
      </c>
      <c r="C6682" s="67">
        <v>0</v>
      </c>
      <c r="D6682" s="67">
        <v>0</v>
      </c>
      <c r="E6682" s="67">
        <v>83900.45</v>
      </c>
      <c r="H6682" s="67" t="s">
        <v>146</v>
      </c>
    </row>
    <row r="6684" spans="1:9" x14ac:dyDescent="0.25">
      <c r="A6684" s="67" t="s">
        <v>1429</v>
      </c>
      <c r="B6684" s="67" t="s">
        <v>1428</v>
      </c>
      <c r="C6684" s="67">
        <v>0</v>
      </c>
      <c r="D6684" s="67">
        <v>0</v>
      </c>
      <c r="E6684" s="67">
        <v>83900.41</v>
      </c>
      <c r="F6684" s="67">
        <v>25250</v>
      </c>
      <c r="H6684" s="68">
        <v>40764</v>
      </c>
      <c r="I6684" s="67" t="s">
        <v>148</v>
      </c>
    </row>
    <row r="6685" spans="1:9" x14ac:dyDescent="0.25">
      <c r="B6685" s="67" t="s">
        <v>1428</v>
      </c>
      <c r="C6685" s="67">
        <v>0</v>
      </c>
      <c r="D6685" s="67">
        <v>0</v>
      </c>
      <c r="E6685" s="67">
        <v>83900.45</v>
      </c>
      <c r="H6685" s="67" t="s">
        <v>146</v>
      </c>
    </row>
    <row r="6686" spans="1:9" x14ac:dyDescent="0.25">
      <c r="A6686" s="67" t="s">
        <v>233</v>
      </c>
    </row>
    <row r="6688" spans="1:9" x14ac:dyDescent="0.25">
      <c r="A6688" s="67" t="s">
        <v>232</v>
      </c>
      <c r="D6688" s="67" t="s">
        <v>231</v>
      </c>
      <c r="H6688" s="67" t="s">
        <v>148</v>
      </c>
      <c r="I6688" s="67" t="s">
        <v>230</v>
      </c>
    </row>
    <row r="6689" spans="1:9" x14ac:dyDescent="0.25">
      <c r="A6689" s="67">
        <v>41.1</v>
      </c>
      <c r="C6689" s="67" t="s">
        <v>215</v>
      </c>
      <c r="D6689" s="67" t="s">
        <v>229</v>
      </c>
      <c r="H6689" s="70">
        <v>44771</v>
      </c>
      <c r="I6689" s="69">
        <v>0.56736111111111109</v>
      </c>
    </row>
    <row r="6690" spans="1:9" x14ac:dyDescent="0.25">
      <c r="A6690" s="67" t="s">
        <v>228</v>
      </c>
      <c r="C6690" s="67" t="s">
        <v>227</v>
      </c>
      <c r="D6690" s="67" t="s">
        <v>226</v>
      </c>
      <c r="E6690" s="67">
        <v>589</v>
      </c>
      <c r="H6690" s="67" t="s">
        <v>225</v>
      </c>
      <c r="I6690" s="67">
        <v>116</v>
      </c>
    </row>
    <row r="6691" spans="1:9" x14ac:dyDescent="0.25">
      <c r="A6691" s="67" t="s">
        <v>884</v>
      </c>
    </row>
    <row r="6692" spans="1:9" x14ac:dyDescent="0.25">
      <c r="A6692" s="67" t="s">
        <v>223</v>
      </c>
      <c r="B6692" s="67" t="s">
        <v>222</v>
      </c>
      <c r="C6692" s="67" t="s">
        <v>221</v>
      </c>
      <c r="D6692" s="67" t="s">
        <v>220</v>
      </c>
      <c r="E6692" s="67" t="s">
        <v>219</v>
      </c>
      <c r="F6692" s="67" t="s">
        <v>217</v>
      </c>
      <c r="G6692" s="67" t="s">
        <v>218</v>
      </c>
      <c r="H6692" s="67" t="s">
        <v>217</v>
      </c>
      <c r="I6692" s="67" t="s">
        <v>216</v>
      </c>
    </row>
    <row r="6693" spans="1:9" x14ac:dyDescent="0.25">
      <c r="A6693" s="67" t="s">
        <v>215</v>
      </c>
      <c r="B6693" s="67" t="s">
        <v>214</v>
      </c>
      <c r="C6693" s="67" t="s">
        <v>213</v>
      </c>
      <c r="D6693" s="67" t="s">
        <v>212</v>
      </c>
      <c r="E6693" s="67" t="s">
        <v>211</v>
      </c>
      <c r="F6693" s="67" t="s">
        <v>210</v>
      </c>
      <c r="G6693" s="67" t="s">
        <v>209</v>
      </c>
      <c r="H6693" s="67" t="s">
        <v>208</v>
      </c>
      <c r="I6693" s="67" t="s">
        <v>207</v>
      </c>
    </row>
    <row r="6694" spans="1:9" x14ac:dyDescent="0.25">
      <c r="A6694" s="67" t="s">
        <v>206</v>
      </c>
      <c r="B6694" s="67" t="s">
        <v>205</v>
      </c>
      <c r="C6694" s="67" t="s">
        <v>204</v>
      </c>
      <c r="D6694" s="67" t="s">
        <v>203</v>
      </c>
      <c r="E6694" s="67" t="s">
        <v>202</v>
      </c>
      <c r="F6694" s="67" t="s">
        <v>201</v>
      </c>
      <c r="G6694" s="67" t="s">
        <v>200</v>
      </c>
      <c r="H6694" s="67" t="s">
        <v>199</v>
      </c>
    </row>
    <row r="6695" spans="1:9" x14ac:dyDescent="0.25">
      <c r="A6695" s="67" t="s">
        <v>1427</v>
      </c>
      <c r="B6695" s="67" t="s">
        <v>1426</v>
      </c>
      <c r="C6695" s="67">
        <v>0</v>
      </c>
      <c r="D6695" s="67">
        <v>0</v>
      </c>
      <c r="E6695" s="67">
        <v>83900.41</v>
      </c>
      <c r="F6695" s="67">
        <v>25250</v>
      </c>
      <c r="H6695" s="68">
        <v>40764</v>
      </c>
      <c r="I6695" s="67" t="s">
        <v>148</v>
      </c>
    </row>
    <row r="6696" spans="1:9" x14ac:dyDescent="0.25">
      <c r="B6696" s="67" t="s">
        <v>1426</v>
      </c>
      <c r="C6696" s="67">
        <v>0</v>
      </c>
      <c r="D6696" s="67">
        <v>0</v>
      </c>
      <c r="E6696" s="67">
        <v>83900.45</v>
      </c>
      <c r="H6696" s="67" t="s">
        <v>146</v>
      </c>
    </row>
    <row r="6698" spans="1:9" x14ac:dyDescent="0.25">
      <c r="A6698" s="67" t="s">
        <v>1425</v>
      </c>
      <c r="B6698" s="67" t="s">
        <v>1424</v>
      </c>
      <c r="C6698" s="67">
        <v>0</v>
      </c>
      <c r="D6698" s="67">
        <v>0</v>
      </c>
      <c r="E6698" s="67">
        <v>83900.41</v>
      </c>
      <c r="F6698" s="67">
        <v>25250</v>
      </c>
      <c r="H6698" s="68">
        <v>40764</v>
      </c>
      <c r="I6698" s="67" t="s">
        <v>148</v>
      </c>
    </row>
    <row r="6699" spans="1:9" x14ac:dyDescent="0.25">
      <c r="B6699" s="67" t="s">
        <v>1424</v>
      </c>
      <c r="C6699" s="67">
        <v>0</v>
      </c>
      <c r="D6699" s="67">
        <v>0</v>
      </c>
      <c r="E6699" s="67">
        <v>83900.45</v>
      </c>
      <c r="H6699" s="67" t="s">
        <v>146</v>
      </c>
    </row>
    <row r="6701" spans="1:9" x14ac:dyDescent="0.25">
      <c r="A6701" s="67" t="s">
        <v>1423</v>
      </c>
      <c r="B6701" s="67" t="s">
        <v>1422</v>
      </c>
      <c r="C6701" s="67">
        <v>0</v>
      </c>
      <c r="D6701" s="67">
        <v>0</v>
      </c>
      <c r="E6701" s="67">
        <v>83900.41</v>
      </c>
      <c r="F6701" s="67">
        <v>25250</v>
      </c>
      <c r="H6701" s="68">
        <v>40764</v>
      </c>
      <c r="I6701" s="67" t="s">
        <v>148</v>
      </c>
    </row>
    <row r="6702" spans="1:9" x14ac:dyDescent="0.25">
      <c r="B6702" s="67" t="s">
        <v>1422</v>
      </c>
      <c r="C6702" s="67">
        <v>0</v>
      </c>
      <c r="D6702" s="67">
        <v>0</v>
      </c>
      <c r="E6702" s="67">
        <v>83900.45</v>
      </c>
      <c r="H6702" s="67" t="s">
        <v>146</v>
      </c>
    </row>
    <row r="6704" spans="1:9" x14ac:dyDescent="0.25">
      <c r="A6704" s="67" t="s">
        <v>1421</v>
      </c>
      <c r="B6704" s="67" t="s">
        <v>1420</v>
      </c>
      <c r="C6704" s="67">
        <v>0</v>
      </c>
      <c r="D6704" s="67">
        <v>0</v>
      </c>
      <c r="E6704" s="67">
        <v>83900.41</v>
      </c>
      <c r="F6704" s="67">
        <v>25250</v>
      </c>
      <c r="H6704" s="68">
        <v>40764</v>
      </c>
      <c r="I6704" s="67" t="s">
        <v>148</v>
      </c>
    </row>
    <row r="6705" spans="1:9" x14ac:dyDescent="0.25">
      <c r="B6705" s="67" t="s">
        <v>1420</v>
      </c>
      <c r="C6705" s="67">
        <v>0</v>
      </c>
      <c r="D6705" s="67">
        <v>0</v>
      </c>
      <c r="E6705" s="67">
        <v>83900.45</v>
      </c>
      <c r="H6705" s="67" t="s">
        <v>146</v>
      </c>
    </row>
    <row r="6707" spans="1:9" x14ac:dyDescent="0.25">
      <c r="A6707" s="67" t="s">
        <v>1419</v>
      </c>
      <c r="B6707" s="67" t="s">
        <v>1418</v>
      </c>
      <c r="C6707" s="67">
        <v>0</v>
      </c>
      <c r="D6707" s="67">
        <v>0</v>
      </c>
      <c r="E6707" s="67">
        <v>83900.41</v>
      </c>
      <c r="F6707" s="67">
        <v>25250</v>
      </c>
      <c r="H6707" s="68">
        <v>40764</v>
      </c>
      <c r="I6707" s="67" t="s">
        <v>148</v>
      </c>
    </row>
    <row r="6708" spans="1:9" x14ac:dyDescent="0.25">
      <c r="B6708" s="67" t="s">
        <v>1418</v>
      </c>
      <c r="C6708" s="67">
        <v>0</v>
      </c>
      <c r="D6708" s="67">
        <v>0</v>
      </c>
      <c r="E6708" s="67">
        <v>83900.45</v>
      </c>
      <c r="H6708" s="67" t="s">
        <v>146</v>
      </c>
    </row>
    <row r="6710" spans="1:9" x14ac:dyDescent="0.25">
      <c r="A6710" s="67" t="s">
        <v>1417</v>
      </c>
      <c r="B6710" s="67" t="s">
        <v>1416</v>
      </c>
      <c r="C6710" s="67">
        <v>0</v>
      </c>
      <c r="D6710" s="67">
        <v>0</v>
      </c>
      <c r="E6710" s="67">
        <v>83900.41</v>
      </c>
      <c r="F6710" s="67">
        <v>25250</v>
      </c>
      <c r="H6710" s="68">
        <v>40764</v>
      </c>
      <c r="I6710" s="67" t="s">
        <v>148</v>
      </c>
    </row>
    <row r="6711" spans="1:9" x14ac:dyDescent="0.25">
      <c r="B6711" s="67" t="s">
        <v>1416</v>
      </c>
      <c r="C6711" s="67">
        <v>0</v>
      </c>
      <c r="D6711" s="67">
        <v>0</v>
      </c>
      <c r="E6711" s="67">
        <v>83900.45</v>
      </c>
      <c r="H6711" s="67" t="s">
        <v>146</v>
      </c>
    </row>
    <row r="6713" spans="1:9" x14ac:dyDescent="0.25">
      <c r="A6713" s="67" t="s">
        <v>1415</v>
      </c>
      <c r="B6713" s="67" t="s">
        <v>1414</v>
      </c>
      <c r="C6713" s="67">
        <v>0</v>
      </c>
      <c r="D6713" s="67">
        <v>0</v>
      </c>
      <c r="E6713" s="67">
        <v>83900.41</v>
      </c>
      <c r="F6713" s="67">
        <v>25250</v>
      </c>
      <c r="H6713" s="68">
        <v>40764</v>
      </c>
      <c r="I6713" s="67" t="s">
        <v>148</v>
      </c>
    </row>
    <row r="6714" spans="1:9" x14ac:dyDescent="0.25">
      <c r="B6714" s="67" t="s">
        <v>1414</v>
      </c>
      <c r="C6714" s="67">
        <v>0</v>
      </c>
      <c r="D6714" s="67">
        <v>0</v>
      </c>
      <c r="E6714" s="67">
        <v>83900.45</v>
      </c>
      <c r="H6714" s="67" t="s">
        <v>146</v>
      </c>
    </row>
    <row r="6716" spans="1:9" x14ac:dyDescent="0.25">
      <c r="A6716" s="67" t="s">
        <v>1413</v>
      </c>
      <c r="B6716" s="67" t="s">
        <v>1412</v>
      </c>
      <c r="C6716" s="67">
        <v>0</v>
      </c>
      <c r="D6716" s="67">
        <v>0</v>
      </c>
      <c r="E6716" s="67">
        <v>83900.41</v>
      </c>
      <c r="F6716" s="67">
        <v>25250</v>
      </c>
      <c r="H6716" s="68">
        <v>40764</v>
      </c>
      <c r="I6716" s="67" t="s">
        <v>148</v>
      </c>
    </row>
    <row r="6717" spans="1:9" x14ac:dyDescent="0.25">
      <c r="B6717" s="67" t="s">
        <v>1412</v>
      </c>
      <c r="C6717" s="67">
        <v>0</v>
      </c>
      <c r="D6717" s="67">
        <v>0</v>
      </c>
      <c r="E6717" s="67">
        <v>83900.45</v>
      </c>
      <c r="H6717" s="67" t="s">
        <v>146</v>
      </c>
    </row>
    <row r="6719" spans="1:9" x14ac:dyDescent="0.25">
      <c r="A6719" s="67" t="s">
        <v>1411</v>
      </c>
      <c r="B6719" s="67" t="s">
        <v>1410</v>
      </c>
      <c r="C6719" s="67">
        <v>0</v>
      </c>
      <c r="D6719" s="67">
        <v>0</v>
      </c>
      <c r="E6719" s="67">
        <v>83900.41</v>
      </c>
      <c r="F6719" s="67">
        <v>25250</v>
      </c>
      <c r="H6719" s="68">
        <v>40764</v>
      </c>
      <c r="I6719" s="67" t="s">
        <v>148</v>
      </c>
    </row>
    <row r="6720" spans="1:9" x14ac:dyDescent="0.25">
      <c r="B6720" s="67" t="s">
        <v>1410</v>
      </c>
      <c r="C6720" s="67">
        <v>0</v>
      </c>
      <c r="D6720" s="67">
        <v>0</v>
      </c>
      <c r="E6720" s="67">
        <v>83900.45</v>
      </c>
      <c r="H6720" s="67" t="s">
        <v>146</v>
      </c>
    </row>
    <row r="6722" spans="1:9" x14ac:dyDescent="0.25">
      <c r="A6722" s="67" t="s">
        <v>1409</v>
      </c>
      <c r="B6722" s="67" t="s">
        <v>1408</v>
      </c>
      <c r="C6722" s="67">
        <v>0</v>
      </c>
      <c r="D6722" s="67">
        <v>0</v>
      </c>
      <c r="E6722" s="67">
        <v>83900.41</v>
      </c>
      <c r="F6722" s="67">
        <v>25250</v>
      </c>
      <c r="H6722" s="68">
        <v>40764</v>
      </c>
      <c r="I6722" s="67" t="s">
        <v>148</v>
      </c>
    </row>
    <row r="6723" spans="1:9" x14ac:dyDescent="0.25">
      <c r="B6723" s="67" t="s">
        <v>1408</v>
      </c>
      <c r="C6723" s="67">
        <v>0</v>
      </c>
      <c r="D6723" s="67">
        <v>0</v>
      </c>
      <c r="E6723" s="67">
        <v>83900.45</v>
      </c>
      <c r="H6723" s="67" t="s">
        <v>146</v>
      </c>
    </row>
    <row r="6725" spans="1:9" x14ac:dyDescent="0.25">
      <c r="A6725" s="67" t="s">
        <v>1407</v>
      </c>
      <c r="B6725" s="67" t="s">
        <v>1406</v>
      </c>
      <c r="C6725" s="67">
        <v>0</v>
      </c>
      <c r="D6725" s="67">
        <v>0</v>
      </c>
      <c r="E6725" s="67">
        <v>83900.41</v>
      </c>
      <c r="F6725" s="67">
        <v>25250</v>
      </c>
      <c r="H6725" s="68">
        <v>40764</v>
      </c>
      <c r="I6725" s="67" t="s">
        <v>148</v>
      </c>
    </row>
    <row r="6726" spans="1:9" x14ac:dyDescent="0.25">
      <c r="B6726" s="67" t="s">
        <v>1406</v>
      </c>
      <c r="C6726" s="67">
        <v>0</v>
      </c>
      <c r="D6726" s="67">
        <v>0</v>
      </c>
      <c r="E6726" s="67">
        <v>83900.45</v>
      </c>
      <c r="H6726" s="67" t="s">
        <v>146</v>
      </c>
    </row>
    <row r="6728" spans="1:9" x14ac:dyDescent="0.25">
      <c r="A6728" s="67" t="s">
        <v>1405</v>
      </c>
      <c r="B6728" s="67" t="s">
        <v>1404</v>
      </c>
      <c r="C6728" s="67">
        <v>0</v>
      </c>
      <c r="D6728" s="67">
        <v>0</v>
      </c>
      <c r="E6728" s="67">
        <v>83900.41</v>
      </c>
      <c r="F6728" s="67">
        <v>25250</v>
      </c>
      <c r="H6728" s="68">
        <v>40764</v>
      </c>
      <c r="I6728" s="67" t="s">
        <v>148</v>
      </c>
    </row>
    <row r="6729" spans="1:9" x14ac:dyDescent="0.25">
      <c r="B6729" s="67" t="s">
        <v>1404</v>
      </c>
      <c r="C6729" s="67">
        <v>0</v>
      </c>
      <c r="D6729" s="67">
        <v>0</v>
      </c>
      <c r="E6729" s="67">
        <v>83900.45</v>
      </c>
      <c r="H6729" s="67" t="s">
        <v>146</v>
      </c>
    </row>
    <row r="6731" spans="1:9" x14ac:dyDescent="0.25">
      <c r="A6731" s="67" t="s">
        <v>1403</v>
      </c>
      <c r="B6731" s="67" t="s">
        <v>1402</v>
      </c>
      <c r="C6731" s="67">
        <v>0</v>
      </c>
      <c r="D6731" s="67">
        <v>0</v>
      </c>
      <c r="E6731" s="67">
        <v>83900.41</v>
      </c>
      <c r="F6731" s="67">
        <v>25250</v>
      </c>
      <c r="H6731" s="68">
        <v>40764</v>
      </c>
      <c r="I6731" s="67" t="s">
        <v>148</v>
      </c>
    </row>
    <row r="6732" spans="1:9" x14ac:dyDescent="0.25">
      <c r="B6732" s="67" t="s">
        <v>1402</v>
      </c>
      <c r="C6732" s="67">
        <v>0</v>
      </c>
      <c r="D6732" s="67">
        <v>0</v>
      </c>
      <c r="E6732" s="67">
        <v>83900.45</v>
      </c>
      <c r="H6732" s="67" t="s">
        <v>146</v>
      </c>
    </row>
    <row r="6734" spans="1:9" x14ac:dyDescent="0.25">
      <c r="A6734" s="67" t="s">
        <v>1401</v>
      </c>
      <c r="B6734" s="67" t="s">
        <v>1400</v>
      </c>
      <c r="C6734" s="67">
        <v>0</v>
      </c>
      <c r="D6734" s="67">
        <v>0</v>
      </c>
      <c r="E6734" s="67">
        <v>83900.41</v>
      </c>
      <c r="F6734" s="67">
        <v>25250</v>
      </c>
      <c r="H6734" s="68">
        <v>40764</v>
      </c>
      <c r="I6734" s="67" t="s">
        <v>148</v>
      </c>
    </row>
    <row r="6735" spans="1:9" x14ac:dyDescent="0.25">
      <c r="B6735" s="67" t="s">
        <v>1400</v>
      </c>
      <c r="C6735" s="67">
        <v>0</v>
      </c>
      <c r="D6735" s="67">
        <v>0</v>
      </c>
      <c r="E6735" s="67">
        <v>83900.45</v>
      </c>
      <c r="H6735" s="67" t="s">
        <v>146</v>
      </c>
    </row>
    <row r="6737" spans="1:9" x14ac:dyDescent="0.25">
      <c r="A6737" s="67" t="s">
        <v>1399</v>
      </c>
      <c r="B6737" s="67" t="s">
        <v>1398</v>
      </c>
      <c r="C6737" s="67">
        <v>0</v>
      </c>
      <c r="D6737" s="67">
        <v>0</v>
      </c>
      <c r="E6737" s="67">
        <v>83900.41</v>
      </c>
      <c r="F6737" s="67">
        <v>25250</v>
      </c>
      <c r="H6737" s="68">
        <v>40764</v>
      </c>
      <c r="I6737" s="67" t="s">
        <v>148</v>
      </c>
    </row>
    <row r="6738" spans="1:9" x14ac:dyDescent="0.25">
      <c r="B6738" s="67" t="s">
        <v>1398</v>
      </c>
      <c r="C6738" s="67">
        <v>0</v>
      </c>
      <c r="D6738" s="67">
        <v>0</v>
      </c>
      <c r="E6738" s="67">
        <v>83900.45</v>
      </c>
      <c r="H6738" s="67" t="s">
        <v>146</v>
      </c>
    </row>
    <row r="6740" spans="1:9" x14ac:dyDescent="0.25">
      <c r="A6740" s="67" t="s">
        <v>1397</v>
      </c>
      <c r="B6740" s="67" t="s">
        <v>1396</v>
      </c>
      <c r="C6740" s="67">
        <v>0</v>
      </c>
      <c r="D6740" s="67">
        <v>0</v>
      </c>
      <c r="E6740" s="67">
        <v>83900.41</v>
      </c>
      <c r="F6740" s="67">
        <v>25250</v>
      </c>
      <c r="H6740" s="68">
        <v>40764</v>
      </c>
      <c r="I6740" s="67" t="s">
        <v>148</v>
      </c>
    </row>
    <row r="6741" spans="1:9" x14ac:dyDescent="0.25">
      <c r="B6741" s="67" t="s">
        <v>1396</v>
      </c>
      <c r="C6741" s="67">
        <v>0</v>
      </c>
      <c r="D6741" s="67">
        <v>0</v>
      </c>
      <c r="E6741" s="67">
        <v>83900.45</v>
      </c>
      <c r="H6741" s="67" t="s">
        <v>146</v>
      </c>
    </row>
    <row r="6743" spans="1:9" x14ac:dyDescent="0.25">
      <c r="A6743" s="67" t="s">
        <v>1395</v>
      </c>
      <c r="B6743" s="67" t="s">
        <v>1394</v>
      </c>
      <c r="C6743" s="67">
        <v>0</v>
      </c>
      <c r="D6743" s="67">
        <v>0</v>
      </c>
      <c r="E6743" s="67">
        <v>83900.41</v>
      </c>
      <c r="F6743" s="67">
        <v>25250</v>
      </c>
      <c r="H6743" s="68">
        <v>40764</v>
      </c>
      <c r="I6743" s="67" t="s">
        <v>148</v>
      </c>
    </row>
    <row r="6744" spans="1:9" x14ac:dyDescent="0.25">
      <c r="B6744" s="67" t="s">
        <v>1394</v>
      </c>
      <c r="C6744" s="67">
        <v>0</v>
      </c>
      <c r="D6744" s="67">
        <v>0</v>
      </c>
      <c r="E6744" s="67">
        <v>83900.45</v>
      </c>
      <c r="H6744" s="67" t="s">
        <v>146</v>
      </c>
    </row>
    <row r="6745" spans="1:9" x14ac:dyDescent="0.25">
      <c r="A6745" s="67" t="s">
        <v>233</v>
      </c>
    </row>
    <row r="6747" spans="1:9" x14ac:dyDescent="0.25">
      <c r="A6747" s="67" t="s">
        <v>232</v>
      </c>
      <c r="D6747" s="67" t="s">
        <v>231</v>
      </c>
      <c r="H6747" s="67" t="s">
        <v>148</v>
      </c>
      <c r="I6747" s="67" t="s">
        <v>230</v>
      </c>
    </row>
    <row r="6748" spans="1:9" x14ac:dyDescent="0.25">
      <c r="A6748" s="67">
        <v>41.1</v>
      </c>
      <c r="C6748" s="67" t="s">
        <v>215</v>
      </c>
      <c r="D6748" s="67" t="s">
        <v>229</v>
      </c>
      <c r="H6748" s="70">
        <v>44771</v>
      </c>
      <c r="I6748" s="69">
        <v>0.56736111111111109</v>
      </c>
    </row>
    <row r="6749" spans="1:9" x14ac:dyDescent="0.25">
      <c r="A6749" s="67" t="s">
        <v>228</v>
      </c>
      <c r="C6749" s="67" t="s">
        <v>227</v>
      </c>
      <c r="D6749" s="67" t="s">
        <v>226</v>
      </c>
      <c r="E6749" s="67">
        <v>589</v>
      </c>
      <c r="H6749" s="67" t="s">
        <v>225</v>
      </c>
      <c r="I6749" s="67">
        <v>117</v>
      </c>
    </row>
    <row r="6750" spans="1:9" x14ac:dyDescent="0.25">
      <c r="A6750" s="67" t="s">
        <v>884</v>
      </c>
    </row>
    <row r="6751" spans="1:9" x14ac:dyDescent="0.25">
      <c r="A6751" s="67" t="s">
        <v>223</v>
      </c>
      <c r="B6751" s="67" t="s">
        <v>222</v>
      </c>
      <c r="C6751" s="67" t="s">
        <v>221</v>
      </c>
      <c r="D6751" s="67" t="s">
        <v>220</v>
      </c>
      <c r="E6751" s="67" t="s">
        <v>219</v>
      </c>
      <c r="F6751" s="67" t="s">
        <v>217</v>
      </c>
      <c r="G6751" s="67" t="s">
        <v>218</v>
      </c>
      <c r="H6751" s="67" t="s">
        <v>217</v>
      </c>
      <c r="I6751" s="67" t="s">
        <v>216</v>
      </c>
    </row>
    <row r="6752" spans="1:9" x14ac:dyDescent="0.25">
      <c r="A6752" s="67" t="s">
        <v>215</v>
      </c>
      <c r="B6752" s="67" t="s">
        <v>214</v>
      </c>
      <c r="C6752" s="67" t="s">
        <v>213</v>
      </c>
      <c r="D6752" s="67" t="s">
        <v>212</v>
      </c>
      <c r="E6752" s="67" t="s">
        <v>211</v>
      </c>
      <c r="F6752" s="67" t="s">
        <v>210</v>
      </c>
      <c r="G6752" s="67" t="s">
        <v>209</v>
      </c>
      <c r="H6752" s="67" t="s">
        <v>208</v>
      </c>
      <c r="I6752" s="67" t="s">
        <v>207</v>
      </c>
    </row>
    <row r="6753" spans="1:9" x14ac:dyDescent="0.25">
      <c r="A6753" s="67" t="s">
        <v>206</v>
      </c>
      <c r="B6753" s="67" t="s">
        <v>205</v>
      </c>
      <c r="C6753" s="67" t="s">
        <v>204</v>
      </c>
      <c r="D6753" s="67" t="s">
        <v>203</v>
      </c>
      <c r="E6753" s="67" t="s">
        <v>202</v>
      </c>
      <c r="F6753" s="67" t="s">
        <v>201</v>
      </c>
      <c r="G6753" s="67" t="s">
        <v>200</v>
      </c>
      <c r="H6753" s="67" t="s">
        <v>199</v>
      </c>
    </row>
    <row r="6754" spans="1:9" x14ac:dyDescent="0.25">
      <c r="A6754" s="67" t="s">
        <v>1393</v>
      </c>
      <c r="B6754" s="67" t="s">
        <v>1392</v>
      </c>
      <c r="C6754" s="67">
        <v>0</v>
      </c>
      <c r="D6754" s="67">
        <v>0</v>
      </c>
      <c r="E6754" s="67">
        <v>83900.41</v>
      </c>
      <c r="F6754" s="67">
        <v>25250</v>
      </c>
      <c r="H6754" s="68">
        <v>40764</v>
      </c>
      <c r="I6754" s="67" t="s">
        <v>148</v>
      </c>
    </row>
    <row r="6755" spans="1:9" x14ac:dyDescent="0.25">
      <c r="B6755" s="67" t="s">
        <v>1392</v>
      </c>
      <c r="C6755" s="67">
        <v>0</v>
      </c>
      <c r="D6755" s="67">
        <v>0</v>
      </c>
      <c r="E6755" s="67">
        <v>83900.45</v>
      </c>
      <c r="H6755" s="67" t="s">
        <v>146</v>
      </c>
    </row>
    <row r="6757" spans="1:9" x14ac:dyDescent="0.25">
      <c r="A6757" s="67" t="s">
        <v>1391</v>
      </c>
      <c r="B6757" s="67" t="s">
        <v>1390</v>
      </c>
      <c r="C6757" s="67">
        <v>0</v>
      </c>
      <c r="D6757" s="67">
        <v>0</v>
      </c>
      <c r="E6757" s="67">
        <v>83900.41</v>
      </c>
      <c r="F6757" s="67">
        <v>25250</v>
      </c>
      <c r="H6757" s="68">
        <v>40764</v>
      </c>
      <c r="I6757" s="67" t="s">
        <v>148</v>
      </c>
    </row>
    <row r="6758" spans="1:9" x14ac:dyDescent="0.25">
      <c r="B6758" s="67" t="s">
        <v>1390</v>
      </c>
      <c r="C6758" s="67">
        <v>0</v>
      </c>
      <c r="D6758" s="67">
        <v>0</v>
      </c>
      <c r="E6758" s="67">
        <v>83900.45</v>
      </c>
      <c r="H6758" s="67" t="s">
        <v>146</v>
      </c>
    </row>
    <row r="6760" spans="1:9" x14ac:dyDescent="0.25">
      <c r="A6760" s="67" t="s">
        <v>1389</v>
      </c>
      <c r="B6760" s="67" t="s">
        <v>1388</v>
      </c>
      <c r="C6760" s="67">
        <v>0</v>
      </c>
      <c r="D6760" s="67">
        <v>0</v>
      </c>
      <c r="E6760" s="67">
        <v>83900.41</v>
      </c>
      <c r="F6760" s="67">
        <v>25250</v>
      </c>
      <c r="H6760" s="68">
        <v>40764</v>
      </c>
      <c r="I6760" s="67" t="s">
        <v>148</v>
      </c>
    </row>
    <row r="6761" spans="1:9" x14ac:dyDescent="0.25">
      <c r="B6761" s="67" t="s">
        <v>1388</v>
      </c>
      <c r="C6761" s="67">
        <v>0</v>
      </c>
      <c r="D6761" s="67">
        <v>0</v>
      </c>
      <c r="E6761" s="67">
        <v>83900.45</v>
      </c>
      <c r="H6761" s="67" t="s">
        <v>146</v>
      </c>
    </row>
    <row r="6763" spans="1:9" x14ac:dyDescent="0.25">
      <c r="A6763" s="67" t="s">
        <v>1387</v>
      </c>
      <c r="B6763" s="67" t="s">
        <v>1386</v>
      </c>
      <c r="C6763" s="67">
        <v>0</v>
      </c>
      <c r="D6763" s="67">
        <v>0</v>
      </c>
      <c r="E6763" s="67">
        <v>83900.41</v>
      </c>
      <c r="F6763" s="67">
        <v>25250</v>
      </c>
      <c r="H6763" s="68">
        <v>40764</v>
      </c>
      <c r="I6763" s="67" t="s">
        <v>148</v>
      </c>
    </row>
    <row r="6764" spans="1:9" x14ac:dyDescent="0.25">
      <c r="B6764" s="67" t="s">
        <v>1386</v>
      </c>
      <c r="C6764" s="67">
        <v>0</v>
      </c>
      <c r="D6764" s="67">
        <v>0</v>
      </c>
      <c r="E6764" s="67">
        <v>83900.45</v>
      </c>
      <c r="H6764" s="67" t="s">
        <v>146</v>
      </c>
    </row>
    <row r="6766" spans="1:9" x14ac:dyDescent="0.25">
      <c r="A6766" s="67" t="s">
        <v>1385</v>
      </c>
      <c r="B6766" s="67" t="s">
        <v>1384</v>
      </c>
      <c r="C6766" s="67">
        <v>0</v>
      </c>
      <c r="D6766" s="67">
        <v>0</v>
      </c>
      <c r="E6766" s="67">
        <v>83900.41</v>
      </c>
      <c r="F6766" s="67">
        <v>25250</v>
      </c>
      <c r="H6766" s="68">
        <v>40764</v>
      </c>
      <c r="I6766" s="67" t="s">
        <v>148</v>
      </c>
    </row>
    <row r="6767" spans="1:9" x14ac:dyDescent="0.25">
      <c r="B6767" s="67" t="s">
        <v>1384</v>
      </c>
      <c r="C6767" s="67">
        <v>0</v>
      </c>
      <c r="D6767" s="67">
        <v>0</v>
      </c>
      <c r="E6767" s="67">
        <v>83900.45</v>
      </c>
      <c r="H6767" s="67" t="s">
        <v>146</v>
      </c>
    </row>
    <row r="6769" spans="1:9" x14ac:dyDescent="0.25">
      <c r="A6769" s="67" t="s">
        <v>1383</v>
      </c>
      <c r="B6769" s="67" t="s">
        <v>1382</v>
      </c>
      <c r="C6769" s="67">
        <v>0</v>
      </c>
      <c r="D6769" s="67">
        <v>0</v>
      </c>
      <c r="E6769" s="67">
        <v>83900.41</v>
      </c>
      <c r="F6769" s="67">
        <v>25250</v>
      </c>
      <c r="H6769" s="68">
        <v>40764</v>
      </c>
      <c r="I6769" s="67" t="s">
        <v>148</v>
      </c>
    </row>
    <row r="6770" spans="1:9" x14ac:dyDescent="0.25">
      <c r="B6770" s="67" t="s">
        <v>1382</v>
      </c>
      <c r="C6770" s="67">
        <v>0</v>
      </c>
      <c r="D6770" s="67">
        <v>0</v>
      </c>
      <c r="E6770" s="67">
        <v>83900.45</v>
      </c>
      <c r="H6770" s="67" t="s">
        <v>146</v>
      </c>
    </row>
    <row r="6772" spans="1:9" x14ac:dyDescent="0.25">
      <c r="A6772" s="67" t="s">
        <v>1381</v>
      </c>
      <c r="B6772" s="67" t="s">
        <v>1380</v>
      </c>
      <c r="C6772" s="67">
        <v>0</v>
      </c>
      <c r="D6772" s="67">
        <v>0</v>
      </c>
      <c r="E6772" s="67">
        <v>83900.41</v>
      </c>
      <c r="F6772" s="67">
        <v>25250</v>
      </c>
      <c r="H6772" s="68">
        <v>40764</v>
      </c>
      <c r="I6772" s="67" t="s">
        <v>148</v>
      </c>
    </row>
    <row r="6773" spans="1:9" x14ac:dyDescent="0.25">
      <c r="B6773" s="67" t="s">
        <v>1380</v>
      </c>
      <c r="C6773" s="67">
        <v>0</v>
      </c>
      <c r="D6773" s="67">
        <v>0</v>
      </c>
      <c r="E6773" s="67">
        <v>83900.45</v>
      </c>
      <c r="H6773" s="67" t="s">
        <v>146</v>
      </c>
    </row>
    <row r="6775" spans="1:9" x14ac:dyDescent="0.25">
      <c r="A6775" s="67" t="s">
        <v>1379</v>
      </c>
      <c r="B6775" s="67" t="s">
        <v>1378</v>
      </c>
      <c r="C6775" s="67">
        <v>0</v>
      </c>
      <c r="D6775" s="67">
        <v>0</v>
      </c>
      <c r="E6775" s="67">
        <v>83900.41</v>
      </c>
      <c r="F6775" s="67">
        <v>25250</v>
      </c>
      <c r="H6775" s="68">
        <v>40764</v>
      </c>
      <c r="I6775" s="67" t="s">
        <v>148</v>
      </c>
    </row>
    <row r="6776" spans="1:9" x14ac:dyDescent="0.25">
      <c r="B6776" s="67" t="s">
        <v>1378</v>
      </c>
      <c r="C6776" s="67">
        <v>0</v>
      </c>
      <c r="D6776" s="67">
        <v>0</v>
      </c>
      <c r="E6776" s="67">
        <v>83900.45</v>
      </c>
      <c r="H6776" s="67" t="s">
        <v>146</v>
      </c>
    </row>
    <row r="6778" spans="1:9" x14ac:dyDescent="0.25">
      <c r="A6778" s="67" t="s">
        <v>1377</v>
      </c>
      <c r="B6778" s="67" t="s">
        <v>1376</v>
      </c>
      <c r="C6778" s="67">
        <v>0</v>
      </c>
      <c r="D6778" s="67">
        <v>0</v>
      </c>
      <c r="E6778" s="67">
        <v>83900.41</v>
      </c>
      <c r="F6778" s="67">
        <v>25250</v>
      </c>
      <c r="H6778" s="68">
        <v>40764</v>
      </c>
      <c r="I6778" s="67" t="s">
        <v>148</v>
      </c>
    </row>
    <row r="6779" spans="1:9" x14ac:dyDescent="0.25">
      <c r="B6779" s="67" t="s">
        <v>1376</v>
      </c>
      <c r="C6779" s="67">
        <v>0</v>
      </c>
      <c r="D6779" s="67">
        <v>0</v>
      </c>
      <c r="E6779" s="67">
        <v>83900.45</v>
      </c>
      <c r="H6779" s="67" t="s">
        <v>146</v>
      </c>
    </row>
    <row r="6781" spans="1:9" x14ac:dyDescent="0.25">
      <c r="A6781" s="67" t="s">
        <v>1375</v>
      </c>
      <c r="B6781" s="67" t="s">
        <v>1374</v>
      </c>
      <c r="C6781" s="67">
        <v>0</v>
      </c>
      <c r="D6781" s="67">
        <v>0</v>
      </c>
      <c r="E6781" s="67">
        <v>83900.41</v>
      </c>
      <c r="F6781" s="67">
        <v>25250</v>
      </c>
      <c r="H6781" s="68">
        <v>40764</v>
      </c>
      <c r="I6781" s="67" t="s">
        <v>148</v>
      </c>
    </row>
    <row r="6782" spans="1:9" x14ac:dyDescent="0.25">
      <c r="B6782" s="67" t="s">
        <v>1374</v>
      </c>
      <c r="C6782" s="67">
        <v>0</v>
      </c>
      <c r="D6782" s="67">
        <v>0</v>
      </c>
      <c r="E6782" s="67">
        <v>83900.45</v>
      </c>
      <c r="H6782" s="67" t="s">
        <v>146</v>
      </c>
    </row>
    <row r="6784" spans="1:9" x14ac:dyDescent="0.25">
      <c r="A6784" s="67" t="s">
        <v>1373</v>
      </c>
      <c r="B6784" s="67" t="s">
        <v>1372</v>
      </c>
      <c r="C6784" s="67">
        <v>0</v>
      </c>
      <c r="D6784" s="67">
        <v>0</v>
      </c>
      <c r="E6784" s="67">
        <v>83900.41</v>
      </c>
      <c r="F6784" s="67">
        <v>25250</v>
      </c>
      <c r="H6784" s="68">
        <v>40764</v>
      </c>
      <c r="I6784" s="67" t="s">
        <v>148</v>
      </c>
    </row>
    <row r="6785" spans="1:9" x14ac:dyDescent="0.25">
      <c r="B6785" s="67" t="s">
        <v>1372</v>
      </c>
      <c r="C6785" s="67">
        <v>0</v>
      </c>
      <c r="D6785" s="67">
        <v>0</v>
      </c>
      <c r="E6785" s="67">
        <v>83900.45</v>
      </c>
      <c r="H6785" s="67" t="s">
        <v>146</v>
      </c>
    </row>
    <row r="6787" spans="1:9" x14ac:dyDescent="0.25">
      <c r="A6787" s="67" t="s">
        <v>1371</v>
      </c>
      <c r="B6787" s="67" t="s">
        <v>1370</v>
      </c>
      <c r="C6787" s="67">
        <v>0</v>
      </c>
      <c r="D6787" s="67">
        <v>0</v>
      </c>
      <c r="E6787" s="67">
        <v>83900.41</v>
      </c>
      <c r="F6787" s="67">
        <v>25250</v>
      </c>
      <c r="H6787" s="68">
        <v>40764</v>
      </c>
      <c r="I6787" s="67" t="s">
        <v>148</v>
      </c>
    </row>
    <row r="6788" spans="1:9" x14ac:dyDescent="0.25">
      <c r="B6788" s="67" t="s">
        <v>1370</v>
      </c>
      <c r="C6788" s="67">
        <v>0</v>
      </c>
      <c r="D6788" s="67">
        <v>0</v>
      </c>
      <c r="E6788" s="67">
        <v>83900.45</v>
      </c>
      <c r="H6788" s="67" t="s">
        <v>146</v>
      </c>
    </row>
    <row r="6790" spans="1:9" x14ac:dyDescent="0.25">
      <c r="A6790" s="67" t="s">
        <v>1369</v>
      </c>
      <c r="B6790" s="67" t="s">
        <v>1368</v>
      </c>
      <c r="C6790" s="67">
        <v>0</v>
      </c>
      <c r="D6790" s="67">
        <v>0</v>
      </c>
      <c r="E6790" s="67">
        <v>83900.41</v>
      </c>
      <c r="F6790" s="67">
        <v>25250</v>
      </c>
      <c r="H6790" s="68">
        <v>40764</v>
      </c>
      <c r="I6790" s="67" t="s">
        <v>148</v>
      </c>
    </row>
    <row r="6791" spans="1:9" x14ac:dyDescent="0.25">
      <c r="B6791" s="67" t="s">
        <v>1368</v>
      </c>
      <c r="C6791" s="67">
        <v>0</v>
      </c>
      <c r="D6791" s="67">
        <v>0</v>
      </c>
      <c r="E6791" s="67">
        <v>83900.45</v>
      </c>
      <c r="H6791" s="67" t="s">
        <v>146</v>
      </c>
    </row>
    <row r="6793" spans="1:9" x14ac:dyDescent="0.25">
      <c r="A6793" s="67" t="s">
        <v>1367</v>
      </c>
      <c r="B6793" s="67" t="s">
        <v>1366</v>
      </c>
      <c r="C6793" s="67">
        <v>0</v>
      </c>
      <c r="D6793" s="67">
        <v>0</v>
      </c>
      <c r="E6793" s="67">
        <v>83900.41</v>
      </c>
      <c r="F6793" s="67">
        <v>25250</v>
      </c>
      <c r="H6793" s="68">
        <v>40764</v>
      </c>
      <c r="I6793" s="67" t="s">
        <v>148</v>
      </c>
    </row>
    <row r="6794" spans="1:9" x14ac:dyDescent="0.25">
      <c r="B6794" s="67" t="s">
        <v>1366</v>
      </c>
      <c r="C6794" s="67">
        <v>0</v>
      </c>
      <c r="D6794" s="67">
        <v>0</v>
      </c>
      <c r="E6794" s="67">
        <v>83900.45</v>
      </c>
      <c r="H6794" s="67" t="s">
        <v>146</v>
      </c>
    </row>
    <row r="6796" spans="1:9" x14ac:dyDescent="0.25">
      <c r="A6796" s="67" t="s">
        <v>1365</v>
      </c>
      <c r="B6796" s="67" t="s">
        <v>1364</v>
      </c>
      <c r="C6796" s="67">
        <v>0</v>
      </c>
      <c r="D6796" s="67">
        <v>0</v>
      </c>
      <c r="E6796" s="67">
        <v>83900.41</v>
      </c>
      <c r="F6796" s="67">
        <v>25250</v>
      </c>
      <c r="H6796" s="68">
        <v>40764</v>
      </c>
      <c r="I6796" s="67" t="s">
        <v>148</v>
      </c>
    </row>
    <row r="6797" spans="1:9" x14ac:dyDescent="0.25">
      <c r="B6797" s="67" t="s">
        <v>1364</v>
      </c>
      <c r="C6797" s="67">
        <v>0</v>
      </c>
      <c r="D6797" s="67">
        <v>0</v>
      </c>
      <c r="E6797" s="67">
        <v>83900.45</v>
      </c>
      <c r="H6797" s="67" t="s">
        <v>146</v>
      </c>
    </row>
    <row r="6799" spans="1:9" x14ac:dyDescent="0.25">
      <c r="A6799" s="67" t="s">
        <v>1363</v>
      </c>
      <c r="B6799" s="67" t="s">
        <v>1362</v>
      </c>
      <c r="C6799" s="67">
        <v>0</v>
      </c>
      <c r="D6799" s="67">
        <v>0</v>
      </c>
      <c r="E6799" s="67">
        <v>83900.41</v>
      </c>
      <c r="F6799" s="67">
        <v>25250</v>
      </c>
      <c r="H6799" s="68">
        <v>40764</v>
      </c>
      <c r="I6799" s="67" t="s">
        <v>148</v>
      </c>
    </row>
    <row r="6800" spans="1:9" x14ac:dyDescent="0.25">
      <c r="B6800" s="67" t="s">
        <v>1362</v>
      </c>
      <c r="C6800" s="67">
        <v>0</v>
      </c>
      <c r="D6800" s="67">
        <v>0</v>
      </c>
      <c r="E6800" s="67">
        <v>83900.45</v>
      </c>
      <c r="H6800" s="67" t="s">
        <v>146</v>
      </c>
    </row>
    <row r="6802" spans="1:9" x14ac:dyDescent="0.25">
      <c r="A6802" s="67" t="s">
        <v>1361</v>
      </c>
      <c r="B6802" s="67" t="s">
        <v>1360</v>
      </c>
      <c r="C6802" s="67">
        <v>0</v>
      </c>
      <c r="D6802" s="67">
        <v>0</v>
      </c>
      <c r="E6802" s="67">
        <v>83900.41</v>
      </c>
      <c r="F6802" s="67">
        <v>25250</v>
      </c>
      <c r="H6802" s="68">
        <v>40764</v>
      </c>
      <c r="I6802" s="67" t="s">
        <v>148</v>
      </c>
    </row>
    <row r="6803" spans="1:9" x14ac:dyDescent="0.25">
      <c r="B6803" s="67" t="s">
        <v>1360</v>
      </c>
      <c r="C6803" s="67">
        <v>0</v>
      </c>
      <c r="D6803" s="67">
        <v>0</v>
      </c>
      <c r="E6803" s="67">
        <v>83900.45</v>
      </c>
      <c r="H6803" s="67" t="s">
        <v>146</v>
      </c>
    </row>
    <row r="6804" spans="1:9" x14ac:dyDescent="0.25">
      <c r="A6804" s="67" t="s">
        <v>233</v>
      </c>
    </row>
    <row r="6806" spans="1:9" x14ac:dyDescent="0.25">
      <c r="A6806" s="67" t="s">
        <v>232</v>
      </c>
      <c r="D6806" s="67" t="s">
        <v>231</v>
      </c>
      <c r="H6806" s="67" t="s">
        <v>148</v>
      </c>
      <c r="I6806" s="67" t="s">
        <v>230</v>
      </c>
    </row>
    <row r="6807" spans="1:9" x14ac:dyDescent="0.25">
      <c r="A6807" s="67">
        <v>41.1</v>
      </c>
      <c r="C6807" s="67" t="s">
        <v>215</v>
      </c>
      <c r="D6807" s="67" t="s">
        <v>229</v>
      </c>
      <c r="H6807" s="70">
        <v>44771</v>
      </c>
      <c r="I6807" s="69">
        <v>0.56736111111111109</v>
      </c>
    </row>
    <row r="6808" spans="1:9" x14ac:dyDescent="0.25">
      <c r="A6808" s="67" t="s">
        <v>228</v>
      </c>
      <c r="C6808" s="67" t="s">
        <v>227</v>
      </c>
      <c r="D6808" s="67" t="s">
        <v>226</v>
      </c>
      <c r="E6808" s="67">
        <v>589</v>
      </c>
      <c r="H6808" s="67" t="s">
        <v>225</v>
      </c>
      <c r="I6808" s="67">
        <v>118</v>
      </c>
    </row>
    <row r="6809" spans="1:9" x14ac:dyDescent="0.25">
      <c r="A6809" s="67" t="s">
        <v>884</v>
      </c>
    </row>
    <row r="6810" spans="1:9" x14ac:dyDescent="0.25">
      <c r="A6810" s="67" t="s">
        <v>223</v>
      </c>
      <c r="B6810" s="67" t="s">
        <v>222</v>
      </c>
      <c r="C6810" s="67" t="s">
        <v>221</v>
      </c>
      <c r="D6810" s="67" t="s">
        <v>220</v>
      </c>
      <c r="E6810" s="67" t="s">
        <v>219</v>
      </c>
      <c r="F6810" s="67" t="s">
        <v>217</v>
      </c>
      <c r="G6810" s="67" t="s">
        <v>218</v>
      </c>
      <c r="H6810" s="67" t="s">
        <v>217</v>
      </c>
      <c r="I6810" s="67" t="s">
        <v>216</v>
      </c>
    </row>
    <row r="6811" spans="1:9" x14ac:dyDescent="0.25">
      <c r="A6811" s="67" t="s">
        <v>215</v>
      </c>
      <c r="B6811" s="67" t="s">
        <v>214</v>
      </c>
      <c r="C6811" s="67" t="s">
        <v>213</v>
      </c>
      <c r="D6811" s="67" t="s">
        <v>212</v>
      </c>
      <c r="E6811" s="67" t="s">
        <v>211</v>
      </c>
      <c r="F6811" s="67" t="s">
        <v>210</v>
      </c>
      <c r="G6811" s="67" t="s">
        <v>209</v>
      </c>
      <c r="H6811" s="67" t="s">
        <v>208</v>
      </c>
      <c r="I6811" s="67" t="s">
        <v>207</v>
      </c>
    </row>
    <row r="6812" spans="1:9" x14ac:dyDescent="0.25">
      <c r="A6812" s="67" t="s">
        <v>206</v>
      </c>
      <c r="B6812" s="67" t="s">
        <v>205</v>
      </c>
      <c r="C6812" s="67" t="s">
        <v>204</v>
      </c>
      <c r="D6812" s="67" t="s">
        <v>203</v>
      </c>
      <c r="E6812" s="67" t="s">
        <v>202</v>
      </c>
      <c r="F6812" s="67" t="s">
        <v>201</v>
      </c>
      <c r="G6812" s="67" t="s">
        <v>200</v>
      </c>
      <c r="H6812" s="67" t="s">
        <v>199</v>
      </c>
    </row>
    <row r="6813" spans="1:9" x14ac:dyDescent="0.25">
      <c r="A6813" s="67" t="s">
        <v>1359</v>
      </c>
      <c r="B6813" s="67" t="s">
        <v>1358</v>
      </c>
      <c r="C6813" s="67">
        <v>0</v>
      </c>
      <c r="D6813" s="67">
        <v>0</v>
      </c>
      <c r="E6813" s="67">
        <v>83900.41</v>
      </c>
      <c r="F6813" s="67">
        <v>25250</v>
      </c>
      <c r="H6813" s="68">
        <v>40764</v>
      </c>
      <c r="I6813" s="67" t="s">
        <v>148</v>
      </c>
    </row>
    <row r="6814" spans="1:9" x14ac:dyDescent="0.25">
      <c r="B6814" s="67" t="s">
        <v>1358</v>
      </c>
      <c r="C6814" s="67">
        <v>0</v>
      </c>
      <c r="D6814" s="67">
        <v>0</v>
      </c>
      <c r="E6814" s="67">
        <v>83900.45</v>
      </c>
      <c r="H6814" s="67" t="s">
        <v>146</v>
      </c>
    </row>
    <row r="6816" spans="1:9" x14ac:dyDescent="0.25">
      <c r="A6816" s="67" t="s">
        <v>1357</v>
      </c>
      <c r="B6816" s="67" t="s">
        <v>1356</v>
      </c>
      <c r="C6816" s="67">
        <v>0</v>
      </c>
      <c r="D6816" s="67">
        <v>0</v>
      </c>
      <c r="E6816" s="67">
        <v>83900.41</v>
      </c>
      <c r="F6816" s="67">
        <v>25250</v>
      </c>
      <c r="H6816" s="68">
        <v>40764</v>
      </c>
      <c r="I6816" s="67" t="s">
        <v>148</v>
      </c>
    </row>
    <row r="6817" spans="1:9" x14ac:dyDescent="0.25">
      <c r="B6817" s="67" t="s">
        <v>1356</v>
      </c>
      <c r="C6817" s="67">
        <v>0</v>
      </c>
      <c r="D6817" s="67">
        <v>0</v>
      </c>
      <c r="E6817" s="67">
        <v>83900.45</v>
      </c>
      <c r="H6817" s="67" t="s">
        <v>146</v>
      </c>
    </row>
    <row r="6819" spans="1:9" x14ac:dyDescent="0.25">
      <c r="A6819" s="67" t="s">
        <v>1355</v>
      </c>
      <c r="B6819" s="67" t="s">
        <v>1354</v>
      </c>
      <c r="C6819" s="67">
        <v>0</v>
      </c>
      <c r="D6819" s="67">
        <v>0</v>
      </c>
      <c r="E6819" s="67">
        <v>83900.41</v>
      </c>
      <c r="F6819" s="67">
        <v>25250</v>
      </c>
      <c r="H6819" s="68">
        <v>40764</v>
      </c>
      <c r="I6819" s="67" t="s">
        <v>148</v>
      </c>
    </row>
    <row r="6820" spans="1:9" x14ac:dyDescent="0.25">
      <c r="B6820" s="67" t="s">
        <v>1354</v>
      </c>
      <c r="C6820" s="67">
        <v>0</v>
      </c>
      <c r="D6820" s="67">
        <v>0</v>
      </c>
      <c r="E6820" s="67">
        <v>83900.45</v>
      </c>
      <c r="H6820" s="67" t="s">
        <v>146</v>
      </c>
    </row>
    <row r="6822" spans="1:9" x14ac:dyDescent="0.25">
      <c r="A6822" s="67" t="s">
        <v>1353</v>
      </c>
      <c r="B6822" s="67" t="s">
        <v>1352</v>
      </c>
      <c r="C6822" s="67">
        <v>0</v>
      </c>
      <c r="D6822" s="67">
        <v>0</v>
      </c>
      <c r="E6822" s="67">
        <v>83900.41</v>
      </c>
      <c r="F6822" s="67">
        <v>25250</v>
      </c>
      <c r="H6822" s="68">
        <v>40764</v>
      </c>
      <c r="I6822" s="67" t="s">
        <v>148</v>
      </c>
    </row>
    <row r="6823" spans="1:9" x14ac:dyDescent="0.25">
      <c r="B6823" s="67" t="s">
        <v>1352</v>
      </c>
      <c r="C6823" s="67">
        <v>0</v>
      </c>
      <c r="D6823" s="67">
        <v>0</v>
      </c>
      <c r="E6823" s="67">
        <v>83900.45</v>
      </c>
      <c r="H6823" s="67" t="s">
        <v>146</v>
      </c>
    </row>
    <row r="6825" spans="1:9" x14ac:dyDescent="0.25">
      <c r="A6825" s="67" t="s">
        <v>1351</v>
      </c>
      <c r="B6825" s="67" t="s">
        <v>1350</v>
      </c>
      <c r="C6825" s="67">
        <v>0</v>
      </c>
      <c r="D6825" s="67">
        <v>0</v>
      </c>
      <c r="E6825" s="67">
        <v>83900.41</v>
      </c>
      <c r="F6825" s="67">
        <v>25250</v>
      </c>
      <c r="H6825" s="68">
        <v>40764</v>
      </c>
      <c r="I6825" s="67" t="s">
        <v>148</v>
      </c>
    </row>
    <row r="6826" spans="1:9" x14ac:dyDescent="0.25">
      <c r="B6826" s="67" t="s">
        <v>1350</v>
      </c>
      <c r="C6826" s="67">
        <v>0</v>
      </c>
      <c r="D6826" s="67">
        <v>0</v>
      </c>
      <c r="E6826" s="67">
        <v>83900.45</v>
      </c>
      <c r="H6826" s="67" t="s">
        <v>146</v>
      </c>
    </row>
    <row r="6828" spans="1:9" x14ac:dyDescent="0.25">
      <c r="A6828" s="67" t="s">
        <v>1349</v>
      </c>
      <c r="B6828" s="67" t="s">
        <v>1348</v>
      </c>
      <c r="C6828" s="67">
        <v>0</v>
      </c>
      <c r="D6828" s="67">
        <v>0</v>
      </c>
      <c r="E6828" s="67">
        <v>83900.41</v>
      </c>
      <c r="F6828" s="67">
        <v>25250</v>
      </c>
      <c r="H6828" s="68">
        <v>40764</v>
      </c>
      <c r="I6828" s="67" t="s">
        <v>148</v>
      </c>
    </row>
    <row r="6829" spans="1:9" x14ac:dyDescent="0.25">
      <c r="B6829" s="67" t="s">
        <v>1348</v>
      </c>
      <c r="C6829" s="67">
        <v>0</v>
      </c>
      <c r="D6829" s="67">
        <v>0</v>
      </c>
      <c r="E6829" s="67">
        <v>83900.45</v>
      </c>
      <c r="H6829" s="67" t="s">
        <v>146</v>
      </c>
    </row>
    <row r="6831" spans="1:9" x14ac:dyDescent="0.25">
      <c r="A6831" s="67" t="s">
        <v>1347</v>
      </c>
      <c r="B6831" s="67" t="s">
        <v>1346</v>
      </c>
      <c r="C6831" s="67">
        <v>0</v>
      </c>
      <c r="D6831" s="67">
        <v>0</v>
      </c>
      <c r="E6831" s="67">
        <v>83900.41</v>
      </c>
      <c r="F6831" s="67">
        <v>25250</v>
      </c>
      <c r="H6831" s="68">
        <v>40764</v>
      </c>
      <c r="I6831" s="67" t="s">
        <v>148</v>
      </c>
    </row>
    <row r="6832" spans="1:9" x14ac:dyDescent="0.25">
      <c r="B6832" s="67" t="s">
        <v>1346</v>
      </c>
      <c r="C6832" s="67">
        <v>0</v>
      </c>
      <c r="D6832" s="67">
        <v>0</v>
      </c>
      <c r="E6832" s="67">
        <v>83900.45</v>
      </c>
      <c r="H6832" s="67" t="s">
        <v>146</v>
      </c>
    </row>
    <row r="6834" spans="1:9" x14ac:dyDescent="0.25">
      <c r="A6834" s="67" t="s">
        <v>1345</v>
      </c>
      <c r="B6834" s="67" t="s">
        <v>1344</v>
      </c>
      <c r="C6834" s="67">
        <v>0</v>
      </c>
      <c r="D6834" s="67">
        <v>0</v>
      </c>
      <c r="E6834" s="67">
        <v>83900.41</v>
      </c>
      <c r="F6834" s="67">
        <v>25250</v>
      </c>
      <c r="H6834" s="68">
        <v>40764</v>
      </c>
      <c r="I6834" s="67" t="s">
        <v>148</v>
      </c>
    </row>
    <row r="6835" spans="1:9" x14ac:dyDescent="0.25">
      <c r="B6835" s="67" t="s">
        <v>1344</v>
      </c>
      <c r="C6835" s="67">
        <v>0</v>
      </c>
      <c r="D6835" s="67">
        <v>0</v>
      </c>
      <c r="E6835" s="67">
        <v>83900.45</v>
      </c>
      <c r="H6835" s="67" t="s">
        <v>146</v>
      </c>
    </row>
    <row r="6837" spans="1:9" x14ac:dyDescent="0.25">
      <c r="A6837" s="67" t="s">
        <v>1343</v>
      </c>
      <c r="B6837" s="67" t="s">
        <v>1342</v>
      </c>
      <c r="C6837" s="67">
        <v>0</v>
      </c>
      <c r="D6837" s="67">
        <v>0</v>
      </c>
      <c r="E6837" s="67">
        <v>83900.41</v>
      </c>
      <c r="F6837" s="67">
        <v>25250</v>
      </c>
      <c r="H6837" s="68">
        <v>40764</v>
      </c>
      <c r="I6837" s="67" t="s">
        <v>148</v>
      </c>
    </row>
    <row r="6838" spans="1:9" x14ac:dyDescent="0.25">
      <c r="B6838" s="67" t="s">
        <v>1342</v>
      </c>
      <c r="C6838" s="67">
        <v>0</v>
      </c>
      <c r="D6838" s="67">
        <v>0</v>
      </c>
      <c r="E6838" s="67">
        <v>83900.45</v>
      </c>
      <c r="H6838" s="67" t="s">
        <v>146</v>
      </c>
    </row>
    <row r="6840" spans="1:9" x14ac:dyDescent="0.25">
      <c r="A6840" s="67" t="s">
        <v>1341</v>
      </c>
      <c r="B6840" s="67" t="s">
        <v>1340</v>
      </c>
      <c r="C6840" s="67">
        <v>0</v>
      </c>
      <c r="D6840" s="67">
        <v>0</v>
      </c>
      <c r="E6840" s="67">
        <v>83900.41</v>
      </c>
      <c r="F6840" s="67">
        <v>25250</v>
      </c>
      <c r="H6840" s="68">
        <v>40764</v>
      </c>
      <c r="I6840" s="67" t="s">
        <v>148</v>
      </c>
    </row>
    <row r="6841" spans="1:9" x14ac:dyDescent="0.25">
      <c r="B6841" s="67" t="s">
        <v>1340</v>
      </c>
      <c r="C6841" s="67">
        <v>0</v>
      </c>
      <c r="D6841" s="67">
        <v>0</v>
      </c>
      <c r="E6841" s="67">
        <v>83900.45</v>
      </c>
      <c r="H6841" s="67" t="s">
        <v>146</v>
      </c>
    </row>
    <row r="6843" spans="1:9" x14ac:dyDescent="0.25">
      <c r="A6843" s="67" t="s">
        <v>1339</v>
      </c>
      <c r="B6843" s="67" t="s">
        <v>1338</v>
      </c>
      <c r="C6843" s="67">
        <v>0</v>
      </c>
      <c r="D6843" s="67">
        <v>0</v>
      </c>
      <c r="E6843" s="67">
        <v>83900.41</v>
      </c>
      <c r="F6843" s="67">
        <v>25250</v>
      </c>
      <c r="H6843" s="68">
        <v>40764</v>
      </c>
      <c r="I6843" s="67" t="s">
        <v>148</v>
      </c>
    </row>
    <row r="6844" spans="1:9" x14ac:dyDescent="0.25">
      <c r="B6844" s="67" t="s">
        <v>1338</v>
      </c>
      <c r="C6844" s="67">
        <v>0</v>
      </c>
      <c r="D6844" s="67">
        <v>0</v>
      </c>
      <c r="E6844" s="67">
        <v>83900.45</v>
      </c>
      <c r="H6844" s="67" t="s">
        <v>146</v>
      </c>
    </row>
    <row r="6846" spans="1:9" x14ac:dyDescent="0.25">
      <c r="A6846" s="67" t="s">
        <v>1337</v>
      </c>
      <c r="B6846" s="67" t="s">
        <v>1336</v>
      </c>
      <c r="C6846" s="67">
        <v>0</v>
      </c>
      <c r="D6846" s="67">
        <v>0</v>
      </c>
      <c r="E6846" s="67">
        <v>83900.41</v>
      </c>
      <c r="F6846" s="67">
        <v>25250</v>
      </c>
      <c r="H6846" s="68">
        <v>40764</v>
      </c>
      <c r="I6846" s="67" t="s">
        <v>148</v>
      </c>
    </row>
    <row r="6847" spans="1:9" x14ac:dyDescent="0.25">
      <c r="B6847" s="67" t="s">
        <v>1336</v>
      </c>
      <c r="C6847" s="67">
        <v>0</v>
      </c>
      <c r="D6847" s="67">
        <v>0</v>
      </c>
      <c r="E6847" s="67">
        <v>83900.45</v>
      </c>
      <c r="H6847" s="67" t="s">
        <v>146</v>
      </c>
    </row>
    <row r="6849" spans="1:9" x14ac:dyDescent="0.25">
      <c r="A6849" s="67" t="s">
        <v>1335</v>
      </c>
      <c r="B6849" s="67" t="s">
        <v>1334</v>
      </c>
      <c r="C6849" s="67">
        <v>0</v>
      </c>
      <c r="D6849" s="67">
        <v>0</v>
      </c>
      <c r="E6849" s="67">
        <v>83900.41</v>
      </c>
      <c r="F6849" s="67">
        <v>25250</v>
      </c>
      <c r="H6849" s="68">
        <v>40764</v>
      </c>
      <c r="I6849" s="67" t="s">
        <v>148</v>
      </c>
    </row>
    <row r="6850" spans="1:9" x14ac:dyDescent="0.25">
      <c r="B6850" s="67" t="s">
        <v>1334</v>
      </c>
      <c r="C6850" s="67">
        <v>0</v>
      </c>
      <c r="D6850" s="67">
        <v>0</v>
      </c>
      <c r="E6850" s="67">
        <v>83900.45</v>
      </c>
      <c r="H6850" s="67" t="s">
        <v>146</v>
      </c>
    </row>
    <row r="6852" spans="1:9" x14ac:dyDescent="0.25">
      <c r="A6852" s="67" t="s">
        <v>1333</v>
      </c>
      <c r="B6852" s="67" t="s">
        <v>1332</v>
      </c>
      <c r="C6852" s="67">
        <v>0</v>
      </c>
      <c r="D6852" s="67">
        <v>0</v>
      </c>
      <c r="E6852" s="67">
        <v>83900.41</v>
      </c>
      <c r="F6852" s="67">
        <v>25250</v>
      </c>
      <c r="H6852" s="68">
        <v>40764</v>
      </c>
      <c r="I6852" s="67" t="s">
        <v>148</v>
      </c>
    </row>
    <row r="6853" spans="1:9" x14ac:dyDescent="0.25">
      <c r="B6853" s="67" t="s">
        <v>1332</v>
      </c>
      <c r="C6853" s="67">
        <v>0</v>
      </c>
      <c r="D6853" s="67">
        <v>0</v>
      </c>
      <c r="E6853" s="67">
        <v>83900.45</v>
      </c>
      <c r="H6853" s="67" t="s">
        <v>146</v>
      </c>
    </row>
    <row r="6855" spans="1:9" x14ac:dyDescent="0.25">
      <c r="A6855" s="67" t="s">
        <v>1331</v>
      </c>
      <c r="B6855" s="67" t="s">
        <v>1330</v>
      </c>
      <c r="C6855" s="67">
        <v>0</v>
      </c>
      <c r="D6855" s="67">
        <v>0</v>
      </c>
      <c r="E6855" s="67">
        <v>83900.41</v>
      </c>
      <c r="F6855" s="67">
        <v>25250</v>
      </c>
      <c r="H6855" s="68">
        <v>40764</v>
      </c>
      <c r="I6855" s="67" t="s">
        <v>148</v>
      </c>
    </row>
    <row r="6856" spans="1:9" x14ac:dyDescent="0.25">
      <c r="B6856" s="67" t="s">
        <v>1330</v>
      </c>
      <c r="C6856" s="67">
        <v>0</v>
      </c>
      <c r="D6856" s="67">
        <v>0</v>
      </c>
      <c r="E6856" s="67">
        <v>83900.45</v>
      </c>
      <c r="H6856" s="67" t="s">
        <v>146</v>
      </c>
    </row>
    <row r="6858" spans="1:9" x14ac:dyDescent="0.25">
      <c r="A6858" s="67" t="s">
        <v>1329</v>
      </c>
      <c r="B6858" s="67" t="s">
        <v>1328</v>
      </c>
      <c r="C6858" s="67">
        <v>0</v>
      </c>
      <c r="D6858" s="67">
        <v>0</v>
      </c>
      <c r="E6858" s="67">
        <v>83900.41</v>
      </c>
      <c r="F6858" s="67">
        <v>25250</v>
      </c>
      <c r="H6858" s="68">
        <v>40764</v>
      </c>
      <c r="I6858" s="67" t="s">
        <v>148</v>
      </c>
    </row>
    <row r="6859" spans="1:9" x14ac:dyDescent="0.25">
      <c r="B6859" s="67" t="s">
        <v>1328</v>
      </c>
      <c r="C6859" s="67">
        <v>0</v>
      </c>
      <c r="D6859" s="67">
        <v>0</v>
      </c>
      <c r="E6859" s="67">
        <v>83900.45</v>
      </c>
      <c r="H6859" s="67" t="s">
        <v>146</v>
      </c>
    </row>
    <row r="6861" spans="1:9" x14ac:dyDescent="0.25">
      <c r="A6861" s="67" t="s">
        <v>1327</v>
      </c>
      <c r="B6861" s="67" t="s">
        <v>1326</v>
      </c>
      <c r="C6861" s="67">
        <v>0</v>
      </c>
      <c r="D6861" s="67">
        <v>0</v>
      </c>
      <c r="E6861" s="67">
        <v>83900.41</v>
      </c>
      <c r="F6861" s="67">
        <v>25250</v>
      </c>
      <c r="H6861" s="68">
        <v>40764</v>
      </c>
      <c r="I6861" s="67" t="s">
        <v>148</v>
      </c>
    </row>
    <row r="6862" spans="1:9" x14ac:dyDescent="0.25">
      <c r="B6862" s="67" t="s">
        <v>1326</v>
      </c>
      <c r="C6862" s="67">
        <v>0</v>
      </c>
      <c r="D6862" s="67">
        <v>0</v>
      </c>
      <c r="E6862" s="67">
        <v>83900.45</v>
      </c>
      <c r="H6862" s="67" t="s">
        <v>146</v>
      </c>
    </row>
    <row r="6863" spans="1:9" x14ac:dyDescent="0.25">
      <c r="A6863" s="67" t="s">
        <v>233</v>
      </c>
    </row>
    <row r="6865" spans="1:9" x14ac:dyDescent="0.25">
      <c r="A6865" s="67" t="s">
        <v>232</v>
      </c>
      <c r="D6865" s="67" t="s">
        <v>231</v>
      </c>
      <c r="H6865" s="67" t="s">
        <v>148</v>
      </c>
      <c r="I6865" s="67" t="s">
        <v>230</v>
      </c>
    </row>
    <row r="6866" spans="1:9" x14ac:dyDescent="0.25">
      <c r="A6866" s="67">
        <v>41.1</v>
      </c>
      <c r="C6866" s="67" t="s">
        <v>215</v>
      </c>
      <c r="D6866" s="67" t="s">
        <v>229</v>
      </c>
      <c r="H6866" s="70">
        <v>44771</v>
      </c>
      <c r="I6866" s="69">
        <v>0.56736111111111109</v>
      </c>
    </row>
    <row r="6867" spans="1:9" x14ac:dyDescent="0.25">
      <c r="A6867" s="67" t="s">
        <v>228</v>
      </c>
      <c r="C6867" s="67" t="s">
        <v>227</v>
      </c>
      <c r="D6867" s="67" t="s">
        <v>226</v>
      </c>
      <c r="E6867" s="67">
        <v>589</v>
      </c>
      <c r="H6867" s="67" t="s">
        <v>225</v>
      </c>
      <c r="I6867" s="67">
        <v>119</v>
      </c>
    </row>
    <row r="6868" spans="1:9" x14ac:dyDescent="0.25">
      <c r="A6868" s="67" t="s">
        <v>884</v>
      </c>
    </row>
    <row r="6869" spans="1:9" x14ac:dyDescent="0.25">
      <c r="A6869" s="67" t="s">
        <v>223</v>
      </c>
      <c r="B6869" s="67" t="s">
        <v>222</v>
      </c>
      <c r="C6869" s="67" t="s">
        <v>221</v>
      </c>
      <c r="D6869" s="67" t="s">
        <v>220</v>
      </c>
      <c r="E6869" s="67" t="s">
        <v>219</v>
      </c>
      <c r="F6869" s="67" t="s">
        <v>217</v>
      </c>
      <c r="G6869" s="67" t="s">
        <v>218</v>
      </c>
      <c r="H6869" s="67" t="s">
        <v>217</v>
      </c>
      <c r="I6869" s="67" t="s">
        <v>216</v>
      </c>
    </row>
    <row r="6870" spans="1:9" x14ac:dyDescent="0.25">
      <c r="A6870" s="67" t="s">
        <v>215</v>
      </c>
      <c r="B6870" s="67" t="s">
        <v>214</v>
      </c>
      <c r="C6870" s="67" t="s">
        <v>213</v>
      </c>
      <c r="D6870" s="67" t="s">
        <v>212</v>
      </c>
      <c r="E6870" s="67" t="s">
        <v>211</v>
      </c>
      <c r="F6870" s="67" t="s">
        <v>210</v>
      </c>
      <c r="G6870" s="67" t="s">
        <v>209</v>
      </c>
      <c r="H6870" s="67" t="s">
        <v>208</v>
      </c>
      <c r="I6870" s="67" t="s">
        <v>207</v>
      </c>
    </row>
    <row r="6871" spans="1:9" x14ac:dyDescent="0.25">
      <c r="A6871" s="67" t="s">
        <v>206</v>
      </c>
      <c r="B6871" s="67" t="s">
        <v>205</v>
      </c>
      <c r="C6871" s="67" t="s">
        <v>204</v>
      </c>
      <c r="D6871" s="67" t="s">
        <v>203</v>
      </c>
      <c r="E6871" s="67" t="s">
        <v>202</v>
      </c>
      <c r="F6871" s="67" t="s">
        <v>201</v>
      </c>
      <c r="G6871" s="67" t="s">
        <v>200</v>
      </c>
      <c r="H6871" s="67" t="s">
        <v>199</v>
      </c>
    </row>
    <row r="6872" spans="1:9" x14ac:dyDescent="0.25">
      <c r="A6872" s="67" t="s">
        <v>1325</v>
      </c>
      <c r="B6872" s="67" t="s">
        <v>1324</v>
      </c>
      <c r="C6872" s="67">
        <v>0</v>
      </c>
      <c r="D6872" s="67">
        <v>0</v>
      </c>
      <c r="E6872" s="67">
        <v>83900.41</v>
      </c>
      <c r="F6872" s="67">
        <v>25250</v>
      </c>
      <c r="H6872" s="68">
        <v>40764</v>
      </c>
      <c r="I6872" s="67" t="s">
        <v>148</v>
      </c>
    </row>
    <row r="6873" spans="1:9" x14ac:dyDescent="0.25">
      <c r="B6873" s="67" t="s">
        <v>1324</v>
      </c>
      <c r="C6873" s="67">
        <v>0</v>
      </c>
      <c r="D6873" s="67">
        <v>0</v>
      </c>
      <c r="E6873" s="67">
        <v>83900.45</v>
      </c>
      <c r="H6873" s="67" t="s">
        <v>146</v>
      </c>
    </row>
    <row r="6875" spans="1:9" x14ac:dyDescent="0.25">
      <c r="A6875" s="67" t="s">
        <v>1323</v>
      </c>
      <c r="B6875" s="67" t="s">
        <v>1322</v>
      </c>
      <c r="C6875" s="67">
        <v>0</v>
      </c>
      <c r="D6875" s="67">
        <v>0</v>
      </c>
      <c r="E6875" s="67">
        <v>83900.41</v>
      </c>
      <c r="F6875" s="67">
        <v>25250</v>
      </c>
      <c r="H6875" s="68">
        <v>40764</v>
      </c>
      <c r="I6875" s="67" t="s">
        <v>148</v>
      </c>
    </row>
    <row r="6876" spans="1:9" x14ac:dyDescent="0.25">
      <c r="B6876" s="67" t="s">
        <v>1322</v>
      </c>
      <c r="C6876" s="67">
        <v>0</v>
      </c>
      <c r="D6876" s="67">
        <v>0</v>
      </c>
      <c r="E6876" s="67">
        <v>83900.45</v>
      </c>
      <c r="H6876" s="67" t="s">
        <v>146</v>
      </c>
    </row>
    <row r="6878" spans="1:9" x14ac:dyDescent="0.25">
      <c r="A6878" s="67" t="s">
        <v>1321</v>
      </c>
      <c r="B6878" s="67" t="s">
        <v>1320</v>
      </c>
      <c r="C6878" s="67">
        <v>0</v>
      </c>
      <c r="D6878" s="67">
        <v>0</v>
      </c>
      <c r="E6878" s="67">
        <v>83900.41</v>
      </c>
      <c r="F6878" s="67">
        <v>25250</v>
      </c>
      <c r="H6878" s="68">
        <v>40764</v>
      </c>
      <c r="I6878" s="67" t="s">
        <v>148</v>
      </c>
    </row>
    <row r="6879" spans="1:9" x14ac:dyDescent="0.25">
      <c r="B6879" s="67" t="s">
        <v>1320</v>
      </c>
      <c r="C6879" s="67">
        <v>0</v>
      </c>
      <c r="D6879" s="67">
        <v>0</v>
      </c>
      <c r="E6879" s="67">
        <v>83900.45</v>
      </c>
      <c r="H6879" s="67" t="s">
        <v>146</v>
      </c>
    </row>
    <row r="6881" spans="1:9" x14ac:dyDescent="0.25">
      <c r="A6881" s="67" t="s">
        <v>1319</v>
      </c>
      <c r="B6881" s="67" t="s">
        <v>1318</v>
      </c>
      <c r="C6881" s="67">
        <v>0</v>
      </c>
      <c r="D6881" s="67">
        <v>0</v>
      </c>
      <c r="E6881" s="67">
        <v>83900.41</v>
      </c>
      <c r="F6881" s="67">
        <v>25250</v>
      </c>
      <c r="H6881" s="68">
        <v>40764</v>
      </c>
      <c r="I6881" s="67" t="s">
        <v>148</v>
      </c>
    </row>
    <row r="6882" spans="1:9" x14ac:dyDescent="0.25">
      <c r="B6882" s="67" t="s">
        <v>1318</v>
      </c>
      <c r="C6882" s="67">
        <v>0</v>
      </c>
      <c r="D6882" s="67">
        <v>0</v>
      </c>
      <c r="E6882" s="67">
        <v>83900.45</v>
      </c>
      <c r="H6882" s="67" t="s">
        <v>146</v>
      </c>
    </row>
    <row r="6884" spans="1:9" x14ac:dyDescent="0.25">
      <c r="A6884" s="67" t="s">
        <v>1317</v>
      </c>
      <c r="B6884" s="67" t="s">
        <v>1316</v>
      </c>
      <c r="C6884" s="67">
        <v>0</v>
      </c>
      <c r="D6884" s="67">
        <v>0</v>
      </c>
      <c r="E6884" s="67">
        <v>83900.41</v>
      </c>
      <c r="F6884" s="67">
        <v>25250</v>
      </c>
      <c r="H6884" s="68">
        <v>40764</v>
      </c>
      <c r="I6884" s="67" t="s">
        <v>148</v>
      </c>
    </row>
    <row r="6885" spans="1:9" x14ac:dyDescent="0.25">
      <c r="B6885" s="67" t="s">
        <v>1316</v>
      </c>
      <c r="C6885" s="67">
        <v>0</v>
      </c>
      <c r="D6885" s="67">
        <v>0</v>
      </c>
      <c r="E6885" s="67">
        <v>83900.45</v>
      </c>
      <c r="H6885" s="67" t="s">
        <v>146</v>
      </c>
    </row>
    <row r="6887" spans="1:9" x14ac:dyDescent="0.25">
      <c r="A6887" s="67" t="s">
        <v>1315</v>
      </c>
      <c r="B6887" s="67" t="s">
        <v>1314</v>
      </c>
      <c r="C6887" s="67">
        <v>0</v>
      </c>
      <c r="D6887" s="67">
        <v>0</v>
      </c>
      <c r="E6887" s="67">
        <v>83900.41</v>
      </c>
      <c r="F6887" s="67">
        <v>25250</v>
      </c>
      <c r="H6887" s="68">
        <v>40764</v>
      </c>
      <c r="I6887" s="67" t="s">
        <v>148</v>
      </c>
    </row>
    <row r="6888" spans="1:9" x14ac:dyDescent="0.25">
      <c r="B6888" s="67" t="s">
        <v>1314</v>
      </c>
      <c r="C6888" s="67">
        <v>0</v>
      </c>
      <c r="D6888" s="67">
        <v>0</v>
      </c>
      <c r="E6888" s="67">
        <v>83900.45</v>
      </c>
      <c r="H6888" s="67" t="s">
        <v>146</v>
      </c>
    </row>
    <row r="6890" spans="1:9" x14ac:dyDescent="0.25">
      <c r="A6890" s="67" t="s">
        <v>1313</v>
      </c>
      <c r="B6890" s="67" t="s">
        <v>1312</v>
      </c>
      <c r="C6890" s="67">
        <v>0</v>
      </c>
      <c r="D6890" s="67">
        <v>0</v>
      </c>
      <c r="E6890" s="67">
        <v>83900.41</v>
      </c>
      <c r="F6890" s="67">
        <v>25250</v>
      </c>
      <c r="H6890" s="68">
        <v>40764</v>
      </c>
      <c r="I6890" s="67" t="s">
        <v>148</v>
      </c>
    </row>
    <row r="6891" spans="1:9" x14ac:dyDescent="0.25">
      <c r="B6891" s="67" t="s">
        <v>1312</v>
      </c>
      <c r="C6891" s="67">
        <v>0</v>
      </c>
      <c r="D6891" s="67">
        <v>0</v>
      </c>
      <c r="E6891" s="67">
        <v>83900.45</v>
      </c>
      <c r="H6891" s="67" t="s">
        <v>146</v>
      </c>
    </row>
    <row r="6893" spans="1:9" x14ac:dyDescent="0.25">
      <c r="A6893" s="67" t="s">
        <v>1311</v>
      </c>
      <c r="B6893" s="67" t="s">
        <v>1310</v>
      </c>
      <c r="C6893" s="67">
        <v>0</v>
      </c>
      <c r="D6893" s="67">
        <v>0</v>
      </c>
      <c r="E6893" s="67">
        <v>83900.41</v>
      </c>
      <c r="F6893" s="67">
        <v>25250</v>
      </c>
      <c r="H6893" s="68">
        <v>40764</v>
      </c>
      <c r="I6893" s="67" t="s">
        <v>148</v>
      </c>
    </row>
    <row r="6894" spans="1:9" x14ac:dyDescent="0.25">
      <c r="B6894" s="67" t="s">
        <v>1310</v>
      </c>
      <c r="C6894" s="67">
        <v>0</v>
      </c>
      <c r="D6894" s="67">
        <v>0</v>
      </c>
      <c r="E6894" s="67">
        <v>83900.45</v>
      </c>
      <c r="H6894" s="67" t="s">
        <v>146</v>
      </c>
    </row>
    <row r="6896" spans="1:9" x14ac:dyDescent="0.25">
      <c r="A6896" s="67" t="s">
        <v>1309</v>
      </c>
      <c r="B6896" s="67" t="s">
        <v>1308</v>
      </c>
      <c r="C6896" s="67">
        <v>0</v>
      </c>
      <c r="D6896" s="67">
        <v>0</v>
      </c>
      <c r="E6896" s="67">
        <v>83900.41</v>
      </c>
      <c r="F6896" s="67">
        <v>25250</v>
      </c>
      <c r="H6896" s="68">
        <v>40764</v>
      </c>
      <c r="I6896" s="67" t="s">
        <v>148</v>
      </c>
    </row>
    <row r="6897" spans="1:9" x14ac:dyDescent="0.25">
      <c r="B6897" s="67" t="s">
        <v>1308</v>
      </c>
      <c r="C6897" s="67">
        <v>0</v>
      </c>
      <c r="D6897" s="67">
        <v>0</v>
      </c>
      <c r="E6897" s="67">
        <v>83900.45</v>
      </c>
      <c r="H6897" s="67" t="s">
        <v>146</v>
      </c>
    </row>
    <row r="6899" spans="1:9" x14ac:dyDescent="0.25">
      <c r="A6899" s="67" t="s">
        <v>1307</v>
      </c>
      <c r="B6899" s="67" t="s">
        <v>1306</v>
      </c>
      <c r="C6899" s="67">
        <v>0</v>
      </c>
      <c r="D6899" s="67">
        <v>0</v>
      </c>
      <c r="E6899" s="67">
        <v>83900.41</v>
      </c>
      <c r="F6899" s="67">
        <v>25250</v>
      </c>
      <c r="H6899" s="68">
        <v>40764</v>
      </c>
      <c r="I6899" s="67" t="s">
        <v>148</v>
      </c>
    </row>
    <row r="6900" spans="1:9" x14ac:dyDescent="0.25">
      <c r="B6900" s="67" t="s">
        <v>1306</v>
      </c>
      <c r="C6900" s="67">
        <v>0</v>
      </c>
      <c r="D6900" s="67">
        <v>0</v>
      </c>
      <c r="E6900" s="67">
        <v>83900.45</v>
      </c>
      <c r="H6900" s="67" t="s">
        <v>146</v>
      </c>
    </row>
    <row r="6902" spans="1:9" x14ac:dyDescent="0.25">
      <c r="A6902" s="67" t="s">
        <v>1305</v>
      </c>
      <c r="B6902" s="67" t="s">
        <v>1304</v>
      </c>
      <c r="C6902" s="67">
        <v>0</v>
      </c>
      <c r="D6902" s="67">
        <v>0</v>
      </c>
      <c r="E6902" s="67">
        <v>83900.41</v>
      </c>
      <c r="F6902" s="67">
        <v>25250</v>
      </c>
      <c r="H6902" s="68">
        <v>40764</v>
      </c>
      <c r="I6902" s="67" t="s">
        <v>148</v>
      </c>
    </row>
    <row r="6903" spans="1:9" x14ac:dyDescent="0.25">
      <c r="B6903" s="67" t="s">
        <v>1304</v>
      </c>
      <c r="C6903" s="67">
        <v>0</v>
      </c>
      <c r="D6903" s="67">
        <v>0</v>
      </c>
      <c r="E6903" s="67">
        <v>83900.45</v>
      </c>
      <c r="H6903" s="67" t="s">
        <v>146</v>
      </c>
    </row>
    <row r="6905" spans="1:9" x14ac:dyDescent="0.25">
      <c r="A6905" s="67" t="s">
        <v>1303</v>
      </c>
      <c r="B6905" s="67" t="s">
        <v>1302</v>
      </c>
      <c r="C6905" s="67">
        <v>0</v>
      </c>
      <c r="D6905" s="67">
        <v>0</v>
      </c>
      <c r="E6905" s="67">
        <v>83900.41</v>
      </c>
      <c r="F6905" s="67">
        <v>25250</v>
      </c>
      <c r="H6905" s="68">
        <v>40764</v>
      </c>
      <c r="I6905" s="67" t="s">
        <v>148</v>
      </c>
    </row>
    <row r="6906" spans="1:9" x14ac:dyDescent="0.25">
      <c r="B6906" s="67" t="s">
        <v>1302</v>
      </c>
      <c r="C6906" s="67">
        <v>0</v>
      </c>
      <c r="D6906" s="67">
        <v>0</v>
      </c>
      <c r="E6906" s="67">
        <v>83900.45</v>
      </c>
      <c r="H6906" s="67" t="s">
        <v>146</v>
      </c>
    </row>
    <row r="6908" spans="1:9" x14ac:dyDescent="0.25">
      <c r="A6908" s="67" t="s">
        <v>1301</v>
      </c>
      <c r="B6908" s="67" t="s">
        <v>1300</v>
      </c>
      <c r="C6908" s="67">
        <v>0</v>
      </c>
      <c r="D6908" s="67">
        <v>0</v>
      </c>
      <c r="E6908" s="67">
        <v>83900.41</v>
      </c>
      <c r="F6908" s="67">
        <v>25250</v>
      </c>
      <c r="H6908" s="68">
        <v>40764</v>
      </c>
      <c r="I6908" s="67" t="s">
        <v>148</v>
      </c>
    </row>
    <row r="6909" spans="1:9" x14ac:dyDescent="0.25">
      <c r="B6909" s="67" t="s">
        <v>1300</v>
      </c>
      <c r="C6909" s="67">
        <v>0</v>
      </c>
      <c r="D6909" s="67">
        <v>0</v>
      </c>
      <c r="E6909" s="67">
        <v>83900.45</v>
      </c>
      <c r="H6909" s="67" t="s">
        <v>146</v>
      </c>
    </row>
    <row r="6911" spans="1:9" x14ac:dyDescent="0.25">
      <c r="A6911" s="67" t="s">
        <v>1299</v>
      </c>
      <c r="B6911" s="67" t="s">
        <v>1298</v>
      </c>
      <c r="C6911" s="67">
        <v>0</v>
      </c>
      <c r="D6911" s="67">
        <v>0</v>
      </c>
      <c r="E6911" s="67">
        <v>83900.41</v>
      </c>
      <c r="F6911" s="67">
        <v>25250</v>
      </c>
      <c r="H6911" s="68">
        <v>40764</v>
      </c>
      <c r="I6911" s="67" t="s">
        <v>148</v>
      </c>
    </row>
    <row r="6912" spans="1:9" x14ac:dyDescent="0.25">
      <c r="B6912" s="67" t="s">
        <v>1298</v>
      </c>
      <c r="C6912" s="67">
        <v>0</v>
      </c>
      <c r="D6912" s="67">
        <v>0</v>
      </c>
      <c r="E6912" s="67">
        <v>83900.45</v>
      </c>
      <c r="H6912" s="67" t="s">
        <v>146</v>
      </c>
    </row>
    <row r="6914" spans="1:9" x14ac:dyDescent="0.25">
      <c r="A6914" s="67" t="s">
        <v>1297</v>
      </c>
      <c r="B6914" s="67" t="s">
        <v>1296</v>
      </c>
      <c r="C6914" s="67">
        <v>0</v>
      </c>
      <c r="D6914" s="67">
        <v>0</v>
      </c>
      <c r="E6914" s="67">
        <v>83900.41</v>
      </c>
      <c r="F6914" s="67">
        <v>25250</v>
      </c>
      <c r="H6914" s="68">
        <v>40764</v>
      </c>
      <c r="I6914" s="67" t="s">
        <v>148</v>
      </c>
    </row>
    <row r="6915" spans="1:9" x14ac:dyDescent="0.25">
      <c r="B6915" s="67" t="s">
        <v>1296</v>
      </c>
      <c r="C6915" s="67">
        <v>0</v>
      </c>
      <c r="D6915" s="67">
        <v>0</v>
      </c>
      <c r="E6915" s="67">
        <v>83900.45</v>
      </c>
      <c r="H6915" s="67" t="s">
        <v>146</v>
      </c>
    </row>
    <row r="6917" spans="1:9" x14ac:dyDescent="0.25">
      <c r="A6917" s="67" t="s">
        <v>1295</v>
      </c>
      <c r="B6917" s="67" t="s">
        <v>1294</v>
      </c>
      <c r="C6917" s="67">
        <v>0</v>
      </c>
      <c r="D6917" s="67">
        <v>0</v>
      </c>
      <c r="E6917" s="67">
        <v>83900.41</v>
      </c>
      <c r="F6917" s="67">
        <v>25250</v>
      </c>
      <c r="H6917" s="68">
        <v>40764</v>
      </c>
      <c r="I6917" s="67" t="s">
        <v>148</v>
      </c>
    </row>
    <row r="6918" spans="1:9" x14ac:dyDescent="0.25">
      <c r="B6918" s="67" t="s">
        <v>1294</v>
      </c>
      <c r="C6918" s="67">
        <v>0</v>
      </c>
      <c r="D6918" s="67">
        <v>0</v>
      </c>
      <c r="E6918" s="67">
        <v>83900.45</v>
      </c>
      <c r="H6918" s="67" t="s">
        <v>146</v>
      </c>
    </row>
    <row r="6920" spans="1:9" x14ac:dyDescent="0.25">
      <c r="A6920" s="67" t="s">
        <v>1293</v>
      </c>
      <c r="B6920" s="67" t="s">
        <v>1292</v>
      </c>
      <c r="C6920" s="67">
        <v>0</v>
      </c>
      <c r="D6920" s="67">
        <v>0</v>
      </c>
      <c r="E6920" s="67">
        <v>83900.41</v>
      </c>
      <c r="F6920" s="67">
        <v>25250</v>
      </c>
      <c r="H6920" s="68">
        <v>40764</v>
      </c>
      <c r="I6920" s="67" t="s">
        <v>148</v>
      </c>
    </row>
    <row r="6921" spans="1:9" x14ac:dyDescent="0.25">
      <c r="B6921" s="67" t="s">
        <v>1292</v>
      </c>
      <c r="C6921" s="67">
        <v>0</v>
      </c>
      <c r="D6921" s="67">
        <v>0</v>
      </c>
      <c r="E6921" s="67">
        <v>83900.45</v>
      </c>
      <c r="H6921" s="67" t="s">
        <v>146</v>
      </c>
    </row>
    <row r="6922" spans="1:9" x14ac:dyDescent="0.25">
      <c r="A6922" s="67" t="s">
        <v>233</v>
      </c>
    </row>
    <row r="6924" spans="1:9" x14ac:dyDescent="0.25">
      <c r="A6924" s="67" t="s">
        <v>232</v>
      </c>
      <c r="D6924" s="67" t="s">
        <v>231</v>
      </c>
      <c r="H6924" s="67" t="s">
        <v>148</v>
      </c>
      <c r="I6924" s="67" t="s">
        <v>230</v>
      </c>
    </row>
    <row r="6925" spans="1:9" x14ac:dyDescent="0.25">
      <c r="A6925" s="67">
        <v>41.1</v>
      </c>
      <c r="C6925" s="67" t="s">
        <v>215</v>
      </c>
      <c r="D6925" s="67" t="s">
        <v>229</v>
      </c>
      <c r="H6925" s="70">
        <v>44771</v>
      </c>
      <c r="I6925" s="69">
        <v>0.56736111111111109</v>
      </c>
    </row>
    <row r="6926" spans="1:9" x14ac:dyDescent="0.25">
      <c r="A6926" s="67" t="s">
        <v>228</v>
      </c>
      <c r="C6926" s="67" t="s">
        <v>227</v>
      </c>
      <c r="D6926" s="67" t="s">
        <v>226</v>
      </c>
      <c r="E6926" s="67">
        <v>589</v>
      </c>
      <c r="H6926" s="67" t="s">
        <v>225</v>
      </c>
      <c r="I6926" s="67">
        <v>120</v>
      </c>
    </row>
    <row r="6927" spans="1:9" x14ac:dyDescent="0.25">
      <c r="A6927" s="67" t="s">
        <v>884</v>
      </c>
    </row>
    <row r="6928" spans="1:9" x14ac:dyDescent="0.25">
      <c r="A6928" s="67" t="s">
        <v>223</v>
      </c>
      <c r="B6928" s="67" t="s">
        <v>222</v>
      </c>
      <c r="C6928" s="67" t="s">
        <v>221</v>
      </c>
      <c r="D6928" s="67" t="s">
        <v>220</v>
      </c>
      <c r="E6928" s="67" t="s">
        <v>219</v>
      </c>
      <c r="F6928" s="67" t="s">
        <v>217</v>
      </c>
      <c r="G6928" s="67" t="s">
        <v>218</v>
      </c>
      <c r="H6928" s="67" t="s">
        <v>217</v>
      </c>
      <c r="I6928" s="67" t="s">
        <v>216</v>
      </c>
    </row>
    <row r="6929" spans="1:9" x14ac:dyDescent="0.25">
      <c r="A6929" s="67" t="s">
        <v>215</v>
      </c>
      <c r="B6929" s="67" t="s">
        <v>214</v>
      </c>
      <c r="C6929" s="67" t="s">
        <v>213</v>
      </c>
      <c r="D6929" s="67" t="s">
        <v>212</v>
      </c>
      <c r="E6929" s="67" t="s">
        <v>211</v>
      </c>
      <c r="F6929" s="67" t="s">
        <v>210</v>
      </c>
      <c r="G6929" s="67" t="s">
        <v>209</v>
      </c>
      <c r="H6929" s="67" t="s">
        <v>208</v>
      </c>
      <c r="I6929" s="67" t="s">
        <v>207</v>
      </c>
    </row>
    <row r="6930" spans="1:9" x14ac:dyDescent="0.25">
      <c r="A6930" s="67" t="s">
        <v>206</v>
      </c>
      <c r="B6930" s="67" t="s">
        <v>205</v>
      </c>
      <c r="C6930" s="67" t="s">
        <v>204</v>
      </c>
      <c r="D6930" s="67" t="s">
        <v>203</v>
      </c>
      <c r="E6930" s="67" t="s">
        <v>202</v>
      </c>
      <c r="F6930" s="67" t="s">
        <v>201</v>
      </c>
      <c r="G6930" s="67" t="s">
        <v>200</v>
      </c>
      <c r="H6930" s="67" t="s">
        <v>199</v>
      </c>
    </row>
    <row r="6931" spans="1:9" x14ac:dyDescent="0.25">
      <c r="A6931" s="67" t="s">
        <v>1291</v>
      </c>
      <c r="B6931" s="67" t="s">
        <v>1290</v>
      </c>
      <c r="C6931" s="67">
        <v>0</v>
      </c>
      <c r="D6931" s="67">
        <v>0</v>
      </c>
      <c r="E6931" s="67">
        <v>83900.41</v>
      </c>
      <c r="F6931" s="67">
        <v>25250</v>
      </c>
      <c r="H6931" s="68">
        <v>40764</v>
      </c>
      <c r="I6931" s="67" t="s">
        <v>148</v>
      </c>
    </row>
    <row r="6932" spans="1:9" x14ac:dyDescent="0.25">
      <c r="B6932" s="67" t="s">
        <v>1290</v>
      </c>
      <c r="C6932" s="67">
        <v>0</v>
      </c>
      <c r="D6932" s="67">
        <v>0</v>
      </c>
      <c r="E6932" s="67">
        <v>83900.45</v>
      </c>
      <c r="H6932" s="67" t="s">
        <v>146</v>
      </c>
    </row>
    <row r="6934" spans="1:9" x14ac:dyDescent="0.25">
      <c r="A6934" s="67" t="s">
        <v>1289</v>
      </c>
      <c r="B6934" s="67" t="s">
        <v>1288</v>
      </c>
      <c r="C6934" s="67">
        <v>0</v>
      </c>
      <c r="D6934" s="67">
        <v>0</v>
      </c>
      <c r="E6934" s="67">
        <v>83900.41</v>
      </c>
      <c r="F6934" s="67">
        <v>25250</v>
      </c>
      <c r="H6934" s="68">
        <v>40764</v>
      </c>
      <c r="I6934" s="67" t="s">
        <v>148</v>
      </c>
    </row>
    <row r="6935" spans="1:9" x14ac:dyDescent="0.25">
      <c r="B6935" s="67" t="s">
        <v>1288</v>
      </c>
      <c r="C6935" s="67">
        <v>0</v>
      </c>
      <c r="D6935" s="67">
        <v>0</v>
      </c>
      <c r="E6935" s="67">
        <v>83900.45</v>
      </c>
      <c r="H6935" s="67" t="s">
        <v>146</v>
      </c>
    </row>
    <row r="6937" spans="1:9" x14ac:dyDescent="0.25">
      <c r="A6937" s="67" t="s">
        <v>1287</v>
      </c>
      <c r="B6937" s="67" t="s">
        <v>1286</v>
      </c>
      <c r="C6937" s="67">
        <v>0</v>
      </c>
      <c r="D6937" s="67">
        <v>0</v>
      </c>
      <c r="E6937" s="67">
        <v>83900.41</v>
      </c>
      <c r="F6937" s="67">
        <v>25250</v>
      </c>
      <c r="H6937" s="68">
        <v>40764</v>
      </c>
      <c r="I6937" s="67" t="s">
        <v>148</v>
      </c>
    </row>
    <row r="6938" spans="1:9" x14ac:dyDescent="0.25">
      <c r="B6938" s="67" t="s">
        <v>1286</v>
      </c>
      <c r="C6938" s="67">
        <v>0</v>
      </c>
      <c r="D6938" s="67">
        <v>0</v>
      </c>
      <c r="E6938" s="67">
        <v>83900.45</v>
      </c>
      <c r="H6938" s="67" t="s">
        <v>146</v>
      </c>
    </row>
    <row r="6940" spans="1:9" x14ac:dyDescent="0.25">
      <c r="A6940" s="67" t="s">
        <v>1285</v>
      </c>
      <c r="B6940" s="67" t="s">
        <v>1284</v>
      </c>
      <c r="C6940" s="67">
        <v>0</v>
      </c>
      <c r="D6940" s="67">
        <v>0</v>
      </c>
      <c r="E6940" s="67">
        <v>83900.41</v>
      </c>
      <c r="F6940" s="67">
        <v>25250</v>
      </c>
      <c r="H6940" s="68">
        <v>40764</v>
      </c>
      <c r="I6940" s="67" t="s">
        <v>148</v>
      </c>
    </row>
    <row r="6941" spans="1:9" x14ac:dyDescent="0.25">
      <c r="B6941" s="67" t="s">
        <v>1284</v>
      </c>
      <c r="C6941" s="67">
        <v>0</v>
      </c>
      <c r="D6941" s="67">
        <v>0</v>
      </c>
      <c r="E6941" s="67">
        <v>83900.45</v>
      </c>
      <c r="H6941" s="67" t="s">
        <v>146</v>
      </c>
    </row>
    <row r="6943" spans="1:9" x14ac:dyDescent="0.25">
      <c r="A6943" s="67" t="s">
        <v>1283</v>
      </c>
      <c r="B6943" s="67" t="s">
        <v>1282</v>
      </c>
      <c r="C6943" s="67">
        <v>0</v>
      </c>
      <c r="D6943" s="67">
        <v>0</v>
      </c>
      <c r="E6943" s="67">
        <v>83900.41</v>
      </c>
      <c r="F6943" s="67">
        <v>25250</v>
      </c>
      <c r="H6943" s="68">
        <v>40764</v>
      </c>
      <c r="I6943" s="67" t="s">
        <v>148</v>
      </c>
    </row>
    <row r="6944" spans="1:9" x14ac:dyDescent="0.25">
      <c r="B6944" s="67" t="s">
        <v>1282</v>
      </c>
      <c r="C6944" s="67">
        <v>0</v>
      </c>
      <c r="D6944" s="67">
        <v>0</v>
      </c>
      <c r="E6944" s="67">
        <v>83900.45</v>
      </c>
      <c r="H6944" s="67" t="s">
        <v>146</v>
      </c>
    </row>
    <row r="6946" spans="1:9" x14ac:dyDescent="0.25">
      <c r="A6946" s="67" t="s">
        <v>1281</v>
      </c>
      <c r="B6946" s="67" t="s">
        <v>1280</v>
      </c>
      <c r="C6946" s="67">
        <v>0</v>
      </c>
      <c r="D6946" s="67">
        <v>0</v>
      </c>
      <c r="E6946" s="67">
        <v>83900.41</v>
      </c>
      <c r="F6946" s="67">
        <v>25250</v>
      </c>
      <c r="H6946" s="68">
        <v>40764</v>
      </c>
      <c r="I6946" s="67" t="s">
        <v>148</v>
      </c>
    </row>
    <row r="6947" spans="1:9" x14ac:dyDescent="0.25">
      <c r="B6947" s="67" t="s">
        <v>1280</v>
      </c>
      <c r="C6947" s="67">
        <v>0</v>
      </c>
      <c r="D6947" s="67">
        <v>0</v>
      </c>
      <c r="E6947" s="67">
        <v>83900.45</v>
      </c>
      <c r="H6947" s="67" t="s">
        <v>146</v>
      </c>
    </row>
    <row r="6949" spans="1:9" x14ac:dyDescent="0.25">
      <c r="A6949" s="67" t="s">
        <v>1279</v>
      </c>
      <c r="B6949" s="67" t="s">
        <v>1278</v>
      </c>
      <c r="C6949" s="67">
        <v>0</v>
      </c>
      <c r="D6949" s="67">
        <v>0</v>
      </c>
      <c r="E6949" s="67">
        <v>83900.41</v>
      </c>
      <c r="F6949" s="67">
        <v>25250</v>
      </c>
      <c r="H6949" s="68">
        <v>40764</v>
      </c>
      <c r="I6949" s="67" t="s">
        <v>148</v>
      </c>
    </row>
    <row r="6950" spans="1:9" x14ac:dyDescent="0.25">
      <c r="B6950" s="67" t="s">
        <v>1278</v>
      </c>
      <c r="C6950" s="67">
        <v>0</v>
      </c>
      <c r="D6950" s="67">
        <v>0</v>
      </c>
      <c r="E6950" s="67">
        <v>83900.45</v>
      </c>
      <c r="H6950" s="67" t="s">
        <v>146</v>
      </c>
    </row>
    <row r="6952" spans="1:9" x14ac:dyDescent="0.25">
      <c r="A6952" s="67" t="s">
        <v>1277</v>
      </c>
      <c r="B6952" s="67" t="s">
        <v>1276</v>
      </c>
      <c r="C6952" s="67">
        <v>0</v>
      </c>
      <c r="D6952" s="67">
        <v>0</v>
      </c>
      <c r="E6952" s="67">
        <v>83900.41</v>
      </c>
      <c r="F6952" s="67">
        <v>25250</v>
      </c>
      <c r="H6952" s="68">
        <v>40764</v>
      </c>
      <c r="I6952" s="67" t="s">
        <v>148</v>
      </c>
    </row>
    <row r="6953" spans="1:9" x14ac:dyDescent="0.25">
      <c r="B6953" s="67" t="s">
        <v>1276</v>
      </c>
      <c r="C6953" s="67">
        <v>0</v>
      </c>
      <c r="D6953" s="67">
        <v>0</v>
      </c>
      <c r="E6953" s="67">
        <v>83900.45</v>
      </c>
      <c r="H6953" s="67" t="s">
        <v>146</v>
      </c>
    </row>
    <row r="6955" spans="1:9" x14ac:dyDescent="0.25">
      <c r="A6955" s="67" t="s">
        <v>1275</v>
      </c>
      <c r="B6955" s="67" t="s">
        <v>1274</v>
      </c>
      <c r="C6955" s="67">
        <v>0</v>
      </c>
      <c r="D6955" s="67">
        <v>0</v>
      </c>
      <c r="E6955" s="67">
        <v>83900.41</v>
      </c>
      <c r="F6955" s="67">
        <v>25250</v>
      </c>
      <c r="H6955" s="68">
        <v>40764</v>
      </c>
      <c r="I6955" s="67" t="s">
        <v>148</v>
      </c>
    </row>
    <row r="6956" spans="1:9" x14ac:dyDescent="0.25">
      <c r="B6956" s="67" t="s">
        <v>1274</v>
      </c>
      <c r="C6956" s="67">
        <v>0</v>
      </c>
      <c r="D6956" s="67">
        <v>0</v>
      </c>
      <c r="E6956" s="67">
        <v>83900.45</v>
      </c>
      <c r="H6956" s="67" t="s">
        <v>146</v>
      </c>
    </row>
    <row r="6958" spans="1:9" x14ac:dyDescent="0.25">
      <c r="A6958" s="67" t="s">
        <v>1273</v>
      </c>
      <c r="B6958" s="67" t="s">
        <v>1272</v>
      </c>
      <c r="C6958" s="67">
        <v>0</v>
      </c>
      <c r="D6958" s="67">
        <v>0</v>
      </c>
      <c r="E6958" s="67">
        <v>83900.41</v>
      </c>
      <c r="F6958" s="67">
        <v>25250</v>
      </c>
      <c r="H6958" s="68">
        <v>40764</v>
      </c>
      <c r="I6958" s="67" t="s">
        <v>148</v>
      </c>
    </row>
    <row r="6959" spans="1:9" x14ac:dyDescent="0.25">
      <c r="B6959" s="67" t="s">
        <v>1272</v>
      </c>
      <c r="C6959" s="67">
        <v>0</v>
      </c>
      <c r="D6959" s="67">
        <v>0</v>
      </c>
      <c r="E6959" s="67">
        <v>83900.45</v>
      </c>
      <c r="H6959" s="67" t="s">
        <v>146</v>
      </c>
    </row>
    <row r="6961" spans="1:9" x14ac:dyDescent="0.25">
      <c r="A6961" s="67" t="s">
        <v>1271</v>
      </c>
      <c r="B6961" s="67" t="s">
        <v>1270</v>
      </c>
      <c r="C6961" s="67">
        <v>0</v>
      </c>
      <c r="D6961" s="67">
        <v>0</v>
      </c>
      <c r="E6961" s="67">
        <v>83900.41</v>
      </c>
      <c r="F6961" s="67">
        <v>25250</v>
      </c>
      <c r="H6961" s="68">
        <v>40764</v>
      </c>
      <c r="I6961" s="67" t="s">
        <v>148</v>
      </c>
    </row>
    <row r="6962" spans="1:9" x14ac:dyDescent="0.25">
      <c r="B6962" s="67" t="s">
        <v>1270</v>
      </c>
      <c r="C6962" s="67">
        <v>0</v>
      </c>
      <c r="D6962" s="67">
        <v>0</v>
      </c>
      <c r="E6962" s="67">
        <v>83900.45</v>
      </c>
      <c r="H6962" s="67" t="s">
        <v>146</v>
      </c>
    </row>
    <row r="6964" spans="1:9" x14ac:dyDescent="0.25">
      <c r="A6964" s="67" t="s">
        <v>1269</v>
      </c>
      <c r="B6964" s="67" t="s">
        <v>1268</v>
      </c>
      <c r="C6964" s="67">
        <v>0</v>
      </c>
      <c r="D6964" s="67">
        <v>0</v>
      </c>
      <c r="E6964" s="67">
        <v>83900.41</v>
      </c>
      <c r="F6964" s="67">
        <v>25250</v>
      </c>
      <c r="H6964" s="68">
        <v>40764</v>
      </c>
      <c r="I6964" s="67" t="s">
        <v>148</v>
      </c>
    </row>
    <row r="6965" spans="1:9" x14ac:dyDescent="0.25">
      <c r="B6965" s="67" t="s">
        <v>1268</v>
      </c>
      <c r="C6965" s="67">
        <v>0</v>
      </c>
      <c r="D6965" s="67">
        <v>0</v>
      </c>
      <c r="E6965" s="67">
        <v>83900.45</v>
      </c>
      <c r="H6965" s="67" t="s">
        <v>146</v>
      </c>
    </row>
    <row r="6967" spans="1:9" x14ac:dyDescent="0.25">
      <c r="A6967" s="67" t="s">
        <v>1267</v>
      </c>
      <c r="B6967" s="67" t="s">
        <v>1266</v>
      </c>
      <c r="C6967" s="67">
        <v>0</v>
      </c>
      <c r="D6967" s="67">
        <v>0</v>
      </c>
      <c r="E6967" s="67">
        <v>83900.41</v>
      </c>
      <c r="F6967" s="67">
        <v>25250</v>
      </c>
      <c r="H6967" s="68">
        <v>40764</v>
      </c>
      <c r="I6967" s="67" t="s">
        <v>148</v>
      </c>
    </row>
    <row r="6968" spans="1:9" x14ac:dyDescent="0.25">
      <c r="B6968" s="67" t="s">
        <v>1266</v>
      </c>
      <c r="C6968" s="67">
        <v>0</v>
      </c>
      <c r="D6968" s="67">
        <v>0</v>
      </c>
      <c r="E6968" s="67">
        <v>83900.45</v>
      </c>
      <c r="H6968" s="67" t="s">
        <v>146</v>
      </c>
    </row>
    <row r="6970" spans="1:9" x14ac:dyDescent="0.25">
      <c r="A6970" s="67" t="s">
        <v>1265</v>
      </c>
      <c r="B6970" s="67" t="s">
        <v>1264</v>
      </c>
      <c r="C6970" s="67">
        <v>0</v>
      </c>
      <c r="D6970" s="67">
        <v>0</v>
      </c>
      <c r="E6970" s="67">
        <v>83900.41</v>
      </c>
      <c r="F6970" s="67">
        <v>25250</v>
      </c>
      <c r="H6970" s="68">
        <v>40764</v>
      </c>
      <c r="I6970" s="67" t="s">
        <v>148</v>
      </c>
    </row>
    <row r="6971" spans="1:9" x14ac:dyDescent="0.25">
      <c r="B6971" s="67" t="s">
        <v>1264</v>
      </c>
      <c r="C6971" s="67">
        <v>0</v>
      </c>
      <c r="D6971" s="67">
        <v>0</v>
      </c>
      <c r="E6971" s="67">
        <v>83900.45</v>
      </c>
      <c r="H6971" s="67" t="s">
        <v>146</v>
      </c>
    </row>
    <row r="6973" spans="1:9" x14ac:dyDescent="0.25">
      <c r="A6973" s="67" t="s">
        <v>1263</v>
      </c>
      <c r="B6973" s="67" t="s">
        <v>1262</v>
      </c>
      <c r="C6973" s="67">
        <v>0</v>
      </c>
      <c r="D6973" s="67">
        <v>0</v>
      </c>
      <c r="E6973" s="67">
        <v>83900.41</v>
      </c>
      <c r="F6973" s="67">
        <v>25250</v>
      </c>
      <c r="H6973" s="68">
        <v>40764</v>
      </c>
      <c r="I6973" s="67" t="s">
        <v>148</v>
      </c>
    </row>
    <row r="6974" spans="1:9" x14ac:dyDescent="0.25">
      <c r="B6974" s="67" t="s">
        <v>1262</v>
      </c>
      <c r="C6974" s="67">
        <v>0</v>
      </c>
      <c r="D6974" s="67">
        <v>0</v>
      </c>
      <c r="E6974" s="67">
        <v>83900.45</v>
      </c>
      <c r="H6974" s="67" t="s">
        <v>146</v>
      </c>
    </row>
    <row r="6976" spans="1:9" x14ac:dyDescent="0.25">
      <c r="A6976" s="67" t="s">
        <v>1261</v>
      </c>
      <c r="B6976" s="67" t="s">
        <v>1260</v>
      </c>
      <c r="C6976" s="67">
        <v>0</v>
      </c>
      <c r="D6976" s="67">
        <v>0</v>
      </c>
      <c r="E6976" s="67">
        <v>83900.41</v>
      </c>
      <c r="F6976" s="67">
        <v>25250</v>
      </c>
      <c r="H6976" s="68">
        <v>40764</v>
      </c>
      <c r="I6976" s="67" t="s">
        <v>148</v>
      </c>
    </row>
    <row r="6977" spans="1:9" x14ac:dyDescent="0.25">
      <c r="B6977" s="67" t="s">
        <v>1260</v>
      </c>
      <c r="C6977" s="67">
        <v>0</v>
      </c>
      <c r="D6977" s="67">
        <v>0</v>
      </c>
      <c r="E6977" s="67">
        <v>83900.45</v>
      </c>
      <c r="H6977" s="67" t="s">
        <v>146</v>
      </c>
    </row>
    <row r="6979" spans="1:9" x14ac:dyDescent="0.25">
      <c r="A6979" s="67" t="s">
        <v>1259</v>
      </c>
      <c r="B6979" s="67" t="s">
        <v>1258</v>
      </c>
      <c r="C6979" s="67">
        <v>0</v>
      </c>
      <c r="D6979" s="67">
        <v>0</v>
      </c>
      <c r="E6979" s="67">
        <v>83900.41</v>
      </c>
      <c r="F6979" s="67">
        <v>25250</v>
      </c>
      <c r="H6979" s="68">
        <v>40764</v>
      </c>
      <c r="I6979" s="67" t="s">
        <v>148</v>
      </c>
    </row>
    <row r="6980" spans="1:9" x14ac:dyDescent="0.25">
      <c r="B6980" s="67" t="s">
        <v>1258</v>
      </c>
      <c r="C6980" s="67">
        <v>0</v>
      </c>
      <c r="D6980" s="67">
        <v>0</v>
      </c>
      <c r="E6980" s="67">
        <v>83900.45</v>
      </c>
      <c r="H6980" s="67" t="s">
        <v>146</v>
      </c>
    </row>
    <row r="6981" spans="1:9" x14ac:dyDescent="0.25">
      <c r="A6981" s="67" t="s">
        <v>233</v>
      </c>
    </row>
    <row r="6983" spans="1:9" x14ac:dyDescent="0.25">
      <c r="A6983" s="67" t="s">
        <v>232</v>
      </c>
      <c r="D6983" s="67" t="s">
        <v>231</v>
      </c>
      <c r="H6983" s="67" t="s">
        <v>148</v>
      </c>
      <c r="I6983" s="67" t="s">
        <v>230</v>
      </c>
    </row>
    <row r="6984" spans="1:9" x14ac:dyDescent="0.25">
      <c r="A6984" s="67">
        <v>41.1</v>
      </c>
      <c r="C6984" s="67" t="s">
        <v>215</v>
      </c>
      <c r="D6984" s="67" t="s">
        <v>229</v>
      </c>
      <c r="H6984" s="70">
        <v>44771</v>
      </c>
      <c r="I6984" s="69">
        <v>0.56736111111111109</v>
      </c>
    </row>
    <row r="6985" spans="1:9" x14ac:dyDescent="0.25">
      <c r="A6985" s="67" t="s">
        <v>228</v>
      </c>
      <c r="C6985" s="67" t="s">
        <v>227</v>
      </c>
      <c r="D6985" s="67" t="s">
        <v>226</v>
      </c>
      <c r="E6985" s="67">
        <v>589</v>
      </c>
      <c r="H6985" s="67" t="s">
        <v>225</v>
      </c>
      <c r="I6985" s="67">
        <v>121</v>
      </c>
    </row>
    <row r="6986" spans="1:9" x14ac:dyDescent="0.25">
      <c r="A6986" s="67" t="s">
        <v>884</v>
      </c>
    </row>
    <row r="6987" spans="1:9" x14ac:dyDescent="0.25">
      <c r="A6987" s="67" t="s">
        <v>223</v>
      </c>
      <c r="B6987" s="67" t="s">
        <v>222</v>
      </c>
      <c r="C6987" s="67" t="s">
        <v>221</v>
      </c>
      <c r="D6987" s="67" t="s">
        <v>220</v>
      </c>
      <c r="E6987" s="67" t="s">
        <v>219</v>
      </c>
      <c r="F6987" s="67" t="s">
        <v>217</v>
      </c>
      <c r="G6987" s="67" t="s">
        <v>218</v>
      </c>
      <c r="H6987" s="67" t="s">
        <v>217</v>
      </c>
      <c r="I6987" s="67" t="s">
        <v>216</v>
      </c>
    </row>
    <row r="6988" spans="1:9" x14ac:dyDescent="0.25">
      <c r="A6988" s="67" t="s">
        <v>215</v>
      </c>
      <c r="B6988" s="67" t="s">
        <v>214</v>
      </c>
      <c r="C6988" s="67" t="s">
        <v>213</v>
      </c>
      <c r="D6988" s="67" t="s">
        <v>212</v>
      </c>
      <c r="E6988" s="67" t="s">
        <v>211</v>
      </c>
      <c r="F6988" s="67" t="s">
        <v>210</v>
      </c>
      <c r="G6988" s="67" t="s">
        <v>209</v>
      </c>
      <c r="H6988" s="67" t="s">
        <v>208</v>
      </c>
      <c r="I6988" s="67" t="s">
        <v>207</v>
      </c>
    </row>
    <row r="6989" spans="1:9" x14ac:dyDescent="0.25">
      <c r="A6989" s="67" t="s">
        <v>206</v>
      </c>
      <c r="B6989" s="67" t="s">
        <v>205</v>
      </c>
      <c r="C6989" s="67" t="s">
        <v>204</v>
      </c>
      <c r="D6989" s="67" t="s">
        <v>203</v>
      </c>
      <c r="E6989" s="67" t="s">
        <v>202</v>
      </c>
      <c r="F6989" s="67" t="s">
        <v>201</v>
      </c>
      <c r="G6989" s="67" t="s">
        <v>200</v>
      </c>
      <c r="H6989" s="67" t="s">
        <v>199</v>
      </c>
    </row>
    <row r="6990" spans="1:9" x14ac:dyDescent="0.25">
      <c r="A6990" s="67" t="s">
        <v>1257</v>
      </c>
      <c r="B6990" s="67" t="s">
        <v>1256</v>
      </c>
      <c r="C6990" s="67">
        <v>0</v>
      </c>
      <c r="D6990" s="67">
        <v>0</v>
      </c>
      <c r="E6990" s="67">
        <v>83900.41</v>
      </c>
      <c r="F6990" s="67">
        <v>25250</v>
      </c>
      <c r="H6990" s="68">
        <v>40764</v>
      </c>
      <c r="I6990" s="67" t="s">
        <v>148</v>
      </c>
    </row>
    <row r="6991" spans="1:9" x14ac:dyDescent="0.25">
      <c r="B6991" s="67" t="s">
        <v>1256</v>
      </c>
      <c r="C6991" s="67">
        <v>0</v>
      </c>
      <c r="D6991" s="67">
        <v>0</v>
      </c>
      <c r="E6991" s="67">
        <v>83900.45</v>
      </c>
      <c r="H6991" s="67" t="s">
        <v>146</v>
      </c>
    </row>
    <row r="6993" spans="1:9" x14ac:dyDescent="0.25">
      <c r="A6993" s="67" t="s">
        <v>1255</v>
      </c>
      <c r="B6993" s="67" t="s">
        <v>1254</v>
      </c>
      <c r="C6993" s="67">
        <v>0</v>
      </c>
      <c r="D6993" s="67">
        <v>0</v>
      </c>
      <c r="E6993" s="67">
        <v>83900.41</v>
      </c>
      <c r="F6993" s="67">
        <v>25250</v>
      </c>
      <c r="H6993" s="68">
        <v>40764</v>
      </c>
      <c r="I6993" s="67" t="s">
        <v>148</v>
      </c>
    </row>
    <row r="6994" spans="1:9" x14ac:dyDescent="0.25">
      <c r="B6994" s="67" t="s">
        <v>1254</v>
      </c>
      <c r="C6994" s="67">
        <v>0</v>
      </c>
      <c r="D6994" s="67">
        <v>0</v>
      </c>
      <c r="E6994" s="67">
        <v>83900.45</v>
      </c>
      <c r="H6994" s="67" t="s">
        <v>146</v>
      </c>
    </row>
    <row r="6996" spans="1:9" x14ac:dyDescent="0.25">
      <c r="A6996" s="67" t="s">
        <v>1253</v>
      </c>
      <c r="B6996" s="67" t="s">
        <v>1252</v>
      </c>
      <c r="C6996" s="67">
        <v>0</v>
      </c>
      <c r="D6996" s="67">
        <v>0</v>
      </c>
      <c r="E6996" s="67">
        <v>83900.41</v>
      </c>
      <c r="F6996" s="67">
        <v>25250</v>
      </c>
      <c r="H6996" s="68">
        <v>40764</v>
      </c>
      <c r="I6996" s="67" t="s">
        <v>148</v>
      </c>
    </row>
    <row r="6997" spans="1:9" x14ac:dyDescent="0.25">
      <c r="B6997" s="67" t="s">
        <v>1252</v>
      </c>
      <c r="C6997" s="67">
        <v>0</v>
      </c>
      <c r="D6997" s="67">
        <v>0</v>
      </c>
      <c r="E6997" s="67">
        <v>83900.45</v>
      </c>
      <c r="H6997" s="67" t="s">
        <v>146</v>
      </c>
    </row>
    <row r="6999" spans="1:9" x14ac:dyDescent="0.25">
      <c r="A6999" s="67" t="s">
        <v>1251</v>
      </c>
      <c r="B6999" s="67" t="s">
        <v>1250</v>
      </c>
      <c r="C6999" s="67">
        <v>0</v>
      </c>
      <c r="D6999" s="67">
        <v>0</v>
      </c>
      <c r="E6999" s="67">
        <v>83900.41</v>
      </c>
      <c r="F6999" s="67">
        <v>25250</v>
      </c>
      <c r="H6999" s="68">
        <v>40764</v>
      </c>
      <c r="I6999" s="67" t="s">
        <v>148</v>
      </c>
    </row>
    <row r="7000" spans="1:9" x14ac:dyDescent="0.25">
      <c r="B7000" s="67" t="s">
        <v>1250</v>
      </c>
      <c r="C7000" s="67">
        <v>0</v>
      </c>
      <c r="D7000" s="67">
        <v>0</v>
      </c>
      <c r="E7000" s="67">
        <v>83900.45</v>
      </c>
      <c r="H7000" s="67" t="s">
        <v>146</v>
      </c>
    </row>
    <row r="7002" spans="1:9" x14ac:dyDescent="0.25">
      <c r="A7002" s="67" t="s">
        <v>1249</v>
      </c>
      <c r="B7002" s="67" t="s">
        <v>1248</v>
      </c>
      <c r="C7002" s="67">
        <v>0</v>
      </c>
      <c r="D7002" s="67">
        <v>0</v>
      </c>
      <c r="E7002" s="67">
        <v>83900.41</v>
      </c>
      <c r="F7002" s="67">
        <v>25250</v>
      </c>
      <c r="H7002" s="68">
        <v>40764</v>
      </c>
      <c r="I7002" s="67" t="s">
        <v>148</v>
      </c>
    </row>
    <row r="7003" spans="1:9" x14ac:dyDescent="0.25">
      <c r="B7003" s="67" t="s">
        <v>1248</v>
      </c>
      <c r="C7003" s="67">
        <v>0</v>
      </c>
      <c r="D7003" s="67">
        <v>0</v>
      </c>
      <c r="E7003" s="67">
        <v>83900.45</v>
      </c>
      <c r="H7003" s="67" t="s">
        <v>146</v>
      </c>
    </row>
    <row r="7005" spans="1:9" x14ac:dyDescent="0.25">
      <c r="A7005" s="67" t="s">
        <v>1247</v>
      </c>
      <c r="B7005" s="67" t="s">
        <v>1246</v>
      </c>
      <c r="C7005" s="67">
        <v>0</v>
      </c>
      <c r="D7005" s="67">
        <v>0</v>
      </c>
      <c r="E7005" s="67">
        <v>83900.41</v>
      </c>
      <c r="F7005" s="67">
        <v>25250</v>
      </c>
      <c r="H7005" s="68">
        <v>40764</v>
      </c>
      <c r="I7005" s="67" t="s">
        <v>148</v>
      </c>
    </row>
    <row r="7006" spans="1:9" x14ac:dyDescent="0.25">
      <c r="B7006" s="67" t="s">
        <v>1246</v>
      </c>
      <c r="C7006" s="67">
        <v>0</v>
      </c>
      <c r="D7006" s="67">
        <v>0</v>
      </c>
      <c r="E7006" s="67">
        <v>83900.45</v>
      </c>
      <c r="H7006" s="67" t="s">
        <v>146</v>
      </c>
    </row>
    <row r="7008" spans="1:9" x14ac:dyDescent="0.25">
      <c r="A7008" s="67" t="s">
        <v>1245</v>
      </c>
      <c r="B7008" s="67" t="s">
        <v>1244</v>
      </c>
      <c r="C7008" s="67">
        <v>0</v>
      </c>
      <c r="D7008" s="67">
        <v>0</v>
      </c>
      <c r="E7008" s="67">
        <v>83900.41</v>
      </c>
      <c r="F7008" s="67">
        <v>25250</v>
      </c>
      <c r="H7008" s="68">
        <v>40764</v>
      </c>
      <c r="I7008" s="67" t="s">
        <v>148</v>
      </c>
    </row>
    <row r="7009" spans="1:9" x14ac:dyDescent="0.25">
      <c r="B7009" s="67" t="s">
        <v>1244</v>
      </c>
      <c r="C7009" s="67">
        <v>0</v>
      </c>
      <c r="D7009" s="67">
        <v>0</v>
      </c>
      <c r="E7009" s="67">
        <v>83900.45</v>
      </c>
      <c r="H7009" s="67" t="s">
        <v>146</v>
      </c>
    </row>
    <row r="7011" spans="1:9" x14ac:dyDescent="0.25">
      <c r="A7011" s="67" t="s">
        <v>1243</v>
      </c>
      <c r="B7011" s="67" t="s">
        <v>1242</v>
      </c>
      <c r="C7011" s="67">
        <v>0</v>
      </c>
      <c r="D7011" s="67">
        <v>0</v>
      </c>
      <c r="E7011" s="67">
        <v>83900.41</v>
      </c>
      <c r="F7011" s="67">
        <v>25250</v>
      </c>
      <c r="H7011" s="68">
        <v>40764</v>
      </c>
      <c r="I7011" s="67" t="s">
        <v>148</v>
      </c>
    </row>
    <row r="7012" spans="1:9" x14ac:dyDescent="0.25">
      <c r="B7012" s="67" t="s">
        <v>1242</v>
      </c>
      <c r="C7012" s="67">
        <v>0</v>
      </c>
      <c r="D7012" s="67">
        <v>0</v>
      </c>
      <c r="E7012" s="67">
        <v>83900.45</v>
      </c>
      <c r="H7012" s="67" t="s">
        <v>146</v>
      </c>
    </row>
    <row r="7014" spans="1:9" x14ac:dyDescent="0.25">
      <c r="A7014" s="67" t="s">
        <v>1241</v>
      </c>
      <c r="B7014" s="67" t="s">
        <v>1240</v>
      </c>
      <c r="C7014" s="67">
        <v>0</v>
      </c>
      <c r="D7014" s="67">
        <v>0</v>
      </c>
      <c r="E7014" s="67">
        <v>83900.41</v>
      </c>
      <c r="F7014" s="67">
        <v>25250</v>
      </c>
      <c r="H7014" s="68">
        <v>40764</v>
      </c>
      <c r="I7014" s="67" t="s">
        <v>148</v>
      </c>
    </row>
    <row r="7015" spans="1:9" x14ac:dyDescent="0.25">
      <c r="B7015" s="67" t="s">
        <v>1240</v>
      </c>
      <c r="C7015" s="67">
        <v>0</v>
      </c>
      <c r="D7015" s="67">
        <v>0</v>
      </c>
      <c r="E7015" s="67">
        <v>83900.45</v>
      </c>
      <c r="H7015" s="67" t="s">
        <v>146</v>
      </c>
    </row>
    <row r="7017" spans="1:9" x14ac:dyDescent="0.25">
      <c r="A7017" s="67" t="s">
        <v>1239</v>
      </c>
      <c r="B7017" s="67" t="s">
        <v>1238</v>
      </c>
      <c r="C7017" s="67">
        <v>0</v>
      </c>
      <c r="D7017" s="67">
        <v>0</v>
      </c>
      <c r="E7017" s="67">
        <v>83900.41</v>
      </c>
      <c r="F7017" s="67">
        <v>25250</v>
      </c>
      <c r="H7017" s="68">
        <v>40764</v>
      </c>
      <c r="I7017" s="67" t="s">
        <v>148</v>
      </c>
    </row>
    <row r="7018" spans="1:9" x14ac:dyDescent="0.25">
      <c r="B7018" s="67" t="s">
        <v>1238</v>
      </c>
      <c r="C7018" s="67">
        <v>0</v>
      </c>
      <c r="D7018" s="67">
        <v>0</v>
      </c>
      <c r="E7018" s="67">
        <v>83900.45</v>
      </c>
      <c r="H7018" s="67" t="s">
        <v>146</v>
      </c>
    </row>
    <row r="7020" spans="1:9" x14ac:dyDescent="0.25">
      <c r="A7020" s="67" t="s">
        <v>1237</v>
      </c>
      <c r="B7020" s="67" t="s">
        <v>1236</v>
      </c>
      <c r="C7020" s="67">
        <v>0</v>
      </c>
      <c r="D7020" s="67">
        <v>0</v>
      </c>
      <c r="E7020" s="67">
        <v>83900.41</v>
      </c>
      <c r="F7020" s="67">
        <v>25250</v>
      </c>
      <c r="H7020" s="68">
        <v>40764</v>
      </c>
      <c r="I7020" s="67" t="s">
        <v>148</v>
      </c>
    </row>
    <row r="7021" spans="1:9" x14ac:dyDescent="0.25">
      <c r="B7021" s="67" t="s">
        <v>1236</v>
      </c>
      <c r="C7021" s="67">
        <v>0</v>
      </c>
      <c r="D7021" s="67">
        <v>0</v>
      </c>
      <c r="E7021" s="67">
        <v>83900.45</v>
      </c>
      <c r="H7021" s="67" t="s">
        <v>146</v>
      </c>
    </row>
    <row r="7023" spans="1:9" x14ac:dyDescent="0.25">
      <c r="A7023" s="67" t="s">
        <v>1235</v>
      </c>
      <c r="B7023" s="67" t="s">
        <v>1234</v>
      </c>
      <c r="C7023" s="67">
        <v>0</v>
      </c>
      <c r="D7023" s="67">
        <v>0</v>
      </c>
      <c r="E7023" s="67">
        <v>83900.41</v>
      </c>
      <c r="F7023" s="67">
        <v>25250</v>
      </c>
      <c r="H7023" s="68">
        <v>40764</v>
      </c>
      <c r="I7023" s="67" t="s">
        <v>148</v>
      </c>
    </row>
    <row r="7024" spans="1:9" x14ac:dyDescent="0.25">
      <c r="B7024" s="67" t="s">
        <v>1234</v>
      </c>
      <c r="C7024" s="67">
        <v>0</v>
      </c>
      <c r="D7024" s="67">
        <v>0</v>
      </c>
      <c r="E7024" s="67">
        <v>83900.45</v>
      </c>
      <c r="H7024" s="67" t="s">
        <v>146</v>
      </c>
    </row>
    <row r="7026" spans="1:9" x14ac:dyDescent="0.25">
      <c r="A7026" s="67" t="s">
        <v>1233</v>
      </c>
      <c r="B7026" s="67" t="s">
        <v>1232</v>
      </c>
      <c r="C7026" s="67">
        <v>0</v>
      </c>
      <c r="D7026" s="67">
        <v>0</v>
      </c>
      <c r="E7026" s="67">
        <v>83900.41</v>
      </c>
      <c r="F7026" s="67">
        <v>25250</v>
      </c>
      <c r="H7026" s="68">
        <v>40764</v>
      </c>
      <c r="I7026" s="67" t="s">
        <v>148</v>
      </c>
    </row>
    <row r="7027" spans="1:9" x14ac:dyDescent="0.25">
      <c r="B7027" s="67" t="s">
        <v>1232</v>
      </c>
      <c r="C7027" s="67">
        <v>0</v>
      </c>
      <c r="D7027" s="67">
        <v>0</v>
      </c>
      <c r="E7027" s="67">
        <v>83900.45</v>
      </c>
      <c r="H7027" s="67" t="s">
        <v>146</v>
      </c>
    </row>
    <row r="7029" spans="1:9" x14ac:dyDescent="0.25">
      <c r="A7029" s="67" t="s">
        <v>1231</v>
      </c>
      <c r="B7029" s="67" t="s">
        <v>1230</v>
      </c>
      <c r="C7029" s="67">
        <v>0</v>
      </c>
      <c r="D7029" s="67">
        <v>0</v>
      </c>
      <c r="E7029" s="67">
        <v>83900.41</v>
      </c>
      <c r="F7029" s="67">
        <v>25250</v>
      </c>
      <c r="H7029" s="68">
        <v>40764</v>
      </c>
      <c r="I7029" s="67" t="s">
        <v>148</v>
      </c>
    </row>
    <row r="7030" spans="1:9" x14ac:dyDescent="0.25">
      <c r="B7030" s="67" t="s">
        <v>1230</v>
      </c>
      <c r="C7030" s="67">
        <v>0</v>
      </c>
      <c r="D7030" s="67">
        <v>0</v>
      </c>
      <c r="E7030" s="67">
        <v>83900.45</v>
      </c>
      <c r="H7030" s="67" t="s">
        <v>146</v>
      </c>
    </row>
    <row r="7032" spans="1:9" x14ac:dyDescent="0.25">
      <c r="A7032" s="67" t="s">
        <v>1229</v>
      </c>
      <c r="B7032" s="67" t="s">
        <v>1228</v>
      </c>
      <c r="C7032" s="67">
        <v>0</v>
      </c>
      <c r="D7032" s="67">
        <v>0</v>
      </c>
      <c r="E7032" s="67">
        <v>83900.41</v>
      </c>
      <c r="F7032" s="67">
        <v>25250</v>
      </c>
      <c r="H7032" s="68">
        <v>40764</v>
      </c>
      <c r="I7032" s="67" t="s">
        <v>148</v>
      </c>
    </row>
    <row r="7033" spans="1:9" x14ac:dyDescent="0.25">
      <c r="B7033" s="67" t="s">
        <v>1228</v>
      </c>
      <c r="C7033" s="67">
        <v>0</v>
      </c>
      <c r="D7033" s="67">
        <v>0</v>
      </c>
      <c r="E7033" s="67">
        <v>83900.45</v>
      </c>
      <c r="H7033" s="67" t="s">
        <v>146</v>
      </c>
    </row>
    <row r="7035" spans="1:9" x14ac:dyDescent="0.25">
      <c r="A7035" s="67" t="s">
        <v>1227</v>
      </c>
      <c r="B7035" s="67" t="s">
        <v>1226</v>
      </c>
      <c r="C7035" s="67">
        <v>0</v>
      </c>
      <c r="D7035" s="67">
        <v>0</v>
      </c>
      <c r="E7035" s="67">
        <v>83900.41</v>
      </c>
      <c r="F7035" s="67">
        <v>25250</v>
      </c>
      <c r="H7035" s="68">
        <v>40764</v>
      </c>
      <c r="I7035" s="67" t="s">
        <v>148</v>
      </c>
    </row>
    <row r="7036" spans="1:9" x14ac:dyDescent="0.25">
      <c r="B7036" s="67" t="s">
        <v>1226</v>
      </c>
      <c r="C7036" s="67">
        <v>0</v>
      </c>
      <c r="D7036" s="67">
        <v>0</v>
      </c>
      <c r="E7036" s="67">
        <v>83900.45</v>
      </c>
      <c r="H7036" s="67" t="s">
        <v>146</v>
      </c>
    </row>
    <row r="7038" spans="1:9" x14ac:dyDescent="0.25">
      <c r="A7038" s="67" t="s">
        <v>1225</v>
      </c>
      <c r="B7038" s="67" t="s">
        <v>1224</v>
      </c>
      <c r="C7038" s="67">
        <v>0</v>
      </c>
      <c r="D7038" s="67">
        <v>0</v>
      </c>
      <c r="E7038" s="67">
        <v>83900.41</v>
      </c>
      <c r="F7038" s="67">
        <v>25250</v>
      </c>
      <c r="H7038" s="68">
        <v>40764</v>
      </c>
      <c r="I7038" s="67" t="s">
        <v>148</v>
      </c>
    </row>
    <row r="7039" spans="1:9" x14ac:dyDescent="0.25">
      <c r="B7039" s="67" t="s">
        <v>1224</v>
      </c>
      <c r="C7039" s="67">
        <v>0</v>
      </c>
      <c r="D7039" s="67">
        <v>0</v>
      </c>
      <c r="E7039" s="67">
        <v>83900.45</v>
      </c>
      <c r="H7039" s="67" t="s">
        <v>146</v>
      </c>
    </row>
    <row r="7040" spans="1:9" x14ac:dyDescent="0.25">
      <c r="A7040" s="67" t="s">
        <v>233</v>
      </c>
    </row>
    <row r="7042" spans="1:9" x14ac:dyDescent="0.25">
      <c r="A7042" s="67" t="s">
        <v>232</v>
      </c>
      <c r="D7042" s="67" t="s">
        <v>231</v>
      </c>
      <c r="H7042" s="67" t="s">
        <v>148</v>
      </c>
      <c r="I7042" s="67" t="s">
        <v>230</v>
      </c>
    </row>
    <row r="7043" spans="1:9" x14ac:dyDescent="0.25">
      <c r="A7043" s="67">
        <v>41.1</v>
      </c>
      <c r="C7043" s="67" t="s">
        <v>215</v>
      </c>
      <c r="D7043" s="67" t="s">
        <v>229</v>
      </c>
      <c r="H7043" s="70">
        <v>44771</v>
      </c>
      <c r="I7043" s="69">
        <v>0.56736111111111109</v>
      </c>
    </row>
    <row r="7044" spans="1:9" x14ac:dyDescent="0.25">
      <c r="A7044" s="67" t="s">
        <v>228</v>
      </c>
      <c r="C7044" s="67" t="s">
        <v>227</v>
      </c>
      <c r="D7044" s="67" t="s">
        <v>226</v>
      </c>
      <c r="E7044" s="67">
        <v>589</v>
      </c>
      <c r="H7044" s="67" t="s">
        <v>225</v>
      </c>
      <c r="I7044" s="67">
        <v>122</v>
      </c>
    </row>
    <row r="7045" spans="1:9" x14ac:dyDescent="0.25">
      <c r="A7045" s="67" t="s">
        <v>884</v>
      </c>
    </row>
    <row r="7046" spans="1:9" x14ac:dyDescent="0.25">
      <c r="A7046" s="67" t="s">
        <v>223</v>
      </c>
      <c r="B7046" s="67" t="s">
        <v>222</v>
      </c>
      <c r="C7046" s="67" t="s">
        <v>221</v>
      </c>
      <c r="D7046" s="67" t="s">
        <v>220</v>
      </c>
      <c r="E7046" s="67" t="s">
        <v>219</v>
      </c>
      <c r="F7046" s="67" t="s">
        <v>217</v>
      </c>
      <c r="G7046" s="67" t="s">
        <v>218</v>
      </c>
      <c r="H7046" s="67" t="s">
        <v>217</v>
      </c>
      <c r="I7046" s="67" t="s">
        <v>216</v>
      </c>
    </row>
    <row r="7047" spans="1:9" x14ac:dyDescent="0.25">
      <c r="A7047" s="67" t="s">
        <v>215</v>
      </c>
      <c r="B7047" s="67" t="s">
        <v>214</v>
      </c>
      <c r="C7047" s="67" t="s">
        <v>213</v>
      </c>
      <c r="D7047" s="67" t="s">
        <v>212</v>
      </c>
      <c r="E7047" s="67" t="s">
        <v>211</v>
      </c>
      <c r="F7047" s="67" t="s">
        <v>210</v>
      </c>
      <c r="G7047" s="67" t="s">
        <v>209</v>
      </c>
      <c r="H7047" s="67" t="s">
        <v>208</v>
      </c>
      <c r="I7047" s="67" t="s">
        <v>207</v>
      </c>
    </row>
    <row r="7048" spans="1:9" x14ac:dyDescent="0.25">
      <c r="A7048" s="67" t="s">
        <v>206</v>
      </c>
      <c r="B7048" s="67" t="s">
        <v>205</v>
      </c>
      <c r="C7048" s="67" t="s">
        <v>204</v>
      </c>
      <c r="D7048" s="67" t="s">
        <v>203</v>
      </c>
      <c r="E7048" s="67" t="s">
        <v>202</v>
      </c>
      <c r="F7048" s="67" t="s">
        <v>201</v>
      </c>
      <c r="G7048" s="67" t="s">
        <v>200</v>
      </c>
      <c r="H7048" s="67" t="s">
        <v>199</v>
      </c>
    </row>
    <row r="7049" spans="1:9" x14ac:dyDescent="0.25">
      <c r="A7049" s="67" t="s">
        <v>1223</v>
      </c>
      <c r="B7049" s="67" t="s">
        <v>1222</v>
      </c>
      <c r="C7049" s="67">
        <v>0</v>
      </c>
      <c r="D7049" s="67">
        <v>0</v>
      </c>
      <c r="E7049" s="67">
        <v>83900.41</v>
      </c>
      <c r="F7049" s="67">
        <v>25250</v>
      </c>
      <c r="H7049" s="68">
        <v>40764</v>
      </c>
      <c r="I7049" s="67" t="s">
        <v>148</v>
      </c>
    </row>
    <row r="7050" spans="1:9" x14ac:dyDescent="0.25">
      <c r="B7050" s="67" t="s">
        <v>1222</v>
      </c>
      <c r="C7050" s="67">
        <v>0</v>
      </c>
      <c r="D7050" s="67">
        <v>0</v>
      </c>
      <c r="E7050" s="67">
        <v>83900.45</v>
      </c>
      <c r="H7050" s="67" t="s">
        <v>146</v>
      </c>
    </row>
    <row r="7052" spans="1:9" x14ac:dyDescent="0.25">
      <c r="A7052" s="67" t="s">
        <v>1221</v>
      </c>
      <c r="B7052" s="67" t="s">
        <v>1220</v>
      </c>
      <c r="C7052" s="67">
        <v>0</v>
      </c>
      <c r="D7052" s="67">
        <v>0</v>
      </c>
      <c r="E7052" s="67">
        <v>83900.41</v>
      </c>
      <c r="F7052" s="67">
        <v>25250</v>
      </c>
      <c r="H7052" s="68">
        <v>40764</v>
      </c>
      <c r="I7052" s="67" t="s">
        <v>148</v>
      </c>
    </row>
    <row r="7053" spans="1:9" x14ac:dyDescent="0.25">
      <c r="B7053" s="67" t="s">
        <v>1220</v>
      </c>
      <c r="C7053" s="67">
        <v>0</v>
      </c>
      <c r="D7053" s="67">
        <v>0</v>
      </c>
      <c r="E7053" s="67">
        <v>83900.45</v>
      </c>
      <c r="H7053" s="67" t="s">
        <v>146</v>
      </c>
    </row>
    <row r="7055" spans="1:9" x14ac:dyDescent="0.25">
      <c r="A7055" s="67" t="s">
        <v>1219</v>
      </c>
      <c r="B7055" s="67" t="s">
        <v>1218</v>
      </c>
      <c r="C7055" s="67">
        <v>0</v>
      </c>
      <c r="D7055" s="67">
        <v>0</v>
      </c>
      <c r="E7055" s="67">
        <v>83900.41</v>
      </c>
      <c r="F7055" s="67">
        <v>25250</v>
      </c>
      <c r="H7055" s="68">
        <v>40764</v>
      </c>
      <c r="I7055" s="67" t="s">
        <v>148</v>
      </c>
    </row>
    <row r="7056" spans="1:9" x14ac:dyDescent="0.25">
      <c r="B7056" s="67" t="s">
        <v>1218</v>
      </c>
      <c r="C7056" s="67">
        <v>0</v>
      </c>
      <c r="D7056" s="67">
        <v>0</v>
      </c>
      <c r="E7056" s="67">
        <v>83900.45</v>
      </c>
      <c r="H7056" s="67" t="s">
        <v>146</v>
      </c>
    </row>
    <row r="7058" spans="1:9" x14ac:dyDescent="0.25">
      <c r="A7058" s="67" t="s">
        <v>1217</v>
      </c>
      <c r="B7058" s="67" t="s">
        <v>1216</v>
      </c>
      <c r="C7058" s="67">
        <v>0</v>
      </c>
      <c r="D7058" s="67">
        <v>0</v>
      </c>
      <c r="E7058" s="67">
        <v>83900.41</v>
      </c>
      <c r="F7058" s="67">
        <v>25250</v>
      </c>
      <c r="H7058" s="68">
        <v>40764</v>
      </c>
      <c r="I7058" s="67" t="s">
        <v>148</v>
      </c>
    </row>
    <row r="7059" spans="1:9" x14ac:dyDescent="0.25">
      <c r="B7059" s="67" t="s">
        <v>1216</v>
      </c>
      <c r="C7059" s="67">
        <v>0</v>
      </c>
      <c r="D7059" s="67">
        <v>0</v>
      </c>
      <c r="E7059" s="67">
        <v>83900.45</v>
      </c>
      <c r="H7059" s="67" t="s">
        <v>146</v>
      </c>
    </row>
    <row r="7061" spans="1:9" x14ac:dyDescent="0.25">
      <c r="A7061" s="67" t="s">
        <v>1215</v>
      </c>
      <c r="B7061" s="67" t="s">
        <v>1214</v>
      </c>
      <c r="C7061" s="67">
        <v>0</v>
      </c>
      <c r="D7061" s="67">
        <v>0</v>
      </c>
      <c r="E7061" s="67">
        <v>83900.41</v>
      </c>
      <c r="F7061" s="67">
        <v>25250</v>
      </c>
      <c r="H7061" s="68">
        <v>40764</v>
      </c>
      <c r="I7061" s="67" t="s">
        <v>148</v>
      </c>
    </row>
    <row r="7062" spans="1:9" x14ac:dyDescent="0.25">
      <c r="B7062" s="67" t="s">
        <v>1214</v>
      </c>
      <c r="C7062" s="67">
        <v>0</v>
      </c>
      <c r="D7062" s="67">
        <v>0</v>
      </c>
      <c r="E7062" s="67">
        <v>83900.45</v>
      </c>
      <c r="H7062" s="67" t="s">
        <v>146</v>
      </c>
    </row>
    <row r="7064" spans="1:9" x14ac:dyDescent="0.25">
      <c r="A7064" s="67" t="s">
        <v>1213</v>
      </c>
      <c r="B7064" s="67" t="s">
        <v>1212</v>
      </c>
      <c r="C7064" s="67">
        <v>0</v>
      </c>
      <c r="D7064" s="67">
        <v>0</v>
      </c>
      <c r="E7064" s="67">
        <v>83900.41</v>
      </c>
      <c r="F7064" s="67">
        <v>25250</v>
      </c>
      <c r="H7064" s="68">
        <v>40764</v>
      </c>
      <c r="I7064" s="67" t="s">
        <v>148</v>
      </c>
    </row>
    <row r="7065" spans="1:9" x14ac:dyDescent="0.25">
      <c r="B7065" s="67" t="s">
        <v>1212</v>
      </c>
      <c r="C7065" s="67">
        <v>0</v>
      </c>
      <c r="D7065" s="67">
        <v>0</v>
      </c>
      <c r="E7065" s="67">
        <v>83900.45</v>
      </c>
      <c r="H7065" s="67" t="s">
        <v>146</v>
      </c>
    </row>
    <row r="7067" spans="1:9" x14ac:dyDescent="0.25">
      <c r="A7067" s="67" t="s">
        <v>1211</v>
      </c>
      <c r="B7067" s="67" t="s">
        <v>1210</v>
      </c>
      <c r="C7067" s="67">
        <v>0</v>
      </c>
      <c r="D7067" s="67">
        <v>0</v>
      </c>
      <c r="E7067" s="67">
        <v>83900.41</v>
      </c>
      <c r="F7067" s="67">
        <v>25250</v>
      </c>
      <c r="H7067" s="68">
        <v>40764</v>
      </c>
      <c r="I7067" s="67" t="s">
        <v>148</v>
      </c>
    </row>
    <row r="7068" spans="1:9" x14ac:dyDescent="0.25">
      <c r="B7068" s="67" t="s">
        <v>1210</v>
      </c>
      <c r="C7068" s="67">
        <v>0</v>
      </c>
      <c r="D7068" s="67">
        <v>0</v>
      </c>
      <c r="E7068" s="67">
        <v>83900.45</v>
      </c>
      <c r="H7068" s="67" t="s">
        <v>146</v>
      </c>
    </row>
    <row r="7070" spans="1:9" x14ac:dyDescent="0.25">
      <c r="A7070" s="67" t="s">
        <v>1209</v>
      </c>
      <c r="B7070" s="67" t="s">
        <v>1208</v>
      </c>
      <c r="C7070" s="67">
        <v>0</v>
      </c>
      <c r="D7070" s="67">
        <v>0</v>
      </c>
      <c r="E7070" s="67">
        <v>83900.41</v>
      </c>
      <c r="F7070" s="67">
        <v>25250</v>
      </c>
      <c r="H7070" s="68">
        <v>40764</v>
      </c>
      <c r="I7070" s="67" t="s">
        <v>148</v>
      </c>
    </row>
    <row r="7071" spans="1:9" x14ac:dyDescent="0.25">
      <c r="B7071" s="67" t="s">
        <v>1208</v>
      </c>
      <c r="C7071" s="67">
        <v>0</v>
      </c>
      <c r="D7071" s="67">
        <v>0</v>
      </c>
      <c r="E7071" s="67">
        <v>83900.45</v>
      </c>
      <c r="H7071" s="67" t="s">
        <v>146</v>
      </c>
    </row>
    <row r="7073" spans="1:9" x14ac:dyDescent="0.25">
      <c r="A7073" s="67" t="s">
        <v>1207</v>
      </c>
      <c r="B7073" s="67" t="s">
        <v>1206</v>
      </c>
      <c r="C7073" s="67">
        <v>0</v>
      </c>
      <c r="D7073" s="67">
        <v>0</v>
      </c>
      <c r="E7073" s="67">
        <v>83900.41</v>
      </c>
      <c r="F7073" s="67">
        <v>25250</v>
      </c>
      <c r="H7073" s="68">
        <v>40764</v>
      </c>
      <c r="I7073" s="67" t="s">
        <v>148</v>
      </c>
    </row>
    <row r="7074" spans="1:9" x14ac:dyDescent="0.25">
      <c r="B7074" s="67" t="s">
        <v>1206</v>
      </c>
      <c r="C7074" s="67">
        <v>0</v>
      </c>
      <c r="D7074" s="67">
        <v>0</v>
      </c>
      <c r="E7074" s="67">
        <v>83900.45</v>
      </c>
      <c r="H7074" s="67" t="s">
        <v>146</v>
      </c>
    </row>
    <row r="7076" spans="1:9" x14ac:dyDescent="0.25">
      <c r="A7076" s="67" t="s">
        <v>1205</v>
      </c>
      <c r="B7076" s="67" t="s">
        <v>1204</v>
      </c>
      <c r="C7076" s="67">
        <v>0</v>
      </c>
      <c r="D7076" s="67">
        <v>0</v>
      </c>
      <c r="E7076" s="67">
        <v>83900.41</v>
      </c>
      <c r="F7076" s="67">
        <v>25250</v>
      </c>
      <c r="H7076" s="68">
        <v>40764</v>
      </c>
      <c r="I7076" s="67" t="s">
        <v>148</v>
      </c>
    </row>
    <row r="7077" spans="1:9" x14ac:dyDescent="0.25">
      <c r="B7077" s="67" t="s">
        <v>1204</v>
      </c>
      <c r="C7077" s="67">
        <v>0</v>
      </c>
      <c r="D7077" s="67">
        <v>0</v>
      </c>
      <c r="E7077" s="67">
        <v>83900.45</v>
      </c>
      <c r="H7077" s="67" t="s">
        <v>146</v>
      </c>
    </row>
    <row r="7079" spans="1:9" x14ac:dyDescent="0.25">
      <c r="A7079" s="67" t="s">
        <v>1203</v>
      </c>
      <c r="B7079" s="67" t="s">
        <v>1202</v>
      </c>
      <c r="C7079" s="67">
        <v>0</v>
      </c>
      <c r="D7079" s="67">
        <v>0</v>
      </c>
      <c r="E7079" s="67">
        <v>83900.41</v>
      </c>
      <c r="F7079" s="67">
        <v>25250</v>
      </c>
      <c r="H7079" s="68">
        <v>40764</v>
      </c>
      <c r="I7079" s="67" t="s">
        <v>148</v>
      </c>
    </row>
    <row r="7080" spans="1:9" x14ac:dyDescent="0.25">
      <c r="B7080" s="67" t="s">
        <v>1202</v>
      </c>
      <c r="C7080" s="67">
        <v>0</v>
      </c>
      <c r="D7080" s="67">
        <v>0</v>
      </c>
      <c r="E7080" s="67">
        <v>83900.45</v>
      </c>
      <c r="H7080" s="67" t="s">
        <v>146</v>
      </c>
    </row>
    <row r="7082" spans="1:9" x14ac:dyDescent="0.25">
      <c r="A7082" s="67" t="s">
        <v>1201</v>
      </c>
      <c r="B7082" s="67" t="s">
        <v>1200</v>
      </c>
      <c r="C7082" s="67">
        <v>0</v>
      </c>
      <c r="D7082" s="67">
        <v>0</v>
      </c>
      <c r="E7082" s="67">
        <v>83900.41</v>
      </c>
      <c r="F7082" s="67">
        <v>25250</v>
      </c>
      <c r="H7082" s="68">
        <v>40764</v>
      </c>
      <c r="I7082" s="67" t="s">
        <v>148</v>
      </c>
    </row>
    <row r="7083" spans="1:9" x14ac:dyDescent="0.25">
      <c r="B7083" s="67" t="s">
        <v>1200</v>
      </c>
      <c r="C7083" s="67">
        <v>0</v>
      </c>
      <c r="D7083" s="67">
        <v>0</v>
      </c>
      <c r="E7083" s="67">
        <v>83900.45</v>
      </c>
      <c r="H7083" s="67" t="s">
        <v>146</v>
      </c>
    </row>
    <row r="7085" spans="1:9" x14ac:dyDescent="0.25">
      <c r="A7085" s="67" t="s">
        <v>1199</v>
      </c>
      <c r="B7085" s="67" t="s">
        <v>1198</v>
      </c>
      <c r="C7085" s="67">
        <v>0</v>
      </c>
      <c r="D7085" s="67">
        <v>0</v>
      </c>
      <c r="E7085" s="67">
        <v>83900.41</v>
      </c>
      <c r="F7085" s="67">
        <v>25250</v>
      </c>
      <c r="H7085" s="68">
        <v>40764</v>
      </c>
      <c r="I7085" s="67" t="s">
        <v>148</v>
      </c>
    </row>
    <row r="7086" spans="1:9" x14ac:dyDescent="0.25">
      <c r="B7086" s="67" t="s">
        <v>1198</v>
      </c>
      <c r="C7086" s="67">
        <v>0</v>
      </c>
      <c r="D7086" s="67">
        <v>0</v>
      </c>
      <c r="E7086" s="67">
        <v>83900.45</v>
      </c>
      <c r="H7086" s="67" t="s">
        <v>146</v>
      </c>
    </row>
    <row r="7088" spans="1:9" x14ac:dyDescent="0.25">
      <c r="A7088" s="67" t="s">
        <v>1197</v>
      </c>
      <c r="B7088" s="67" t="s">
        <v>1196</v>
      </c>
      <c r="C7088" s="67">
        <v>0</v>
      </c>
      <c r="D7088" s="67">
        <v>0</v>
      </c>
      <c r="E7088" s="67">
        <v>83900.41</v>
      </c>
      <c r="F7088" s="67">
        <v>25250</v>
      </c>
      <c r="H7088" s="68">
        <v>40764</v>
      </c>
      <c r="I7088" s="67" t="s">
        <v>148</v>
      </c>
    </row>
    <row r="7089" spans="1:9" x14ac:dyDescent="0.25">
      <c r="B7089" s="67" t="s">
        <v>1196</v>
      </c>
      <c r="C7089" s="67">
        <v>0</v>
      </c>
      <c r="D7089" s="67">
        <v>0</v>
      </c>
      <c r="E7089" s="67">
        <v>83900.45</v>
      </c>
      <c r="H7089" s="67" t="s">
        <v>146</v>
      </c>
    </row>
    <row r="7091" spans="1:9" x14ac:dyDescent="0.25">
      <c r="A7091" s="67" t="s">
        <v>1195</v>
      </c>
      <c r="B7091" s="67" t="s">
        <v>1194</v>
      </c>
      <c r="C7091" s="67">
        <v>0</v>
      </c>
      <c r="D7091" s="67">
        <v>0</v>
      </c>
      <c r="E7091" s="67">
        <v>83900.41</v>
      </c>
      <c r="F7091" s="67">
        <v>25250</v>
      </c>
      <c r="H7091" s="68">
        <v>40764</v>
      </c>
      <c r="I7091" s="67" t="s">
        <v>148</v>
      </c>
    </row>
    <row r="7092" spans="1:9" x14ac:dyDescent="0.25">
      <c r="B7092" s="67" t="s">
        <v>1194</v>
      </c>
      <c r="C7092" s="67">
        <v>0</v>
      </c>
      <c r="D7092" s="67">
        <v>0</v>
      </c>
      <c r="E7092" s="67">
        <v>83900.45</v>
      </c>
      <c r="H7092" s="67" t="s">
        <v>146</v>
      </c>
    </row>
    <row r="7094" spans="1:9" x14ac:dyDescent="0.25">
      <c r="A7094" s="67" t="s">
        <v>1193</v>
      </c>
      <c r="B7094" s="67" t="s">
        <v>1192</v>
      </c>
      <c r="C7094" s="67">
        <v>0</v>
      </c>
      <c r="D7094" s="67">
        <v>0</v>
      </c>
      <c r="E7094" s="67">
        <v>83900.41</v>
      </c>
      <c r="F7094" s="67">
        <v>25250</v>
      </c>
      <c r="H7094" s="68">
        <v>40764</v>
      </c>
      <c r="I7094" s="67" t="s">
        <v>148</v>
      </c>
    </row>
    <row r="7095" spans="1:9" x14ac:dyDescent="0.25">
      <c r="B7095" s="67" t="s">
        <v>1192</v>
      </c>
      <c r="C7095" s="67">
        <v>0</v>
      </c>
      <c r="D7095" s="67">
        <v>0</v>
      </c>
      <c r="E7095" s="67">
        <v>83900.45</v>
      </c>
      <c r="H7095" s="67" t="s">
        <v>146</v>
      </c>
    </row>
    <row r="7097" spans="1:9" x14ac:dyDescent="0.25">
      <c r="A7097" s="67" t="s">
        <v>1191</v>
      </c>
      <c r="B7097" s="67" t="s">
        <v>1190</v>
      </c>
      <c r="C7097" s="67">
        <v>0</v>
      </c>
      <c r="D7097" s="67">
        <v>0</v>
      </c>
      <c r="E7097" s="67">
        <v>83900.41</v>
      </c>
      <c r="F7097" s="67">
        <v>25250</v>
      </c>
      <c r="H7097" s="68">
        <v>40764</v>
      </c>
      <c r="I7097" s="67" t="s">
        <v>148</v>
      </c>
    </row>
    <row r="7098" spans="1:9" x14ac:dyDescent="0.25">
      <c r="B7098" s="67" t="s">
        <v>1190</v>
      </c>
      <c r="C7098" s="67">
        <v>0</v>
      </c>
      <c r="D7098" s="67">
        <v>0</v>
      </c>
      <c r="E7098" s="67">
        <v>83900.45</v>
      </c>
      <c r="H7098" s="67" t="s">
        <v>146</v>
      </c>
    </row>
    <row r="7099" spans="1:9" x14ac:dyDescent="0.25">
      <c r="A7099" s="67" t="s">
        <v>233</v>
      </c>
    </row>
    <row r="7101" spans="1:9" x14ac:dyDescent="0.25">
      <c r="A7101" s="67" t="s">
        <v>232</v>
      </c>
      <c r="D7101" s="67" t="s">
        <v>231</v>
      </c>
      <c r="H7101" s="67" t="s">
        <v>148</v>
      </c>
      <c r="I7101" s="67" t="s">
        <v>230</v>
      </c>
    </row>
    <row r="7102" spans="1:9" x14ac:dyDescent="0.25">
      <c r="A7102" s="67">
        <v>41.1</v>
      </c>
      <c r="C7102" s="67" t="s">
        <v>215</v>
      </c>
      <c r="D7102" s="67" t="s">
        <v>229</v>
      </c>
      <c r="H7102" s="70">
        <v>44771</v>
      </c>
      <c r="I7102" s="69">
        <v>0.56736111111111109</v>
      </c>
    </row>
    <row r="7103" spans="1:9" x14ac:dyDescent="0.25">
      <c r="A7103" s="67" t="s">
        <v>228</v>
      </c>
      <c r="C7103" s="67" t="s">
        <v>227</v>
      </c>
      <c r="D7103" s="67" t="s">
        <v>226</v>
      </c>
      <c r="E7103" s="67">
        <v>589</v>
      </c>
      <c r="H7103" s="67" t="s">
        <v>225</v>
      </c>
      <c r="I7103" s="67">
        <v>123</v>
      </c>
    </row>
    <row r="7104" spans="1:9" x14ac:dyDescent="0.25">
      <c r="A7104" s="67" t="s">
        <v>884</v>
      </c>
    </row>
    <row r="7105" spans="1:9" x14ac:dyDescent="0.25">
      <c r="A7105" s="67" t="s">
        <v>223</v>
      </c>
      <c r="B7105" s="67" t="s">
        <v>222</v>
      </c>
      <c r="C7105" s="67" t="s">
        <v>221</v>
      </c>
      <c r="D7105" s="67" t="s">
        <v>220</v>
      </c>
      <c r="E7105" s="67" t="s">
        <v>219</v>
      </c>
      <c r="F7105" s="67" t="s">
        <v>217</v>
      </c>
      <c r="G7105" s="67" t="s">
        <v>218</v>
      </c>
      <c r="H7105" s="67" t="s">
        <v>217</v>
      </c>
      <c r="I7105" s="67" t="s">
        <v>216</v>
      </c>
    </row>
    <row r="7106" spans="1:9" x14ac:dyDescent="0.25">
      <c r="A7106" s="67" t="s">
        <v>215</v>
      </c>
      <c r="B7106" s="67" t="s">
        <v>214</v>
      </c>
      <c r="C7106" s="67" t="s">
        <v>213</v>
      </c>
      <c r="D7106" s="67" t="s">
        <v>212</v>
      </c>
      <c r="E7106" s="67" t="s">
        <v>211</v>
      </c>
      <c r="F7106" s="67" t="s">
        <v>210</v>
      </c>
      <c r="G7106" s="67" t="s">
        <v>209</v>
      </c>
      <c r="H7106" s="67" t="s">
        <v>208</v>
      </c>
      <c r="I7106" s="67" t="s">
        <v>207</v>
      </c>
    </row>
    <row r="7107" spans="1:9" x14ac:dyDescent="0.25">
      <c r="A7107" s="67" t="s">
        <v>206</v>
      </c>
      <c r="B7107" s="67" t="s">
        <v>205</v>
      </c>
      <c r="C7107" s="67" t="s">
        <v>204</v>
      </c>
      <c r="D7107" s="67" t="s">
        <v>203</v>
      </c>
      <c r="E7107" s="67" t="s">
        <v>202</v>
      </c>
      <c r="F7107" s="67" t="s">
        <v>201</v>
      </c>
      <c r="G7107" s="67" t="s">
        <v>200</v>
      </c>
      <c r="H7107" s="67" t="s">
        <v>199</v>
      </c>
    </row>
    <row r="7108" spans="1:9" x14ac:dyDescent="0.25">
      <c r="A7108" s="67" t="s">
        <v>1189</v>
      </c>
      <c r="B7108" s="67" t="s">
        <v>1188</v>
      </c>
      <c r="C7108" s="67">
        <v>0</v>
      </c>
      <c r="D7108" s="67">
        <v>0</v>
      </c>
      <c r="E7108" s="67">
        <v>83900.41</v>
      </c>
      <c r="F7108" s="67">
        <v>25250</v>
      </c>
      <c r="H7108" s="68">
        <v>40764</v>
      </c>
      <c r="I7108" s="67" t="s">
        <v>148</v>
      </c>
    </row>
    <row r="7109" spans="1:9" x14ac:dyDescent="0.25">
      <c r="B7109" s="67" t="s">
        <v>1188</v>
      </c>
      <c r="C7109" s="67">
        <v>0</v>
      </c>
      <c r="D7109" s="67">
        <v>0</v>
      </c>
      <c r="E7109" s="67">
        <v>83900.45</v>
      </c>
      <c r="H7109" s="67" t="s">
        <v>146</v>
      </c>
    </row>
    <row r="7111" spans="1:9" x14ac:dyDescent="0.25">
      <c r="A7111" s="67" t="s">
        <v>1187</v>
      </c>
      <c r="B7111" s="67" t="s">
        <v>1186</v>
      </c>
      <c r="C7111" s="67">
        <v>0</v>
      </c>
      <c r="D7111" s="67">
        <v>0</v>
      </c>
      <c r="E7111" s="67">
        <v>83900.41</v>
      </c>
      <c r="F7111" s="67">
        <v>25250</v>
      </c>
      <c r="H7111" s="68">
        <v>40764</v>
      </c>
      <c r="I7111" s="67" t="s">
        <v>148</v>
      </c>
    </row>
    <row r="7112" spans="1:9" x14ac:dyDescent="0.25">
      <c r="B7112" s="67" t="s">
        <v>1186</v>
      </c>
      <c r="C7112" s="67">
        <v>0</v>
      </c>
      <c r="D7112" s="67">
        <v>0</v>
      </c>
      <c r="E7112" s="67">
        <v>83900.45</v>
      </c>
      <c r="H7112" s="67" t="s">
        <v>146</v>
      </c>
    </row>
    <row r="7114" spans="1:9" x14ac:dyDescent="0.25">
      <c r="A7114" s="67" t="s">
        <v>1185</v>
      </c>
      <c r="B7114" s="67" t="s">
        <v>1184</v>
      </c>
      <c r="C7114" s="67">
        <v>0</v>
      </c>
      <c r="D7114" s="67">
        <v>0</v>
      </c>
      <c r="E7114" s="67">
        <v>83900.41</v>
      </c>
      <c r="F7114" s="67">
        <v>25250</v>
      </c>
      <c r="H7114" s="68">
        <v>40764</v>
      </c>
      <c r="I7114" s="67" t="s">
        <v>148</v>
      </c>
    </row>
    <row r="7115" spans="1:9" x14ac:dyDescent="0.25">
      <c r="B7115" s="67" t="s">
        <v>1184</v>
      </c>
      <c r="C7115" s="67">
        <v>0</v>
      </c>
      <c r="D7115" s="67">
        <v>0</v>
      </c>
      <c r="E7115" s="67">
        <v>83900.45</v>
      </c>
      <c r="H7115" s="67" t="s">
        <v>146</v>
      </c>
    </row>
    <row r="7117" spans="1:9" x14ac:dyDescent="0.25">
      <c r="A7117" s="67" t="s">
        <v>1183</v>
      </c>
      <c r="B7117" s="67" t="s">
        <v>1182</v>
      </c>
      <c r="C7117" s="67">
        <v>0</v>
      </c>
      <c r="D7117" s="67">
        <v>0</v>
      </c>
      <c r="E7117" s="67">
        <v>83900.41</v>
      </c>
      <c r="F7117" s="67">
        <v>25250</v>
      </c>
      <c r="H7117" s="68">
        <v>40764</v>
      </c>
      <c r="I7117" s="67" t="s">
        <v>148</v>
      </c>
    </row>
    <row r="7118" spans="1:9" x14ac:dyDescent="0.25">
      <c r="B7118" s="67" t="s">
        <v>1182</v>
      </c>
      <c r="C7118" s="67">
        <v>0</v>
      </c>
      <c r="D7118" s="67">
        <v>0</v>
      </c>
      <c r="E7118" s="67">
        <v>83900.45</v>
      </c>
      <c r="H7118" s="67" t="s">
        <v>146</v>
      </c>
    </row>
    <row r="7120" spans="1:9" x14ac:dyDescent="0.25">
      <c r="A7120" s="67" t="s">
        <v>1181</v>
      </c>
      <c r="B7120" s="67" t="s">
        <v>1180</v>
      </c>
      <c r="C7120" s="67">
        <v>0</v>
      </c>
      <c r="D7120" s="67">
        <v>0</v>
      </c>
      <c r="E7120" s="67">
        <v>83900.41</v>
      </c>
      <c r="F7120" s="67">
        <v>25250</v>
      </c>
      <c r="H7120" s="68">
        <v>40764</v>
      </c>
      <c r="I7120" s="67" t="s">
        <v>148</v>
      </c>
    </row>
    <row r="7121" spans="1:9" x14ac:dyDescent="0.25">
      <c r="B7121" s="67" t="s">
        <v>1180</v>
      </c>
      <c r="C7121" s="67">
        <v>0</v>
      </c>
      <c r="D7121" s="67">
        <v>0</v>
      </c>
      <c r="E7121" s="67">
        <v>83900.45</v>
      </c>
      <c r="H7121" s="67" t="s">
        <v>146</v>
      </c>
    </row>
    <row r="7123" spans="1:9" x14ac:dyDescent="0.25">
      <c r="A7123" s="67" t="s">
        <v>1179</v>
      </c>
      <c r="B7123" s="67" t="s">
        <v>1178</v>
      </c>
      <c r="C7123" s="67">
        <v>0</v>
      </c>
      <c r="D7123" s="67">
        <v>0</v>
      </c>
      <c r="E7123" s="67">
        <v>83900.41</v>
      </c>
      <c r="F7123" s="67">
        <v>25250</v>
      </c>
      <c r="H7123" s="68">
        <v>40764</v>
      </c>
      <c r="I7123" s="67" t="s">
        <v>148</v>
      </c>
    </row>
    <row r="7124" spans="1:9" x14ac:dyDescent="0.25">
      <c r="B7124" s="67" t="s">
        <v>1178</v>
      </c>
      <c r="C7124" s="67">
        <v>0</v>
      </c>
      <c r="D7124" s="67">
        <v>0</v>
      </c>
      <c r="E7124" s="67">
        <v>83900.45</v>
      </c>
      <c r="H7124" s="67" t="s">
        <v>146</v>
      </c>
    </row>
    <row r="7126" spans="1:9" x14ac:dyDescent="0.25">
      <c r="A7126" s="67" t="s">
        <v>1177</v>
      </c>
      <c r="B7126" s="67" t="s">
        <v>1176</v>
      </c>
      <c r="C7126" s="67">
        <v>0</v>
      </c>
      <c r="D7126" s="67">
        <v>0</v>
      </c>
      <c r="E7126" s="67">
        <v>83900.41</v>
      </c>
      <c r="F7126" s="67">
        <v>25250</v>
      </c>
      <c r="H7126" s="68">
        <v>40764</v>
      </c>
      <c r="I7126" s="67" t="s">
        <v>148</v>
      </c>
    </row>
    <row r="7127" spans="1:9" x14ac:dyDescent="0.25">
      <c r="B7127" s="67" t="s">
        <v>1176</v>
      </c>
      <c r="C7127" s="67">
        <v>0</v>
      </c>
      <c r="D7127" s="67">
        <v>0</v>
      </c>
      <c r="E7127" s="67">
        <v>83900.45</v>
      </c>
      <c r="H7127" s="67" t="s">
        <v>146</v>
      </c>
    </row>
    <row r="7129" spans="1:9" x14ac:dyDescent="0.25">
      <c r="A7129" s="67" t="s">
        <v>1175</v>
      </c>
      <c r="B7129" s="67" t="s">
        <v>1174</v>
      </c>
      <c r="C7129" s="67">
        <v>0</v>
      </c>
      <c r="D7129" s="67">
        <v>0</v>
      </c>
      <c r="E7129" s="67">
        <v>83900.41</v>
      </c>
      <c r="F7129" s="67">
        <v>25250</v>
      </c>
      <c r="H7129" s="68">
        <v>40764</v>
      </c>
      <c r="I7129" s="67" t="s">
        <v>148</v>
      </c>
    </row>
    <row r="7130" spans="1:9" x14ac:dyDescent="0.25">
      <c r="B7130" s="67" t="s">
        <v>1174</v>
      </c>
      <c r="C7130" s="67">
        <v>0</v>
      </c>
      <c r="D7130" s="67">
        <v>0</v>
      </c>
      <c r="E7130" s="67">
        <v>83900.45</v>
      </c>
      <c r="H7130" s="67" t="s">
        <v>146</v>
      </c>
    </row>
    <row r="7132" spans="1:9" x14ac:dyDescent="0.25">
      <c r="A7132" s="67" t="s">
        <v>1173</v>
      </c>
      <c r="B7132" s="67" t="s">
        <v>1172</v>
      </c>
      <c r="C7132" s="67">
        <v>0</v>
      </c>
      <c r="D7132" s="67">
        <v>0</v>
      </c>
      <c r="E7132" s="67">
        <v>83900.41</v>
      </c>
      <c r="F7132" s="67">
        <v>25250</v>
      </c>
      <c r="H7132" s="68">
        <v>40764</v>
      </c>
      <c r="I7132" s="67" t="s">
        <v>148</v>
      </c>
    </row>
    <row r="7133" spans="1:9" x14ac:dyDescent="0.25">
      <c r="B7133" s="67" t="s">
        <v>1172</v>
      </c>
      <c r="C7133" s="67">
        <v>0</v>
      </c>
      <c r="D7133" s="67">
        <v>0</v>
      </c>
      <c r="E7133" s="67">
        <v>83900.45</v>
      </c>
      <c r="H7133" s="67" t="s">
        <v>146</v>
      </c>
    </row>
    <row r="7135" spans="1:9" x14ac:dyDescent="0.25">
      <c r="A7135" s="67" t="s">
        <v>1171</v>
      </c>
      <c r="B7135" s="67" t="s">
        <v>1170</v>
      </c>
      <c r="C7135" s="67">
        <v>0</v>
      </c>
      <c r="D7135" s="67">
        <v>0</v>
      </c>
      <c r="E7135" s="67">
        <v>83900.41</v>
      </c>
      <c r="F7135" s="67">
        <v>25250</v>
      </c>
      <c r="H7135" s="68">
        <v>40764</v>
      </c>
      <c r="I7135" s="67" t="s">
        <v>148</v>
      </c>
    </row>
    <row r="7136" spans="1:9" x14ac:dyDescent="0.25">
      <c r="B7136" s="67" t="s">
        <v>1170</v>
      </c>
      <c r="C7136" s="67">
        <v>0</v>
      </c>
      <c r="D7136" s="67">
        <v>0</v>
      </c>
      <c r="E7136" s="67">
        <v>83900.45</v>
      </c>
      <c r="H7136" s="67" t="s">
        <v>146</v>
      </c>
    </row>
    <row r="7138" spans="1:9" x14ac:dyDescent="0.25">
      <c r="A7138" s="67" t="s">
        <v>1169</v>
      </c>
      <c r="B7138" s="67" t="s">
        <v>1168</v>
      </c>
      <c r="C7138" s="67">
        <v>0</v>
      </c>
      <c r="D7138" s="67">
        <v>0</v>
      </c>
      <c r="E7138" s="67">
        <v>83900.41</v>
      </c>
      <c r="F7138" s="67">
        <v>25250</v>
      </c>
      <c r="H7138" s="68">
        <v>40764</v>
      </c>
      <c r="I7138" s="67" t="s">
        <v>148</v>
      </c>
    </row>
    <row r="7139" spans="1:9" x14ac:dyDescent="0.25">
      <c r="B7139" s="67" t="s">
        <v>1168</v>
      </c>
      <c r="C7139" s="67">
        <v>0</v>
      </c>
      <c r="D7139" s="67">
        <v>0</v>
      </c>
      <c r="E7139" s="67">
        <v>83900.45</v>
      </c>
      <c r="H7139" s="67" t="s">
        <v>146</v>
      </c>
    </row>
    <row r="7141" spans="1:9" x14ac:dyDescent="0.25">
      <c r="A7141" s="67" t="s">
        <v>1167</v>
      </c>
      <c r="B7141" s="67" t="s">
        <v>1166</v>
      </c>
      <c r="C7141" s="67">
        <v>0</v>
      </c>
      <c r="D7141" s="67">
        <v>0</v>
      </c>
      <c r="E7141" s="67">
        <v>83900.41</v>
      </c>
      <c r="F7141" s="67">
        <v>25250</v>
      </c>
      <c r="H7141" s="68">
        <v>40764</v>
      </c>
      <c r="I7141" s="67" t="s">
        <v>148</v>
      </c>
    </row>
    <row r="7142" spans="1:9" x14ac:dyDescent="0.25">
      <c r="B7142" s="67" t="s">
        <v>1166</v>
      </c>
      <c r="C7142" s="67">
        <v>0</v>
      </c>
      <c r="D7142" s="67">
        <v>0</v>
      </c>
      <c r="E7142" s="67">
        <v>83900.45</v>
      </c>
      <c r="H7142" s="67" t="s">
        <v>146</v>
      </c>
    </row>
    <row r="7144" spans="1:9" x14ac:dyDescent="0.25">
      <c r="A7144" s="67" t="s">
        <v>1165</v>
      </c>
      <c r="B7144" s="67" t="s">
        <v>1164</v>
      </c>
      <c r="C7144" s="67">
        <v>0</v>
      </c>
      <c r="D7144" s="67">
        <v>0</v>
      </c>
      <c r="E7144" s="67">
        <v>83900.41</v>
      </c>
      <c r="F7144" s="67">
        <v>25250</v>
      </c>
      <c r="H7144" s="68">
        <v>40764</v>
      </c>
      <c r="I7144" s="67" t="s">
        <v>148</v>
      </c>
    </row>
    <row r="7145" spans="1:9" x14ac:dyDescent="0.25">
      <c r="B7145" s="67" t="s">
        <v>1164</v>
      </c>
      <c r="C7145" s="67">
        <v>0</v>
      </c>
      <c r="D7145" s="67">
        <v>0</v>
      </c>
      <c r="E7145" s="67">
        <v>83900.45</v>
      </c>
      <c r="H7145" s="67" t="s">
        <v>146</v>
      </c>
    </row>
    <row r="7147" spans="1:9" x14ac:dyDescent="0.25">
      <c r="A7147" s="67" t="s">
        <v>1163</v>
      </c>
      <c r="B7147" s="67" t="s">
        <v>1162</v>
      </c>
      <c r="C7147" s="67">
        <v>0</v>
      </c>
      <c r="D7147" s="67">
        <v>0</v>
      </c>
      <c r="E7147" s="67">
        <v>83900.41</v>
      </c>
      <c r="F7147" s="67">
        <v>25250</v>
      </c>
      <c r="H7147" s="68">
        <v>40764</v>
      </c>
      <c r="I7147" s="67" t="s">
        <v>148</v>
      </c>
    </row>
    <row r="7148" spans="1:9" x14ac:dyDescent="0.25">
      <c r="B7148" s="67" t="s">
        <v>1162</v>
      </c>
      <c r="C7148" s="67">
        <v>0</v>
      </c>
      <c r="D7148" s="67">
        <v>0</v>
      </c>
      <c r="E7148" s="67">
        <v>83900.45</v>
      </c>
      <c r="H7148" s="67" t="s">
        <v>146</v>
      </c>
    </row>
    <row r="7150" spans="1:9" x14ac:dyDescent="0.25">
      <c r="A7150" s="67" t="s">
        <v>1161</v>
      </c>
      <c r="B7150" s="67" t="s">
        <v>1160</v>
      </c>
      <c r="C7150" s="67">
        <v>0</v>
      </c>
      <c r="D7150" s="67">
        <v>0</v>
      </c>
      <c r="E7150" s="67">
        <v>83900.41</v>
      </c>
      <c r="F7150" s="67">
        <v>25250</v>
      </c>
      <c r="H7150" s="68">
        <v>40764</v>
      </c>
      <c r="I7150" s="67" t="s">
        <v>148</v>
      </c>
    </row>
    <row r="7151" spans="1:9" x14ac:dyDescent="0.25">
      <c r="B7151" s="67" t="s">
        <v>1160</v>
      </c>
      <c r="C7151" s="67">
        <v>0</v>
      </c>
      <c r="D7151" s="67">
        <v>0</v>
      </c>
      <c r="E7151" s="67">
        <v>83900.45</v>
      </c>
      <c r="H7151" s="67" t="s">
        <v>146</v>
      </c>
    </row>
    <row r="7153" spans="1:9" x14ac:dyDescent="0.25">
      <c r="A7153" s="67" t="s">
        <v>1159</v>
      </c>
      <c r="B7153" s="67" t="s">
        <v>1158</v>
      </c>
      <c r="C7153" s="67">
        <v>0</v>
      </c>
      <c r="D7153" s="67">
        <v>0</v>
      </c>
      <c r="E7153" s="67">
        <v>83900.41</v>
      </c>
      <c r="F7153" s="67">
        <v>25250</v>
      </c>
      <c r="H7153" s="68">
        <v>40764</v>
      </c>
      <c r="I7153" s="67" t="s">
        <v>148</v>
      </c>
    </row>
    <row r="7154" spans="1:9" x14ac:dyDescent="0.25">
      <c r="B7154" s="67" t="s">
        <v>1158</v>
      </c>
      <c r="C7154" s="67">
        <v>0</v>
      </c>
      <c r="D7154" s="67">
        <v>0</v>
      </c>
      <c r="E7154" s="67">
        <v>83900.45</v>
      </c>
      <c r="H7154" s="67" t="s">
        <v>146</v>
      </c>
    </row>
    <row r="7156" spans="1:9" x14ac:dyDescent="0.25">
      <c r="A7156" s="67" t="s">
        <v>1157</v>
      </c>
      <c r="B7156" s="67" t="s">
        <v>1156</v>
      </c>
      <c r="C7156" s="67">
        <v>0</v>
      </c>
      <c r="D7156" s="67">
        <v>0</v>
      </c>
      <c r="E7156" s="67">
        <v>83900.41</v>
      </c>
      <c r="F7156" s="67">
        <v>25250</v>
      </c>
      <c r="H7156" s="68">
        <v>40764</v>
      </c>
      <c r="I7156" s="67" t="s">
        <v>148</v>
      </c>
    </row>
    <row r="7157" spans="1:9" x14ac:dyDescent="0.25">
      <c r="B7157" s="67" t="s">
        <v>1156</v>
      </c>
      <c r="C7157" s="67">
        <v>0</v>
      </c>
      <c r="D7157" s="67">
        <v>0</v>
      </c>
      <c r="E7157" s="67">
        <v>83900.45</v>
      </c>
      <c r="H7157" s="67" t="s">
        <v>146</v>
      </c>
    </row>
    <row r="7158" spans="1:9" x14ac:dyDescent="0.25">
      <c r="A7158" s="67" t="s">
        <v>233</v>
      </c>
    </row>
    <row r="7160" spans="1:9" x14ac:dyDescent="0.25">
      <c r="A7160" s="67" t="s">
        <v>232</v>
      </c>
      <c r="D7160" s="67" t="s">
        <v>231</v>
      </c>
      <c r="H7160" s="67" t="s">
        <v>148</v>
      </c>
      <c r="I7160" s="67" t="s">
        <v>230</v>
      </c>
    </row>
    <row r="7161" spans="1:9" x14ac:dyDescent="0.25">
      <c r="A7161" s="67">
        <v>41.1</v>
      </c>
      <c r="C7161" s="67" t="s">
        <v>215</v>
      </c>
      <c r="D7161" s="67" t="s">
        <v>229</v>
      </c>
      <c r="H7161" s="70">
        <v>44771</v>
      </c>
      <c r="I7161" s="69">
        <v>0.56736111111111109</v>
      </c>
    </row>
    <row r="7162" spans="1:9" x14ac:dyDescent="0.25">
      <c r="A7162" s="67" t="s">
        <v>228</v>
      </c>
      <c r="C7162" s="67" t="s">
        <v>227</v>
      </c>
      <c r="D7162" s="67" t="s">
        <v>226</v>
      </c>
      <c r="E7162" s="67">
        <v>589</v>
      </c>
      <c r="H7162" s="67" t="s">
        <v>225</v>
      </c>
      <c r="I7162" s="67">
        <v>124</v>
      </c>
    </row>
    <row r="7163" spans="1:9" x14ac:dyDescent="0.25">
      <c r="A7163" s="67" t="s">
        <v>884</v>
      </c>
    </row>
    <row r="7164" spans="1:9" x14ac:dyDescent="0.25">
      <c r="A7164" s="67" t="s">
        <v>223</v>
      </c>
      <c r="B7164" s="67" t="s">
        <v>222</v>
      </c>
      <c r="C7164" s="67" t="s">
        <v>221</v>
      </c>
      <c r="D7164" s="67" t="s">
        <v>220</v>
      </c>
      <c r="E7164" s="67" t="s">
        <v>219</v>
      </c>
      <c r="F7164" s="67" t="s">
        <v>217</v>
      </c>
      <c r="G7164" s="67" t="s">
        <v>218</v>
      </c>
      <c r="H7164" s="67" t="s">
        <v>217</v>
      </c>
      <c r="I7164" s="67" t="s">
        <v>216</v>
      </c>
    </row>
    <row r="7165" spans="1:9" x14ac:dyDescent="0.25">
      <c r="A7165" s="67" t="s">
        <v>215</v>
      </c>
      <c r="B7165" s="67" t="s">
        <v>214</v>
      </c>
      <c r="C7165" s="67" t="s">
        <v>213</v>
      </c>
      <c r="D7165" s="67" t="s">
        <v>212</v>
      </c>
      <c r="E7165" s="67" t="s">
        <v>211</v>
      </c>
      <c r="F7165" s="67" t="s">
        <v>210</v>
      </c>
      <c r="G7165" s="67" t="s">
        <v>209</v>
      </c>
      <c r="H7165" s="67" t="s">
        <v>208</v>
      </c>
      <c r="I7165" s="67" t="s">
        <v>207</v>
      </c>
    </row>
    <row r="7166" spans="1:9" x14ac:dyDescent="0.25">
      <c r="A7166" s="67" t="s">
        <v>206</v>
      </c>
      <c r="B7166" s="67" t="s">
        <v>205</v>
      </c>
      <c r="C7166" s="67" t="s">
        <v>204</v>
      </c>
      <c r="D7166" s="67" t="s">
        <v>203</v>
      </c>
      <c r="E7166" s="67" t="s">
        <v>202</v>
      </c>
      <c r="F7166" s="67" t="s">
        <v>201</v>
      </c>
      <c r="G7166" s="67" t="s">
        <v>200</v>
      </c>
      <c r="H7166" s="67" t="s">
        <v>199</v>
      </c>
    </row>
    <row r="7167" spans="1:9" x14ac:dyDescent="0.25">
      <c r="A7167" s="67" t="s">
        <v>1155</v>
      </c>
      <c r="B7167" s="67" t="s">
        <v>1154</v>
      </c>
      <c r="C7167" s="67">
        <v>0</v>
      </c>
      <c r="D7167" s="67">
        <v>0</v>
      </c>
      <c r="E7167" s="67">
        <v>83900.41</v>
      </c>
      <c r="F7167" s="67">
        <v>25250</v>
      </c>
      <c r="H7167" s="68">
        <v>40764</v>
      </c>
      <c r="I7167" s="67" t="s">
        <v>148</v>
      </c>
    </row>
    <row r="7168" spans="1:9" x14ac:dyDescent="0.25">
      <c r="B7168" s="67" t="s">
        <v>1154</v>
      </c>
      <c r="C7168" s="67">
        <v>0</v>
      </c>
      <c r="D7168" s="67">
        <v>0</v>
      </c>
      <c r="E7168" s="67">
        <v>83900.45</v>
      </c>
      <c r="H7168" s="67" t="s">
        <v>146</v>
      </c>
    </row>
    <row r="7170" spans="1:9" x14ac:dyDescent="0.25">
      <c r="A7170" s="67" t="s">
        <v>1153</v>
      </c>
      <c r="B7170" s="67" t="s">
        <v>1152</v>
      </c>
      <c r="C7170" s="67">
        <v>0</v>
      </c>
      <c r="D7170" s="67">
        <v>0</v>
      </c>
      <c r="E7170" s="67">
        <v>83900.41</v>
      </c>
      <c r="F7170" s="67">
        <v>25250</v>
      </c>
      <c r="H7170" s="68">
        <v>40764</v>
      </c>
      <c r="I7170" s="67" t="s">
        <v>148</v>
      </c>
    </row>
    <row r="7171" spans="1:9" x14ac:dyDescent="0.25">
      <c r="B7171" s="67" t="s">
        <v>1152</v>
      </c>
      <c r="C7171" s="67">
        <v>0</v>
      </c>
      <c r="D7171" s="67">
        <v>0</v>
      </c>
      <c r="E7171" s="67">
        <v>83900.45</v>
      </c>
      <c r="H7171" s="67" t="s">
        <v>146</v>
      </c>
    </row>
    <row r="7173" spans="1:9" x14ac:dyDescent="0.25">
      <c r="A7173" s="67" t="s">
        <v>1151</v>
      </c>
      <c r="B7173" s="67" t="s">
        <v>1150</v>
      </c>
      <c r="C7173" s="67">
        <v>0</v>
      </c>
      <c r="D7173" s="67">
        <v>0</v>
      </c>
      <c r="E7173" s="67">
        <v>83900.41</v>
      </c>
      <c r="F7173" s="67">
        <v>25250</v>
      </c>
      <c r="H7173" s="68">
        <v>40764</v>
      </c>
      <c r="I7173" s="67" t="s">
        <v>148</v>
      </c>
    </row>
    <row r="7174" spans="1:9" x14ac:dyDescent="0.25">
      <c r="B7174" s="67" t="s">
        <v>1150</v>
      </c>
      <c r="C7174" s="67">
        <v>0</v>
      </c>
      <c r="D7174" s="67">
        <v>0</v>
      </c>
      <c r="E7174" s="67">
        <v>83900.45</v>
      </c>
      <c r="H7174" s="67" t="s">
        <v>146</v>
      </c>
    </row>
    <row r="7176" spans="1:9" x14ac:dyDescent="0.25">
      <c r="A7176" s="67" t="s">
        <v>1149</v>
      </c>
      <c r="B7176" s="67" t="s">
        <v>1148</v>
      </c>
      <c r="C7176" s="67">
        <v>0</v>
      </c>
      <c r="D7176" s="67">
        <v>0</v>
      </c>
      <c r="E7176" s="67">
        <v>83900.41</v>
      </c>
      <c r="F7176" s="67">
        <v>25250</v>
      </c>
      <c r="H7176" s="68">
        <v>40764</v>
      </c>
      <c r="I7176" s="67" t="s">
        <v>148</v>
      </c>
    </row>
    <row r="7177" spans="1:9" x14ac:dyDescent="0.25">
      <c r="B7177" s="67" t="s">
        <v>1148</v>
      </c>
      <c r="C7177" s="67">
        <v>0</v>
      </c>
      <c r="D7177" s="67">
        <v>0</v>
      </c>
      <c r="E7177" s="67">
        <v>83900.45</v>
      </c>
      <c r="H7177" s="67" t="s">
        <v>146</v>
      </c>
    </row>
    <row r="7179" spans="1:9" x14ac:dyDescent="0.25">
      <c r="A7179" s="67" t="s">
        <v>1147</v>
      </c>
      <c r="B7179" s="67" t="s">
        <v>1146</v>
      </c>
      <c r="C7179" s="67">
        <v>0</v>
      </c>
      <c r="D7179" s="67">
        <v>0</v>
      </c>
      <c r="E7179" s="67">
        <v>83900.41</v>
      </c>
      <c r="F7179" s="67">
        <v>25250</v>
      </c>
      <c r="H7179" s="68">
        <v>40764</v>
      </c>
      <c r="I7179" s="67" t="s">
        <v>148</v>
      </c>
    </row>
    <row r="7180" spans="1:9" x14ac:dyDescent="0.25">
      <c r="B7180" s="67" t="s">
        <v>1146</v>
      </c>
      <c r="C7180" s="67">
        <v>0</v>
      </c>
      <c r="D7180" s="67">
        <v>0</v>
      </c>
      <c r="E7180" s="67">
        <v>83900.45</v>
      </c>
      <c r="H7180" s="67" t="s">
        <v>146</v>
      </c>
    </row>
    <row r="7182" spans="1:9" x14ac:dyDescent="0.25">
      <c r="A7182" s="67" t="s">
        <v>1145</v>
      </c>
      <c r="B7182" s="67" t="s">
        <v>1144</v>
      </c>
      <c r="C7182" s="67">
        <v>0</v>
      </c>
      <c r="D7182" s="67">
        <v>0</v>
      </c>
      <c r="E7182" s="67">
        <v>83900.41</v>
      </c>
      <c r="F7182" s="67">
        <v>25250</v>
      </c>
      <c r="H7182" s="68">
        <v>40764</v>
      </c>
      <c r="I7182" s="67" t="s">
        <v>148</v>
      </c>
    </row>
    <row r="7183" spans="1:9" x14ac:dyDescent="0.25">
      <c r="B7183" s="67" t="s">
        <v>1144</v>
      </c>
      <c r="C7183" s="67">
        <v>0</v>
      </c>
      <c r="D7183" s="67">
        <v>0</v>
      </c>
      <c r="E7183" s="67">
        <v>83900.45</v>
      </c>
      <c r="H7183" s="67" t="s">
        <v>146</v>
      </c>
    </row>
    <row r="7185" spans="1:9" x14ac:dyDescent="0.25">
      <c r="A7185" s="67" t="s">
        <v>1143</v>
      </c>
      <c r="B7185" s="67" t="s">
        <v>1142</v>
      </c>
      <c r="C7185" s="67">
        <v>0</v>
      </c>
      <c r="D7185" s="67">
        <v>0</v>
      </c>
      <c r="E7185" s="67">
        <v>83900.41</v>
      </c>
      <c r="F7185" s="67">
        <v>25250</v>
      </c>
      <c r="H7185" s="68">
        <v>40764</v>
      </c>
      <c r="I7185" s="67" t="s">
        <v>148</v>
      </c>
    </row>
    <row r="7186" spans="1:9" x14ac:dyDescent="0.25">
      <c r="B7186" s="67" t="s">
        <v>1142</v>
      </c>
      <c r="C7186" s="67">
        <v>0</v>
      </c>
      <c r="D7186" s="67">
        <v>0</v>
      </c>
      <c r="E7186" s="67">
        <v>83900.45</v>
      </c>
      <c r="H7186" s="67" t="s">
        <v>146</v>
      </c>
    </row>
    <row r="7188" spans="1:9" x14ac:dyDescent="0.25">
      <c r="A7188" s="67" t="s">
        <v>1141</v>
      </c>
      <c r="B7188" s="67" t="s">
        <v>1140</v>
      </c>
      <c r="C7188" s="67">
        <v>0</v>
      </c>
      <c r="D7188" s="67">
        <v>0</v>
      </c>
      <c r="E7188" s="67">
        <v>83900.41</v>
      </c>
      <c r="F7188" s="67">
        <v>25250</v>
      </c>
      <c r="H7188" s="68">
        <v>40764</v>
      </c>
      <c r="I7188" s="67" t="s">
        <v>148</v>
      </c>
    </row>
    <row r="7189" spans="1:9" x14ac:dyDescent="0.25">
      <c r="B7189" s="67" t="s">
        <v>1140</v>
      </c>
      <c r="C7189" s="67">
        <v>0</v>
      </c>
      <c r="D7189" s="67">
        <v>0</v>
      </c>
      <c r="E7189" s="67">
        <v>83900.45</v>
      </c>
      <c r="H7189" s="67" t="s">
        <v>146</v>
      </c>
    </row>
    <row r="7191" spans="1:9" x14ac:dyDescent="0.25">
      <c r="A7191" s="67" t="s">
        <v>1139</v>
      </c>
      <c r="B7191" s="67" t="s">
        <v>1138</v>
      </c>
      <c r="C7191" s="67">
        <v>0</v>
      </c>
      <c r="D7191" s="67">
        <v>0</v>
      </c>
      <c r="E7191" s="67">
        <v>83900.41</v>
      </c>
      <c r="F7191" s="67">
        <v>25250</v>
      </c>
      <c r="H7191" s="68">
        <v>40764</v>
      </c>
      <c r="I7191" s="67" t="s">
        <v>148</v>
      </c>
    </row>
    <row r="7192" spans="1:9" x14ac:dyDescent="0.25">
      <c r="B7192" s="67" t="s">
        <v>1138</v>
      </c>
      <c r="C7192" s="67">
        <v>0</v>
      </c>
      <c r="D7192" s="67">
        <v>0</v>
      </c>
      <c r="E7192" s="67">
        <v>83900.45</v>
      </c>
      <c r="H7192" s="67" t="s">
        <v>146</v>
      </c>
    </row>
    <row r="7194" spans="1:9" x14ac:dyDescent="0.25">
      <c r="A7194" s="67" t="s">
        <v>1137</v>
      </c>
      <c r="B7194" s="67" t="s">
        <v>1136</v>
      </c>
      <c r="C7194" s="67">
        <v>0</v>
      </c>
      <c r="D7194" s="67">
        <v>0</v>
      </c>
      <c r="E7194" s="67">
        <v>83900.41</v>
      </c>
      <c r="F7194" s="67">
        <v>25250</v>
      </c>
      <c r="H7194" s="68">
        <v>40764</v>
      </c>
      <c r="I7194" s="67" t="s">
        <v>148</v>
      </c>
    </row>
    <row r="7195" spans="1:9" x14ac:dyDescent="0.25">
      <c r="B7195" s="67" t="s">
        <v>1136</v>
      </c>
      <c r="C7195" s="67">
        <v>0</v>
      </c>
      <c r="D7195" s="67">
        <v>0</v>
      </c>
      <c r="E7195" s="67">
        <v>83900.45</v>
      </c>
      <c r="H7195" s="67" t="s">
        <v>146</v>
      </c>
    </row>
    <row r="7197" spans="1:9" x14ac:dyDescent="0.25">
      <c r="A7197" s="67" t="s">
        <v>1135</v>
      </c>
      <c r="B7197" s="67" t="s">
        <v>1134</v>
      </c>
      <c r="C7197" s="67">
        <v>0</v>
      </c>
      <c r="D7197" s="67">
        <v>0</v>
      </c>
      <c r="E7197" s="67">
        <v>83900.41</v>
      </c>
      <c r="F7197" s="67">
        <v>25250</v>
      </c>
      <c r="H7197" s="68">
        <v>40764</v>
      </c>
      <c r="I7197" s="67" t="s">
        <v>148</v>
      </c>
    </row>
    <row r="7198" spans="1:9" x14ac:dyDescent="0.25">
      <c r="B7198" s="67" t="s">
        <v>1134</v>
      </c>
      <c r="C7198" s="67">
        <v>0</v>
      </c>
      <c r="D7198" s="67">
        <v>0</v>
      </c>
      <c r="E7198" s="67">
        <v>83900.45</v>
      </c>
      <c r="H7198" s="67" t="s">
        <v>146</v>
      </c>
    </row>
    <row r="7200" spans="1:9" x14ac:dyDescent="0.25">
      <c r="A7200" s="67" t="s">
        <v>1133</v>
      </c>
      <c r="B7200" s="67" t="s">
        <v>1132</v>
      </c>
      <c r="C7200" s="67">
        <v>0</v>
      </c>
      <c r="D7200" s="67">
        <v>0</v>
      </c>
      <c r="E7200" s="67">
        <v>83900.41</v>
      </c>
      <c r="F7200" s="67">
        <v>25250</v>
      </c>
      <c r="H7200" s="68">
        <v>40764</v>
      </c>
      <c r="I7200" s="67" t="s">
        <v>148</v>
      </c>
    </row>
    <row r="7201" spans="1:9" x14ac:dyDescent="0.25">
      <c r="B7201" s="67" t="s">
        <v>1132</v>
      </c>
      <c r="C7201" s="67">
        <v>0</v>
      </c>
      <c r="D7201" s="67">
        <v>0</v>
      </c>
      <c r="E7201" s="67">
        <v>83900.45</v>
      </c>
      <c r="H7201" s="67" t="s">
        <v>146</v>
      </c>
    </row>
    <row r="7203" spans="1:9" x14ac:dyDescent="0.25">
      <c r="A7203" s="67" t="s">
        <v>1131</v>
      </c>
      <c r="B7203" s="67" t="s">
        <v>1130</v>
      </c>
      <c r="C7203" s="67">
        <v>0</v>
      </c>
      <c r="D7203" s="67">
        <v>0</v>
      </c>
      <c r="E7203" s="67">
        <v>83900.41</v>
      </c>
      <c r="F7203" s="67">
        <v>25250</v>
      </c>
      <c r="H7203" s="68">
        <v>40764</v>
      </c>
      <c r="I7203" s="67" t="s">
        <v>148</v>
      </c>
    </row>
    <row r="7204" spans="1:9" x14ac:dyDescent="0.25">
      <c r="B7204" s="67" t="s">
        <v>1130</v>
      </c>
      <c r="C7204" s="67">
        <v>0</v>
      </c>
      <c r="D7204" s="67">
        <v>0</v>
      </c>
      <c r="E7204" s="67">
        <v>83900.45</v>
      </c>
      <c r="H7204" s="67" t="s">
        <v>146</v>
      </c>
    </row>
    <row r="7206" spans="1:9" x14ac:dyDescent="0.25">
      <c r="A7206" s="67" t="s">
        <v>1129</v>
      </c>
      <c r="B7206" s="67" t="s">
        <v>1128</v>
      </c>
      <c r="C7206" s="67">
        <v>0</v>
      </c>
      <c r="D7206" s="67">
        <v>0</v>
      </c>
      <c r="E7206" s="67">
        <v>83900.41</v>
      </c>
      <c r="F7206" s="67">
        <v>25250</v>
      </c>
      <c r="H7206" s="68">
        <v>40764</v>
      </c>
      <c r="I7206" s="67" t="s">
        <v>148</v>
      </c>
    </row>
    <row r="7207" spans="1:9" x14ac:dyDescent="0.25">
      <c r="B7207" s="67" t="s">
        <v>1128</v>
      </c>
      <c r="C7207" s="67">
        <v>0</v>
      </c>
      <c r="D7207" s="67">
        <v>0</v>
      </c>
      <c r="E7207" s="67">
        <v>83900.45</v>
      </c>
      <c r="H7207" s="67" t="s">
        <v>146</v>
      </c>
    </row>
    <row r="7209" spans="1:9" x14ac:dyDescent="0.25">
      <c r="A7209" s="67" t="s">
        <v>1127</v>
      </c>
      <c r="B7209" s="67" t="s">
        <v>1126</v>
      </c>
      <c r="C7209" s="67">
        <v>0</v>
      </c>
      <c r="D7209" s="67">
        <v>0</v>
      </c>
      <c r="E7209" s="67">
        <v>83900.41</v>
      </c>
      <c r="F7209" s="67">
        <v>25250</v>
      </c>
      <c r="H7209" s="68">
        <v>40764</v>
      </c>
      <c r="I7209" s="67" t="s">
        <v>148</v>
      </c>
    </row>
    <row r="7210" spans="1:9" x14ac:dyDescent="0.25">
      <c r="B7210" s="67" t="s">
        <v>1126</v>
      </c>
      <c r="C7210" s="67">
        <v>0</v>
      </c>
      <c r="D7210" s="67">
        <v>0</v>
      </c>
      <c r="E7210" s="67">
        <v>83900.45</v>
      </c>
      <c r="H7210" s="67" t="s">
        <v>146</v>
      </c>
    </row>
    <row r="7212" spans="1:9" x14ac:dyDescent="0.25">
      <c r="A7212" s="67" t="s">
        <v>1125</v>
      </c>
      <c r="B7212" s="67" t="s">
        <v>1124</v>
      </c>
      <c r="C7212" s="67">
        <v>0</v>
      </c>
      <c r="D7212" s="67">
        <v>0</v>
      </c>
      <c r="E7212" s="67">
        <v>83900.41</v>
      </c>
      <c r="F7212" s="67">
        <v>25250</v>
      </c>
      <c r="H7212" s="68">
        <v>40764</v>
      </c>
      <c r="I7212" s="67" t="s">
        <v>148</v>
      </c>
    </row>
    <row r="7213" spans="1:9" x14ac:dyDescent="0.25">
      <c r="B7213" s="67" t="s">
        <v>1124</v>
      </c>
      <c r="C7213" s="67">
        <v>0</v>
      </c>
      <c r="D7213" s="67">
        <v>0</v>
      </c>
      <c r="E7213" s="67">
        <v>83900.45</v>
      </c>
      <c r="H7213" s="67" t="s">
        <v>146</v>
      </c>
    </row>
    <row r="7215" spans="1:9" x14ac:dyDescent="0.25">
      <c r="A7215" s="67" t="s">
        <v>1123</v>
      </c>
      <c r="B7215" s="67" t="s">
        <v>1122</v>
      </c>
      <c r="C7215" s="67">
        <v>0</v>
      </c>
      <c r="D7215" s="67">
        <v>0</v>
      </c>
      <c r="E7215" s="67">
        <v>83900.41</v>
      </c>
      <c r="F7215" s="67">
        <v>25250</v>
      </c>
      <c r="H7215" s="68">
        <v>40764</v>
      </c>
      <c r="I7215" s="67" t="s">
        <v>148</v>
      </c>
    </row>
    <row r="7216" spans="1:9" x14ac:dyDescent="0.25">
      <c r="B7216" s="67" t="s">
        <v>1122</v>
      </c>
      <c r="C7216" s="67">
        <v>0</v>
      </c>
      <c r="D7216" s="67">
        <v>0</v>
      </c>
      <c r="E7216" s="67">
        <v>83900.45</v>
      </c>
      <c r="H7216" s="67" t="s">
        <v>146</v>
      </c>
    </row>
    <row r="7217" spans="1:9" x14ac:dyDescent="0.25">
      <c r="A7217" s="67" t="s">
        <v>233</v>
      </c>
    </row>
    <row r="7219" spans="1:9" x14ac:dyDescent="0.25">
      <c r="A7219" s="67" t="s">
        <v>232</v>
      </c>
      <c r="D7219" s="67" t="s">
        <v>231</v>
      </c>
      <c r="H7219" s="67" t="s">
        <v>148</v>
      </c>
      <c r="I7219" s="67" t="s">
        <v>230</v>
      </c>
    </row>
    <row r="7220" spans="1:9" x14ac:dyDescent="0.25">
      <c r="A7220" s="67">
        <v>41.1</v>
      </c>
      <c r="C7220" s="67" t="s">
        <v>215</v>
      </c>
      <c r="D7220" s="67" t="s">
        <v>229</v>
      </c>
      <c r="H7220" s="70">
        <v>44771</v>
      </c>
      <c r="I7220" s="69">
        <v>0.56736111111111109</v>
      </c>
    </row>
    <row r="7221" spans="1:9" x14ac:dyDescent="0.25">
      <c r="A7221" s="67" t="s">
        <v>228</v>
      </c>
      <c r="C7221" s="67" t="s">
        <v>227</v>
      </c>
      <c r="D7221" s="67" t="s">
        <v>226</v>
      </c>
      <c r="E7221" s="67">
        <v>589</v>
      </c>
      <c r="H7221" s="67" t="s">
        <v>225</v>
      </c>
      <c r="I7221" s="67">
        <v>125</v>
      </c>
    </row>
    <row r="7222" spans="1:9" x14ac:dyDescent="0.25">
      <c r="A7222" s="67" t="s">
        <v>884</v>
      </c>
    </row>
    <row r="7223" spans="1:9" x14ac:dyDescent="0.25">
      <c r="A7223" s="67" t="s">
        <v>223</v>
      </c>
      <c r="B7223" s="67" t="s">
        <v>222</v>
      </c>
      <c r="C7223" s="67" t="s">
        <v>221</v>
      </c>
      <c r="D7223" s="67" t="s">
        <v>220</v>
      </c>
      <c r="E7223" s="67" t="s">
        <v>219</v>
      </c>
      <c r="F7223" s="67" t="s">
        <v>217</v>
      </c>
      <c r="G7223" s="67" t="s">
        <v>218</v>
      </c>
      <c r="H7223" s="67" t="s">
        <v>217</v>
      </c>
      <c r="I7223" s="67" t="s">
        <v>216</v>
      </c>
    </row>
    <row r="7224" spans="1:9" x14ac:dyDescent="0.25">
      <c r="A7224" s="67" t="s">
        <v>215</v>
      </c>
      <c r="B7224" s="67" t="s">
        <v>214</v>
      </c>
      <c r="C7224" s="67" t="s">
        <v>213</v>
      </c>
      <c r="D7224" s="67" t="s">
        <v>212</v>
      </c>
      <c r="E7224" s="67" t="s">
        <v>211</v>
      </c>
      <c r="F7224" s="67" t="s">
        <v>210</v>
      </c>
      <c r="G7224" s="67" t="s">
        <v>209</v>
      </c>
      <c r="H7224" s="67" t="s">
        <v>208</v>
      </c>
      <c r="I7224" s="67" t="s">
        <v>207</v>
      </c>
    </row>
    <row r="7225" spans="1:9" x14ac:dyDescent="0.25">
      <c r="A7225" s="67" t="s">
        <v>206</v>
      </c>
      <c r="B7225" s="67" t="s">
        <v>205</v>
      </c>
      <c r="C7225" s="67" t="s">
        <v>204</v>
      </c>
      <c r="D7225" s="67" t="s">
        <v>203</v>
      </c>
      <c r="E7225" s="67" t="s">
        <v>202</v>
      </c>
      <c r="F7225" s="67" t="s">
        <v>201</v>
      </c>
      <c r="G7225" s="67" t="s">
        <v>200</v>
      </c>
      <c r="H7225" s="67" t="s">
        <v>199</v>
      </c>
    </row>
    <row r="7226" spans="1:9" x14ac:dyDescent="0.25">
      <c r="A7226" s="67" t="s">
        <v>1121</v>
      </c>
      <c r="B7226" s="67" t="s">
        <v>1120</v>
      </c>
      <c r="C7226" s="67">
        <v>0</v>
      </c>
      <c r="D7226" s="67">
        <v>0</v>
      </c>
      <c r="E7226" s="67">
        <v>83900.41</v>
      </c>
      <c r="F7226" s="67">
        <v>25250</v>
      </c>
      <c r="H7226" s="68">
        <v>40764</v>
      </c>
      <c r="I7226" s="67" t="s">
        <v>148</v>
      </c>
    </row>
    <row r="7227" spans="1:9" x14ac:dyDescent="0.25">
      <c r="B7227" s="67" t="s">
        <v>1120</v>
      </c>
      <c r="C7227" s="67">
        <v>0</v>
      </c>
      <c r="D7227" s="67">
        <v>0</v>
      </c>
      <c r="E7227" s="67">
        <v>83900.45</v>
      </c>
      <c r="H7227" s="67" t="s">
        <v>146</v>
      </c>
    </row>
    <row r="7229" spans="1:9" x14ac:dyDescent="0.25">
      <c r="A7229" s="67" t="s">
        <v>1119</v>
      </c>
      <c r="B7229" s="67" t="s">
        <v>1118</v>
      </c>
      <c r="C7229" s="67">
        <v>0</v>
      </c>
      <c r="D7229" s="67">
        <v>0</v>
      </c>
      <c r="E7229" s="67">
        <v>83900.41</v>
      </c>
      <c r="F7229" s="67">
        <v>25250</v>
      </c>
      <c r="H7229" s="68">
        <v>40764</v>
      </c>
      <c r="I7229" s="67" t="s">
        <v>148</v>
      </c>
    </row>
    <row r="7230" spans="1:9" x14ac:dyDescent="0.25">
      <c r="B7230" s="67" t="s">
        <v>1118</v>
      </c>
      <c r="C7230" s="67">
        <v>0</v>
      </c>
      <c r="D7230" s="67">
        <v>0</v>
      </c>
      <c r="E7230" s="67">
        <v>83900.45</v>
      </c>
      <c r="H7230" s="67" t="s">
        <v>146</v>
      </c>
    </row>
    <row r="7232" spans="1:9" x14ac:dyDescent="0.25">
      <c r="A7232" s="67" t="s">
        <v>1117</v>
      </c>
      <c r="B7232" s="67" t="s">
        <v>1116</v>
      </c>
      <c r="C7232" s="67">
        <v>0</v>
      </c>
      <c r="D7232" s="67">
        <v>0</v>
      </c>
      <c r="E7232" s="67">
        <v>83900.41</v>
      </c>
      <c r="F7232" s="67">
        <v>25250</v>
      </c>
      <c r="H7232" s="68">
        <v>40764</v>
      </c>
      <c r="I7232" s="67" t="s">
        <v>148</v>
      </c>
    </row>
    <row r="7233" spans="1:9" x14ac:dyDescent="0.25">
      <c r="B7233" s="67" t="s">
        <v>1116</v>
      </c>
      <c r="C7233" s="67">
        <v>0</v>
      </c>
      <c r="D7233" s="67">
        <v>0</v>
      </c>
      <c r="E7233" s="67">
        <v>83900.45</v>
      </c>
      <c r="H7233" s="67" t="s">
        <v>146</v>
      </c>
    </row>
    <row r="7235" spans="1:9" x14ac:dyDescent="0.25">
      <c r="A7235" s="67" t="s">
        <v>1115</v>
      </c>
      <c r="B7235" s="67" t="s">
        <v>1114</v>
      </c>
      <c r="C7235" s="67">
        <v>0</v>
      </c>
      <c r="D7235" s="67">
        <v>0</v>
      </c>
      <c r="E7235" s="67">
        <v>83900.41</v>
      </c>
      <c r="F7235" s="67">
        <v>25250</v>
      </c>
      <c r="H7235" s="68">
        <v>40764</v>
      </c>
      <c r="I7235" s="67" t="s">
        <v>148</v>
      </c>
    </row>
    <row r="7236" spans="1:9" x14ac:dyDescent="0.25">
      <c r="B7236" s="67" t="s">
        <v>1114</v>
      </c>
      <c r="C7236" s="67">
        <v>0</v>
      </c>
      <c r="D7236" s="67">
        <v>0</v>
      </c>
      <c r="E7236" s="67">
        <v>83900.45</v>
      </c>
      <c r="H7236" s="67" t="s">
        <v>146</v>
      </c>
    </row>
    <row r="7238" spans="1:9" x14ac:dyDescent="0.25">
      <c r="A7238" s="67" t="s">
        <v>1113</v>
      </c>
      <c r="B7238" s="67" t="s">
        <v>1112</v>
      </c>
      <c r="C7238" s="67">
        <v>0</v>
      </c>
      <c r="D7238" s="67">
        <v>0</v>
      </c>
      <c r="E7238" s="67">
        <v>83900.41</v>
      </c>
      <c r="F7238" s="67">
        <v>25250</v>
      </c>
      <c r="H7238" s="68">
        <v>40764</v>
      </c>
      <c r="I7238" s="67" t="s">
        <v>148</v>
      </c>
    </row>
    <row r="7239" spans="1:9" x14ac:dyDescent="0.25">
      <c r="B7239" s="67" t="s">
        <v>1112</v>
      </c>
      <c r="C7239" s="67">
        <v>0</v>
      </c>
      <c r="D7239" s="67">
        <v>0</v>
      </c>
      <c r="E7239" s="67">
        <v>83900.45</v>
      </c>
      <c r="H7239" s="67" t="s">
        <v>146</v>
      </c>
    </row>
    <row r="7241" spans="1:9" x14ac:dyDescent="0.25">
      <c r="A7241" s="67" t="s">
        <v>1111</v>
      </c>
      <c r="B7241" s="67" t="s">
        <v>1110</v>
      </c>
      <c r="C7241" s="67">
        <v>0</v>
      </c>
      <c r="D7241" s="67">
        <v>0</v>
      </c>
      <c r="E7241" s="67">
        <v>83900.41</v>
      </c>
      <c r="F7241" s="67">
        <v>25250</v>
      </c>
      <c r="H7241" s="68">
        <v>40764</v>
      </c>
      <c r="I7241" s="67" t="s">
        <v>148</v>
      </c>
    </row>
    <row r="7242" spans="1:9" x14ac:dyDescent="0.25">
      <c r="B7242" s="67" t="s">
        <v>1110</v>
      </c>
      <c r="C7242" s="67">
        <v>0</v>
      </c>
      <c r="D7242" s="67">
        <v>0</v>
      </c>
      <c r="E7242" s="67">
        <v>83900.45</v>
      </c>
      <c r="H7242" s="67" t="s">
        <v>146</v>
      </c>
    </row>
    <row r="7244" spans="1:9" x14ac:dyDescent="0.25">
      <c r="A7244" s="67" t="s">
        <v>1109</v>
      </c>
      <c r="B7244" s="67" t="s">
        <v>1108</v>
      </c>
      <c r="C7244" s="67">
        <v>0</v>
      </c>
      <c r="D7244" s="67">
        <v>0</v>
      </c>
      <c r="E7244" s="67">
        <v>83900.41</v>
      </c>
      <c r="F7244" s="67">
        <v>25250</v>
      </c>
      <c r="H7244" s="68">
        <v>40764</v>
      </c>
      <c r="I7244" s="67" t="s">
        <v>148</v>
      </c>
    </row>
    <row r="7245" spans="1:9" x14ac:dyDescent="0.25">
      <c r="B7245" s="67" t="s">
        <v>1108</v>
      </c>
      <c r="C7245" s="67">
        <v>0</v>
      </c>
      <c r="D7245" s="67">
        <v>0</v>
      </c>
      <c r="E7245" s="67">
        <v>83900.45</v>
      </c>
      <c r="H7245" s="67" t="s">
        <v>146</v>
      </c>
    </row>
    <row r="7247" spans="1:9" x14ac:dyDescent="0.25">
      <c r="A7247" s="67" t="s">
        <v>1107</v>
      </c>
      <c r="B7247" s="67" t="s">
        <v>1106</v>
      </c>
      <c r="C7247" s="67">
        <v>0</v>
      </c>
      <c r="D7247" s="67">
        <v>0</v>
      </c>
      <c r="E7247" s="67">
        <v>83900.41</v>
      </c>
      <c r="F7247" s="67">
        <v>25250</v>
      </c>
      <c r="H7247" s="68">
        <v>40764</v>
      </c>
      <c r="I7247" s="67" t="s">
        <v>148</v>
      </c>
    </row>
    <row r="7248" spans="1:9" x14ac:dyDescent="0.25">
      <c r="B7248" s="67" t="s">
        <v>1106</v>
      </c>
      <c r="C7248" s="67">
        <v>0</v>
      </c>
      <c r="D7248" s="67">
        <v>0</v>
      </c>
      <c r="E7248" s="67">
        <v>83900.45</v>
      </c>
      <c r="H7248" s="67" t="s">
        <v>146</v>
      </c>
    </row>
    <row r="7250" spans="1:9" x14ac:dyDescent="0.25">
      <c r="A7250" s="67" t="s">
        <v>1105</v>
      </c>
      <c r="B7250" s="67" t="s">
        <v>1104</v>
      </c>
      <c r="C7250" s="67">
        <v>0</v>
      </c>
      <c r="D7250" s="67">
        <v>0</v>
      </c>
      <c r="E7250" s="67">
        <v>83900.41</v>
      </c>
      <c r="F7250" s="67">
        <v>25250</v>
      </c>
      <c r="H7250" s="68">
        <v>40764</v>
      </c>
      <c r="I7250" s="67" t="s">
        <v>148</v>
      </c>
    </row>
    <row r="7251" spans="1:9" x14ac:dyDescent="0.25">
      <c r="B7251" s="67" t="s">
        <v>1104</v>
      </c>
      <c r="C7251" s="67">
        <v>0</v>
      </c>
      <c r="D7251" s="67">
        <v>0</v>
      </c>
      <c r="E7251" s="67">
        <v>83900.45</v>
      </c>
      <c r="H7251" s="67" t="s">
        <v>146</v>
      </c>
    </row>
    <row r="7253" spans="1:9" x14ac:dyDescent="0.25">
      <c r="A7253" s="67" t="s">
        <v>1103</v>
      </c>
      <c r="B7253" s="67" t="s">
        <v>1102</v>
      </c>
      <c r="C7253" s="67">
        <v>0</v>
      </c>
      <c r="D7253" s="67">
        <v>0</v>
      </c>
      <c r="E7253" s="67">
        <v>83900.41</v>
      </c>
      <c r="F7253" s="67">
        <v>25250</v>
      </c>
      <c r="H7253" s="68">
        <v>40764</v>
      </c>
      <c r="I7253" s="67" t="s">
        <v>148</v>
      </c>
    </row>
    <row r="7254" spans="1:9" x14ac:dyDescent="0.25">
      <c r="B7254" s="67" t="s">
        <v>1102</v>
      </c>
      <c r="C7254" s="67">
        <v>0</v>
      </c>
      <c r="D7254" s="67">
        <v>0</v>
      </c>
      <c r="E7254" s="67">
        <v>83900.45</v>
      </c>
      <c r="H7254" s="67" t="s">
        <v>146</v>
      </c>
    </row>
    <row r="7256" spans="1:9" x14ac:dyDescent="0.25">
      <c r="A7256" s="67" t="s">
        <v>1101</v>
      </c>
      <c r="B7256" s="67" t="s">
        <v>1100</v>
      </c>
      <c r="C7256" s="67">
        <v>0</v>
      </c>
      <c r="D7256" s="67">
        <v>0</v>
      </c>
      <c r="E7256" s="67">
        <v>83900.41</v>
      </c>
      <c r="F7256" s="67">
        <v>25250</v>
      </c>
      <c r="H7256" s="68">
        <v>40764</v>
      </c>
      <c r="I7256" s="67" t="s">
        <v>148</v>
      </c>
    </row>
    <row r="7257" spans="1:9" x14ac:dyDescent="0.25">
      <c r="B7257" s="67" t="s">
        <v>1100</v>
      </c>
      <c r="C7257" s="67">
        <v>0</v>
      </c>
      <c r="D7257" s="67">
        <v>0</v>
      </c>
      <c r="E7257" s="67">
        <v>83900.45</v>
      </c>
      <c r="H7257" s="67" t="s">
        <v>146</v>
      </c>
    </row>
    <row r="7259" spans="1:9" x14ac:dyDescent="0.25">
      <c r="A7259" s="67" t="s">
        <v>1099</v>
      </c>
      <c r="B7259" s="67" t="s">
        <v>1098</v>
      </c>
      <c r="C7259" s="67">
        <v>0</v>
      </c>
      <c r="D7259" s="67">
        <v>0</v>
      </c>
      <c r="E7259" s="67">
        <v>83900.41</v>
      </c>
      <c r="F7259" s="67">
        <v>25250</v>
      </c>
      <c r="H7259" s="68">
        <v>40764</v>
      </c>
      <c r="I7259" s="67" t="s">
        <v>148</v>
      </c>
    </row>
    <row r="7260" spans="1:9" x14ac:dyDescent="0.25">
      <c r="B7260" s="67" t="s">
        <v>1098</v>
      </c>
      <c r="C7260" s="67">
        <v>0</v>
      </c>
      <c r="D7260" s="67">
        <v>0</v>
      </c>
      <c r="E7260" s="67">
        <v>83900.45</v>
      </c>
      <c r="H7260" s="67" t="s">
        <v>146</v>
      </c>
    </row>
    <row r="7262" spans="1:9" x14ac:dyDescent="0.25">
      <c r="A7262" s="67" t="s">
        <v>1097</v>
      </c>
      <c r="B7262" s="67" t="s">
        <v>1096</v>
      </c>
      <c r="C7262" s="67">
        <v>0</v>
      </c>
      <c r="D7262" s="67">
        <v>0</v>
      </c>
      <c r="E7262" s="67">
        <v>83900.41</v>
      </c>
      <c r="F7262" s="67">
        <v>25250</v>
      </c>
      <c r="H7262" s="68">
        <v>40764</v>
      </c>
      <c r="I7262" s="67" t="s">
        <v>148</v>
      </c>
    </row>
    <row r="7263" spans="1:9" x14ac:dyDescent="0.25">
      <c r="B7263" s="67" t="s">
        <v>1096</v>
      </c>
      <c r="C7263" s="67">
        <v>0</v>
      </c>
      <c r="D7263" s="67">
        <v>0</v>
      </c>
      <c r="E7263" s="67">
        <v>83900.45</v>
      </c>
      <c r="H7263" s="67" t="s">
        <v>146</v>
      </c>
    </row>
    <row r="7265" spans="1:9" x14ac:dyDescent="0.25">
      <c r="A7265" s="67" t="s">
        <v>1095</v>
      </c>
      <c r="B7265" s="67" t="s">
        <v>1094</v>
      </c>
      <c r="C7265" s="67">
        <v>0</v>
      </c>
      <c r="D7265" s="67">
        <v>0</v>
      </c>
      <c r="E7265" s="67">
        <v>83900.41</v>
      </c>
      <c r="F7265" s="67">
        <v>25250</v>
      </c>
      <c r="H7265" s="68">
        <v>40764</v>
      </c>
      <c r="I7265" s="67" t="s">
        <v>148</v>
      </c>
    </row>
    <row r="7266" spans="1:9" x14ac:dyDescent="0.25">
      <c r="B7266" s="67" t="s">
        <v>1094</v>
      </c>
      <c r="C7266" s="67">
        <v>0</v>
      </c>
      <c r="D7266" s="67">
        <v>0</v>
      </c>
      <c r="E7266" s="67">
        <v>83900.45</v>
      </c>
      <c r="H7266" s="67" t="s">
        <v>146</v>
      </c>
    </row>
    <row r="7268" spans="1:9" x14ac:dyDescent="0.25">
      <c r="A7268" s="67" t="s">
        <v>1093</v>
      </c>
      <c r="B7268" s="67" t="s">
        <v>1092</v>
      </c>
      <c r="C7268" s="67">
        <v>0</v>
      </c>
      <c r="D7268" s="67">
        <v>0</v>
      </c>
      <c r="E7268" s="67">
        <v>83900.41</v>
      </c>
      <c r="F7268" s="67">
        <v>25250</v>
      </c>
      <c r="H7268" s="68">
        <v>40764</v>
      </c>
      <c r="I7268" s="67" t="s">
        <v>148</v>
      </c>
    </row>
    <row r="7269" spans="1:9" x14ac:dyDescent="0.25">
      <c r="B7269" s="67" t="s">
        <v>1092</v>
      </c>
      <c r="C7269" s="67">
        <v>0</v>
      </c>
      <c r="D7269" s="67">
        <v>0</v>
      </c>
      <c r="E7269" s="67">
        <v>83900.45</v>
      </c>
      <c r="H7269" s="67" t="s">
        <v>146</v>
      </c>
    </row>
    <row r="7271" spans="1:9" x14ac:dyDescent="0.25">
      <c r="A7271" s="67" t="s">
        <v>1091</v>
      </c>
      <c r="B7271" s="67" t="s">
        <v>1090</v>
      </c>
      <c r="C7271" s="67">
        <v>0</v>
      </c>
      <c r="D7271" s="67">
        <v>0</v>
      </c>
      <c r="E7271" s="67">
        <v>83900.41</v>
      </c>
      <c r="F7271" s="67">
        <v>25250</v>
      </c>
      <c r="H7271" s="68">
        <v>40764</v>
      </c>
      <c r="I7271" s="67" t="s">
        <v>148</v>
      </c>
    </row>
    <row r="7272" spans="1:9" x14ac:dyDescent="0.25">
      <c r="B7272" s="67" t="s">
        <v>1090</v>
      </c>
      <c r="C7272" s="67">
        <v>0</v>
      </c>
      <c r="D7272" s="67">
        <v>0</v>
      </c>
      <c r="E7272" s="67">
        <v>83900.45</v>
      </c>
      <c r="H7272" s="67" t="s">
        <v>146</v>
      </c>
    </row>
    <row r="7274" spans="1:9" x14ac:dyDescent="0.25">
      <c r="A7274" s="67" t="s">
        <v>1089</v>
      </c>
      <c r="B7274" s="67" t="s">
        <v>1088</v>
      </c>
      <c r="C7274" s="67">
        <v>0</v>
      </c>
      <c r="D7274" s="67">
        <v>0</v>
      </c>
      <c r="E7274" s="67">
        <v>83900.41</v>
      </c>
      <c r="F7274" s="67">
        <v>25250</v>
      </c>
      <c r="H7274" s="68">
        <v>40764</v>
      </c>
      <c r="I7274" s="67" t="s">
        <v>148</v>
      </c>
    </row>
    <row r="7275" spans="1:9" x14ac:dyDescent="0.25">
      <c r="B7275" s="67" t="s">
        <v>1088</v>
      </c>
      <c r="C7275" s="67">
        <v>0</v>
      </c>
      <c r="D7275" s="67">
        <v>0</v>
      </c>
      <c r="E7275" s="67">
        <v>83900.45</v>
      </c>
      <c r="H7275" s="67" t="s">
        <v>146</v>
      </c>
    </row>
    <row r="7276" spans="1:9" x14ac:dyDescent="0.25">
      <c r="A7276" s="67" t="s">
        <v>233</v>
      </c>
    </row>
    <row r="7278" spans="1:9" x14ac:dyDescent="0.25">
      <c r="A7278" s="67" t="s">
        <v>232</v>
      </c>
      <c r="D7278" s="67" t="s">
        <v>231</v>
      </c>
      <c r="H7278" s="67" t="s">
        <v>148</v>
      </c>
      <c r="I7278" s="67" t="s">
        <v>230</v>
      </c>
    </row>
    <row r="7279" spans="1:9" x14ac:dyDescent="0.25">
      <c r="A7279" s="67">
        <v>41.1</v>
      </c>
      <c r="C7279" s="67" t="s">
        <v>215</v>
      </c>
      <c r="D7279" s="67" t="s">
        <v>229</v>
      </c>
      <c r="H7279" s="70">
        <v>44771</v>
      </c>
      <c r="I7279" s="69">
        <v>0.56736111111111109</v>
      </c>
    </row>
    <row r="7280" spans="1:9" x14ac:dyDescent="0.25">
      <c r="A7280" s="67" t="s">
        <v>228</v>
      </c>
      <c r="C7280" s="67" t="s">
        <v>227</v>
      </c>
      <c r="D7280" s="67" t="s">
        <v>226</v>
      </c>
      <c r="E7280" s="67">
        <v>589</v>
      </c>
      <c r="H7280" s="67" t="s">
        <v>225</v>
      </c>
      <c r="I7280" s="67">
        <v>126</v>
      </c>
    </row>
    <row r="7281" spans="1:9" x14ac:dyDescent="0.25">
      <c r="A7281" s="67" t="s">
        <v>884</v>
      </c>
    </row>
    <row r="7282" spans="1:9" x14ac:dyDescent="0.25">
      <c r="A7282" s="67" t="s">
        <v>223</v>
      </c>
      <c r="B7282" s="67" t="s">
        <v>222</v>
      </c>
      <c r="C7282" s="67" t="s">
        <v>221</v>
      </c>
      <c r="D7282" s="67" t="s">
        <v>220</v>
      </c>
      <c r="E7282" s="67" t="s">
        <v>219</v>
      </c>
      <c r="F7282" s="67" t="s">
        <v>217</v>
      </c>
      <c r="G7282" s="67" t="s">
        <v>218</v>
      </c>
      <c r="H7282" s="67" t="s">
        <v>217</v>
      </c>
      <c r="I7282" s="67" t="s">
        <v>216</v>
      </c>
    </row>
    <row r="7283" spans="1:9" x14ac:dyDescent="0.25">
      <c r="A7283" s="67" t="s">
        <v>215</v>
      </c>
      <c r="B7283" s="67" t="s">
        <v>214</v>
      </c>
      <c r="C7283" s="67" t="s">
        <v>213</v>
      </c>
      <c r="D7283" s="67" t="s">
        <v>212</v>
      </c>
      <c r="E7283" s="67" t="s">
        <v>211</v>
      </c>
      <c r="F7283" s="67" t="s">
        <v>210</v>
      </c>
      <c r="G7283" s="67" t="s">
        <v>209</v>
      </c>
      <c r="H7283" s="67" t="s">
        <v>208</v>
      </c>
      <c r="I7283" s="67" t="s">
        <v>207</v>
      </c>
    </row>
    <row r="7284" spans="1:9" x14ac:dyDescent="0.25">
      <c r="A7284" s="67" t="s">
        <v>206</v>
      </c>
      <c r="B7284" s="67" t="s">
        <v>205</v>
      </c>
      <c r="C7284" s="67" t="s">
        <v>204</v>
      </c>
      <c r="D7284" s="67" t="s">
        <v>203</v>
      </c>
      <c r="E7284" s="67" t="s">
        <v>202</v>
      </c>
      <c r="F7284" s="67" t="s">
        <v>201</v>
      </c>
      <c r="G7284" s="67" t="s">
        <v>200</v>
      </c>
      <c r="H7284" s="67" t="s">
        <v>199</v>
      </c>
    </row>
    <row r="7285" spans="1:9" x14ac:dyDescent="0.25">
      <c r="A7285" s="67" t="s">
        <v>1087</v>
      </c>
      <c r="B7285" s="67" t="s">
        <v>1086</v>
      </c>
      <c r="C7285" s="67">
        <v>0</v>
      </c>
      <c r="D7285" s="67">
        <v>0</v>
      </c>
      <c r="E7285" s="67">
        <v>83900.41</v>
      </c>
      <c r="F7285" s="67">
        <v>25250</v>
      </c>
      <c r="H7285" s="68">
        <v>40764</v>
      </c>
      <c r="I7285" s="67" t="s">
        <v>148</v>
      </c>
    </row>
    <row r="7286" spans="1:9" x14ac:dyDescent="0.25">
      <c r="B7286" s="67" t="s">
        <v>1086</v>
      </c>
      <c r="C7286" s="67">
        <v>0</v>
      </c>
      <c r="D7286" s="67">
        <v>0</v>
      </c>
      <c r="E7286" s="67">
        <v>83900.45</v>
      </c>
      <c r="H7286" s="67" t="s">
        <v>146</v>
      </c>
    </row>
    <row r="7288" spans="1:9" x14ac:dyDescent="0.25">
      <c r="A7288" s="67" t="s">
        <v>1085</v>
      </c>
      <c r="B7288" s="67" t="s">
        <v>1084</v>
      </c>
      <c r="C7288" s="67">
        <v>0</v>
      </c>
      <c r="D7288" s="67">
        <v>0</v>
      </c>
      <c r="E7288" s="67">
        <v>83900.41</v>
      </c>
      <c r="F7288" s="67">
        <v>25250</v>
      </c>
      <c r="H7288" s="68">
        <v>40764</v>
      </c>
      <c r="I7288" s="67" t="s">
        <v>148</v>
      </c>
    </row>
    <row r="7289" spans="1:9" x14ac:dyDescent="0.25">
      <c r="B7289" s="67" t="s">
        <v>1084</v>
      </c>
      <c r="C7289" s="67">
        <v>0</v>
      </c>
      <c r="D7289" s="67">
        <v>0</v>
      </c>
      <c r="E7289" s="67">
        <v>83900.45</v>
      </c>
      <c r="H7289" s="67" t="s">
        <v>146</v>
      </c>
    </row>
    <row r="7291" spans="1:9" x14ac:dyDescent="0.25">
      <c r="A7291" s="67" t="s">
        <v>1083</v>
      </c>
      <c r="B7291" s="67" t="s">
        <v>1082</v>
      </c>
      <c r="C7291" s="67">
        <v>0</v>
      </c>
      <c r="D7291" s="67">
        <v>0</v>
      </c>
      <c r="E7291" s="67">
        <v>83900.41</v>
      </c>
      <c r="F7291" s="67">
        <v>25250</v>
      </c>
      <c r="H7291" s="68">
        <v>40764</v>
      </c>
      <c r="I7291" s="67" t="s">
        <v>148</v>
      </c>
    </row>
    <row r="7292" spans="1:9" x14ac:dyDescent="0.25">
      <c r="B7292" s="67" t="s">
        <v>1082</v>
      </c>
      <c r="C7292" s="67">
        <v>0</v>
      </c>
      <c r="D7292" s="67">
        <v>0</v>
      </c>
      <c r="E7292" s="67">
        <v>83900.45</v>
      </c>
      <c r="H7292" s="67" t="s">
        <v>146</v>
      </c>
    </row>
    <row r="7294" spans="1:9" x14ac:dyDescent="0.25">
      <c r="A7294" s="67" t="s">
        <v>1081</v>
      </c>
      <c r="B7294" s="67" t="s">
        <v>1080</v>
      </c>
      <c r="C7294" s="67">
        <v>0</v>
      </c>
      <c r="D7294" s="67">
        <v>0</v>
      </c>
      <c r="E7294" s="67">
        <v>83900.41</v>
      </c>
      <c r="F7294" s="67">
        <v>25250</v>
      </c>
      <c r="H7294" s="68">
        <v>40764</v>
      </c>
      <c r="I7294" s="67" t="s">
        <v>148</v>
      </c>
    </row>
    <row r="7295" spans="1:9" x14ac:dyDescent="0.25">
      <c r="B7295" s="67" t="s">
        <v>1080</v>
      </c>
      <c r="C7295" s="67">
        <v>0</v>
      </c>
      <c r="D7295" s="67">
        <v>0</v>
      </c>
      <c r="E7295" s="67">
        <v>83900.45</v>
      </c>
      <c r="H7295" s="67" t="s">
        <v>146</v>
      </c>
    </row>
    <row r="7297" spans="1:9" x14ac:dyDescent="0.25">
      <c r="A7297" s="67" t="s">
        <v>1079</v>
      </c>
      <c r="B7297" s="67" t="s">
        <v>1078</v>
      </c>
      <c r="C7297" s="67">
        <v>0</v>
      </c>
      <c r="D7297" s="67">
        <v>0</v>
      </c>
      <c r="E7297" s="67">
        <v>83900.41</v>
      </c>
      <c r="F7297" s="67">
        <v>25250</v>
      </c>
      <c r="H7297" s="68">
        <v>40764</v>
      </c>
      <c r="I7297" s="67" t="s">
        <v>148</v>
      </c>
    </row>
    <row r="7298" spans="1:9" x14ac:dyDescent="0.25">
      <c r="B7298" s="67" t="s">
        <v>1078</v>
      </c>
      <c r="C7298" s="67">
        <v>0</v>
      </c>
      <c r="D7298" s="67">
        <v>0</v>
      </c>
      <c r="E7298" s="67">
        <v>83900.45</v>
      </c>
      <c r="H7298" s="67" t="s">
        <v>146</v>
      </c>
    </row>
    <row r="7300" spans="1:9" x14ac:dyDescent="0.25">
      <c r="A7300" s="67" t="s">
        <v>1077</v>
      </c>
      <c r="B7300" s="67" t="s">
        <v>1076</v>
      </c>
      <c r="C7300" s="67">
        <v>0</v>
      </c>
      <c r="D7300" s="67">
        <v>0</v>
      </c>
      <c r="E7300" s="67">
        <v>83900.41</v>
      </c>
      <c r="F7300" s="67">
        <v>25250</v>
      </c>
      <c r="H7300" s="68">
        <v>40764</v>
      </c>
      <c r="I7300" s="67" t="s">
        <v>148</v>
      </c>
    </row>
    <row r="7301" spans="1:9" x14ac:dyDescent="0.25">
      <c r="B7301" s="67" t="s">
        <v>1076</v>
      </c>
      <c r="C7301" s="67">
        <v>0</v>
      </c>
      <c r="D7301" s="67">
        <v>0</v>
      </c>
      <c r="E7301" s="67">
        <v>83900.45</v>
      </c>
      <c r="H7301" s="67" t="s">
        <v>146</v>
      </c>
    </row>
    <row r="7303" spans="1:9" x14ac:dyDescent="0.25">
      <c r="A7303" s="67" t="s">
        <v>1075</v>
      </c>
      <c r="B7303" s="67" t="s">
        <v>1074</v>
      </c>
      <c r="C7303" s="67">
        <v>0</v>
      </c>
      <c r="D7303" s="67">
        <v>0</v>
      </c>
      <c r="E7303" s="67">
        <v>83900.41</v>
      </c>
      <c r="F7303" s="67">
        <v>25250</v>
      </c>
      <c r="H7303" s="68">
        <v>40764</v>
      </c>
      <c r="I7303" s="67" t="s">
        <v>148</v>
      </c>
    </row>
    <row r="7304" spans="1:9" x14ac:dyDescent="0.25">
      <c r="B7304" s="67" t="s">
        <v>1074</v>
      </c>
      <c r="C7304" s="67">
        <v>0</v>
      </c>
      <c r="D7304" s="67">
        <v>0</v>
      </c>
      <c r="E7304" s="67">
        <v>83900.45</v>
      </c>
      <c r="H7304" s="67" t="s">
        <v>146</v>
      </c>
    </row>
    <row r="7306" spans="1:9" x14ac:dyDescent="0.25">
      <c r="A7306" s="67" t="s">
        <v>1073</v>
      </c>
      <c r="B7306" s="67" t="s">
        <v>1072</v>
      </c>
      <c r="C7306" s="67">
        <v>0</v>
      </c>
      <c r="D7306" s="67">
        <v>0</v>
      </c>
      <c r="E7306" s="67">
        <v>83900.41</v>
      </c>
      <c r="F7306" s="67">
        <v>25250</v>
      </c>
      <c r="H7306" s="68">
        <v>40764</v>
      </c>
      <c r="I7306" s="67" t="s">
        <v>148</v>
      </c>
    </row>
    <row r="7307" spans="1:9" x14ac:dyDescent="0.25">
      <c r="B7307" s="67" t="s">
        <v>1072</v>
      </c>
      <c r="C7307" s="67">
        <v>0</v>
      </c>
      <c r="D7307" s="67">
        <v>0</v>
      </c>
      <c r="E7307" s="67">
        <v>83900.45</v>
      </c>
      <c r="H7307" s="67" t="s">
        <v>146</v>
      </c>
    </row>
    <row r="7309" spans="1:9" x14ac:dyDescent="0.25">
      <c r="A7309" s="67" t="s">
        <v>1071</v>
      </c>
      <c r="B7309" s="67" t="s">
        <v>1070</v>
      </c>
      <c r="C7309" s="67">
        <v>0</v>
      </c>
      <c r="D7309" s="67">
        <v>0</v>
      </c>
      <c r="E7309" s="67">
        <v>83900.41</v>
      </c>
      <c r="F7309" s="67">
        <v>25250</v>
      </c>
      <c r="H7309" s="68">
        <v>40764</v>
      </c>
      <c r="I7309" s="67" t="s">
        <v>148</v>
      </c>
    </row>
    <row r="7310" spans="1:9" x14ac:dyDescent="0.25">
      <c r="B7310" s="67" t="s">
        <v>1070</v>
      </c>
      <c r="C7310" s="67">
        <v>0</v>
      </c>
      <c r="D7310" s="67">
        <v>0</v>
      </c>
      <c r="E7310" s="67">
        <v>83900.45</v>
      </c>
      <c r="H7310" s="67" t="s">
        <v>146</v>
      </c>
    </row>
    <row r="7312" spans="1:9" x14ac:dyDescent="0.25">
      <c r="A7312" s="67" t="s">
        <v>1069</v>
      </c>
      <c r="B7312" s="67" t="s">
        <v>1068</v>
      </c>
      <c r="C7312" s="67">
        <v>0</v>
      </c>
      <c r="D7312" s="67">
        <v>0</v>
      </c>
      <c r="E7312" s="67">
        <v>83900.41</v>
      </c>
      <c r="F7312" s="67">
        <v>25250</v>
      </c>
      <c r="H7312" s="68">
        <v>40764</v>
      </c>
      <c r="I7312" s="67" t="s">
        <v>148</v>
      </c>
    </row>
    <row r="7313" spans="1:9" x14ac:dyDescent="0.25">
      <c r="B7313" s="67" t="s">
        <v>1068</v>
      </c>
      <c r="C7313" s="67">
        <v>0</v>
      </c>
      <c r="D7313" s="67">
        <v>0</v>
      </c>
      <c r="E7313" s="67">
        <v>83900.45</v>
      </c>
      <c r="H7313" s="67" t="s">
        <v>146</v>
      </c>
    </row>
    <row r="7315" spans="1:9" x14ac:dyDescent="0.25">
      <c r="A7315" s="67" t="s">
        <v>1067</v>
      </c>
      <c r="B7315" s="67" t="s">
        <v>1066</v>
      </c>
      <c r="C7315" s="67">
        <v>0</v>
      </c>
      <c r="D7315" s="67">
        <v>0</v>
      </c>
      <c r="E7315" s="67">
        <v>83900.41</v>
      </c>
      <c r="F7315" s="67">
        <v>25250</v>
      </c>
      <c r="H7315" s="68">
        <v>40764</v>
      </c>
      <c r="I7315" s="67" t="s">
        <v>148</v>
      </c>
    </row>
    <row r="7316" spans="1:9" x14ac:dyDescent="0.25">
      <c r="B7316" s="67" t="s">
        <v>1066</v>
      </c>
      <c r="C7316" s="67">
        <v>0</v>
      </c>
      <c r="D7316" s="67">
        <v>0</v>
      </c>
      <c r="E7316" s="67">
        <v>83900.45</v>
      </c>
      <c r="H7316" s="67" t="s">
        <v>146</v>
      </c>
    </row>
    <row r="7318" spans="1:9" x14ac:dyDescent="0.25">
      <c r="A7318" s="67" t="s">
        <v>1065</v>
      </c>
      <c r="B7318" s="67" t="s">
        <v>1064</v>
      </c>
      <c r="C7318" s="67">
        <v>0</v>
      </c>
      <c r="D7318" s="67">
        <v>0</v>
      </c>
      <c r="E7318" s="67">
        <v>83900.41</v>
      </c>
      <c r="F7318" s="67">
        <v>25250</v>
      </c>
      <c r="H7318" s="68">
        <v>40764</v>
      </c>
      <c r="I7318" s="67" t="s">
        <v>148</v>
      </c>
    </row>
    <row r="7319" spans="1:9" x14ac:dyDescent="0.25">
      <c r="B7319" s="67" t="s">
        <v>1064</v>
      </c>
      <c r="C7319" s="67">
        <v>0</v>
      </c>
      <c r="D7319" s="67">
        <v>0</v>
      </c>
      <c r="E7319" s="67">
        <v>83900.45</v>
      </c>
      <c r="H7319" s="67" t="s">
        <v>146</v>
      </c>
    </row>
    <row r="7321" spans="1:9" x14ac:dyDescent="0.25">
      <c r="A7321" s="67" t="s">
        <v>1063</v>
      </c>
      <c r="B7321" s="67" t="s">
        <v>1062</v>
      </c>
      <c r="C7321" s="67">
        <v>0</v>
      </c>
      <c r="D7321" s="67">
        <v>0</v>
      </c>
      <c r="E7321" s="67">
        <v>83900.41</v>
      </c>
      <c r="F7321" s="67">
        <v>25250</v>
      </c>
      <c r="H7321" s="68">
        <v>40764</v>
      </c>
      <c r="I7321" s="67" t="s">
        <v>148</v>
      </c>
    </row>
    <row r="7322" spans="1:9" x14ac:dyDescent="0.25">
      <c r="B7322" s="67" t="s">
        <v>1062</v>
      </c>
      <c r="C7322" s="67">
        <v>0</v>
      </c>
      <c r="D7322" s="67">
        <v>0</v>
      </c>
      <c r="E7322" s="67">
        <v>83900.45</v>
      </c>
      <c r="H7322" s="67" t="s">
        <v>146</v>
      </c>
    </row>
    <row r="7324" spans="1:9" x14ac:dyDescent="0.25">
      <c r="A7324" s="67" t="s">
        <v>1061</v>
      </c>
      <c r="B7324" s="67" t="s">
        <v>1060</v>
      </c>
      <c r="C7324" s="67">
        <v>0</v>
      </c>
      <c r="D7324" s="67">
        <v>0</v>
      </c>
      <c r="E7324" s="67">
        <v>83900.41</v>
      </c>
      <c r="F7324" s="67">
        <v>25250</v>
      </c>
      <c r="H7324" s="68">
        <v>40764</v>
      </c>
      <c r="I7324" s="67" t="s">
        <v>148</v>
      </c>
    </row>
    <row r="7325" spans="1:9" x14ac:dyDescent="0.25">
      <c r="B7325" s="67" t="s">
        <v>1060</v>
      </c>
      <c r="C7325" s="67">
        <v>0</v>
      </c>
      <c r="D7325" s="67">
        <v>0</v>
      </c>
      <c r="E7325" s="67">
        <v>83900.45</v>
      </c>
      <c r="H7325" s="67" t="s">
        <v>146</v>
      </c>
    </row>
    <row r="7327" spans="1:9" x14ac:dyDescent="0.25">
      <c r="A7327" s="67" t="s">
        <v>1059</v>
      </c>
      <c r="B7327" s="67" t="s">
        <v>1058</v>
      </c>
      <c r="C7327" s="67">
        <v>0</v>
      </c>
      <c r="D7327" s="67">
        <v>0</v>
      </c>
      <c r="E7327" s="67">
        <v>83900.41</v>
      </c>
      <c r="F7327" s="67">
        <v>25250</v>
      </c>
      <c r="H7327" s="68">
        <v>40764</v>
      </c>
      <c r="I7327" s="67" t="s">
        <v>148</v>
      </c>
    </row>
    <row r="7328" spans="1:9" x14ac:dyDescent="0.25">
      <c r="B7328" s="67" t="s">
        <v>1058</v>
      </c>
      <c r="C7328" s="67">
        <v>0</v>
      </c>
      <c r="D7328" s="67">
        <v>0</v>
      </c>
      <c r="E7328" s="67">
        <v>83900.45</v>
      </c>
      <c r="H7328" s="67" t="s">
        <v>146</v>
      </c>
    </row>
    <row r="7330" spans="1:9" x14ac:dyDescent="0.25">
      <c r="A7330" s="67" t="s">
        <v>1057</v>
      </c>
      <c r="B7330" s="67" t="s">
        <v>1056</v>
      </c>
      <c r="C7330" s="67">
        <v>0</v>
      </c>
      <c r="D7330" s="67">
        <v>0</v>
      </c>
      <c r="E7330" s="67">
        <v>83900.41</v>
      </c>
      <c r="F7330" s="67">
        <v>25250</v>
      </c>
      <c r="H7330" s="68">
        <v>40764</v>
      </c>
      <c r="I7330" s="67" t="s">
        <v>148</v>
      </c>
    </row>
    <row r="7331" spans="1:9" x14ac:dyDescent="0.25">
      <c r="B7331" s="67" t="s">
        <v>1056</v>
      </c>
      <c r="C7331" s="67">
        <v>0</v>
      </c>
      <c r="D7331" s="67">
        <v>0</v>
      </c>
      <c r="E7331" s="67">
        <v>83900.45</v>
      </c>
      <c r="H7331" s="67" t="s">
        <v>146</v>
      </c>
    </row>
    <row r="7333" spans="1:9" x14ac:dyDescent="0.25">
      <c r="A7333" s="67" t="s">
        <v>1055</v>
      </c>
      <c r="B7333" s="67" t="s">
        <v>1054</v>
      </c>
      <c r="C7333" s="67">
        <v>0</v>
      </c>
      <c r="D7333" s="67">
        <v>0</v>
      </c>
      <c r="E7333" s="67">
        <v>83900.41</v>
      </c>
      <c r="F7333" s="67">
        <v>25250</v>
      </c>
      <c r="H7333" s="68">
        <v>40764</v>
      </c>
      <c r="I7333" s="67" t="s">
        <v>148</v>
      </c>
    </row>
    <row r="7334" spans="1:9" x14ac:dyDescent="0.25">
      <c r="B7334" s="67" t="s">
        <v>1054</v>
      </c>
      <c r="C7334" s="67">
        <v>0</v>
      </c>
      <c r="D7334" s="67">
        <v>0</v>
      </c>
      <c r="E7334" s="67">
        <v>83900.45</v>
      </c>
      <c r="H7334" s="67" t="s">
        <v>146</v>
      </c>
    </row>
    <row r="7335" spans="1:9" x14ac:dyDescent="0.25">
      <c r="A7335" s="67" t="s">
        <v>233</v>
      </c>
    </row>
    <row r="7337" spans="1:9" x14ac:dyDescent="0.25">
      <c r="A7337" s="67" t="s">
        <v>232</v>
      </c>
      <c r="D7337" s="67" t="s">
        <v>231</v>
      </c>
      <c r="H7337" s="67" t="s">
        <v>148</v>
      </c>
      <c r="I7337" s="67" t="s">
        <v>230</v>
      </c>
    </row>
    <row r="7338" spans="1:9" x14ac:dyDescent="0.25">
      <c r="A7338" s="67">
        <v>41.1</v>
      </c>
      <c r="C7338" s="67" t="s">
        <v>215</v>
      </c>
      <c r="D7338" s="67" t="s">
        <v>229</v>
      </c>
      <c r="H7338" s="70">
        <v>44771</v>
      </c>
      <c r="I7338" s="69">
        <v>0.56736111111111109</v>
      </c>
    </row>
    <row r="7339" spans="1:9" x14ac:dyDescent="0.25">
      <c r="A7339" s="67" t="s">
        <v>228</v>
      </c>
      <c r="C7339" s="67" t="s">
        <v>227</v>
      </c>
      <c r="D7339" s="67" t="s">
        <v>226</v>
      </c>
      <c r="E7339" s="67">
        <v>589</v>
      </c>
      <c r="H7339" s="67" t="s">
        <v>225</v>
      </c>
      <c r="I7339" s="67">
        <v>127</v>
      </c>
    </row>
    <row r="7340" spans="1:9" x14ac:dyDescent="0.25">
      <c r="A7340" s="67" t="s">
        <v>884</v>
      </c>
    </row>
    <row r="7341" spans="1:9" x14ac:dyDescent="0.25">
      <c r="A7341" s="67" t="s">
        <v>223</v>
      </c>
      <c r="B7341" s="67" t="s">
        <v>222</v>
      </c>
      <c r="C7341" s="67" t="s">
        <v>221</v>
      </c>
      <c r="D7341" s="67" t="s">
        <v>220</v>
      </c>
      <c r="E7341" s="67" t="s">
        <v>219</v>
      </c>
      <c r="F7341" s="67" t="s">
        <v>217</v>
      </c>
      <c r="G7341" s="67" t="s">
        <v>218</v>
      </c>
      <c r="H7341" s="67" t="s">
        <v>217</v>
      </c>
      <c r="I7341" s="67" t="s">
        <v>216</v>
      </c>
    </row>
    <row r="7342" spans="1:9" x14ac:dyDescent="0.25">
      <c r="A7342" s="67" t="s">
        <v>215</v>
      </c>
      <c r="B7342" s="67" t="s">
        <v>214</v>
      </c>
      <c r="C7342" s="67" t="s">
        <v>213</v>
      </c>
      <c r="D7342" s="67" t="s">
        <v>212</v>
      </c>
      <c r="E7342" s="67" t="s">
        <v>211</v>
      </c>
      <c r="F7342" s="67" t="s">
        <v>210</v>
      </c>
      <c r="G7342" s="67" t="s">
        <v>209</v>
      </c>
      <c r="H7342" s="67" t="s">
        <v>208</v>
      </c>
      <c r="I7342" s="67" t="s">
        <v>207</v>
      </c>
    </row>
    <row r="7343" spans="1:9" x14ac:dyDescent="0.25">
      <c r="A7343" s="67" t="s">
        <v>206</v>
      </c>
      <c r="B7343" s="67" t="s">
        <v>205</v>
      </c>
      <c r="C7343" s="67" t="s">
        <v>204</v>
      </c>
      <c r="D7343" s="67" t="s">
        <v>203</v>
      </c>
      <c r="E7343" s="67" t="s">
        <v>202</v>
      </c>
      <c r="F7343" s="67" t="s">
        <v>201</v>
      </c>
      <c r="G7343" s="67" t="s">
        <v>200</v>
      </c>
      <c r="H7343" s="67" t="s">
        <v>199</v>
      </c>
    </row>
    <row r="7344" spans="1:9" x14ac:dyDescent="0.25">
      <c r="A7344" s="67" t="s">
        <v>1053</v>
      </c>
      <c r="B7344" s="67" t="s">
        <v>1052</v>
      </c>
      <c r="C7344" s="67">
        <v>0</v>
      </c>
      <c r="D7344" s="67">
        <v>0</v>
      </c>
      <c r="E7344" s="67">
        <v>83900.41</v>
      </c>
      <c r="F7344" s="67">
        <v>25250</v>
      </c>
      <c r="H7344" s="68">
        <v>40764</v>
      </c>
      <c r="I7344" s="67" t="s">
        <v>148</v>
      </c>
    </row>
    <row r="7345" spans="1:9" x14ac:dyDescent="0.25">
      <c r="B7345" s="67" t="s">
        <v>1052</v>
      </c>
      <c r="C7345" s="67">
        <v>0</v>
      </c>
      <c r="D7345" s="67">
        <v>0</v>
      </c>
      <c r="E7345" s="67">
        <v>83900.45</v>
      </c>
      <c r="H7345" s="67" t="s">
        <v>146</v>
      </c>
    </row>
    <row r="7347" spans="1:9" x14ac:dyDescent="0.25">
      <c r="A7347" s="67" t="s">
        <v>1051</v>
      </c>
      <c r="B7347" s="67" t="s">
        <v>1050</v>
      </c>
      <c r="C7347" s="67">
        <v>0</v>
      </c>
      <c r="D7347" s="67">
        <v>0</v>
      </c>
      <c r="E7347" s="67">
        <v>83900.41</v>
      </c>
      <c r="F7347" s="67">
        <v>25250</v>
      </c>
      <c r="H7347" s="68">
        <v>40764</v>
      </c>
      <c r="I7347" s="67" t="s">
        <v>148</v>
      </c>
    </row>
    <row r="7348" spans="1:9" x14ac:dyDescent="0.25">
      <c r="B7348" s="67" t="s">
        <v>1050</v>
      </c>
      <c r="C7348" s="67">
        <v>0</v>
      </c>
      <c r="D7348" s="67">
        <v>0</v>
      </c>
      <c r="E7348" s="67">
        <v>83900.45</v>
      </c>
      <c r="H7348" s="67" t="s">
        <v>146</v>
      </c>
    </row>
    <row r="7350" spans="1:9" x14ac:dyDescent="0.25">
      <c r="A7350" s="67" t="s">
        <v>1049</v>
      </c>
      <c r="B7350" s="67" t="s">
        <v>1048</v>
      </c>
      <c r="C7350" s="67">
        <v>0</v>
      </c>
      <c r="D7350" s="67">
        <v>0</v>
      </c>
      <c r="E7350" s="67">
        <v>83900.41</v>
      </c>
      <c r="F7350" s="67">
        <v>25250</v>
      </c>
      <c r="H7350" s="68">
        <v>40764</v>
      </c>
      <c r="I7350" s="67" t="s">
        <v>148</v>
      </c>
    </row>
    <row r="7351" spans="1:9" x14ac:dyDescent="0.25">
      <c r="B7351" s="67" t="s">
        <v>1048</v>
      </c>
      <c r="C7351" s="67">
        <v>0</v>
      </c>
      <c r="D7351" s="67">
        <v>0</v>
      </c>
      <c r="E7351" s="67">
        <v>83900.45</v>
      </c>
      <c r="H7351" s="67" t="s">
        <v>146</v>
      </c>
    </row>
    <row r="7353" spans="1:9" x14ac:dyDescent="0.25">
      <c r="A7353" s="67" t="s">
        <v>1047</v>
      </c>
      <c r="B7353" s="67" t="s">
        <v>1046</v>
      </c>
      <c r="C7353" s="67">
        <v>0</v>
      </c>
      <c r="D7353" s="67">
        <v>0</v>
      </c>
      <c r="E7353" s="67">
        <v>83900.41</v>
      </c>
      <c r="F7353" s="67">
        <v>25250</v>
      </c>
      <c r="H7353" s="68">
        <v>40764</v>
      </c>
      <c r="I7353" s="67" t="s">
        <v>148</v>
      </c>
    </row>
    <row r="7354" spans="1:9" x14ac:dyDescent="0.25">
      <c r="B7354" s="67" t="s">
        <v>1046</v>
      </c>
      <c r="C7354" s="67">
        <v>0</v>
      </c>
      <c r="D7354" s="67">
        <v>0</v>
      </c>
      <c r="E7354" s="67">
        <v>83900.45</v>
      </c>
      <c r="H7354" s="67" t="s">
        <v>146</v>
      </c>
    </row>
    <row r="7356" spans="1:9" x14ac:dyDescent="0.25">
      <c r="A7356" s="67" t="s">
        <v>1045</v>
      </c>
      <c r="B7356" s="67" t="s">
        <v>1044</v>
      </c>
      <c r="C7356" s="67">
        <v>0</v>
      </c>
      <c r="D7356" s="67">
        <v>0</v>
      </c>
      <c r="E7356" s="67">
        <v>83900.41</v>
      </c>
      <c r="F7356" s="67">
        <v>25250</v>
      </c>
      <c r="H7356" s="68">
        <v>40764</v>
      </c>
      <c r="I7356" s="67" t="s">
        <v>148</v>
      </c>
    </row>
    <row r="7357" spans="1:9" x14ac:dyDescent="0.25">
      <c r="B7357" s="67" t="s">
        <v>1044</v>
      </c>
      <c r="C7357" s="67">
        <v>0</v>
      </c>
      <c r="D7357" s="67">
        <v>0</v>
      </c>
      <c r="E7357" s="67">
        <v>83900.45</v>
      </c>
      <c r="H7357" s="67" t="s">
        <v>146</v>
      </c>
    </row>
    <row r="7359" spans="1:9" x14ac:dyDescent="0.25">
      <c r="A7359" s="67" t="s">
        <v>1043</v>
      </c>
      <c r="B7359" s="67" t="s">
        <v>1042</v>
      </c>
      <c r="C7359" s="67">
        <v>0</v>
      </c>
      <c r="D7359" s="67">
        <v>0</v>
      </c>
      <c r="E7359" s="67">
        <v>83900.41</v>
      </c>
      <c r="F7359" s="67">
        <v>25250</v>
      </c>
      <c r="H7359" s="68">
        <v>40764</v>
      </c>
      <c r="I7359" s="67" t="s">
        <v>148</v>
      </c>
    </row>
    <row r="7360" spans="1:9" x14ac:dyDescent="0.25">
      <c r="B7360" s="67" t="s">
        <v>1042</v>
      </c>
      <c r="C7360" s="67">
        <v>0</v>
      </c>
      <c r="D7360" s="67">
        <v>0</v>
      </c>
      <c r="E7360" s="67">
        <v>83900.45</v>
      </c>
      <c r="H7360" s="67" t="s">
        <v>146</v>
      </c>
    </row>
    <row r="7362" spans="1:9" x14ac:dyDescent="0.25">
      <c r="A7362" s="67" t="s">
        <v>1041</v>
      </c>
      <c r="B7362" s="67" t="s">
        <v>1040</v>
      </c>
      <c r="C7362" s="67">
        <v>0</v>
      </c>
      <c r="D7362" s="67">
        <v>0</v>
      </c>
      <c r="E7362" s="67">
        <v>83900.41</v>
      </c>
      <c r="F7362" s="67">
        <v>25250</v>
      </c>
      <c r="H7362" s="68">
        <v>40764</v>
      </c>
      <c r="I7362" s="67" t="s">
        <v>148</v>
      </c>
    </row>
    <row r="7363" spans="1:9" x14ac:dyDescent="0.25">
      <c r="B7363" s="67" t="s">
        <v>1040</v>
      </c>
      <c r="C7363" s="67">
        <v>0</v>
      </c>
      <c r="D7363" s="67">
        <v>0</v>
      </c>
      <c r="E7363" s="67">
        <v>83900.45</v>
      </c>
      <c r="H7363" s="67" t="s">
        <v>146</v>
      </c>
    </row>
    <row r="7365" spans="1:9" x14ac:dyDescent="0.25">
      <c r="A7365" s="67" t="s">
        <v>1039</v>
      </c>
      <c r="B7365" s="67" t="s">
        <v>1038</v>
      </c>
      <c r="C7365" s="67">
        <v>0</v>
      </c>
      <c r="D7365" s="67">
        <v>0</v>
      </c>
      <c r="E7365" s="67">
        <v>83900.41</v>
      </c>
      <c r="F7365" s="67">
        <v>25250</v>
      </c>
      <c r="H7365" s="68">
        <v>40764</v>
      </c>
      <c r="I7365" s="67" t="s">
        <v>148</v>
      </c>
    </row>
    <row r="7366" spans="1:9" x14ac:dyDescent="0.25">
      <c r="B7366" s="67" t="s">
        <v>1038</v>
      </c>
      <c r="C7366" s="67">
        <v>0</v>
      </c>
      <c r="D7366" s="67">
        <v>0</v>
      </c>
      <c r="E7366" s="67">
        <v>83900.45</v>
      </c>
      <c r="H7366" s="67" t="s">
        <v>146</v>
      </c>
    </row>
    <row r="7368" spans="1:9" x14ac:dyDescent="0.25">
      <c r="A7368" s="67" t="s">
        <v>1037</v>
      </c>
      <c r="B7368" s="67" t="s">
        <v>1036</v>
      </c>
      <c r="C7368" s="67">
        <v>0</v>
      </c>
      <c r="D7368" s="67">
        <v>0</v>
      </c>
      <c r="E7368" s="67">
        <v>83900.41</v>
      </c>
      <c r="F7368" s="67">
        <v>25250</v>
      </c>
      <c r="H7368" s="68">
        <v>40764</v>
      </c>
      <c r="I7368" s="67" t="s">
        <v>148</v>
      </c>
    </row>
    <row r="7369" spans="1:9" x14ac:dyDescent="0.25">
      <c r="B7369" s="67" t="s">
        <v>1036</v>
      </c>
      <c r="C7369" s="67">
        <v>0</v>
      </c>
      <c r="D7369" s="67">
        <v>0</v>
      </c>
      <c r="E7369" s="67">
        <v>83900.45</v>
      </c>
      <c r="H7369" s="67" t="s">
        <v>146</v>
      </c>
    </row>
    <row r="7371" spans="1:9" x14ac:dyDescent="0.25">
      <c r="A7371" s="67" t="s">
        <v>1035</v>
      </c>
      <c r="B7371" s="67" t="s">
        <v>1034</v>
      </c>
      <c r="C7371" s="67">
        <v>0</v>
      </c>
      <c r="D7371" s="67">
        <v>0</v>
      </c>
      <c r="E7371" s="67">
        <v>83900.41</v>
      </c>
      <c r="F7371" s="67">
        <v>25250</v>
      </c>
      <c r="H7371" s="68">
        <v>40764</v>
      </c>
      <c r="I7371" s="67" t="s">
        <v>148</v>
      </c>
    </row>
    <row r="7372" spans="1:9" x14ac:dyDescent="0.25">
      <c r="B7372" s="67" t="s">
        <v>1034</v>
      </c>
      <c r="C7372" s="67">
        <v>0</v>
      </c>
      <c r="D7372" s="67">
        <v>0</v>
      </c>
      <c r="E7372" s="67">
        <v>83900.45</v>
      </c>
      <c r="H7372" s="67" t="s">
        <v>146</v>
      </c>
    </row>
    <row r="7374" spans="1:9" x14ac:dyDescent="0.25">
      <c r="A7374" s="67" t="s">
        <v>1033</v>
      </c>
      <c r="B7374" s="67" t="s">
        <v>1032</v>
      </c>
      <c r="C7374" s="67">
        <v>0</v>
      </c>
      <c r="D7374" s="67">
        <v>0</v>
      </c>
      <c r="E7374" s="67">
        <v>83900.41</v>
      </c>
      <c r="F7374" s="67">
        <v>25250</v>
      </c>
      <c r="H7374" s="68">
        <v>40764</v>
      </c>
      <c r="I7374" s="67" t="s">
        <v>148</v>
      </c>
    </row>
    <row r="7375" spans="1:9" x14ac:dyDescent="0.25">
      <c r="B7375" s="67" t="s">
        <v>1032</v>
      </c>
      <c r="C7375" s="67">
        <v>0</v>
      </c>
      <c r="D7375" s="67">
        <v>0</v>
      </c>
      <c r="E7375" s="67">
        <v>83900.45</v>
      </c>
      <c r="H7375" s="67" t="s">
        <v>146</v>
      </c>
    </row>
    <row r="7377" spans="1:9" x14ac:dyDescent="0.25">
      <c r="A7377" s="67" t="s">
        <v>1031</v>
      </c>
      <c r="B7377" s="67" t="s">
        <v>1030</v>
      </c>
      <c r="C7377" s="67">
        <v>0</v>
      </c>
      <c r="D7377" s="67">
        <v>0</v>
      </c>
      <c r="E7377" s="67">
        <v>83900.41</v>
      </c>
      <c r="F7377" s="67">
        <v>25250</v>
      </c>
      <c r="H7377" s="68">
        <v>40764</v>
      </c>
      <c r="I7377" s="67" t="s">
        <v>148</v>
      </c>
    </row>
    <row r="7378" spans="1:9" x14ac:dyDescent="0.25">
      <c r="B7378" s="67" t="s">
        <v>1030</v>
      </c>
      <c r="C7378" s="67">
        <v>0</v>
      </c>
      <c r="D7378" s="67">
        <v>0</v>
      </c>
      <c r="E7378" s="67">
        <v>83900.45</v>
      </c>
      <c r="H7378" s="67" t="s">
        <v>146</v>
      </c>
    </row>
    <row r="7380" spans="1:9" x14ac:dyDescent="0.25">
      <c r="A7380" s="67" t="s">
        <v>1029</v>
      </c>
      <c r="B7380" s="67" t="s">
        <v>1028</v>
      </c>
      <c r="C7380" s="67">
        <v>0</v>
      </c>
      <c r="D7380" s="67">
        <v>0</v>
      </c>
      <c r="E7380" s="67">
        <v>83900.41</v>
      </c>
      <c r="F7380" s="67">
        <v>25250</v>
      </c>
      <c r="H7380" s="68">
        <v>40764</v>
      </c>
      <c r="I7380" s="67" t="s">
        <v>148</v>
      </c>
    </row>
    <row r="7381" spans="1:9" x14ac:dyDescent="0.25">
      <c r="B7381" s="67" t="s">
        <v>1028</v>
      </c>
      <c r="C7381" s="67">
        <v>0</v>
      </c>
      <c r="D7381" s="67">
        <v>0</v>
      </c>
      <c r="E7381" s="67">
        <v>83900.45</v>
      </c>
      <c r="H7381" s="67" t="s">
        <v>146</v>
      </c>
    </row>
    <row r="7383" spans="1:9" x14ac:dyDescent="0.25">
      <c r="A7383" s="67" t="s">
        <v>1027</v>
      </c>
      <c r="B7383" s="67" t="s">
        <v>1026</v>
      </c>
      <c r="C7383" s="67">
        <v>0</v>
      </c>
      <c r="D7383" s="67">
        <v>0</v>
      </c>
      <c r="E7383" s="67">
        <v>83900.41</v>
      </c>
      <c r="F7383" s="67">
        <v>25250</v>
      </c>
      <c r="H7383" s="68">
        <v>40764</v>
      </c>
      <c r="I7383" s="67" t="s">
        <v>148</v>
      </c>
    </row>
    <row r="7384" spans="1:9" x14ac:dyDescent="0.25">
      <c r="B7384" s="67" t="s">
        <v>1026</v>
      </c>
      <c r="C7384" s="67">
        <v>0</v>
      </c>
      <c r="D7384" s="67">
        <v>0</v>
      </c>
      <c r="E7384" s="67">
        <v>83900.45</v>
      </c>
      <c r="H7384" s="67" t="s">
        <v>146</v>
      </c>
    </row>
    <row r="7386" spans="1:9" x14ac:dyDescent="0.25">
      <c r="A7386" s="67" t="s">
        <v>1025</v>
      </c>
      <c r="B7386" s="67" t="s">
        <v>1024</v>
      </c>
      <c r="C7386" s="67">
        <v>0</v>
      </c>
      <c r="D7386" s="67">
        <v>0</v>
      </c>
      <c r="E7386" s="67">
        <v>83900.41</v>
      </c>
      <c r="F7386" s="67">
        <v>25250</v>
      </c>
      <c r="H7386" s="68">
        <v>40764</v>
      </c>
      <c r="I7386" s="67" t="s">
        <v>148</v>
      </c>
    </row>
    <row r="7387" spans="1:9" x14ac:dyDescent="0.25">
      <c r="B7387" s="67" t="s">
        <v>1024</v>
      </c>
      <c r="C7387" s="67">
        <v>0</v>
      </c>
      <c r="D7387" s="67">
        <v>0</v>
      </c>
      <c r="E7387" s="67">
        <v>83900.45</v>
      </c>
      <c r="H7387" s="67" t="s">
        <v>146</v>
      </c>
    </row>
    <row r="7389" spans="1:9" x14ac:dyDescent="0.25">
      <c r="A7389" s="67" t="s">
        <v>1023</v>
      </c>
      <c r="B7389" s="67" t="s">
        <v>1022</v>
      </c>
      <c r="C7389" s="67">
        <v>0</v>
      </c>
      <c r="D7389" s="67">
        <v>0</v>
      </c>
      <c r="E7389" s="67">
        <v>83900.41</v>
      </c>
      <c r="F7389" s="67">
        <v>25250</v>
      </c>
      <c r="H7389" s="68">
        <v>40764</v>
      </c>
      <c r="I7389" s="67" t="s">
        <v>148</v>
      </c>
    </row>
    <row r="7390" spans="1:9" x14ac:dyDescent="0.25">
      <c r="B7390" s="67" t="s">
        <v>1022</v>
      </c>
      <c r="C7390" s="67">
        <v>0</v>
      </c>
      <c r="D7390" s="67">
        <v>0</v>
      </c>
      <c r="E7390" s="67">
        <v>83900.45</v>
      </c>
      <c r="H7390" s="67" t="s">
        <v>146</v>
      </c>
    </row>
    <row r="7392" spans="1:9" x14ac:dyDescent="0.25">
      <c r="A7392" s="67" t="s">
        <v>1021</v>
      </c>
      <c r="B7392" s="67" t="s">
        <v>1020</v>
      </c>
      <c r="C7392" s="67">
        <v>0</v>
      </c>
      <c r="D7392" s="67">
        <v>0</v>
      </c>
      <c r="E7392" s="67">
        <v>83900.41</v>
      </c>
      <c r="F7392" s="67">
        <v>25250</v>
      </c>
      <c r="H7392" s="68">
        <v>40764</v>
      </c>
      <c r="I7392" s="67" t="s">
        <v>148</v>
      </c>
    </row>
    <row r="7393" spans="1:9" x14ac:dyDescent="0.25">
      <c r="B7393" s="67" t="s">
        <v>1020</v>
      </c>
      <c r="C7393" s="67">
        <v>0</v>
      </c>
      <c r="D7393" s="67">
        <v>0</v>
      </c>
      <c r="E7393" s="67">
        <v>83900.45</v>
      </c>
      <c r="H7393" s="67" t="s">
        <v>146</v>
      </c>
    </row>
    <row r="7394" spans="1:9" x14ac:dyDescent="0.25">
      <c r="A7394" s="67" t="s">
        <v>233</v>
      </c>
    </row>
    <row r="7396" spans="1:9" x14ac:dyDescent="0.25">
      <c r="A7396" s="67" t="s">
        <v>232</v>
      </c>
      <c r="D7396" s="67" t="s">
        <v>231</v>
      </c>
      <c r="H7396" s="67" t="s">
        <v>148</v>
      </c>
      <c r="I7396" s="67" t="s">
        <v>230</v>
      </c>
    </row>
    <row r="7397" spans="1:9" x14ac:dyDescent="0.25">
      <c r="A7397" s="67">
        <v>41.1</v>
      </c>
      <c r="C7397" s="67" t="s">
        <v>215</v>
      </c>
      <c r="D7397" s="67" t="s">
        <v>229</v>
      </c>
      <c r="H7397" s="70">
        <v>44771</v>
      </c>
      <c r="I7397" s="69">
        <v>0.56736111111111109</v>
      </c>
    </row>
    <row r="7398" spans="1:9" x14ac:dyDescent="0.25">
      <c r="A7398" s="67" t="s">
        <v>228</v>
      </c>
      <c r="C7398" s="67" t="s">
        <v>227</v>
      </c>
      <c r="D7398" s="67" t="s">
        <v>226</v>
      </c>
      <c r="E7398" s="67">
        <v>589</v>
      </c>
      <c r="H7398" s="67" t="s">
        <v>225</v>
      </c>
      <c r="I7398" s="67">
        <v>128</v>
      </c>
    </row>
    <row r="7399" spans="1:9" x14ac:dyDescent="0.25">
      <c r="A7399" s="67" t="s">
        <v>884</v>
      </c>
    </row>
    <row r="7400" spans="1:9" x14ac:dyDescent="0.25">
      <c r="A7400" s="67" t="s">
        <v>223</v>
      </c>
      <c r="B7400" s="67" t="s">
        <v>222</v>
      </c>
      <c r="C7400" s="67" t="s">
        <v>221</v>
      </c>
      <c r="D7400" s="67" t="s">
        <v>220</v>
      </c>
      <c r="E7400" s="67" t="s">
        <v>219</v>
      </c>
      <c r="F7400" s="67" t="s">
        <v>217</v>
      </c>
      <c r="G7400" s="67" t="s">
        <v>218</v>
      </c>
      <c r="H7400" s="67" t="s">
        <v>217</v>
      </c>
      <c r="I7400" s="67" t="s">
        <v>216</v>
      </c>
    </row>
    <row r="7401" spans="1:9" x14ac:dyDescent="0.25">
      <c r="A7401" s="67" t="s">
        <v>215</v>
      </c>
      <c r="B7401" s="67" t="s">
        <v>214</v>
      </c>
      <c r="C7401" s="67" t="s">
        <v>213</v>
      </c>
      <c r="D7401" s="67" t="s">
        <v>212</v>
      </c>
      <c r="E7401" s="67" t="s">
        <v>211</v>
      </c>
      <c r="F7401" s="67" t="s">
        <v>210</v>
      </c>
      <c r="G7401" s="67" t="s">
        <v>209</v>
      </c>
      <c r="H7401" s="67" t="s">
        <v>208</v>
      </c>
      <c r="I7401" s="67" t="s">
        <v>207</v>
      </c>
    </row>
    <row r="7402" spans="1:9" x14ac:dyDescent="0.25">
      <c r="A7402" s="67" t="s">
        <v>206</v>
      </c>
      <c r="B7402" s="67" t="s">
        <v>205</v>
      </c>
      <c r="C7402" s="67" t="s">
        <v>204</v>
      </c>
      <c r="D7402" s="67" t="s">
        <v>203</v>
      </c>
      <c r="E7402" s="67" t="s">
        <v>202</v>
      </c>
      <c r="F7402" s="67" t="s">
        <v>201</v>
      </c>
      <c r="G7402" s="67" t="s">
        <v>200</v>
      </c>
      <c r="H7402" s="67" t="s">
        <v>199</v>
      </c>
    </row>
    <row r="7403" spans="1:9" x14ac:dyDescent="0.25">
      <c r="A7403" s="67" t="s">
        <v>1019</v>
      </c>
      <c r="B7403" s="67" t="s">
        <v>1018</v>
      </c>
      <c r="C7403" s="67">
        <v>0</v>
      </c>
      <c r="D7403" s="67">
        <v>0</v>
      </c>
      <c r="E7403" s="67">
        <v>83900.41</v>
      </c>
      <c r="F7403" s="67">
        <v>25250</v>
      </c>
      <c r="H7403" s="68">
        <v>40764</v>
      </c>
      <c r="I7403" s="67" t="s">
        <v>148</v>
      </c>
    </row>
    <row r="7404" spans="1:9" x14ac:dyDescent="0.25">
      <c r="B7404" s="67" t="s">
        <v>1018</v>
      </c>
      <c r="C7404" s="67">
        <v>0</v>
      </c>
      <c r="D7404" s="67">
        <v>0</v>
      </c>
      <c r="E7404" s="67">
        <v>83900.45</v>
      </c>
      <c r="H7404" s="67" t="s">
        <v>146</v>
      </c>
    </row>
    <row r="7406" spans="1:9" x14ac:dyDescent="0.25">
      <c r="A7406" s="67" t="s">
        <v>1017</v>
      </c>
      <c r="B7406" s="67" t="s">
        <v>1016</v>
      </c>
      <c r="C7406" s="67">
        <v>0</v>
      </c>
      <c r="D7406" s="67">
        <v>0</v>
      </c>
      <c r="E7406" s="67">
        <v>83900.41</v>
      </c>
      <c r="F7406" s="67">
        <v>25250</v>
      </c>
      <c r="H7406" s="68">
        <v>40764</v>
      </c>
      <c r="I7406" s="67" t="s">
        <v>148</v>
      </c>
    </row>
    <row r="7407" spans="1:9" x14ac:dyDescent="0.25">
      <c r="B7407" s="67" t="s">
        <v>1016</v>
      </c>
      <c r="C7407" s="67">
        <v>0</v>
      </c>
      <c r="D7407" s="67">
        <v>0</v>
      </c>
      <c r="E7407" s="67">
        <v>83900.45</v>
      </c>
      <c r="H7407" s="67" t="s">
        <v>146</v>
      </c>
    </row>
    <row r="7409" spans="1:9" x14ac:dyDescent="0.25">
      <c r="A7409" s="67" t="s">
        <v>1015</v>
      </c>
      <c r="B7409" s="67" t="s">
        <v>1014</v>
      </c>
      <c r="C7409" s="67">
        <v>0</v>
      </c>
      <c r="D7409" s="67">
        <v>0</v>
      </c>
      <c r="E7409" s="67">
        <v>83900.41</v>
      </c>
      <c r="F7409" s="67">
        <v>25250</v>
      </c>
      <c r="H7409" s="68">
        <v>40764</v>
      </c>
      <c r="I7409" s="67" t="s">
        <v>148</v>
      </c>
    </row>
    <row r="7410" spans="1:9" x14ac:dyDescent="0.25">
      <c r="B7410" s="67" t="s">
        <v>1014</v>
      </c>
      <c r="C7410" s="67">
        <v>0</v>
      </c>
      <c r="D7410" s="67">
        <v>0</v>
      </c>
      <c r="E7410" s="67">
        <v>83900.45</v>
      </c>
      <c r="H7410" s="67" t="s">
        <v>146</v>
      </c>
    </row>
    <row r="7412" spans="1:9" x14ac:dyDescent="0.25">
      <c r="A7412" s="67" t="s">
        <v>1013</v>
      </c>
      <c r="B7412" s="67" t="s">
        <v>1012</v>
      </c>
      <c r="C7412" s="67">
        <v>0</v>
      </c>
      <c r="D7412" s="67">
        <v>0</v>
      </c>
      <c r="E7412" s="67">
        <v>83900.41</v>
      </c>
      <c r="F7412" s="67">
        <v>25250</v>
      </c>
      <c r="H7412" s="68">
        <v>40764</v>
      </c>
      <c r="I7412" s="67" t="s">
        <v>148</v>
      </c>
    </row>
    <row r="7413" spans="1:9" x14ac:dyDescent="0.25">
      <c r="B7413" s="67" t="s">
        <v>1012</v>
      </c>
      <c r="C7413" s="67">
        <v>0</v>
      </c>
      <c r="D7413" s="67">
        <v>0</v>
      </c>
      <c r="E7413" s="67">
        <v>83900.45</v>
      </c>
      <c r="H7413" s="67" t="s">
        <v>146</v>
      </c>
    </row>
    <row r="7415" spans="1:9" x14ac:dyDescent="0.25">
      <c r="A7415" s="67" t="s">
        <v>1011</v>
      </c>
      <c r="B7415" s="67" t="s">
        <v>1010</v>
      </c>
      <c r="C7415" s="67">
        <v>0</v>
      </c>
      <c r="D7415" s="67">
        <v>0</v>
      </c>
      <c r="E7415" s="67">
        <v>83900.41</v>
      </c>
      <c r="F7415" s="67">
        <v>25250</v>
      </c>
      <c r="H7415" s="68">
        <v>40764</v>
      </c>
      <c r="I7415" s="67" t="s">
        <v>148</v>
      </c>
    </row>
    <row r="7416" spans="1:9" x14ac:dyDescent="0.25">
      <c r="B7416" s="67" t="s">
        <v>1010</v>
      </c>
      <c r="C7416" s="67">
        <v>0</v>
      </c>
      <c r="D7416" s="67">
        <v>0</v>
      </c>
      <c r="E7416" s="67">
        <v>83900.45</v>
      </c>
      <c r="H7416" s="67" t="s">
        <v>146</v>
      </c>
    </row>
    <row r="7418" spans="1:9" x14ac:dyDescent="0.25">
      <c r="A7418" s="67" t="s">
        <v>1009</v>
      </c>
      <c r="B7418" s="67" t="s">
        <v>1008</v>
      </c>
      <c r="C7418" s="67">
        <v>0</v>
      </c>
      <c r="D7418" s="67">
        <v>0</v>
      </c>
      <c r="E7418" s="67">
        <v>83900.41</v>
      </c>
      <c r="F7418" s="67">
        <v>25250</v>
      </c>
      <c r="H7418" s="68">
        <v>40764</v>
      </c>
      <c r="I7418" s="67" t="s">
        <v>148</v>
      </c>
    </row>
    <row r="7419" spans="1:9" x14ac:dyDescent="0.25">
      <c r="B7419" s="67" t="s">
        <v>1008</v>
      </c>
      <c r="C7419" s="67">
        <v>0</v>
      </c>
      <c r="D7419" s="67">
        <v>0</v>
      </c>
      <c r="E7419" s="67">
        <v>83900.45</v>
      </c>
      <c r="H7419" s="67" t="s">
        <v>146</v>
      </c>
    </row>
    <row r="7421" spans="1:9" x14ac:dyDescent="0.25">
      <c r="A7421" s="67" t="s">
        <v>1007</v>
      </c>
      <c r="B7421" s="67" t="s">
        <v>1006</v>
      </c>
      <c r="C7421" s="67">
        <v>0</v>
      </c>
      <c r="D7421" s="67">
        <v>0</v>
      </c>
      <c r="E7421" s="67">
        <v>83900.41</v>
      </c>
      <c r="F7421" s="67">
        <v>25250</v>
      </c>
      <c r="H7421" s="68">
        <v>40764</v>
      </c>
      <c r="I7421" s="67" t="s">
        <v>148</v>
      </c>
    </row>
    <row r="7422" spans="1:9" x14ac:dyDescent="0.25">
      <c r="B7422" s="67" t="s">
        <v>1006</v>
      </c>
      <c r="C7422" s="67">
        <v>0</v>
      </c>
      <c r="D7422" s="67">
        <v>0</v>
      </c>
      <c r="E7422" s="67">
        <v>83900.45</v>
      </c>
      <c r="H7422" s="67" t="s">
        <v>146</v>
      </c>
    </row>
    <row r="7424" spans="1:9" x14ac:dyDescent="0.25">
      <c r="A7424" s="67" t="s">
        <v>1005</v>
      </c>
      <c r="B7424" s="67" t="s">
        <v>1004</v>
      </c>
      <c r="C7424" s="67">
        <v>0</v>
      </c>
      <c r="D7424" s="67">
        <v>0</v>
      </c>
      <c r="E7424" s="67">
        <v>83900.41</v>
      </c>
      <c r="F7424" s="67">
        <v>25250</v>
      </c>
      <c r="H7424" s="68">
        <v>40764</v>
      </c>
      <c r="I7424" s="67" t="s">
        <v>148</v>
      </c>
    </row>
    <row r="7425" spans="1:9" x14ac:dyDescent="0.25">
      <c r="B7425" s="67" t="s">
        <v>1004</v>
      </c>
      <c r="C7425" s="67">
        <v>0</v>
      </c>
      <c r="D7425" s="67">
        <v>0</v>
      </c>
      <c r="E7425" s="67">
        <v>83900.45</v>
      </c>
      <c r="H7425" s="67" t="s">
        <v>146</v>
      </c>
    </row>
    <row r="7427" spans="1:9" x14ac:dyDescent="0.25">
      <c r="A7427" s="67" t="s">
        <v>1003</v>
      </c>
      <c r="B7427" s="67" t="s">
        <v>1002</v>
      </c>
      <c r="C7427" s="67">
        <v>0</v>
      </c>
      <c r="D7427" s="67">
        <v>0</v>
      </c>
      <c r="E7427" s="67">
        <v>83900.41</v>
      </c>
      <c r="F7427" s="67">
        <v>25250</v>
      </c>
      <c r="H7427" s="68">
        <v>40764</v>
      </c>
      <c r="I7427" s="67" t="s">
        <v>148</v>
      </c>
    </row>
    <row r="7428" spans="1:9" x14ac:dyDescent="0.25">
      <c r="B7428" s="67" t="s">
        <v>1002</v>
      </c>
      <c r="C7428" s="67">
        <v>0</v>
      </c>
      <c r="D7428" s="67">
        <v>0</v>
      </c>
      <c r="E7428" s="67">
        <v>83900.45</v>
      </c>
      <c r="H7428" s="67" t="s">
        <v>146</v>
      </c>
    </row>
    <row r="7430" spans="1:9" x14ac:dyDescent="0.25">
      <c r="A7430" s="67" t="s">
        <v>1001</v>
      </c>
      <c r="B7430" s="67" t="s">
        <v>1000</v>
      </c>
      <c r="C7430" s="67">
        <v>0</v>
      </c>
      <c r="D7430" s="67">
        <v>0</v>
      </c>
      <c r="E7430" s="67">
        <v>83900.41</v>
      </c>
      <c r="F7430" s="67">
        <v>25250</v>
      </c>
      <c r="H7430" s="68">
        <v>40764</v>
      </c>
      <c r="I7430" s="67" t="s">
        <v>148</v>
      </c>
    </row>
    <row r="7431" spans="1:9" x14ac:dyDescent="0.25">
      <c r="B7431" s="67" t="s">
        <v>1000</v>
      </c>
      <c r="C7431" s="67">
        <v>0</v>
      </c>
      <c r="D7431" s="67">
        <v>0</v>
      </c>
      <c r="E7431" s="67">
        <v>83900.45</v>
      </c>
      <c r="H7431" s="67" t="s">
        <v>146</v>
      </c>
    </row>
    <row r="7433" spans="1:9" x14ac:dyDescent="0.25">
      <c r="A7433" s="67" t="s">
        <v>999</v>
      </c>
      <c r="B7433" s="67" t="s">
        <v>998</v>
      </c>
      <c r="C7433" s="67">
        <v>0</v>
      </c>
      <c r="D7433" s="67">
        <v>0</v>
      </c>
      <c r="E7433" s="67">
        <v>83900.41</v>
      </c>
      <c r="F7433" s="67">
        <v>25250</v>
      </c>
      <c r="H7433" s="68">
        <v>40764</v>
      </c>
      <c r="I7433" s="67" t="s">
        <v>148</v>
      </c>
    </row>
    <row r="7434" spans="1:9" x14ac:dyDescent="0.25">
      <c r="B7434" s="67" t="s">
        <v>998</v>
      </c>
      <c r="C7434" s="67">
        <v>0</v>
      </c>
      <c r="D7434" s="67">
        <v>0</v>
      </c>
      <c r="E7434" s="67">
        <v>83900.45</v>
      </c>
      <c r="H7434" s="67" t="s">
        <v>146</v>
      </c>
    </row>
    <row r="7436" spans="1:9" x14ac:dyDescent="0.25">
      <c r="A7436" s="67" t="s">
        <v>997</v>
      </c>
      <c r="B7436" s="67" t="s">
        <v>996</v>
      </c>
      <c r="C7436" s="67">
        <v>0</v>
      </c>
      <c r="D7436" s="67">
        <v>0</v>
      </c>
      <c r="E7436" s="67">
        <v>83900.41</v>
      </c>
      <c r="F7436" s="67">
        <v>25250</v>
      </c>
      <c r="H7436" s="68">
        <v>40764</v>
      </c>
      <c r="I7436" s="67" t="s">
        <v>148</v>
      </c>
    </row>
    <row r="7437" spans="1:9" x14ac:dyDescent="0.25">
      <c r="B7437" s="67" t="s">
        <v>996</v>
      </c>
      <c r="C7437" s="67">
        <v>0</v>
      </c>
      <c r="D7437" s="67">
        <v>0</v>
      </c>
      <c r="E7437" s="67">
        <v>83900.45</v>
      </c>
      <c r="H7437" s="67" t="s">
        <v>146</v>
      </c>
    </row>
    <row r="7439" spans="1:9" x14ac:dyDescent="0.25">
      <c r="A7439" s="67" t="s">
        <v>995</v>
      </c>
      <c r="B7439" s="67" t="s">
        <v>994</v>
      </c>
      <c r="C7439" s="67">
        <v>0</v>
      </c>
      <c r="D7439" s="67">
        <v>0</v>
      </c>
      <c r="E7439" s="67">
        <v>83900.41</v>
      </c>
      <c r="F7439" s="67">
        <v>25250</v>
      </c>
      <c r="H7439" s="68">
        <v>40764</v>
      </c>
      <c r="I7439" s="67" t="s">
        <v>148</v>
      </c>
    </row>
    <row r="7440" spans="1:9" x14ac:dyDescent="0.25">
      <c r="B7440" s="67" t="s">
        <v>994</v>
      </c>
      <c r="C7440" s="67">
        <v>0</v>
      </c>
      <c r="D7440" s="67">
        <v>0</v>
      </c>
      <c r="E7440" s="67">
        <v>83900.45</v>
      </c>
      <c r="H7440" s="67" t="s">
        <v>146</v>
      </c>
    </row>
    <row r="7442" spans="1:9" x14ac:dyDescent="0.25">
      <c r="A7442" s="67" t="s">
        <v>993</v>
      </c>
      <c r="B7442" s="67" t="s">
        <v>992</v>
      </c>
      <c r="C7442" s="67">
        <v>0</v>
      </c>
      <c r="D7442" s="67">
        <v>0</v>
      </c>
      <c r="E7442" s="67">
        <v>83900.41</v>
      </c>
      <c r="F7442" s="67">
        <v>25250</v>
      </c>
      <c r="H7442" s="68">
        <v>40764</v>
      </c>
      <c r="I7442" s="67" t="s">
        <v>148</v>
      </c>
    </row>
    <row r="7443" spans="1:9" x14ac:dyDescent="0.25">
      <c r="B7443" s="67" t="s">
        <v>992</v>
      </c>
      <c r="C7443" s="67">
        <v>0</v>
      </c>
      <c r="D7443" s="67">
        <v>0</v>
      </c>
      <c r="E7443" s="67">
        <v>83900.45</v>
      </c>
      <c r="H7443" s="67" t="s">
        <v>146</v>
      </c>
    </row>
    <row r="7445" spans="1:9" x14ac:dyDescent="0.25">
      <c r="A7445" s="67" t="s">
        <v>991</v>
      </c>
      <c r="B7445" s="67" t="s">
        <v>990</v>
      </c>
      <c r="C7445" s="67">
        <v>0</v>
      </c>
      <c r="D7445" s="67">
        <v>0</v>
      </c>
      <c r="E7445" s="67">
        <v>83900.41</v>
      </c>
      <c r="F7445" s="67">
        <v>25250</v>
      </c>
      <c r="H7445" s="68">
        <v>40764</v>
      </c>
      <c r="I7445" s="67" t="s">
        <v>148</v>
      </c>
    </row>
    <row r="7446" spans="1:9" x14ac:dyDescent="0.25">
      <c r="B7446" s="67" t="s">
        <v>990</v>
      </c>
      <c r="C7446" s="67">
        <v>0</v>
      </c>
      <c r="D7446" s="67">
        <v>0</v>
      </c>
      <c r="E7446" s="67">
        <v>83900.45</v>
      </c>
      <c r="H7446" s="67" t="s">
        <v>146</v>
      </c>
    </row>
    <row r="7448" spans="1:9" x14ac:dyDescent="0.25">
      <c r="A7448" s="67" t="s">
        <v>989</v>
      </c>
      <c r="B7448" s="67" t="s">
        <v>988</v>
      </c>
      <c r="C7448" s="67">
        <v>0</v>
      </c>
      <c r="D7448" s="67">
        <v>0</v>
      </c>
      <c r="E7448" s="67">
        <v>83900.41</v>
      </c>
      <c r="F7448" s="67">
        <v>25250</v>
      </c>
      <c r="H7448" s="68">
        <v>40764</v>
      </c>
      <c r="I7448" s="67" t="s">
        <v>148</v>
      </c>
    </row>
    <row r="7449" spans="1:9" x14ac:dyDescent="0.25">
      <c r="B7449" s="67" t="s">
        <v>988</v>
      </c>
      <c r="C7449" s="67">
        <v>0</v>
      </c>
      <c r="D7449" s="67">
        <v>0</v>
      </c>
      <c r="E7449" s="67">
        <v>83900.45</v>
      </c>
      <c r="H7449" s="67" t="s">
        <v>146</v>
      </c>
    </row>
    <row r="7451" spans="1:9" x14ac:dyDescent="0.25">
      <c r="A7451" s="67" t="s">
        <v>987</v>
      </c>
      <c r="B7451" s="67" t="s">
        <v>986</v>
      </c>
      <c r="C7451" s="67">
        <v>0</v>
      </c>
      <c r="D7451" s="67">
        <v>0</v>
      </c>
      <c r="E7451" s="67">
        <v>83900.41</v>
      </c>
      <c r="F7451" s="67">
        <v>25250</v>
      </c>
      <c r="H7451" s="68">
        <v>40764</v>
      </c>
      <c r="I7451" s="67" t="s">
        <v>148</v>
      </c>
    </row>
    <row r="7452" spans="1:9" x14ac:dyDescent="0.25">
      <c r="B7452" s="67" t="s">
        <v>986</v>
      </c>
      <c r="C7452" s="67">
        <v>0</v>
      </c>
      <c r="D7452" s="67">
        <v>0</v>
      </c>
      <c r="E7452" s="67">
        <v>83900.45</v>
      </c>
      <c r="H7452" s="67" t="s">
        <v>146</v>
      </c>
    </row>
    <row r="7453" spans="1:9" x14ac:dyDescent="0.25">
      <c r="A7453" s="67" t="s">
        <v>233</v>
      </c>
    </row>
    <row r="7455" spans="1:9" x14ac:dyDescent="0.25">
      <c r="A7455" s="67" t="s">
        <v>232</v>
      </c>
      <c r="D7455" s="67" t="s">
        <v>231</v>
      </c>
      <c r="H7455" s="67" t="s">
        <v>148</v>
      </c>
      <c r="I7455" s="67" t="s">
        <v>230</v>
      </c>
    </row>
    <row r="7456" spans="1:9" x14ac:dyDescent="0.25">
      <c r="A7456" s="67">
        <v>41.1</v>
      </c>
      <c r="C7456" s="67" t="s">
        <v>215</v>
      </c>
      <c r="D7456" s="67" t="s">
        <v>229</v>
      </c>
      <c r="H7456" s="70">
        <v>44771</v>
      </c>
      <c r="I7456" s="69">
        <v>0.56736111111111109</v>
      </c>
    </row>
    <row r="7457" spans="1:9" x14ac:dyDescent="0.25">
      <c r="A7457" s="67" t="s">
        <v>228</v>
      </c>
      <c r="C7457" s="67" t="s">
        <v>227</v>
      </c>
      <c r="D7457" s="67" t="s">
        <v>226</v>
      </c>
      <c r="E7457" s="67">
        <v>589</v>
      </c>
      <c r="H7457" s="67" t="s">
        <v>225</v>
      </c>
      <c r="I7457" s="67">
        <v>129</v>
      </c>
    </row>
    <row r="7458" spans="1:9" x14ac:dyDescent="0.25">
      <c r="A7458" s="67" t="s">
        <v>884</v>
      </c>
    </row>
    <row r="7459" spans="1:9" x14ac:dyDescent="0.25">
      <c r="A7459" s="67" t="s">
        <v>223</v>
      </c>
      <c r="B7459" s="67" t="s">
        <v>222</v>
      </c>
      <c r="C7459" s="67" t="s">
        <v>221</v>
      </c>
      <c r="D7459" s="67" t="s">
        <v>220</v>
      </c>
      <c r="E7459" s="67" t="s">
        <v>219</v>
      </c>
      <c r="F7459" s="67" t="s">
        <v>217</v>
      </c>
      <c r="G7459" s="67" t="s">
        <v>218</v>
      </c>
      <c r="H7459" s="67" t="s">
        <v>217</v>
      </c>
      <c r="I7459" s="67" t="s">
        <v>216</v>
      </c>
    </row>
    <row r="7460" spans="1:9" x14ac:dyDescent="0.25">
      <c r="A7460" s="67" t="s">
        <v>215</v>
      </c>
      <c r="B7460" s="67" t="s">
        <v>214</v>
      </c>
      <c r="C7460" s="67" t="s">
        <v>213</v>
      </c>
      <c r="D7460" s="67" t="s">
        <v>212</v>
      </c>
      <c r="E7460" s="67" t="s">
        <v>211</v>
      </c>
      <c r="F7460" s="67" t="s">
        <v>210</v>
      </c>
      <c r="G7460" s="67" t="s">
        <v>209</v>
      </c>
      <c r="H7460" s="67" t="s">
        <v>208</v>
      </c>
      <c r="I7460" s="67" t="s">
        <v>207</v>
      </c>
    </row>
    <row r="7461" spans="1:9" x14ac:dyDescent="0.25">
      <c r="A7461" s="67" t="s">
        <v>206</v>
      </c>
      <c r="B7461" s="67" t="s">
        <v>205</v>
      </c>
      <c r="C7461" s="67" t="s">
        <v>204</v>
      </c>
      <c r="D7461" s="67" t="s">
        <v>203</v>
      </c>
      <c r="E7461" s="67" t="s">
        <v>202</v>
      </c>
      <c r="F7461" s="67" t="s">
        <v>201</v>
      </c>
      <c r="G7461" s="67" t="s">
        <v>200</v>
      </c>
      <c r="H7461" s="67" t="s">
        <v>199</v>
      </c>
    </row>
    <row r="7462" spans="1:9" x14ac:dyDescent="0.25">
      <c r="A7462" s="67" t="s">
        <v>985</v>
      </c>
      <c r="B7462" s="67" t="s">
        <v>984</v>
      </c>
      <c r="C7462" s="67">
        <v>0</v>
      </c>
      <c r="D7462" s="67">
        <v>0</v>
      </c>
      <c r="E7462" s="67">
        <v>83900.41</v>
      </c>
      <c r="F7462" s="67">
        <v>25250</v>
      </c>
      <c r="H7462" s="68">
        <v>40764</v>
      </c>
      <c r="I7462" s="67" t="s">
        <v>148</v>
      </c>
    </row>
    <row r="7463" spans="1:9" x14ac:dyDescent="0.25">
      <c r="B7463" s="67" t="s">
        <v>984</v>
      </c>
      <c r="C7463" s="67">
        <v>0</v>
      </c>
      <c r="D7463" s="67">
        <v>0</v>
      </c>
      <c r="E7463" s="67">
        <v>83900.45</v>
      </c>
      <c r="H7463" s="67" t="s">
        <v>146</v>
      </c>
    </row>
    <row r="7465" spans="1:9" x14ac:dyDescent="0.25">
      <c r="A7465" s="67" t="s">
        <v>983</v>
      </c>
      <c r="B7465" s="67" t="s">
        <v>982</v>
      </c>
      <c r="C7465" s="67">
        <v>0</v>
      </c>
      <c r="D7465" s="67">
        <v>0</v>
      </c>
      <c r="E7465" s="67">
        <v>83900.41</v>
      </c>
      <c r="F7465" s="67">
        <v>25250</v>
      </c>
      <c r="H7465" s="68">
        <v>40764</v>
      </c>
      <c r="I7465" s="67" t="s">
        <v>148</v>
      </c>
    </row>
    <row r="7466" spans="1:9" x14ac:dyDescent="0.25">
      <c r="B7466" s="67" t="s">
        <v>982</v>
      </c>
      <c r="C7466" s="67">
        <v>0</v>
      </c>
      <c r="D7466" s="67">
        <v>0</v>
      </c>
      <c r="E7466" s="67">
        <v>83900.45</v>
      </c>
      <c r="H7466" s="67" t="s">
        <v>146</v>
      </c>
    </row>
    <row r="7468" spans="1:9" x14ac:dyDescent="0.25">
      <c r="A7468" s="67" t="s">
        <v>981</v>
      </c>
      <c r="B7468" s="67" t="s">
        <v>980</v>
      </c>
      <c r="C7468" s="67">
        <v>0</v>
      </c>
      <c r="D7468" s="67">
        <v>0</v>
      </c>
      <c r="E7468" s="67">
        <v>83900.41</v>
      </c>
      <c r="F7468" s="67">
        <v>25250</v>
      </c>
      <c r="H7468" s="68">
        <v>40764</v>
      </c>
      <c r="I7468" s="67" t="s">
        <v>148</v>
      </c>
    </row>
    <row r="7469" spans="1:9" x14ac:dyDescent="0.25">
      <c r="B7469" s="67" t="s">
        <v>980</v>
      </c>
      <c r="C7469" s="67">
        <v>0</v>
      </c>
      <c r="D7469" s="67">
        <v>0</v>
      </c>
      <c r="E7469" s="67">
        <v>83900.45</v>
      </c>
      <c r="H7469" s="67" t="s">
        <v>146</v>
      </c>
    </row>
    <row r="7471" spans="1:9" x14ac:dyDescent="0.25">
      <c r="A7471" s="67" t="s">
        <v>979</v>
      </c>
      <c r="B7471" s="67" t="s">
        <v>978</v>
      </c>
      <c r="C7471" s="67">
        <v>0</v>
      </c>
      <c r="D7471" s="67">
        <v>0</v>
      </c>
      <c r="E7471" s="67">
        <v>83900.41</v>
      </c>
      <c r="F7471" s="67">
        <v>25250</v>
      </c>
      <c r="H7471" s="68">
        <v>40764</v>
      </c>
      <c r="I7471" s="67" t="s">
        <v>148</v>
      </c>
    </row>
    <row r="7472" spans="1:9" x14ac:dyDescent="0.25">
      <c r="B7472" s="67" t="s">
        <v>978</v>
      </c>
      <c r="C7472" s="67">
        <v>0</v>
      </c>
      <c r="D7472" s="67">
        <v>0</v>
      </c>
      <c r="E7472" s="67">
        <v>83900.45</v>
      </c>
      <c r="H7472" s="67" t="s">
        <v>146</v>
      </c>
    </row>
    <row r="7474" spans="1:9" x14ac:dyDescent="0.25">
      <c r="A7474" s="67" t="s">
        <v>977</v>
      </c>
      <c r="B7474" s="67" t="s">
        <v>976</v>
      </c>
      <c r="C7474" s="67">
        <v>0</v>
      </c>
      <c r="D7474" s="67">
        <v>0</v>
      </c>
      <c r="E7474" s="67">
        <v>83900.41</v>
      </c>
      <c r="F7474" s="67">
        <v>25250</v>
      </c>
      <c r="H7474" s="68">
        <v>40764</v>
      </c>
      <c r="I7474" s="67" t="s">
        <v>148</v>
      </c>
    </row>
    <row r="7475" spans="1:9" x14ac:dyDescent="0.25">
      <c r="B7475" s="67" t="s">
        <v>976</v>
      </c>
      <c r="C7475" s="67">
        <v>0</v>
      </c>
      <c r="D7475" s="67">
        <v>0</v>
      </c>
      <c r="E7475" s="67">
        <v>83900.45</v>
      </c>
      <c r="H7475" s="67" t="s">
        <v>146</v>
      </c>
    </row>
    <row r="7477" spans="1:9" x14ac:dyDescent="0.25">
      <c r="A7477" s="67" t="s">
        <v>975</v>
      </c>
      <c r="B7477" s="67" t="s">
        <v>974</v>
      </c>
      <c r="C7477" s="67">
        <v>0</v>
      </c>
      <c r="D7477" s="67">
        <v>0</v>
      </c>
      <c r="E7477" s="67">
        <v>83900.41</v>
      </c>
      <c r="F7477" s="67">
        <v>25250</v>
      </c>
      <c r="H7477" s="68">
        <v>40764</v>
      </c>
      <c r="I7477" s="67" t="s">
        <v>148</v>
      </c>
    </row>
    <row r="7478" spans="1:9" x14ac:dyDescent="0.25">
      <c r="B7478" s="67" t="s">
        <v>974</v>
      </c>
      <c r="C7478" s="67">
        <v>0</v>
      </c>
      <c r="D7478" s="67">
        <v>0</v>
      </c>
      <c r="E7478" s="67">
        <v>83900.45</v>
      </c>
      <c r="H7478" s="67" t="s">
        <v>146</v>
      </c>
    </row>
    <row r="7480" spans="1:9" x14ac:dyDescent="0.25">
      <c r="A7480" s="67" t="s">
        <v>973</v>
      </c>
      <c r="B7480" s="67" t="s">
        <v>972</v>
      </c>
      <c r="C7480" s="67">
        <v>0</v>
      </c>
      <c r="D7480" s="67">
        <v>0</v>
      </c>
      <c r="E7480" s="67">
        <v>83900.41</v>
      </c>
      <c r="F7480" s="67">
        <v>25250</v>
      </c>
      <c r="H7480" s="68">
        <v>40764</v>
      </c>
      <c r="I7480" s="67" t="s">
        <v>148</v>
      </c>
    </row>
    <row r="7481" spans="1:9" x14ac:dyDescent="0.25">
      <c r="B7481" s="67" t="s">
        <v>972</v>
      </c>
      <c r="C7481" s="67">
        <v>0</v>
      </c>
      <c r="D7481" s="67">
        <v>0</v>
      </c>
      <c r="E7481" s="67">
        <v>83900.45</v>
      </c>
      <c r="H7481" s="67" t="s">
        <v>146</v>
      </c>
    </row>
    <row r="7483" spans="1:9" x14ac:dyDescent="0.25">
      <c r="A7483" s="67" t="s">
        <v>971</v>
      </c>
      <c r="B7483" s="67" t="s">
        <v>970</v>
      </c>
      <c r="C7483" s="67">
        <v>0</v>
      </c>
      <c r="D7483" s="67">
        <v>0</v>
      </c>
      <c r="E7483" s="67">
        <v>83900.41</v>
      </c>
      <c r="F7483" s="67">
        <v>25250</v>
      </c>
      <c r="H7483" s="68">
        <v>40764</v>
      </c>
      <c r="I7483" s="67" t="s">
        <v>148</v>
      </c>
    </row>
    <row r="7484" spans="1:9" x14ac:dyDescent="0.25">
      <c r="B7484" s="67" t="s">
        <v>970</v>
      </c>
      <c r="C7484" s="67">
        <v>0</v>
      </c>
      <c r="D7484" s="67">
        <v>0</v>
      </c>
      <c r="E7484" s="67">
        <v>83900.45</v>
      </c>
      <c r="H7484" s="67" t="s">
        <v>146</v>
      </c>
    </row>
    <row r="7486" spans="1:9" x14ac:dyDescent="0.25">
      <c r="A7486" s="67" t="s">
        <v>969</v>
      </c>
      <c r="B7486" s="67" t="s">
        <v>968</v>
      </c>
      <c r="C7486" s="67">
        <v>0</v>
      </c>
      <c r="D7486" s="67">
        <v>0</v>
      </c>
      <c r="E7486" s="67">
        <v>83900.41</v>
      </c>
      <c r="F7486" s="67">
        <v>25250</v>
      </c>
      <c r="H7486" s="68">
        <v>40764</v>
      </c>
      <c r="I7486" s="67" t="s">
        <v>148</v>
      </c>
    </row>
    <row r="7487" spans="1:9" x14ac:dyDescent="0.25">
      <c r="B7487" s="67" t="s">
        <v>968</v>
      </c>
      <c r="C7487" s="67">
        <v>0</v>
      </c>
      <c r="D7487" s="67">
        <v>0</v>
      </c>
      <c r="E7487" s="67">
        <v>83900.45</v>
      </c>
      <c r="H7487" s="67" t="s">
        <v>146</v>
      </c>
    </row>
    <row r="7489" spans="1:9" x14ac:dyDescent="0.25">
      <c r="A7489" s="67" t="s">
        <v>967</v>
      </c>
      <c r="B7489" s="67" t="s">
        <v>966</v>
      </c>
      <c r="C7489" s="67">
        <v>0</v>
      </c>
      <c r="D7489" s="67">
        <v>0</v>
      </c>
      <c r="E7489" s="67">
        <v>83900.41</v>
      </c>
      <c r="F7489" s="67">
        <v>25250</v>
      </c>
      <c r="H7489" s="68">
        <v>40764</v>
      </c>
      <c r="I7489" s="67" t="s">
        <v>148</v>
      </c>
    </row>
    <row r="7490" spans="1:9" x14ac:dyDescent="0.25">
      <c r="B7490" s="67" t="s">
        <v>966</v>
      </c>
      <c r="C7490" s="67">
        <v>0</v>
      </c>
      <c r="D7490" s="67">
        <v>0</v>
      </c>
      <c r="E7490" s="67">
        <v>83900.45</v>
      </c>
      <c r="H7490" s="67" t="s">
        <v>146</v>
      </c>
    </row>
    <row r="7492" spans="1:9" x14ac:dyDescent="0.25">
      <c r="A7492" s="67" t="s">
        <v>965</v>
      </c>
      <c r="B7492" s="67" t="s">
        <v>964</v>
      </c>
      <c r="C7492" s="67">
        <v>0</v>
      </c>
      <c r="D7492" s="67">
        <v>0</v>
      </c>
      <c r="E7492" s="67">
        <v>83900.41</v>
      </c>
      <c r="F7492" s="67">
        <v>25250</v>
      </c>
      <c r="H7492" s="68">
        <v>40764</v>
      </c>
      <c r="I7492" s="67" t="s">
        <v>148</v>
      </c>
    </row>
    <row r="7493" spans="1:9" x14ac:dyDescent="0.25">
      <c r="B7493" s="67" t="s">
        <v>964</v>
      </c>
      <c r="C7493" s="67">
        <v>0</v>
      </c>
      <c r="D7493" s="67">
        <v>0</v>
      </c>
      <c r="E7493" s="67">
        <v>83900.45</v>
      </c>
      <c r="H7493" s="67" t="s">
        <v>146</v>
      </c>
    </row>
    <row r="7495" spans="1:9" x14ac:dyDescent="0.25">
      <c r="A7495" s="67" t="s">
        <v>963</v>
      </c>
      <c r="B7495" s="67" t="s">
        <v>962</v>
      </c>
      <c r="C7495" s="67">
        <v>0</v>
      </c>
      <c r="D7495" s="67">
        <v>0</v>
      </c>
      <c r="E7495" s="67">
        <v>83900.41</v>
      </c>
      <c r="F7495" s="67">
        <v>25250</v>
      </c>
      <c r="H7495" s="68">
        <v>40764</v>
      </c>
      <c r="I7495" s="67" t="s">
        <v>148</v>
      </c>
    </row>
    <row r="7496" spans="1:9" x14ac:dyDescent="0.25">
      <c r="B7496" s="67" t="s">
        <v>962</v>
      </c>
      <c r="C7496" s="67">
        <v>0</v>
      </c>
      <c r="D7496" s="67">
        <v>0</v>
      </c>
      <c r="E7496" s="67">
        <v>83900.45</v>
      </c>
      <c r="H7496" s="67" t="s">
        <v>146</v>
      </c>
    </row>
    <row r="7498" spans="1:9" x14ac:dyDescent="0.25">
      <c r="A7498" s="67" t="s">
        <v>961</v>
      </c>
      <c r="B7498" s="67" t="s">
        <v>960</v>
      </c>
      <c r="C7498" s="67">
        <v>0</v>
      </c>
      <c r="D7498" s="67">
        <v>0</v>
      </c>
      <c r="E7498" s="67">
        <v>83900.41</v>
      </c>
      <c r="F7498" s="67">
        <v>25250</v>
      </c>
      <c r="H7498" s="68">
        <v>40764</v>
      </c>
      <c r="I7498" s="67" t="s">
        <v>148</v>
      </c>
    </row>
    <row r="7499" spans="1:9" x14ac:dyDescent="0.25">
      <c r="B7499" s="67" t="s">
        <v>960</v>
      </c>
      <c r="C7499" s="67">
        <v>0</v>
      </c>
      <c r="D7499" s="67">
        <v>0</v>
      </c>
      <c r="E7499" s="67">
        <v>83900.45</v>
      </c>
      <c r="H7499" s="67" t="s">
        <v>146</v>
      </c>
    </row>
    <row r="7501" spans="1:9" x14ac:dyDescent="0.25">
      <c r="A7501" s="67" t="s">
        <v>959</v>
      </c>
      <c r="B7501" s="67" t="s">
        <v>958</v>
      </c>
      <c r="C7501" s="67">
        <v>0</v>
      </c>
      <c r="D7501" s="67">
        <v>0</v>
      </c>
      <c r="E7501" s="67">
        <v>83900.41</v>
      </c>
      <c r="F7501" s="67">
        <v>25250</v>
      </c>
      <c r="H7501" s="68">
        <v>40764</v>
      </c>
      <c r="I7501" s="67" t="s">
        <v>148</v>
      </c>
    </row>
    <row r="7502" spans="1:9" x14ac:dyDescent="0.25">
      <c r="B7502" s="67" t="s">
        <v>958</v>
      </c>
      <c r="C7502" s="67">
        <v>0</v>
      </c>
      <c r="D7502" s="67">
        <v>0</v>
      </c>
      <c r="E7502" s="67">
        <v>83900.45</v>
      </c>
      <c r="H7502" s="67" t="s">
        <v>146</v>
      </c>
    </row>
    <row r="7504" spans="1:9" x14ac:dyDescent="0.25">
      <c r="A7504" s="67" t="s">
        <v>957</v>
      </c>
      <c r="B7504" s="67" t="s">
        <v>956</v>
      </c>
      <c r="C7504" s="67">
        <v>0</v>
      </c>
      <c r="D7504" s="67">
        <v>0</v>
      </c>
      <c r="E7504" s="67">
        <v>83900.41</v>
      </c>
      <c r="F7504" s="67">
        <v>25250</v>
      </c>
      <c r="H7504" s="68">
        <v>40764</v>
      </c>
      <c r="I7504" s="67" t="s">
        <v>148</v>
      </c>
    </row>
    <row r="7505" spans="1:9" x14ac:dyDescent="0.25">
      <c r="B7505" s="67" t="s">
        <v>956</v>
      </c>
      <c r="C7505" s="67">
        <v>0</v>
      </c>
      <c r="D7505" s="67">
        <v>0</v>
      </c>
      <c r="E7505" s="67">
        <v>83900.45</v>
      </c>
      <c r="H7505" s="67" t="s">
        <v>146</v>
      </c>
    </row>
    <row r="7507" spans="1:9" x14ac:dyDescent="0.25">
      <c r="A7507" s="67" t="s">
        <v>955</v>
      </c>
      <c r="B7507" s="67" t="s">
        <v>954</v>
      </c>
      <c r="C7507" s="67">
        <v>0</v>
      </c>
      <c r="D7507" s="67">
        <v>0</v>
      </c>
      <c r="E7507" s="67">
        <v>83900.41</v>
      </c>
      <c r="F7507" s="67">
        <v>25250</v>
      </c>
      <c r="H7507" s="68">
        <v>40764</v>
      </c>
      <c r="I7507" s="67" t="s">
        <v>148</v>
      </c>
    </row>
    <row r="7508" spans="1:9" x14ac:dyDescent="0.25">
      <c r="B7508" s="67" t="s">
        <v>954</v>
      </c>
      <c r="C7508" s="67">
        <v>0</v>
      </c>
      <c r="D7508" s="67">
        <v>0</v>
      </c>
      <c r="E7508" s="67">
        <v>83900.45</v>
      </c>
      <c r="H7508" s="67" t="s">
        <v>146</v>
      </c>
    </row>
    <row r="7510" spans="1:9" x14ac:dyDescent="0.25">
      <c r="A7510" s="67" t="s">
        <v>953</v>
      </c>
      <c r="B7510" s="67" t="s">
        <v>952</v>
      </c>
      <c r="C7510" s="67">
        <v>0</v>
      </c>
      <c r="D7510" s="67">
        <v>0</v>
      </c>
      <c r="E7510" s="67">
        <v>83900.41</v>
      </c>
      <c r="F7510" s="67">
        <v>25250</v>
      </c>
      <c r="H7510" s="68">
        <v>40764</v>
      </c>
      <c r="I7510" s="67" t="s">
        <v>148</v>
      </c>
    </row>
    <row r="7511" spans="1:9" x14ac:dyDescent="0.25">
      <c r="B7511" s="67" t="s">
        <v>952</v>
      </c>
      <c r="C7511" s="67">
        <v>0</v>
      </c>
      <c r="D7511" s="67">
        <v>0</v>
      </c>
      <c r="E7511" s="67">
        <v>83900.45</v>
      </c>
      <c r="H7511" s="67" t="s">
        <v>146</v>
      </c>
    </row>
    <row r="7512" spans="1:9" x14ac:dyDescent="0.25">
      <c r="A7512" s="67" t="s">
        <v>233</v>
      </c>
    </row>
    <row r="7514" spans="1:9" x14ac:dyDescent="0.25">
      <c r="A7514" s="67" t="s">
        <v>232</v>
      </c>
      <c r="D7514" s="67" t="s">
        <v>231</v>
      </c>
      <c r="H7514" s="67" t="s">
        <v>148</v>
      </c>
      <c r="I7514" s="67" t="s">
        <v>230</v>
      </c>
    </row>
    <row r="7515" spans="1:9" x14ac:dyDescent="0.25">
      <c r="A7515" s="67">
        <v>41.1</v>
      </c>
      <c r="C7515" s="67" t="s">
        <v>215</v>
      </c>
      <c r="D7515" s="67" t="s">
        <v>229</v>
      </c>
      <c r="H7515" s="70">
        <v>44771</v>
      </c>
      <c r="I7515" s="69">
        <v>0.56736111111111109</v>
      </c>
    </row>
    <row r="7516" spans="1:9" x14ac:dyDescent="0.25">
      <c r="A7516" s="67" t="s">
        <v>228</v>
      </c>
      <c r="C7516" s="67" t="s">
        <v>227</v>
      </c>
      <c r="D7516" s="67" t="s">
        <v>226</v>
      </c>
      <c r="E7516" s="67">
        <v>589</v>
      </c>
      <c r="H7516" s="67" t="s">
        <v>225</v>
      </c>
      <c r="I7516" s="67">
        <v>130</v>
      </c>
    </row>
    <row r="7517" spans="1:9" x14ac:dyDescent="0.25">
      <c r="A7517" s="67" t="s">
        <v>884</v>
      </c>
    </row>
    <row r="7518" spans="1:9" x14ac:dyDescent="0.25">
      <c r="A7518" s="67" t="s">
        <v>223</v>
      </c>
      <c r="B7518" s="67" t="s">
        <v>222</v>
      </c>
      <c r="C7518" s="67" t="s">
        <v>221</v>
      </c>
      <c r="D7518" s="67" t="s">
        <v>220</v>
      </c>
      <c r="E7518" s="67" t="s">
        <v>219</v>
      </c>
      <c r="F7518" s="67" t="s">
        <v>217</v>
      </c>
      <c r="G7518" s="67" t="s">
        <v>218</v>
      </c>
      <c r="H7518" s="67" t="s">
        <v>217</v>
      </c>
      <c r="I7518" s="67" t="s">
        <v>216</v>
      </c>
    </row>
    <row r="7519" spans="1:9" x14ac:dyDescent="0.25">
      <c r="A7519" s="67" t="s">
        <v>215</v>
      </c>
      <c r="B7519" s="67" t="s">
        <v>214</v>
      </c>
      <c r="C7519" s="67" t="s">
        <v>213</v>
      </c>
      <c r="D7519" s="67" t="s">
        <v>212</v>
      </c>
      <c r="E7519" s="67" t="s">
        <v>211</v>
      </c>
      <c r="F7519" s="67" t="s">
        <v>210</v>
      </c>
      <c r="G7519" s="67" t="s">
        <v>209</v>
      </c>
      <c r="H7519" s="67" t="s">
        <v>208</v>
      </c>
      <c r="I7519" s="67" t="s">
        <v>207</v>
      </c>
    </row>
    <row r="7520" spans="1:9" x14ac:dyDescent="0.25">
      <c r="A7520" s="67" t="s">
        <v>206</v>
      </c>
      <c r="B7520" s="67" t="s">
        <v>205</v>
      </c>
      <c r="C7520" s="67" t="s">
        <v>204</v>
      </c>
      <c r="D7520" s="67" t="s">
        <v>203</v>
      </c>
      <c r="E7520" s="67" t="s">
        <v>202</v>
      </c>
      <c r="F7520" s="67" t="s">
        <v>201</v>
      </c>
      <c r="G7520" s="67" t="s">
        <v>200</v>
      </c>
      <c r="H7520" s="67" t="s">
        <v>199</v>
      </c>
    </row>
    <row r="7521" spans="1:9" x14ac:dyDescent="0.25">
      <c r="A7521" s="67" t="s">
        <v>951</v>
      </c>
      <c r="B7521" s="67" t="s">
        <v>950</v>
      </c>
      <c r="C7521" s="67">
        <v>0</v>
      </c>
      <c r="D7521" s="67">
        <v>0</v>
      </c>
      <c r="E7521" s="67">
        <v>83900.41</v>
      </c>
      <c r="F7521" s="67">
        <v>25250</v>
      </c>
      <c r="H7521" s="68">
        <v>40764</v>
      </c>
      <c r="I7521" s="67" t="s">
        <v>148</v>
      </c>
    </row>
    <row r="7522" spans="1:9" x14ac:dyDescent="0.25">
      <c r="B7522" s="67" t="s">
        <v>950</v>
      </c>
      <c r="C7522" s="67">
        <v>0</v>
      </c>
      <c r="D7522" s="67">
        <v>0</v>
      </c>
      <c r="E7522" s="67">
        <v>83900.45</v>
      </c>
      <c r="H7522" s="67" t="s">
        <v>146</v>
      </c>
    </row>
    <row r="7524" spans="1:9" x14ac:dyDescent="0.25">
      <c r="A7524" s="67" t="s">
        <v>949</v>
      </c>
      <c r="B7524" s="67" t="s">
        <v>948</v>
      </c>
      <c r="C7524" s="67">
        <v>0</v>
      </c>
      <c r="D7524" s="67">
        <v>0</v>
      </c>
      <c r="E7524" s="67">
        <v>83900.41</v>
      </c>
      <c r="F7524" s="67">
        <v>25250</v>
      </c>
      <c r="H7524" s="68">
        <v>40764</v>
      </c>
      <c r="I7524" s="67" t="s">
        <v>148</v>
      </c>
    </row>
    <row r="7525" spans="1:9" x14ac:dyDescent="0.25">
      <c r="B7525" s="67" t="s">
        <v>948</v>
      </c>
      <c r="C7525" s="67">
        <v>0</v>
      </c>
      <c r="D7525" s="67">
        <v>0</v>
      </c>
      <c r="E7525" s="67">
        <v>83900.45</v>
      </c>
      <c r="H7525" s="67" t="s">
        <v>146</v>
      </c>
    </row>
    <row r="7527" spans="1:9" x14ac:dyDescent="0.25">
      <c r="A7527" s="67" t="s">
        <v>947</v>
      </c>
      <c r="B7527" s="67" t="s">
        <v>946</v>
      </c>
      <c r="C7527" s="67">
        <v>0</v>
      </c>
      <c r="D7527" s="67">
        <v>0</v>
      </c>
      <c r="E7527" s="67">
        <v>83900.41</v>
      </c>
      <c r="F7527" s="67">
        <v>25250</v>
      </c>
      <c r="H7527" s="68">
        <v>40764</v>
      </c>
      <c r="I7527" s="67" t="s">
        <v>148</v>
      </c>
    </row>
    <row r="7528" spans="1:9" x14ac:dyDescent="0.25">
      <c r="B7528" s="67" t="s">
        <v>946</v>
      </c>
      <c r="C7528" s="67">
        <v>0</v>
      </c>
      <c r="D7528" s="67">
        <v>0</v>
      </c>
      <c r="E7528" s="67">
        <v>83900.45</v>
      </c>
      <c r="H7528" s="67" t="s">
        <v>146</v>
      </c>
    </row>
    <row r="7530" spans="1:9" x14ac:dyDescent="0.25">
      <c r="A7530" s="67" t="s">
        <v>945</v>
      </c>
      <c r="B7530" s="67" t="s">
        <v>944</v>
      </c>
      <c r="C7530" s="67">
        <v>0</v>
      </c>
      <c r="D7530" s="67">
        <v>0</v>
      </c>
      <c r="E7530" s="67">
        <v>83900.41</v>
      </c>
      <c r="F7530" s="67">
        <v>25250</v>
      </c>
      <c r="H7530" s="68">
        <v>40764</v>
      </c>
      <c r="I7530" s="67" t="s">
        <v>148</v>
      </c>
    </row>
    <row r="7531" spans="1:9" x14ac:dyDescent="0.25">
      <c r="B7531" s="67" t="s">
        <v>944</v>
      </c>
      <c r="C7531" s="67">
        <v>0</v>
      </c>
      <c r="D7531" s="67">
        <v>0</v>
      </c>
      <c r="E7531" s="67">
        <v>83900.45</v>
      </c>
      <c r="H7531" s="67" t="s">
        <v>146</v>
      </c>
    </row>
    <row r="7533" spans="1:9" x14ac:dyDescent="0.25">
      <c r="A7533" s="67" t="s">
        <v>943</v>
      </c>
      <c r="B7533" s="67" t="s">
        <v>942</v>
      </c>
      <c r="C7533" s="67">
        <v>0</v>
      </c>
      <c r="D7533" s="67">
        <v>0</v>
      </c>
      <c r="E7533" s="67">
        <v>83900.41</v>
      </c>
      <c r="F7533" s="67">
        <v>25250</v>
      </c>
      <c r="H7533" s="68">
        <v>40764</v>
      </c>
      <c r="I7533" s="67" t="s">
        <v>148</v>
      </c>
    </row>
    <row r="7534" spans="1:9" x14ac:dyDescent="0.25">
      <c r="B7534" s="67" t="s">
        <v>942</v>
      </c>
      <c r="C7534" s="67">
        <v>0</v>
      </c>
      <c r="D7534" s="67">
        <v>0</v>
      </c>
      <c r="E7534" s="67">
        <v>83900.45</v>
      </c>
      <c r="H7534" s="67" t="s">
        <v>146</v>
      </c>
    </row>
    <row r="7536" spans="1:9" x14ac:dyDescent="0.25">
      <c r="A7536" s="67" t="s">
        <v>941</v>
      </c>
      <c r="B7536" s="67" t="s">
        <v>940</v>
      </c>
      <c r="C7536" s="67">
        <v>0</v>
      </c>
      <c r="D7536" s="67">
        <v>0</v>
      </c>
      <c r="E7536" s="67">
        <v>83900.41</v>
      </c>
      <c r="F7536" s="67">
        <v>25250</v>
      </c>
      <c r="H7536" s="68">
        <v>40764</v>
      </c>
      <c r="I7536" s="67" t="s">
        <v>148</v>
      </c>
    </row>
    <row r="7537" spans="1:9" x14ac:dyDescent="0.25">
      <c r="B7537" s="67" t="s">
        <v>940</v>
      </c>
      <c r="C7537" s="67">
        <v>0</v>
      </c>
      <c r="D7537" s="67">
        <v>0</v>
      </c>
      <c r="E7537" s="67">
        <v>83900.45</v>
      </c>
      <c r="H7537" s="67" t="s">
        <v>146</v>
      </c>
    </row>
    <row r="7539" spans="1:9" x14ac:dyDescent="0.25">
      <c r="A7539" s="67" t="s">
        <v>939</v>
      </c>
      <c r="B7539" s="67" t="s">
        <v>938</v>
      </c>
      <c r="C7539" s="67">
        <v>0</v>
      </c>
      <c r="D7539" s="67">
        <v>0</v>
      </c>
      <c r="E7539" s="67">
        <v>83900.41</v>
      </c>
      <c r="F7539" s="67">
        <v>25250</v>
      </c>
      <c r="H7539" s="68">
        <v>40764</v>
      </c>
      <c r="I7539" s="67" t="s">
        <v>148</v>
      </c>
    </row>
    <row r="7540" spans="1:9" x14ac:dyDescent="0.25">
      <c r="B7540" s="67" t="s">
        <v>938</v>
      </c>
      <c r="C7540" s="67">
        <v>0</v>
      </c>
      <c r="D7540" s="67">
        <v>0</v>
      </c>
      <c r="E7540" s="67">
        <v>83900.45</v>
      </c>
      <c r="H7540" s="67" t="s">
        <v>146</v>
      </c>
    </row>
    <row r="7542" spans="1:9" x14ac:dyDescent="0.25">
      <c r="A7542" s="67" t="s">
        <v>937</v>
      </c>
      <c r="B7542" s="67" t="s">
        <v>936</v>
      </c>
      <c r="C7542" s="67">
        <v>0</v>
      </c>
      <c r="D7542" s="67">
        <v>0</v>
      </c>
      <c r="E7542" s="67">
        <v>83900.41</v>
      </c>
      <c r="F7542" s="67">
        <v>25250</v>
      </c>
      <c r="H7542" s="68">
        <v>40764</v>
      </c>
      <c r="I7542" s="67" t="s">
        <v>148</v>
      </c>
    </row>
    <row r="7543" spans="1:9" x14ac:dyDescent="0.25">
      <c r="B7543" s="67" t="s">
        <v>936</v>
      </c>
      <c r="C7543" s="67">
        <v>0</v>
      </c>
      <c r="D7543" s="67">
        <v>0</v>
      </c>
      <c r="E7543" s="67">
        <v>83900.45</v>
      </c>
      <c r="H7543" s="67" t="s">
        <v>146</v>
      </c>
    </row>
    <row r="7545" spans="1:9" x14ac:dyDescent="0.25">
      <c r="A7545" s="67" t="s">
        <v>935</v>
      </c>
      <c r="B7545" s="67" t="s">
        <v>934</v>
      </c>
      <c r="C7545" s="67">
        <v>0</v>
      </c>
      <c r="D7545" s="67">
        <v>0</v>
      </c>
      <c r="E7545" s="67">
        <v>83900.41</v>
      </c>
      <c r="F7545" s="67">
        <v>25250</v>
      </c>
      <c r="H7545" s="68">
        <v>40764</v>
      </c>
      <c r="I7545" s="67" t="s">
        <v>148</v>
      </c>
    </row>
    <row r="7546" spans="1:9" x14ac:dyDescent="0.25">
      <c r="B7546" s="67" t="s">
        <v>934</v>
      </c>
      <c r="C7546" s="67">
        <v>0</v>
      </c>
      <c r="D7546" s="67">
        <v>0</v>
      </c>
      <c r="E7546" s="67">
        <v>83900.45</v>
      </c>
      <c r="H7546" s="67" t="s">
        <v>146</v>
      </c>
    </row>
    <row r="7548" spans="1:9" x14ac:dyDescent="0.25">
      <c r="A7548" s="67" t="s">
        <v>933</v>
      </c>
      <c r="B7548" s="67" t="s">
        <v>932</v>
      </c>
      <c r="C7548" s="67">
        <v>0</v>
      </c>
      <c r="D7548" s="67">
        <v>0</v>
      </c>
      <c r="E7548" s="67">
        <v>83900.41</v>
      </c>
      <c r="F7548" s="67">
        <v>25250</v>
      </c>
      <c r="H7548" s="68">
        <v>40764</v>
      </c>
      <c r="I7548" s="67" t="s">
        <v>148</v>
      </c>
    </row>
    <row r="7549" spans="1:9" x14ac:dyDescent="0.25">
      <c r="B7549" s="67" t="s">
        <v>932</v>
      </c>
      <c r="C7549" s="67">
        <v>0</v>
      </c>
      <c r="D7549" s="67">
        <v>0</v>
      </c>
      <c r="E7549" s="67">
        <v>83900.45</v>
      </c>
      <c r="H7549" s="67" t="s">
        <v>146</v>
      </c>
    </row>
    <row r="7551" spans="1:9" x14ac:dyDescent="0.25">
      <c r="A7551" s="67" t="s">
        <v>931</v>
      </c>
      <c r="B7551" s="67" t="s">
        <v>930</v>
      </c>
      <c r="C7551" s="67">
        <v>0</v>
      </c>
      <c r="D7551" s="67">
        <v>0</v>
      </c>
      <c r="E7551" s="67">
        <v>83900.41</v>
      </c>
      <c r="F7551" s="67">
        <v>25250</v>
      </c>
      <c r="H7551" s="68">
        <v>40764</v>
      </c>
      <c r="I7551" s="67" t="s">
        <v>148</v>
      </c>
    </row>
    <row r="7552" spans="1:9" x14ac:dyDescent="0.25">
      <c r="B7552" s="67" t="s">
        <v>930</v>
      </c>
      <c r="C7552" s="67">
        <v>0</v>
      </c>
      <c r="D7552" s="67">
        <v>0</v>
      </c>
      <c r="E7552" s="67">
        <v>83900.45</v>
      </c>
      <c r="H7552" s="67" t="s">
        <v>146</v>
      </c>
    </row>
    <row r="7554" spans="1:9" x14ac:dyDescent="0.25">
      <c r="A7554" s="67" t="s">
        <v>929</v>
      </c>
      <c r="B7554" s="67" t="s">
        <v>928</v>
      </c>
      <c r="C7554" s="67">
        <v>0</v>
      </c>
      <c r="D7554" s="67">
        <v>0</v>
      </c>
      <c r="E7554" s="67">
        <v>83900.41</v>
      </c>
      <c r="F7554" s="67">
        <v>25250</v>
      </c>
      <c r="H7554" s="68">
        <v>40764</v>
      </c>
      <c r="I7554" s="67" t="s">
        <v>148</v>
      </c>
    </row>
    <row r="7555" spans="1:9" x14ac:dyDescent="0.25">
      <c r="B7555" s="67" t="s">
        <v>928</v>
      </c>
      <c r="C7555" s="67">
        <v>0</v>
      </c>
      <c r="D7555" s="67">
        <v>0</v>
      </c>
      <c r="E7555" s="67">
        <v>83900.45</v>
      </c>
      <c r="H7555" s="67" t="s">
        <v>146</v>
      </c>
    </row>
    <row r="7557" spans="1:9" x14ac:dyDescent="0.25">
      <c r="A7557" s="67" t="s">
        <v>927</v>
      </c>
      <c r="B7557" s="67" t="s">
        <v>926</v>
      </c>
      <c r="C7557" s="67">
        <v>0</v>
      </c>
      <c r="D7557" s="67">
        <v>0</v>
      </c>
      <c r="E7557" s="67">
        <v>83900.41</v>
      </c>
      <c r="F7557" s="67">
        <v>25250</v>
      </c>
      <c r="H7557" s="68">
        <v>40764</v>
      </c>
      <c r="I7557" s="67" t="s">
        <v>148</v>
      </c>
    </row>
    <row r="7558" spans="1:9" x14ac:dyDescent="0.25">
      <c r="B7558" s="67" t="s">
        <v>926</v>
      </c>
      <c r="C7558" s="67">
        <v>0</v>
      </c>
      <c r="D7558" s="67">
        <v>0</v>
      </c>
      <c r="E7558" s="67">
        <v>83900.45</v>
      </c>
      <c r="H7558" s="67" t="s">
        <v>146</v>
      </c>
    </row>
    <row r="7560" spans="1:9" x14ac:dyDescent="0.25">
      <c r="A7560" s="67" t="s">
        <v>925</v>
      </c>
      <c r="B7560" s="67" t="s">
        <v>924</v>
      </c>
      <c r="C7560" s="67">
        <v>0</v>
      </c>
      <c r="D7560" s="67">
        <v>0</v>
      </c>
      <c r="E7560" s="67">
        <v>83900.41</v>
      </c>
      <c r="F7560" s="67">
        <v>25250</v>
      </c>
      <c r="H7560" s="68">
        <v>40764</v>
      </c>
      <c r="I7560" s="67" t="s">
        <v>148</v>
      </c>
    </row>
    <row r="7561" spans="1:9" x14ac:dyDescent="0.25">
      <c r="B7561" s="67" t="s">
        <v>924</v>
      </c>
      <c r="C7561" s="67">
        <v>0</v>
      </c>
      <c r="D7561" s="67">
        <v>0</v>
      </c>
      <c r="E7561" s="67">
        <v>83900.45</v>
      </c>
      <c r="H7561" s="67" t="s">
        <v>146</v>
      </c>
    </row>
    <row r="7563" spans="1:9" x14ac:dyDescent="0.25">
      <c r="A7563" s="67" t="s">
        <v>923</v>
      </c>
      <c r="B7563" s="67" t="s">
        <v>922</v>
      </c>
      <c r="C7563" s="67">
        <v>0</v>
      </c>
      <c r="D7563" s="67">
        <v>0</v>
      </c>
      <c r="E7563" s="67">
        <v>83900.41</v>
      </c>
      <c r="F7563" s="67">
        <v>25250</v>
      </c>
      <c r="H7563" s="68">
        <v>40764</v>
      </c>
      <c r="I7563" s="67" t="s">
        <v>148</v>
      </c>
    </row>
    <row r="7564" spans="1:9" x14ac:dyDescent="0.25">
      <c r="B7564" s="67" t="s">
        <v>922</v>
      </c>
      <c r="C7564" s="67">
        <v>0</v>
      </c>
      <c r="D7564" s="67">
        <v>0</v>
      </c>
      <c r="E7564" s="67">
        <v>83900.45</v>
      </c>
      <c r="H7564" s="67" t="s">
        <v>146</v>
      </c>
    </row>
    <row r="7566" spans="1:9" x14ac:dyDescent="0.25">
      <c r="A7566" s="67" t="s">
        <v>921</v>
      </c>
      <c r="B7566" s="67" t="s">
        <v>920</v>
      </c>
      <c r="C7566" s="67">
        <v>0</v>
      </c>
      <c r="D7566" s="67">
        <v>0</v>
      </c>
      <c r="E7566" s="67">
        <v>83900.41</v>
      </c>
      <c r="F7566" s="67">
        <v>25250</v>
      </c>
      <c r="H7566" s="68">
        <v>40764</v>
      </c>
      <c r="I7566" s="67" t="s">
        <v>148</v>
      </c>
    </row>
    <row r="7567" spans="1:9" x14ac:dyDescent="0.25">
      <c r="B7567" s="67" t="s">
        <v>920</v>
      </c>
      <c r="C7567" s="67">
        <v>0</v>
      </c>
      <c r="D7567" s="67">
        <v>0</v>
      </c>
      <c r="E7567" s="67">
        <v>83900.45</v>
      </c>
      <c r="H7567" s="67" t="s">
        <v>146</v>
      </c>
    </row>
    <row r="7569" spans="1:9" x14ac:dyDescent="0.25">
      <c r="A7569" s="67" t="s">
        <v>919</v>
      </c>
      <c r="B7569" s="67" t="s">
        <v>917</v>
      </c>
      <c r="C7569" s="67">
        <v>0</v>
      </c>
      <c r="D7569" s="67">
        <v>0</v>
      </c>
      <c r="E7569" s="67">
        <v>83900.41</v>
      </c>
      <c r="F7569" s="67">
        <v>25250</v>
      </c>
      <c r="H7569" s="68">
        <v>40764</v>
      </c>
      <c r="I7569" s="67" t="s">
        <v>148</v>
      </c>
    </row>
    <row r="7570" spans="1:9" x14ac:dyDescent="0.25">
      <c r="B7570" s="67" t="s">
        <v>917</v>
      </c>
      <c r="C7570" s="67">
        <v>0</v>
      </c>
      <c r="D7570" s="67">
        <v>0</v>
      </c>
      <c r="E7570" s="67">
        <v>83900.45</v>
      </c>
      <c r="H7570" s="67" t="s">
        <v>146</v>
      </c>
    </row>
    <row r="7571" spans="1:9" x14ac:dyDescent="0.25">
      <c r="A7571" s="67" t="s">
        <v>233</v>
      </c>
    </row>
    <row r="7573" spans="1:9" x14ac:dyDescent="0.25">
      <c r="A7573" s="67" t="s">
        <v>232</v>
      </c>
      <c r="D7573" s="67" t="s">
        <v>231</v>
      </c>
      <c r="H7573" s="67" t="s">
        <v>148</v>
      </c>
      <c r="I7573" s="67" t="s">
        <v>230</v>
      </c>
    </row>
    <row r="7574" spans="1:9" x14ac:dyDescent="0.25">
      <c r="A7574" s="67">
        <v>41.1</v>
      </c>
      <c r="C7574" s="67" t="s">
        <v>215</v>
      </c>
      <c r="D7574" s="67" t="s">
        <v>229</v>
      </c>
      <c r="H7574" s="70">
        <v>44771</v>
      </c>
      <c r="I7574" s="69">
        <v>0.56736111111111109</v>
      </c>
    </row>
    <row r="7575" spans="1:9" x14ac:dyDescent="0.25">
      <c r="A7575" s="67" t="s">
        <v>228</v>
      </c>
      <c r="C7575" s="67" t="s">
        <v>227</v>
      </c>
      <c r="D7575" s="67" t="s">
        <v>226</v>
      </c>
      <c r="E7575" s="67">
        <v>589</v>
      </c>
      <c r="H7575" s="67" t="s">
        <v>225</v>
      </c>
      <c r="I7575" s="67">
        <v>131</v>
      </c>
    </row>
    <row r="7576" spans="1:9" x14ac:dyDescent="0.25">
      <c r="A7576" s="67" t="s">
        <v>884</v>
      </c>
    </row>
    <row r="7577" spans="1:9" x14ac:dyDescent="0.25">
      <c r="A7577" s="67" t="s">
        <v>223</v>
      </c>
      <c r="B7577" s="67" t="s">
        <v>222</v>
      </c>
      <c r="C7577" s="67" t="s">
        <v>221</v>
      </c>
      <c r="D7577" s="67" t="s">
        <v>220</v>
      </c>
      <c r="E7577" s="67" t="s">
        <v>219</v>
      </c>
      <c r="F7577" s="67" t="s">
        <v>217</v>
      </c>
      <c r="G7577" s="67" t="s">
        <v>218</v>
      </c>
      <c r="H7577" s="67" t="s">
        <v>217</v>
      </c>
      <c r="I7577" s="67" t="s">
        <v>216</v>
      </c>
    </row>
    <row r="7578" spans="1:9" x14ac:dyDescent="0.25">
      <c r="A7578" s="67" t="s">
        <v>215</v>
      </c>
      <c r="B7578" s="67" t="s">
        <v>214</v>
      </c>
      <c r="C7578" s="67" t="s">
        <v>213</v>
      </c>
      <c r="D7578" s="67" t="s">
        <v>212</v>
      </c>
      <c r="E7578" s="67" t="s">
        <v>211</v>
      </c>
      <c r="F7578" s="67" t="s">
        <v>210</v>
      </c>
      <c r="G7578" s="67" t="s">
        <v>209</v>
      </c>
      <c r="H7578" s="67" t="s">
        <v>208</v>
      </c>
      <c r="I7578" s="67" t="s">
        <v>207</v>
      </c>
    </row>
    <row r="7579" spans="1:9" x14ac:dyDescent="0.25">
      <c r="A7579" s="67" t="s">
        <v>206</v>
      </c>
      <c r="B7579" s="67" t="s">
        <v>205</v>
      </c>
      <c r="C7579" s="67" t="s">
        <v>204</v>
      </c>
      <c r="D7579" s="67" t="s">
        <v>203</v>
      </c>
      <c r="E7579" s="67" t="s">
        <v>202</v>
      </c>
      <c r="F7579" s="67" t="s">
        <v>201</v>
      </c>
      <c r="G7579" s="67" t="s">
        <v>200</v>
      </c>
      <c r="H7579" s="67" t="s">
        <v>199</v>
      </c>
    </row>
    <row r="7580" spans="1:9" x14ac:dyDescent="0.25">
      <c r="A7580" s="67" t="s">
        <v>918</v>
      </c>
      <c r="B7580" s="67" t="s">
        <v>917</v>
      </c>
      <c r="C7580" s="67">
        <v>0</v>
      </c>
      <c r="D7580" s="67">
        <v>0</v>
      </c>
      <c r="E7580" s="67">
        <v>83900.41</v>
      </c>
      <c r="F7580" s="67">
        <v>25250</v>
      </c>
      <c r="H7580" s="68">
        <v>40764</v>
      </c>
      <c r="I7580" s="67" t="s">
        <v>148</v>
      </c>
    </row>
    <row r="7581" spans="1:9" x14ac:dyDescent="0.25">
      <c r="B7581" s="67" t="s">
        <v>917</v>
      </c>
      <c r="C7581" s="67">
        <v>0</v>
      </c>
      <c r="D7581" s="67">
        <v>0</v>
      </c>
      <c r="E7581" s="67">
        <v>83900.45</v>
      </c>
      <c r="H7581" s="67" t="s">
        <v>146</v>
      </c>
    </row>
    <row r="7583" spans="1:9" x14ac:dyDescent="0.25">
      <c r="A7583" s="67" t="s">
        <v>916</v>
      </c>
      <c r="B7583" s="67" t="s">
        <v>915</v>
      </c>
      <c r="C7583" s="67">
        <v>0</v>
      </c>
      <c r="D7583" s="67">
        <v>0</v>
      </c>
      <c r="E7583" s="67">
        <v>83900.41</v>
      </c>
      <c r="F7583" s="67">
        <v>25250</v>
      </c>
      <c r="H7583" s="68">
        <v>40764</v>
      </c>
      <c r="I7583" s="67" t="s">
        <v>148</v>
      </c>
    </row>
    <row r="7584" spans="1:9" x14ac:dyDescent="0.25">
      <c r="B7584" s="67" t="s">
        <v>915</v>
      </c>
      <c r="C7584" s="67">
        <v>0</v>
      </c>
      <c r="D7584" s="67">
        <v>0</v>
      </c>
      <c r="E7584" s="67">
        <v>83900.45</v>
      </c>
      <c r="H7584" s="67" t="s">
        <v>146</v>
      </c>
    </row>
    <row r="7586" spans="1:9" x14ac:dyDescent="0.25">
      <c r="A7586" s="67" t="s">
        <v>914</v>
      </c>
      <c r="B7586" s="67" t="s">
        <v>913</v>
      </c>
      <c r="C7586" s="67">
        <v>0</v>
      </c>
      <c r="D7586" s="67">
        <v>0</v>
      </c>
      <c r="E7586" s="67">
        <v>83900.41</v>
      </c>
      <c r="F7586" s="67">
        <v>25250</v>
      </c>
      <c r="H7586" s="68">
        <v>40764</v>
      </c>
      <c r="I7586" s="67" t="s">
        <v>148</v>
      </c>
    </row>
    <row r="7587" spans="1:9" x14ac:dyDescent="0.25">
      <c r="B7587" s="67" t="s">
        <v>913</v>
      </c>
      <c r="C7587" s="67">
        <v>0</v>
      </c>
      <c r="D7587" s="67">
        <v>0</v>
      </c>
      <c r="E7587" s="67">
        <v>83900.45</v>
      </c>
      <c r="H7587" s="67" t="s">
        <v>146</v>
      </c>
    </row>
    <row r="7589" spans="1:9" x14ac:dyDescent="0.25">
      <c r="A7589" s="67" t="s">
        <v>912</v>
      </c>
      <c r="B7589" s="67" t="s">
        <v>911</v>
      </c>
      <c r="C7589" s="67">
        <v>0</v>
      </c>
      <c r="D7589" s="67">
        <v>0</v>
      </c>
      <c r="E7589" s="67">
        <v>83900.41</v>
      </c>
      <c r="F7589" s="67">
        <v>25250</v>
      </c>
      <c r="H7589" s="68">
        <v>40764</v>
      </c>
      <c r="I7589" s="67" t="s">
        <v>148</v>
      </c>
    </row>
    <row r="7590" spans="1:9" x14ac:dyDescent="0.25">
      <c r="B7590" s="67" t="s">
        <v>911</v>
      </c>
      <c r="C7590" s="67">
        <v>0</v>
      </c>
      <c r="D7590" s="67">
        <v>0</v>
      </c>
      <c r="E7590" s="67">
        <v>83900.45</v>
      </c>
      <c r="H7590" s="67" t="s">
        <v>146</v>
      </c>
    </row>
    <row r="7592" spans="1:9" x14ac:dyDescent="0.25">
      <c r="A7592" s="67" t="s">
        <v>910</v>
      </c>
      <c r="B7592" s="67" t="s">
        <v>909</v>
      </c>
      <c r="C7592" s="67">
        <v>0</v>
      </c>
      <c r="D7592" s="67">
        <v>0</v>
      </c>
      <c r="E7592" s="67">
        <v>83900.41</v>
      </c>
      <c r="F7592" s="67">
        <v>25250</v>
      </c>
      <c r="H7592" s="68">
        <v>40764</v>
      </c>
      <c r="I7592" s="67" t="s">
        <v>148</v>
      </c>
    </row>
    <row r="7593" spans="1:9" x14ac:dyDescent="0.25">
      <c r="B7593" s="67" t="s">
        <v>909</v>
      </c>
      <c r="C7593" s="67">
        <v>0</v>
      </c>
      <c r="D7593" s="67">
        <v>0</v>
      </c>
      <c r="E7593" s="67">
        <v>83900.45</v>
      </c>
      <c r="H7593" s="67" t="s">
        <v>146</v>
      </c>
    </row>
    <row r="7595" spans="1:9" x14ac:dyDescent="0.25">
      <c r="A7595" s="67" t="s">
        <v>908</v>
      </c>
      <c r="B7595" s="67" t="s">
        <v>907</v>
      </c>
      <c r="C7595" s="67">
        <v>0</v>
      </c>
      <c r="D7595" s="67">
        <v>0</v>
      </c>
      <c r="E7595" s="67">
        <v>83900.41</v>
      </c>
      <c r="F7595" s="67">
        <v>25250</v>
      </c>
      <c r="H7595" s="68">
        <v>40764</v>
      </c>
      <c r="I7595" s="67" t="s">
        <v>148</v>
      </c>
    </row>
    <row r="7596" spans="1:9" x14ac:dyDescent="0.25">
      <c r="B7596" s="67" t="s">
        <v>907</v>
      </c>
      <c r="C7596" s="67">
        <v>0</v>
      </c>
      <c r="D7596" s="67">
        <v>0</v>
      </c>
      <c r="E7596" s="67">
        <v>83900.45</v>
      </c>
      <c r="H7596" s="67" t="s">
        <v>146</v>
      </c>
    </row>
    <row r="7598" spans="1:9" x14ac:dyDescent="0.25">
      <c r="A7598" s="67" t="s">
        <v>906</v>
      </c>
      <c r="B7598" s="67" t="s">
        <v>905</v>
      </c>
      <c r="C7598" s="67">
        <v>0</v>
      </c>
      <c r="D7598" s="67">
        <v>0</v>
      </c>
      <c r="E7598" s="67">
        <v>83900.41</v>
      </c>
      <c r="F7598" s="67">
        <v>25250</v>
      </c>
      <c r="H7598" s="68">
        <v>40764</v>
      </c>
      <c r="I7598" s="67" t="s">
        <v>148</v>
      </c>
    </row>
    <row r="7599" spans="1:9" x14ac:dyDescent="0.25">
      <c r="B7599" s="67" t="s">
        <v>905</v>
      </c>
      <c r="C7599" s="67">
        <v>0</v>
      </c>
      <c r="D7599" s="67">
        <v>0</v>
      </c>
      <c r="E7599" s="67">
        <v>83900.45</v>
      </c>
      <c r="H7599" s="67" t="s">
        <v>146</v>
      </c>
    </row>
    <row r="7601" spans="1:9" x14ac:dyDescent="0.25">
      <c r="A7601" s="67" t="s">
        <v>904</v>
      </c>
      <c r="B7601" s="67" t="s">
        <v>903</v>
      </c>
      <c r="C7601" s="67">
        <v>0</v>
      </c>
      <c r="D7601" s="67">
        <v>0</v>
      </c>
      <c r="E7601" s="67">
        <v>83900.41</v>
      </c>
      <c r="F7601" s="67">
        <v>25250</v>
      </c>
      <c r="H7601" s="68">
        <v>40764</v>
      </c>
      <c r="I7601" s="67" t="s">
        <v>148</v>
      </c>
    </row>
    <row r="7602" spans="1:9" x14ac:dyDescent="0.25">
      <c r="B7602" s="67" t="s">
        <v>903</v>
      </c>
      <c r="C7602" s="67">
        <v>0</v>
      </c>
      <c r="D7602" s="67">
        <v>0</v>
      </c>
      <c r="E7602" s="67">
        <v>83900.45</v>
      </c>
      <c r="H7602" s="67" t="s">
        <v>146</v>
      </c>
    </row>
    <row r="7604" spans="1:9" x14ac:dyDescent="0.25">
      <c r="A7604" s="67" t="s">
        <v>902</v>
      </c>
      <c r="B7604" s="67" t="s">
        <v>901</v>
      </c>
      <c r="C7604" s="67">
        <v>0</v>
      </c>
      <c r="D7604" s="67">
        <v>0</v>
      </c>
      <c r="E7604" s="67">
        <v>83900.41</v>
      </c>
      <c r="F7604" s="67">
        <v>25250</v>
      </c>
      <c r="H7604" s="68">
        <v>40764</v>
      </c>
      <c r="I7604" s="67" t="s">
        <v>148</v>
      </c>
    </row>
    <row r="7605" spans="1:9" x14ac:dyDescent="0.25">
      <c r="B7605" s="67" t="s">
        <v>901</v>
      </c>
      <c r="C7605" s="67">
        <v>0</v>
      </c>
      <c r="D7605" s="67">
        <v>0</v>
      </c>
      <c r="E7605" s="67">
        <v>83900.45</v>
      </c>
      <c r="H7605" s="67" t="s">
        <v>146</v>
      </c>
    </row>
    <row r="7607" spans="1:9" x14ac:dyDescent="0.25">
      <c r="A7607" s="67" t="s">
        <v>900</v>
      </c>
      <c r="B7607" s="67" t="s">
        <v>899</v>
      </c>
      <c r="C7607" s="67">
        <v>0</v>
      </c>
      <c r="D7607" s="67">
        <v>0</v>
      </c>
      <c r="E7607" s="67">
        <v>83900.41</v>
      </c>
      <c r="F7607" s="67">
        <v>25250</v>
      </c>
      <c r="H7607" s="68">
        <v>40764</v>
      </c>
      <c r="I7607" s="67" t="s">
        <v>148</v>
      </c>
    </row>
    <row r="7608" spans="1:9" x14ac:dyDescent="0.25">
      <c r="B7608" s="67" t="s">
        <v>899</v>
      </c>
      <c r="C7608" s="67">
        <v>0</v>
      </c>
      <c r="D7608" s="67">
        <v>0</v>
      </c>
      <c r="E7608" s="67">
        <v>83900.45</v>
      </c>
      <c r="H7608" s="67" t="s">
        <v>146</v>
      </c>
    </row>
    <row r="7610" spans="1:9" x14ac:dyDescent="0.25">
      <c r="A7610" s="67" t="s">
        <v>898</v>
      </c>
      <c r="B7610" s="67" t="s">
        <v>897</v>
      </c>
      <c r="C7610" s="67">
        <v>0</v>
      </c>
      <c r="D7610" s="67">
        <v>0</v>
      </c>
      <c r="E7610" s="67">
        <v>83900.41</v>
      </c>
      <c r="F7610" s="67">
        <v>25250</v>
      </c>
      <c r="H7610" s="68">
        <v>40764</v>
      </c>
      <c r="I7610" s="67" t="s">
        <v>148</v>
      </c>
    </row>
    <row r="7611" spans="1:9" x14ac:dyDescent="0.25">
      <c r="B7611" s="67" t="s">
        <v>897</v>
      </c>
      <c r="C7611" s="67">
        <v>0</v>
      </c>
      <c r="D7611" s="67">
        <v>0</v>
      </c>
      <c r="E7611" s="67">
        <v>83900.45</v>
      </c>
      <c r="H7611" s="67" t="s">
        <v>146</v>
      </c>
    </row>
    <row r="7613" spans="1:9" x14ac:dyDescent="0.25">
      <c r="A7613" s="67" t="s">
        <v>896</v>
      </c>
      <c r="B7613" s="67" t="s">
        <v>895</v>
      </c>
      <c r="C7613" s="67">
        <v>0</v>
      </c>
      <c r="D7613" s="67">
        <v>0</v>
      </c>
      <c r="E7613" s="67">
        <v>83900.41</v>
      </c>
      <c r="F7613" s="67">
        <v>25250</v>
      </c>
      <c r="H7613" s="68">
        <v>40764</v>
      </c>
      <c r="I7613" s="67" t="s">
        <v>148</v>
      </c>
    </row>
    <row r="7614" spans="1:9" x14ac:dyDescent="0.25">
      <c r="B7614" s="67" t="s">
        <v>895</v>
      </c>
      <c r="C7614" s="67">
        <v>0</v>
      </c>
      <c r="D7614" s="67">
        <v>0</v>
      </c>
      <c r="E7614" s="67">
        <v>83900.45</v>
      </c>
      <c r="H7614" s="67" t="s">
        <v>146</v>
      </c>
    </row>
    <row r="7616" spans="1:9" x14ac:dyDescent="0.25">
      <c r="A7616" s="67" t="s">
        <v>894</v>
      </c>
      <c r="B7616" s="67" t="s">
        <v>893</v>
      </c>
      <c r="C7616" s="67">
        <v>0</v>
      </c>
      <c r="D7616" s="67">
        <v>0</v>
      </c>
      <c r="E7616" s="67">
        <v>83900.41</v>
      </c>
      <c r="F7616" s="67">
        <v>25250</v>
      </c>
      <c r="H7616" s="68">
        <v>40764</v>
      </c>
      <c r="I7616" s="67" t="s">
        <v>148</v>
      </c>
    </row>
    <row r="7617" spans="1:9" x14ac:dyDescent="0.25">
      <c r="B7617" s="67" t="s">
        <v>893</v>
      </c>
      <c r="C7617" s="67">
        <v>0</v>
      </c>
      <c r="D7617" s="67">
        <v>0</v>
      </c>
      <c r="E7617" s="67">
        <v>83900.45</v>
      </c>
      <c r="H7617" s="67" t="s">
        <v>146</v>
      </c>
    </row>
    <row r="7619" spans="1:9" x14ac:dyDescent="0.25">
      <c r="A7619" s="67" t="s">
        <v>892</v>
      </c>
      <c r="B7619" s="67" t="s">
        <v>891</v>
      </c>
      <c r="C7619" s="67">
        <v>0</v>
      </c>
      <c r="D7619" s="67">
        <v>0</v>
      </c>
      <c r="E7619" s="67">
        <v>83900.41</v>
      </c>
      <c r="F7619" s="67">
        <v>25250</v>
      </c>
      <c r="H7619" s="68">
        <v>40764</v>
      </c>
      <c r="I7619" s="67" t="s">
        <v>148</v>
      </c>
    </row>
    <row r="7620" spans="1:9" x14ac:dyDescent="0.25">
      <c r="B7620" s="67" t="s">
        <v>891</v>
      </c>
      <c r="C7620" s="67">
        <v>0</v>
      </c>
      <c r="D7620" s="67">
        <v>0</v>
      </c>
      <c r="E7620" s="67">
        <v>83900.45</v>
      </c>
      <c r="H7620" s="67" t="s">
        <v>146</v>
      </c>
    </row>
    <row r="7622" spans="1:9" x14ac:dyDescent="0.25">
      <c r="A7622" s="67" t="s">
        <v>890</v>
      </c>
      <c r="B7622" s="67" t="s">
        <v>889</v>
      </c>
      <c r="C7622" s="67">
        <v>0</v>
      </c>
      <c r="D7622" s="67">
        <v>0</v>
      </c>
      <c r="E7622" s="67">
        <v>83900.41</v>
      </c>
      <c r="F7622" s="67">
        <v>25250</v>
      </c>
      <c r="H7622" s="68">
        <v>40764</v>
      </c>
      <c r="I7622" s="67" t="s">
        <v>148</v>
      </c>
    </row>
    <row r="7623" spans="1:9" x14ac:dyDescent="0.25">
      <c r="B7623" s="67" t="s">
        <v>889</v>
      </c>
      <c r="C7623" s="67">
        <v>0</v>
      </c>
      <c r="D7623" s="67">
        <v>0</v>
      </c>
      <c r="E7623" s="67">
        <v>83900.45</v>
      </c>
      <c r="H7623" s="67" t="s">
        <v>146</v>
      </c>
    </row>
    <row r="7625" spans="1:9" x14ac:dyDescent="0.25">
      <c r="A7625" s="67" t="s">
        <v>888</v>
      </c>
      <c r="B7625" s="67" t="s">
        <v>887</v>
      </c>
      <c r="C7625" s="67">
        <v>0</v>
      </c>
      <c r="D7625" s="67">
        <v>0</v>
      </c>
      <c r="E7625" s="67">
        <v>83900.41</v>
      </c>
      <c r="F7625" s="67">
        <v>25250</v>
      </c>
      <c r="H7625" s="68">
        <v>40764</v>
      </c>
      <c r="I7625" s="67" t="s">
        <v>148</v>
      </c>
    </row>
    <row r="7626" spans="1:9" x14ac:dyDescent="0.25">
      <c r="B7626" s="67" t="s">
        <v>887</v>
      </c>
      <c r="C7626" s="67">
        <v>0</v>
      </c>
      <c r="D7626" s="67">
        <v>0</v>
      </c>
      <c r="E7626" s="67">
        <v>83900.45</v>
      </c>
      <c r="H7626" s="67" t="s">
        <v>146</v>
      </c>
    </row>
    <row r="7628" spans="1:9" x14ac:dyDescent="0.25">
      <c r="A7628" s="67" t="s">
        <v>886</v>
      </c>
      <c r="B7628" s="67" t="s">
        <v>885</v>
      </c>
      <c r="C7628" s="67">
        <v>0</v>
      </c>
      <c r="D7628" s="67">
        <v>0</v>
      </c>
      <c r="E7628" s="67">
        <v>83900.41</v>
      </c>
      <c r="F7628" s="67">
        <v>25250</v>
      </c>
      <c r="H7628" s="68">
        <v>40764</v>
      </c>
      <c r="I7628" s="67" t="s">
        <v>148</v>
      </c>
    </row>
    <row r="7629" spans="1:9" x14ac:dyDescent="0.25">
      <c r="B7629" s="67" t="s">
        <v>885</v>
      </c>
      <c r="C7629" s="67">
        <v>0</v>
      </c>
      <c r="D7629" s="67">
        <v>0</v>
      </c>
      <c r="E7629" s="67">
        <v>83900.45</v>
      </c>
      <c r="H7629" s="67" t="s">
        <v>146</v>
      </c>
    </row>
    <row r="7630" spans="1:9" x14ac:dyDescent="0.25">
      <c r="A7630" s="67" t="s">
        <v>233</v>
      </c>
    </row>
    <row r="7632" spans="1:9" x14ac:dyDescent="0.25">
      <c r="A7632" s="67" t="s">
        <v>232</v>
      </c>
      <c r="D7632" s="67" t="s">
        <v>231</v>
      </c>
      <c r="H7632" s="67" t="s">
        <v>148</v>
      </c>
      <c r="I7632" s="67" t="s">
        <v>230</v>
      </c>
    </row>
    <row r="7633" spans="1:9" x14ac:dyDescent="0.25">
      <c r="A7633" s="67">
        <v>41.1</v>
      </c>
      <c r="C7633" s="67" t="s">
        <v>215</v>
      </c>
      <c r="D7633" s="67" t="s">
        <v>229</v>
      </c>
      <c r="H7633" s="70">
        <v>44771</v>
      </c>
      <c r="I7633" s="69">
        <v>0.56736111111111109</v>
      </c>
    </row>
    <row r="7634" spans="1:9" x14ac:dyDescent="0.25">
      <c r="A7634" s="67" t="s">
        <v>228</v>
      </c>
      <c r="C7634" s="67" t="s">
        <v>227</v>
      </c>
      <c r="D7634" s="67" t="s">
        <v>226</v>
      </c>
      <c r="E7634" s="67">
        <v>589</v>
      </c>
      <c r="H7634" s="67" t="s">
        <v>225</v>
      </c>
      <c r="I7634" s="67">
        <v>132</v>
      </c>
    </row>
    <row r="7635" spans="1:9" x14ac:dyDescent="0.25">
      <c r="A7635" s="67" t="s">
        <v>884</v>
      </c>
    </row>
    <row r="7636" spans="1:9" x14ac:dyDescent="0.25">
      <c r="A7636" s="67" t="s">
        <v>223</v>
      </c>
      <c r="B7636" s="67" t="s">
        <v>222</v>
      </c>
      <c r="C7636" s="67" t="s">
        <v>221</v>
      </c>
      <c r="D7636" s="67" t="s">
        <v>220</v>
      </c>
      <c r="E7636" s="67" t="s">
        <v>219</v>
      </c>
      <c r="F7636" s="67" t="s">
        <v>217</v>
      </c>
      <c r="G7636" s="67" t="s">
        <v>218</v>
      </c>
      <c r="H7636" s="67" t="s">
        <v>217</v>
      </c>
      <c r="I7636" s="67" t="s">
        <v>216</v>
      </c>
    </row>
    <row r="7637" spans="1:9" x14ac:dyDescent="0.25">
      <c r="A7637" s="67" t="s">
        <v>215</v>
      </c>
      <c r="B7637" s="67" t="s">
        <v>214</v>
      </c>
      <c r="C7637" s="67" t="s">
        <v>213</v>
      </c>
      <c r="D7637" s="67" t="s">
        <v>212</v>
      </c>
      <c r="E7637" s="67" t="s">
        <v>211</v>
      </c>
      <c r="F7637" s="67" t="s">
        <v>210</v>
      </c>
      <c r="G7637" s="67" t="s">
        <v>209</v>
      </c>
      <c r="H7637" s="67" t="s">
        <v>208</v>
      </c>
      <c r="I7637" s="67" t="s">
        <v>207</v>
      </c>
    </row>
    <row r="7638" spans="1:9" x14ac:dyDescent="0.25">
      <c r="A7638" s="67" t="s">
        <v>206</v>
      </c>
      <c r="B7638" s="67" t="s">
        <v>205</v>
      </c>
      <c r="C7638" s="67" t="s">
        <v>204</v>
      </c>
      <c r="D7638" s="67" t="s">
        <v>203</v>
      </c>
      <c r="E7638" s="67" t="s">
        <v>202</v>
      </c>
      <c r="F7638" s="67" t="s">
        <v>201</v>
      </c>
      <c r="G7638" s="67" t="s">
        <v>200</v>
      </c>
      <c r="H7638" s="67" t="s">
        <v>199</v>
      </c>
    </row>
    <row r="7639" spans="1:9" x14ac:dyDescent="0.25">
      <c r="A7639" s="67" t="s">
        <v>883</v>
      </c>
      <c r="B7639" s="67" t="s">
        <v>882</v>
      </c>
      <c r="C7639" s="67">
        <v>0</v>
      </c>
      <c r="D7639" s="67">
        <v>0</v>
      </c>
      <c r="E7639" s="67">
        <v>83900.41</v>
      </c>
      <c r="F7639" s="67">
        <v>25250</v>
      </c>
      <c r="H7639" s="68">
        <v>40764</v>
      </c>
      <c r="I7639" s="67" t="s">
        <v>148</v>
      </c>
    </row>
    <row r="7640" spans="1:9" x14ac:dyDescent="0.25">
      <c r="B7640" s="67" t="s">
        <v>882</v>
      </c>
      <c r="C7640" s="67">
        <v>0</v>
      </c>
      <c r="D7640" s="67">
        <v>0</v>
      </c>
      <c r="E7640" s="67">
        <v>83900.45</v>
      </c>
      <c r="H7640" s="67" t="s">
        <v>146</v>
      </c>
    </row>
    <row r="7642" spans="1:9" x14ac:dyDescent="0.25">
      <c r="A7642" s="67" t="s">
        <v>881</v>
      </c>
      <c r="B7642" s="67" t="s">
        <v>880</v>
      </c>
      <c r="C7642" s="67">
        <v>0</v>
      </c>
      <c r="D7642" s="67">
        <v>0</v>
      </c>
      <c r="E7642" s="67">
        <v>83900.41</v>
      </c>
      <c r="F7642" s="67">
        <v>25250</v>
      </c>
      <c r="H7642" s="68">
        <v>40764</v>
      </c>
      <c r="I7642" s="67" t="s">
        <v>148</v>
      </c>
    </row>
    <row r="7643" spans="1:9" x14ac:dyDescent="0.25">
      <c r="B7643" s="67" t="s">
        <v>880</v>
      </c>
      <c r="C7643" s="67">
        <v>0</v>
      </c>
      <c r="D7643" s="67">
        <v>0</v>
      </c>
      <c r="E7643" s="67">
        <v>83900.45</v>
      </c>
      <c r="H7643" s="67" t="s">
        <v>146</v>
      </c>
    </row>
    <row r="7645" spans="1:9" x14ac:dyDescent="0.25">
      <c r="A7645" s="67" t="s">
        <v>879</v>
      </c>
      <c r="B7645" s="67" t="s">
        <v>878</v>
      </c>
      <c r="C7645" s="67">
        <v>0</v>
      </c>
      <c r="D7645" s="67">
        <v>0</v>
      </c>
      <c r="E7645" s="67">
        <v>83900.41</v>
      </c>
      <c r="F7645" s="67">
        <v>25250</v>
      </c>
      <c r="H7645" s="68">
        <v>40764</v>
      </c>
      <c r="I7645" s="67" t="s">
        <v>148</v>
      </c>
    </row>
    <row r="7646" spans="1:9" x14ac:dyDescent="0.25">
      <c r="B7646" s="67" t="s">
        <v>878</v>
      </c>
      <c r="C7646" s="67">
        <v>0</v>
      </c>
      <c r="D7646" s="67">
        <v>0</v>
      </c>
      <c r="E7646" s="67">
        <v>83900.45</v>
      </c>
      <c r="H7646" s="67" t="s">
        <v>146</v>
      </c>
    </row>
    <row r="7648" spans="1:9" x14ac:dyDescent="0.25">
      <c r="A7648" s="67" t="s">
        <v>877</v>
      </c>
      <c r="B7648" s="67" t="s">
        <v>876</v>
      </c>
      <c r="C7648" s="67">
        <v>0</v>
      </c>
      <c r="D7648" s="67">
        <v>0</v>
      </c>
      <c r="E7648" s="67">
        <v>83900.41</v>
      </c>
      <c r="F7648" s="67">
        <v>25250</v>
      </c>
      <c r="H7648" s="68">
        <v>40764</v>
      </c>
      <c r="I7648" s="67" t="s">
        <v>148</v>
      </c>
    </row>
    <row r="7649" spans="1:9" x14ac:dyDescent="0.25">
      <c r="B7649" s="67" t="s">
        <v>876</v>
      </c>
      <c r="C7649" s="67">
        <v>0</v>
      </c>
      <c r="D7649" s="67">
        <v>0</v>
      </c>
      <c r="E7649" s="67">
        <v>83900.45</v>
      </c>
      <c r="H7649" s="67" t="s">
        <v>146</v>
      </c>
    </row>
    <row r="7651" spans="1:9" x14ac:dyDescent="0.25">
      <c r="A7651" s="67" t="s">
        <v>875</v>
      </c>
      <c r="B7651" s="67" t="s">
        <v>874</v>
      </c>
      <c r="C7651" s="67">
        <v>0</v>
      </c>
      <c r="D7651" s="67">
        <v>0</v>
      </c>
      <c r="E7651" s="67">
        <v>83900.41</v>
      </c>
      <c r="F7651" s="67">
        <v>25250</v>
      </c>
      <c r="H7651" s="68">
        <v>40764</v>
      </c>
      <c r="I7651" s="67" t="s">
        <v>148</v>
      </c>
    </row>
    <row r="7652" spans="1:9" x14ac:dyDescent="0.25">
      <c r="B7652" s="67" t="s">
        <v>874</v>
      </c>
      <c r="C7652" s="67">
        <v>0</v>
      </c>
      <c r="D7652" s="67">
        <v>0</v>
      </c>
      <c r="E7652" s="67">
        <v>83900.45</v>
      </c>
      <c r="H7652" s="67" t="s">
        <v>146</v>
      </c>
    </row>
    <row r="7654" spans="1:9" x14ac:dyDescent="0.25">
      <c r="A7654" s="67" t="s">
        <v>873</v>
      </c>
      <c r="B7654" s="67" t="s">
        <v>872</v>
      </c>
      <c r="C7654" s="67">
        <v>0</v>
      </c>
      <c r="D7654" s="67">
        <v>0</v>
      </c>
      <c r="E7654" s="67">
        <v>83900.41</v>
      </c>
      <c r="F7654" s="67">
        <v>25250</v>
      </c>
      <c r="H7654" s="68">
        <v>40764</v>
      </c>
      <c r="I7654" s="67" t="s">
        <v>148</v>
      </c>
    </row>
    <row r="7655" spans="1:9" x14ac:dyDescent="0.25">
      <c r="B7655" s="67" t="s">
        <v>872</v>
      </c>
      <c r="C7655" s="67">
        <v>0</v>
      </c>
      <c r="D7655" s="67">
        <v>0</v>
      </c>
      <c r="E7655" s="67">
        <v>83900.45</v>
      </c>
      <c r="H7655" s="67" t="s">
        <v>146</v>
      </c>
    </row>
    <row r="7657" spans="1:9" x14ac:dyDescent="0.25">
      <c r="A7657" s="67" t="s">
        <v>871</v>
      </c>
      <c r="B7657" s="67" t="s">
        <v>870</v>
      </c>
      <c r="C7657" s="67">
        <v>0</v>
      </c>
      <c r="D7657" s="67">
        <v>0</v>
      </c>
      <c r="E7657" s="67">
        <v>83900.41</v>
      </c>
      <c r="F7657" s="67">
        <v>25250</v>
      </c>
      <c r="H7657" s="68">
        <v>40764</v>
      </c>
      <c r="I7657" s="67" t="s">
        <v>148</v>
      </c>
    </row>
    <row r="7658" spans="1:9" x14ac:dyDescent="0.25">
      <c r="B7658" s="67" t="s">
        <v>870</v>
      </c>
      <c r="C7658" s="67">
        <v>0</v>
      </c>
      <c r="D7658" s="67">
        <v>0</v>
      </c>
      <c r="E7658" s="67">
        <v>83900.45</v>
      </c>
      <c r="H7658" s="67" t="s">
        <v>146</v>
      </c>
    </row>
    <row r="7659" spans="1:9" x14ac:dyDescent="0.25">
      <c r="A7659" s="67" t="s">
        <v>233</v>
      </c>
    </row>
    <row r="7661" spans="1:9" x14ac:dyDescent="0.25">
      <c r="A7661" s="67" t="s">
        <v>232</v>
      </c>
      <c r="D7661" s="67" t="s">
        <v>231</v>
      </c>
      <c r="H7661" s="67" t="s">
        <v>148</v>
      </c>
      <c r="I7661" s="67" t="s">
        <v>230</v>
      </c>
    </row>
    <row r="7662" spans="1:9" x14ac:dyDescent="0.25">
      <c r="A7662" s="67">
        <v>41.1</v>
      </c>
      <c r="C7662" s="67" t="s">
        <v>215</v>
      </c>
      <c r="D7662" s="67" t="s">
        <v>229</v>
      </c>
      <c r="H7662" s="70">
        <v>44771</v>
      </c>
      <c r="I7662" s="69">
        <v>0.56736111111111109</v>
      </c>
    </row>
    <row r="7663" spans="1:9" x14ac:dyDescent="0.25">
      <c r="A7663" s="67" t="s">
        <v>228</v>
      </c>
      <c r="C7663" s="67" t="s">
        <v>227</v>
      </c>
      <c r="D7663" s="67" t="s">
        <v>226</v>
      </c>
      <c r="E7663" s="67">
        <v>589</v>
      </c>
      <c r="H7663" s="67" t="s">
        <v>225</v>
      </c>
      <c r="I7663" s="67">
        <v>133</v>
      </c>
    </row>
    <row r="7664" spans="1:9" x14ac:dyDescent="0.25">
      <c r="A7664" s="67" t="s">
        <v>869</v>
      </c>
      <c r="B7664" s="67" t="s">
        <v>868</v>
      </c>
    </row>
    <row r="7665" spans="1:9" x14ac:dyDescent="0.25">
      <c r="A7665" s="67" t="s">
        <v>223</v>
      </c>
      <c r="B7665" s="67" t="s">
        <v>222</v>
      </c>
      <c r="C7665" s="67" t="s">
        <v>221</v>
      </c>
      <c r="D7665" s="67" t="s">
        <v>220</v>
      </c>
      <c r="E7665" s="67" t="s">
        <v>219</v>
      </c>
      <c r="F7665" s="67" t="s">
        <v>217</v>
      </c>
      <c r="G7665" s="67" t="s">
        <v>218</v>
      </c>
      <c r="H7665" s="67" t="s">
        <v>217</v>
      </c>
      <c r="I7665" s="67" t="s">
        <v>216</v>
      </c>
    </row>
    <row r="7666" spans="1:9" x14ac:dyDescent="0.25">
      <c r="A7666" s="67" t="s">
        <v>215</v>
      </c>
      <c r="B7666" s="67" t="s">
        <v>214</v>
      </c>
      <c r="C7666" s="67" t="s">
        <v>213</v>
      </c>
      <c r="D7666" s="67" t="s">
        <v>212</v>
      </c>
      <c r="E7666" s="67" t="s">
        <v>211</v>
      </c>
      <c r="F7666" s="67" t="s">
        <v>210</v>
      </c>
      <c r="G7666" s="67" t="s">
        <v>209</v>
      </c>
      <c r="H7666" s="67" t="s">
        <v>208</v>
      </c>
      <c r="I7666" s="67" t="s">
        <v>207</v>
      </c>
    </row>
    <row r="7667" spans="1:9" x14ac:dyDescent="0.25">
      <c r="A7667" s="67" t="s">
        <v>206</v>
      </c>
      <c r="B7667" s="67" t="s">
        <v>205</v>
      </c>
      <c r="C7667" s="67" t="s">
        <v>204</v>
      </c>
      <c r="D7667" s="67" t="s">
        <v>203</v>
      </c>
      <c r="E7667" s="67" t="s">
        <v>202</v>
      </c>
      <c r="F7667" s="67" t="s">
        <v>201</v>
      </c>
      <c r="G7667" s="67" t="s">
        <v>200</v>
      </c>
      <c r="H7667" s="67" t="s">
        <v>199</v>
      </c>
    </row>
    <row r="7668" spans="1:9" x14ac:dyDescent="0.25">
      <c r="A7668" s="67" t="s">
        <v>867</v>
      </c>
      <c r="B7668" s="67" t="s">
        <v>866</v>
      </c>
      <c r="C7668" s="67">
        <v>150</v>
      </c>
      <c r="D7668" s="67">
        <v>0</v>
      </c>
      <c r="E7668" s="67">
        <v>40902.410000000003</v>
      </c>
      <c r="F7668" s="67">
        <v>513</v>
      </c>
      <c r="H7668" s="68">
        <v>42663</v>
      </c>
      <c r="I7668" s="67" t="s">
        <v>148</v>
      </c>
    </row>
    <row r="7669" spans="1:9" x14ac:dyDescent="0.25">
      <c r="B7669" s="67" t="s">
        <v>866</v>
      </c>
      <c r="C7669" s="67">
        <v>0</v>
      </c>
      <c r="D7669" s="67">
        <v>0</v>
      </c>
      <c r="E7669" s="67">
        <v>40902.410000000003</v>
      </c>
      <c r="H7669" s="67" t="s">
        <v>146</v>
      </c>
    </row>
    <row r="7670" spans="1:9" x14ac:dyDescent="0.25">
      <c r="A7670" s="67" t="s">
        <v>233</v>
      </c>
    </row>
    <row r="7672" spans="1:9" x14ac:dyDescent="0.25">
      <c r="A7672" s="67" t="s">
        <v>232</v>
      </c>
      <c r="D7672" s="67" t="s">
        <v>231</v>
      </c>
      <c r="H7672" s="67" t="s">
        <v>148</v>
      </c>
      <c r="I7672" s="67" t="s">
        <v>230</v>
      </c>
    </row>
    <row r="7673" spans="1:9" x14ac:dyDescent="0.25">
      <c r="A7673" s="67">
        <v>41.1</v>
      </c>
      <c r="C7673" s="67" t="s">
        <v>215</v>
      </c>
      <c r="D7673" s="67" t="s">
        <v>229</v>
      </c>
      <c r="H7673" s="70">
        <v>44771</v>
      </c>
      <c r="I7673" s="69">
        <v>0.56736111111111109</v>
      </c>
    </row>
    <row r="7674" spans="1:9" x14ac:dyDescent="0.25">
      <c r="A7674" s="67" t="s">
        <v>228</v>
      </c>
      <c r="C7674" s="67" t="s">
        <v>227</v>
      </c>
      <c r="D7674" s="67" t="s">
        <v>226</v>
      </c>
      <c r="E7674" s="67">
        <v>589</v>
      </c>
      <c r="H7674" s="67" t="s">
        <v>225</v>
      </c>
      <c r="I7674" s="67">
        <v>134</v>
      </c>
    </row>
    <row r="7675" spans="1:9" x14ac:dyDescent="0.25">
      <c r="A7675" s="67" t="s">
        <v>814</v>
      </c>
      <c r="B7675" s="67" t="s">
        <v>813</v>
      </c>
    </row>
    <row r="7676" spans="1:9" x14ac:dyDescent="0.25">
      <c r="A7676" s="67" t="s">
        <v>223</v>
      </c>
      <c r="B7676" s="67" t="s">
        <v>222</v>
      </c>
      <c r="C7676" s="67" t="s">
        <v>221</v>
      </c>
      <c r="D7676" s="67" t="s">
        <v>220</v>
      </c>
      <c r="E7676" s="67" t="s">
        <v>219</v>
      </c>
      <c r="F7676" s="67" t="s">
        <v>217</v>
      </c>
      <c r="G7676" s="67" t="s">
        <v>218</v>
      </c>
      <c r="H7676" s="67" t="s">
        <v>217</v>
      </c>
      <c r="I7676" s="67" t="s">
        <v>216</v>
      </c>
    </row>
    <row r="7677" spans="1:9" x14ac:dyDescent="0.25">
      <c r="A7677" s="67" t="s">
        <v>215</v>
      </c>
      <c r="B7677" s="67" t="s">
        <v>214</v>
      </c>
      <c r="C7677" s="67" t="s">
        <v>213</v>
      </c>
      <c r="D7677" s="67" t="s">
        <v>212</v>
      </c>
      <c r="E7677" s="67" t="s">
        <v>211</v>
      </c>
      <c r="F7677" s="67" t="s">
        <v>210</v>
      </c>
      <c r="G7677" s="67" t="s">
        <v>209</v>
      </c>
      <c r="H7677" s="67" t="s">
        <v>208</v>
      </c>
      <c r="I7677" s="67" t="s">
        <v>207</v>
      </c>
    </row>
    <row r="7678" spans="1:9" x14ac:dyDescent="0.25">
      <c r="A7678" s="67" t="s">
        <v>206</v>
      </c>
      <c r="B7678" s="67" t="s">
        <v>205</v>
      </c>
      <c r="C7678" s="67" t="s">
        <v>204</v>
      </c>
      <c r="D7678" s="67" t="s">
        <v>203</v>
      </c>
      <c r="E7678" s="67" t="s">
        <v>202</v>
      </c>
      <c r="F7678" s="67" t="s">
        <v>201</v>
      </c>
      <c r="G7678" s="67" t="s">
        <v>200</v>
      </c>
      <c r="H7678" s="67" t="s">
        <v>199</v>
      </c>
    </row>
    <row r="7679" spans="1:9" x14ac:dyDescent="0.25">
      <c r="A7679" s="67" t="s">
        <v>865</v>
      </c>
      <c r="B7679" s="67" t="s">
        <v>864</v>
      </c>
      <c r="C7679" s="67">
        <v>0</v>
      </c>
      <c r="D7679" s="67">
        <v>0</v>
      </c>
      <c r="E7679" s="67">
        <v>10000.10001</v>
      </c>
      <c r="H7679" s="68">
        <v>40753</v>
      </c>
      <c r="I7679" s="67" t="s">
        <v>480</v>
      </c>
    </row>
    <row r="7680" spans="1:9" x14ac:dyDescent="0.25">
      <c r="B7680" s="67" t="s">
        <v>864</v>
      </c>
      <c r="C7680" s="67">
        <v>0</v>
      </c>
      <c r="D7680" s="67">
        <v>0</v>
      </c>
      <c r="E7680" s="67">
        <v>86100.499899999995</v>
      </c>
      <c r="H7680" s="67" t="s">
        <v>146</v>
      </c>
    </row>
    <row r="7681" spans="1:9" x14ac:dyDescent="0.25">
      <c r="A7681" s="67" t="s">
        <v>233</v>
      </c>
    </row>
    <row r="7683" spans="1:9" x14ac:dyDescent="0.25">
      <c r="A7683" s="67" t="s">
        <v>232</v>
      </c>
      <c r="D7683" s="67" t="s">
        <v>231</v>
      </c>
      <c r="H7683" s="67" t="s">
        <v>148</v>
      </c>
      <c r="I7683" s="67" t="s">
        <v>230</v>
      </c>
    </row>
    <row r="7684" spans="1:9" x14ac:dyDescent="0.25">
      <c r="A7684" s="67">
        <v>41.1</v>
      </c>
      <c r="C7684" s="67" t="s">
        <v>215</v>
      </c>
      <c r="D7684" s="67" t="s">
        <v>229</v>
      </c>
      <c r="H7684" s="70">
        <v>44771</v>
      </c>
      <c r="I7684" s="69">
        <v>0.56736111111111109</v>
      </c>
    </row>
    <row r="7685" spans="1:9" x14ac:dyDescent="0.25">
      <c r="A7685" s="67" t="s">
        <v>228</v>
      </c>
      <c r="C7685" s="67" t="s">
        <v>227</v>
      </c>
      <c r="D7685" s="67" t="s">
        <v>226</v>
      </c>
      <c r="E7685" s="67">
        <v>589</v>
      </c>
      <c r="H7685" s="67" t="s">
        <v>225</v>
      </c>
      <c r="I7685" s="67">
        <v>135</v>
      </c>
    </row>
    <row r="7686" spans="1:9" x14ac:dyDescent="0.25">
      <c r="A7686" s="67" t="s">
        <v>863</v>
      </c>
      <c r="B7686" s="67" t="s">
        <v>862</v>
      </c>
    </row>
    <row r="7687" spans="1:9" x14ac:dyDescent="0.25">
      <c r="A7687" s="67" t="s">
        <v>223</v>
      </c>
      <c r="B7687" s="67" t="s">
        <v>222</v>
      </c>
      <c r="C7687" s="67" t="s">
        <v>221</v>
      </c>
      <c r="D7687" s="67" t="s">
        <v>220</v>
      </c>
      <c r="E7687" s="67" t="s">
        <v>219</v>
      </c>
      <c r="F7687" s="67" t="s">
        <v>217</v>
      </c>
      <c r="G7687" s="67" t="s">
        <v>218</v>
      </c>
      <c r="H7687" s="67" t="s">
        <v>217</v>
      </c>
      <c r="I7687" s="67" t="s">
        <v>216</v>
      </c>
    </row>
    <row r="7688" spans="1:9" x14ac:dyDescent="0.25">
      <c r="A7688" s="67" t="s">
        <v>215</v>
      </c>
      <c r="B7688" s="67" t="s">
        <v>214</v>
      </c>
      <c r="C7688" s="67" t="s">
        <v>213</v>
      </c>
      <c r="D7688" s="67" t="s">
        <v>212</v>
      </c>
      <c r="E7688" s="67" t="s">
        <v>211</v>
      </c>
      <c r="F7688" s="67" t="s">
        <v>210</v>
      </c>
      <c r="G7688" s="67" t="s">
        <v>209</v>
      </c>
      <c r="H7688" s="67" t="s">
        <v>208</v>
      </c>
      <c r="I7688" s="67" t="s">
        <v>207</v>
      </c>
    </row>
    <row r="7689" spans="1:9" x14ac:dyDescent="0.25">
      <c r="A7689" s="67" t="s">
        <v>206</v>
      </c>
      <c r="B7689" s="67" t="s">
        <v>205</v>
      </c>
      <c r="C7689" s="67" t="s">
        <v>204</v>
      </c>
      <c r="D7689" s="67" t="s">
        <v>203</v>
      </c>
      <c r="E7689" s="67" t="s">
        <v>202</v>
      </c>
      <c r="F7689" s="67" t="s">
        <v>201</v>
      </c>
      <c r="G7689" s="67" t="s">
        <v>200</v>
      </c>
      <c r="H7689" s="67" t="s">
        <v>199</v>
      </c>
    </row>
    <row r="7690" spans="1:9" x14ac:dyDescent="0.25">
      <c r="A7690" s="67" t="s">
        <v>861</v>
      </c>
      <c r="B7690" s="67" t="s">
        <v>123</v>
      </c>
      <c r="C7690" s="67">
        <v>280</v>
      </c>
      <c r="D7690" s="67">
        <v>0</v>
      </c>
      <c r="E7690" s="67">
        <v>44401.43</v>
      </c>
      <c r="F7690" s="67">
        <v>91942</v>
      </c>
      <c r="H7690" s="68">
        <v>42466</v>
      </c>
      <c r="I7690" s="67" t="s">
        <v>148</v>
      </c>
    </row>
    <row r="7691" spans="1:9" x14ac:dyDescent="0.25">
      <c r="B7691" s="67" t="s">
        <v>123</v>
      </c>
      <c r="C7691" s="67">
        <v>0</v>
      </c>
      <c r="D7691" s="67">
        <v>0</v>
      </c>
      <c r="E7691" s="67">
        <v>44401.43</v>
      </c>
      <c r="H7691" s="67" t="s">
        <v>146</v>
      </c>
    </row>
    <row r="7693" spans="1:9" x14ac:dyDescent="0.25">
      <c r="A7693" s="67" t="s">
        <v>860</v>
      </c>
      <c r="B7693" s="67" t="s">
        <v>124</v>
      </c>
      <c r="C7693" s="67">
        <v>280</v>
      </c>
      <c r="D7693" s="67">
        <v>0</v>
      </c>
      <c r="E7693" s="67">
        <v>46305.43</v>
      </c>
      <c r="F7693" s="67">
        <v>91942</v>
      </c>
      <c r="H7693" s="68">
        <v>42478</v>
      </c>
      <c r="I7693" s="67" t="s">
        <v>148</v>
      </c>
    </row>
    <row r="7694" spans="1:9" x14ac:dyDescent="0.25">
      <c r="B7694" s="67" t="s">
        <v>124</v>
      </c>
      <c r="C7694" s="67">
        <v>0</v>
      </c>
      <c r="D7694" s="67">
        <v>0</v>
      </c>
      <c r="E7694" s="67">
        <v>46305.43</v>
      </c>
      <c r="H7694" s="67" t="s">
        <v>146</v>
      </c>
    </row>
    <row r="7696" spans="1:9" x14ac:dyDescent="0.25">
      <c r="A7696" s="67" t="s">
        <v>859</v>
      </c>
      <c r="B7696" s="67" t="s">
        <v>858</v>
      </c>
      <c r="C7696" s="67">
        <v>280</v>
      </c>
      <c r="D7696" s="67">
        <v>0</v>
      </c>
      <c r="E7696" s="67">
        <v>44401.43</v>
      </c>
      <c r="F7696" s="67">
        <v>91915</v>
      </c>
      <c r="H7696" s="68">
        <v>41260</v>
      </c>
      <c r="I7696" s="67" t="s">
        <v>148</v>
      </c>
    </row>
    <row r="7697" spans="1:9" x14ac:dyDescent="0.25">
      <c r="B7697" s="67" t="s">
        <v>858</v>
      </c>
      <c r="C7697" s="67">
        <v>0</v>
      </c>
      <c r="D7697" s="67">
        <v>0</v>
      </c>
      <c r="E7697" s="67">
        <v>44401.43</v>
      </c>
      <c r="H7697" s="67" t="s">
        <v>146</v>
      </c>
    </row>
    <row r="7699" spans="1:9" x14ac:dyDescent="0.25">
      <c r="A7699" s="67" t="s">
        <v>857</v>
      </c>
      <c r="B7699" s="67" t="s">
        <v>856</v>
      </c>
      <c r="C7699" s="67">
        <v>800</v>
      </c>
      <c r="D7699" s="67">
        <v>0</v>
      </c>
      <c r="E7699" s="67">
        <v>44401.43</v>
      </c>
      <c r="F7699" s="67">
        <v>91913</v>
      </c>
      <c r="H7699" s="68">
        <v>41260</v>
      </c>
      <c r="I7699" s="67" t="s">
        <v>148</v>
      </c>
    </row>
    <row r="7700" spans="1:9" x14ac:dyDescent="0.25">
      <c r="B7700" s="67" t="s">
        <v>856</v>
      </c>
      <c r="C7700" s="67">
        <v>0</v>
      </c>
      <c r="D7700" s="67">
        <v>0</v>
      </c>
      <c r="E7700" s="67">
        <v>44401.43</v>
      </c>
      <c r="H7700" s="67" t="s">
        <v>146</v>
      </c>
    </row>
    <row r="7702" spans="1:9" x14ac:dyDescent="0.25">
      <c r="A7702" s="67" t="s">
        <v>855</v>
      </c>
      <c r="B7702" s="67" t="s">
        <v>125</v>
      </c>
      <c r="C7702" s="67">
        <v>280</v>
      </c>
      <c r="D7702" s="67">
        <v>0</v>
      </c>
      <c r="E7702" s="67">
        <v>44401.43</v>
      </c>
      <c r="F7702" s="67">
        <v>91915</v>
      </c>
      <c r="H7702" s="68">
        <v>42591</v>
      </c>
      <c r="I7702" s="67" t="s">
        <v>148</v>
      </c>
    </row>
    <row r="7703" spans="1:9" x14ac:dyDescent="0.25">
      <c r="B7703" s="67" t="s">
        <v>854</v>
      </c>
      <c r="C7703" s="67">
        <v>0</v>
      </c>
      <c r="D7703" s="67">
        <v>0</v>
      </c>
      <c r="E7703" s="67">
        <v>44401.43</v>
      </c>
      <c r="H7703" s="67" t="s">
        <v>146</v>
      </c>
    </row>
    <row r="7705" spans="1:9" x14ac:dyDescent="0.25">
      <c r="A7705" s="67" t="s">
        <v>853</v>
      </c>
      <c r="B7705" s="67" t="s">
        <v>126</v>
      </c>
      <c r="C7705" s="67">
        <v>280</v>
      </c>
      <c r="D7705" s="67">
        <v>0</v>
      </c>
      <c r="E7705" s="67">
        <v>46305.43</v>
      </c>
      <c r="F7705" s="67">
        <v>915</v>
      </c>
      <c r="H7705" s="68">
        <v>42478</v>
      </c>
      <c r="I7705" s="67" t="s">
        <v>148</v>
      </c>
    </row>
    <row r="7706" spans="1:9" x14ac:dyDescent="0.25">
      <c r="B7706" s="67" t="s">
        <v>839</v>
      </c>
      <c r="C7706" s="67">
        <v>0</v>
      </c>
      <c r="D7706" s="67">
        <v>0</v>
      </c>
      <c r="E7706" s="67">
        <v>46305.43</v>
      </c>
      <c r="H7706" s="67" t="s">
        <v>146</v>
      </c>
    </row>
    <row r="7708" spans="1:9" x14ac:dyDescent="0.25">
      <c r="A7708" s="67" t="s">
        <v>852</v>
      </c>
      <c r="B7708" s="67" t="s">
        <v>851</v>
      </c>
      <c r="C7708" s="71">
        <v>1400</v>
      </c>
      <c r="D7708" s="67">
        <v>0</v>
      </c>
      <c r="E7708" s="67">
        <v>44401.43</v>
      </c>
      <c r="F7708" s="67">
        <v>91913</v>
      </c>
      <c r="H7708" s="68">
        <v>42591</v>
      </c>
      <c r="I7708" s="67" t="s">
        <v>148</v>
      </c>
    </row>
    <row r="7709" spans="1:9" x14ac:dyDescent="0.25">
      <c r="B7709" s="67" t="s">
        <v>851</v>
      </c>
      <c r="C7709" s="67">
        <v>0</v>
      </c>
      <c r="D7709" s="67">
        <v>0</v>
      </c>
      <c r="E7709" s="67">
        <v>44401.43</v>
      </c>
      <c r="H7709" s="67" t="s">
        <v>146</v>
      </c>
    </row>
    <row r="7711" spans="1:9" x14ac:dyDescent="0.25">
      <c r="A7711" s="67" t="s">
        <v>850</v>
      </c>
      <c r="B7711" s="67" t="s">
        <v>849</v>
      </c>
      <c r="C7711" s="71">
        <v>1400</v>
      </c>
      <c r="D7711" s="67">
        <v>0</v>
      </c>
      <c r="E7711" s="67">
        <v>46305.43</v>
      </c>
      <c r="F7711" s="67">
        <v>915</v>
      </c>
      <c r="H7711" s="68">
        <v>42478</v>
      </c>
      <c r="I7711" s="67" t="s">
        <v>148</v>
      </c>
    </row>
    <row r="7712" spans="1:9" x14ac:dyDescent="0.25">
      <c r="B7712" s="67" t="s">
        <v>849</v>
      </c>
      <c r="C7712" s="67">
        <v>0</v>
      </c>
      <c r="D7712" s="67">
        <v>0</v>
      </c>
      <c r="E7712" s="67">
        <v>46305.43</v>
      </c>
      <c r="H7712" s="67" t="s">
        <v>146</v>
      </c>
    </row>
    <row r="7714" spans="1:9" x14ac:dyDescent="0.25">
      <c r="A7714" s="67" t="s">
        <v>848</v>
      </c>
      <c r="B7714" s="67" t="s">
        <v>847</v>
      </c>
      <c r="C7714" s="71">
        <v>1400</v>
      </c>
      <c r="D7714" s="67">
        <v>0</v>
      </c>
      <c r="E7714" s="67">
        <v>44401.43</v>
      </c>
      <c r="F7714" s="67">
        <v>91913</v>
      </c>
      <c r="H7714" s="68">
        <v>41260</v>
      </c>
      <c r="I7714" s="67" t="s">
        <v>148</v>
      </c>
    </row>
    <row r="7715" spans="1:9" x14ac:dyDescent="0.25">
      <c r="B7715" s="67" t="s">
        <v>847</v>
      </c>
      <c r="C7715" s="67">
        <v>0</v>
      </c>
      <c r="D7715" s="67">
        <v>0</v>
      </c>
      <c r="E7715" s="67">
        <v>44401.43</v>
      </c>
      <c r="H7715" s="67" t="s">
        <v>146</v>
      </c>
    </row>
    <row r="7717" spans="1:9" x14ac:dyDescent="0.25">
      <c r="A7717" s="67" t="s">
        <v>846</v>
      </c>
      <c r="B7717" s="67" t="s">
        <v>845</v>
      </c>
      <c r="C7717" s="67">
        <v>280</v>
      </c>
      <c r="D7717" s="67">
        <v>0</v>
      </c>
      <c r="E7717" s="67">
        <v>44401.43</v>
      </c>
      <c r="F7717" s="67">
        <v>91915</v>
      </c>
      <c r="H7717" s="68">
        <v>42466</v>
      </c>
      <c r="I7717" s="67" t="s">
        <v>148</v>
      </c>
    </row>
    <row r="7718" spans="1:9" x14ac:dyDescent="0.25">
      <c r="B7718" s="67" t="s">
        <v>845</v>
      </c>
      <c r="C7718" s="67">
        <v>0</v>
      </c>
      <c r="D7718" s="67">
        <v>0</v>
      </c>
      <c r="E7718" s="67">
        <v>44401.43</v>
      </c>
      <c r="H7718" s="67" t="s">
        <v>146</v>
      </c>
    </row>
    <row r="7720" spans="1:9" x14ac:dyDescent="0.25">
      <c r="A7720" s="67" t="s">
        <v>844</v>
      </c>
      <c r="B7720" s="67" t="s">
        <v>127</v>
      </c>
      <c r="C7720" s="71">
        <v>1400</v>
      </c>
      <c r="D7720" s="67">
        <v>0</v>
      </c>
      <c r="E7720" s="67">
        <v>44401.43</v>
      </c>
      <c r="F7720" s="67">
        <v>91913</v>
      </c>
      <c r="H7720" s="68">
        <v>42591</v>
      </c>
      <c r="I7720" s="67" t="s">
        <v>148</v>
      </c>
    </row>
    <row r="7721" spans="1:9" x14ac:dyDescent="0.25">
      <c r="B7721" s="67" t="s">
        <v>127</v>
      </c>
      <c r="C7721" s="67">
        <v>0</v>
      </c>
      <c r="D7721" s="67">
        <v>0</v>
      </c>
      <c r="E7721" s="67">
        <v>44401.43</v>
      </c>
      <c r="H7721" s="67" t="s">
        <v>146</v>
      </c>
    </row>
    <row r="7723" spans="1:9" x14ac:dyDescent="0.25">
      <c r="A7723" s="67" t="s">
        <v>843</v>
      </c>
      <c r="B7723" s="67" t="s">
        <v>128</v>
      </c>
      <c r="C7723" s="71">
        <v>1400</v>
      </c>
      <c r="D7723" s="67">
        <v>0</v>
      </c>
      <c r="E7723" s="67">
        <v>46305.43</v>
      </c>
      <c r="F7723" s="67">
        <v>913</v>
      </c>
      <c r="H7723" s="68">
        <v>42478</v>
      </c>
      <c r="I7723" s="67" t="s">
        <v>148</v>
      </c>
    </row>
    <row r="7724" spans="1:9" x14ac:dyDescent="0.25">
      <c r="B7724" s="67" t="s">
        <v>128</v>
      </c>
      <c r="C7724" s="67">
        <v>0</v>
      </c>
      <c r="D7724" s="67">
        <v>0</v>
      </c>
      <c r="E7724" s="67">
        <v>46305.43</v>
      </c>
      <c r="H7724" s="67" t="s">
        <v>146</v>
      </c>
    </row>
    <row r="7725" spans="1:9" x14ac:dyDescent="0.25">
      <c r="A7725" s="67" t="s">
        <v>233</v>
      </c>
    </row>
    <row r="7727" spans="1:9" x14ac:dyDescent="0.25">
      <c r="A7727" s="67" t="s">
        <v>232</v>
      </c>
      <c r="D7727" s="67" t="s">
        <v>231</v>
      </c>
      <c r="H7727" s="67" t="s">
        <v>148</v>
      </c>
      <c r="I7727" s="67" t="s">
        <v>230</v>
      </c>
    </row>
    <row r="7728" spans="1:9" x14ac:dyDescent="0.25">
      <c r="A7728" s="67">
        <v>41.1</v>
      </c>
      <c r="C7728" s="67" t="s">
        <v>215</v>
      </c>
      <c r="D7728" s="67" t="s">
        <v>229</v>
      </c>
      <c r="H7728" s="70">
        <v>44771</v>
      </c>
      <c r="I7728" s="69">
        <v>0.56736111111111109</v>
      </c>
    </row>
    <row r="7729" spans="1:9" x14ac:dyDescent="0.25">
      <c r="A7729" s="67" t="s">
        <v>228</v>
      </c>
      <c r="C7729" s="67" t="s">
        <v>227</v>
      </c>
      <c r="D7729" s="67" t="s">
        <v>226</v>
      </c>
      <c r="E7729" s="67">
        <v>589</v>
      </c>
      <c r="H7729" s="67" t="s">
        <v>225</v>
      </c>
      <c r="I7729" s="67">
        <v>136</v>
      </c>
    </row>
    <row r="7730" spans="1:9" x14ac:dyDescent="0.25">
      <c r="A7730" s="67" t="s">
        <v>842</v>
      </c>
    </row>
    <row r="7731" spans="1:9" x14ac:dyDescent="0.25">
      <c r="A7731" s="67" t="s">
        <v>223</v>
      </c>
      <c r="B7731" s="67" t="s">
        <v>222</v>
      </c>
      <c r="C7731" s="67" t="s">
        <v>221</v>
      </c>
      <c r="D7731" s="67" t="s">
        <v>220</v>
      </c>
      <c r="E7731" s="67" t="s">
        <v>219</v>
      </c>
      <c r="F7731" s="67" t="s">
        <v>217</v>
      </c>
      <c r="G7731" s="67" t="s">
        <v>218</v>
      </c>
      <c r="H7731" s="67" t="s">
        <v>217</v>
      </c>
      <c r="I7731" s="67" t="s">
        <v>216</v>
      </c>
    </row>
    <row r="7732" spans="1:9" x14ac:dyDescent="0.25">
      <c r="A7732" s="67" t="s">
        <v>215</v>
      </c>
      <c r="B7732" s="67" t="s">
        <v>214</v>
      </c>
      <c r="C7732" s="67" t="s">
        <v>213</v>
      </c>
      <c r="D7732" s="67" t="s">
        <v>212</v>
      </c>
      <c r="E7732" s="67" t="s">
        <v>211</v>
      </c>
      <c r="F7732" s="67" t="s">
        <v>210</v>
      </c>
      <c r="G7732" s="67" t="s">
        <v>209</v>
      </c>
      <c r="H7732" s="67" t="s">
        <v>208</v>
      </c>
      <c r="I7732" s="67" t="s">
        <v>207</v>
      </c>
    </row>
    <row r="7733" spans="1:9" x14ac:dyDescent="0.25">
      <c r="A7733" s="67" t="s">
        <v>206</v>
      </c>
      <c r="B7733" s="67" t="s">
        <v>205</v>
      </c>
      <c r="C7733" s="67" t="s">
        <v>204</v>
      </c>
      <c r="D7733" s="67" t="s">
        <v>203</v>
      </c>
      <c r="E7733" s="67" t="s">
        <v>202</v>
      </c>
      <c r="F7733" s="67" t="s">
        <v>201</v>
      </c>
      <c r="G7733" s="67" t="s">
        <v>200</v>
      </c>
      <c r="H7733" s="67" t="s">
        <v>199</v>
      </c>
    </row>
    <row r="7734" spans="1:9" x14ac:dyDescent="0.25">
      <c r="A7734" s="67" t="s">
        <v>841</v>
      </c>
      <c r="B7734" s="67" t="s">
        <v>124</v>
      </c>
      <c r="C7734" s="67">
        <v>0</v>
      </c>
      <c r="D7734" s="67">
        <v>0</v>
      </c>
      <c r="E7734" s="67">
        <v>0</v>
      </c>
      <c r="H7734" s="68">
        <v>42466</v>
      </c>
      <c r="I7734" s="67" t="s">
        <v>547</v>
      </c>
    </row>
    <row r="7735" spans="1:9" x14ac:dyDescent="0.25">
      <c r="B7735" s="67" t="s">
        <v>124</v>
      </c>
      <c r="C7735" s="67">
        <v>0</v>
      </c>
      <c r="D7735" s="67">
        <v>0</v>
      </c>
      <c r="E7735" s="67">
        <v>0</v>
      </c>
      <c r="H7735" s="67" t="s">
        <v>146</v>
      </c>
    </row>
    <row r="7737" spans="1:9" x14ac:dyDescent="0.25">
      <c r="A7737" s="67" t="s">
        <v>840</v>
      </c>
      <c r="B7737" s="67" t="s">
        <v>126</v>
      </c>
      <c r="C7737" s="67">
        <v>0</v>
      </c>
      <c r="D7737" s="67">
        <v>0</v>
      </c>
      <c r="E7737" s="67">
        <v>0</v>
      </c>
      <c r="H7737" s="68">
        <v>42466</v>
      </c>
      <c r="I7737" s="67" t="s">
        <v>547</v>
      </c>
    </row>
    <row r="7738" spans="1:9" x14ac:dyDescent="0.25">
      <c r="B7738" s="67" t="s">
        <v>839</v>
      </c>
      <c r="C7738" s="67">
        <v>0</v>
      </c>
      <c r="D7738" s="67">
        <v>0</v>
      </c>
      <c r="E7738" s="67">
        <v>0</v>
      </c>
      <c r="H7738" s="67" t="s">
        <v>146</v>
      </c>
    </row>
    <row r="7740" spans="1:9" x14ac:dyDescent="0.25">
      <c r="A7740" s="67" t="s">
        <v>838</v>
      </c>
      <c r="B7740" s="67" t="s">
        <v>128</v>
      </c>
      <c r="C7740" s="67">
        <v>0</v>
      </c>
      <c r="D7740" s="67">
        <v>0</v>
      </c>
      <c r="E7740" s="67">
        <v>0</v>
      </c>
      <c r="H7740" s="68">
        <v>42466</v>
      </c>
      <c r="I7740" s="67" t="s">
        <v>547</v>
      </c>
    </row>
    <row r="7741" spans="1:9" x14ac:dyDescent="0.25">
      <c r="B7741" s="67" t="s">
        <v>128</v>
      </c>
      <c r="C7741" s="67">
        <v>0</v>
      </c>
      <c r="D7741" s="67">
        <v>0</v>
      </c>
      <c r="E7741" s="67">
        <v>0</v>
      </c>
      <c r="H7741" s="67" t="s">
        <v>146</v>
      </c>
    </row>
    <row r="7742" spans="1:9" x14ac:dyDescent="0.25">
      <c r="A7742" s="67" t="s">
        <v>233</v>
      </c>
    </row>
    <row r="7744" spans="1:9" x14ac:dyDescent="0.25">
      <c r="A7744" s="67" t="s">
        <v>232</v>
      </c>
      <c r="D7744" s="67" t="s">
        <v>231</v>
      </c>
      <c r="H7744" s="67" t="s">
        <v>148</v>
      </c>
      <c r="I7744" s="67" t="s">
        <v>230</v>
      </c>
    </row>
    <row r="7745" spans="1:9" x14ac:dyDescent="0.25">
      <c r="A7745" s="67">
        <v>41.1</v>
      </c>
      <c r="C7745" s="67" t="s">
        <v>215</v>
      </c>
      <c r="D7745" s="67" t="s">
        <v>229</v>
      </c>
      <c r="H7745" s="70">
        <v>44771</v>
      </c>
      <c r="I7745" s="69">
        <v>0.56736111111111109</v>
      </c>
    </row>
    <row r="7746" spans="1:9" x14ac:dyDescent="0.25">
      <c r="A7746" s="67" t="s">
        <v>228</v>
      </c>
      <c r="C7746" s="67" t="s">
        <v>227</v>
      </c>
      <c r="D7746" s="67" t="s">
        <v>226</v>
      </c>
      <c r="E7746" s="67">
        <v>589</v>
      </c>
      <c r="H7746" s="67" t="s">
        <v>225</v>
      </c>
      <c r="I7746" s="67">
        <v>137</v>
      </c>
    </row>
    <row r="7747" spans="1:9" x14ac:dyDescent="0.25">
      <c r="A7747" s="67" t="s">
        <v>837</v>
      </c>
      <c r="B7747" s="67" t="s">
        <v>836</v>
      </c>
    </row>
    <row r="7748" spans="1:9" x14ac:dyDescent="0.25">
      <c r="A7748" s="67" t="s">
        <v>223</v>
      </c>
      <c r="B7748" s="67" t="s">
        <v>222</v>
      </c>
      <c r="C7748" s="67" t="s">
        <v>221</v>
      </c>
      <c r="D7748" s="67" t="s">
        <v>220</v>
      </c>
      <c r="E7748" s="67" t="s">
        <v>219</v>
      </c>
      <c r="F7748" s="67" t="s">
        <v>217</v>
      </c>
      <c r="G7748" s="67" t="s">
        <v>218</v>
      </c>
      <c r="H7748" s="67" t="s">
        <v>217</v>
      </c>
      <c r="I7748" s="67" t="s">
        <v>216</v>
      </c>
    </row>
    <row r="7749" spans="1:9" x14ac:dyDescent="0.25">
      <c r="A7749" s="67" t="s">
        <v>215</v>
      </c>
      <c r="B7749" s="67" t="s">
        <v>214</v>
      </c>
      <c r="C7749" s="67" t="s">
        <v>213</v>
      </c>
      <c r="D7749" s="67" t="s">
        <v>212</v>
      </c>
      <c r="E7749" s="67" t="s">
        <v>211</v>
      </c>
      <c r="F7749" s="67" t="s">
        <v>210</v>
      </c>
      <c r="G7749" s="67" t="s">
        <v>209</v>
      </c>
      <c r="H7749" s="67" t="s">
        <v>208</v>
      </c>
      <c r="I7749" s="67" t="s">
        <v>207</v>
      </c>
    </row>
    <row r="7750" spans="1:9" x14ac:dyDescent="0.25">
      <c r="A7750" s="67" t="s">
        <v>206</v>
      </c>
      <c r="B7750" s="67" t="s">
        <v>205</v>
      </c>
      <c r="C7750" s="67" t="s">
        <v>204</v>
      </c>
      <c r="D7750" s="67" t="s">
        <v>203</v>
      </c>
      <c r="E7750" s="67" t="s">
        <v>202</v>
      </c>
      <c r="F7750" s="67" t="s">
        <v>201</v>
      </c>
      <c r="G7750" s="67" t="s">
        <v>200</v>
      </c>
      <c r="H7750" s="67" t="s">
        <v>199</v>
      </c>
    </row>
    <row r="7751" spans="1:9" x14ac:dyDescent="0.25">
      <c r="A7751" s="67" t="s">
        <v>835</v>
      </c>
      <c r="B7751" s="67" t="s">
        <v>129</v>
      </c>
      <c r="C7751" s="67">
        <v>280</v>
      </c>
      <c r="D7751" s="67">
        <v>0</v>
      </c>
      <c r="E7751" s="67">
        <v>47401.45</v>
      </c>
      <c r="F7751" s="67">
        <v>915</v>
      </c>
      <c r="H7751" s="68">
        <v>41694</v>
      </c>
      <c r="I7751" s="67" t="s">
        <v>148</v>
      </c>
    </row>
    <row r="7752" spans="1:9" x14ac:dyDescent="0.25">
      <c r="B7752" s="67" t="s">
        <v>834</v>
      </c>
      <c r="C7752" s="67">
        <v>0</v>
      </c>
      <c r="D7752" s="67">
        <v>0</v>
      </c>
      <c r="E7752" s="67">
        <v>47401.45</v>
      </c>
      <c r="H7752" s="67" t="s">
        <v>146</v>
      </c>
    </row>
    <row r="7754" spans="1:9" x14ac:dyDescent="0.25">
      <c r="A7754" s="67" t="s">
        <v>833</v>
      </c>
      <c r="B7754" s="67" t="s">
        <v>130</v>
      </c>
      <c r="C7754" s="67">
        <v>280</v>
      </c>
      <c r="D7754" s="67">
        <v>0</v>
      </c>
      <c r="E7754" s="67">
        <v>47401.45</v>
      </c>
      <c r="F7754" s="67">
        <v>94915</v>
      </c>
      <c r="H7754" s="68">
        <v>40777</v>
      </c>
      <c r="I7754" s="67" t="s">
        <v>148</v>
      </c>
    </row>
    <row r="7755" spans="1:9" x14ac:dyDescent="0.25">
      <c r="B7755" s="67" t="s">
        <v>130</v>
      </c>
      <c r="C7755" s="67">
        <v>0</v>
      </c>
      <c r="D7755" s="67">
        <v>0</v>
      </c>
      <c r="E7755" s="67">
        <v>47401.45</v>
      </c>
      <c r="H7755" s="67" t="s">
        <v>146</v>
      </c>
    </row>
    <row r="7757" spans="1:9" x14ac:dyDescent="0.25">
      <c r="A7757" s="67" t="s">
        <v>832</v>
      </c>
      <c r="B7757" s="67" t="s">
        <v>131</v>
      </c>
      <c r="C7757" s="67" t="s">
        <v>831</v>
      </c>
      <c r="D7757" s="67">
        <v>0</v>
      </c>
      <c r="E7757" s="67">
        <v>47401.45</v>
      </c>
      <c r="F7757" s="67">
        <v>94915</v>
      </c>
      <c r="H7757" s="68">
        <v>40777</v>
      </c>
      <c r="I7757" s="67" t="s">
        <v>148</v>
      </c>
    </row>
    <row r="7758" spans="1:9" x14ac:dyDescent="0.25">
      <c r="B7758" s="67" t="s">
        <v>830</v>
      </c>
      <c r="C7758" s="67">
        <v>0</v>
      </c>
      <c r="D7758" s="67">
        <v>0</v>
      </c>
      <c r="E7758" s="67">
        <v>47401.45</v>
      </c>
      <c r="H7758" s="67" t="s">
        <v>146</v>
      </c>
    </row>
    <row r="7760" spans="1:9" x14ac:dyDescent="0.25">
      <c r="A7760" s="67" t="s">
        <v>829</v>
      </c>
      <c r="B7760" s="67" t="s">
        <v>132</v>
      </c>
      <c r="C7760" s="67">
        <v>800</v>
      </c>
      <c r="D7760" s="67">
        <v>0</v>
      </c>
      <c r="E7760" s="67">
        <v>48201.45</v>
      </c>
      <c r="F7760" s="67">
        <v>94906</v>
      </c>
      <c r="H7760" s="68">
        <v>42466</v>
      </c>
      <c r="I7760" s="67" t="s">
        <v>148</v>
      </c>
    </row>
    <row r="7761" spans="1:9" x14ac:dyDescent="0.25">
      <c r="B7761" s="67" t="s">
        <v>132</v>
      </c>
      <c r="C7761" s="67">
        <v>0</v>
      </c>
      <c r="D7761" s="67">
        <v>0</v>
      </c>
      <c r="E7761" s="67">
        <v>48201.45</v>
      </c>
      <c r="H7761" s="67" t="s">
        <v>146</v>
      </c>
    </row>
    <row r="7763" spans="1:9" x14ac:dyDescent="0.25">
      <c r="A7763" s="67" t="s">
        <v>828</v>
      </c>
      <c r="B7763" s="67" t="s">
        <v>133</v>
      </c>
      <c r="C7763" s="67">
        <v>800</v>
      </c>
      <c r="D7763" s="67">
        <v>0</v>
      </c>
      <c r="E7763" s="67">
        <v>48531.45</v>
      </c>
      <c r="F7763" s="67">
        <v>905</v>
      </c>
      <c r="H7763" s="68">
        <v>42478</v>
      </c>
      <c r="I7763" s="67" t="s">
        <v>148</v>
      </c>
    </row>
    <row r="7764" spans="1:9" x14ac:dyDescent="0.25">
      <c r="B7764" s="67" t="s">
        <v>133</v>
      </c>
      <c r="C7764" s="67">
        <v>0</v>
      </c>
      <c r="D7764" s="67">
        <v>0</v>
      </c>
      <c r="E7764" s="67">
        <v>48531.45</v>
      </c>
      <c r="H7764" s="67" t="s">
        <v>146</v>
      </c>
    </row>
    <row r="7766" spans="1:9" x14ac:dyDescent="0.25">
      <c r="A7766" s="67" t="s">
        <v>827</v>
      </c>
      <c r="B7766" s="67" t="s">
        <v>134</v>
      </c>
      <c r="C7766" s="67">
        <v>800</v>
      </c>
      <c r="D7766" s="67">
        <v>0</v>
      </c>
      <c r="E7766" s="67">
        <v>47402.45</v>
      </c>
      <c r="F7766" s="67">
        <v>94905</v>
      </c>
      <c r="H7766" s="68">
        <v>41555</v>
      </c>
      <c r="I7766" s="67" t="s">
        <v>148</v>
      </c>
    </row>
    <row r="7767" spans="1:9" x14ac:dyDescent="0.25">
      <c r="B7767" s="67" t="s">
        <v>134</v>
      </c>
      <c r="C7767" s="67">
        <v>0</v>
      </c>
      <c r="D7767" s="67">
        <v>0</v>
      </c>
      <c r="E7767" s="67">
        <v>47402.45</v>
      </c>
      <c r="H7767" s="67" t="s">
        <v>146</v>
      </c>
    </row>
    <row r="7769" spans="1:9" x14ac:dyDescent="0.25">
      <c r="A7769" s="67" t="s">
        <v>826</v>
      </c>
      <c r="B7769" s="67" t="s">
        <v>135</v>
      </c>
      <c r="C7769" s="67">
        <v>800</v>
      </c>
      <c r="D7769" s="67">
        <v>0</v>
      </c>
      <c r="E7769" s="67">
        <v>47402.45</v>
      </c>
      <c r="F7769" s="67">
        <v>94905</v>
      </c>
      <c r="H7769" s="68">
        <v>42466</v>
      </c>
      <c r="I7769" s="67" t="s">
        <v>148</v>
      </c>
    </row>
    <row r="7770" spans="1:9" x14ac:dyDescent="0.25">
      <c r="B7770" s="67" t="s">
        <v>825</v>
      </c>
      <c r="C7770" s="67">
        <v>0</v>
      </c>
      <c r="D7770" s="67">
        <v>0</v>
      </c>
      <c r="E7770" s="67">
        <v>47402.45</v>
      </c>
      <c r="H7770" s="67" t="s">
        <v>146</v>
      </c>
    </row>
    <row r="7772" spans="1:9" x14ac:dyDescent="0.25">
      <c r="A7772" s="67" t="s">
        <v>824</v>
      </c>
      <c r="B7772" s="67" t="s">
        <v>136</v>
      </c>
      <c r="C7772" s="67">
        <v>800</v>
      </c>
      <c r="D7772" s="67">
        <v>0</v>
      </c>
      <c r="E7772" s="67">
        <v>48501.45</v>
      </c>
      <c r="F7772" s="67">
        <v>905</v>
      </c>
      <c r="H7772" s="68">
        <v>42478</v>
      </c>
      <c r="I7772" s="67" t="s">
        <v>148</v>
      </c>
    </row>
    <row r="7773" spans="1:9" x14ac:dyDescent="0.25">
      <c r="B7773" s="67" t="s">
        <v>811</v>
      </c>
      <c r="C7773" s="67">
        <v>0</v>
      </c>
      <c r="D7773" s="67">
        <v>0</v>
      </c>
      <c r="E7773" s="67">
        <v>48501.45</v>
      </c>
      <c r="H7773" s="67" t="s">
        <v>146</v>
      </c>
    </row>
    <row r="7775" spans="1:9" x14ac:dyDescent="0.25">
      <c r="A7775" s="67" t="s">
        <v>823</v>
      </c>
      <c r="B7775" s="67" t="s">
        <v>137</v>
      </c>
      <c r="C7775" s="67" t="s">
        <v>822</v>
      </c>
      <c r="D7775" s="67">
        <v>0</v>
      </c>
      <c r="E7775" s="67">
        <v>47401.45</v>
      </c>
      <c r="F7775" s="67">
        <v>94915</v>
      </c>
      <c r="H7775" s="68">
        <v>44509</v>
      </c>
      <c r="I7775" s="67" t="s">
        <v>148</v>
      </c>
    </row>
    <row r="7776" spans="1:9" x14ac:dyDescent="0.25">
      <c r="B7776" s="67" t="s">
        <v>821</v>
      </c>
      <c r="C7776" s="67">
        <v>0</v>
      </c>
      <c r="D7776" s="67">
        <v>0</v>
      </c>
      <c r="E7776" s="67">
        <v>47401.45</v>
      </c>
      <c r="H7776" s="67" t="s">
        <v>146</v>
      </c>
    </row>
    <row r="7778" spans="1:9" x14ac:dyDescent="0.25">
      <c r="A7778" s="67" t="s">
        <v>820</v>
      </c>
      <c r="B7778" s="67" t="s">
        <v>138</v>
      </c>
      <c r="C7778" s="67">
        <v>800</v>
      </c>
      <c r="D7778" s="67">
        <v>0</v>
      </c>
      <c r="E7778" s="67">
        <v>47301.45</v>
      </c>
      <c r="H7778" s="68">
        <v>42466</v>
      </c>
      <c r="I7778" s="67" t="s">
        <v>148</v>
      </c>
    </row>
    <row r="7779" spans="1:9" x14ac:dyDescent="0.25">
      <c r="B7779" s="67" t="s">
        <v>819</v>
      </c>
      <c r="C7779" s="67">
        <v>0</v>
      </c>
      <c r="D7779" s="67">
        <v>0</v>
      </c>
      <c r="E7779" s="67">
        <v>47301.45</v>
      </c>
      <c r="H7779" s="67" t="s">
        <v>146</v>
      </c>
    </row>
    <row r="7781" spans="1:9" x14ac:dyDescent="0.25">
      <c r="A7781" s="67" t="s">
        <v>818</v>
      </c>
      <c r="B7781" s="67" t="s">
        <v>139</v>
      </c>
      <c r="C7781" s="67">
        <v>800</v>
      </c>
      <c r="D7781" s="67">
        <v>0</v>
      </c>
      <c r="E7781" s="67">
        <v>48521.45</v>
      </c>
      <c r="F7781" s="67">
        <v>905</v>
      </c>
      <c r="H7781" s="68">
        <v>42478</v>
      </c>
      <c r="I7781" s="67" t="s">
        <v>148</v>
      </c>
    </row>
    <row r="7782" spans="1:9" x14ac:dyDescent="0.25">
      <c r="B7782" s="67" t="s">
        <v>139</v>
      </c>
      <c r="C7782" s="67">
        <v>0</v>
      </c>
      <c r="D7782" s="67">
        <v>0</v>
      </c>
      <c r="E7782" s="67">
        <v>48521.45</v>
      </c>
      <c r="H7782" s="67" t="s">
        <v>146</v>
      </c>
    </row>
    <row r="7784" spans="1:9" x14ac:dyDescent="0.25">
      <c r="A7784" s="67" t="s">
        <v>817</v>
      </c>
      <c r="B7784" s="67" t="s">
        <v>140</v>
      </c>
      <c r="C7784" s="67">
        <v>280</v>
      </c>
      <c r="D7784" s="67">
        <v>0</v>
      </c>
      <c r="E7784" s="67">
        <v>47401.45</v>
      </c>
      <c r="F7784" s="67">
        <v>94915</v>
      </c>
      <c r="H7784" s="68">
        <v>40777</v>
      </c>
      <c r="I7784" s="67" t="s">
        <v>148</v>
      </c>
    </row>
    <row r="7785" spans="1:9" x14ac:dyDescent="0.25">
      <c r="B7785" s="67" t="s">
        <v>140</v>
      </c>
      <c r="C7785" s="67">
        <v>0</v>
      </c>
      <c r="D7785" s="67">
        <v>0</v>
      </c>
      <c r="E7785" s="67">
        <v>47401.45</v>
      </c>
      <c r="H7785" s="67" t="s">
        <v>146</v>
      </c>
    </row>
    <row r="7787" spans="1:9" x14ac:dyDescent="0.25">
      <c r="A7787" s="67" t="s">
        <v>816</v>
      </c>
      <c r="B7787" s="67" t="s">
        <v>141</v>
      </c>
      <c r="C7787" s="67">
        <v>280</v>
      </c>
      <c r="D7787" s="67">
        <v>0</v>
      </c>
      <c r="E7787" s="67">
        <v>47401.45</v>
      </c>
      <c r="F7787" s="67">
        <v>91915</v>
      </c>
      <c r="H7787" s="68">
        <v>40777</v>
      </c>
      <c r="I7787" s="67" t="s">
        <v>148</v>
      </c>
    </row>
    <row r="7788" spans="1:9" x14ac:dyDescent="0.25">
      <c r="B7788" s="67" t="s">
        <v>141</v>
      </c>
      <c r="C7788" s="67">
        <v>0</v>
      </c>
      <c r="D7788" s="67">
        <v>0</v>
      </c>
      <c r="E7788" s="67">
        <v>47401.45</v>
      </c>
      <c r="H7788" s="67" t="s">
        <v>146</v>
      </c>
    </row>
    <row r="7790" spans="1:9" x14ac:dyDescent="0.25">
      <c r="A7790" s="67" t="s">
        <v>815</v>
      </c>
      <c r="B7790" s="67" t="s">
        <v>142</v>
      </c>
      <c r="C7790" s="67">
        <v>280</v>
      </c>
      <c r="D7790" s="67">
        <v>0</v>
      </c>
      <c r="E7790" s="67">
        <v>47401.45</v>
      </c>
      <c r="F7790" s="67">
        <v>94915</v>
      </c>
      <c r="H7790" s="68">
        <v>40777</v>
      </c>
      <c r="I7790" s="67" t="s">
        <v>148</v>
      </c>
    </row>
    <row r="7791" spans="1:9" x14ac:dyDescent="0.25">
      <c r="B7791" s="67" t="s">
        <v>142</v>
      </c>
      <c r="C7791" s="67">
        <v>0</v>
      </c>
      <c r="D7791" s="67">
        <v>0</v>
      </c>
      <c r="E7791" s="67">
        <v>47401.45</v>
      </c>
      <c r="H7791" s="67" t="s">
        <v>146</v>
      </c>
    </row>
    <row r="7792" spans="1:9" x14ac:dyDescent="0.25">
      <c r="A7792" s="67" t="s">
        <v>233</v>
      </c>
    </row>
    <row r="7794" spans="1:9" x14ac:dyDescent="0.25">
      <c r="A7794" s="67" t="s">
        <v>232</v>
      </c>
      <c r="D7794" s="67" t="s">
        <v>231</v>
      </c>
      <c r="H7794" s="67" t="s">
        <v>148</v>
      </c>
      <c r="I7794" s="67" t="s">
        <v>230</v>
      </c>
    </row>
    <row r="7795" spans="1:9" x14ac:dyDescent="0.25">
      <c r="A7795" s="67">
        <v>41.1</v>
      </c>
      <c r="C7795" s="67" t="s">
        <v>215</v>
      </c>
      <c r="D7795" s="67" t="s">
        <v>229</v>
      </c>
      <c r="H7795" s="70">
        <v>44771</v>
      </c>
      <c r="I7795" s="69">
        <v>0.56736111111111109</v>
      </c>
    </row>
    <row r="7796" spans="1:9" x14ac:dyDescent="0.25">
      <c r="A7796" s="67" t="s">
        <v>228</v>
      </c>
      <c r="C7796" s="67" t="s">
        <v>227</v>
      </c>
      <c r="D7796" s="67" t="s">
        <v>226</v>
      </c>
      <c r="E7796" s="67">
        <v>589</v>
      </c>
      <c r="H7796" s="67" t="s">
        <v>225</v>
      </c>
      <c r="I7796" s="67">
        <v>138</v>
      </c>
    </row>
    <row r="7797" spans="1:9" x14ac:dyDescent="0.25">
      <c r="A7797" s="67" t="s">
        <v>814</v>
      </c>
      <c r="B7797" s="67" t="s">
        <v>813</v>
      </c>
    </row>
    <row r="7798" spans="1:9" x14ac:dyDescent="0.25">
      <c r="A7798" s="67" t="s">
        <v>223</v>
      </c>
      <c r="B7798" s="67" t="s">
        <v>222</v>
      </c>
      <c r="C7798" s="67" t="s">
        <v>221</v>
      </c>
      <c r="D7798" s="67" t="s">
        <v>220</v>
      </c>
      <c r="E7798" s="67" t="s">
        <v>219</v>
      </c>
      <c r="F7798" s="67" t="s">
        <v>217</v>
      </c>
      <c r="G7798" s="67" t="s">
        <v>218</v>
      </c>
      <c r="H7798" s="67" t="s">
        <v>217</v>
      </c>
      <c r="I7798" s="67" t="s">
        <v>216</v>
      </c>
    </row>
    <row r="7799" spans="1:9" x14ac:dyDescent="0.25">
      <c r="A7799" s="67" t="s">
        <v>215</v>
      </c>
      <c r="B7799" s="67" t="s">
        <v>214</v>
      </c>
      <c r="C7799" s="67" t="s">
        <v>213</v>
      </c>
      <c r="D7799" s="67" t="s">
        <v>212</v>
      </c>
      <c r="E7799" s="67" t="s">
        <v>211</v>
      </c>
      <c r="F7799" s="67" t="s">
        <v>210</v>
      </c>
      <c r="G7799" s="67" t="s">
        <v>209</v>
      </c>
      <c r="H7799" s="67" t="s">
        <v>208</v>
      </c>
      <c r="I7799" s="67" t="s">
        <v>207</v>
      </c>
    </row>
    <row r="7800" spans="1:9" x14ac:dyDescent="0.25">
      <c r="A7800" s="67" t="s">
        <v>206</v>
      </c>
      <c r="B7800" s="67" t="s">
        <v>205</v>
      </c>
      <c r="C7800" s="67" t="s">
        <v>204</v>
      </c>
      <c r="D7800" s="67" t="s">
        <v>203</v>
      </c>
      <c r="E7800" s="67" t="s">
        <v>202</v>
      </c>
      <c r="F7800" s="67" t="s">
        <v>201</v>
      </c>
      <c r="G7800" s="67" t="s">
        <v>200</v>
      </c>
      <c r="H7800" s="67" t="s">
        <v>199</v>
      </c>
    </row>
    <row r="7801" spans="1:9" x14ac:dyDescent="0.25">
      <c r="A7801" s="67" t="s">
        <v>812</v>
      </c>
      <c r="B7801" s="67" t="s">
        <v>136</v>
      </c>
      <c r="C7801" s="67">
        <v>0</v>
      </c>
      <c r="D7801" s="67">
        <v>0</v>
      </c>
      <c r="E7801" s="67">
        <v>0</v>
      </c>
      <c r="H7801" s="68">
        <v>42466</v>
      </c>
      <c r="I7801" s="67" t="s">
        <v>547</v>
      </c>
    </row>
    <row r="7802" spans="1:9" x14ac:dyDescent="0.25">
      <c r="B7802" s="67" t="s">
        <v>811</v>
      </c>
      <c r="C7802" s="67">
        <v>0</v>
      </c>
      <c r="D7802" s="67">
        <v>0</v>
      </c>
      <c r="E7802" s="67">
        <v>0</v>
      </c>
      <c r="H7802" s="67" t="s">
        <v>146</v>
      </c>
    </row>
    <row r="7804" spans="1:9" x14ac:dyDescent="0.25">
      <c r="A7804" s="67" t="s">
        <v>810</v>
      </c>
      <c r="B7804" s="67" t="s">
        <v>809</v>
      </c>
      <c r="C7804" s="67">
        <v>0</v>
      </c>
      <c r="D7804" s="67">
        <v>0</v>
      </c>
      <c r="E7804" s="67">
        <v>0</v>
      </c>
      <c r="H7804" s="68">
        <v>42466</v>
      </c>
      <c r="I7804" s="67" t="s">
        <v>547</v>
      </c>
    </row>
    <row r="7805" spans="1:9" x14ac:dyDescent="0.25">
      <c r="B7805" s="67" t="s">
        <v>808</v>
      </c>
      <c r="C7805" s="67">
        <v>0</v>
      </c>
      <c r="D7805" s="67">
        <v>0</v>
      </c>
      <c r="E7805" s="67">
        <v>0</v>
      </c>
      <c r="H7805" s="67" t="s">
        <v>146</v>
      </c>
    </row>
    <row r="7806" spans="1:9" x14ac:dyDescent="0.25">
      <c r="A7806" s="67" t="s">
        <v>233</v>
      </c>
    </row>
    <row r="7808" spans="1:9" x14ac:dyDescent="0.25">
      <c r="A7808" s="67" t="s">
        <v>232</v>
      </c>
      <c r="D7808" s="67" t="s">
        <v>231</v>
      </c>
      <c r="H7808" s="67" t="s">
        <v>148</v>
      </c>
      <c r="I7808" s="67" t="s">
        <v>230</v>
      </c>
    </row>
    <row r="7809" spans="1:9" x14ac:dyDescent="0.25">
      <c r="A7809" s="67">
        <v>41.1</v>
      </c>
      <c r="C7809" s="67" t="s">
        <v>215</v>
      </c>
      <c r="D7809" s="67" t="s">
        <v>229</v>
      </c>
      <c r="H7809" s="70">
        <v>44771</v>
      </c>
      <c r="I7809" s="69">
        <v>0.56736111111111109</v>
      </c>
    </row>
    <row r="7810" spans="1:9" x14ac:dyDescent="0.25">
      <c r="A7810" s="67" t="s">
        <v>228</v>
      </c>
      <c r="C7810" s="67" t="s">
        <v>227</v>
      </c>
      <c r="D7810" s="67" t="s">
        <v>226</v>
      </c>
      <c r="E7810" s="67">
        <v>589</v>
      </c>
      <c r="H7810" s="67" t="s">
        <v>225</v>
      </c>
      <c r="I7810" s="67">
        <v>139</v>
      </c>
    </row>
    <row r="7811" spans="1:9" x14ac:dyDescent="0.25">
      <c r="A7811" s="67" t="s">
        <v>615</v>
      </c>
      <c r="B7811" s="67" t="s">
        <v>614</v>
      </c>
    </row>
    <row r="7812" spans="1:9" x14ac:dyDescent="0.25">
      <c r="A7812" s="67" t="s">
        <v>223</v>
      </c>
      <c r="B7812" s="67" t="s">
        <v>222</v>
      </c>
      <c r="C7812" s="67" t="s">
        <v>221</v>
      </c>
      <c r="D7812" s="67" t="s">
        <v>220</v>
      </c>
      <c r="E7812" s="67" t="s">
        <v>219</v>
      </c>
      <c r="F7812" s="67" t="s">
        <v>217</v>
      </c>
      <c r="G7812" s="67" t="s">
        <v>218</v>
      </c>
      <c r="H7812" s="67" t="s">
        <v>217</v>
      </c>
      <c r="I7812" s="67" t="s">
        <v>216</v>
      </c>
    </row>
    <row r="7813" spans="1:9" x14ac:dyDescent="0.25">
      <c r="A7813" s="67" t="s">
        <v>215</v>
      </c>
      <c r="B7813" s="67" t="s">
        <v>214</v>
      </c>
      <c r="C7813" s="67" t="s">
        <v>213</v>
      </c>
      <c r="D7813" s="67" t="s">
        <v>212</v>
      </c>
      <c r="E7813" s="67" t="s">
        <v>211</v>
      </c>
      <c r="F7813" s="67" t="s">
        <v>210</v>
      </c>
      <c r="G7813" s="67" t="s">
        <v>209</v>
      </c>
      <c r="H7813" s="67" t="s">
        <v>208</v>
      </c>
      <c r="I7813" s="67" t="s">
        <v>207</v>
      </c>
    </row>
    <row r="7814" spans="1:9" x14ac:dyDescent="0.25">
      <c r="A7814" s="67" t="s">
        <v>206</v>
      </c>
      <c r="B7814" s="67" t="s">
        <v>205</v>
      </c>
      <c r="C7814" s="67" t="s">
        <v>204</v>
      </c>
      <c r="D7814" s="67" t="s">
        <v>203</v>
      </c>
      <c r="E7814" s="67" t="s">
        <v>202</v>
      </c>
      <c r="F7814" s="67" t="s">
        <v>201</v>
      </c>
      <c r="G7814" s="67" t="s">
        <v>200</v>
      </c>
      <c r="H7814" s="67" t="s">
        <v>199</v>
      </c>
    </row>
    <row r="7815" spans="1:9" x14ac:dyDescent="0.25">
      <c r="A7815" s="67" t="s">
        <v>807</v>
      </c>
      <c r="B7815" s="67" t="s">
        <v>806</v>
      </c>
      <c r="C7815" s="67">
        <v>0</v>
      </c>
      <c r="D7815" s="67">
        <v>0</v>
      </c>
      <c r="E7815" s="67">
        <v>99900.551000000007</v>
      </c>
      <c r="F7815" s="67">
        <v>970</v>
      </c>
      <c r="H7815" s="68">
        <v>40758</v>
      </c>
      <c r="I7815" s="67" t="s">
        <v>148</v>
      </c>
    </row>
    <row r="7816" spans="1:9" x14ac:dyDescent="0.25">
      <c r="B7816" s="67" t="s">
        <v>806</v>
      </c>
      <c r="C7816" s="67">
        <v>0</v>
      </c>
      <c r="D7816" s="67">
        <v>0</v>
      </c>
      <c r="E7816" s="67">
        <v>99900.551000000007</v>
      </c>
      <c r="H7816" s="67" t="s">
        <v>146</v>
      </c>
    </row>
    <row r="7818" spans="1:9" x14ac:dyDescent="0.25">
      <c r="A7818" s="67" t="s">
        <v>805</v>
      </c>
      <c r="B7818" s="67" t="s">
        <v>804</v>
      </c>
      <c r="C7818" s="67">
        <v>0</v>
      </c>
      <c r="D7818" s="67">
        <v>0</v>
      </c>
      <c r="E7818" s="67">
        <v>99900.510999999999</v>
      </c>
      <c r="F7818" s="67">
        <v>970</v>
      </c>
      <c r="H7818" s="68">
        <v>40758</v>
      </c>
      <c r="I7818" s="67" t="s">
        <v>148</v>
      </c>
    </row>
    <row r="7819" spans="1:9" x14ac:dyDescent="0.25">
      <c r="B7819" s="67" t="s">
        <v>804</v>
      </c>
      <c r="C7819" s="67">
        <v>0</v>
      </c>
      <c r="D7819" s="67">
        <v>0</v>
      </c>
      <c r="E7819" s="67">
        <v>99900.551000000007</v>
      </c>
      <c r="H7819" s="67" t="s">
        <v>146</v>
      </c>
    </row>
    <row r="7821" spans="1:9" x14ac:dyDescent="0.25">
      <c r="A7821" s="67" t="s">
        <v>803</v>
      </c>
      <c r="B7821" s="67" t="s">
        <v>802</v>
      </c>
      <c r="C7821" s="67" t="s">
        <v>801</v>
      </c>
      <c r="D7821" s="67">
        <v>0</v>
      </c>
      <c r="E7821" s="67">
        <v>99900.511398999995</v>
      </c>
      <c r="F7821" s="67">
        <v>970</v>
      </c>
      <c r="H7821" s="68">
        <v>41369</v>
      </c>
      <c r="I7821" s="67" t="s">
        <v>148</v>
      </c>
    </row>
    <row r="7822" spans="1:9" x14ac:dyDescent="0.25">
      <c r="B7822" s="67" t="s">
        <v>800</v>
      </c>
      <c r="C7822" s="67">
        <v>0</v>
      </c>
      <c r="D7822" s="67">
        <v>0</v>
      </c>
      <c r="E7822" s="67">
        <v>99900.551399000004</v>
      </c>
      <c r="H7822" s="67" t="s">
        <v>146</v>
      </c>
    </row>
    <row r="7824" spans="1:9" x14ac:dyDescent="0.25">
      <c r="A7824" s="67" t="s">
        <v>799</v>
      </c>
      <c r="B7824" s="67" t="s">
        <v>798</v>
      </c>
      <c r="C7824" s="67" t="s">
        <v>258</v>
      </c>
      <c r="D7824" s="67">
        <v>0</v>
      </c>
      <c r="E7824" s="67">
        <v>99900.519809999998</v>
      </c>
      <c r="F7824" s="67">
        <v>970</v>
      </c>
      <c r="H7824" s="67" t="s">
        <v>146</v>
      </c>
      <c r="I7824" s="67" t="s">
        <v>148</v>
      </c>
    </row>
    <row r="7825" spans="1:9" x14ac:dyDescent="0.25">
      <c r="B7825" s="67" t="s">
        <v>797</v>
      </c>
      <c r="C7825" s="67">
        <v>0</v>
      </c>
      <c r="D7825" s="67">
        <v>0</v>
      </c>
      <c r="E7825" s="67">
        <v>99900.559810000006</v>
      </c>
      <c r="H7825" s="67" t="s">
        <v>146</v>
      </c>
    </row>
    <row r="7827" spans="1:9" x14ac:dyDescent="0.25">
      <c r="A7827" s="67" t="s">
        <v>796</v>
      </c>
      <c r="B7827" s="67" t="s">
        <v>795</v>
      </c>
      <c r="C7827" s="67" t="s">
        <v>772</v>
      </c>
      <c r="D7827" s="67">
        <v>0</v>
      </c>
      <c r="E7827" s="67">
        <v>99900.519811000006</v>
      </c>
      <c r="F7827" s="67">
        <v>970</v>
      </c>
      <c r="H7827" s="67" t="s">
        <v>146</v>
      </c>
      <c r="I7827" s="67" t="s">
        <v>148</v>
      </c>
    </row>
    <row r="7828" spans="1:9" x14ac:dyDescent="0.25">
      <c r="B7828" s="67" t="s">
        <v>794</v>
      </c>
      <c r="C7828" s="67">
        <v>0</v>
      </c>
      <c r="D7828" s="67">
        <v>0</v>
      </c>
      <c r="E7828" s="67">
        <v>99900.559810999999</v>
      </c>
      <c r="H7828" s="67" t="s">
        <v>146</v>
      </c>
    </row>
    <row r="7830" spans="1:9" x14ac:dyDescent="0.25">
      <c r="A7830" s="67" t="s">
        <v>793</v>
      </c>
      <c r="B7830" s="67" t="s">
        <v>792</v>
      </c>
      <c r="C7830" s="67">
        <v>0</v>
      </c>
      <c r="D7830" s="67">
        <v>0</v>
      </c>
      <c r="E7830" s="67">
        <v>99900.519811999999</v>
      </c>
      <c r="F7830" s="67">
        <v>970</v>
      </c>
      <c r="H7830" s="67" t="s">
        <v>146</v>
      </c>
      <c r="I7830" s="67" t="s">
        <v>148</v>
      </c>
    </row>
    <row r="7831" spans="1:9" x14ac:dyDescent="0.25">
      <c r="B7831" s="67" t="s">
        <v>791</v>
      </c>
      <c r="C7831" s="67">
        <v>0</v>
      </c>
      <c r="D7831" s="67">
        <v>0</v>
      </c>
      <c r="E7831" s="67">
        <v>99900.559812000007</v>
      </c>
      <c r="H7831" s="67" t="s">
        <v>146</v>
      </c>
    </row>
    <row r="7833" spans="1:9" x14ac:dyDescent="0.25">
      <c r="A7833" s="67" t="s">
        <v>790</v>
      </c>
      <c r="B7833" s="67" t="s">
        <v>789</v>
      </c>
      <c r="C7833" s="67">
        <v>0</v>
      </c>
      <c r="D7833" s="67">
        <v>0</v>
      </c>
      <c r="E7833" s="67">
        <v>99900.519813000006</v>
      </c>
      <c r="F7833" s="67">
        <v>970</v>
      </c>
      <c r="H7833" s="67" t="s">
        <v>146</v>
      </c>
      <c r="I7833" s="67" t="s">
        <v>148</v>
      </c>
    </row>
    <row r="7834" spans="1:9" x14ac:dyDescent="0.25">
      <c r="B7834" s="67" t="s">
        <v>788</v>
      </c>
      <c r="C7834" s="67">
        <v>0</v>
      </c>
      <c r="D7834" s="67">
        <v>0</v>
      </c>
      <c r="E7834" s="67">
        <v>99900.559813</v>
      </c>
      <c r="H7834" s="67" t="s">
        <v>146</v>
      </c>
    </row>
    <row r="7836" spans="1:9" x14ac:dyDescent="0.25">
      <c r="A7836" s="67" t="s">
        <v>787</v>
      </c>
      <c r="B7836" s="67" t="s">
        <v>786</v>
      </c>
      <c r="C7836" s="67">
        <v>0</v>
      </c>
      <c r="D7836" s="67">
        <v>0</v>
      </c>
      <c r="E7836" s="67">
        <v>99900.519813999999</v>
      </c>
      <c r="F7836" s="67">
        <v>970</v>
      </c>
      <c r="H7836" s="67" t="s">
        <v>146</v>
      </c>
      <c r="I7836" s="67" t="s">
        <v>148</v>
      </c>
    </row>
    <row r="7837" spans="1:9" x14ac:dyDescent="0.25">
      <c r="B7837" s="67" t="s">
        <v>785</v>
      </c>
      <c r="C7837" s="67">
        <v>0</v>
      </c>
      <c r="D7837" s="67">
        <v>0</v>
      </c>
      <c r="E7837" s="67">
        <v>99900.559813999993</v>
      </c>
      <c r="H7837" s="67" t="s">
        <v>146</v>
      </c>
    </row>
    <row r="7839" spans="1:9" x14ac:dyDescent="0.25">
      <c r="A7839" s="67" t="s">
        <v>784</v>
      </c>
      <c r="B7839" s="67" t="s">
        <v>783</v>
      </c>
      <c r="C7839" s="67" t="s">
        <v>759</v>
      </c>
      <c r="D7839" s="67">
        <v>0</v>
      </c>
      <c r="E7839" s="67">
        <v>99900.519815000007</v>
      </c>
      <c r="F7839" s="67">
        <v>970</v>
      </c>
      <c r="H7839" s="67" t="s">
        <v>146</v>
      </c>
      <c r="I7839" s="67" t="s">
        <v>148</v>
      </c>
    </row>
    <row r="7840" spans="1:9" x14ac:dyDescent="0.25">
      <c r="B7840" s="67" t="s">
        <v>782</v>
      </c>
      <c r="C7840" s="67">
        <v>0</v>
      </c>
      <c r="D7840" s="67">
        <v>0</v>
      </c>
      <c r="E7840" s="67">
        <v>99900.559815000001</v>
      </c>
      <c r="H7840" s="67" t="s">
        <v>146</v>
      </c>
    </row>
    <row r="7842" spans="1:9" x14ac:dyDescent="0.25">
      <c r="A7842" s="67" t="s">
        <v>781</v>
      </c>
      <c r="B7842" s="67" t="s">
        <v>780</v>
      </c>
      <c r="C7842" s="67" t="s">
        <v>779</v>
      </c>
      <c r="D7842" s="67">
        <v>0</v>
      </c>
      <c r="E7842" s="67">
        <v>99900.519908000002</v>
      </c>
      <c r="F7842" s="67">
        <v>970</v>
      </c>
      <c r="H7842" s="68">
        <v>44279</v>
      </c>
      <c r="I7842" s="67" t="s">
        <v>148</v>
      </c>
    </row>
    <row r="7843" spans="1:9" x14ac:dyDescent="0.25">
      <c r="B7843" s="67" t="s">
        <v>778</v>
      </c>
      <c r="C7843" s="67">
        <v>0</v>
      </c>
      <c r="D7843" s="67">
        <v>0</v>
      </c>
      <c r="E7843" s="67">
        <v>99900.559907999996</v>
      </c>
      <c r="H7843" s="67" t="s">
        <v>146</v>
      </c>
    </row>
    <row r="7845" spans="1:9" x14ac:dyDescent="0.25">
      <c r="A7845" s="67" t="s">
        <v>777</v>
      </c>
      <c r="B7845" s="67" t="s">
        <v>776</v>
      </c>
      <c r="C7845" s="67" t="s">
        <v>258</v>
      </c>
      <c r="D7845" s="67">
        <v>0</v>
      </c>
      <c r="E7845" s="67">
        <v>99900.519799999995</v>
      </c>
      <c r="F7845" s="67">
        <v>970</v>
      </c>
      <c r="H7845" s="67" t="s">
        <v>146</v>
      </c>
      <c r="I7845" s="67" t="s">
        <v>148</v>
      </c>
    </row>
    <row r="7846" spans="1:9" x14ac:dyDescent="0.25">
      <c r="B7846" s="67" t="s">
        <v>775</v>
      </c>
      <c r="C7846" s="67">
        <v>0</v>
      </c>
      <c r="D7846" s="67">
        <v>0</v>
      </c>
      <c r="E7846" s="67">
        <v>99900.559800000003</v>
      </c>
      <c r="H7846" s="67" t="s">
        <v>146</v>
      </c>
    </row>
    <row r="7848" spans="1:9" x14ac:dyDescent="0.25">
      <c r="A7848" s="67" t="s">
        <v>774</v>
      </c>
      <c r="B7848" s="67" t="s">
        <v>773</v>
      </c>
      <c r="C7848" s="67" t="s">
        <v>772</v>
      </c>
      <c r="D7848" s="67">
        <v>0</v>
      </c>
      <c r="E7848" s="67">
        <v>99900.519801000002</v>
      </c>
      <c r="F7848" s="67">
        <v>970</v>
      </c>
      <c r="H7848" s="67" t="s">
        <v>146</v>
      </c>
      <c r="I7848" s="67" t="s">
        <v>148</v>
      </c>
    </row>
    <row r="7849" spans="1:9" x14ac:dyDescent="0.25">
      <c r="B7849" s="67" t="s">
        <v>771</v>
      </c>
      <c r="C7849" s="67">
        <v>0</v>
      </c>
      <c r="D7849" s="67">
        <v>0</v>
      </c>
      <c r="E7849" s="67">
        <v>99900.559800999996</v>
      </c>
      <c r="H7849" s="67" t="s">
        <v>146</v>
      </c>
    </row>
    <row r="7851" spans="1:9" x14ac:dyDescent="0.25">
      <c r="A7851" s="67" t="s">
        <v>770</v>
      </c>
      <c r="B7851" s="67" t="s">
        <v>769</v>
      </c>
      <c r="C7851" s="67">
        <v>0</v>
      </c>
      <c r="D7851" s="67">
        <v>0</v>
      </c>
      <c r="E7851" s="67">
        <v>99900.519801999995</v>
      </c>
      <c r="F7851" s="67">
        <v>970</v>
      </c>
      <c r="H7851" s="67" t="s">
        <v>146</v>
      </c>
      <c r="I7851" s="67" t="s">
        <v>148</v>
      </c>
    </row>
    <row r="7852" spans="1:9" x14ac:dyDescent="0.25">
      <c r="B7852" s="67" t="s">
        <v>768</v>
      </c>
      <c r="C7852" s="67">
        <v>0</v>
      </c>
      <c r="D7852" s="67">
        <v>0</v>
      </c>
      <c r="E7852" s="67">
        <v>99900.559802000003</v>
      </c>
      <c r="H7852" s="67" t="s">
        <v>146</v>
      </c>
    </row>
    <row r="7854" spans="1:9" x14ac:dyDescent="0.25">
      <c r="A7854" s="67" t="s">
        <v>767</v>
      </c>
      <c r="B7854" s="67" t="s">
        <v>766</v>
      </c>
      <c r="C7854" s="67">
        <v>0</v>
      </c>
      <c r="D7854" s="67">
        <v>0</v>
      </c>
      <c r="E7854" s="67">
        <v>99900.519803000003</v>
      </c>
      <c r="F7854" s="67">
        <v>970</v>
      </c>
      <c r="H7854" s="67" t="s">
        <v>146</v>
      </c>
      <c r="I7854" s="67" t="s">
        <v>148</v>
      </c>
    </row>
    <row r="7855" spans="1:9" x14ac:dyDescent="0.25">
      <c r="B7855" s="67" t="s">
        <v>765</v>
      </c>
      <c r="C7855" s="67">
        <v>0</v>
      </c>
      <c r="D7855" s="67">
        <v>0</v>
      </c>
      <c r="E7855" s="67">
        <v>99900.559802999996</v>
      </c>
      <c r="H7855" s="67" t="s">
        <v>146</v>
      </c>
    </row>
    <row r="7857" spans="1:9" x14ac:dyDescent="0.25">
      <c r="A7857" s="67" t="s">
        <v>764</v>
      </c>
      <c r="B7857" s="67" t="s">
        <v>763</v>
      </c>
      <c r="C7857" s="67">
        <v>0</v>
      </c>
      <c r="D7857" s="67">
        <v>0</v>
      </c>
      <c r="E7857" s="67">
        <v>99900.519803999996</v>
      </c>
      <c r="F7857" s="67">
        <v>970</v>
      </c>
      <c r="H7857" s="67" t="s">
        <v>146</v>
      </c>
      <c r="I7857" s="67" t="s">
        <v>148</v>
      </c>
    </row>
    <row r="7858" spans="1:9" x14ac:dyDescent="0.25">
      <c r="B7858" s="67" t="s">
        <v>762</v>
      </c>
      <c r="C7858" s="67">
        <v>0</v>
      </c>
      <c r="D7858" s="67">
        <v>0</v>
      </c>
      <c r="E7858" s="67">
        <v>99900.559804000004</v>
      </c>
      <c r="H7858" s="67" t="s">
        <v>146</v>
      </c>
    </row>
    <row r="7860" spans="1:9" x14ac:dyDescent="0.25">
      <c r="A7860" s="67" t="s">
        <v>761</v>
      </c>
      <c r="B7860" s="67" t="s">
        <v>760</v>
      </c>
      <c r="C7860" s="67" t="s">
        <v>759</v>
      </c>
      <c r="D7860" s="67">
        <v>0</v>
      </c>
      <c r="E7860" s="67">
        <v>99900.519805000004</v>
      </c>
      <c r="F7860" s="67">
        <v>970</v>
      </c>
      <c r="H7860" s="67" t="s">
        <v>146</v>
      </c>
      <c r="I7860" s="67" t="s">
        <v>148</v>
      </c>
    </row>
    <row r="7861" spans="1:9" x14ac:dyDescent="0.25">
      <c r="B7861" s="67" t="s">
        <v>758</v>
      </c>
      <c r="C7861" s="67">
        <v>0</v>
      </c>
      <c r="D7861" s="67">
        <v>0</v>
      </c>
      <c r="E7861" s="67">
        <v>99900.559804999997</v>
      </c>
      <c r="H7861" s="67" t="s">
        <v>146</v>
      </c>
    </row>
    <row r="7863" spans="1:9" x14ac:dyDescent="0.25">
      <c r="A7863" s="67" t="s">
        <v>757</v>
      </c>
      <c r="B7863" s="67" t="s">
        <v>756</v>
      </c>
      <c r="C7863" s="67">
        <v>0</v>
      </c>
      <c r="D7863" s="67">
        <v>0</v>
      </c>
      <c r="E7863" s="67">
        <v>99900.510999000006</v>
      </c>
      <c r="F7863" s="67">
        <v>970</v>
      </c>
      <c r="H7863" s="68">
        <v>41382</v>
      </c>
      <c r="I7863" s="67" t="s">
        <v>148</v>
      </c>
    </row>
    <row r="7864" spans="1:9" x14ac:dyDescent="0.25">
      <c r="B7864" s="67" t="s">
        <v>756</v>
      </c>
      <c r="C7864" s="67">
        <v>0</v>
      </c>
      <c r="D7864" s="67">
        <v>0</v>
      </c>
      <c r="E7864" s="67">
        <v>99900.550998999999</v>
      </c>
      <c r="H7864" s="67" t="s">
        <v>146</v>
      </c>
    </row>
    <row r="7865" spans="1:9" x14ac:dyDescent="0.25">
      <c r="A7865" s="67" t="s">
        <v>233</v>
      </c>
    </row>
    <row r="7867" spans="1:9" x14ac:dyDescent="0.25">
      <c r="A7867" s="67" t="s">
        <v>232</v>
      </c>
      <c r="D7867" s="67" t="s">
        <v>231</v>
      </c>
      <c r="H7867" s="67" t="s">
        <v>148</v>
      </c>
      <c r="I7867" s="67" t="s">
        <v>230</v>
      </c>
    </row>
    <row r="7868" spans="1:9" x14ac:dyDescent="0.25">
      <c r="A7868" s="67">
        <v>41.1</v>
      </c>
      <c r="C7868" s="67" t="s">
        <v>215</v>
      </c>
      <c r="D7868" s="67" t="s">
        <v>229</v>
      </c>
      <c r="H7868" s="70">
        <v>44771</v>
      </c>
      <c r="I7868" s="69">
        <v>0.56736111111111109</v>
      </c>
    </row>
    <row r="7869" spans="1:9" x14ac:dyDescent="0.25">
      <c r="A7869" s="67" t="s">
        <v>228</v>
      </c>
      <c r="C7869" s="67" t="s">
        <v>227</v>
      </c>
      <c r="D7869" s="67" t="s">
        <v>226</v>
      </c>
      <c r="E7869" s="67">
        <v>589</v>
      </c>
      <c r="H7869" s="67" t="s">
        <v>225</v>
      </c>
      <c r="I7869" s="67">
        <v>140</v>
      </c>
    </row>
    <row r="7870" spans="1:9" x14ac:dyDescent="0.25">
      <c r="A7870" s="67" t="s">
        <v>615</v>
      </c>
      <c r="B7870" s="67" t="s">
        <v>614</v>
      </c>
    </row>
    <row r="7871" spans="1:9" x14ac:dyDescent="0.25">
      <c r="A7871" s="67" t="s">
        <v>223</v>
      </c>
      <c r="B7871" s="67" t="s">
        <v>222</v>
      </c>
      <c r="C7871" s="67" t="s">
        <v>221</v>
      </c>
      <c r="D7871" s="67" t="s">
        <v>220</v>
      </c>
      <c r="E7871" s="67" t="s">
        <v>219</v>
      </c>
      <c r="F7871" s="67" t="s">
        <v>217</v>
      </c>
      <c r="G7871" s="67" t="s">
        <v>218</v>
      </c>
      <c r="H7871" s="67" t="s">
        <v>217</v>
      </c>
      <c r="I7871" s="67" t="s">
        <v>216</v>
      </c>
    </row>
    <row r="7872" spans="1:9" x14ac:dyDescent="0.25">
      <c r="A7872" s="67" t="s">
        <v>215</v>
      </c>
      <c r="B7872" s="67" t="s">
        <v>214</v>
      </c>
      <c r="C7872" s="67" t="s">
        <v>213</v>
      </c>
      <c r="D7872" s="67" t="s">
        <v>212</v>
      </c>
      <c r="E7872" s="67" t="s">
        <v>211</v>
      </c>
      <c r="F7872" s="67" t="s">
        <v>210</v>
      </c>
      <c r="G7872" s="67" t="s">
        <v>209</v>
      </c>
      <c r="H7872" s="67" t="s">
        <v>208</v>
      </c>
      <c r="I7872" s="67" t="s">
        <v>207</v>
      </c>
    </row>
    <row r="7873" spans="1:9" x14ac:dyDescent="0.25">
      <c r="A7873" s="67" t="s">
        <v>206</v>
      </c>
      <c r="B7873" s="67" t="s">
        <v>205</v>
      </c>
      <c r="C7873" s="67" t="s">
        <v>204</v>
      </c>
      <c r="D7873" s="67" t="s">
        <v>203</v>
      </c>
      <c r="E7873" s="67" t="s">
        <v>202</v>
      </c>
      <c r="F7873" s="67" t="s">
        <v>201</v>
      </c>
      <c r="G7873" s="67" t="s">
        <v>200</v>
      </c>
      <c r="H7873" s="67" t="s">
        <v>199</v>
      </c>
    </row>
    <row r="7874" spans="1:9" x14ac:dyDescent="0.25">
      <c r="A7874" s="67" t="s">
        <v>755</v>
      </c>
      <c r="B7874" s="67" t="s">
        <v>754</v>
      </c>
      <c r="C7874" s="67">
        <v>0</v>
      </c>
      <c r="D7874" s="67">
        <v>0</v>
      </c>
      <c r="E7874" s="67">
        <v>99900.513000999999</v>
      </c>
      <c r="H7874" s="68">
        <v>40758</v>
      </c>
      <c r="I7874" s="67" t="s">
        <v>148</v>
      </c>
    </row>
    <row r="7875" spans="1:9" x14ac:dyDescent="0.25">
      <c r="B7875" s="67" t="s">
        <v>754</v>
      </c>
      <c r="C7875" s="67">
        <v>0</v>
      </c>
      <c r="D7875" s="67">
        <v>0</v>
      </c>
      <c r="E7875" s="67">
        <v>99900.553000999993</v>
      </c>
      <c r="H7875" s="67" t="s">
        <v>146</v>
      </c>
    </row>
    <row r="7877" spans="1:9" x14ac:dyDescent="0.25">
      <c r="A7877" s="67" t="s">
        <v>753</v>
      </c>
      <c r="B7877" s="67" t="s">
        <v>752</v>
      </c>
      <c r="C7877" s="67">
        <v>0</v>
      </c>
      <c r="D7877" s="67">
        <v>0</v>
      </c>
      <c r="E7877" s="67">
        <v>99900.513000999999</v>
      </c>
      <c r="F7877" s="67">
        <v>970</v>
      </c>
      <c r="H7877" s="68">
        <v>44397</v>
      </c>
      <c r="I7877" s="67" t="s">
        <v>148</v>
      </c>
    </row>
    <row r="7878" spans="1:9" x14ac:dyDescent="0.25">
      <c r="B7878" s="67" t="s">
        <v>752</v>
      </c>
      <c r="C7878" s="67">
        <v>0</v>
      </c>
      <c r="D7878" s="67">
        <v>0</v>
      </c>
      <c r="E7878" s="67">
        <v>99900.553000999993</v>
      </c>
      <c r="H7878" s="67" t="s">
        <v>146</v>
      </c>
    </row>
    <row r="7880" spans="1:9" x14ac:dyDescent="0.25">
      <c r="A7880" s="67" t="s">
        <v>751</v>
      </c>
      <c r="B7880" s="67" t="s">
        <v>750</v>
      </c>
      <c r="C7880" s="67">
        <v>0</v>
      </c>
      <c r="D7880" s="67">
        <v>0</v>
      </c>
      <c r="E7880" s="67">
        <v>20000.200142999998</v>
      </c>
      <c r="F7880" s="67">
        <v>970</v>
      </c>
      <c r="H7880" s="68">
        <v>42789</v>
      </c>
      <c r="I7880" s="67" t="s">
        <v>148</v>
      </c>
    </row>
    <row r="7881" spans="1:9" x14ac:dyDescent="0.25">
      <c r="B7881" s="67" t="s">
        <v>750</v>
      </c>
      <c r="C7881" s="67">
        <v>0</v>
      </c>
      <c r="D7881" s="67">
        <v>0</v>
      </c>
      <c r="E7881" s="67">
        <v>20000.200142999998</v>
      </c>
      <c r="H7881" s="67" t="s">
        <v>146</v>
      </c>
    </row>
    <row r="7883" spans="1:9" x14ac:dyDescent="0.25">
      <c r="A7883" s="67" t="s">
        <v>749</v>
      </c>
      <c r="B7883" s="67" t="s">
        <v>726</v>
      </c>
      <c r="C7883" s="67">
        <v>0</v>
      </c>
      <c r="D7883" s="67">
        <v>0</v>
      </c>
      <c r="E7883" s="67">
        <v>99900.518800000005</v>
      </c>
      <c r="F7883" s="67">
        <v>970</v>
      </c>
      <c r="H7883" s="68">
        <v>40777</v>
      </c>
      <c r="I7883" s="67" t="s">
        <v>148</v>
      </c>
    </row>
    <row r="7884" spans="1:9" x14ac:dyDescent="0.25">
      <c r="B7884" s="67" t="s">
        <v>726</v>
      </c>
      <c r="C7884" s="67">
        <v>0</v>
      </c>
      <c r="D7884" s="67">
        <v>0</v>
      </c>
      <c r="E7884" s="67">
        <v>99900.558799999999</v>
      </c>
      <c r="H7884" s="67" t="s">
        <v>146</v>
      </c>
    </row>
    <row r="7886" spans="1:9" x14ac:dyDescent="0.25">
      <c r="A7886" s="67" t="s">
        <v>748</v>
      </c>
      <c r="B7886" s="67" t="s">
        <v>730</v>
      </c>
      <c r="C7886" s="67">
        <v>0</v>
      </c>
      <c r="D7886" s="67">
        <v>0</v>
      </c>
      <c r="E7886" s="67">
        <v>99900.518970999998</v>
      </c>
      <c r="F7886" s="67">
        <v>970</v>
      </c>
      <c r="H7886" s="68">
        <v>40758</v>
      </c>
      <c r="I7886" s="67" t="s">
        <v>148</v>
      </c>
    </row>
    <row r="7887" spans="1:9" x14ac:dyDescent="0.25">
      <c r="B7887" s="67" t="s">
        <v>730</v>
      </c>
      <c r="C7887" s="67">
        <v>0</v>
      </c>
      <c r="D7887" s="67">
        <v>0</v>
      </c>
      <c r="E7887" s="67">
        <v>99900.558971000006</v>
      </c>
      <c r="H7887" s="67" t="s">
        <v>146</v>
      </c>
    </row>
    <row r="7889" spans="1:9" x14ac:dyDescent="0.25">
      <c r="A7889" s="67" t="s">
        <v>747</v>
      </c>
      <c r="B7889" s="67" t="s">
        <v>746</v>
      </c>
      <c r="C7889" s="67">
        <v>0</v>
      </c>
      <c r="D7889" s="67">
        <v>0</v>
      </c>
      <c r="E7889" s="67">
        <v>99900.518739000006</v>
      </c>
      <c r="F7889" s="67">
        <v>970</v>
      </c>
      <c r="H7889" s="68">
        <v>41571</v>
      </c>
      <c r="I7889" s="67" t="s">
        <v>148</v>
      </c>
    </row>
    <row r="7890" spans="1:9" x14ac:dyDescent="0.25">
      <c r="B7890" s="67" t="s">
        <v>746</v>
      </c>
      <c r="C7890" s="67">
        <v>0</v>
      </c>
      <c r="D7890" s="67">
        <v>0</v>
      </c>
      <c r="E7890" s="67">
        <v>99900.558739</v>
      </c>
      <c r="H7890" s="67" t="s">
        <v>146</v>
      </c>
    </row>
    <row r="7892" spans="1:9" x14ac:dyDescent="0.25">
      <c r="A7892" s="67" t="s">
        <v>745</v>
      </c>
      <c r="B7892" s="67" t="s">
        <v>724</v>
      </c>
      <c r="C7892" s="67">
        <v>0</v>
      </c>
      <c r="D7892" s="67">
        <v>0</v>
      </c>
      <c r="E7892" s="67">
        <v>99900.518800000005</v>
      </c>
      <c r="F7892" s="67">
        <v>970</v>
      </c>
      <c r="H7892" s="68">
        <v>41571</v>
      </c>
      <c r="I7892" s="67" t="s">
        <v>148</v>
      </c>
    </row>
    <row r="7893" spans="1:9" x14ac:dyDescent="0.25">
      <c r="B7893" s="67" t="s">
        <v>723</v>
      </c>
      <c r="C7893" s="67">
        <v>0</v>
      </c>
      <c r="D7893" s="67">
        <v>0</v>
      </c>
      <c r="E7893" s="67">
        <v>99900.558799999999</v>
      </c>
      <c r="H7893" s="67" t="s">
        <v>146</v>
      </c>
    </row>
    <row r="7895" spans="1:9" x14ac:dyDescent="0.25">
      <c r="A7895" s="67" t="s">
        <v>744</v>
      </c>
      <c r="B7895" s="67" t="s">
        <v>743</v>
      </c>
      <c r="C7895" s="67">
        <v>0</v>
      </c>
      <c r="D7895" s="67">
        <v>0</v>
      </c>
      <c r="E7895" s="67">
        <v>99900.518800000005</v>
      </c>
      <c r="F7895" s="67">
        <v>970</v>
      </c>
      <c r="H7895" s="68">
        <v>41571</v>
      </c>
      <c r="I7895" s="67" t="s">
        <v>148</v>
      </c>
    </row>
    <row r="7896" spans="1:9" x14ac:dyDescent="0.25">
      <c r="B7896" s="67" t="s">
        <v>743</v>
      </c>
      <c r="C7896" s="67">
        <v>0</v>
      </c>
      <c r="D7896" s="67">
        <v>0</v>
      </c>
      <c r="E7896" s="67">
        <v>99900.558799999999</v>
      </c>
      <c r="H7896" s="67" t="s">
        <v>146</v>
      </c>
    </row>
    <row r="7898" spans="1:9" x14ac:dyDescent="0.25">
      <c r="A7898" s="67" t="s">
        <v>742</v>
      </c>
      <c r="B7898" s="67" t="s">
        <v>741</v>
      </c>
      <c r="C7898" s="67">
        <v>0</v>
      </c>
      <c r="D7898" s="67">
        <v>0</v>
      </c>
      <c r="E7898" s="67">
        <v>99900.518800000005</v>
      </c>
      <c r="F7898" s="67">
        <v>970</v>
      </c>
      <c r="H7898" s="68">
        <v>41571</v>
      </c>
      <c r="I7898" s="67" t="s">
        <v>148</v>
      </c>
    </row>
    <row r="7899" spans="1:9" x14ac:dyDescent="0.25">
      <c r="B7899" s="67" t="s">
        <v>741</v>
      </c>
      <c r="C7899" s="67">
        <v>0</v>
      </c>
      <c r="D7899" s="67">
        <v>0</v>
      </c>
      <c r="E7899" s="67">
        <v>99005.558799999999</v>
      </c>
      <c r="H7899" s="67" t="s">
        <v>146</v>
      </c>
    </row>
    <row r="7901" spans="1:9" x14ac:dyDescent="0.25">
      <c r="A7901" s="67" t="s">
        <v>740</v>
      </c>
      <c r="B7901" s="67" t="s">
        <v>739</v>
      </c>
      <c r="C7901" s="67">
        <v>0</v>
      </c>
      <c r="D7901" s="67">
        <v>0</v>
      </c>
      <c r="E7901" s="67">
        <v>99900.518800000005</v>
      </c>
      <c r="F7901" s="67">
        <v>970</v>
      </c>
      <c r="H7901" s="68">
        <v>41571</v>
      </c>
      <c r="I7901" s="67" t="s">
        <v>148</v>
      </c>
    </row>
    <row r="7902" spans="1:9" x14ac:dyDescent="0.25">
      <c r="B7902" s="67" t="s">
        <v>739</v>
      </c>
      <c r="C7902" s="67">
        <v>0</v>
      </c>
      <c r="D7902" s="67">
        <v>0</v>
      </c>
      <c r="E7902" s="67">
        <v>99900.558799999999</v>
      </c>
      <c r="H7902" s="67" t="s">
        <v>146</v>
      </c>
    </row>
    <row r="7904" spans="1:9" x14ac:dyDescent="0.25">
      <c r="A7904" s="67" t="s">
        <v>738</v>
      </c>
      <c r="B7904" s="67" t="s">
        <v>726</v>
      </c>
      <c r="C7904" s="67">
        <v>0</v>
      </c>
      <c r="D7904" s="67">
        <v>0</v>
      </c>
      <c r="E7904" s="67">
        <v>99900.518800000005</v>
      </c>
      <c r="F7904" s="67">
        <v>970</v>
      </c>
      <c r="H7904" s="68">
        <v>41571</v>
      </c>
      <c r="I7904" s="67" t="s">
        <v>148</v>
      </c>
    </row>
    <row r="7905" spans="1:9" x14ac:dyDescent="0.25">
      <c r="B7905" s="67" t="s">
        <v>726</v>
      </c>
      <c r="C7905" s="67">
        <v>0</v>
      </c>
      <c r="D7905" s="67">
        <v>0</v>
      </c>
      <c r="E7905" s="67">
        <v>99900.578800000003</v>
      </c>
      <c r="H7905" s="67" t="s">
        <v>146</v>
      </c>
    </row>
    <row r="7907" spans="1:9" x14ac:dyDescent="0.25">
      <c r="A7907" s="67" t="s">
        <v>737</v>
      </c>
      <c r="B7907" s="67" t="s">
        <v>736</v>
      </c>
      <c r="C7907" s="67">
        <v>0</v>
      </c>
      <c r="D7907" s="67">
        <v>0</v>
      </c>
      <c r="E7907" s="67">
        <v>99900.518800000005</v>
      </c>
      <c r="F7907" s="67">
        <v>970</v>
      </c>
      <c r="H7907" s="68">
        <v>41571</v>
      </c>
      <c r="I7907" s="67" t="s">
        <v>148</v>
      </c>
    </row>
    <row r="7908" spans="1:9" x14ac:dyDescent="0.25">
      <c r="B7908" s="67" t="s">
        <v>735</v>
      </c>
      <c r="C7908" s="67">
        <v>0</v>
      </c>
      <c r="D7908" s="67">
        <v>0</v>
      </c>
      <c r="E7908" s="67">
        <v>99900.558799999999</v>
      </c>
      <c r="H7908" s="67" t="s">
        <v>146</v>
      </c>
    </row>
    <row r="7910" spans="1:9" x14ac:dyDescent="0.25">
      <c r="A7910" s="67" t="s">
        <v>734</v>
      </c>
      <c r="B7910" s="67" t="s">
        <v>733</v>
      </c>
      <c r="C7910" s="67">
        <v>0</v>
      </c>
      <c r="D7910" s="67">
        <v>0</v>
      </c>
      <c r="E7910" s="67">
        <v>99900.518800000005</v>
      </c>
      <c r="F7910" s="67">
        <v>970</v>
      </c>
      <c r="H7910" s="68">
        <v>41571</v>
      </c>
      <c r="I7910" s="67" t="s">
        <v>148</v>
      </c>
    </row>
    <row r="7911" spans="1:9" x14ac:dyDescent="0.25">
      <c r="B7911" s="67" t="s">
        <v>732</v>
      </c>
      <c r="C7911" s="67">
        <v>0</v>
      </c>
      <c r="D7911" s="67">
        <v>0</v>
      </c>
      <c r="E7911" s="67">
        <v>99900.558799999999</v>
      </c>
      <c r="H7911" s="67" t="s">
        <v>146</v>
      </c>
    </row>
    <row r="7913" spans="1:9" x14ac:dyDescent="0.25">
      <c r="A7913" s="67" t="s">
        <v>731</v>
      </c>
      <c r="B7913" s="67" t="s">
        <v>730</v>
      </c>
      <c r="C7913" s="67">
        <v>0</v>
      </c>
      <c r="D7913" s="67">
        <v>0</v>
      </c>
      <c r="E7913" s="67">
        <v>99900.518970999998</v>
      </c>
      <c r="F7913" s="67">
        <v>970</v>
      </c>
      <c r="H7913" s="68">
        <v>44319</v>
      </c>
      <c r="I7913" s="67" t="s">
        <v>148</v>
      </c>
    </row>
    <row r="7914" spans="1:9" x14ac:dyDescent="0.25">
      <c r="B7914" s="67" t="s">
        <v>730</v>
      </c>
      <c r="C7914" s="67">
        <v>0</v>
      </c>
      <c r="D7914" s="67">
        <v>0</v>
      </c>
      <c r="E7914" s="67">
        <v>99900.558971000006</v>
      </c>
      <c r="H7914" s="67" t="s">
        <v>146</v>
      </c>
    </row>
    <row r="7916" spans="1:9" x14ac:dyDescent="0.25">
      <c r="A7916" s="67" t="s">
        <v>729</v>
      </c>
      <c r="B7916" s="67" t="s">
        <v>728</v>
      </c>
      <c r="C7916" s="67">
        <v>0</v>
      </c>
      <c r="D7916" s="67">
        <v>0</v>
      </c>
      <c r="E7916" s="67">
        <v>99900.518970999998</v>
      </c>
      <c r="F7916" s="67">
        <v>990</v>
      </c>
      <c r="H7916" s="68">
        <v>44760</v>
      </c>
      <c r="I7916" s="67" t="s">
        <v>148</v>
      </c>
    </row>
    <row r="7917" spans="1:9" x14ac:dyDescent="0.25">
      <c r="B7917" s="67" t="s">
        <v>728</v>
      </c>
      <c r="C7917" s="67">
        <v>0</v>
      </c>
      <c r="D7917" s="67">
        <v>0</v>
      </c>
      <c r="E7917" s="67">
        <v>99900.558971000006</v>
      </c>
      <c r="H7917" s="67" t="s">
        <v>146</v>
      </c>
    </row>
    <row r="7919" spans="1:9" x14ac:dyDescent="0.25">
      <c r="A7919" s="67" t="s">
        <v>727</v>
      </c>
      <c r="B7919" s="67" t="s">
        <v>726</v>
      </c>
      <c r="C7919" s="67">
        <v>0</v>
      </c>
      <c r="D7919" s="67">
        <v>0</v>
      </c>
      <c r="E7919" s="67">
        <v>99900.518800000005</v>
      </c>
      <c r="F7919" s="67">
        <v>970</v>
      </c>
      <c r="H7919" s="68">
        <v>43110</v>
      </c>
      <c r="I7919" s="67" t="s">
        <v>148</v>
      </c>
    </row>
    <row r="7920" spans="1:9" x14ac:dyDescent="0.25">
      <c r="B7920" s="67" t="s">
        <v>726</v>
      </c>
      <c r="C7920" s="67">
        <v>0</v>
      </c>
      <c r="D7920" s="67">
        <v>0</v>
      </c>
      <c r="E7920" s="67">
        <v>99900.558799999999</v>
      </c>
      <c r="H7920" s="67" t="s">
        <v>146</v>
      </c>
    </row>
    <row r="7922" spans="1:9" x14ac:dyDescent="0.25">
      <c r="A7922" s="67" t="s">
        <v>725</v>
      </c>
      <c r="B7922" s="67" t="s">
        <v>724</v>
      </c>
      <c r="C7922" s="67">
        <v>0</v>
      </c>
      <c r="D7922" s="67">
        <v>0</v>
      </c>
      <c r="E7922" s="67">
        <v>99900.518800000005</v>
      </c>
      <c r="F7922" s="67">
        <v>970</v>
      </c>
      <c r="H7922" s="68">
        <v>43110</v>
      </c>
      <c r="I7922" s="67" t="s">
        <v>148</v>
      </c>
    </row>
    <row r="7923" spans="1:9" x14ac:dyDescent="0.25">
      <c r="B7923" s="67" t="s">
        <v>723</v>
      </c>
      <c r="C7923" s="67">
        <v>0</v>
      </c>
      <c r="D7923" s="67">
        <v>0</v>
      </c>
      <c r="E7923" s="67">
        <v>99900.558799999999</v>
      </c>
      <c r="H7923" s="67" t="s">
        <v>146</v>
      </c>
    </row>
    <row r="7924" spans="1:9" x14ac:dyDescent="0.25">
      <c r="A7924" s="67" t="s">
        <v>233</v>
      </c>
    </row>
    <row r="7926" spans="1:9" x14ac:dyDescent="0.25">
      <c r="A7926" s="67" t="s">
        <v>232</v>
      </c>
      <c r="D7926" s="67" t="s">
        <v>231</v>
      </c>
      <c r="H7926" s="67" t="s">
        <v>148</v>
      </c>
      <c r="I7926" s="67" t="s">
        <v>230</v>
      </c>
    </row>
    <row r="7927" spans="1:9" x14ac:dyDescent="0.25">
      <c r="A7927" s="67">
        <v>41.1</v>
      </c>
      <c r="C7927" s="67" t="s">
        <v>215</v>
      </c>
      <c r="D7927" s="67" t="s">
        <v>229</v>
      </c>
      <c r="H7927" s="70">
        <v>44771</v>
      </c>
      <c r="I7927" s="69">
        <v>0.56736111111111109</v>
      </c>
    </row>
    <row r="7928" spans="1:9" x14ac:dyDescent="0.25">
      <c r="A7928" s="67" t="s">
        <v>228</v>
      </c>
      <c r="C7928" s="67" t="s">
        <v>227</v>
      </c>
      <c r="D7928" s="67" t="s">
        <v>226</v>
      </c>
      <c r="E7928" s="67">
        <v>589</v>
      </c>
      <c r="H7928" s="67" t="s">
        <v>225</v>
      </c>
      <c r="I7928" s="67">
        <v>141</v>
      </c>
    </row>
    <row r="7929" spans="1:9" x14ac:dyDescent="0.25">
      <c r="A7929" s="67" t="s">
        <v>615</v>
      </c>
      <c r="B7929" s="67" t="s">
        <v>614</v>
      </c>
    </row>
    <row r="7930" spans="1:9" x14ac:dyDescent="0.25">
      <c r="A7930" s="67" t="s">
        <v>223</v>
      </c>
      <c r="B7930" s="67" t="s">
        <v>222</v>
      </c>
      <c r="C7930" s="67" t="s">
        <v>221</v>
      </c>
      <c r="D7930" s="67" t="s">
        <v>220</v>
      </c>
      <c r="E7930" s="67" t="s">
        <v>219</v>
      </c>
      <c r="F7930" s="67" t="s">
        <v>217</v>
      </c>
      <c r="G7930" s="67" t="s">
        <v>218</v>
      </c>
      <c r="H7930" s="67" t="s">
        <v>217</v>
      </c>
      <c r="I7930" s="67" t="s">
        <v>216</v>
      </c>
    </row>
    <row r="7931" spans="1:9" x14ac:dyDescent="0.25">
      <c r="A7931" s="67" t="s">
        <v>215</v>
      </c>
      <c r="B7931" s="67" t="s">
        <v>214</v>
      </c>
      <c r="C7931" s="67" t="s">
        <v>213</v>
      </c>
      <c r="D7931" s="67" t="s">
        <v>212</v>
      </c>
      <c r="E7931" s="67" t="s">
        <v>211</v>
      </c>
      <c r="F7931" s="67" t="s">
        <v>210</v>
      </c>
      <c r="G7931" s="67" t="s">
        <v>209</v>
      </c>
      <c r="H7931" s="67" t="s">
        <v>208</v>
      </c>
      <c r="I7931" s="67" t="s">
        <v>207</v>
      </c>
    </row>
    <row r="7932" spans="1:9" x14ac:dyDescent="0.25">
      <c r="A7932" s="67" t="s">
        <v>206</v>
      </c>
      <c r="B7932" s="67" t="s">
        <v>205</v>
      </c>
      <c r="C7932" s="67" t="s">
        <v>204</v>
      </c>
      <c r="D7932" s="67" t="s">
        <v>203</v>
      </c>
      <c r="E7932" s="67" t="s">
        <v>202</v>
      </c>
      <c r="F7932" s="67" t="s">
        <v>201</v>
      </c>
      <c r="G7932" s="67" t="s">
        <v>200</v>
      </c>
      <c r="H7932" s="67" t="s">
        <v>199</v>
      </c>
    </row>
    <row r="7933" spans="1:9" x14ac:dyDescent="0.25">
      <c r="A7933" s="67" t="s">
        <v>722</v>
      </c>
      <c r="B7933" s="67" t="s">
        <v>721</v>
      </c>
      <c r="C7933" s="67">
        <v>0</v>
      </c>
      <c r="D7933" s="67">
        <v>0</v>
      </c>
      <c r="E7933" s="67">
        <v>99900.517078999997</v>
      </c>
      <c r="F7933" s="67">
        <v>970</v>
      </c>
      <c r="H7933" s="68">
        <v>40758</v>
      </c>
      <c r="I7933" s="67" t="s">
        <v>148</v>
      </c>
    </row>
    <row r="7934" spans="1:9" x14ac:dyDescent="0.25">
      <c r="B7934" s="67" t="s">
        <v>721</v>
      </c>
      <c r="C7934" s="67">
        <v>0</v>
      </c>
      <c r="D7934" s="67">
        <v>0</v>
      </c>
      <c r="E7934" s="67">
        <v>99900.557079000006</v>
      </c>
      <c r="H7934" s="67" t="s">
        <v>146</v>
      </c>
    </row>
    <row r="7936" spans="1:9" x14ac:dyDescent="0.25">
      <c r="A7936" s="67" t="s">
        <v>720</v>
      </c>
      <c r="B7936" s="67" t="s">
        <v>719</v>
      </c>
      <c r="C7936" s="67">
        <v>0</v>
      </c>
      <c r="D7936" s="67">
        <v>0</v>
      </c>
      <c r="E7936" s="67">
        <v>99900.515029000002</v>
      </c>
      <c r="F7936" s="67">
        <v>970</v>
      </c>
      <c r="H7936" s="68">
        <v>40758</v>
      </c>
      <c r="I7936" s="67" t="s">
        <v>148</v>
      </c>
    </row>
    <row r="7937" spans="1:9" x14ac:dyDescent="0.25">
      <c r="B7937" s="67" t="s">
        <v>719</v>
      </c>
      <c r="C7937" s="67">
        <v>0</v>
      </c>
      <c r="D7937" s="67">
        <v>0</v>
      </c>
      <c r="E7937" s="67">
        <v>99900.555028999996</v>
      </c>
      <c r="H7937" s="67" t="s">
        <v>146</v>
      </c>
    </row>
    <row r="7939" spans="1:9" x14ac:dyDescent="0.25">
      <c r="A7939" s="67" t="s">
        <v>718</v>
      </c>
      <c r="B7939" s="67" t="s">
        <v>717</v>
      </c>
      <c r="C7939" s="67">
        <v>0</v>
      </c>
      <c r="D7939" s="67">
        <v>0</v>
      </c>
      <c r="E7939" s="67">
        <v>99900.515274000005</v>
      </c>
      <c r="F7939" s="67">
        <v>970</v>
      </c>
      <c r="H7939" s="68">
        <v>40761</v>
      </c>
      <c r="I7939" s="67" t="s">
        <v>148</v>
      </c>
    </row>
    <row r="7940" spans="1:9" x14ac:dyDescent="0.25">
      <c r="B7940" s="67" t="s">
        <v>717</v>
      </c>
      <c r="C7940" s="67">
        <v>0</v>
      </c>
      <c r="D7940" s="67">
        <v>0</v>
      </c>
      <c r="E7940" s="67">
        <v>99900.555273999998</v>
      </c>
      <c r="H7940" s="67" t="s">
        <v>146</v>
      </c>
    </row>
    <row r="7942" spans="1:9" x14ac:dyDescent="0.25">
      <c r="A7942" s="67" t="s">
        <v>716</v>
      </c>
      <c r="B7942" s="67" t="s">
        <v>715</v>
      </c>
      <c r="C7942" s="67">
        <v>0</v>
      </c>
      <c r="D7942" s="67">
        <v>0</v>
      </c>
      <c r="E7942" s="67">
        <v>99900.51715</v>
      </c>
      <c r="F7942" s="67">
        <v>970</v>
      </c>
      <c r="H7942" s="68">
        <v>41289</v>
      </c>
      <c r="I7942" s="67" t="s">
        <v>148</v>
      </c>
    </row>
    <row r="7943" spans="1:9" x14ac:dyDescent="0.25">
      <c r="B7943" s="67" t="s">
        <v>715</v>
      </c>
      <c r="C7943" s="67">
        <v>0</v>
      </c>
      <c r="D7943" s="67">
        <v>0</v>
      </c>
      <c r="E7943" s="67">
        <v>99900.557149999993</v>
      </c>
      <c r="H7943" s="67" t="s">
        <v>146</v>
      </c>
    </row>
    <row r="7945" spans="1:9" x14ac:dyDescent="0.25">
      <c r="A7945" s="67" t="s">
        <v>714</v>
      </c>
      <c r="B7945" s="67" t="s">
        <v>713</v>
      </c>
      <c r="C7945" s="67">
        <v>0</v>
      </c>
      <c r="D7945" s="67">
        <v>0</v>
      </c>
      <c r="E7945" s="67">
        <v>99900.516149000003</v>
      </c>
      <c r="F7945" s="67">
        <v>970</v>
      </c>
      <c r="H7945" s="68">
        <v>40758</v>
      </c>
      <c r="I7945" s="67" t="s">
        <v>148</v>
      </c>
    </row>
    <row r="7946" spans="1:9" x14ac:dyDescent="0.25">
      <c r="B7946" s="67" t="s">
        <v>713</v>
      </c>
      <c r="C7946" s="67">
        <v>0</v>
      </c>
      <c r="D7946" s="67">
        <v>0</v>
      </c>
      <c r="E7946" s="67">
        <v>99900.556148999996</v>
      </c>
      <c r="H7946" s="67" t="s">
        <v>146</v>
      </c>
    </row>
    <row r="7948" spans="1:9" x14ac:dyDescent="0.25">
      <c r="A7948" s="67" t="s">
        <v>712</v>
      </c>
      <c r="B7948" s="67" t="s">
        <v>711</v>
      </c>
      <c r="C7948" s="67">
        <v>0</v>
      </c>
      <c r="D7948" s="67">
        <v>0</v>
      </c>
      <c r="E7948" s="67">
        <v>99900.516650999998</v>
      </c>
      <c r="F7948" s="67">
        <v>970</v>
      </c>
      <c r="H7948" s="68">
        <v>40758</v>
      </c>
      <c r="I7948" s="67" t="s">
        <v>148</v>
      </c>
    </row>
    <row r="7949" spans="1:9" x14ac:dyDescent="0.25">
      <c r="B7949" s="67" t="s">
        <v>711</v>
      </c>
      <c r="C7949" s="67">
        <v>0</v>
      </c>
      <c r="D7949" s="67">
        <v>0</v>
      </c>
      <c r="E7949" s="67">
        <v>99900.556651000006</v>
      </c>
      <c r="H7949" s="67" t="s">
        <v>146</v>
      </c>
    </row>
    <row r="7951" spans="1:9" x14ac:dyDescent="0.25">
      <c r="A7951" s="67" t="s">
        <v>710</v>
      </c>
      <c r="B7951" s="67" t="s">
        <v>709</v>
      </c>
      <c r="C7951" s="67">
        <v>0</v>
      </c>
      <c r="D7951" s="67">
        <v>0</v>
      </c>
      <c r="E7951" s="67">
        <v>99900.515450000006</v>
      </c>
      <c r="F7951" s="67">
        <v>970</v>
      </c>
      <c r="H7951" s="68">
        <v>40758</v>
      </c>
      <c r="I7951" s="67" t="s">
        <v>148</v>
      </c>
    </row>
    <row r="7952" spans="1:9" x14ac:dyDescent="0.25">
      <c r="B7952" s="67" t="s">
        <v>709</v>
      </c>
      <c r="C7952" s="67">
        <v>0</v>
      </c>
      <c r="D7952" s="67">
        <v>0</v>
      </c>
      <c r="E7952" s="67">
        <v>99900.55545</v>
      </c>
      <c r="H7952" s="67" t="s">
        <v>146</v>
      </c>
    </row>
    <row r="7954" spans="1:9" x14ac:dyDescent="0.25">
      <c r="A7954" s="67" t="s">
        <v>708</v>
      </c>
      <c r="B7954" s="67" t="s">
        <v>707</v>
      </c>
      <c r="C7954" s="67">
        <v>0</v>
      </c>
      <c r="D7954" s="67">
        <v>0</v>
      </c>
      <c r="E7954" s="67">
        <v>99900.515906000001</v>
      </c>
      <c r="F7954" s="67">
        <v>970</v>
      </c>
      <c r="H7954" s="68">
        <v>40758</v>
      </c>
      <c r="I7954" s="67" t="s">
        <v>148</v>
      </c>
    </row>
    <row r="7955" spans="1:9" x14ac:dyDescent="0.25">
      <c r="B7955" s="67" t="s">
        <v>707</v>
      </c>
      <c r="C7955" s="67">
        <v>0</v>
      </c>
      <c r="D7955" s="67">
        <v>0</v>
      </c>
      <c r="E7955" s="67">
        <v>99900.555905999994</v>
      </c>
      <c r="H7955" s="67" t="s">
        <v>146</v>
      </c>
    </row>
    <row r="7957" spans="1:9" x14ac:dyDescent="0.25">
      <c r="A7957" s="67" t="s">
        <v>706</v>
      </c>
      <c r="B7957" s="67" t="s">
        <v>705</v>
      </c>
      <c r="C7957" s="67">
        <v>0</v>
      </c>
      <c r="D7957" s="67">
        <v>0</v>
      </c>
      <c r="E7957" s="67">
        <v>99900.516359999994</v>
      </c>
      <c r="F7957" s="67">
        <v>970</v>
      </c>
      <c r="H7957" s="68">
        <v>40758</v>
      </c>
      <c r="I7957" s="67" t="s">
        <v>148</v>
      </c>
    </row>
    <row r="7958" spans="1:9" x14ac:dyDescent="0.25">
      <c r="B7958" s="67" t="s">
        <v>705</v>
      </c>
      <c r="C7958" s="67">
        <v>0</v>
      </c>
      <c r="D7958" s="67">
        <v>0</v>
      </c>
      <c r="E7958" s="67">
        <v>99900.556360000002</v>
      </c>
      <c r="H7958" s="67" t="s">
        <v>146</v>
      </c>
    </row>
    <row r="7960" spans="1:9" x14ac:dyDescent="0.25">
      <c r="A7960" s="67" t="s">
        <v>704</v>
      </c>
      <c r="B7960" s="67" t="s">
        <v>703</v>
      </c>
      <c r="C7960" s="67">
        <v>0</v>
      </c>
      <c r="D7960" s="67">
        <v>0</v>
      </c>
      <c r="E7960" s="67">
        <v>99900.515012999997</v>
      </c>
      <c r="F7960" s="67">
        <v>970</v>
      </c>
      <c r="H7960" s="68">
        <v>40758</v>
      </c>
      <c r="I7960" s="67" t="s">
        <v>148</v>
      </c>
    </row>
    <row r="7961" spans="1:9" x14ac:dyDescent="0.25">
      <c r="B7961" s="67" t="s">
        <v>703</v>
      </c>
      <c r="C7961" s="67">
        <v>0</v>
      </c>
      <c r="D7961" s="67">
        <v>0</v>
      </c>
      <c r="E7961" s="67">
        <v>99900.555013000005</v>
      </c>
      <c r="H7961" s="67" t="s">
        <v>146</v>
      </c>
    </row>
    <row r="7963" spans="1:9" x14ac:dyDescent="0.25">
      <c r="A7963" s="67" t="s">
        <v>702</v>
      </c>
      <c r="B7963" s="67" t="s">
        <v>701</v>
      </c>
      <c r="C7963" s="67">
        <v>0</v>
      </c>
      <c r="D7963" s="67">
        <v>0</v>
      </c>
      <c r="E7963" s="67">
        <v>99900.516375000007</v>
      </c>
      <c r="F7963" s="67">
        <v>970</v>
      </c>
      <c r="H7963" s="68">
        <v>40758</v>
      </c>
      <c r="I7963" s="67" t="s">
        <v>148</v>
      </c>
    </row>
    <row r="7964" spans="1:9" x14ac:dyDescent="0.25">
      <c r="B7964" s="67" t="s">
        <v>701</v>
      </c>
      <c r="C7964" s="67">
        <v>0</v>
      </c>
      <c r="D7964" s="67">
        <v>0</v>
      </c>
      <c r="E7964" s="67">
        <v>99900.556375</v>
      </c>
      <c r="H7964" s="67" t="s">
        <v>146</v>
      </c>
    </row>
    <row r="7966" spans="1:9" x14ac:dyDescent="0.25">
      <c r="A7966" s="67" t="s">
        <v>700</v>
      </c>
      <c r="B7966" s="67" t="s">
        <v>699</v>
      </c>
      <c r="C7966" s="67">
        <v>0</v>
      </c>
      <c r="D7966" s="67">
        <v>0</v>
      </c>
      <c r="E7966" s="67">
        <v>99900.517682999998</v>
      </c>
      <c r="F7966" s="67">
        <v>970</v>
      </c>
      <c r="H7966" s="68">
        <v>40758</v>
      </c>
      <c r="I7966" s="67" t="s">
        <v>148</v>
      </c>
    </row>
    <row r="7967" spans="1:9" x14ac:dyDescent="0.25">
      <c r="B7967" s="67" t="s">
        <v>698</v>
      </c>
      <c r="C7967" s="67">
        <v>0</v>
      </c>
      <c r="D7967" s="67">
        <v>0</v>
      </c>
      <c r="E7967" s="67">
        <v>99900.557683000006</v>
      </c>
      <c r="H7967" s="67" t="s">
        <v>146</v>
      </c>
    </row>
    <row r="7969" spans="1:9" x14ac:dyDescent="0.25">
      <c r="A7969" s="67" t="s">
        <v>697</v>
      </c>
      <c r="B7969" s="67" t="s">
        <v>696</v>
      </c>
      <c r="C7969" s="67">
        <v>0</v>
      </c>
      <c r="D7969" s="67">
        <v>0</v>
      </c>
      <c r="E7969" s="67">
        <v>99900.510995000004</v>
      </c>
      <c r="F7969" s="67">
        <v>970</v>
      </c>
      <c r="H7969" s="68">
        <v>42338</v>
      </c>
      <c r="I7969" s="67" t="s">
        <v>148</v>
      </c>
    </row>
    <row r="7970" spans="1:9" x14ac:dyDescent="0.25">
      <c r="B7970" s="67" t="s">
        <v>696</v>
      </c>
      <c r="C7970" s="67">
        <v>0</v>
      </c>
      <c r="D7970" s="67">
        <v>0</v>
      </c>
      <c r="E7970" s="67">
        <v>99900.550994999998</v>
      </c>
      <c r="H7970" s="67" t="s">
        <v>146</v>
      </c>
    </row>
    <row r="7972" spans="1:9" x14ac:dyDescent="0.25">
      <c r="A7972" s="67" t="s">
        <v>695</v>
      </c>
      <c r="B7972" s="67" t="s">
        <v>694</v>
      </c>
      <c r="C7972" s="67">
        <v>0</v>
      </c>
      <c r="D7972" s="67">
        <v>0</v>
      </c>
      <c r="E7972" s="67">
        <v>99900.510584999996</v>
      </c>
      <c r="F7972" s="67">
        <v>970</v>
      </c>
      <c r="H7972" s="68">
        <v>42338</v>
      </c>
      <c r="I7972" s="67" t="s">
        <v>148</v>
      </c>
    </row>
    <row r="7973" spans="1:9" x14ac:dyDescent="0.25">
      <c r="B7973" s="67" t="s">
        <v>694</v>
      </c>
      <c r="C7973" s="67">
        <v>0</v>
      </c>
      <c r="D7973" s="67">
        <v>0</v>
      </c>
      <c r="E7973" s="67">
        <v>99900.550585000005</v>
      </c>
      <c r="H7973" s="67" t="s">
        <v>146</v>
      </c>
    </row>
    <row r="7975" spans="1:9" x14ac:dyDescent="0.25">
      <c r="A7975" s="67" t="s">
        <v>693</v>
      </c>
      <c r="B7975" s="67" t="s">
        <v>692</v>
      </c>
      <c r="C7975" s="67">
        <v>0</v>
      </c>
      <c r="D7975" s="67">
        <v>0</v>
      </c>
      <c r="E7975" s="67">
        <v>99900.517827000003</v>
      </c>
      <c r="F7975" s="67">
        <v>970</v>
      </c>
      <c r="H7975" s="68">
        <v>40758</v>
      </c>
      <c r="I7975" s="67" t="s">
        <v>148</v>
      </c>
    </row>
    <row r="7976" spans="1:9" x14ac:dyDescent="0.25">
      <c r="B7976" s="67" t="s">
        <v>692</v>
      </c>
      <c r="C7976" s="67">
        <v>0</v>
      </c>
      <c r="D7976" s="67">
        <v>0</v>
      </c>
      <c r="E7976" s="67">
        <v>99900.557826999997</v>
      </c>
      <c r="H7976" s="67" t="s">
        <v>146</v>
      </c>
    </row>
    <row r="7978" spans="1:9" x14ac:dyDescent="0.25">
      <c r="A7978" s="67" t="s">
        <v>691</v>
      </c>
      <c r="B7978" s="67" t="s">
        <v>690</v>
      </c>
      <c r="C7978" s="67">
        <v>0</v>
      </c>
      <c r="D7978" s="67">
        <v>0</v>
      </c>
      <c r="E7978" s="67">
        <v>99900.51655</v>
      </c>
      <c r="F7978" s="67">
        <v>970</v>
      </c>
      <c r="H7978" s="68">
        <v>40758</v>
      </c>
      <c r="I7978" s="67" t="s">
        <v>148</v>
      </c>
    </row>
    <row r="7979" spans="1:9" x14ac:dyDescent="0.25">
      <c r="B7979" s="67" t="s">
        <v>690</v>
      </c>
      <c r="C7979" s="67">
        <v>0</v>
      </c>
      <c r="D7979" s="67">
        <v>0</v>
      </c>
      <c r="E7979" s="67">
        <v>99900.556549999994</v>
      </c>
      <c r="H7979" s="67" t="s">
        <v>146</v>
      </c>
    </row>
    <row r="7981" spans="1:9" x14ac:dyDescent="0.25">
      <c r="A7981" s="67" t="s">
        <v>689</v>
      </c>
      <c r="B7981" s="67" t="s">
        <v>688</v>
      </c>
      <c r="C7981" s="67">
        <v>0</v>
      </c>
      <c r="D7981" s="67">
        <v>0</v>
      </c>
      <c r="E7981" s="67">
        <v>99900.516191000002</v>
      </c>
      <c r="F7981" s="67">
        <v>970</v>
      </c>
      <c r="H7981" s="68">
        <v>40758</v>
      </c>
      <c r="I7981" s="67" t="s">
        <v>148</v>
      </c>
    </row>
    <row r="7982" spans="1:9" x14ac:dyDescent="0.25">
      <c r="B7982" s="67" t="s">
        <v>688</v>
      </c>
      <c r="C7982" s="67">
        <v>0</v>
      </c>
      <c r="D7982" s="67">
        <v>0</v>
      </c>
      <c r="E7982" s="67">
        <v>99900.556190999996</v>
      </c>
      <c r="H7982" s="67" t="s">
        <v>146</v>
      </c>
    </row>
    <row r="7983" spans="1:9" x14ac:dyDescent="0.25">
      <c r="A7983" s="67" t="s">
        <v>233</v>
      </c>
    </row>
    <row r="7985" spans="1:9" x14ac:dyDescent="0.25">
      <c r="A7985" s="67" t="s">
        <v>232</v>
      </c>
      <c r="D7985" s="67" t="s">
        <v>231</v>
      </c>
      <c r="H7985" s="67" t="s">
        <v>148</v>
      </c>
      <c r="I7985" s="67" t="s">
        <v>230</v>
      </c>
    </row>
    <row r="7986" spans="1:9" x14ac:dyDescent="0.25">
      <c r="A7986" s="67">
        <v>41.1</v>
      </c>
      <c r="C7986" s="67" t="s">
        <v>215</v>
      </c>
      <c r="D7986" s="67" t="s">
        <v>229</v>
      </c>
      <c r="H7986" s="70">
        <v>44771</v>
      </c>
      <c r="I7986" s="69">
        <v>0.56736111111111109</v>
      </c>
    </row>
    <row r="7987" spans="1:9" x14ac:dyDescent="0.25">
      <c r="A7987" s="67" t="s">
        <v>228</v>
      </c>
      <c r="C7987" s="67" t="s">
        <v>227</v>
      </c>
      <c r="D7987" s="67" t="s">
        <v>226</v>
      </c>
      <c r="E7987" s="67">
        <v>589</v>
      </c>
      <c r="H7987" s="67" t="s">
        <v>225</v>
      </c>
      <c r="I7987" s="67">
        <v>142</v>
      </c>
    </row>
    <row r="7988" spans="1:9" x14ac:dyDescent="0.25">
      <c r="A7988" s="67" t="s">
        <v>615</v>
      </c>
      <c r="B7988" s="67" t="s">
        <v>614</v>
      </c>
    </row>
    <row r="7989" spans="1:9" x14ac:dyDescent="0.25">
      <c r="A7989" s="67" t="s">
        <v>223</v>
      </c>
      <c r="B7989" s="67" t="s">
        <v>222</v>
      </c>
      <c r="C7989" s="67" t="s">
        <v>221</v>
      </c>
      <c r="D7989" s="67" t="s">
        <v>220</v>
      </c>
      <c r="E7989" s="67" t="s">
        <v>219</v>
      </c>
      <c r="F7989" s="67" t="s">
        <v>217</v>
      </c>
      <c r="G7989" s="67" t="s">
        <v>218</v>
      </c>
      <c r="H7989" s="67" t="s">
        <v>217</v>
      </c>
      <c r="I7989" s="67" t="s">
        <v>216</v>
      </c>
    </row>
    <row r="7990" spans="1:9" x14ac:dyDescent="0.25">
      <c r="A7990" s="67" t="s">
        <v>215</v>
      </c>
      <c r="B7990" s="67" t="s">
        <v>214</v>
      </c>
      <c r="C7990" s="67" t="s">
        <v>213</v>
      </c>
      <c r="D7990" s="67" t="s">
        <v>212</v>
      </c>
      <c r="E7990" s="67" t="s">
        <v>211</v>
      </c>
      <c r="F7990" s="67" t="s">
        <v>210</v>
      </c>
      <c r="G7990" s="67" t="s">
        <v>209</v>
      </c>
      <c r="H7990" s="67" t="s">
        <v>208</v>
      </c>
      <c r="I7990" s="67" t="s">
        <v>207</v>
      </c>
    </row>
    <row r="7991" spans="1:9" x14ac:dyDescent="0.25">
      <c r="A7991" s="67" t="s">
        <v>206</v>
      </c>
      <c r="B7991" s="67" t="s">
        <v>205</v>
      </c>
      <c r="C7991" s="67" t="s">
        <v>204</v>
      </c>
      <c r="D7991" s="67" t="s">
        <v>203</v>
      </c>
      <c r="E7991" s="67" t="s">
        <v>202</v>
      </c>
      <c r="F7991" s="67" t="s">
        <v>201</v>
      </c>
      <c r="G7991" s="67" t="s">
        <v>200</v>
      </c>
      <c r="H7991" s="67" t="s">
        <v>199</v>
      </c>
    </row>
    <row r="7992" spans="1:9" x14ac:dyDescent="0.25">
      <c r="A7992" s="67" t="s">
        <v>687</v>
      </c>
      <c r="B7992" s="67" t="s">
        <v>686</v>
      </c>
      <c r="C7992" s="67">
        <v>0</v>
      </c>
      <c r="D7992" s="67">
        <v>0</v>
      </c>
      <c r="E7992" s="67">
        <v>99900.510509999993</v>
      </c>
      <c r="F7992" s="67">
        <v>970</v>
      </c>
      <c r="H7992" s="68">
        <v>42338</v>
      </c>
      <c r="I7992" s="67" t="s">
        <v>148</v>
      </c>
    </row>
    <row r="7993" spans="1:9" x14ac:dyDescent="0.25">
      <c r="B7993" s="67" t="s">
        <v>686</v>
      </c>
      <c r="C7993" s="67">
        <v>0</v>
      </c>
      <c r="D7993" s="67">
        <v>0</v>
      </c>
      <c r="E7993" s="67">
        <v>99900.550510000001</v>
      </c>
      <c r="H7993" s="67" t="s">
        <v>146</v>
      </c>
    </row>
    <row r="7995" spans="1:9" x14ac:dyDescent="0.25">
      <c r="A7995" s="67" t="s">
        <v>685</v>
      </c>
      <c r="B7995" s="67" t="s">
        <v>684</v>
      </c>
      <c r="C7995" s="67">
        <v>0</v>
      </c>
      <c r="D7995" s="67">
        <v>0</v>
      </c>
      <c r="E7995" s="67">
        <v>99900.510509</v>
      </c>
      <c r="F7995" s="67">
        <v>970</v>
      </c>
      <c r="H7995" s="68">
        <v>42338</v>
      </c>
      <c r="I7995" s="67" t="s">
        <v>148</v>
      </c>
    </row>
    <row r="7996" spans="1:9" x14ac:dyDescent="0.25">
      <c r="B7996" s="67" t="s">
        <v>684</v>
      </c>
      <c r="C7996" s="67">
        <v>0</v>
      </c>
      <c r="D7996" s="67">
        <v>0</v>
      </c>
      <c r="E7996" s="67">
        <v>99900.550508999993</v>
      </c>
      <c r="H7996" s="67" t="s">
        <v>146</v>
      </c>
    </row>
    <row r="7998" spans="1:9" x14ac:dyDescent="0.25">
      <c r="A7998" s="67" t="s">
        <v>683</v>
      </c>
      <c r="B7998" s="67" t="s">
        <v>682</v>
      </c>
      <c r="C7998" s="67">
        <v>0</v>
      </c>
      <c r="D7998" s="67">
        <v>0</v>
      </c>
      <c r="E7998" s="67">
        <v>99900.516722999993</v>
      </c>
      <c r="F7998" s="67">
        <v>970</v>
      </c>
      <c r="H7998" s="68">
        <v>40758</v>
      </c>
      <c r="I7998" s="67" t="s">
        <v>148</v>
      </c>
    </row>
    <row r="7999" spans="1:9" x14ac:dyDescent="0.25">
      <c r="B7999" s="67" t="s">
        <v>682</v>
      </c>
      <c r="C7999" s="67">
        <v>0</v>
      </c>
      <c r="D7999" s="67">
        <v>0</v>
      </c>
      <c r="E7999" s="67">
        <v>99900.556723000002</v>
      </c>
      <c r="H7999" s="67" t="s">
        <v>146</v>
      </c>
    </row>
    <row r="8001" spans="1:9" x14ac:dyDescent="0.25">
      <c r="A8001" s="67" t="s">
        <v>681</v>
      </c>
      <c r="B8001" s="67" t="s">
        <v>680</v>
      </c>
      <c r="C8001" s="67">
        <v>0</v>
      </c>
      <c r="D8001" s="67">
        <v>0</v>
      </c>
      <c r="E8001" s="67">
        <v>99900.516665000003</v>
      </c>
      <c r="F8001" s="67">
        <v>970</v>
      </c>
      <c r="H8001" s="68">
        <v>41036</v>
      </c>
      <c r="I8001" s="67" t="s">
        <v>148</v>
      </c>
    </row>
    <row r="8002" spans="1:9" x14ac:dyDescent="0.25">
      <c r="B8002" s="67" t="s">
        <v>679</v>
      </c>
      <c r="C8002" s="67">
        <v>0</v>
      </c>
      <c r="D8002" s="67">
        <v>0</v>
      </c>
      <c r="E8002" s="67">
        <v>99900.556664999996</v>
      </c>
      <c r="H8002" s="67" t="s">
        <v>146</v>
      </c>
    </row>
    <row r="8004" spans="1:9" x14ac:dyDescent="0.25">
      <c r="A8004" s="67" t="s">
        <v>678</v>
      </c>
      <c r="B8004" s="67" t="s">
        <v>677</v>
      </c>
      <c r="C8004" s="67">
        <v>0</v>
      </c>
      <c r="D8004" s="67">
        <v>0</v>
      </c>
      <c r="E8004" s="67">
        <v>99900.510649000003</v>
      </c>
      <c r="F8004" s="67">
        <v>970</v>
      </c>
      <c r="H8004" s="68">
        <v>42338</v>
      </c>
      <c r="I8004" s="67" t="s">
        <v>148</v>
      </c>
    </row>
    <row r="8005" spans="1:9" x14ac:dyDescent="0.25">
      <c r="B8005" s="67" t="s">
        <v>677</v>
      </c>
      <c r="C8005" s="67">
        <v>0</v>
      </c>
      <c r="D8005" s="67">
        <v>0</v>
      </c>
      <c r="E8005" s="67">
        <v>99900.550648999997</v>
      </c>
      <c r="H8005" s="67" t="s">
        <v>146</v>
      </c>
    </row>
    <row r="8007" spans="1:9" x14ac:dyDescent="0.25">
      <c r="A8007" s="67" t="s">
        <v>676</v>
      </c>
      <c r="B8007" s="67" t="s">
        <v>675</v>
      </c>
      <c r="C8007" s="67">
        <v>0</v>
      </c>
      <c r="D8007" s="67">
        <v>0</v>
      </c>
      <c r="E8007" s="67">
        <v>0</v>
      </c>
      <c r="H8007" s="68">
        <v>42163</v>
      </c>
      <c r="I8007" s="67" t="s">
        <v>148</v>
      </c>
    </row>
    <row r="8008" spans="1:9" x14ac:dyDescent="0.25">
      <c r="B8008" s="67" t="s">
        <v>675</v>
      </c>
      <c r="C8008" s="67">
        <v>0</v>
      </c>
      <c r="D8008" s="67">
        <v>0</v>
      </c>
      <c r="E8008" s="67">
        <v>0</v>
      </c>
      <c r="H8008" s="67" t="s">
        <v>146</v>
      </c>
    </row>
    <row r="8010" spans="1:9" x14ac:dyDescent="0.25">
      <c r="A8010" s="67" t="s">
        <v>674</v>
      </c>
      <c r="B8010" s="67" t="s">
        <v>673</v>
      </c>
      <c r="C8010" s="67">
        <v>0</v>
      </c>
      <c r="D8010" s="67">
        <v>0</v>
      </c>
      <c r="E8010" s="67">
        <v>99900.516837999996</v>
      </c>
      <c r="F8010" s="67">
        <v>970</v>
      </c>
      <c r="H8010" s="68">
        <v>40758</v>
      </c>
      <c r="I8010" s="67" t="s">
        <v>148</v>
      </c>
    </row>
    <row r="8011" spans="1:9" x14ac:dyDescent="0.25">
      <c r="B8011" s="67" t="s">
        <v>673</v>
      </c>
      <c r="C8011" s="67">
        <v>0</v>
      </c>
      <c r="D8011" s="67">
        <v>0</v>
      </c>
      <c r="E8011" s="67">
        <v>99900.556838000004</v>
      </c>
      <c r="H8011" s="67" t="s">
        <v>146</v>
      </c>
    </row>
    <row r="8013" spans="1:9" x14ac:dyDescent="0.25">
      <c r="A8013" s="67" t="s">
        <v>672</v>
      </c>
      <c r="B8013" s="67" t="s">
        <v>671</v>
      </c>
      <c r="C8013" s="67">
        <v>0</v>
      </c>
      <c r="D8013" s="67">
        <v>0</v>
      </c>
      <c r="E8013" s="67">
        <v>99900.515272999997</v>
      </c>
      <c r="F8013" s="67">
        <v>970</v>
      </c>
      <c r="H8013" s="68">
        <v>40758</v>
      </c>
      <c r="I8013" s="67" t="s">
        <v>148</v>
      </c>
    </row>
    <row r="8014" spans="1:9" x14ac:dyDescent="0.25">
      <c r="B8014" s="67" t="s">
        <v>670</v>
      </c>
      <c r="C8014" s="67">
        <v>0</v>
      </c>
      <c r="D8014" s="67">
        <v>0</v>
      </c>
      <c r="E8014" s="67">
        <v>99900.555273000005</v>
      </c>
      <c r="H8014" s="67" t="s">
        <v>146</v>
      </c>
    </row>
    <row r="8016" spans="1:9" x14ac:dyDescent="0.25">
      <c r="A8016" s="67" t="s">
        <v>669</v>
      </c>
      <c r="B8016" s="67" t="s">
        <v>668</v>
      </c>
      <c r="C8016" s="67">
        <v>0</v>
      </c>
      <c r="D8016" s="67">
        <v>0</v>
      </c>
      <c r="E8016" s="67">
        <v>99900.510634000006</v>
      </c>
      <c r="F8016" s="67">
        <v>999</v>
      </c>
      <c r="H8016" s="68">
        <v>42338</v>
      </c>
      <c r="I8016" s="67" t="s">
        <v>148</v>
      </c>
    </row>
    <row r="8017" spans="1:9" x14ac:dyDescent="0.25">
      <c r="B8017" s="67" t="s">
        <v>668</v>
      </c>
      <c r="C8017" s="67">
        <v>0</v>
      </c>
      <c r="D8017" s="67">
        <v>0</v>
      </c>
      <c r="E8017" s="67">
        <v>99900.556842999998</v>
      </c>
      <c r="H8017" s="67" t="s">
        <v>146</v>
      </c>
    </row>
    <row r="8019" spans="1:9" x14ac:dyDescent="0.25">
      <c r="A8019" s="67" t="s">
        <v>667</v>
      </c>
      <c r="B8019" s="67" t="s">
        <v>666</v>
      </c>
      <c r="C8019" s="67">
        <v>0</v>
      </c>
      <c r="D8019" s="67">
        <v>0</v>
      </c>
      <c r="E8019" s="67">
        <v>99900.516728000002</v>
      </c>
      <c r="F8019" s="67">
        <v>970</v>
      </c>
      <c r="H8019" s="68">
        <v>40758</v>
      </c>
      <c r="I8019" s="67" t="s">
        <v>148</v>
      </c>
    </row>
    <row r="8020" spans="1:9" x14ac:dyDescent="0.25">
      <c r="B8020" s="67" t="s">
        <v>666</v>
      </c>
      <c r="C8020" s="67">
        <v>0</v>
      </c>
      <c r="D8020" s="67">
        <v>0</v>
      </c>
      <c r="E8020" s="67">
        <v>99900.556727999996</v>
      </c>
      <c r="H8020" s="67" t="s">
        <v>146</v>
      </c>
    </row>
    <row r="8022" spans="1:9" x14ac:dyDescent="0.25">
      <c r="A8022" s="67" t="s">
        <v>665</v>
      </c>
      <c r="B8022" s="67" t="s">
        <v>664</v>
      </c>
      <c r="C8022" s="67" t="s">
        <v>258</v>
      </c>
      <c r="D8022" s="67">
        <v>0</v>
      </c>
      <c r="E8022" s="67">
        <v>99900.510595</v>
      </c>
      <c r="F8022" s="67">
        <v>970</v>
      </c>
      <c r="H8022" s="68">
        <v>43160</v>
      </c>
      <c r="I8022" s="67" t="s">
        <v>148</v>
      </c>
    </row>
    <row r="8023" spans="1:9" x14ac:dyDescent="0.25">
      <c r="B8023" s="67" t="s">
        <v>663</v>
      </c>
      <c r="C8023" s="67">
        <v>0</v>
      </c>
      <c r="D8023" s="67">
        <v>0</v>
      </c>
      <c r="E8023" s="67">
        <v>99900.550594999993</v>
      </c>
      <c r="H8023" s="67" t="s">
        <v>146</v>
      </c>
    </row>
    <row r="8025" spans="1:9" x14ac:dyDescent="0.25">
      <c r="A8025" s="67" t="s">
        <v>662</v>
      </c>
      <c r="B8025" s="67" t="s">
        <v>661</v>
      </c>
      <c r="C8025" s="67">
        <v>0</v>
      </c>
      <c r="D8025" s="67">
        <v>0</v>
      </c>
      <c r="E8025" s="67">
        <v>99900.510710999995</v>
      </c>
      <c r="F8025" s="67">
        <v>970</v>
      </c>
      <c r="H8025" s="68">
        <v>43160</v>
      </c>
      <c r="I8025" s="67" t="s">
        <v>148</v>
      </c>
    </row>
    <row r="8026" spans="1:9" x14ac:dyDescent="0.25">
      <c r="B8026" s="67" t="s">
        <v>661</v>
      </c>
      <c r="C8026" s="67">
        <v>0</v>
      </c>
      <c r="D8026" s="67">
        <v>0</v>
      </c>
      <c r="E8026" s="67">
        <v>99900.550711000004</v>
      </c>
      <c r="H8026" s="67" t="s">
        <v>146</v>
      </c>
    </row>
    <row r="8028" spans="1:9" x14ac:dyDescent="0.25">
      <c r="A8028" s="67" t="s">
        <v>660</v>
      </c>
      <c r="B8028" s="67" t="s">
        <v>659</v>
      </c>
      <c r="C8028" s="67">
        <v>0</v>
      </c>
      <c r="D8028" s="67">
        <v>0</v>
      </c>
      <c r="E8028" s="67">
        <v>99900.510710000002</v>
      </c>
      <c r="F8028" s="67">
        <v>970</v>
      </c>
      <c r="H8028" s="68">
        <v>43160</v>
      </c>
      <c r="I8028" s="67" t="s">
        <v>148</v>
      </c>
    </row>
    <row r="8029" spans="1:9" x14ac:dyDescent="0.25">
      <c r="B8029" s="67" t="s">
        <v>659</v>
      </c>
      <c r="C8029" s="67">
        <v>0</v>
      </c>
      <c r="D8029" s="67">
        <v>0</v>
      </c>
      <c r="E8029" s="67">
        <v>99900.550709999996</v>
      </c>
      <c r="H8029" s="67" t="s">
        <v>146</v>
      </c>
    </row>
    <row r="8031" spans="1:9" x14ac:dyDescent="0.25">
      <c r="A8031" s="67" t="s">
        <v>658</v>
      </c>
      <c r="B8031" s="67" t="s">
        <v>657</v>
      </c>
      <c r="C8031" s="67">
        <v>0</v>
      </c>
      <c r="D8031" s="67">
        <v>0</v>
      </c>
      <c r="E8031" s="67">
        <v>99900.51655</v>
      </c>
      <c r="F8031" s="67">
        <v>970</v>
      </c>
      <c r="H8031" s="68">
        <v>43718</v>
      </c>
      <c r="I8031" s="67" t="s">
        <v>148</v>
      </c>
    </row>
    <row r="8032" spans="1:9" x14ac:dyDescent="0.25">
      <c r="B8032" s="67" t="s">
        <v>657</v>
      </c>
      <c r="C8032" s="67">
        <v>0</v>
      </c>
      <c r="D8032" s="67">
        <v>0</v>
      </c>
      <c r="E8032" s="67">
        <v>99900.556549999994</v>
      </c>
      <c r="H8032" s="67" t="s">
        <v>146</v>
      </c>
    </row>
    <row r="8034" spans="1:9" x14ac:dyDescent="0.25">
      <c r="A8034" s="67" t="s">
        <v>656</v>
      </c>
      <c r="B8034" s="67" t="s">
        <v>655</v>
      </c>
      <c r="C8034" s="67">
        <v>0</v>
      </c>
      <c r="D8034" s="67">
        <v>0</v>
      </c>
      <c r="E8034" s="67">
        <v>99900.510710000002</v>
      </c>
      <c r="H8034" s="68">
        <v>44294</v>
      </c>
      <c r="I8034" s="67" t="s">
        <v>148</v>
      </c>
    </row>
    <row r="8035" spans="1:9" x14ac:dyDescent="0.25">
      <c r="B8035" s="67" t="s">
        <v>655</v>
      </c>
      <c r="C8035" s="67">
        <v>0</v>
      </c>
      <c r="D8035" s="67">
        <v>0</v>
      </c>
      <c r="E8035" s="67">
        <v>99900.550709999996</v>
      </c>
      <c r="H8035" s="67" t="s">
        <v>146</v>
      </c>
    </row>
    <row r="8037" spans="1:9" x14ac:dyDescent="0.25">
      <c r="A8037" s="67" t="s">
        <v>654</v>
      </c>
      <c r="B8037" s="67" t="s">
        <v>653</v>
      </c>
      <c r="C8037" s="67">
        <v>0</v>
      </c>
      <c r="D8037" s="67">
        <v>0</v>
      </c>
      <c r="E8037" s="67">
        <v>99900.516665000003</v>
      </c>
      <c r="F8037" s="67">
        <v>970</v>
      </c>
      <c r="H8037" s="68">
        <v>44376</v>
      </c>
      <c r="I8037" s="67" t="s">
        <v>148</v>
      </c>
    </row>
    <row r="8038" spans="1:9" x14ac:dyDescent="0.25">
      <c r="B8038" s="67" t="s">
        <v>653</v>
      </c>
      <c r="C8038" s="67">
        <v>0</v>
      </c>
      <c r="D8038" s="67">
        <v>0</v>
      </c>
      <c r="E8038" s="67">
        <v>99900.556664999996</v>
      </c>
      <c r="H8038" s="67" t="s">
        <v>146</v>
      </c>
    </row>
    <row r="8040" spans="1:9" x14ac:dyDescent="0.25">
      <c r="A8040" s="67" t="s">
        <v>652</v>
      </c>
      <c r="B8040" s="67" t="s">
        <v>651</v>
      </c>
      <c r="C8040" s="67">
        <v>0</v>
      </c>
      <c r="D8040" s="67">
        <v>0</v>
      </c>
      <c r="E8040" s="67">
        <v>99900.517682999998</v>
      </c>
      <c r="F8040" s="67">
        <v>970</v>
      </c>
      <c r="H8040" s="68">
        <v>44376</v>
      </c>
      <c r="I8040" s="67" t="s">
        <v>148</v>
      </c>
    </row>
    <row r="8041" spans="1:9" x14ac:dyDescent="0.25">
      <c r="B8041" s="67" t="s">
        <v>651</v>
      </c>
      <c r="C8041" s="67">
        <v>0</v>
      </c>
      <c r="D8041" s="67">
        <v>0</v>
      </c>
      <c r="E8041" s="67">
        <v>99900.557683000006</v>
      </c>
      <c r="H8041" s="67" t="s">
        <v>146</v>
      </c>
    </row>
    <row r="8042" spans="1:9" x14ac:dyDescent="0.25">
      <c r="A8042" s="67" t="s">
        <v>233</v>
      </c>
    </row>
    <row r="8044" spans="1:9" x14ac:dyDescent="0.25">
      <c r="A8044" s="67" t="s">
        <v>232</v>
      </c>
      <c r="D8044" s="67" t="s">
        <v>231</v>
      </c>
      <c r="H8044" s="67" t="s">
        <v>148</v>
      </c>
      <c r="I8044" s="67" t="s">
        <v>230</v>
      </c>
    </row>
    <row r="8045" spans="1:9" x14ac:dyDescent="0.25">
      <c r="A8045" s="67">
        <v>41.1</v>
      </c>
      <c r="C8045" s="67" t="s">
        <v>215</v>
      </c>
      <c r="D8045" s="67" t="s">
        <v>229</v>
      </c>
      <c r="H8045" s="70">
        <v>44771</v>
      </c>
      <c r="I8045" s="69">
        <v>0.56736111111111109</v>
      </c>
    </row>
    <row r="8046" spans="1:9" x14ac:dyDescent="0.25">
      <c r="A8046" s="67" t="s">
        <v>228</v>
      </c>
      <c r="C8046" s="67" t="s">
        <v>227</v>
      </c>
      <c r="D8046" s="67" t="s">
        <v>226</v>
      </c>
      <c r="E8046" s="67">
        <v>589</v>
      </c>
      <c r="H8046" s="67" t="s">
        <v>225</v>
      </c>
      <c r="I8046" s="67">
        <v>143</v>
      </c>
    </row>
    <row r="8047" spans="1:9" x14ac:dyDescent="0.25">
      <c r="A8047" s="67" t="s">
        <v>615</v>
      </c>
      <c r="B8047" s="67" t="s">
        <v>614</v>
      </c>
    </row>
    <row r="8048" spans="1:9" x14ac:dyDescent="0.25">
      <c r="A8048" s="67" t="s">
        <v>223</v>
      </c>
      <c r="B8048" s="67" t="s">
        <v>222</v>
      </c>
      <c r="C8048" s="67" t="s">
        <v>221</v>
      </c>
      <c r="D8048" s="67" t="s">
        <v>220</v>
      </c>
      <c r="E8048" s="67" t="s">
        <v>219</v>
      </c>
      <c r="F8048" s="67" t="s">
        <v>217</v>
      </c>
      <c r="G8048" s="67" t="s">
        <v>218</v>
      </c>
      <c r="H8048" s="67" t="s">
        <v>217</v>
      </c>
      <c r="I8048" s="67" t="s">
        <v>216</v>
      </c>
    </row>
    <row r="8049" spans="1:9" x14ac:dyDescent="0.25">
      <c r="A8049" s="67" t="s">
        <v>215</v>
      </c>
      <c r="B8049" s="67" t="s">
        <v>214</v>
      </c>
      <c r="C8049" s="67" t="s">
        <v>213</v>
      </c>
      <c r="D8049" s="67" t="s">
        <v>212</v>
      </c>
      <c r="E8049" s="67" t="s">
        <v>211</v>
      </c>
      <c r="F8049" s="67" t="s">
        <v>210</v>
      </c>
      <c r="G8049" s="67" t="s">
        <v>209</v>
      </c>
      <c r="H8049" s="67" t="s">
        <v>208</v>
      </c>
      <c r="I8049" s="67" t="s">
        <v>207</v>
      </c>
    </row>
    <row r="8050" spans="1:9" x14ac:dyDescent="0.25">
      <c r="A8050" s="67" t="s">
        <v>206</v>
      </c>
      <c r="B8050" s="67" t="s">
        <v>205</v>
      </c>
      <c r="C8050" s="67" t="s">
        <v>204</v>
      </c>
      <c r="D8050" s="67" t="s">
        <v>203</v>
      </c>
      <c r="E8050" s="67" t="s">
        <v>202</v>
      </c>
      <c r="F8050" s="67" t="s">
        <v>201</v>
      </c>
      <c r="G8050" s="67" t="s">
        <v>200</v>
      </c>
      <c r="H8050" s="67" t="s">
        <v>199</v>
      </c>
    </row>
    <row r="8051" spans="1:9" x14ac:dyDescent="0.25">
      <c r="A8051" s="67" t="s">
        <v>650</v>
      </c>
      <c r="B8051" s="67" t="s">
        <v>649</v>
      </c>
      <c r="C8051" s="67">
        <v>0</v>
      </c>
      <c r="D8051" s="67">
        <v>0</v>
      </c>
      <c r="E8051" s="67">
        <v>99900.517078999997</v>
      </c>
      <c r="F8051" s="67">
        <v>970</v>
      </c>
      <c r="H8051" s="68">
        <v>42369</v>
      </c>
      <c r="I8051" s="67" t="s">
        <v>148</v>
      </c>
    </row>
    <row r="8052" spans="1:9" x14ac:dyDescent="0.25">
      <c r="B8052" s="67" t="s">
        <v>649</v>
      </c>
      <c r="C8052" s="67">
        <v>0</v>
      </c>
      <c r="D8052" s="67">
        <v>0</v>
      </c>
      <c r="E8052" s="67">
        <v>99900.557079000006</v>
      </c>
      <c r="H8052" s="67" t="s">
        <v>146</v>
      </c>
    </row>
    <row r="8054" spans="1:9" x14ac:dyDescent="0.25">
      <c r="A8054" s="67" t="s">
        <v>648</v>
      </c>
      <c r="B8054" s="67" t="s">
        <v>647</v>
      </c>
      <c r="C8054" s="67">
        <v>0</v>
      </c>
      <c r="D8054" s="67">
        <v>0</v>
      </c>
      <c r="E8054" s="67">
        <v>99900.510995000004</v>
      </c>
      <c r="F8054" s="67">
        <v>970</v>
      </c>
      <c r="H8054" s="68">
        <v>43152</v>
      </c>
      <c r="I8054" s="67" t="s">
        <v>148</v>
      </c>
    </row>
    <row r="8055" spans="1:9" x14ac:dyDescent="0.25">
      <c r="B8055" s="67" t="s">
        <v>647</v>
      </c>
      <c r="C8055" s="67">
        <v>0</v>
      </c>
      <c r="D8055" s="67">
        <v>0</v>
      </c>
      <c r="E8055" s="67">
        <v>99900.550994999998</v>
      </c>
      <c r="H8055" s="67" t="s">
        <v>146</v>
      </c>
    </row>
    <row r="8057" spans="1:9" x14ac:dyDescent="0.25">
      <c r="A8057" s="67" t="s">
        <v>646</v>
      </c>
      <c r="B8057" s="67" t="s">
        <v>645</v>
      </c>
      <c r="C8057" s="67">
        <v>0</v>
      </c>
      <c r="D8057" s="67">
        <v>0</v>
      </c>
      <c r="E8057" s="67">
        <v>99900.519929000002</v>
      </c>
      <c r="F8057" s="67">
        <v>970</v>
      </c>
      <c r="H8057" s="68">
        <v>40807</v>
      </c>
      <c r="I8057" s="67" t="s">
        <v>148</v>
      </c>
    </row>
    <row r="8058" spans="1:9" x14ac:dyDescent="0.25">
      <c r="B8058" s="67" t="s">
        <v>645</v>
      </c>
      <c r="C8058" s="67">
        <v>0</v>
      </c>
      <c r="D8058" s="67">
        <v>0</v>
      </c>
      <c r="E8058" s="67">
        <v>99900.559928999995</v>
      </c>
      <c r="H8058" s="67" t="s">
        <v>146</v>
      </c>
    </row>
    <row r="8060" spans="1:9" x14ac:dyDescent="0.25">
      <c r="A8060" s="67" t="s">
        <v>644</v>
      </c>
      <c r="B8060" s="67" t="s">
        <v>643</v>
      </c>
      <c r="C8060" s="67">
        <v>0</v>
      </c>
      <c r="D8060" s="67">
        <v>0</v>
      </c>
      <c r="E8060" s="67">
        <v>10000.100109999999</v>
      </c>
      <c r="F8060" s="67">
        <v>970</v>
      </c>
      <c r="H8060" s="68">
        <v>40789</v>
      </c>
      <c r="I8060" s="67" t="s">
        <v>148</v>
      </c>
    </row>
    <row r="8061" spans="1:9" x14ac:dyDescent="0.25">
      <c r="B8061" s="67" t="s">
        <v>642</v>
      </c>
      <c r="C8061" s="67">
        <v>0</v>
      </c>
      <c r="D8061" s="67">
        <v>0</v>
      </c>
      <c r="E8061" s="67">
        <v>10000.100109999999</v>
      </c>
      <c r="H8061" s="67" t="s">
        <v>146</v>
      </c>
    </row>
    <row r="8063" spans="1:9" x14ac:dyDescent="0.25">
      <c r="A8063" s="67" t="s">
        <v>641</v>
      </c>
      <c r="B8063" s="67" t="s">
        <v>637</v>
      </c>
      <c r="C8063" s="67">
        <v>0</v>
      </c>
      <c r="D8063" s="67">
        <v>0</v>
      </c>
      <c r="E8063" s="67">
        <v>99900.519979999997</v>
      </c>
      <c r="F8063" s="67">
        <v>970</v>
      </c>
      <c r="H8063" s="68">
        <v>41297</v>
      </c>
      <c r="I8063" s="67" t="s">
        <v>480</v>
      </c>
    </row>
    <row r="8064" spans="1:9" x14ac:dyDescent="0.25">
      <c r="B8064" s="67" t="s">
        <v>637</v>
      </c>
      <c r="C8064" s="67">
        <v>0</v>
      </c>
      <c r="D8064" s="67">
        <v>0</v>
      </c>
      <c r="E8064" s="67">
        <v>99900.559980000005</v>
      </c>
      <c r="H8064" s="67" t="s">
        <v>146</v>
      </c>
    </row>
    <row r="8066" spans="1:9" x14ac:dyDescent="0.25">
      <c r="A8066" s="67" t="s">
        <v>640</v>
      </c>
      <c r="B8066" s="67" t="s">
        <v>639</v>
      </c>
      <c r="C8066" s="67">
        <v>0</v>
      </c>
      <c r="D8066" s="67">
        <v>0</v>
      </c>
      <c r="E8066" s="67">
        <v>99900.519979999997</v>
      </c>
      <c r="F8066" s="67">
        <v>970</v>
      </c>
      <c r="H8066" s="68">
        <v>42059</v>
      </c>
      <c r="I8066" s="67" t="s">
        <v>148</v>
      </c>
    </row>
    <row r="8067" spans="1:9" x14ac:dyDescent="0.25">
      <c r="B8067" s="67" t="s">
        <v>639</v>
      </c>
      <c r="C8067" s="67">
        <v>0</v>
      </c>
      <c r="D8067" s="67">
        <v>0</v>
      </c>
      <c r="E8067" s="67">
        <v>99900.519979999997</v>
      </c>
      <c r="H8067" s="67" t="s">
        <v>146</v>
      </c>
    </row>
    <row r="8069" spans="1:9" x14ac:dyDescent="0.25">
      <c r="A8069" s="67" t="s">
        <v>638</v>
      </c>
      <c r="B8069" s="67" t="s">
        <v>637</v>
      </c>
      <c r="C8069" s="67">
        <v>0</v>
      </c>
      <c r="D8069" s="67">
        <v>0</v>
      </c>
      <c r="E8069" s="67">
        <v>99900.519979999997</v>
      </c>
      <c r="F8069" s="67">
        <v>970</v>
      </c>
      <c r="H8069" s="68">
        <v>41295</v>
      </c>
      <c r="I8069" s="67" t="s">
        <v>148</v>
      </c>
    </row>
    <row r="8070" spans="1:9" x14ac:dyDescent="0.25">
      <c r="B8070" s="67" t="s">
        <v>637</v>
      </c>
      <c r="C8070" s="67">
        <v>0</v>
      </c>
      <c r="D8070" s="67">
        <v>0</v>
      </c>
      <c r="E8070" s="67">
        <v>99900.559980000005</v>
      </c>
      <c r="H8070" s="67" t="s">
        <v>146</v>
      </c>
    </row>
    <row r="8072" spans="1:9" x14ac:dyDescent="0.25">
      <c r="A8072" s="67" t="s">
        <v>636</v>
      </c>
      <c r="B8072" s="67" t="s">
        <v>635</v>
      </c>
      <c r="C8072" s="67">
        <v>0</v>
      </c>
      <c r="D8072" s="67">
        <v>0</v>
      </c>
      <c r="E8072" s="67">
        <v>99900.512000000002</v>
      </c>
      <c r="F8072" s="67">
        <v>970</v>
      </c>
      <c r="H8072" s="68">
        <v>40758</v>
      </c>
      <c r="I8072" s="67" t="s">
        <v>148</v>
      </c>
    </row>
    <row r="8073" spans="1:9" x14ac:dyDescent="0.25">
      <c r="B8073" s="67" t="s">
        <v>635</v>
      </c>
      <c r="C8073" s="67">
        <v>0</v>
      </c>
      <c r="D8073" s="67">
        <v>0</v>
      </c>
      <c r="E8073" s="67">
        <v>99900.551999999996</v>
      </c>
      <c r="H8073" s="67" t="s">
        <v>146</v>
      </c>
    </row>
    <row r="8075" spans="1:9" x14ac:dyDescent="0.25">
      <c r="A8075" s="67" t="s">
        <v>634</v>
      </c>
      <c r="B8075" s="67" t="s">
        <v>633</v>
      </c>
      <c r="C8075" s="67">
        <v>0</v>
      </c>
      <c r="D8075" s="67">
        <v>0</v>
      </c>
      <c r="E8075" s="67">
        <v>99900.512348000004</v>
      </c>
      <c r="F8075" s="67">
        <v>970</v>
      </c>
      <c r="H8075" s="68">
        <v>40758</v>
      </c>
      <c r="I8075" s="67" t="s">
        <v>148</v>
      </c>
    </row>
    <row r="8076" spans="1:9" x14ac:dyDescent="0.25">
      <c r="B8076" s="67" t="s">
        <v>633</v>
      </c>
      <c r="C8076" s="67">
        <v>0</v>
      </c>
      <c r="D8076" s="67">
        <v>0</v>
      </c>
      <c r="E8076" s="67">
        <v>99900.552347999997</v>
      </c>
      <c r="H8076" s="67" t="s">
        <v>146</v>
      </c>
    </row>
    <row r="8078" spans="1:9" x14ac:dyDescent="0.25">
      <c r="A8078" s="67" t="s">
        <v>632</v>
      </c>
      <c r="B8078" s="67" t="s">
        <v>631</v>
      </c>
      <c r="C8078" s="67">
        <v>0</v>
      </c>
      <c r="D8078" s="67">
        <v>0</v>
      </c>
      <c r="E8078" s="67">
        <v>10000.10014</v>
      </c>
      <c r="F8078" s="67">
        <v>970</v>
      </c>
      <c r="H8078" s="68">
        <v>40806</v>
      </c>
      <c r="I8078" s="67" t="s">
        <v>148</v>
      </c>
    </row>
    <row r="8079" spans="1:9" x14ac:dyDescent="0.25">
      <c r="B8079" s="67" t="s">
        <v>631</v>
      </c>
      <c r="C8079" s="67">
        <v>0</v>
      </c>
      <c r="D8079" s="67">
        <v>0</v>
      </c>
      <c r="E8079" s="67">
        <v>10000.10014</v>
      </c>
      <c r="H8079" s="67" t="s">
        <v>146</v>
      </c>
    </row>
    <row r="8081" spans="1:9" x14ac:dyDescent="0.25">
      <c r="A8081" s="67" t="s">
        <v>630</v>
      </c>
      <c r="B8081" s="67" t="s">
        <v>629</v>
      </c>
      <c r="C8081" s="67">
        <v>0</v>
      </c>
      <c r="D8081" s="67">
        <v>0</v>
      </c>
      <c r="E8081" s="67">
        <v>99900.512050000005</v>
      </c>
      <c r="F8081" s="67">
        <v>970</v>
      </c>
      <c r="H8081" s="68">
        <v>40758</v>
      </c>
      <c r="I8081" s="67" t="s">
        <v>148</v>
      </c>
    </row>
    <row r="8082" spans="1:9" x14ac:dyDescent="0.25">
      <c r="B8082" s="67" t="s">
        <v>629</v>
      </c>
      <c r="C8082" s="67">
        <v>0</v>
      </c>
      <c r="D8082" s="67">
        <v>0</v>
      </c>
      <c r="E8082" s="67">
        <v>99900.552049999998</v>
      </c>
      <c r="H8082" s="67" t="s">
        <v>146</v>
      </c>
    </row>
    <row r="8084" spans="1:9" x14ac:dyDescent="0.25">
      <c r="A8084" s="67" t="s">
        <v>628</v>
      </c>
      <c r="B8084" s="67" t="s">
        <v>627</v>
      </c>
      <c r="C8084" s="67">
        <v>0</v>
      </c>
      <c r="D8084" s="67">
        <v>0</v>
      </c>
      <c r="E8084" s="67">
        <v>99900.597102</v>
      </c>
      <c r="F8084" s="67">
        <v>970</v>
      </c>
      <c r="H8084" s="68">
        <v>40758</v>
      </c>
      <c r="I8084" s="67" t="s">
        <v>148</v>
      </c>
    </row>
    <row r="8085" spans="1:9" x14ac:dyDescent="0.25">
      <c r="B8085" s="67" t="s">
        <v>627</v>
      </c>
      <c r="C8085" s="67">
        <v>0</v>
      </c>
      <c r="D8085" s="67">
        <v>0</v>
      </c>
      <c r="E8085" s="67">
        <v>99900.598102000004</v>
      </c>
      <c r="H8085" s="67" t="s">
        <v>146</v>
      </c>
    </row>
    <row r="8087" spans="1:9" x14ac:dyDescent="0.25">
      <c r="A8087" s="67" t="s">
        <v>626</v>
      </c>
      <c r="B8087" s="67" t="s">
        <v>625</v>
      </c>
      <c r="C8087" s="67">
        <v>0</v>
      </c>
      <c r="D8087" s="67">
        <v>0</v>
      </c>
      <c r="E8087" s="67">
        <v>99900.597102999993</v>
      </c>
      <c r="F8087" s="67">
        <v>970</v>
      </c>
      <c r="H8087" s="68">
        <v>40758</v>
      </c>
      <c r="I8087" s="67" t="s">
        <v>148</v>
      </c>
    </row>
    <row r="8088" spans="1:9" x14ac:dyDescent="0.25">
      <c r="B8088" s="67" t="s">
        <v>625</v>
      </c>
      <c r="C8088" s="67">
        <v>0</v>
      </c>
      <c r="D8088" s="67">
        <v>0</v>
      </c>
      <c r="E8088" s="67">
        <v>99900.598102999997</v>
      </c>
      <c r="H8088" s="67" t="s">
        <v>146</v>
      </c>
    </row>
    <row r="8090" spans="1:9" x14ac:dyDescent="0.25">
      <c r="A8090" s="67" t="s">
        <v>624</v>
      </c>
      <c r="B8090" s="67" t="s">
        <v>623</v>
      </c>
      <c r="C8090" s="67">
        <v>0</v>
      </c>
      <c r="D8090" s="67">
        <v>0</v>
      </c>
      <c r="E8090" s="67">
        <v>99900.519969999994</v>
      </c>
      <c r="F8090" s="67">
        <v>970</v>
      </c>
      <c r="H8090" s="68">
        <v>40806</v>
      </c>
      <c r="I8090" s="67" t="s">
        <v>148</v>
      </c>
    </row>
    <row r="8091" spans="1:9" x14ac:dyDescent="0.25">
      <c r="B8091" s="67" t="s">
        <v>622</v>
      </c>
      <c r="C8091" s="67">
        <v>0</v>
      </c>
      <c r="D8091" s="67">
        <v>0</v>
      </c>
      <c r="E8091" s="67">
        <v>99900.559970000002</v>
      </c>
      <c r="H8091" s="67" t="s">
        <v>146</v>
      </c>
    </row>
    <row r="8093" spans="1:9" x14ac:dyDescent="0.25">
      <c r="A8093" s="67" t="s">
        <v>621</v>
      </c>
      <c r="B8093" s="67" t="s">
        <v>620</v>
      </c>
      <c r="C8093" s="67">
        <v>0</v>
      </c>
      <c r="D8093" s="67">
        <v>0</v>
      </c>
      <c r="E8093" s="67">
        <v>99900.518429999996</v>
      </c>
      <c r="F8093" s="67">
        <v>970</v>
      </c>
      <c r="H8093" s="68">
        <v>40806</v>
      </c>
      <c r="I8093" s="67" t="s">
        <v>148</v>
      </c>
    </row>
    <row r="8094" spans="1:9" x14ac:dyDescent="0.25">
      <c r="B8094" s="67" t="s">
        <v>620</v>
      </c>
      <c r="C8094" s="67">
        <v>0</v>
      </c>
      <c r="D8094" s="67">
        <v>0</v>
      </c>
      <c r="E8094" s="67">
        <v>99900.558430000005</v>
      </c>
      <c r="H8094" s="67" t="s">
        <v>146</v>
      </c>
    </row>
    <row r="8096" spans="1:9" x14ac:dyDescent="0.25">
      <c r="A8096" s="67" t="s">
        <v>619</v>
      </c>
      <c r="B8096" s="67" t="s">
        <v>618</v>
      </c>
      <c r="C8096" s="67">
        <v>0</v>
      </c>
      <c r="D8096" s="67">
        <v>0</v>
      </c>
      <c r="E8096" s="67">
        <v>0</v>
      </c>
      <c r="H8096" s="68">
        <v>41297</v>
      </c>
      <c r="I8096" s="67" t="s">
        <v>148</v>
      </c>
    </row>
    <row r="8097" spans="1:9" x14ac:dyDescent="0.25">
      <c r="B8097" s="67" t="s">
        <v>618</v>
      </c>
      <c r="C8097" s="67">
        <v>0</v>
      </c>
      <c r="D8097" s="67">
        <v>0</v>
      </c>
      <c r="E8097" s="67">
        <v>0</v>
      </c>
      <c r="H8097" s="67" t="s">
        <v>146</v>
      </c>
    </row>
    <row r="8099" spans="1:9" x14ac:dyDescent="0.25">
      <c r="A8099" s="67" t="s">
        <v>617</v>
      </c>
      <c r="B8099" s="67" t="s">
        <v>616</v>
      </c>
      <c r="C8099" s="67">
        <v>0</v>
      </c>
      <c r="D8099" s="67">
        <v>0</v>
      </c>
      <c r="E8099" s="67">
        <v>10000.10023</v>
      </c>
      <c r="F8099" s="67">
        <v>970</v>
      </c>
      <c r="H8099" s="68">
        <v>40766</v>
      </c>
      <c r="I8099" s="67" t="s">
        <v>148</v>
      </c>
    </row>
    <row r="8100" spans="1:9" x14ac:dyDescent="0.25">
      <c r="B8100" s="67" t="s">
        <v>616</v>
      </c>
      <c r="C8100" s="67">
        <v>0</v>
      </c>
      <c r="D8100" s="67">
        <v>0</v>
      </c>
      <c r="E8100" s="67">
        <v>10000.100251</v>
      </c>
      <c r="H8100" s="67" t="s">
        <v>146</v>
      </c>
    </row>
    <row r="8101" spans="1:9" x14ac:dyDescent="0.25">
      <c r="A8101" s="67" t="s">
        <v>233</v>
      </c>
    </row>
    <row r="8103" spans="1:9" x14ac:dyDescent="0.25">
      <c r="A8103" s="67" t="s">
        <v>232</v>
      </c>
      <c r="D8103" s="67" t="s">
        <v>231</v>
      </c>
      <c r="H8103" s="67" t="s">
        <v>148</v>
      </c>
      <c r="I8103" s="67" t="s">
        <v>230</v>
      </c>
    </row>
    <row r="8104" spans="1:9" x14ac:dyDescent="0.25">
      <c r="A8104" s="67">
        <v>41.1</v>
      </c>
      <c r="C8104" s="67" t="s">
        <v>215</v>
      </c>
      <c r="D8104" s="67" t="s">
        <v>229</v>
      </c>
      <c r="H8104" s="70">
        <v>44771</v>
      </c>
      <c r="I8104" s="69">
        <v>0.56736111111111109</v>
      </c>
    </row>
    <row r="8105" spans="1:9" x14ac:dyDescent="0.25">
      <c r="A8105" s="67" t="s">
        <v>228</v>
      </c>
      <c r="C8105" s="67" t="s">
        <v>227</v>
      </c>
      <c r="D8105" s="67" t="s">
        <v>226</v>
      </c>
      <c r="E8105" s="67">
        <v>589</v>
      </c>
      <c r="H8105" s="67" t="s">
        <v>225</v>
      </c>
      <c r="I8105" s="67">
        <v>144</v>
      </c>
    </row>
    <row r="8106" spans="1:9" x14ac:dyDescent="0.25">
      <c r="A8106" s="67" t="s">
        <v>615</v>
      </c>
      <c r="B8106" s="67" t="s">
        <v>614</v>
      </c>
    </row>
    <row r="8107" spans="1:9" x14ac:dyDescent="0.25">
      <c r="A8107" s="67" t="s">
        <v>223</v>
      </c>
      <c r="B8107" s="67" t="s">
        <v>222</v>
      </c>
      <c r="C8107" s="67" t="s">
        <v>221</v>
      </c>
      <c r="D8107" s="67" t="s">
        <v>220</v>
      </c>
      <c r="E8107" s="67" t="s">
        <v>219</v>
      </c>
      <c r="F8107" s="67" t="s">
        <v>217</v>
      </c>
      <c r="G8107" s="67" t="s">
        <v>218</v>
      </c>
      <c r="H8107" s="67" t="s">
        <v>217</v>
      </c>
      <c r="I8107" s="67" t="s">
        <v>216</v>
      </c>
    </row>
    <row r="8108" spans="1:9" x14ac:dyDescent="0.25">
      <c r="A8108" s="67" t="s">
        <v>215</v>
      </c>
      <c r="B8108" s="67" t="s">
        <v>214</v>
      </c>
      <c r="C8108" s="67" t="s">
        <v>213</v>
      </c>
      <c r="D8108" s="67" t="s">
        <v>212</v>
      </c>
      <c r="E8108" s="67" t="s">
        <v>211</v>
      </c>
      <c r="F8108" s="67" t="s">
        <v>210</v>
      </c>
      <c r="G8108" s="67" t="s">
        <v>209</v>
      </c>
      <c r="H8108" s="67" t="s">
        <v>208</v>
      </c>
      <c r="I8108" s="67" t="s">
        <v>207</v>
      </c>
    </row>
    <row r="8109" spans="1:9" x14ac:dyDescent="0.25">
      <c r="A8109" s="67" t="s">
        <v>206</v>
      </c>
      <c r="B8109" s="67" t="s">
        <v>205</v>
      </c>
      <c r="C8109" s="67" t="s">
        <v>204</v>
      </c>
      <c r="D8109" s="67" t="s">
        <v>203</v>
      </c>
      <c r="E8109" s="67" t="s">
        <v>202</v>
      </c>
      <c r="F8109" s="67" t="s">
        <v>201</v>
      </c>
      <c r="G8109" s="67" t="s">
        <v>200</v>
      </c>
      <c r="H8109" s="67" t="s">
        <v>199</v>
      </c>
    </row>
    <row r="8110" spans="1:9" x14ac:dyDescent="0.25">
      <c r="A8110" s="67" t="s">
        <v>613</v>
      </c>
      <c r="B8110" s="67" t="s">
        <v>612</v>
      </c>
      <c r="C8110" s="67">
        <v>0</v>
      </c>
      <c r="D8110" s="67">
        <v>0</v>
      </c>
      <c r="E8110" s="67">
        <v>10000.10023</v>
      </c>
      <c r="F8110" s="67">
        <v>970</v>
      </c>
      <c r="H8110" s="68">
        <v>40766</v>
      </c>
      <c r="I8110" s="67" t="s">
        <v>148</v>
      </c>
    </row>
    <row r="8111" spans="1:9" x14ac:dyDescent="0.25">
      <c r="B8111" s="67" t="s">
        <v>612</v>
      </c>
      <c r="C8111" s="67">
        <v>0</v>
      </c>
      <c r="D8111" s="67">
        <v>0</v>
      </c>
      <c r="E8111" s="67">
        <v>10000.100251</v>
      </c>
      <c r="H8111" s="67" t="s">
        <v>146</v>
      </c>
    </row>
    <row r="8112" spans="1:9" x14ac:dyDescent="0.25">
      <c r="A8112" s="67" t="s">
        <v>233</v>
      </c>
    </row>
    <row r="8114" spans="1:9" x14ac:dyDescent="0.25">
      <c r="A8114" s="67" t="s">
        <v>232</v>
      </c>
      <c r="D8114" s="67" t="s">
        <v>231</v>
      </c>
      <c r="H8114" s="67" t="s">
        <v>148</v>
      </c>
      <c r="I8114" s="67" t="s">
        <v>230</v>
      </c>
    </row>
    <row r="8115" spans="1:9" x14ac:dyDescent="0.25">
      <c r="A8115" s="67">
        <v>41.1</v>
      </c>
      <c r="C8115" s="67" t="s">
        <v>215</v>
      </c>
      <c r="D8115" s="67" t="s">
        <v>229</v>
      </c>
      <c r="H8115" s="70">
        <v>44771</v>
      </c>
      <c r="I8115" s="69">
        <v>0.56736111111111109</v>
      </c>
    </row>
    <row r="8116" spans="1:9" x14ac:dyDescent="0.25">
      <c r="A8116" s="67" t="s">
        <v>228</v>
      </c>
      <c r="C8116" s="67" t="s">
        <v>227</v>
      </c>
      <c r="D8116" s="67" t="s">
        <v>226</v>
      </c>
      <c r="E8116" s="67">
        <v>589</v>
      </c>
      <c r="H8116" s="67" t="s">
        <v>225</v>
      </c>
      <c r="I8116" s="67">
        <v>145</v>
      </c>
    </row>
    <row r="8117" spans="1:9" x14ac:dyDescent="0.25">
      <c r="A8117" s="67" t="s">
        <v>504</v>
      </c>
      <c r="B8117" s="67" t="s">
        <v>503</v>
      </c>
    </row>
    <row r="8118" spans="1:9" x14ac:dyDescent="0.25">
      <c r="A8118" s="67" t="s">
        <v>223</v>
      </c>
      <c r="B8118" s="67" t="s">
        <v>222</v>
      </c>
      <c r="C8118" s="67" t="s">
        <v>221</v>
      </c>
      <c r="D8118" s="67" t="s">
        <v>220</v>
      </c>
      <c r="E8118" s="67" t="s">
        <v>219</v>
      </c>
      <c r="F8118" s="67" t="s">
        <v>217</v>
      </c>
      <c r="G8118" s="67" t="s">
        <v>218</v>
      </c>
      <c r="H8118" s="67" t="s">
        <v>217</v>
      </c>
      <c r="I8118" s="67" t="s">
        <v>216</v>
      </c>
    </row>
    <row r="8119" spans="1:9" x14ac:dyDescent="0.25">
      <c r="A8119" s="67" t="s">
        <v>215</v>
      </c>
      <c r="B8119" s="67" t="s">
        <v>214</v>
      </c>
      <c r="C8119" s="67" t="s">
        <v>213</v>
      </c>
      <c r="D8119" s="67" t="s">
        <v>212</v>
      </c>
      <c r="E8119" s="67" t="s">
        <v>211</v>
      </c>
      <c r="F8119" s="67" t="s">
        <v>210</v>
      </c>
      <c r="G8119" s="67" t="s">
        <v>209</v>
      </c>
      <c r="H8119" s="67" t="s">
        <v>208</v>
      </c>
      <c r="I8119" s="67" t="s">
        <v>207</v>
      </c>
    </row>
    <row r="8120" spans="1:9" x14ac:dyDescent="0.25">
      <c r="A8120" s="67" t="s">
        <v>206</v>
      </c>
      <c r="B8120" s="67" t="s">
        <v>205</v>
      </c>
      <c r="C8120" s="67" t="s">
        <v>204</v>
      </c>
      <c r="D8120" s="67" t="s">
        <v>203</v>
      </c>
      <c r="E8120" s="67" t="s">
        <v>202</v>
      </c>
      <c r="F8120" s="67" t="s">
        <v>201</v>
      </c>
      <c r="G8120" s="67" t="s">
        <v>200</v>
      </c>
      <c r="H8120" s="67" t="s">
        <v>199</v>
      </c>
    </row>
    <row r="8121" spans="1:9" x14ac:dyDescent="0.25">
      <c r="A8121" s="67" t="s">
        <v>611</v>
      </c>
      <c r="B8121" s="67" t="s">
        <v>610</v>
      </c>
      <c r="C8121" s="67" t="s">
        <v>609</v>
      </c>
      <c r="D8121" s="67">
        <v>0</v>
      </c>
      <c r="E8121" s="67">
        <v>10000.10001</v>
      </c>
      <c r="H8121" s="68">
        <v>40745</v>
      </c>
      <c r="I8121" s="67" t="s">
        <v>148</v>
      </c>
    </row>
    <row r="8122" spans="1:9" x14ac:dyDescent="0.25">
      <c r="B8122" s="67" t="s">
        <v>608</v>
      </c>
      <c r="C8122" s="67">
        <v>0</v>
      </c>
      <c r="D8122" s="67">
        <v>0</v>
      </c>
      <c r="E8122" s="67">
        <v>10000.10022</v>
      </c>
      <c r="H8122" s="67" t="s">
        <v>146</v>
      </c>
    </row>
    <row r="8124" spans="1:9" x14ac:dyDescent="0.25">
      <c r="A8124" s="67" t="s">
        <v>607</v>
      </c>
      <c r="B8124" s="67" t="s">
        <v>606</v>
      </c>
      <c r="C8124" s="67" t="s">
        <v>582</v>
      </c>
      <c r="D8124" s="67">
        <v>0</v>
      </c>
      <c r="E8124" s="67">
        <v>10000.10001</v>
      </c>
      <c r="H8124" s="68">
        <v>40745</v>
      </c>
      <c r="I8124" s="67" t="s">
        <v>148</v>
      </c>
    </row>
    <row r="8125" spans="1:9" x14ac:dyDescent="0.25">
      <c r="B8125" s="67" t="s">
        <v>605</v>
      </c>
      <c r="C8125" s="67">
        <v>0</v>
      </c>
      <c r="D8125" s="67">
        <v>0</v>
      </c>
      <c r="E8125" s="67">
        <v>10000.10022</v>
      </c>
      <c r="H8125" s="67" t="s">
        <v>146</v>
      </c>
    </row>
    <row r="8127" spans="1:9" x14ac:dyDescent="0.25">
      <c r="A8127" s="67" t="s">
        <v>604</v>
      </c>
      <c r="B8127" s="67" t="s">
        <v>603</v>
      </c>
      <c r="C8127" s="67">
        <v>0</v>
      </c>
      <c r="D8127" s="67">
        <v>0</v>
      </c>
      <c r="E8127" s="67">
        <v>10000.10001</v>
      </c>
      <c r="H8127" s="68">
        <v>40745</v>
      </c>
      <c r="I8127" s="67" t="s">
        <v>148</v>
      </c>
    </row>
    <row r="8128" spans="1:9" x14ac:dyDescent="0.25">
      <c r="B8128" s="67" t="s">
        <v>602</v>
      </c>
      <c r="C8128" s="67">
        <v>0</v>
      </c>
      <c r="D8128" s="67">
        <v>0</v>
      </c>
      <c r="E8128" s="67">
        <v>10000.10022</v>
      </c>
      <c r="H8128" s="67" t="s">
        <v>146</v>
      </c>
    </row>
    <row r="8130" spans="1:9" x14ac:dyDescent="0.25">
      <c r="A8130" s="67" t="s">
        <v>601</v>
      </c>
      <c r="B8130" s="67" t="s">
        <v>600</v>
      </c>
      <c r="C8130" s="67">
        <v>0</v>
      </c>
      <c r="D8130" s="67">
        <v>0</v>
      </c>
      <c r="E8130" s="67">
        <v>10000.10001</v>
      </c>
      <c r="H8130" s="68">
        <v>40821</v>
      </c>
      <c r="I8130" s="67" t="s">
        <v>148</v>
      </c>
    </row>
    <row r="8131" spans="1:9" x14ac:dyDescent="0.25">
      <c r="B8131" s="67" t="s">
        <v>599</v>
      </c>
      <c r="C8131" s="67">
        <v>0</v>
      </c>
      <c r="D8131" s="67">
        <v>0</v>
      </c>
      <c r="E8131" s="67">
        <v>10000.10022</v>
      </c>
      <c r="H8131" s="67" t="s">
        <v>146</v>
      </c>
    </row>
    <row r="8133" spans="1:9" x14ac:dyDescent="0.25">
      <c r="A8133" s="67" t="s">
        <v>598</v>
      </c>
      <c r="B8133" s="67" t="s">
        <v>597</v>
      </c>
      <c r="C8133" s="67">
        <v>0</v>
      </c>
      <c r="D8133" s="67">
        <v>0</v>
      </c>
      <c r="E8133" s="67">
        <v>10000.10001</v>
      </c>
      <c r="H8133" s="68">
        <v>40745</v>
      </c>
      <c r="I8133" s="67" t="s">
        <v>148</v>
      </c>
    </row>
    <row r="8134" spans="1:9" x14ac:dyDescent="0.25">
      <c r="B8134" s="67" t="s">
        <v>596</v>
      </c>
      <c r="C8134" s="67">
        <v>0</v>
      </c>
      <c r="D8134" s="67">
        <v>0</v>
      </c>
      <c r="E8134" s="67">
        <v>10000.10022</v>
      </c>
      <c r="H8134" s="67" t="s">
        <v>146</v>
      </c>
    </row>
    <row r="8136" spans="1:9" x14ac:dyDescent="0.25">
      <c r="A8136" s="67" t="s">
        <v>595</v>
      </c>
      <c r="B8136" s="67" t="s">
        <v>594</v>
      </c>
      <c r="C8136" s="67" t="s">
        <v>356</v>
      </c>
      <c r="D8136" s="67">
        <v>0</v>
      </c>
      <c r="E8136" s="67">
        <v>10000.10001</v>
      </c>
      <c r="H8136" s="68">
        <v>40745</v>
      </c>
      <c r="I8136" s="67" t="s">
        <v>148</v>
      </c>
    </row>
    <row r="8137" spans="1:9" x14ac:dyDescent="0.25">
      <c r="B8137" s="67" t="s">
        <v>593</v>
      </c>
      <c r="C8137" s="67">
        <v>0</v>
      </c>
      <c r="D8137" s="67">
        <v>0</v>
      </c>
      <c r="E8137" s="67">
        <v>10000.10022</v>
      </c>
      <c r="H8137" s="67" t="s">
        <v>146</v>
      </c>
    </row>
    <row r="8139" spans="1:9" x14ac:dyDescent="0.25">
      <c r="A8139" s="67" t="s">
        <v>592</v>
      </c>
      <c r="B8139" s="67" t="s">
        <v>591</v>
      </c>
      <c r="C8139" s="67" t="s">
        <v>590</v>
      </c>
      <c r="D8139" s="67">
        <v>0</v>
      </c>
      <c r="E8139" s="67">
        <v>10000.10001</v>
      </c>
      <c r="H8139" s="68">
        <v>40814</v>
      </c>
      <c r="I8139" s="67" t="s">
        <v>148</v>
      </c>
    </row>
    <row r="8140" spans="1:9" x14ac:dyDescent="0.25">
      <c r="B8140" s="67" t="s">
        <v>589</v>
      </c>
      <c r="C8140" s="67">
        <v>0</v>
      </c>
      <c r="D8140" s="67">
        <v>0</v>
      </c>
      <c r="E8140" s="67">
        <v>10000.10022</v>
      </c>
      <c r="H8140" s="67" t="s">
        <v>146</v>
      </c>
    </row>
    <row r="8142" spans="1:9" x14ac:dyDescent="0.25">
      <c r="A8142" s="67" t="s">
        <v>588</v>
      </c>
      <c r="B8142" s="67" t="s">
        <v>587</v>
      </c>
      <c r="C8142" s="67" t="s">
        <v>586</v>
      </c>
      <c r="D8142" s="67">
        <v>0</v>
      </c>
      <c r="E8142" s="67">
        <v>10000.10001</v>
      </c>
      <c r="H8142" s="68">
        <v>41887</v>
      </c>
      <c r="I8142" s="67" t="s">
        <v>148</v>
      </c>
    </row>
    <row r="8143" spans="1:9" x14ac:dyDescent="0.25">
      <c r="B8143" s="67" t="s">
        <v>585</v>
      </c>
      <c r="C8143" s="67">
        <v>0</v>
      </c>
      <c r="D8143" s="67">
        <v>0</v>
      </c>
      <c r="E8143" s="67">
        <v>10000.10022</v>
      </c>
      <c r="H8143" s="67" t="s">
        <v>146</v>
      </c>
    </row>
    <row r="8145" spans="1:9" x14ac:dyDescent="0.25">
      <c r="A8145" s="67" t="s">
        <v>584</v>
      </c>
      <c r="B8145" s="67" t="s">
        <v>583</v>
      </c>
      <c r="C8145" s="67" t="s">
        <v>582</v>
      </c>
      <c r="D8145" s="67">
        <v>0</v>
      </c>
      <c r="E8145" s="67">
        <v>10000.10001</v>
      </c>
      <c r="H8145" s="68">
        <v>41887</v>
      </c>
      <c r="I8145" s="67" t="s">
        <v>148</v>
      </c>
    </row>
    <row r="8146" spans="1:9" x14ac:dyDescent="0.25">
      <c r="B8146" s="67" t="s">
        <v>581</v>
      </c>
      <c r="C8146" s="67">
        <v>0</v>
      </c>
      <c r="D8146" s="67">
        <v>0</v>
      </c>
      <c r="E8146" s="67">
        <v>10000.10022</v>
      </c>
      <c r="H8146" s="67" t="s">
        <v>146</v>
      </c>
    </row>
    <row r="8148" spans="1:9" x14ac:dyDescent="0.25">
      <c r="A8148" s="67" t="s">
        <v>580</v>
      </c>
      <c r="B8148" s="67" t="s">
        <v>579</v>
      </c>
      <c r="C8148" s="67" t="s">
        <v>258</v>
      </c>
      <c r="D8148" s="67">
        <v>0</v>
      </c>
      <c r="E8148" s="67">
        <v>10000.101178000001</v>
      </c>
      <c r="H8148" s="68">
        <v>40883</v>
      </c>
      <c r="I8148" s="67" t="s">
        <v>148</v>
      </c>
    </row>
    <row r="8149" spans="1:9" x14ac:dyDescent="0.25">
      <c r="B8149" s="67" t="s">
        <v>578</v>
      </c>
      <c r="C8149" s="67">
        <v>0</v>
      </c>
      <c r="D8149" s="67">
        <v>0</v>
      </c>
      <c r="E8149" s="67">
        <v>10000.10001</v>
      </c>
      <c r="H8149" s="67" t="s">
        <v>146</v>
      </c>
    </row>
    <row r="8151" spans="1:9" x14ac:dyDescent="0.25">
      <c r="A8151" s="67" t="s">
        <v>577</v>
      </c>
      <c r="B8151" s="67" t="s">
        <v>576</v>
      </c>
      <c r="C8151" s="67" t="s">
        <v>575</v>
      </c>
      <c r="D8151" s="67">
        <v>0</v>
      </c>
      <c r="E8151" s="67">
        <v>83400.491999999998</v>
      </c>
      <c r="H8151" s="68">
        <v>40882</v>
      </c>
      <c r="I8151" s="67" t="s">
        <v>148</v>
      </c>
    </row>
    <row r="8152" spans="1:9" x14ac:dyDescent="0.25">
      <c r="B8152" s="67" t="s">
        <v>574</v>
      </c>
      <c r="C8152" s="67">
        <v>0</v>
      </c>
      <c r="D8152" s="67">
        <v>0</v>
      </c>
      <c r="E8152" s="67">
        <v>10000.10001</v>
      </c>
      <c r="H8152" s="67" t="s">
        <v>146</v>
      </c>
    </row>
    <row r="8154" spans="1:9" x14ac:dyDescent="0.25">
      <c r="A8154" s="67" t="s">
        <v>573</v>
      </c>
      <c r="B8154" s="67" t="s">
        <v>572</v>
      </c>
      <c r="C8154" s="67" t="s">
        <v>258</v>
      </c>
      <c r="D8154" s="67">
        <v>0</v>
      </c>
      <c r="E8154" s="67">
        <v>83400.494300000006</v>
      </c>
      <c r="H8154" s="68">
        <v>40882</v>
      </c>
      <c r="I8154" s="67" t="s">
        <v>148</v>
      </c>
    </row>
    <row r="8155" spans="1:9" x14ac:dyDescent="0.25">
      <c r="B8155" s="67" t="s">
        <v>571</v>
      </c>
      <c r="C8155" s="67">
        <v>0</v>
      </c>
      <c r="D8155" s="67">
        <v>0</v>
      </c>
      <c r="E8155" s="67">
        <v>10000.10001</v>
      </c>
      <c r="H8155" s="67" t="s">
        <v>146</v>
      </c>
    </row>
    <row r="8157" spans="1:9" x14ac:dyDescent="0.25">
      <c r="A8157" s="67" t="s">
        <v>570</v>
      </c>
      <c r="B8157" s="67" t="s">
        <v>569</v>
      </c>
      <c r="C8157" s="67">
        <v>0</v>
      </c>
      <c r="D8157" s="67">
        <v>0</v>
      </c>
      <c r="E8157" s="67">
        <v>20000.20088</v>
      </c>
      <c r="H8157" s="68">
        <v>40892</v>
      </c>
      <c r="I8157" s="67" t="s">
        <v>547</v>
      </c>
    </row>
    <row r="8158" spans="1:9" x14ac:dyDescent="0.25">
      <c r="B8158" s="67" t="s">
        <v>569</v>
      </c>
      <c r="C8158" s="67">
        <v>0</v>
      </c>
      <c r="D8158" s="67">
        <v>0</v>
      </c>
      <c r="E8158" s="67">
        <v>10000.10001</v>
      </c>
      <c r="H8158" s="67" t="s">
        <v>146</v>
      </c>
    </row>
    <row r="8160" spans="1:9" x14ac:dyDescent="0.25">
      <c r="A8160" s="67" t="s">
        <v>568</v>
      </c>
      <c r="B8160" s="67" t="s">
        <v>567</v>
      </c>
      <c r="C8160" s="67" t="s">
        <v>258</v>
      </c>
      <c r="D8160" s="67">
        <v>0</v>
      </c>
      <c r="E8160" s="67">
        <v>87000.492599999998</v>
      </c>
      <c r="H8160" s="68">
        <v>40882</v>
      </c>
      <c r="I8160" s="67" t="s">
        <v>148</v>
      </c>
    </row>
    <row r="8161" spans="1:9" x14ac:dyDescent="0.25">
      <c r="B8161" s="67" t="s">
        <v>566</v>
      </c>
      <c r="C8161" s="67">
        <v>0</v>
      </c>
      <c r="D8161" s="67">
        <v>0</v>
      </c>
      <c r="E8161" s="67">
        <v>10000.10001</v>
      </c>
      <c r="H8161" s="67" t="s">
        <v>146</v>
      </c>
    </row>
    <row r="8163" spans="1:9" x14ac:dyDescent="0.25">
      <c r="A8163" s="67" t="s">
        <v>565</v>
      </c>
      <c r="B8163" s="67" t="s">
        <v>564</v>
      </c>
      <c r="C8163" s="67">
        <v>0</v>
      </c>
      <c r="D8163" s="67">
        <v>0</v>
      </c>
      <c r="E8163" s="67">
        <v>86100.499899999995</v>
      </c>
      <c r="H8163" s="68">
        <v>40882</v>
      </c>
      <c r="I8163" s="67" t="s">
        <v>148</v>
      </c>
    </row>
    <row r="8164" spans="1:9" x14ac:dyDescent="0.25">
      <c r="B8164" s="67" t="s">
        <v>564</v>
      </c>
      <c r="C8164" s="67">
        <v>0</v>
      </c>
      <c r="D8164" s="67">
        <v>0</v>
      </c>
      <c r="E8164" s="67">
        <v>10000.10001</v>
      </c>
      <c r="H8164" s="67" t="s">
        <v>146</v>
      </c>
    </row>
    <row r="8166" spans="1:9" x14ac:dyDescent="0.25">
      <c r="A8166" s="67" t="s">
        <v>563</v>
      </c>
      <c r="B8166" s="67" t="s">
        <v>562</v>
      </c>
      <c r="C8166" s="67" t="s">
        <v>561</v>
      </c>
      <c r="D8166" s="67">
        <v>0</v>
      </c>
      <c r="E8166" s="67">
        <v>86100.499899999995</v>
      </c>
      <c r="H8166" s="68">
        <v>40892</v>
      </c>
      <c r="I8166" s="67" t="s">
        <v>547</v>
      </c>
    </row>
    <row r="8167" spans="1:9" x14ac:dyDescent="0.25">
      <c r="B8167" s="67" t="s">
        <v>560</v>
      </c>
      <c r="C8167" s="67">
        <v>0</v>
      </c>
      <c r="D8167" s="67">
        <v>0</v>
      </c>
      <c r="E8167" s="67">
        <v>10000.10001</v>
      </c>
      <c r="H8167" s="67" t="s">
        <v>146</v>
      </c>
    </row>
    <row r="8169" spans="1:9" x14ac:dyDescent="0.25">
      <c r="A8169" s="67" t="s">
        <v>559</v>
      </c>
      <c r="B8169" s="67" t="s">
        <v>558</v>
      </c>
      <c r="C8169" s="67">
        <v>0</v>
      </c>
      <c r="D8169" s="67">
        <v>0</v>
      </c>
      <c r="E8169" s="67">
        <v>10000.100141000001</v>
      </c>
      <c r="H8169" s="68">
        <v>40892</v>
      </c>
      <c r="I8169" s="67" t="s">
        <v>148</v>
      </c>
    </row>
    <row r="8170" spans="1:9" x14ac:dyDescent="0.25">
      <c r="B8170" s="67" t="s">
        <v>557</v>
      </c>
      <c r="C8170" s="67">
        <v>0</v>
      </c>
      <c r="D8170" s="67">
        <v>0</v>
      </c>
      <c r="E8170" s="67">
        <v>10000.10001</v>
      </c>
      <c r="H8170" s="67" t="s">
        <v>146</v>
      </c>
    </row>
    <row r="8171" spans="1:9" x14ac:dyDescent="0.25">
      <c r="A8171" s="67" t="s">
        <v>233</v>
      </c>
    </row>
    <row r="8173" spans="1:9" x14ac:dyDescent="0.25">
      <c r="A8173" s="67" t="s">
        <v>232</v>
      </c>
      <c r="D8173" s="67" t="s">
        <v>231</v>
      </c>
      <c r="H8173" s="67" t="s">
        <v>148</v>
      </c>
      <c r="I8173" s="67" t="s">
        <v>230</v>
      </c>
    </row>
    <row r="8174" spans="1:9" x14ac:dyDescent="0.25">
      <c r="A8174" s="67">
        <v>41.1</v>
      </c>
      <c r="C8174" s="67" t="s">
        <v>215</v>
      </c>
      <c r="D8174" s="67" t="s">
        <v>229</v>
      </c>
      <c r="H8174" s="70">
        <v>44771</v>
      </c>
      <c r="I8174" s="69">
        <v>0.56736111111111109</v>
      </c>
    </row>
    <row r="8175" spans="1:9" x14ac:dyDescent="0.25">
      <c r="A8175" s="67" t="s">
        <v>228</v>
      </c>
      <c r="C8175" s="67" t="s">
        <v>227</v>
      </c>
      <c r="D8175" s="67" t="s">
        <v>226</v>
      </c>
      <c r="E8175" s="67">
        <v>589</v>
      </c>
      <c r="H8175" s="67" t="s">
        <v>225</v>
      </c>
      <c r="I8175" s="67">
        <v>146</v>
      </c>
    </row>
    <row r="8176" spans="1:9" x14ac:dyDescent="0.25">
      <c r="A8176" s="67" t="s">
        <v>504</v>
      </c>
      <c r="B8176" s="67" t="s">
        <v>503</v>
      </c>
    </row>
    <row r="8177" spans="1:9" x14ac:dyDescent="0.25">
      <c r="A8177" s="67" t="s">
        <v>223</v>
      </c>
      <c r="B8177" s="67" t="s">
        <v>222</v>
      </c>
      <c r="C8177" s="67" t="s">
        <v>221</v>
      </c>
      <c r="D8177" s="67" t="s">
        <v>220</v>
      </c>
      <c r="E8177" s="67" t="s">
        <v>219</v>
      </c>
      <c r="F8177" s="67" t="s">
        <v>217</v>
      </c>
      <c r="G8177" s="67" t="s">
        <v>218</v>
      </c>
      <c r="H8177" s="67" t="s">
        <v>217</v>
      </c>
      <c r="I8177" s="67" t="s">
        <v>216</v>
      </c>
    </row>
    <row r="8178" spans="1:9" x14ac:dyDescent="0.25">
      <c r="A8178" s="67" t="s">
        <v>215</v>
      </c>
      <c r="B8178" s="67" t="s">
        <v>214</v>
      </c>
      <c r="C8178" s="67" t="s">
        <v>213</v>
      </c>
      <c r="D8178" s="67" t="s">
        <v>212</v>
      </c>
      <c r="E8178" s="67" t="s">
        <v>211</v>
      </c>
      <c r="F8178" s="67" t="s">
        <v>210</v>
      </c>
      <c r="G8178" s="67" t="s">
        <v>209</v>
      </c>
      <c r="H8178" s="67" t="s">
        <v>208</v>
      </c>
      <c r="I8178" s="67" t="s">
        <v>207</v>
      </c>
    </row>
    <row r="8179" spans="1:9" x14ac:dyDescent="0.25">
      <c r="A8179" s="67" t="s">
        <v>206</v>
      </c>
      <c r="B8179" s="67" t="s">
        <v>205</v>
      </c>
      <c r="C8179" s="67" t="s">
        <v>204</v>
      </c>
      <c r="D8179" s="67" t="s">
        <v>203</v>
      </c>
      <c r="E8179" s="67" t="s">
        <v>202</v>
      </c>
      <c r="F8179" s="67" t="s">
        <v>201</v>
      </c>
      <c r="G8179" s="67" t="s">
        <v>200</v>
      </c>
      <c r="H8179" s="67" t="s">
        <v>199</v>
      </c>
    </row>
    <row r="8180" spans="1:9" x14ac:dyDescent="0.25">
      <c r="A8180" s="67" t="s">
        <v>556</v>
      </c>
      <c r="B8180" s="67" t="s">
        <v>555</v>
      </c>
      <c r="C8180" s="67">
        <v>0</v>
      </c>
      <c r="D8180" s="67">
        <v>0</v>
      </c>
      <c r="E8180" s="67">
        <v>85300.688110000003</v>
      </c>
      <c r="F8180" s="67">
        <v>982</v>
      </c>
      <c r="H8180" s="68">
        <v>41008</v>
      </c>
      <c r="I8180" s="67" t="s">
        <v>148</v>
      </c>
    </row>
    <row r="8181" spans="1:9" x14ac:dyDescent="0.25">
      <c r="B8181" s="67" t="s">
        <v>555</v>
      </c>
      <c r="C8181" s="67">
        <v>0</v>
      </c>
      <c r="D8181" s="67">
        <v>0</v>
      </c>
      <c r="E8181" s="67">
        <v>10000.10001</v>
      </c>
      <c r="H8181" s="67" t="s">
        <v>146</v>
      </c>
    </row>
    <row r="8183" spans="1:9" x14ac:dyDescent="0.25">
      <c r="A8183" s="67" t="s">
        <v>554</v>
      </c>
      <c r="B8183" s="67" t="s">
        <v>553</v>
      </c>
      <c r="C8183" s="67">
        <v>0</v>
      </c>
      <c r="D8183" s="67">
        <v>0</v>
      </c>
      <c r="E8183" s="67">
        <v>10000.100476</v>
      </c>
      <c r="H8183" s="68">
        <v>40892</v>
      </c>
      <c r="I8183" s="67" t="s">
        <v>148</v>
      </c>
    </row>
    <row r="8184" spans="1:9" x14ac:dyDescent="0.25">
      <c r="B8184" s="67" t="s">
        <v>553</v>
      </c>
      <c r="C8184" s="67">
        <v>0</v>
      </c>
      <c r="D8184" s="67">
        <v>0</v>
      </c>
      <c r="E8184" s="67">
        <v>10000.10001</v>
      </c>
      <c r="H8184" s="67" t="s">
        <v>146</v>
      </c>
    </row>
    <row r="8186" spans="1:9" x14ac:dyDescent="0.25">
      <c r="A8186" s="67" t="s">
        <v>552</v>
      </c>
      <c r="B8186" s="67" t="s">
        <v>551</v>
      </c>
      <c r="C8186" s="67">
        <v>0</v>
      </c>
      <c r="D8186" s="67">
        <v>0</v>
      </c>
      <c r="E8186" s="67">
        <v>83900.651899999997</v>
      </c>
      <c r="H8186" s="68">
        <v>41037</v>
      </c>
      <c r="I8186" s="67" t="s">
        <v>148</v>
      </c>
    </row>
    <row r="8187" spans="1:9" x14ac:dyDescent="0.25">
      <c r="B8187" s="67" t="s">
        <v>551</v>
      </c>
      <c r="C8187" s="67">
        <v>0</v>
      </c>
      <c r="D8187" s="67">
        <v>0</v>
      </c>
      <c r="E8187" s="67">
        <v>10000.10001</v>
      </c>
      <c r="H8187" s="67" t="s">
        <v>146</v>
      </c>
    </row>
    <row r="8189" spans="1:9" x14ac:dyDescent="0.25">
      <c r="A8189" s="67" t="s">
        <v>550</v>
      </c>
      <c r="B8189" s="67" t="s">
        <v>549</v>
      </c>
      <c r="C8189" s="67" t="s">
        <v>548</v>
      </c>
      <c r="D8189" s="67">
        <v>0</v>
      </c>
      <c r="E8189" s="67">
        <v>0</v>
      </c>
      <c r="H8189" s="68">
        <v>43118</v>
      </c>
      <c r="I8189" s="67" t="s">
        <v>547</v>
      </c>
    </row>
    <row r="8190" spans="1:9" x14ac:dyDescent="0.25">
      <c r="B8190" s="67" t="s">
        <v>546</v>
      </c>
      <c r="C8190" s="67">
        <v>0</v>
      </c>
      <c r="D8190" s="67">
        <v>0</v>
      </c>
      <c r="E8190" s="67">
        <v>0</v>
      </c>
      <c r="H8190" s="67" t="s">
        <v>146</v>
      </c>
    </row>
    <row r="8192" spans="1:9" x14ac:dyDescent="0.25">
      <c r="A8192" s="67" t="s">
        <v>545</v>
      </c>
      <c r="B8192" s="67" t="s">
        <v>544</v>
      </c>
      <c r="C8192" s="67" t="s">
        <v>324</v>
      </c>
      <c r="D8192" s="67">
        <v>0</v>
      </c>
      <c r="E8192" s="67">
        <v>10000.100191</v>
      </c>
      <c r="F8192" s="67">
        <v>982</v>
      </c>
      <c r="H8192" s="68">
        <v>43935</v>
      </c>
      <c r="I8192" s="67" t="s">
        <v>148</v>
      </c>
    </row>
    <row r="8193" spans="1:9" x14ac:dyDescent="0.25">
      <c r="B8193" s="67" t="s">
        <v>543</v>
      </c>
      <c r="C8193" s="67">
        <v>0</v>
      </c>
      <c r="D8193" s="67">
        <v>0</v>
      </c>
      <c r="E8193" s="67">
        <v>10000.10001</v>
      </c>
      <c r="H8193" s="67" t="s">
        <v>146</v>
      </c>
    </row>
    <row r="8195" spans="1:9" x14ac:dyDescent="0.25">
      <c r="A8195" s="67" t="s">
        <v>542</v>
      </c>
      <c r="B8195" s="67" t="s">
        <v>541</v>
      </c>
      <c r="C8195" s="67" t="s">
        <v>540</v>
      </c>
      <c r="D8195" s="67">
        <v>0</v>
      </c>
      <c r="E8195" s="67">
        <v>20000.207999999999</v>
      </c>
      <c r="H8195" s="68">
        <v>43935</v>
      </c>
      <c r="I8195" s="67" t="s">
        <v>148</v>
      </c>
    </row>
    <row r="8196" spans="1:9" x14ac:dyDescent="0.25">
      <c r="B8196" s="67" t="s">
        <v>539</v>
      </c>
      <c r="C8196" s="67">
        <v>0</v>
      </c>
      <c r="D8196" s="67">
        <v>0</v>
      </c>
      <c r="E8196" s="67">
        <v>10000.10001</v>
      </c>
      <c r="H8196" s="67" t="s">
        <v>146</v>
      </c>
    </row>
    <row r="8198" spans="1:9" x14ac:dyDescent="0.25">
      <c r="A8198" s="67" t="s">
        <v>538</v>
      </c>
      <c r="B8198" s="67" t="s">
        <v>537</v>
      </c>
      <c r="C8198" s="67" t="s">
        <v>533</v>
      </c>
      <c r="D8198" s="67">
        <v>0</v>
      </c>
      <c r="E8198" s="67">
        <v>20000.208000999999</v>
      </c>
      <c r="F8198" s="67">
        <v>982</v>
      </c>
      <c r="H8198" s="68">
        <v>43944</v>
      </c>
      <c r="I8198" s="67" t="s">
        <v>148</v>
      </c>
    </row>
    <row r="8199" spans="1:9" x14ac:dyDescent="0.25">
      <c r="B8199" s="67" t="s">
        <v>536</v>
      </c>
      <c r="C8199" s="67">
        <v>0</v>
      </c>
      <c r="D8199" s="67">
        <v>0</v>
      </c>
      <c r="E8199" s="67">
        <v>10000.10001</v>
      </c>
      <c r="H8199" s="67" t="s">
        <v>146</v>
      </c>
    </row>
    <row r="8201" spans="1:9" x14ac:dyDescent="0.25">
      <c r="A8201" s="67" t="s">
        <v>535</v>
      </c>
      <c r="B8201" s="67" t="s">
        <v>534</v>
      </c>
      <c r="C8201" s="67" t="s">
        <v>533</v>
      </c>
      <c r="D8201" s="67">
        <v>0</v>
      </c>
      <c r="E8201" s="67">
        <v>20000.208001999999</v>
      </c>
      <c r="F8201" s="67">
        <v>982</v>
      </c>
      <c r="H8201" s="68">
        <v>43944</v>
      </c>
      <c r="I8201" s="67" t="s">
        <v>148</v>
      </c>
    </row>
    <row r="8202" spans="1:9" x14ac:dyDescent="0.25">
      <c r="B8202" s="67" t="s">
        <v>532</v>
      </c>
      <c r="C8202" s="67">
        <v>0</v>
      </c>
      <c r="D8202" s="67">
        <v>0</v>
      </c>
      <c r="E8202" s="67">
        <v>10000.10001</v>
      </c>
      <c r="H8202" s="67" t="s">
        <v>146</v>
      </c>
    </row>
    <row r="8204" spans="1:9" x14ac:dyDescent="0.25">
      <c r="A8204" s="67" t="s">
        <v>531</v>
      </c>
      <c r="B8204" s="67" t="s">
        <v>530</v>
      </c>
      <c r="C8204" s="67">
        <v>0</v>
      </c>
      <c r="D8204" s="67">
        <v>0</v>
      </c>
      <c r="E8204" s="67">
        <v>20000.200251999999</v>
      </c>
      <c r="F8204" s="67">
        <v>982</v>
      </c>
      <c r="H8204" s="68">
        <v>41093</v>
      </c>
      <c r="I8204" s="67" t="s">
        <v>148</v>
      </c>
    </row>
    <row r="8205" spans="1:9" x14ac:dyDescent="0.25">
      <c r="B8205" s="67" t="s">
        <v>529</v>
      </c>
      <c r="C8205" s="67">
        <v>0</v>
      </c>
      <c r="D8205" s="67">
        <v>0</v>
      </c>
      <c r="E8205" s="67">
        <v>10000.10001</v>
      </c>
      <c r="H8205" s="67" t="s">
        <v>146</v>
      </c>
    </row>
    <row r="8207" spans="1:9" x14ac:dyDescent="0.25">
      <c r="A8207" s="67" t="s">
        <v>528</v>
      </c>
      <c r="B8207" s="67" t="s">
        <v>525</v>
      </c>
      <c r="C8207" s="67" t="s">
        <v>510</v>
      </c>
      <c r="D8207" s="67">
        <v>0</v>
      </c>
      <c r="E8207" s="67">
        <v>99900.519799999995</v>
      </c>
      <c r="F8207" s="67">
        <v>982</v>
      </c>
      <c r="H8207" s="68">
        <v>44085</v>
      </c>
      <c r="I8207" s="67" t="s">
        <v>148</v>
      </c>
    </row>
    <row r="8208" spans="1:9" x14ac:dyDescent="0.25">
      <c r="B8208" s="67" t="s">
        <v>527</v>
      </c>
      <c r="C8208" s="67">
        <v>0</v>
      </c>
      <c r="D8208" s="67">
        <v>0</v>
      </c>
      <c r="E8208" s="67">
        <v>10000.10001</v>
      </c>
      <c r="H8208" s="67" t="s">
        <v>146</v>
      </c>
    </row>
    <row r="8210" spans="1:9" x14ac:dyDescent="0.25">
      <c r="A8210" s="67" t="s">
        <v>526</v>
      </c>
      <c r="B8210" s="67" t="s">
        <v>525</v>
      </c>
      <c r="C8210" s="67" t="s">
        <v>506</v>
      </c>
      <c r="D8210" s="67">
        <v>0</v>
      </c>
      <c r="E8210" s="67">
        <v>99900.519801000002</v>
      </c>
      <c r="F8210" s="67">
        <v>982</v>
      </c>
      <c r="H8210" s="68">
        <v>44085</v>
      </c>
      <c r="I8210" s="67" t="s">
        <v>148</v>
      </c>
    </row>
    <row r="8211" spans="1:9" x14ac:dyDescent="0.25">
      <c r="B8211" s="67" t="s">
        <v>524</v>
      </c>
      <c r="C8211" s="67">
        <v>0</v>
      </c>
      <c r="D8211" s="67">
        <v>0</v>
      </c>
      <c r="E8211" s="67">
        <v>10000.10001</v>
      </c>
      <c r="H8211" s="67" t="s">
        <v>146</v>
      </c>
    </row>
    <row r="8213" spans="1:9" x14ac:dyDescent="0.25">
      <c r="A8213" s="67" t="s">
        <v>523</v>
      </c>
      <c r="B8213" s="67" t="s">
        <v>522</v>
      </c>
      <c r="C8213" s="67" t="s">
        <v>500</v>
      </c>
      <c r="D8213" s="67">
        <v>0</v>
      </c>
      <c r="E8213" s="67">
        <v>99900.519801999995</v>
      </c>
      <c r="F8213" s="67">
        <v>982</v>
      </c>
      <c r="H8213" s="68">
        <v>44085</v>
      </c>
      <c r="I8213" s="67" t="s">
        <v>148</v>
      </c>
    </row>
    <row r="8214" spans="1:9" x14ac:dyDescent="0.25">
      <c r="B8214" s="67" t="s">
        <v>521</v>
      </c>
      <c r="C8214" s="67">
        <v>0</v>
      </c>
      <c r="D8214" s="67">
        <v>0</v>
      </c>
      <c r="E8214" s="67">
        <v>10000.10001</v>
      </c>
      <c r="H8214" s="67" t="s">
        <v>146</v>
      </c>
    </row>
    <row r="8216" spans="1:9" x14ac:dyDescent="0.25">
      <c r="A8216" s="67" t="s">
        <v>520</v>
      </c>
      <c r="B8216" s="67" t="s">
        <v>519</v>
      </c>
      <c r="C8216" s="67">
        <v>0</v>
      </c>
      <c r="D8216" s="67">
        <v>0</v>
      </c>
      <c r="E8216" s="67">
        <v>99900.519803000003</v>
      </c>
      <c r="F8216" s="67">
        <v>982</v>
      </c>
      <c r="H8216" s="68">
        <v>44085</v>
      </c>
      <c r="I8216" s="67" t="s">
        <v>148</v>
      </c>
    </row>
    <row r="8217" spans="1:9" x14ac:dyDescent="0.25">
      <c r="B8217" s="67" t="s">
        <v>518</v>
      </c>
      <c r="C8217" s="67">
        <v>0</v>
      </c>
      <c r="D8217" s="67">
        <v>0</v>
      </c>
      <c r="E8217" s="67">
        <v>10000.10001</v>
      </c>
      <c r="H8217" s="67" t="s">
        <v>146</v>
      </c>
    </row>
    <row r="8219" spans="1:9" x14ac:dyDescent="0.25">
      <c r="A8219" s="67" t="s">
        <v>517</v>
      </c>
      <c r="B8219" s="67" t="s">
        <v>516</v>
      </c>
      <c r="C8219" s="67">
        <v>0</v>
      </c>
      <c r="D8219" s="67">
        <v>0</v>
      </c>
      <c r="E8219" s="67">
        <v>99900.519803999996</v>
      </c>
      <c r="F8219" s="67">
        <v>982</v>
      </c>
      <c r="H8219" s="68">
        <v>44085</v>
      </c>
      <c r="I8219" s="67" t="s">
        <v>148</v>
      </c>
    </row>
    <row r="8220" spans="1:9" x14ac:dyDescent="0.25">
      <c r="B8220" s="67" t="s">
        <v>515</v>
      </c>
      <c r="C8220" s="67">
        <v>0</v>
      </c>
      <c r="D8220" s="67">
        <v>0</v>
      </c>
      <c r="E8220" s="67">
        <v>10000.10001</v>
      </c>
      <c r="H8220" s="67" t="s">
        <v>146</v>
      </c>
    </row>
    <row r="8222" spans="1:9" x14ac:dyDescent="0.25">
      <c r="A8222" s="67" t="s">
        <v>514</v>
      </c>
      <c r="B8222" s="67" t="s">
        <v>513</v>
      </c>
      <c r="C8222" s="67" t="s">
        <v>490</v>
      </c>
      <c r="D8222" s="67">
        <v>0</v>
      </c>
      <c r="E8222" s="67">
        <v>99900.519805000004</v>
      </c>
      <c r="F8222" s="67">
        <v>982</v>
      </c>
      <c r="H8222" s="68">
        <v>44085</v>
      </c>
      <c r="I8222" s="67" t="s">
        <v>148</v>
      </c>
    </row>
    <row r="8223" spans="1:9" x14ac:dyDescent="0.25">
      <c r="B8223" s="67" t="s">
        <v>512</v>
      </c>
      <c r="C8223" s="67">
        <v>0</v>
      </c>
      <c r="D8223" s="67">
        <v>0</v>
      </c>
      <c r="E8223" s="67">
        <v>10000.10001</v>
      </c>
      <c r="H8223" s="67" t="s">
        <v>146</v>
      </c>
    </row>
    <row r="8225" spans="1:9" x14ac:dyDescent="0.25">
      <c r="A8225" s="67" t="s">
        <v>511</v>
      </c>
      <c r="B8225" s="67" t="s">
        <v>507</v>
      </c>
      <c r="C8225" s="67" t="s">
        <v>510</v>
      </c>
      <c r="D8225" s="67">
        <v>0</v>
      </c>
      <c r="E8225" s="67">
        <v>99900.559800000003</v>
      </c>
      <c r="F8225" s="67">
        <v>982</v>
      </c>
      <c r="H8225" s="68">
        <v>44085</v>
      </c>
      <c r="I8225" s="67" t="s">
        <v>148</v>
      </c>
    </row>
    <row r="8226" spans="1:9" x14ac:dyDescent="0.25">
      <c r="B8226" s="67" t="s">
        <v>509</v>
      </c>
      <c r="C8226" s="67">
        <v>0</v>
      </c>
      <c r="D8226" s="67">
        <v>0</v>
      </c>
      <c r="E8226" s="67">
        <v>10000.10001</v>
      </c>
      <c r="H8226" s="67" t="s">
        <v>146</v>
      </c>
    </row>
    <row r="8228" spans="1:9" x14ac:dyDescent="0.25">
      <c r="A8228" s="67" t="s">
        <v>508</v>
      </c>
      <c r="B8228" s="67" t="s">
        <v>507</v>
      </c>
      <c r="C8228" s="67" t="s">
        <v>506</v>
      </c>
      <c r="D8228" s="67">
        <v>0</v>
      </c>
      <c r="E8228" s="67">
        <v>99900.559800999996</v>
      </c>
      <c r="F8228" s="67">
        <v>982</v>
      </c>
      <c r="H8228" s="68">
        <v>44085</v>
      </c>
      <c r="I8228" s="67" t="s">
        <v>148</v>
      </c>
    </row>
    <row r="8229" spans="1:9" x14ac:dyDescent="0.25">
      <c r="B8229" s="67" t="s">
        <v>505</v>
      </c>
      <c r="C8229" s="67">
        <v>0</v>
      </c>
      <c r="D8229" s="67">
        <v>0</v>
      </c>
      <c r="E8229" s="67">
        <v>10000.10001</v>
      </c>
      <c r="H8229" s="67" t="s">
        <v>146</v>
      </c>
    </row>
    <row r="8230" spans="1:9" x14ac:dyDescent="0.25">
      <c r="A8230" s="67" t="s">
        <v>233</v>
      </c>
    </row>
    <row r="8232" spans="1:9" x14ac:dyDescent="0.25">
      <c r="A8232" s="67" t="s">
        <v>232</v>
      </c>
      <c r="D8232" s="67" t="s">
        <v>231</v>
      </c>
      <c r="H8232" s="67" t="s">
        <v>148</v>
      </c>
      <c r="I8232" s="67" t="s">
        <v>230</v>
      </c>
    </row>
    <row r="8233" spans="1:9" x14ac:dyDescent="0.25">
      <c r="A8233" s="67">
        <v>41.1</v>
      </c>
      <c r="C8233" s="67" t="s">
        <v>215</v>
      </c>
      <c r="D8233" s="67" t="s">
        <v>229</v>
      </c>
      <c r="H8233" s="70">
        <v>44771</v>
      </c>
      <c r="I8233" s="69">
        <v>0.56736111111111109</v>
      </c>
    </row>
    <row r="8234" spans="1:9" x14ac:dyDescent="0.25">
      <c r="A8234" s="67" t="s">
        <v>228</v>
      </c>
      <c r="C8234" s="67" t="s">
        <v>227</v>
      </c>
      <c r="D8234" s="67" t="s">
        <v>226</v>
      </c>
      <c r="E8234" s="67">
        <v>589</v>
      </c>
      <c r="H8234" s="67" t="s">
        <v>225</v>
      </c>
      <c r="I8234" s="67">
        <v>147</v>
      </c>
    </row>
    <row r="8235" spans="1:9" x14ac:dyDescent="0.25">
      <c r="A8235" s="67" t="s">
        <v>504</v>
      </c>
      <c r="B8235" s="67" t="s">
        <v>503</v>
      </c>
    </row>
    <row r="8236" spans="1:9" x14ac:dyDescent="0.25">
      <c r="A8236" s="67" t="s">
        <v>223</v>
      </c>
      <c r="B8236" s="67" t="s">
        <v>222</v>
      </c>
      <c r="C8236" s="67" t="s">
        <v>221</v>
      </c>
      <c r="D8236" s="67" t="s">
        <v>220</v>
      </c>
      <c r="E8236" s="67" t="s">
        <v>219</v>
      </c>
      <c r="F8236" s="67" t="s">
        <v>217</v>
      </c>
      <c r="G8236" s="67" t="s">
        <v>218</v>
      </c>
      <c r="H8236" s="67" t="s">
        <v>217</v>
      </c>
      <c r="I8236" s="67" t="s">
        <v>216</v>
      </c>
    </row>
    <row r="8237" spans="1:9" x14ac:dyDescent="0.25">
      <c r="A8237" s="67" t="s">
        <v>215</v>
      </c>
      <c r="B8237" s="67" t="s">
        <v>214</v>
      </c>
      <c r="C8237" s="67" t="s">
        <v>213</v>
      </c>
      <c r="D8237" s="67" t="s">
        <v>212</v>
      </c>
      <c r="E8237" s="67" t="s">
        <v>211</v>
      </c>
      <c r="F8237" s="67" t="s">
        <v>210</v>
      </c>
      <c r="G8237" s="67" t="s">
        <v>209</v>
      </c>
      <c r="H8237" s="67" t="s">
        <v>208</v>
      </c>
      <c r="I8237" s="67" t="s">
        <v>207</v>
      </c>
    </row>
    <row r="8238" spans="1:9" x14ac:dyDescent="0.25">
      <c r="A8238" s="67" t="s">
        <v>206</v>
      </c>
      <c r="B8238" s="67" t="s">
        <v>205</v>
      </c>
      <c r="C8238" s="67" t="s">
        <v>204</v>
      </c>
      <c r="D8238" s="67" t="s">
        <v>203</v>
      </c>
      <c r="E8238" s="67" t="s">
        <v>202</v>
      </c>
      <c r="F8238" s="67" t="s">
        <v>201</v>
      </c>
      <c r="G8238" s="67" t="s">
        <v>200</v>
      </c>
      <c r="H8238" s="67" t="s">
        <v>199</v>
      </c>
    </row>
    <row r="8239" spans="1:9" x14ac:dyDescent="0.25">
      <c r="A8239" s="67" t="s">
        <v>502</v>
      </c>
      <c r="B8239" s="67" t="s">
        <v>501</v>
      </c>
      <c r="C8239" s="67" t="s">
        <v>500</v>
      </c>
      <c r="D8239" s="67">
        <v>0</v>
      </c>
      <c r="E8239" s="67">
        <v>99900.559802000003</v>
      </c>
      <c r="F8239" s="67">
        <v>982</v>
      </c>
      <c r="H8239" s="68">
        <v>44085</v>
      </c>
      <c r="I8239" s="67" t="s">
        <v>148</v>
      </c>
    </row>
    <row r="8240" spans="1:9" x14ac:dyDescent="0.25">
      <c r="B8240" s="67" t="s">
        <v>499</v>
      </c>
      <c r="C8240" s="67">
        <v>0</v>
      </c>
      <c r="D8240" s="67">
        <v>0</v>
      </c>
      <c r="E8240" s="67">
        <v>10000.10001</v>
      </c>
      <c r="H8240" s="67" t="s">
        <v>146</v>
      </c>
    </row>
    <row r="8242" spans="1:9" x14ac:dyDescent="0.25">
      <c r="A8242" s="67" t="s">
        <v>498</v>
      </c>
      <c r="B8242" s="67" t="s">
        <v>497</v>
      </c>
      <c r="C8242" s="67">
        <v>0</v>
      </c>
      <c r="D8242" s="67">
        <v>0</v>
      </c>
      <c r="E8242" s="67">
        <v>99900.559802999996</v>
      </c>
      <c r="F8242" s="67">
        <v>982</v>
      </c>
      <c r="H8242" s="68">
        <v>44085</v>
      </c>
      <c r="I8242" s="67" t="s">
        <v>148</v>
      </c>
    </row>
    <row r="8243" spans="1:9" x14ac:dyDescent="0.25">
      <c r="B8243" s="67" t="s">
        <v>496</v>
      </c>
      <c r="C8243" s="67">
        <v>0</v>
      </c>
      <c r="D8243" s="67">
        <v>0</v>
      </c>
      <c r="E8243" s="67">
        <v>10000.10001</v>
      </c>
      <c r="H8243" s="67" t="s">
        <v>146</v>
      </c>
    </row>
    <row r="8245" spans="1:9" x14ac:dyDescent="0.25">
      <c r="A8245" s="67" t="s">
        <v>495</v>
      </c>
      <c r="B8245" s="67" t="s">
        <v>494</v>
      </c>
      <c r="C8245" s="67">
        <v>0</v>
      </c>
      <c r="D8245" s="67">
        <v>0</v>
      </c>
      <c r="E8245" s="67">
        <v>99900.559804000004</v>
      </c>
      <c r="F8245" s="67">
        <v>982</v>
      </c>
      <c r="H8245" s="68">
        <v>44085</v>
      </c>
      <c r="I8245" s="67" t="s">
        <v>148</v>
      </c>
    </row>
    <row r="8246" spans="1:9" x14ac:dyDescent="0.25">
      <c r="B8246" s="67" t="s">
        <v>493</v>
      </c>
      <c r="C8246" s="67">
        <v>0</v>
      </c>
      <c r="D8246" s="67">
        <v>0</v>
      </c>
      <c r="E8246" s="67">
        <v>10000.10001</v>
      </c>
      <c r="H8246" s="67" t="s">
        <v>146</v>
      </c>
    </row>
    <row r="8248" spans="1:9" x14ac:dyDescent="0.25">
      <c r="A8248" s="67" t="s">
        <v>492</v>
      </c>
      <c r="B8248" s="67" t="s">
        <v>491</v>
      </c>
      <c r="C8248" s="67" t="s">
        <v>490</v>
      </c>
      <c r="D8248" s="67">
        <v>0</v>
      </c>
      <c r="E8248" s="67">
        <v>99900.559804999997</v>
      </c>
      <c r="F8248" s="67">
        <v>982</v>
      </c>
      <c r="H8248" s="68">
        <v>44085</v>
      </c>
      <c r="I8248" s="67" t="s">
        <v>148</v>
      </c>
    </row>
    <row r="8249" spans="1:9" x14ac:dyDescent="0.25">
      <c r="B8249" s="67" t="s">
        <v>489</v>
      </c>
      <c r="C8249" s="67">
        <v>0</v>
      </c>
      <c r="D8249" s="67">
        <v>0</v>
      </c>
      <c r="E8249" s="67">
        <v>10000.10001</v>
      </c>
      <c r="H8249" s="67" t="s">
        <v>146</v>
      </c>
    </row>
    <row r="8250" spans="1:9" x14ac:dyDescent="0.25">
      <c r="A8250" s="67" t="s">
        <v>233</v>
      </c>
    </row>
    <row r="8252" spans="1:9" x14ac:dyDescent="0.25">
      <c r="A8252" s="67" t="s">
        <v>232</v>
      </c>
      <c r="D8252" s="67" t="s">
        <v>231</v>
      </c>
      <c r="H8252" s="67" t="s">
        <v>148</v>
      </c>
      <c r="I8252" s="67" t="s">
        <v>230</v>
      </c>
    </row>
    <row r="8253" spans="1:9" x14ac:dyDescent="0.25">
      <c r="A8253" s="67">
        <v>41.1</v>
      </c>
      <c r="C8253" s="67" t="s">
        <v>215</v>
      </c>
      <c r="D8253" s="67" t="s">
        <v>229</v>
      </c>
      <c r="H8253" s="70">
        <v>44771</v>
      </c>
      <c r="I8253" s="69">
        <v>0.56736111111111109</v>
      </c>
    </row>
    <row r="8254" spans="1:9" x14ac:dyDescent="0.25">
      <c r="A8254" s="67" t="s">
        <v>228</v>
      </c>
      <c r="C8254" s="67" t="s">
        <v>227</v>
      </c>
      <c r="D8254" s="67" t="s">
        <v>226</v>
      </c>
      <c r="E8254" s="67">
        <v>589</v>
      </c>
      <c r="H8254" s="67" t="s">
        <v>225</v>
      </c>
      <c r="I8254" s="67">
        <v>148</v>
      </c>
    </row>
    <row r="8255" spans="1:9" x14ac:dyDescent="0.25">
      <c r="A8255" s="67" t="s">
        <v>224</v>
      </c>
    </row>
    <row r="8256" spans="1:9" x14ac:dyDescent="0.25">
      <c r="A8256" s="67" t="s">
        <v>223</v>
      </c>
      <c r="B8256" s="67" t="s">
        <v>222</v>
      </c>
      <c r="C8256" s="67" t="s">
        <v>221</v>
      </c>
      <c r="D8256" s="67" t="s">
        <v>220</v>
      </c>
      <c r="E8256" s="67" t="s">
        <v>219</v>
      </c>
      <c r="F8256" s="67" t="s">
        <v>217</v>
      </c>
      <c r="G8256" s="67" t="s">
        <v>218</v>
      </c>
      <c r="H8256" s="67" t="s">
        <v>217</v>
      </c>
      <c r="I8256" s="67" t="s">
        <v>216</v>
      </c>
    </row>
    <row r="8257" spans="1:9" x14ac:dyDescent="0.25">
      <c r="A8257" s="67" t="s">
        <v>215</v>
      </c>
      <c r="B8257" s="67" t="s">
        <v>214</v>
      </c>
      <c r="C8257" s="67" t="s">
        <v>213</v>
      </c>
      <c r="D8257" s="67" t="s">
        <v>212</v>
      </c>
      <c r="E8257" s="67" t="s">
        <v>211</v>
      </c>
      <c r="F8257" s="67" t="s">
        <v>210</v>
      </c>
      <c r="G8257" s="67" t="s">
        <v>209</v>
      </c>
      <c r="H8257" s="67" t="s">
        <v>208</v>
      </c>
      <c r="I8257" s="67" t="s">
        <v>207</v>
      </c>
    </row>
    <row r="8258" spans="1:9" x14ac:dyDescent="0.25">
      <c r="A8258" s="67" t="s">
        <v>206</v>
      </c>
      <c r="B8258" s="67" t="s">
        <v>205</v>
      </c>
      <c r="C8258" s="67" t="s">
        <v>204</v>
      </c>
      <c r="D8258" s="67" t="s">
        <v>203</v>
      </c>
      <c r="E8258" s="67" t="s">
        <v>202</v>
      </c>
      <c r="F8258" s="67" t="s">
        <v>201</v>
      </c>
      <c r="G8258" s="67" t="s">
        <v>200</v>
      </c>
      <c r="H8258" s="67" t="s">
        <v>199</v>
      </c>
    </row>
    <row r="8259" spans="1:9" x14ac:dyDescent="0.25">
      <c r="A8259" s="67" t="s">
        <v>488</v>
      </c>
      <c r="B8259" s="67" t="s">
        <v>487</v>
      </c>
      <c r="C8259" s="67">
        <v>0</v>
      </c>
      <c r="D8259" s="67">
        <v>0</v>
      </c>
      <c r="E8259" s="67">
        <v>10000.10001</v>
      </c>
      <c r="F8259" s="67">
        <v>999</v>
      </c>
      <c r="H8259" s="68">
        <v>40777</v>
      </c>
      <c r="I8259" s="67" t="s">
        <v>148</v>
      </c>
    </row>
    <row r="8260" spans="1:9" x14ac:dyDescent="0.25">
      <c r="B8260" s="67" t="s">
        <v>487</v>
      </c>
      <c r="C8260" s="67">
        <v>0</v>
      </c>
      <c r="D8260" s="67">
        <v>0</v>
      </c>
      <c r="E8260" s="67">
        <v>10000.10001</v>
      </c>
      <c r="H8260" s="67" t="s">
        <v>146</v>
      </c>
    </row>
    <row r="8262" spans="1:9" x14ac:dyDescent="0.25">
      <c r="A8262" s="67" t="s">
        <v>486</v>
      </c>
      <c r="B8262" s="67" t="s">
        <v>485</v>
      </c>
      <c r="C8262" s="67">
        <v>0</v>
      </c>
      <c r="D8262" s="67">
        <v>0</v>
      </c>
      <c r="E8262" s="67">
        <v>10000.10001</v>
      </c>
      <c r="F8262" s="67">
        <v>990</v>
      </c>
      <c r="H8262" s="68">
        <v>40753</v>
      </c>
      <c r="I8262" s="67" t="s">
        <v>148</v>
      </c>
    </row>
    <row r="8263" spans="1:9" x14ac:dyDescent="0.25">
      <c r="B8263" s="67" t="s">
        <v>484</v>
      </c>
      <c r="C8263" s="67">
        <v>0</v>
      </c>
      <c r="D8263" s="67">
        <v>0</v>
      </c>
      <c r="E8263" s="67">
        <v>10000.10001</v>
      </c>
      <c r="H8263" s="67" t="s">
        <v>146</v>
      </c>
    </row>
    <row r="8265" spans="1:9" x14ac:dyDescent="0.25">
      <c r="A8265" s="67" t="s">
        <v>483</v>
      </c>
      <c r="B8265" s="67" t="s">
        <v>482</v>
      </c>
      <c r="C8265" s="67">
        <v>0</v>
      </c>
      <c r="D8265" s="67">
        <v>0</v>
      </c>
      <c r="E8265" s="67">
        <v>10000.10001</v>
      </c>
      <c r="F8265" s="67">
        <v>999</v>
      </c>
      <c r="H8265" s="68">
        <v>42957</v>
      </c>
      <c r="I8265" s="67" t="s">
        <v>148</v>
      </c>
    </row>
    <row r="8266" spans="1:9" x14ac:dyDescent="0.25">
      <c r="B8266" s="67" t="s">
        <v>482</v>
      </c>
      <c r="C8266" s="67">
        <v>0</v>
      </c>
      <c r="D8266" s="67">
        <v>0</v>
      </c>
      <c r="E8266" s="67">
        <v>10000.10001</v>
      </c>
      <c r="H8266" s="67" t="s">
        <v>146</v>
      </c>
    </row>
    <row r="8268" spans="1:9" x14ac:dyDescent="0.25">
      <c r="A8268" s="67" t="s">
        <v>481</v>
      </c>
      <c r="B8268" s="67" t="s">
        <v>479</v>
      </c>
      <c r="C8268" s="67">
        <v>0</v>
      </c>
      <c r="D8268" s="67">
        <v>0</v>
      </c>
      <c r="E8268" s="67">
        <v>10000.10001</v>
      </c>
      <c r="F8268" s="67">
        <v>999</v>
      </c>
      <c r="H8268" s="68">
        <v>40753</v>
      </c>
      <c r="I8268" s="67" t="s">
        <v>480</v>
      </c>
    </row>
    <row r="8269" spans="1:9" x14ac:dyDescent="0.25">
      <c r="B8269" s="67" t="s">
        <v>479</v>
      </c>
      <c r="C8269" s="67">
        <v>0</v>
      </c>
      <c r="D8269" s="67">
        <v>0</v>
      </c>
      <c r="E8269" s="67">
        <v>10000.10001</v>
      </c>
      <c r="H8269" s="67" t="s">
        <v>146</v>
      </c>
    </row>
    <row r="8271" spans="1:9" x14ac:dyDescent="0.25">
      <c r="A8271" s="67" t="s">
        <v>478</v>
      </c>
      <c r="B8271" s="67" t="s">
        <v>477</v>
      </c>
      <c r="C8271" s="67">
        <v>0</v>
      </c>
      <c r="D8271" s="67">
        <v>0</v>
      </c>
      <c r="E8271" s="67">
        <v>10000.10001</v>
      </c>
      <c r="F8271" s="67">
        <v>999</v>
      </c>
      <c r="H8271" s="68">
        <v>44564</v>
      </c>
      <c r="I8271" s="67" t="s">
        <v>148</v>
      </c>
    </row>
    <row r="8272" spans="1:9" x14ac:dyDescent="0.25">
      <c r="B8272" s="67" t="s">
        <v>477</v>
      </c>
      <c r="C8272" s="67">
        <v>0</v>
      </c>
      <c r="D8272" s="67">
        <v>0</v>
      </c>
      <c r="E8272" s="67">
        <v>10000.10001</v>
      </c>
      <c r="H8272" s="67" t="s">
        <v>146</v>
      </c>
    </row>
    <row r="8274" spans="1:9" x14ac:dyDescent="0.25">
      <c r="A8274" s="67" t="s">
        <v>476</v>
      </c>
      <c r="B8274" s="67" t="s">
        <v>475</v>
      </c>
      <c r="C8274" s="67">
        <v>0</v>
      </c>
      <c r="D8274" s="67">
        <v>0</v>
      </c>
      <c r="E8274" s="67">
        <v>10000.101145000001</v>
      </c>
      <c r="F8274" s="67">
        <v>999</v>
      </c>
      <c r="H8274" s="68">
        <v>44564</v>
      </c>
      <c r="I8274" s="67" t="s">
        <v>148</v>
      </c>
    </row>
    <row r="8275" spans="1:9" x14ac:dyDescent="0.25">
      <c r="B8275" s="67" t="s">
        <v>475</v>
      </c>
      <c r="C8275" s="67">
        <v>0</v>
      </c>
      <c r="D8275" s="67">
        <v>0</v>
      </c>
      <c r="E8275" s="67">
        <v>10000.101145000001</v>
      </c>
      <c r="H8275" s="67" t="s">
        <v>146</v>
      </c>
    </row>
    <row r="8277" spans="1:9" x14ac:dyDescent="0.25">
      <c r="A8277" s="67" t="s">
        <v>474</v>
      </c>
      <c r="B8277" s="67" t="s">
        <v>473</v>
      </c>
      <c r="C8277" s="67">
        <v>0</v>
      </c>
      <c r="D8277" s="67">
        <v>0</v>
      </c>
      <c r="E8277" s="67">
        <v>10000.10001</v>
      </c>
      <c r="H8277" s="68">
        <v>40777</v>
      </c>
      <c r="I8277" s="67" t="s">
        <v>148</v>
      </c>
    </row>
    <row r="8278" spans="1:9" x14ac:dyDescent="0.25">
      <c r="B8278" s="67" t="s">
        <v>473</v>
      </c>
      <c r="C8278" s="67">
        <v>0</v>
      </c>
      <c r="D8278" s="67">
        <v>0</v>
      </c>
      <c r="E8278" s="67">
        <v>10000.10001</v>
      </c>
      <c r="H8278" s="67" t="s">
        <v>146</v>
      </c>
    </row>
    <row r="8280" spans="1:9" x14ac:dyDescent="0.25">
      <c r="A8280" s="67" t="s">
        <v>472</v>
      </c>
      <c r="B8280" s="67" t="s">
        <v>470</v>
      </c>
      <c r="C8280" s="67" t="s">
        <v>258</v>
      </c>
      <c r="D8280" s="67">
        <v>0</v>
      </c>
      <c r="E8280" s="67">
        <v>10000.10001</v>
      </c>
      <c r="F8280" s="67">
        <v>90</v>
      </c>
      <c r="H8280" s="68">
        <v>40777</v>
      </c>
      <c r="I8280" s="67" t="s">
        <v>148</v>
      </c>
    </row>
    <row r="8281" spans="1:9" x14ac:dyDescent="0.25">
      <c r="B8281" s="67" t="s">
        <v>469</v>
      </c>
      <c r="C8281" s="67">
        <v>0</v>
      </c>
      <c r="D8281" s="67">
        <v>0</v>
      </c>
      <c r="E8281" s="67">
        <v>10000.10001</v>
      </c>
      <c r="H8281" s="67" t="s">
        <v>146</v>
      </c>
    </row>
    <row r="8283" spans="1:9" x14ac:dyDescent="0.25">
      <c r="A8283" s="67" t="s">
        <v>471</v>
      </c>
      <c r="B8283" s="67" t="s">
        <v>470</v>
      </c>
      <c r="C8283" s="67" t="s">
        <v>258</v>
      </c>
      <c r="D8283" s="67">
        <v>0</v>
      </c>
      <c r="E8283" s="67">
        <v>10000.10001</v>
      </c>
      <c r="F8283" s="67">
        <v>99</v>
      </c>
      <c r="H8283" s="68">
        <v>40777</v>
      </c>
      <c r="I8283" s="67" t="s">
        <v>148</v>
      </c>
    </row>
    <row r="8284" spans="1:9" x14ac:dyDescent="0.25">
      <c r="B8284" s="67" t="s">
        <v>469</v>
      </c>
      <c r="C8284" s="67">
        <v>0</v>
      </c>
      <c r="D8284" s="67">
        <v>0</v>
      </c>
      <c r="E8284" s="67">
        <v>10000.10001</v>
      </c>
      <c r="H8284" s="67" t="s">
        <v>146</v>
      </c>
    </row>
    <row r="8286" spans="1:9" x14ac:dyDescent="0.25">
      <c r="A8286" s="67" t="s">
        <v>468</v>
      </c>
      <c r="B8286" s="67" t="s">
        <v>467</v>
      </c>
      <c r="C8286" s="67">
        <v>0</v>
      </c>
      <c r="D8286" s="67">
        <v>0</v>
      </c>
      <c r="E8286" s="67">
        <v>10000.10001</v>
      </c>
      <c r="F8286" s="67">
        <v>99</v>
      </c>
      <c r="H8286" s="68">
        <v>40777</v>
      </c>
      <c r="I8286" s="67" t="s">
        <v>148</v>
      </c>
    </row>
    <row r="8287" spans="1:9" x14ac:dyDescent="0.25">
      <c r="B8287" s="67" t="s">
        <v>467</v>
      </c>
      <c r="C8287" s="67">
        <v>0</v>
      </c>
      <c r="D8287" s="67">
        <v>0</v>
      </c>
      <c r="E8287" s="67">
        <v>10000.10001</v>
      </c>
      <c r="H8287" s="67" t="s">
        <v>146</v>
      </c>
    </row>
    <row r="8289" spans="1:9" x14ac:dyDescent="0.25">
      <c r="A8289" s="67" t="s">
        <v>466</v>
      </c>
      <c r="B8289" s="67" t="s">
        <v>465</v>
      </c>
      <c r="C8289" s="67">
        <v>0</v>
      </c>
      <c r="D8289" s="67">
        <v>0</v>
      </c>
      <c r="E8289" s="67">
        <v>10000.10001</v>
      </c>
      <c r="F8289" s="67">
        <v>99</v>
      </c>
      <c r="H8289" s="68">
        <v>40777</v>
      </c>
      <c r="I8289" s="67" t="s">
        <v>148</v>
      </c>
    </row>
    <row r="8290" spans="1:9" x14ac:dyDescent="0.25">
      <c r="B8290" s="67" t="s">
        <v>465</v>
      </c>
      <c r="C8290" s="67">
        <v>0</v>
      </c>
      <c r="D8290" s="67">
        <v>0</v>
      </c>
      <c r="E8290" s="67">
        <v>10000.10001</v>
      </c>
      <c r="H8290" s="67" t="s">
        <v>146</v>
      </c>
    </row>
    <row r="8292" spans="1:9" x14ac:dyDescent="0.25">
      <c r="A8292" s="67" t="s">
        <v>464</v>
      </c>
      <c r="B8292" s="67" t="s">
        <v>463</v>
      </c>
      <c r="C8292" s="67">
        <v>0</v>
      </c>
      <c r="D8292" s="67">
        <v>0</v>
      </c>
      <c r="E8292" s="67">
        <v>10000.10001</v>
      </c>
      <c r="F8292" s="67">
        <v>990</v>
      </c>
      <c r="H8292" s="68">
        <v>40753</v>
      </c>
      <c r="I8292" s="67" t="s">
        <v>148</v>
      </c>
    </row>
    <row r="8293" spans="1:9" x14ac:dyDescent="0.25">
      <c r="B8293" s="67" t="s">
        <v>463</v>
      </c>
      <c r="C8293" s="67">
        <v>0</v>
      </c>
      <c r="D8293" s="67">
        <v>0</v>
      </c>
      <c r="E8293" s="67">
        <v>10000.10001</v>
      </c>
      <c r="H8293" s="67" t="s">
        <v>146</v>
      </c>
    </row>
    <row r="8295" spans="1:9" x14ac:dyDescent="0.25">
      <c r="A8295" s="67" t="s">
        <v>462</v>
      </c>
      <c r="B8295" s="67" t="s">
        <v>461</v>
      </c>
      <c r="C8295" s="67">
        <v>0</v>
      </c>
      <c r="D8295" s="67">
        <v>0</v>
      </c>
      <c r="E8295" s="67">
        <v>10000.10001</v>
      </c>
      <c r="F8295" s="67">
        <v>999</v>
      </c>
      <c r="H8295" s="68">
        <v>40794</v>
      </c>
      <c r="I8295" s="67" t="s">
        <v>148</v>
      </c>
    </row>
    <row r="8296" spans="1:9" x14ac:dyDescent="0.25">
      <c r="B8296" s="67" t="s">
        <v>461</v>
      </c>
      <c r="C8296" s="67">
        <v>0</v>
      </c>
      <c r="D8296" s="67">
        <v>0</v>
      </c>
      <c r="E8296" s="67">
        <v>10000.10001</v>
      </c>
      <c r="H8296" s="67" t="s">
        <v>146</v>
      </c>
    </row>
    <row r="8298" spans="1:9" x14ac:dyDescent="0.25">
      <c r="A8298" s="67" t="s">
        <v>460</v>
      </c>
      <c r="B8298" s="67" t="s">
        <v>459</v>
      </c>
      <c r="C8298" s="67">
        <v>0</v>
      </c>
      <c r="D8298" s="67">
        <v>0</v>
      </c>
      <c r="E8298" s="67">
        <v>10000.10001</v>
      </c>
      <c r="F8298" s="67">
        <v>999</v>
      </c>
      <c r="H8298" s="68">
        <v>40743</v>
      </c>
      <c r="I8298" s="67" t="s">
        <v>148</v>
      </c>
    </row>
    <row r="8299" spans="1:9" x14ac:dyDescent="0.25">
      <c r="B8299" s="67" t="s">
        <v>459</v>
      </c>
      <c r="C8299" s="67">
        <v>0</v>
      </c>
      <c r="D8299" s="67">
        <v>0</v>
      </c>
      <c r="E8299" s="67">
        <v>10000.10001</v>
      </c>
      <c r="H8299" s="67" t="s">
        <v>146</v>
      </c>
    </row>
    <row r="8301" spans="1:9" x14ac:dyDescent="0.25">
      <c r="A8301" s="67" t="s">
        <v>458</v>
      </c>
      <c r="B8301" s="67" t="s">
        <v>457</v>
      </c>
      <c r="C8301" s="67">
        <v>0</v>
      </c>
      <c r="D8301" s="67">
        <v>0</v>
      </c>
      <c r="E8301" s="67">
        <v>10000.10001</v>
      </c>
      <c r="F8301" s="67">
        <v>99</v>
      </c>
      <c r="H8301" s="68">
        <v>41464</v>
      </c>
      <c r="I8301" s="67" t="s">
        <v>148</v>
      </c>
    </row>
    <row r="8302" spans="1:9" x14ac:dyDescent="0.25">
      <c r="B8302" s="67" t="s">
        <v>457</v>
      </c>
      <c r="C8302" s="67">
        <v>0</v>
      </c>
      <c r="D8302" s="67">
        <v>0</v>
      </c>
      <c r="E8302" s="67">
        <v>10000.10001</v>
      </c>
      <c r="H8302" s="67" t="s">
        <v>146</v>
      </c>
    </row>
    <row r="8304" spans="1:9" x14ac:dyDescent="0.25">
      <c r="A8304" s="67" t="s">
        <v>456</v>
      </c>
      <c r="B8304" s="67" t="s">
        <v>455</v>
      </c>
      <c r="C8304" s="67">
        <v>0</v>
      </c>
      <c r="D8304" s="67">
        <v>0</v>
      </c>
      <c r="E8304" s="67">
        <v>10000.10001</v>
      </c>
      <c r="F8304" s="67">
        <v>999</v>
      </c>
      <c r="H8304" s="68">
        <v>40743</v>
      </c>
      <c r="I8304" s="67" t="s">
        <v>148</v>
      </c>
    </row>
    <row r="8305" spans="1:9" x14ac:dyDescent="0.25">
      <c r="B8305" s="67" t="s">
        <v>455</v>
      </c>
      <c r="C8305" s="67">
        <v>0</v>
      </c>
      <c r="D8305" s="67">
        <v>0</v>
      </c>
      <c r="E8305" s="67">
        <v>10000.10001</v>
      </c>
      <c r="H8305" s="67" t="s">
        <v>146</v>
      </c>
    </row>
    <row r="8307" spans="1:9" x14ac:dyDescent="0.25">
      <c r="A8307" s="67" t="s">
        <v>454</v>
      </c>
      <c r="B8307" s="67" t="s">
        <v>453</v>
      </c>
      <c r="C8307" s="67">
        <v>0</v>
      </c>
      <c r="D8307" s="67">
        <v>0</v>
      </c>
      <c r="E8307" s="67">
        <v>10000.10001</v>
      </c>
      <c r="F8307" s="67">
        <v>999</v>
      </c>
      <c r="H8307" s="68">
        <v>43655</v>
      </c>
      <c r="I8307" s="67" t="s">
        <v>148</v>
      </c>
    </row>
    <row r="8308" spans="1:9" x14ac:dyDescent="0.25">
      <c r="B8308" s="67" t="s">
        <v>453</v>
      </c>
      <c r="C8308" s="67">
        <v>0</v>
      </c>
      <c r="D8308" s="67">
        <v>0</v>
      </c>
      <c r="E8308" s="67">
        <v>10000.10001</v>
      </c>
      <c r="H8308" s="67" t="s">
        <v>146</v>
      </c>
    </row>
    <row r="8309" spans="1:9" x14ac:dyDescent="0.25">
      <c r="A8309" s="67" t="s">
        <v>233</v>
      </c>
    </row>
    <row r="8311" spans="1:9" x14ac:dyDescent="0.25">
      <c r="A8311" s="67" t="s">
        <v>232</v>
      </c>
      <c r="D8311" s="67" t="s">
        <v>231</v>
      </c>
      <c r="H8311" s="67" t="s">
        <v>148</v>
      </c>
      <c r="I8311" s="67" t="s">
        <v>230</v>
      </c>
    </row>
    <row r="8312" spans="1:9" x14ac:dyDescent="0.25">
      <c r="A8312" s="67">
        <v>41.1</v>
      </c>
      <c r="C8312" s="67" t="s">
        <v>215</v>
      </c>
      <c r="D8312" s="67" t="s">
        <v>229</v>
      </c>
      <c r="H8312" s="70">
        <v>44771</v>
      </c>
      <c r="I8312" s="69">
        <v>0.56736111111111109</v>
      </c>
    </row>
    <row r="8313" spans="1:9" x14ac:dyDescent="0.25">
      <c r="A8313" s="67" t="s">
        <v>228</v>
      </c>
      <c r="C8313" s="67" t="s">
        <v>227</v>
      </c>
      <c r="D8313" s="67" t="s">
        <v>226</v>
      </c>
      <c r="E8313" s="67">
        <v>589</v>
      </c>
      <c r="H8313" s="67" t="s">
        <v>225</v>
      </c>
      <c r="I8313" s="67">
        <v>149</v>
      </c>
    </row>
    <row r="8314" spans="1:9" x14ac:dyDescent="0.25">
      <c r="A8314" s="67" t="s">
        <v>224</v>
      </c>
    </row>
    <row r="8315" spans="1:9" x14ac:dyDescent="0.25">
      <c r="A8315" s="67" t="s">
        <v>223</v>
      </c>
      <c r="B8315" s="67" t="s">
        <v>222</v>
      </c>
      <c r="C8315" s="67" t="s">
        <v>221</v>
      </c>
      <c r="D8315" s="67" t="s">
        <v>220</v>
      </c>
      <c r="E8315" s="67" t="s">
        <v>219</v>
      </c>
      <c r="F8315" s="67" t="s">
        <v>217</v>
      </c>
      <c r="G8315" s="67" t="s">
        <v>218</v>
      </c>
      <c r="H8315" s="67" t="s">
        <v>217</v>
      </c>
      <c r="I8315" s="67" t="s">
        <v>216</v>
      </c>
    </row>
    <row r="8316" spans="1:9" x14ac:dyDescent="0.25">
      <c r="A8316" s="67" t="s">
        <v>215</v>
      </c>
      <c r="B8316" s="67" t="s">
        <v>214</v>
      </c>
      <c r="C8316" s="67" t="s">
        <v>213</v>
      </c>
      <c r="D8316" s="67" t="s">
        <v>212</v>
      </c>
      <c r="E8316" s="67" t="s">
        <v>211</v>
      </c>
      <c r="F8316" s="67" t="s">
        <v>210</v>
      </c>
      <c r="G8316" s="67" t="s">
        <v>209</v>
      </c>
      <c r="H8316" s="67" t="s">
        <v>208</v>
      </c>
      <c r="I8316" s="67" t="s">
        <v>207</v>
      </c>
    </row>
    <row r="8317" spans="1:9" x14ac:dyDescent="0.25">
      <c r="A8317" s="67" t="s">
        <v>206</v>
      </c>
      <c r="B8317" s="67" t="s">
        <v>205</v>
      </c>
      <c r="C8317" s="67" t="s">
        <v>204</v>
      </c>
      <c r="D8317" s="67" t="s">
        <v>203</v>
      </c>
      <c r="E8317" s="67" t="s">
        <v>202</v>
      </c>
      <c r="F8317" s="67" t="s">
        <v>201</v>
      </c>
      <c r="G8317" s="67" t="s">
        <v>200</v>
      </c>
      <c r="H8317" s="67" t="s">
        <v>199</v>
      </c>
    </row>
    <row r="8318" spans="1:9" x14ac:dyDescent="0.25">
      <c r="A8318" s="67" t="s">
        <v>452</v>
      </c>
      <c r="B8318" s="67" t="s">
        <v>451</v>
      </c>
      <c r="C8318" s="67">
        <v>0</v>
      </c>
      <c r="D8318" s="67">
        <v>0</v>
      </c>
      <c r="E8318" s="67">
        <v>10000.10001</v>
      </c>
      <c r="F8318" s="67">
        <v>999</v>
      </c>
      <c r="H8318" s="68">
        <v>40743</v>
      </c>
      <c r="I8318" s="67" t="s">
        <v>148</v>
      </c>
    </row>
    <row r="8319" spans="1:9" x14ac:dyDescent="0.25">
      <c r="B8319" s="67" t="s">
        <v>451</v>
      </c>
      <c r="C8319" s="67">
        <v>0</v>
      </c>
      <c r="D8319" s="67">
        <v>0</v>
      </c>
      <c r="E8319" s="67">
        <v>10000.10001</v>
      </c>
      <c r="H8319" s="67" t="s">
        <v>146</v>
      </c>
    </row>
    <row r="8321" spans="1:9" x14ac:dyDescent="0.25">
      <c r="A8321" s="67" t="s">
        <v>450</v>
      </c>
      <c r="B8321" s="67" t="s">
        <v>449</v>
      </c>
      <c r="C8321" s="67">
        <v>0</v>
      </c>
      <c r="D8321" s="67">
        <v>0</v>
      </c>
      <c r="E8321" s="67">
        <v>10000.10001</v>
      </c>
      <c r="F8321" s="67">
        <v>999</v>
      </c>
      <c r="H8321" s="68">
        <v>41571</v>
      </c>
      <c r="I8321" s="67" t="s">
        <v>148</v>
      </c>
    </row>
    <row r="8322" spans="1:9" x14ac:dyDescent="0.25">
      <c r="B8322" s="67" t="s">
        <v>449</v>
      </c>
      <c r="C8322" s="67">
        <v>0</v>
      </c>
      <c r="D8322" s="67">
        <v>0</v>
      </c>
      <c r="E8322" s="67">
        <v>10000.10001</v>
      </c>
      <c r="H8322" s="67" t="s">
        <v>146</v>
      </c>
    </row>
    <row r="8324" spans="1:9" x14ac:dyDescent="0.25">
      <c r="A8324" s="67" t="s">
        <v>448</v>
      </c>
      <c r="B8324" s="67" t="s">
        <v>447</v>
      </c>
      <c r="C8324" s="67">
        <v>0</v>
      </c>
      <c r="D8324" s="67">
        <v>0</v>
      </c>
      <c r="E8324" s="67">
        <v>10000.10001</v>
      </c>
      <c r="F8324" s="67">
        <v>999</v>
      </c>
      <c r="H8324" s="68">
        <v>41571</v>
      </c>
      <c r="I8324" s="67" t="s">
        <v>148</v>
      </c>
    </row>
    <row r="8325" spans="1:9" x14ac:dyDescent="0.25">
      <c r="B8325" s="67" t="s">
        <v>447</v>
      </c>
      <c r="C8325" s="67">
        <v>0</v>
      </c>
      <c r="D8325" s="67">
        <v>0</v>
      </c>
      <c r="E8325" s="67">
        <v>10000.10001</v>
      </c>
      <c r="H8325" s="67" t="s">
        <v>146</v>
      </c>
    </row>
    <row r="8327" spans="1:9" x14ac:dyDescent="0.25">
      <c r="A8327" s="67" t="s">
        <v>446</v>
      </c>
      <c r="B8327" s="67" t="s">
        <v>445</v>
      </c>
      <c r="C8327" s="67">
        <v>0</v>
      </c>
      <c r="D8327" s="67">
        <v>0</v>
      </c>
      <c r="E8327" s="67">
        <v>10000.10001</v>
      </c>
      <c r="F8327" s="67">
        <v>999</v>
      </c>
      <c r="H8327" s="68">
        <v>41571</v>
      </c>
      <c r="I8327" s="67" t="s">
        <v>148</v>
      </c>
    </row>
    <row r="8328" spans="1:9" x14ac:dyDescent="0.25">
      <c r="B8328" s="67" t="s">
        <v>445</v>
      </c>
      <c r="C8328" s="67">
        <v>0</v>
      </c>
      <c r="D8328" s="67">
        <v>0</v>
      </c>
      <c r="E8328" s="67">
        <v>10000.10001</v>
      </c>
      <c r="H8328" s="67" t="s">
        <v>146</v>
      </c>
    </row>
    <row r="8330" spans="1:9" x14ac:dyDescent="0.25">
      <c r="A8330" s="67" t="s">
        <v>444</v>
      </c>
      <c r="B8330" s="67" t="s">
        <v>443</v>
      </c>
      <c r="C8330" s="67">
        <v>0</v>
      </c>
      <c r="D8330" s="67">
        <v>0</v>
      </c>
      <c r="E8330" s="67">
        <v>10000.10001</v>
      </c>
      <c r="F8330" s="67">
        <v>999</v>
      </c>
      <c r="H8330" s="68">
        <v>41571</v>
      </c>
      <c r="I8330" s="67" t="s">
        <v>148</v>
      </c>
    </row>
    <row r="8331" spans="1:9" x14ac:dyDescent="0.25">
      <c r="B8331" s="67" t="s">
        <v>443</v>
      </c>
      <c r="C8331" s="67">
        <v>0</v>
      </c>
      <c r="D8331" s="67">
        <v>0</v>
      </c>
      <c r="E8331" s="67">
        <v>10000.10001</v>
      </c>
      <c r="H8331" s="67" t="s">
        <v>146</v>
      </c>
    </row>
    <row r="8333" spans="1:9" x14ac:dyDescent="0.25">
      <c r="A8333" s="67" t="s">
        <v>442</v>
      </c>
      <c r="B8333" s="67" t="s">
        <v>441</v>
      </c>
      <c r="C8333" s="67">
        <v>0</v>
      </c>
      <c r="D8333" s="67">
        <v>0</v>
      </c>
      <c r="E8333" s="67">
        <v>10000.10001</v>
      </c>
      <c r="F8333" s="67">
        <v>999</v>
      </c>
      <c r="H8333" s="68">
        <v>43110</v>
      </c>
      <c r="I8333" s="67" t="s">
        <v>148</v>
      </c>
    </row>
    <row r="8334" spans="1:9" x14ac:dyDescent="0.25">
      <c r="B8334" s="67" t="s">
        <v>441</v>
      </c>
      <c r="C8334" s="67">
        <v>0</v>
      </c>
      <c r="D8334" s="67">
        <v>0</v>
      </c>
      <c r="E8334" s="67">
        <v>10000.10001</v>
      </c>
      <c r="H8334" s="67" t="s">
        <v>146</v>
      </c>
    </row>
    <row r="8336" spans="1:9" x14ac:dyDescent="0.25">
      <c r="A8336" s="67" t="s">
        <v>440</v>
      </c>
      <c r="B8336" s="67" t="s">
        <v>439</v>
      </c>
      <c r="C8336" s="67" t="s">
        <v>438</v>
      </c>
      <c r="D8336" s="67">
        <v>0</v>
      </c>
      <c r="E8336" s="67">
        <v>10000.10001</v>
      </c>
      <c r="F8336" s="67">
        <v>999</v>
      </c>
      <c r="H8336" s="68">
        <v>43110</v>
      </c>
      <c r="I8336" s="67" t="s">
        <v>148</v>
      </c>
    </row>
    <row r="8337" spans="1:9" x14ac:dyDescent="0.25">
      <c r="B8337" s="67" t="s">
        <v>437</v>
      </c>
      <c r="C8337" s="67">
        <v>0</v>
      </c>
      <c r="D8337" s="67">
        <v>0</v>
      </c>
      <c r="E8337" s="67">
        <v>10000.10001</v>
      </c>
      <c r="H8337" s="67" t="s">
        <v>146</v>
      </c>
    </row>
    <row r="8339" spans="1:9" x14ac:dyDescent="0.25">
      <c r="A8339" s="67" t="s">
        <v>436</v>
      </c>
      <c r="B8339" s="67" t="s">
        <v>435</v>
      </c>
      <c r="C8339" s="67" t="s">
        <v>376</v>
      </c>
      <c r="D8339" s="67">
        <v>0</v>
      </c>
      <c r="E8339" s="67">
        <v>10000.10001</v>
      </c>
      <c r="F8339" s="67">
        <v>999</v>
      </c>
      <c r="H8339" s="68">
        <v>40743</v>
      </c>
      <c r="I8339" s="67" t="s">
        <v>148</v>
      </c>
    </row>
    <row r="8340" spans="1:9" x14ac:dyDescent="0.25">
      <c r="B8340" s="67" t="s">
        <v>434</v>
      </c>
      <c r="C8340" s="67">
        <v>0</v>
      </c>
      <c r="D8340" s="67">
        <v>0</v>
      </c>
      <c r="E8340" s="67">
        <v>10000.10001</v>
      </c>
      <c r="H8340" s="67" t="s">
        <v>146</v>
      </c>
    </row>
    <row r="8342" spans="1:9" x14ac:dyDescent="0.25">
      <c r="A8342" s="67" t="s">
        <v>433</v>
      </c>
      <c r="B8342" s="67" t="s">
        <v>432</v>
      </c>
      <c r="C8342" s="67">
        <v>0</v>
      </c>
      <c r="D8342" s="67">
        <v>0</v>
      </c>
      <c r="E8342" s="67">
        <v>10000.10001</v>
      </c>
      <c r="F8342" s="67">
        <v>999</v>
      </c>
      <c r="H8342" s="68">
        <v>43655</v>
      </c>
      <c r="I8342" s="67" t="s">
        <v>148</v>
      </c>
    </row>
    <row r="8343" spans="1:9" x14ac:dyDescent="0.25">
      <c r="B8343" s="67" t="s">
        <v>432</v>
      </c>
      <c r="C8343" s="67">
        <v>0</v>
      </c>
      <c r="D8343" s="67">
        <v>0</v>
      </c>
      <c r="E8343" s="67">
        <v>10000.10001</v>
      </c>
      <c r="H8343" s="67" t="s">
        <v>146</v>
      </c>
    </row>
    <row r="8345" spans="1:9" x14ac:dyDescent="0.25">
      <c r="A8345" s="67" t="s">
        <v>431</v>
      </c>
      <c r="B8345" s="67" t="s">
        <v>430</v>
      </c>
      <c r="C8345" s="67">
        <v>0</v>
      </c>
      <c r="D8345" s="67">
        <v>0</v>
      </c>
      <c r="E8345" s="67">
        <v>10000.10001</v>
      </c>
      <c r="F8345" s="67">
        <v>990</v>
      </c>
      <c r="H8345" s="68">
        <v>44760</v>
      </c>
      <c r="I8345" s="67" t="s">
        <v>148</v>
      </c>
    </row>
    <row r="8346" spans="1:9" x14ac:dyDescent="0.25">
      <c r="B8346" s="67" t="s">
        <v>430</v>
      </c>
      <c r="C8346" s="67">
        <v>0</v>
      </c>
      <c r="D8346" s="67">
        <v>0</v>
      </c>
      <c r="E8346" s="67">
        <v>10000.10001</v>
      </c>
      <c r="H8346" s="67" t="s">
        <v>146</v>
      </c>
    </row>
    <row r="8348" spans="1:9" x14ac:dyDescent="0.25">
      <c r="A8348" s="67" t="s">
        <v>429</v>
      </c>
      <c r="B8348" s="67" t="s">
        <v>428</v>
      </c>
      <c r="C8348" s="67">
        <v>0</v>
      </c>
      <c r="D8348" s="67">
        <v>0</v>
      </c>
      <c r="E8348" s="67">
        <v>10000.10001</v>
      </c>
      <c r="F8348" s="67">
        <v>990</v>
      </c>
      <c r="H8348" s="68">
        <v>40753</v>
      </c>
      <c r="I8348" s="67" t="s">
        <v>148</v>
      </c>
    </row>
    <row r="8349" spans="1:9" x14ac:dyDescent="0.25">
      <c r="B8349" s="67" t="s">
        <v>428</v>
      </c>
      <c r="C8349" s="67">
        <v>0</v>
      </c>
      <c r="D8349" s="67">
        <v>0</v>
      </c>
      <c r="E8349" s="67">
        <v>10000.10001</v>
      </c>
      <c r="H8349" s="67" t="s">
        <v>146</v>
      </c>
    </row>
    <row r="8351" spans="1:9" x14ac:dyDescent="0.25">
      <c r="A8351" s="67" t="s">
        <v>427</v>
      </c>
      <c r="B8351" s="67" t="s">
        <v>426</v>
      </c>
      <c r="C8351" s="67">
        <v>0</v>
      </c>
      <c r="D8351" s="67">
        <v>0</v>
      </c>
      <c r="E8351" s="67">
        <v>10000.10001</v>
      </c>
      <c r="F8351" s="67">
        <v>999</v>
      </c>
      <c r="H8351" s="68">
        <v>40743</v>
      </c>
      <c r="I8351" s="67" t="s">
        <v>148</v>
      </c>
    </row>
    <row r="8352" spans="1:9" x14ac:dyDescent="0.25">
      <c r="B8352" s="67" t="s">
        <v>425</v>
      </c>
      <c r="C8352" s="67">
        <v>0</v>
      </c>
      <c r="D8352" s="67">
        <v>0</v>
      </c>
      <c r="E8352" s="67">
        <v>10000.10001</v>
      </c>
      <c r="H8352" s="67" t="s">
        <v>146</v>
      </c>
    </row>
    <row r="8354" spans="1:9" x14ac:dyDescent="0.25">
      <c r="A8354" s="67" t="s">
        <v>424</v>
      </c>
      <c r="B8354" s="67" t="s">
        <v>423</v>
      </c>
      <c r="C8354" s="67">
        <v>0</v>
      </c>
      <c r="D8354" s="67">
        <v>0</v>
      </c>
      <c r="E8354" s="67">
        <v>10000.10001</v>
      </c>
      <c r="F8354" s="67">
        <v>999</v>
      </c>
      <c r="H8354" s="68">
        <v>40743</v>
      </c>
      <c r="I8354" s="67" t="s">
        <v>148</v>
      </c>
    </row>
    <row r="8355" spans="1:9" x14ac:dyDescent="0.25">
      <c r="B8355" s="67" t="s">
        <v>422</v>
      </c>
      <c r="C8355" s="67">
        <v>0</v>
      </c>
      <c r="D8355" s="67">
        <v>0</v>
      </c>
      <c r="E8355" s="67">
        <v>10000.10001</v>
      </c>
      <c r="H8355" s="67" t="s">
        <v>146</v>
      </c>
    </row>
    <row r="8357" spans="1:9" x14ac:dyDescent="0.25">
      <c r="A8357" s="67" t="s">
        <v>421</v>
      </c>
      <c r="B8357" s="67" t="s">
        <v>420</v>
      </c>
      <c r="C8357" s="67">
        <v>0</v>
      </c>
      <c r="D8357" s="67">
        <v>0</v>
      </c>
      <c r="E8357" s="67">
        <v>10000.10001</v>
      </c>
      <c r="F8357" s="67">
        <v>999</v>
      </c>
      <c r="H8357" s="68">
        <v>40743</v>
      </c>
      <c r="I8357" s="67" t="s">
        <v>148</v>
      </c>
    </row>
    <row r="8358" spans="1:9" x14ac:dyDescent="0.25">
      <c r="B8358" s="67" t="s">
        <v>420</v>
      </c>
      <c r="C8358" s="67">
        <v>0</v>
      </c>
      <c r="D8358" s="67">
        <v>0</v>
      </c>
      <c r="E8358" s="67">
        <v>10000.10001</v>
      </c>
      <c r="H8358" s="67" t="s">
        <v>146</v>
      </c>
    </row>
    <row r="8360" spans="1:9" x14ac:dyDescent="0.25">
      <c r="A8360" s="67" t="s">
        <v>419</v>
      </c>
      <c r="B8360" s="67" t="s">
        <v>418</v>
      </c>
      <c r="C8360" s="67">
        <v>0</v>
      </c>
      <c r="D8360" s="67">
        <v>0</v>
      </c>
      <c r="E8360" s="67">
        <v>10000.10001</v>
      </c>
      <c r="F8360" s="67">
        <v>999</v>
      </c>
      <c r="H8360" s="68">
        <v>40743</v>
      </c>
      <c r="I8360" s="67" t="s">
        <v>148</v>
      </c>
    </row>
    <row r="8361" spans="1:9" x14ac:dyDescent="0.25">
      <c r="B8361" s="67" t="s">
        <v>418</v>
      </c>
      <c r="C8361" s="67">
        <v>0</v>
      </c>
      <c r="D8361" s="67">
        <v>0</v>
      </c>
      <c r="E8361" s="67">
        <v>10000.10001</v>
      </c>
      <c r="H8361" s="67" t="s">
        <v>146</v>
      </c>
    </row>
    <row r="8363" spans="1:9" x14ac:dyDescent="0.25">
      <c r="A8363" s="67" t="s">
        <v>417</v>
      </c>
      <c r="B8363" s="67" t="s">
        <v>416</v>
      </c>
      <c r="C8363" s="67">
        <v>0</v>
      </c>
      <c r="D8363" s="67">
        <v>0</v>
      </c>
      <c r="E8363" s="67">
        <v>10000.10001</v>
      </c>
      <c r="F8363" s="67">
        <v>999</v>
      </c>
      <c r="H8363" s="68">
        <v>40743</v>
      </c>
      <c r="I8363" s="67" t="s">
        <v>148</v>
      </c>
    </row>
    <row r="8364" spans="1:9" x14ac:dyDescent="0.25">
      <c r="B8364" s="67" t="s">
        <v>416</v>
      </c>
      <c r="C8364" s="67">
        <v>0</v>
      </c>
      <c r="D8364" s="67">
        <v>0</v>
      </c>
      <c r="E8364" s="67">
        <v>10000.10001</v>
      </c>
      <c r="H8364" s="67" t="s">
        <v>146</v>
      </c>
    </row>
    <row r="8366" spans="1:9" x14ac:dyDescent="0.25">
      <c r="A8366" s="67" t="s">
        <v>415</v>
      </c>
      <c r="B8366" s="67" t="s">
        <v>414</v>
      </c>
      <c r="C8366" s="67">
        <v>0</v>
      </c>
      <c r="D8366" s="67">
        <v>0</v>
      </c>
      <c r="E8366" s="67">
        <v>10000.10001</v>
      </c>
      <c r="F8366" s="67">
        <v>999</v>
      </c>
      <c r="H8366" s="68">
        <v>42369</v>
      </c>
      <c r="I8366" s="67" t="s">
        <v>148</v>
      </c>
    </row>
    <row r="8367" spans="1:9" x14ac:dyDescent="0.25">
      <c r="B8367" s="67" t="s">
        <v>414</v>
      </c>
      <c r="C8367" s="67">
        <v>0</v>
      </c>
      <c r="D8367" s="67">
        <v>0</v>
      </c>
      <c r="E8367" s="67">
        <v>10000.10001</v>
      </c>
      <c r="H8367" s="67" t="s">
        <v>146</v>
      </c>
    </row>
    <row r="8368" spans="1:9" x14ac:dyDescent="0.25">
      <c r="A8368" s="67" t="s">
        <v>233</v>
      </c>
    </row>
    <row r="8370" spans="1:9" x14ac:dyDescent="0.25">
      <c r="A8370" s="67" t="s">
        <v>232</v>
      </c>
      <c r="D8370" s="67" t="s">
        <v>231</v>
      </c>
      <c r="H8370" s="67" t="s">
        <v>148</v>
      </c>
      <c r="I8370" s="67" t="s">
        <v>230</v>
      </c>
    </row>
    <row r="8371" spans="1:9" x14ac:dyDescent="0.25">
      <c r="A8371" s="67">
        <v>41.1</v>
      </c>
      <c r="C8371" s="67" t="s">
        <v>215</v>
      </c>
      <c r="D8371" s="67" t="s">
        <v>229</v>
      </c>
      <c r="H8371" s="70">
        <v>44771</v>
      </c>
      <c r="I8371" s="69">
        <v>0.56736111111111109</v>
      </c>
    </row>
    <row r="8372" spans="1:9" x14ac:dyDescent="0.25">
      <c r="A8372" s="67" t="s">
        <v>228</v>
      </c>
      <c r="C8372" s="67" t="s">
        <v>227</v>
      </c>
      <c r="D8372" s="67" t="s">
        <v>226</v>
      </c>
      <c r="E8372" s="67">
        <v>589</v>
      </c>
      <c r="H8372" s="67" t="s">
        <v>225</v>
      </c>
      <c r="I8372" s="67">
        <v>150</v>
      </c>
    </row>
    <row r="8373" spans="1:9" x14ac:dyDescent="0.25">
      <c r="A8373" s="67" t="s">
        <v>224</v>
      </c>
    </row>
    <row r="8374" spans="1:9" x14ac:dyDescent="0.25">
      <c r="A8374" s="67" t="s">
        <v>223</v>
      </c>
      <c r="B8374" s="67" t="s">
        <v>222</v>
      </c>
      <c r="C8374" s="67" t="s">
        <v>221</v>
      </c>
      <c r="D8374" s="67" t="s">
        <v>220</v>
      </c>
      <c r="E8374" s="67" t="s">
        <v>219</v>
      </c>
      <c r="F8374" s="67" t="s">
        <v>217</v>
      </c>
      <c r="G8374" s="67" t="s">
        <v>218</v>
      </c>
      <c r="H8374" s="67" t="s">
        <v>217</v>
      </c>
      <c r="I8374" s="67" t="s">
        <v>216</v>
      </c>
    </row>
    <row r="8375" spans="1:9" x14ac:dyDescent="0.25">
      <c r="A8375" s="67" t="s">
        <v>215</v>
      </c>
      <c r="B8375" s="67" t="s">
        <v>214</v>
      </c>
      <c r="C8375" s="67" t="s">
        <v>213</v>
      </c>
      <c r="D8375" s="67" t="s">
        <v>212</v>
      </c>
      <c r="E8375" s="67" t="s">
        <v>211</v>
      </c>
      <c r="F8375" s="67" t="s">
        <v>210</v>
      </c>
      <c r="G8375" s="67" t="s">
        <v>209</v>
      </c>
      <c r="H8375" s="67" t="s">
        <v>208</v>
      </c>
      <c r="I8375" s="67" t="s">
        <v>207</v>
      </c>
    </row>
    <row r="8376" spans="1:9" x14ac:dyDescent="0.25">
      <c r="A8376" s="67" t="s">
        <v>206</v>
      </c>
      <c r="B8376" s="67" t="s">
        <v>205</v>
      </c>
      <c r="C8376" s="67" t="s">
        <v>204</v>
      </c>
      <c r="D8376" s="67" t="s">
        <v>203</v>
      </c>
      <c r="E8376" s="67" t="s">
        <v>202</v>
      </c>
      <c r="F8376" s="67" t="s">
        <v>201</v>
      </c>
      <c r="G8376" s="67" t="s">
        <v>200</v>
      </c>
      <c r="H8376" s="67" t="s">
        <v>199</v>
      </c>
    </row>
    <row r="8377" spans="1:9" x14ac:dyDescent="0.25">
      <c r="A8377" s="67" t="s">
        <v>413</v>
      </c>
      <c r="B8377" s="67" t="s">
        <v>412</v>
      </c>
      <c r="C8377" s="67">
        <v>0</v>
      </c>
      <c r="D8377" s="67">
        <v>0</v>
      </c>
      <c r="E8377" s="67">
        <v>10000.10001</v>
      </c>
      <c r="F8377" s="67">
        <v>999</v>
      </c>
      <c r="H8377" s="68">
        <v>40743</v>
      </c>
      <c r="I8377" s="67" t="s">
        <v>148</v>
      </c>
    </row>
    <row r="8378" spans="1:9" x14ac:dyDescent="0.25">
      <c r="B8378" s="67" t="s">
        <v>411</v>
      </c>
      <c r="C8378" s="67">
        <v>0</v>
      </c>
      <c r="D8378" s="67">
        <v>0</v>
      </c>
      <c r="E8378" s="67">
        <v>10000.10001</v>
      </c>
      <c r="H8378" s="67" t="s">
        <v>146</v>
      </c>
    </row>
    <row r="8380" spans="1:9" x14ac:dyDescent="0.25">
      <c r="A8380" s="67" t="s">
        <v>410</v>
      </c>
      <c r="B8380" s="67" t="s">
        <v>409</v>
      </c>
      <c r="C8380" s="67">
        <v>0</v>
      </c>
      <c r="D8380" s="67">
        <v>0</v>
      </c>
      <c r="E8380" s="67">
        <v>10000.10001</v>
      </c>
      <c r="F8380" s="67">
        <v>999</v>
      </c>
      <c r="H8380" s="68">
        <v>40743</v>
      </c>
      <c r="I8380" s="67" t="s">
        <v>148</v>
      </c>
    </row>
    <row r="8381" spans="1:9" x14ac:dyDescent="0.25">
      <c r="B8381" s="67" t="s">
        <v>409</v>
      </c>
      <c r="C8381" s="67">
        <v>0</v>
      </c>
      <c r="D8381" s="67">
        <v>0</v>
      </c>
      <c r="E8381" s="67">
        <v>10000.10001</v>
      </c>
      <c r="H8381" s="67" t="s">
        <v>146</v>
      </c>
    </row>
    <row r="8383" spans="1:9" x14ac:dyDescent="0.25">
      <c r="A8383" s="67" t="s">
        <v>408</v>
      </c>
      <c r="B8383" s="67" t="s">
        <v>407</v>
      </c>
      <c r="C8383" s="67">
        <v>0</v>
      </c>
      <c r="D8383" s="67">
        <v>0</v>
      </c>
      <c r="E8383" s="67">
        <v>10000.10001</v>
      </c>
      <c r="F8383" s="67">
        <v>999</v>
      </c>
      <c r="H8383" s="68">
        <v>40743</v>
      </c>
      <c r="I8383" s="67" t="s">
        <v>148</v>
      </c>
    </row>
    <row r="8384" spans="1:9" x14ac:dyDescent="0.25">
      <c r="B8384" s="67" t="s">
        <v>407</v>
      </c>
      <c r="C8384" s="67">
        <v>0</v>
      </c>
      <c r="D8384" s="67">
        <v>0</v>
      </c>
      <c r="E8384" s="67">
        <v>10000.10001</v>
      </c>
      <c r="H8384" s="67" t="s">
        <v>146</v>
      </c>
    </row>
    <row r="8386" spans="1:9" x14ac:dyDescent="0.25">
      <c r="A8386" s="67" t="s">
        <v>406</v>
      </c>
      <c r="B8386" s="67" t="s">
        <v>405</v>
      </c>
      <c r="C8386" s="67">
        <v>0</v>
      </c>
      <c r="D8386" s="67">
        <v>0</v>
      </c>
      <c r="E8386" s="67">
        <v>10000.10001</v>
      </c>
      <c r="F8386" s="67">
        <v>999</v>
      </c>
      <c r="H8386" s="68">
        <v>40744</v>
      </c>
      <c r="I8386" s="67" t="s">
        <v>148</v>
      </c>
    </row>
    <row r="8387" spans="1:9" x14ac:dyDescent="0.25">
      <c r="B8387" s="67" t="s">
        <v>405</v>
      </c>
      <c r="C8387" s="67">
        <v>0</v>
      </c>
      <c r="D8387" s="67">
        <v>0</v>
      </c>
      <c r="E8387" s="67">
        <v>10000.10001</v>
      </c>
      <c r="H8387" s="67" t="s">
        <v>146</v>
      </c>
    </row>
    <row r="8389" spans="1:9" x14ac:dyDescent="0.25">
      <c r="A8389" s="67" t="s">
        <v>404</v>
      </c>
      <c r="B8389" s="67" t="s">
        <v>403</v>
      </c>
      <c r="C8389" s="67">
        <v>0</v>
      </c>
      <c r="D8389" s="67">
        <v>0</v>
      </c>
      <c r="E8389" s="67">
        <v>10000.10001</v>
      </c>
      <c r="F8389" s="67">
        <v>999</v>
      </c>
      <c r="H8389" s="68">
        <v>40743</v>
      </c>
      <c r="I8389" s="67" t="s">
        <v>148</v>
      </c>
    </row>
    <row r="8390" spans="1:9" x14ac:dyDescent="0.25">
      <c r="B8390" s="67" t="s">
        <v>403</v>
      </c>
      <c r="C8390" s="67">
        <v>0</v>
      </c>
      <c r="D8390" s="67">
        <v>0</v>
      </c>
      <c r="E8390" s="67">
        <v>10000.10001</v>
      </c>
      <c r="H8390" s="67" t="s">
        <v>146</v>
      </c>
    </row>
    <row r="8392" spans="1:9" x14ac:dyDescent="0.25">
      <c r="A8392" s="67" t="s">
        <v>402</v>
      </c>
      <c r="B8392" s="67" t="s">
        <v>401</v>
      </c>
      <c r="C8392" s="67">
        <v>0</v>
      </c>
      <c r="D8392" s="67">
        <v>0</v>
      </c>
      <c r="E8392" s="67">
        <v>10000.10001</v>
      </c>
      <c r="F8392" s="67">
        <v>999</v>
      </c>
      <c r="H8392" s="68">
        <v>40743</v>
      </c>
      <c r="I8392" s="67" t="s">
        <v>148</v>
      </c>
    </row>
    <row r="8393" spans="1:9" x14ac:dyDescent="0.25">
      <c r="B8393" s="67" t="s">
        <v>401</v>
      </c>
      <c r="C8393" s="67">
        <v>0</v>
      </c>
      <c r="D8393" s="67">
        <v>0</v>
      </c>
      <c r="E8393" s="67">
        <v>10000.10001</v>
      </c>
      <c r="H8393" s="67" t="s">
        <v>146</v>
      </c>
    </row>
    <row r="8395" spans="1:9" x14ac:dyDescent="0.25">
      <c r="A8395" s="67" t="s">
        <v>400</v>
      </c>
      <c r="B8395" s="67" t="s">
        <v>399</v>
      </c>
      <c r="C8395" s="67" t="s">
        <v>376</v>
      </c>
      <c r="D8395" s="67">
        <v>0</v>
      </c>
      <c r="E8395" s="67">
        <v>10000.10001</v>
      </c>
      <c r="F8395" s="67">
        <v>999</v>
      </c>
      <c r="H8395" s="68">
        <v>40743</v>
      </c>
      <c r="I8395" s="67" t="s">
        <v>148</v>
      </c>
    </row>
    <row r="8396" spans="1:9" x14ac:dyDescent="0.25">
      <c r="B8396" s="67" t="s">
        <v>398</v>
      </c>
      <c r="C8396" s="67">
        <v>0</v>
      </c>
      <c r="D8396" s="67">
        <v>0</v>
      </c>
      <c r="E8396" s="67">
        <v>10000.10001</v>
      </c>
      <c r="H8396" s="67" t="s">
        <v>146</v>
      </c>
    </row>
    <row r="8398" spans="1:9" x14ac:dyDescent="0.25">
      <c r="A8398" s="67" t="s">
        <v>397</v>
      </c>
      <c r="B8398" s="67" t="s">
        <v>396</v>
      </c>
      <c r="C8398" s="67" t="s">
        <v>376</v>
      </c>
      <c r="D8398" s="67">
        <v>0</v>
      </c>
      <c r="E8398" s="67">
        <v>10000.10001</v>
      </c>
      <c r="F8398" s="67">
        <v>999</v>
      </c>
      <c r="H8398" s="68">
        <v>40743</v>
      </c>
      <c r="I8398" s="67" t="s">
        <v>148</v>
      </c>
    </row>
    <row r="8399" spans="1:9" x14ac:dyDescent="0.25">
      <c r="B8399" s="67" t="s">
        <v>395</v>
      </c>
      <c r="C8399" s="67">
        <v>0</v>
      </c>
      <c r="D8399" s="67">
        <v>0</v>
      </c>
      <c r="E8399" s="67">
        <v>10000.10001</v>
      </c>
      <c r="H8399" s="67" t="s">
        <v>146</v>
      </c>
    </row>
    <row r="8401" spans="1:9" x14ac:dyDescent="0.25">
      <c r="A8401" s="67" t="s">
        <v>394</v>
      </c>
      <c r="B8401" s="67" t="s">
        <v>393</v>
      </c>
      <c r="C8401" s="67">
        <v>0</v>
      </c>
      <c r="D8401" s="67">
        <v>0</v>
      </c>
      <c r="E8401" s="67">
        <v>10000.10001</v>
      </c>
      <c r="F8401" s="67">
        <v>999</v>
      </c>
      <c r="H8401" s="68">
        <v>40743</v>
      </c>
      <c r="I8401" s="67" t="s">
        <v>148</v>
      </c>
    </row>
    <row r="8402" spans="1:9" x14ac:dyDescent="0.25">
      <c r="B8402" s="67" t="s">
        <v>393</v>
      </c>
      <c r="C8402" s="67">
        <v>0</v>
      </c>
      <c r="D8402" s="67">
        <v>0</v>
      </c>
      <c r="E8402" s="67">
        <v>10000.10001</v>
      </c>
      <c r="H8402" s="67" t="s">
        <v>146</v>
      </c>
    </row>
    <row r="8404" spans="1:9" x14ac:dyDescent="0.25">
      <c r="A8404" s="67" t="s">
        <v>392</v>
      </c>
      <c r="B8404" s="67" t="s">
        <v>391</v>
      </c>
      <c r="C8404" s="67">
        <v>0</v>
      </c>
      <c r="D8404" s="67">
        <v>0</v>
      </c>
      <c r="E8404" s="67">
        <v>10000.10001</v>
      </c>
      <c r="F8404" s="67">
        <v>999</v>
      </c>
      <c r="H8404" s="68">
        <v>40743</v>
      </c>
      <c r="I8404" s="67" t="s">
        <v>148</v>
      </c>
    </row>
    <row r="8405" spans="1:9" x14ac:dyDescent="0.25">
      <c r="B8405" s="67" t="s">
        <v>391</v>
      </c>
      <c r="C8405" s="67">
        <v>0</v>
      </c>
      <c r="D8405" s="67">
        <v>0</v>
      </c>
      <c r="E8405" s="67">
        <v>10000.10001</v>
      </c>
      <c r="H8405" s="67" t="s">
        <v>146</v>
      </c>
    </row>
    <row r="8407" spans="1:9" x14ac:dyDescent="0.25">
      <c r="A8407" s="67" t="s">
        <v>390</v>
      </c>
      <c r="B8407" s="67" t="s">
        <v>389</v>
      </c>
      <c r="C8407" s="67">
        <v>0</v>
      </c>
      <c r="D8407" s="67">
        <v>0</v>
      </c>
      <c r="E8407" s="67">
        <v>10000.10001</v>
      </c>
      <c r="F8407" s="67">
        <v>999</v>
      </c>
      <c r="H8407" s="68">
        <v>42159</v>
      </c>
      <c r="I8407" s="67" t="s">
        <v>148</v>
      </c>
    </row>
    <row r="8408" spans="1:9" x14ac:dyDescent="0.25">
      <c r="B8408" s="67" t="s">
        <v>388</v>
      </c>
      <c r="C8408" s="67">
        <v>0</v>
      </c>
      <c r="D8408" s="67">
        <v>0</v>
      </c>
      <c r="E8408" s="67">
        <v>10000.10001</v>
      </c>
      <c r="H8408" s="67" t="s">
        <v>146</v>
      </c>
    </row>
    <row r="8410" spans="1:9" x14ac:dyDescent="0.25">
      <c r="A8410" s="67" t="s">
        <v>387</v>
      </c>
      <c r="B8410" s="67" t="s">
        <v>386</v>
      </c>
      <c r="C8410" s="67">
        <v>0</v>
      </c>
      <c r="D8410" s="67">
        <v>0</v>
      </c>
      <c r="E8410" s="67">
        <v>10000.10001</v>
      </c>
      <c r="F8410" s="67">
        <v>999</v>
      </c>
      <c r="H8410" s="68">
        <v>40743</v>
      </c>
      <c r="I8410" s="67" t="s">
        <v>148</v>
      </c>
    </row>
    <row r="8411" spans="1:9" x14ac:dyDescent="0.25">
      <c r="B8411" s="67" t="s">
        <v>385</v>
      </c>
      <c r="C8411" s="67">
        <v>0</v>
      </c>
      <c r="D8411" s="67">
        <v>0</v>
      </c>
      <c r="E8411" s="67">
        <v>10000.10001</v>
      </c>
      <c r="H8411" s="67" t="s">
        <v>146</v>
      </c>
    </row>
    <row r="8413" spans="1:9" x14ac:dyDescent="0.25">
      <c r="A8413" s="67" t="s">
        <v>384</v>
      </c>
      <c r="B8413" s="67" t="s">
        <v>383</v>
      </c>
      <c r="C8413" s="67">
        <v>0</v>
      </c>
      <c r="D8413" s="67">
        <v>0</v>
      </c>
      <c r="E8413" s="67">
        <v>10000.10001</v>
      </c>
      <c r="F8413" s="67">
        <v>999</v>
      </c>
      <c r="H8413" s="68">
        <v>43160</v>
      </c>
      <c r="I8413" s="67" t="s">
        <v>148</v>
      </c>
    </row>
    <row r="8414" spans="1:9" x14ac:dyDescent="0.25">
      <c r="B8414" s="67" t="s">
        <v>383</v>
      </c>
      <c r="C8414" s="67">
        <v>0</v>
      </c>
      <c r="D8414" s="67">
        <v>0</v>
      </c>
      <c r="E8414" s="67">
        <v>10000.10001</v>
      </c>
      <c r="H8414" s="67" t="s">
        <v>146</v>
      </c>
    </row>
    <row r="8416" spans="1:9" x14ac:dyDescent="0.25">
      <c r="A8416" s="67" t="s">
        <v>382</v>
      </c>
      <c r="B8416" s="67" t="s">
        <v>381</v>
      </c>
      <c r="C8416" s="67">
        <v>0</v>
      </c>
      <c r="D8416" s="67">
        <v>0</v>
      </c>
      <c r="E8416" s="67">
        <v>10000.10001</v>
      </c>
      <c r="F8416" s="67">
        <v>999</v>
      </c>
      <c r="H8416" s="68">
        <v>43655</v>
      </c>
      <c r="I8416" s="67" t="s">
        <v>148</v>
      </c>
    </row>
    <row r="8417" spans="1:9" x14ac:dyDescent="0.25">
      <c r="B8417" s="67" t="s">
        <v>381</v>
      </c>
      <c r="C8417" s="67">
        <v>0</v>
      </c>
      <c r="D8417" s="67">
        <v>0</v>
      </c>
      <c r="E8417" s="67">
        <v>10000.10001</v>
      </c>
      <c r="H8417" s="67" t="s">
        <v>146</v>
      </c>
    </row>
    <row r="8419" spans="1:9" x14ac:dyDescent="0.25">
      <c r="A8419" s="67" t="s">
        <v>380</v>
      </c>
      <c r="B8419" s="67" t="s">
        <v>379</v>
      </c>
      <c r="C8419" s="67">
        <v>0</v>
      </c>
      <c r="D8419" s="67">
        <v>0</v>
      </c>
      <c r="E8419" s="67">
        <v>10000.10001</v>
      </c>
      <c r="F8419" s="67">
        <v>990</v>
      </c>
      <c r="H8419" s="68">
        <v>40753</v>
      </c>
      <c r="I8419" s="67" t="s">
        <v>148</v>
      </c>
    </row>
    <row r="8420" spans="1:9" x14ac:dyDescent="0.25">
      <c r="B8420" s="67" t="s">
        <v>379</v>
      </c>
      <c r="C8420" s="67">
        <v>0</v>
      </c>
      <c r="D8420" s="67">
        <v>0</v>
      </c>
      <c r="E8420" s="67">
        <v>10000.10001</v>
      </c>
      <c r="H8420" s="67" t="s">
        <v>146</v>
      </c>
    </row>
    <row r="8422" spans="1:9" x14ac:dyDescent="0.25">
      <c r="A8422" s="67" t="s">
        <v>378</v>
      </c>
      <c r="B8422" s="67" t="s">
        <v>377</v>
      </c>
      <c r="C8422" s="67" t="s">
        <v>376</v>
      </c>
      <c r="D8422" s="67">
        <v>0</v>
      </c>
      <c r="E8422" s="67">
        <v>10000.10001</v>
      </c>
      <c r="F8422" s="67">
        <v>999</v>
      </c>
      <c r="H8422" s="68">
        <v>40743</v>
      </c>
      <c r="I8422" s="67" t="s">
        <v>148</v>
      </c>
    </row>
    <row r="8423" spans="1:9" x14ac:dyDescent="0.25">
      <c r="B8423" s="67" t="s">
        <v>375</v>
      </c>
      <c r="C8423" s="67">
        <v>0</v>
      </c>
      <c r="D8423" s="67">
        <v>0</v>
      </c>
      <c r="E8423" s="67">
        <v>10000.10001</v>
      </c>
      <c r="H8423" s="67" t="s">
        <v>146</v>
      </c>
    </row>
    <row r="8425" spans="1:9" x14ac:dyDescent="0.25">
      <c r="A8425" s="67" t="s">
        <v>374</v>
      </c>
      <c r="B8425" s="67" t="s">
        <v>373</v>
      </c>
      <c r="C8425" s="67">
        <v>0</v>
      </c>
      <c r="D8425" s="67">
        <v>0</v>
      </c>
      <c r="E8425" s="67">
        <v>10000.10001</v>
      </c>
      <c r="F8425" s="67">
        <v>999</v>
      </c>
      <c r="H8425" s="68">
        <v>40743</v>
      </c>
      <c r="I8425" s="67" t="s">
        <v>148</v>
      </c>
    </row>
    <row r="8426" spans="1:9" x14ac:dyDescent="0.25">
      <c r="B8426" s="67" t="s">
        <v>373</v>
      </c>
      <c r="C8426" s="67">
        <v>0</v>
      </c>
      <c r="D8426" s="67">
        <v>0</v>
      </c>
      <c r="E8426" s="67">
        <v>10000.10001</v>
      </c>
      <c r="H8426" s="67" t="s">
        <v>146</v>
      </c>
    </row>
    <row r="8427" spans="1:9" x14ac:dyDescent="0.25">
      <c r="A8427" s="67" t="s">
        <v>233</v>
      </c>
    </row>
    <row r="8429" spans="1:9" x14ac:dyDescent="0.25">
      <c r="A8429" s="67" t="s">
        <v>232</v>
      </c>
      <c r="D8429" s="67" t="s">
        <v>231</v>
      </c>
      <c r="H8429" s="67" t="s">
        <v>148</v>
      </c>
      <c r="I8429" s="67" t="s">
        <v>230</v>
      </c>
    </row>
    <row r="8430" spans="1:9" x14ac:dyDescent="0.25">
      <c r="A8430" s="67">
        <v>41.1</v>
      </c>
      <c r="C8430" s="67" t="s">
        <v>215</v>
      </c>
      <c r="D8430" s="67" t="s">
        <v>229</v>
      </c>
      <c r="H8430" s="70">
        <v>44771</v>
      </c>
      <c r="I8430" s="69">
        <v>0.56736111111111109</v>
      </c>
    </row>
    <row r="8431" spans="1:9" x14ac:dyDescent="0.25">
      <c r="A8431" s="67" t="s">
        <v>228</v>
      </c>
      <c r="C8431" s="67" t="s">
        <v>227</v>
      </c>
      <c r="D8431" s="67" t="s">
        <v>226</v>
      </c>
      <c r="E8431" s="67">
        <v>589</v>
      </c>
      <c r="H8431" s="67" t="s">
        <v>225</v>
      </c>
      <c r="I8431" s="67">
        <v>151</v>
      </c>
    </row>
    <row r="8432" spans="1:9" x14ac:dyDescent="0.25">
      <c r="A8432" s="67" t="s">
        <v>224</v>
      </c>
    </row>
    <row r="8433" spans="1:9" x14ac:dyDescent="0.25">
      <c r="A8433" s="67" t="s">
        <v>223</v>
      </c>
      <c r="B8433" s="67" t="s">
        <v>222</v>
      </c>
      <c r="C8433" s="67" t="s">
        <v>221</v>
      </c>
      <c r="D8433" s="67" t="s">
        <v>220</v>
      </c>
      <c r="E8433" s="67" t="s">
        <v>219</v>
      </c>
      <c r="F8433" s="67" t="s">
        <v>217</v>
      </c>
      <c r="G8433" s="67" t="s">
        <v>218</v>
      </c>
      <c r="H8433" s="67" t="s">
        <v>217</v>
      </c>
      <c r="I8433" s="67" t="s">
        <v>216</v>
      </c>
    </row>
    <row r="8434" spans="1:9" x14ac:dyDescent="0.25">
      <c r="A8434" s="67" t="s">
        <v>215</v>
      </c>
      <c r="B8434" s="67" t="s">
        <v>214</v>
      </c>
      <c r="C8434" s="67" t="s">
        <v>213</v>
      </c>
      <c r="D8434" s="67" t="s">
        <v>212</v>
      </c>
      <c r="E8434" s="67" t="s">
        <v>211</v>
      </c>
      <c r="F8434" s="67" t="s">
        <v>210</v>
      </c>
      <c r="G8434" s="67" t="s">
        <v>209</v>
      </c>
      <c r="H8434" s="67" t="s">
        <v>208</v>
      </c>
      <c r="I8434" s="67" t="s">
        <v>207</v>
      </c>
    </row>
    <row r="8435" spans="1:9" x14ac:dyDescent="0.25">
      <c r="A8435" s="67" t="s">
        <v>206</v>
      </c>
      <c r="B8435" s="67" t="s">
        <v>205</v>
      </c>
      <c r="C8435" s="67" t="s">
        <v>204</v>
      </c>
      <c r="D8435" s="67" t="s">
        <v>203</v>
      </c>
      <c r="E8435" s="67" t="s">
        <v>202</v>
      </c>
      <c r="F8435" s="67" t="s">
        <v>201</v>
      </c>
      <c r="G8435" s="67" t="s">
        <v>200</v>
      </c>
      <c r="H8435" s="67" t="s">
        <v>199</v>
      </c>
    </row>
    <row r="8436" spans="1:9" x14ac:dyDescent="0.25">
      <c r="A8436" s="67" t="s">
        <v>372</v>
      </c>
      <c r="B8436" s="67" t="s">
        <v>371</v>
      </c>
      <c r="C8436" s="67">
        <v>0</v>
      </c>
      <c r="D8436" s="67">
        <v>0</v>
      </c>
      <c r="E8436" s="67">
        <v>10000.10001</v>
      </c>
      <c r="F8436" s="67">
        <v>999</v>
      </c>
      <c r="H8436" s="68">
        <v>40743</v>
      </c>
      <c r="I8436" s="67" t="s">
        <v>148</v>
      </c>
    </row>
    <row r="8437" spans="1:9" x14ac:dyDescent="0.25">
      <c r="B8437" s="67" t="s">
        <v>371</v>
      </c>
      <c r="C8437" s="67">
        <v>0</v>
      </c>
      <c r="D8437" s="67">
        <v>0</v>
      </c>
      <c r="E8437" s="67">
        <v>10000.10001</v>
      </c>
      <c r="H8437" s="67" t="s">
        <v>146</v>
      </c>
    </row>
    <row r="8439" spans="1:9" x14ac:dyDescent="0.25">
      <c r="A8439" s="67" t="s">
        <v>370</v>
      </c>
      <c r="B8439" s="67" t="s">
        <v>369</v>
      </c>
      <c r="C8439" s="67" t="s">
        <v>368</v>
      </c>
      <c r="D8439" s="67">
        <v>0</v>
      </c>
      <c r="E8439" s="67">
        <v>10000.10001</v>
      </c>
      <c r="F8439" s="67">
        <v>999</v>
      </c>
      <c r="H8439" s="68">
        <v>40743</v>
      </c>
      <c r="I8439" s="67" t="s">
        <v>148</v>
      </c>
    </row>
    <row r="8440" spans="1:9" x14ac:dyDescent="0.25">
      <c r="B8440" s="67" t="s">
        <v>367</v>
      </c>
      <c r="C8440" s="67">
        <v>0</v>
      </c>
      <c r="D8440" s="67">
        <v>0</v>
      </c>
      <c r="E8440" s="67">
        <v>10000.10001</v>
      </c>
      <c r="H8440" s="67" t="s">
        <v>146</v>
      </c>
    </row>
    <row r="8442" spans="1:9" x14ac:dyDescent="0.25">
      <c r="A8442" s="67" t="s">
        <v>366</v>
      </c>
      <c r="B8442" s="67" t="s">
        <v>365</v>
      </c>
      <c r="C8442" s="67">
        <v>0</v>
      </c>
      <c r="D8442" s="67">
        <v>0</v>
      </c>
      <c r="E8442" s="67">
        <v>10000.10001</v>
      </c>
      <c r="F8442" s="67">
        <v>999</v>
      </c>
      <c r="H8442" s="68">
        <v>40743</v>
      </c>
      <c r="I8442" s="67" t="s">
        <v>148</v>
      </c>
    </row>
    <row r="8443" spans="1:9" x14ac:dyDescent="0.25">
      <c r="B8443" s="67" t="s">
        <v>365</v>
      </c>
      <c r="C8443" s="67">
        <v>0</v>
      </c>
      <c r="D8443" s="67">
        <v>0</v>
      </c>
      <c r="E8443" s="67">
        <v>10000.10001</v>
      </c>
      <c r="H8443" s="67" t="s">
        <v>146</v>
      </c>
    </row>
    <row r="8445" spans="1:9" x14ac:dyDescent="0.25">
      <c r="A8445" s="67" t="s">
        <v>364</v>
      </c>
      <c r="B8445" s="67" t="s">
        <v>363</v>
      </c>
      <c r="C8445" s="67">
        <v>0</v>
      </c>
      <c r="D8445" s="67">
        <v>0</v>
      </c>
      <c r="E8445" s="67">
        <v>10000.10001</v>
      </c>
      <c r="F8445" s="67">
        <v>99</v>
      </c>
      <c r="H8445" s="68">
        <v>40794</v>
      </c>
      <c r="I8445" s="67" t="s">
        <v>148</v>
      </c>
    </row>
    <row r="8446" spans="1:9" x14ac:dyDescent="0.25">
      <c r="B8446" s="67" t="s">
        <v>363</v>
      </c>
      <c r="C8446" s="67">
        <v>0</v>
      </c>
      <c r="D8446" s="67">
        <v>0</v>
      </c>
      <c r="E8446" s="67">
        <v>10000.10001</v>
      </c>
      <c r="H8446" s="67" t="s">
        <v>146</v>
      </c>
    </row>
    <row r="8448" spans="1:9" x14ac:dyDescent="0.25">
      <c r="A8448" s="67" t="s">
        <v>362</v>
      </c>
      <c r="B8448" s="67" t="s">
        <v>361</v>
      </c>
      <c r="C8448" s="67">
        <v>0</v>
      </c>
      <c r="D8448" s="67">
        <v>0</v>
      </c>
      <c r="E8448" s="67">
        <v>10000.10001</v>
      </c>
      <c r="F8448" s="67">
        <v>990</v>
      </c>
      <c r="H8448" s="68">
        <v>43152</v>
      </c>
      <c r="I8448" s="67" t="s">
        <v>148</v>
      </c>
    </row>
    <row r="8449" spans="1:9" x14ac:dyDescent="0.25">
      <c r="B8449" s="67" t="s">
        <v>361</v>
      </c>
      <c r="C8449" s="67">
        <v>0</v>
      </c>
      <c r="D8449" s="67">
        <v>0</v>
      </c>
      <c r="E8449" s="67">
        <v>10000.10001</v>
      </c>
      <c r="H8449" s="67" t="s">
        <v>146</v>
      </c>
    </row>
    <row r="8451" spans="1:9" x14ac:dyDescent="0.25">
      <c r="A8451" s="67" t="s">
        <v>360</v>
      </c>
      <c r="B8451" s="67" t="s">
        <v>359</v>
      </c>
      <c r="C8451" s="67">
        <v>0</v>
      </c>
      <c r="D8451" s="67">
        <v>0</v>
      </c>
      <c r="E8451" s="67">
        <v>10000.10001</v>
      </c>
      <c r="F8451" s="67">
        <v>999</v>
      </c>
      <c r="H8451" s="68">
        <v>44376</v>
      </c>
      <c r="I8451" s="67" t="s">
        <v>148</v>
      </c>
    </row>
    <row r="8452" spans="1:9" x14ac:dyDescent="0.25">
      <c r="B8452" s="67" t="s">
        <v>359</v>
      </c>
      <c r="C8452" s="67">
        <v>0</v>
      </c>
      <c r="D8452" s="67">
        <v>0</v>
      </c>
      <c r="E8452" s="67">
        <v>10000.10001</v>
      </c>
      <c r="H8452" s="67" t="s">
        <v>146</v>
      </c>
    </row>
    <row r="8454" spans="1:9" x14ac:dyDescent="0.25">
      <c r="A8454" s="67" t="s">
        <v>358</v>
      </c>
      <c r="B8454" s="67" t="s">
        <v>357</v>
      </c>
      <c r="C8454" s="67" t="s">
        <v>356</v>
      </c>
      <c r="D8454" s="67">
        <v>0</v>
      </c>
      <c r="E8454" s="67">
        <v>10000.10001</v>
      </c>
      <c r="F8454" s="67">
        <v>999</v>
      </c>
      <c r="H8454" s="68">
        <v>43152</v>
      </c>
      <c r="I8454" s="67" t="s">
        <v>148</v>
      </c>
    </row>
    <row r="8455" spans="1:9" x14ac:dyDescent="0.25">
      <c r="B8455" s="67" t="s">
        <v>355</v>
      </c>
      <c r="C8455" s="67">
        <v>0</v>
      </c>
      <c r="D8455" s="67">
        <v>0</v>
      </c>
      <c r="E8455" s="67">
        <v>10000.10001</v>
      </c>
      <c r="H8455" s="67" t="s">
        <v>146</v>
      </c>
    </row>
    <row r="8457" spans="1:9" x14ac:dyDescent="0.25">
      <c r="A8457" s="67" t="s">
        <v>354</v>
      </c>
      <c r="B8457" s="67" t="s">
        <v>353</v>
      </c>
      <c r="C8457" s="67">
        <v>0</v>
      </c>
      <c r="D8457" s="67">
        <v>0</v>
      </c>
      <c r="E8457" s="67">
        <v>10000.10001</v>
      </c>
      <c r="H8457" s="68">
        <v>43160</v>
      </c>
      <c r="I8457" s="67" t="s">
        <v>148</v>
      </c>
    </row>
    <row r="8458" spans="1:9" x14ac:dyDescent="0.25">
      <c r="B8458" s="67" t="s">
        <v>353</v>
      </c>
      <c r="C8458" s="67">
        <v>0</v>
      </c>
      <c r="D8458" s="67">
        <v>0</v>
      </c>
      <c r="E8458" s="67">
        <v>10000.10001</v>
      </c>
      <c r="H8458" s="67" t="s">
        <v>146</v>
      </c>
    </row>
    <row r="8460" spans="1:9" x14ac:dyDescent="0.25">
      <c r="A8460" s="67" t="s">
        <v>352</v>
      </c>
      <c r="B8460" s="67" t="s">
        <v>351</v>
      </c>
      <c r="C8460" s="67">
        <v>0</v>
      </c>
      <c r="D8460" s="67">
        <v>0</v>
      </c>
      <c r="E8460" s="67">
        <v>10000.10001</v>
      </c>
      <c r="H8460" s="68">
        <v>44294</v>
      </c>
      <c r="I8460" s="67" t="s">
        <v>148</v>
      </c>
    </row>
    <row r="8461" spans="1:9" x14ac:dyDescent="0.25">
      <c r="B8461" s="67" t="s">
        <v>351</v>
      </c>
      <c r="C8461" s="67">
        <v>0</v>
      </c>
      <c r="D8461" s="67">
        <v>0</v>
      </c>
      <c r="E8461" s="67">
        <v>10000.10001</v>
      </c>
      <c r="H8461" s="67" t="s">
        <v>146</v>
      </c>
    </row>
    <row r="8463" spans="1:9" x14ac:dyDescent="0.25">
      <c r="A8463" s="67" t="s">
        <v>350</v>
      </c>
      <c r="B8463" s="67" t="s">
        <v>349</v>
      </c>
      <c r="C8463" s="67">
        <v>0</v>
      </c>
      <c r="D8463" s="67">
        <v>0</v>
      </c>
      <c r="E8463" s="67">
        <v>10000.10001</v>
      </c>
      <c r="H8463" s="68">
        <v>43160</v>
      </c>
      <c r="I8463" s="67" t="s">
        <v>148</v>
      </c>
    </row>
    <row r="8464" spans="1:9" x14ac:dyDescent="0.25">
      <c r="B8464" s="67" t="s">
        <v>349</v>
      </c>
      <c r="C8464" s="67">
        <v>0</v>
      </c>
      <c r="D8464" s="67">
        <v>0</v>
      </c>
      <c r="E8464" s="67">
        <v>10000.10001</v>
      </c>
      <c r="H8464" s="67" t="s">
        <v>146</v>
      </c>
    </row>
    <row r="8466" spans="1:9" x14ac:dyDescent="0.25">
      <c r="A8466" s="67" t="s">
        <v>348</v>
      </c>
      <c r="B8466" s="67" t="s">
        <v>347</v>
      </c>
      <c r="C8466" s="67">
        <v>0</v>
      </c>
      <c r="D8466" s="67">
        <v>0</v>
      </c>
      <c r="E8466" s="67">
        <v>10000.10001</v>
      </c>
      <c r="F8466" s="67">
        <v>999</v>
      </c>
      <c r="H8466" s="68">
        <v>44376</v>
      </c>
      <c r="I8466" s="67" t="s">
        <v>148</v>
      </c>
    </row>
    <row r="8467" spans="1:9" x14ac:dyDescent="0.25">
      <c r="B8467" s="67" t="s">
        <v>346</v>
      </c>
      <c r="C8467" s="67">
        <v>0</v>
      </c>
      <c r="D8467" s="67">
        <v>0</v>
      </c>
      <c r="E8467" s="67">
        <v>10000.10001</v>
      </c>
      <c r="H8467" s="67" t="s">
        <v>146</v>
      </c>
    </row>
    <row r="8469" spans="1:9" x14ac:dyDescent="0.25">
      <c r="A8469" s="67" t="s">
        <v>345</v>
      </c>
      <c r="B8469" s="67" t="s">
        <v>344</v>
      </c>
      <c r="C8469" s="67">
        <v>0</v>
      </c>
      <c r="D8469" s="67">
        <v>0</v>
      </c>
      <c r="E8469" s="67">
        <v>10000.10001</v>
      </c>
      <c r="F8469" s="67">
        <v>990</v>
      </c>
      <c r="H8469" s="68">
        <v>40753</v>
      </c>
      <c r="I8469" s="67" t="s">
        <v>148</v>
      </c>
    </row>
    <row r="8470" spans="1:9" x14ac:dyDescent="0.25">
      <c r="B8470" s="67" t="s">
        <v>343</v>
      </c>
      <c r="C8470" s="67">
        <v>0</v>
      </c>
      <c r="D8470" s="67">
        <v>0</v>
      </c>
      <c r="E8470" s="67">
        <v>10000.10001</v>
      </c>
      <c r="H8470" s="67" t="s">
        <v>146</v>
      </c>
    </row>
    <row r="8472" spans="1:9" x14ac:dyDescent="0.25">
      <c r="A8472" s="67" t="s">
        <v>342</v>
      </c>
      <c r="B8472" s="67" t="s">
        <v>341</v>
      </c>
      <c r="C8472" s="67">
        <v>0</v>
      </c>
      <c r="D8472" s="67">
        <v>0</v>
      </c>
      <c r="E8472" s="67">
        <v>10000.10001</v>
      </c>
      <c r="F8472" s="67">
        <v>99</v>
      </c>
      <c r="H8472" s="68">
        <v>40777</v>
      </c>
      <c r="I8472" s="67" t="s">
        <v>148</v>
      </c>
    </row>
    <row r="8473" spans="1:9" x14ac:dyDescent="0.25">
      <c r="B8473" s="67" t="s">
        <v>341</v>
      </c>
      <c r="C8473" s="67">
        <v>0</v>
      </c>
      <c r="D8473" s="67">
        <v>0</v>
      </c>
      <c r="E8473" s="67">
        <v>10000.10001</v>
      </c>
      <c r="H8473" s="67" t="s">
        <v>146</v>
      </c>
    </row>
    <row r="8475" spans="1:9" x14ac:dyDescent="0.25">
      <c r="A8475" s="67" t="s">
        <v>340</v>
      </c>
      <c r="B8475" s="67" t="s">
        <v>339</v>
      </c>
      <c r="C8475" s="67">
        <v>0</v>
      </c>
      <c r="D8475" s="67">
        <v>0</v>
      </c>
      <c r="E8475" s="67">
        <v>10000.10001</v>
      </c>
      <c r="F8475" s="67">
        <v>999</v>
      </c>
      <c r="H8475" s="68">
        <v>40743</v>
      </c>
      <c r="I8475" s="67" t="s">
        <v>148</v>
      </c>
    </row>
    <row r="8476" spans="1:9" x14ac:dyDescent="0.25">
      <c r="B8476" s="67" t="s">
        <v>339</v>
      </c>
      <c r="C8476" s="67">
        <v>0</v>
      </c>
      <c r="D8476" s="67">
        <v>0</v>
      </c>
      <c r="E8476" s="67">
        <v>10000.10001</v>
      </c>
      <c r="H8476" s="67" t="s">
        <v>146</v>
      </c>
    </row>
    <row r="8478" spans="1:9" x14ac:dyDescent="0.25">
      <c r="A8478" s="67" t="s">
        <v>338</v>
      </c>
      <c r="B8478" s="67" t="s">
        <v>337</v>
      </c>
      <c r="C8478" s="67">
        <v>0</v>
      </c>
      <c r="D8478" s="67">
        <v>0</v>
      </c>
      <c r="E8478" s="67">
        <v>10000.10001</v>
      </c>
      <c r="F8478" s="67">
        <v>999</v>
      </c>
      <c r="H8478" s="68">
        <v>40743</v>
      </c>
      <c r="I8478" s="67" t="s">
        <v>148</v>
      </c>
    </row>
    <row r="8479" spans="1:9" x14ac:dyDescent="0.25">
      <c r="B8479" s="67" t="s">
        <v>337</v>
      </c>
      <c r="C8479" s="67">
        <v>0</v>
      </c>
      <c r="D8479" s="67">
        <v>0</v>
      </c>
      <c r="E8479" s="67">
        <v>10000.10001</v>
      </c>
      <c r="H8479" s="67" t="s">
        <v>146</v>
      </c>
    </row>
    <row r="8481" spans="1:9" x14ac:dyDescent="0.25">
      <c r="A8481" s="67" t="s">
        <v>336</v>
      </c>
      <c r="B8481" s="67" t="s">
        <v>335</v>
      </c>
      <c r="C8481" s="67">
        <v>0</v>
      </c>
      <c r="D8481" s="67">
        <v>0</v>
      </c>
      <c r="E8481" s="67">
        <v>10000.10001</v>
      </c>
      <c r="F8481" s="67">
        <v>9999</v>
      </c>
      <c r="H8481" s="68">
        <v>42058</v>
      </c>
      <c r="I8481" s="67" t="s">
        <v>148</v>
      </c>
    </row>
    <row r="8482" spans="1:9" x14ac:dyDescent="0.25">
      <c r="B8482" s="67" t="s">
        <v>335</v>
      </c>
      <c r="C8482" s="67">
        <v>0</v>
      </c>
      <c r="D8482" s="67">
        <v>0</v>
      </c>
      <c r="E8482" s="67">
        <v>10000.10001</v>
      </c>
      <c r="H8482" s="67" t="s">
        <v>146</v>
      </c>
    </row>
    <row r="8484" spans="1:9" x14ac:dyDescent="0.25">
      <c r="A8484" s="67" t="s">
        <v>334</v>
      </c>
      <c r="B8484" s="67" t="s">
        <v>333</v>
      </c>
      <c r="C8484" s="67">
        <v>0</v>
      </c>
      <c r="D8484" s="67">
        <v>0</v>
      </c>
      <c r="E8484" s="67">
        <v>10000.10001</v>
      </c>
      <c r="F8484" s="67">
        <v>999</v>
      </c>
      <c r="H8484" s="68">
        <v>41289</v>
      </c>
      <c r="I8484" s="67" t="s">
        <v>148</v>
      </c>
    </row>
    <row r="8485" spans="1:9" x14ac:dyDescent="0.25">
      <c r="B8485" s="67" t="s">
        <v>333</v>
      </c>
      <c r="C8485" s="67">
        <v>0</v>
      </c>
      <c r="D8485" s="67">
        <v>0</v>
      </c>
      <c r="E8485" s="67">
        <v>10000.10001</v>
      </c>
      <c r="H8485" s="67" t="s">
        <v>146</v>
      </c>
    </row>
    <row r="8486" spans="1:9" x14ac:dyDescent="0.25">
      <c r="A8486" s="67" t="s">
        <v>233</v>
      </c>
    </row>
    <row r="8488" spans="1:9" x14ac:dyDescent="0.25">
      <c r="A8488" s="67" t="s">
        <v>232</v>
      </c>
      <c r="D8488" s="67" t="s">
        <v>231</v>
      </c>
      <c r="H8488" s="67" t="s">
        <v>148</v>
      </c>
      <c r="I8488" s="67" t="s">
        <v>230</v>
      </c>
    </row>
    <row r="8489" spans="1:9" x14ac:dyDescent="0.25">
      <c r="A8489" s="67">
        <v>41.1</v>
      </c>
      <c r="C8489" s="67" t="s">
        <v>215</v>
      </c>
      <c r="D8489" s="67" t="s">
        <v>229</v>
      </c>
      <c r="H8489" s="70">
        <v>44771</v>
      </c>
      <c r="I8489" s="69">
        <v>0.56736111111111109</v>
      </c>
    </row>
    <row r="8490" spans="1:9" x14ac:dyDescent="0.25">
      <c r="A8490" s="67" t="s">
        <v>228</v>
      </c>
      <c r="C8490" s="67" t="s">
        <v>227</v>
      </c>
      <c r="D8490" s="67" t="s">
        <v>226</v>
      </c>
      <c r="E8490" s="67">
        <v>589</v>
      </c>
      <c r="H8490" s="67" t="s">
        <v>225</v>
      </c>
      <c r="I8490" s="67">
        <v>152</v>
      </c>
    </row>
    <row r="8491" spans="1:9" x14ac:dyDescent="0.25">
      <c r="A8491" s="67" t="s">
        <v>224</v>
      </c>
    </row>
    <row r="8492" spans="1:9" x14ac:dyDescent="0.25">
      <c r="A8492" s="67" t="s">
        <v>223</v>
      </c>
      <c r="B8492" s="67" t="s">
        <v>222</v>
      </c>
      <c r="C8492" s="67" t="s">
        <v>221</v>
      </c>
      <c r="D8492" s="67" t="s">
        <v>220</v>
      </c>
      <c r="E8492" s="67" t="s">
        <v>219</v>
      </c>
      <c r="F8492" s="67" t="s">
        <v>217</v>
      </c>
      <c r="G8492" s="67" t="s">
        <v>218</v>
      </c>
      <c r="H8492" s="67" t="s">
        <v>217</v>
      </c>
      <c r="I8492" s="67" t="s">
        <v>216</v>
      </c>
    </row>
    <row r="8493" spans="1:9" x14ac:dyDescent="0.25">
      <c r="A8493" s="67" t="s">
        <v>215</v>
      </c>
      <c r="B8493" s="67" t="s">
        <v>214</v>
      </c>
      <c r="C8493" s="67" t="s">
        <v>213</v>
      </c>
      <c r="D8493" s="67" t="s">
        <v>212</v>
      </c>
      <c r="E8493" s="67" t="s">
        <v>211</v>
      </c>
      <c r="F8493" s="67" t="s">
        <v>210</v>
      </c>
      <c r="G8493" s="67" t="s">
        <v>209</v>
      </c>
      <c r="H8493" s="67" t="s">
        <v>208</v>
      </c>
      <c r="I8493" s="67" t="s">
        <v>207</v>
      </c>
    </row>
    <row r="8494" spans="1:9" x14ac:dyDescent="0.25">
      <c r="A8494" s="67" t="s">
        <v>206</v>
      </c>
      <c r="B8494" s="67" t="s">
        <v>205</v>
      </c>
      <c r="C8494" s="67" t="s">
        <v>204</v>
      </c>
      <c r="D8494" s="67" t="s">
        <v>203</v>
      </c>
      <c r="E8494" s="67" t="s">
        <v>202</v>
      </c>
      <c r="F8494" s="67" t="s">
        <v>201</v>
      </c>
      <c r="G8494" s="67" t="s">
        <v>200</v>
      </c>
      <c r="H8494" s="67" t="s">
        <v>199</v>
      </c>
    </row>
    <row r="8495" spans="1:9" x14ac:dyDescent="0.25">
      <c r="A8495" s="67" t="s">
        <v>332</v>
      </c>
      <c r="B8495" s="67" t="s">
        <v>331</v>
      </c>
      <c r="C8495" s="67" t="s">
        <v>330</v>
      </c>
      <c r="D8495" s="67">
        <v>0</v>
      </c>
      <c r="E8495" s="67">
        <v>10000.10001</v>
      </c>
      <c r="F8495" s="67">
        <v>999</v>
      </c>
      <c r="H8495" s="68">
        <v>40743</v>
      </c>
      <c r="I8495" s="67" t="s">
        <v>148</v>
      </c>
    </row>
    <row r="8496" spans="1:9" x14ac:dyDescent="0.25">
      <c r="B8496" s="67" t="s">
        <v>329</v>
      </c>
      <c r="C8496" s="67">
        <v>0</v>
      </c>
      <c r="D8496" s="67">
        <v>0</v>
      </c>
      <c r="E8496" s="67">
        <v>10000.10001</v>
      </c>
      <c r="H8496" s="67" t="s">
        <v>146</v>
      </c>
    </row>
    <row r="8498" spans="1:9" x14ac:dyDescent="0.25">
      <c r="A8498" s="67" t="s">
        <v>328</v>
      </c>
      <c r="B8498" s="67" t="s">
        <v>327</v>
      </c>
      <c r="C8498" s="67">
        <v>0</v>
      </c>
      <c r="D8498" s="67">
        <v>0</v>
      </c>
      <c r="E8498" s="67">
        <v>10000.10001</v>
      </c>
      <c r="F8498" s="67">
        <v>999</v>
      </c>
      <c r="H8498" s="68">
        <v>40743</v>
      </c>
      <c r="I8498" s="67" t="s">
        <v>148</v>
      </c>
    </row>
    <row r="8499" spans="1:9" x14ac:dyDescent="0.25">
      <c r="B8499" s="67" t="s">
        <v>327</v>
      </c>
      <c r="C8499" s="67">
        <v>0</v>
      </c>
      <c r="D8499" s="67">
        <v>0</v>
      </c>
      <c r="E8499" s="67">
        <v>10000.10001</v>
      </c>
      <c r="H8499" s="67" t="s">
        <v>146</v>
      </c>
    </row>
    <row r="8501" spans="1:9" x14ac:dyDescent="0.25">
      <c r="A8501" s="67" t="s">
        <v>326</v>
      </c>
      <c r="B8501" s="67" t="s">
        <v>325</v>
      </c>
      <c r="C8501" s="67" t="s">
        <v>324</v>
      </c>
      <c r="D8501" s="67">
        <v>0</v>
      </c>
      <c r="E8501" s="67">
        <v>10000.10001</v>
      </c>
      <c r="F8501" s="67">
        <v>999</v>
      </c>
      <c r="H8501" s="68">
        <v>40743</v>
      </c>
      <c r="I8501" s="67" t="s">
        <v>148</v>
      </c>
    </row>
    <row r="8502" spans="1:9" x14ac:dyDescent="0.25">
      <c r="B8502" s="67" t="s">
        <v>323</v>
      </c>
      <c r="C8502" s="67">
        <v>0</v>
      </c>
      <c r="D8502" s="67">
        <v>0</v>
      </c>
      <c r="E8502" s="67">
        <v>10000.10001</v>
      </c>
      <c r="F8502" s="67">
        <v>31.1</v>
      </c>
      <c r="H8502" s="67" t="s">
        <v>146</v>
      </c>
    </row>
    <row r="8504" spans="1:9" x14ac:dyDescent="0.25">
      <c r="A8504" s="67" t="s">
        <v>322</v>
      </c>
      <c r="B8504" s="67" t="s">
        <v>321</v>
      </c>
      <c r="C8504" s="67">
        <v>0</v>
      </c>
      <c r="D8504" s="67">
        <v>0</v>
      </c>
      <c r="E8504" s="67">
        <v>10000.10001</v>
      </c>
      <c r="F8504" s="67">
        <v>999</v>
      </c>
      <c r="H8504" s="68">
        <v>40743</v>
      </c>
      <c r="I8504" s="67" t="s">
        <v>148</v>
      </c>
    </row>
    <row r="8505" spans="1:9" x14ac:dyDescent="0.25">
      <c r="B8505" s="67" t="s">
        <v>320</v>
      </c>
      <c r="C8505" s="67">
        <v>0</v>
      </c>
      <c r="D8505" s="67">
        <v>0</v>
      </c>
      <c r="E8505" s="67">
        <v>10000.10001</v>
      </c>
      <c r="H8505" s="67" t="s">
        <v>146</v>
      </c>
    </row>
    <row r="8507" spans="1:9" x14ac:dyDescent="0.25">
      <c r="A8507" s="67" t="s">
        <v>319</v>
      </c>
      <c r="B8507" s="67" t="s">
        <v>318</v>
      </c>
      <c r="C8507" s="67">
        <v>0</v>
      </c>
      <c r="D8507" s="67">
        <v>0</v>
      </c>
      <c r="E8507" s="67">
        <v>10000.10001</v>
      </c>
      <c r="F8507" s="67">
        <v>999</v>
      </c>
      <c r="H8507" s="68">
        <v>40743</v>
      </c>
      <c r="I8507" s="67" t="s">
        <v>148</v>
      </c>
    </row>
    <row r="8508" spans="1:9" x14ac:dyDescent="0.25">
      <c r="B8508" s="67" t="s">
        <v>318</v>
      </c>
      <c r="C8508" s="67">
        <v>0</v>
      </c>
      <c r="D8508" s="67">
        <v>0</v>
      </c>
      <c r="E8508" s="67">
        <v>10000.10001</v>
      </c>
      <c r="H8508" s="67" t="s">
        <v>146</v>
      </c>
    </row>
    <row r="8510" spans="1:9" x14ac:dyDescent="0.25">
      <c r="A8510" s="67" t="s">
        <v>317</v>
      </c>
      <c r="B8510" s="67" t="s">
        <v>316</v>
      </c>
      <c r="C8510" s="67" t="s">
        <v>315</v>
      </c>
      <c r="D8510" s="67">
        <v>0</v>
      </c>
      <c r="E8510" s="67">
        <v>10000.10001</v>
      </c>
      <c r="F8510" s="67">
        <v>999</v>
      </c>
      <c r="H8510" s="68">
        <v>40743</v>
      </c>
      <c r="I8510" s="67" t="s">
        <v>148</v>
      </c>
    </row>
    <row r="8511" spans="1:9" x14ac:dyDescent="0.25">
      <c r="B8511" s="67" t="s">
        <v>314</v>
      </c>
      <c r="C8511" s="67">
        <v>0</v>
      </c>
      <c r="D8511" s="67">
        <v>0</v>
      </c>
      <c r="E8511" s="67">
        <v>10000.10001</v>
      </c>
      <c r="H8511" s="67" t="s">
        <v>146</v>
      </c>
    </row>
    <row r="8513" spans="1:9" x14ac:dyDescent="0.25">
      <c r="A8513" s="67" t="s">
        <v>313</v>
      </c>
      <c r="B8513" s="67" t="s">
        <v>312</v>
      </c>
      <c r="C8513" s="67">
        <v>0</v>
      </c>
      <c r="D8513" s="67">
        <v>0</v>
      </c>
      <c r="E8513" s="67">
        <v>10000.10001</v>
      </c>
      <c r="F8513" s="67">
        <v>99</v>
      </c>
      <c r="H8513" s="68">
        <v>40794</v>
      </c>
      <c r="I8513" s="67" t="s">
        <v>148</v>
      </c>
    </row>
    <row r="8514" spans="1:9" x14ac:dyDescent="0.25">
      <c r="B8514" s="67" t="s">
        <v>312</v>
      </c>
      <c r="C8514" s="67">
        <v>0</v>
      </c>
      <c r="D8514" s="67">
        <v>0</v>
      </c>
      <c r="E8514" s="67">
        <v>10000.10001</v>
      </c>
      <c r="H8514" s="67" t="s">
        <v>146</v>
      </c>
    </row>
    <row r="8516" spans="1:9" x14ac:dyDescent="0.25">
      <c r="A8516" s="67" t="s">
        <v>311</v>
      </c>
      <c r="B8516" s="67" t="s">
        <v>310</v>
      </c>
      <c r="C8516" s="67" t="s">
        <v>166</v>
      </c>
      <c r="D8516" s="67">
        <v>0</v>
      </c>
      <c r="E8516" s="67">
        <v>10000.10001</v>
      </c>
      <c r="F8516" s="67">
        <v>99</v>
      </c>
      <c r="H8516" s="68">
        <v>40777</v>
      </c>
      <c r="I8516" s="67" t="s">
        <v>148</v>
      </c>
    </row>
    <row r="8517" spans="1:9" x14ac:dyDescent="0.25">
      <c r="B8517" s="67" t="s">
        <v>309</v>
      </c>
      <c r="C8517" s="67">
        <v>0</v>
      </c>
      <c r="D8517" s="67">
        <v>0</v>
      </c>
      <c r="E8517" s="67">
        <v>10000.10001</v>
      </c>
      <c r="H8517" s="67" t="s">
        <v>146</v>
      </c>
    </row>
    <row r="8519" spans="1:9" x14ac:dyDescent="0.25">
      <c r="A8519" s="67" t="s">
        <v>308</v>
      </c>
      <c r="B8519" s="67" t="s">
        <v>307</v>
      </c>
      <c r="C8519" s="67">
        <v>0</v>
      </c>
      <c r="D8519" s="67">
        <v>0</v>
      </c>
      <c r="E8519" s="67">
        <v>10000.10001</v>
      </c>
      <c r="F8519" s="67">
        <v>99</v>
      </c>
      <c r="H8519" s="68">
        <v>40777</v>
      </c>
      <c r="I8519" s="67" t="s">
        <v>148</v>
      </c>
    </row>
    <row r="8520" spans="1:9" x14ac:dyDescent="0.25">
      <c r="B8520" s="67" t="s">
        <v>307</v>
      </c>
      <c r="C8520" s="67">
        <v>0</v>
      </c>
      <c r="D8520" s="67">
        <v>0</v>
      </c>
      <c r="E8520" s="67">
        <v>10000.10001</v>
      </c>
      <c r="H8520" s="67" t="s">
        <v>146</v>
      </c>
    </row>
    <row r="8522" spans="1:9" x14ac:dyDescent="0.25">
      <c r="A8522" s="67" t="s">
        <v>306</v>
      </c>
      <c r="B8522" s="67" t="s">
        <v>305</v>
      </c>
      <c r="C8522" s="67" t="s">
        <v>258</v>
      </c>
      <c r="D8522" s="67">
        <v>0</v>
      </c>
      <c r="E8522" s="67">
        <v>10000.10001</v>
      </c>
      <c r="F8522" s="67">
        <v>99</v>
      </c>
      <c r="H8522" s="68">
        <v>40777</v>
      </c>
      <c r="I8522" s="67" t="s">
        <v>148</v>
      </c>
    </row>
    <row r="8523" spans="1:9" x14ac:dyDescent="0.25">
      <c r="B8523" s="67" t="s">
        <v>304</v>
      </c>
      <c r="C8523" s="67">
        <v>0</v>
      </c>
      <c r="D8523" s="67">
        <v>0</v>
      </c>
      <c r="E8523" s="67">
        <v>10000.10001</v>
      </c>
      <c r="H8523" s="67" t="s">
        <v>146</v>
      </c>
    </row>
    <row r="8525" spans="1:9" x14ac:dyDescent="0.25">
      <c r="A8525" s="67" t="s">
        <v>303</v>
      </c>
      <c r="B8525" s="67" t="s">
        <v>302</v>
      </c>
      <c r="C8525" s="67">
        <v>0</v>
      </c>
      <c r="D8525" s="67">
        <v>0</v>
      </c>
      <c r="E8525" s="67">
        <v>10000.10001</v>
      </c>
      <c r="F8525" s="67">
        <v>99</v>
      </c>
      <c r="H8525" s="68">
        <v>40777</v>
      </c>
      <c r="I8525" s="67" t="s">
        <v>148</v>
      </c>
    </row>
    <row r="8526" spans="1:9" x14ac:dyDescent="0.25">
      <c r="B8526" s="67" t="s">
        <v>302</v>
      </c>
      <c r="C8526" s="67">
        <v>0</v>
      </c>
      <c r="D8526" s="67">
        <v>0</v>
      </c>
      <c r="E8526" s="67">
        <v>10000.10001</v>
      </c>
      <c r="H8526" s="67" t="s">
        <v>146</v>
      </c>
    </row>
    <row r="8528" spans="1:9" x14ac:dyDescent="0.25">
      <c r="A8528" s="67" t="s">
        <v>301</v>
      </c>
      <c r="B8528" s="67" t="s">
        <v>300</v>
      </c>
      <c r="C8528" s="67" t="s">
        <v>258</v>
      </c>
      <c r="D8528" s="67">
        <v>0</v>
      </c>
      <c r="E8528" s="67">
        <v>10000.10001</v>
      </c>
      <c r="F8528" s="67">
        <v>99</v>
      </c>
      <c r="H8528" s="68">
        <v>40777</v>
      </c>
      <c r="I8528" s="67" t="s">
        <v>148</v>
      </c>
    </row>
    <row r="8529" spans="1:9" x14ac:dyDescent="0.25">
      <c r="B8529" s="67" t="s">
        <v>299</v>
      </c>
      <c r="C8529" s="67">
        <v>0</v>
      </c>
      <c r="D8529" s="67">
        <v>0</v>
      </c>
      <c r="E8529" s="67">
        <v>10000.10001</v>
      </c>
      <c r="H8529" s="67" t="s">
        <v>146</v>
      </c>
    </row>
    <row r="8531" spans="1:9" x14ac:dyDescent="0.25">
      <c r="A8531" s="67" t="s">
        <v>298</v>
      </c>
      <c r="B8531" s="67" t="s">
        <v>297</v>
      </c>
      <c r="C8531" s="67" t="s">
        <v>258</v>
      </c>
      <c r="D8531" s="67">
        <v>0</v>
      </c>
      <c r="E8531" s="67">
        <v>10000.10001</v>
      </c>
      <c r="F8531" s="67">
        <v>99</v>
      </c>
      <c r="H8531" s="68">
        <v>40777</v>
      </c>
      <c r="I8531" s="67" t="s">
        <v>148</v>
      </c>
    </row>
    <row r="8532" spans="1:9" x14ac:dyDescent="0.25">
      <c r="B8532" s="67" t="s">
        <v>296</v>
      </c>
      <c r="C8532" s="67">
        <v>0</v>
      </c>
      <c r="D8532" s="67">
        <v>0</v>
      </c>
      <c r="E8532" s="67">
        <v>10000.10001</v>
      </c>
      <c r="H8532" s="67" t="s">
        <v>146</v>
      </c>
    </row>
    <row r="8534" spans="1:9" x14ac:dyDescent="0.25">
      <c r="A8534" s="67" t="s">
        <v>295</v>
      </c>
      <c r="B8534" s="67" t="s">
        <v>294</v>
      </c>
      <c r="C8534" s="67" t="s">
        <v>258</v>
      </c>
      <c r="D8534" s="67">
        <v>0</v>
      </c>
      <c r="E8534" s="67">
        <v>10000.10001</v>
      </c>
      <c r="F8534" s="67">
        <v>99</v>
      </c>
      <c r="H8534" s="68">
        <v>40777</v>
      </c>
      <c r="I8534" s="67" t="s">
        <v>148</v>
      </c>
    </row>
    <row r="8535" spans="1:9" x14ac:dyDescent="0.25">
      <c r="B8535" s="67" t="s">
        <v>293</v>
      </c>
      <c r="C8535" s="67">
        <v>0</v>
      </c>
      <c r="D8535" s="67">
        <v>0</v>
      </c>
      <c r="E8535" s="67">
        <v>10000.10001</v>
      </c>
      <c r="H8535" s="67" t="s">
        <v>146</v>
      </c>
    </row>
    <row r="8537" spans="1:9" x14ac:dyDescent="0.25">
      <c r="A8537" s="67" t="s">
        <v>292</v>
      </c>
      <c r="B8537" s="67" t="s">
        <v>291</v>
      </c>
      <c r="C8537" s="67" t="s">
        <v>166</v>
      </c>
      <c r="D8537" s="67">
        <v>0</v>
      </c>
      <c r="E8537" s="67">
        <v>10000.10001</v>
      </c>
      <c r="F8537" s="67">
        <v>99</v>
      </c>
      <c r="H8537" s="68">
        <v>40777</v>
      </c>
      <c r="I8537" s="67" t="s">
        <v>148</v>
      </c>
    </row>
    <row r="8538" spans="1:9" x14ac:dyDescent="0.25">
      <c r="B8538" s="67" t="s">
        <v>290</v>
      </c>
      <c r="C8538" s="67">
        <v>0</v>
      </c>
      <c r="D8538" s="67">
        <v>0</v>
      </c>
      <c r="E8538" s="67">
        <v>10000.10001</v>
      </c>
      <c r="H8538" s="67" t="s">
        <v>146</v>
      </c>
    </row>
    <row r="8540" spans="1:9" x14ac:dyDescent="0.25">
      <c r="A8540" s="67" t="s">
        <v>289</v>
      </c>
      <c r="B8540" s="67" t="s">
        <v>288</v>
      </c>
      <c r="C8540" s="67" t="s">
        <v>258</v>
      </c>
      <c r="D8540" s="67">
        <v>0</v>
      </c>
      <c r="E8540" s="67">
        <v>10000.10001</v>
      </c>
      <c r="F8540" s="67">
        <v>99</v>
      </c>
      <c r="H8540" s="68">
        <v>40777</v>
      </c>
      <c r="I8540" s="67" t="s">
        <v>148</v>
      </c>
    </row>
    <row r="8541" spans="1:9" x14ac:dyDescent="0.25">
      <c r="B8541" s="67" t="s">
        <v>287</v>
      </c>
      <c r="C8541" s="67">
        <v>0</v>
      </c>
      <c r="D8541" s="67">
        <v>0</v>
      </c>
      <c r="E8541" s="67">
        <v>10000.10001</v>
      </c>
      <c r="H8541" s="67" t="s">
        <v>146</v>
      </c>
    </row>
    <row r="8543" spans="1:9" x14ac:dyDescent="0.25">
      <c r="A8543" s="67" t="s">
        <v>286</v>
      </c>
      <c r="B8543" s="67" t="s">
        <v>285</v>
      </c>
      <c r="C8543" s="67" t="s">
        <v>155</v>
      </c>
      <c r="D8543" s="67">
        <v>0</v>
      </c>
      <c r="E8543" s="67">
        <v>10000.10001</v>
      </c>
      <c r="F8543" s="67">
        <v>99</v>
      </c>
      <c r="H8543" s="68">
        <v>40777</v>
      </c>
      <c r="I8543" s="67" t="s">
        <v>148</v>
      </c>
    </row>
    <row r="8544" spans="1:9" x14ac:dyDescent="0.25">
      <c r="B8544" s="67" t="s">
        <v>284</v>
      </c>
      <c r="C8544" s="67">
        <v>0</v>
      </c>
      <c r="D8544" s="67">
        <v>0</v>
      </c>
      <c r="E8544" s="67">
        <v>10000.10001</v>
      </c>
      <c r="H8544" s="67" t="s">
        <v>146</v>
      </c>
    </row>
    <row r="8545" spans="1:9" x14ac:dyDescent="0.25">
      <c r="A8545" s="67" t="s">
        <v>233</v>
      </c>
    </row>
    <row r="8547" spans="1:9" x14ac:dyDescent="0.25">
      <c r="A8547" s="67" t="s">
        <v>232</v>
      </c>
      <c r="D8547" s="67" t="s">
        <v>231</v>
      </c>
      <c r="H8547" s="67" t="s">
        <v>148</v>
      </c>
      <c r="I8547" s="67" t="s">
        <v>230</v>
      </c>
    </row>
    <row r="8548" spans="1:9" x14ac:dyDescent="0.25">
      <c r="A8548" s="67">
        <v>41.1</v>
      </c>
      <c r="C8548" s="67" t="s">
        <v>215</v>
      </c>
      <c r="D8548" s="67" t="s">
        <v>229</v>
      </c>
      <c r="H8548" s="70">
        <v>44771</v>
      </c>
      <c r="I8548" s="69">
        <v>0.56736111111111109</v>
      </c>
    </row>
    <row r="8549" spans="1:9" x14ac:dyDescent="0.25">
      <c r="A8549" s="67" t="s">
        <v>228</v>
      </c>
      <c r="C8549" s="67" t="s">
        <v>227</v>
      </c>
      <c r="D8549" s="67" t="s">
        <v>226</v>
      </c>
      <c r="E8549" s="67">
        <v>589</v>
      </c>
      <c r="H8549" s="67" t="s">
        <v>225</v>
      </c>
      <c r="I8549" s="67">
        <v>153</v>
      </c>
    </row>
    <row r="8550" spans="1:9" x14ac:dyDescent="0.25">
      <c r="A8550" s="67" t="s">
        <v>224</v>
      </c>
    </row>
    <row r="8551" spans="1:9" x14ac:dyDescent="0.25">
      <c r="A8551" s="67" t="s">
        <v>223</v>
      </c>
      <c r="B8551" s="67" t="s">
        <v>222</v>
      </c>
      <c r="C8551" s="67" t="s">
        <v>221</v>
      </c>
      <c r="D8551" s="67" t="s">
        <v>220</v>
      </c>
      <c r="E8551" s="67" t="s">
        <v>219</v>
      </c>
      <c r="F8551" s="67" t="s">
        <v>217</v>
      </c>
      <c r="G8551" s="67" t="s">
        <v>218</v>
      </c>
      <c r="H8551" s="67" t="s">
        <v>217</v>
      </c>
      <c r="I8551" s="67" t="s">
        <v>216</v>
      </c>
    </row>
    <row r="8552" spans="1:9" x14ac:dyDescent="0.25">
      <c r="A8552" s="67" t="s">
        <v>215</v>
      </c>
      <c r="B8552" s="67" t="s">
        <v>214</v>
      </c>
      <c r="C8552" s="67" t="s">
        <v>213</v>
      </c>
      <c r="D8552" s="67" t="s">
        <v>212</v>
      </c>
      <c r="E8552" s="67" t="s">
        <v>211</v>
      </c>
      <c r="F8552" s="67" t="s">
        <v>210</v>
      </c>
      <c r="G8552" s="67" t="s">
        <v>209</v>
      </c>
      <c r="H8552" s="67" t="s">
        <v>208</v>
      </c>
      <c r="I8552" s="67" t="s">
        <v>207</v>
      </c>
    </row>
    <row r="8553" spans="1:9" x14ac:dyDescent="0.25">
      <c r="A8553" s="67" t="s">
        <v>206</v>
      </c>
      <c r="B8553" s="67" t="s">
        <v>205</v>
      </c>
      <c r="C8553" s="67" t="s">
        <v>204</v>
      </c>
      <c r="D8553" s="67" t="s">
        <v>203</v>
      </c>
      <c r="E8553" s="67" t="s">
        <v>202</v>
      </c>
      <c r="F8553" s="67" t="s">
        <v>201</v>
      </c>
      <c r="G8553" s="67" t="s">
        <v>200</v>
      </c>
      <c r="H8553" s="67" t="s">
        <v>199</v>
      </c>
    </row>
    <row r="8554" spans="1:9" x14ac:dyDescent="0.25">
      <c r="A8554" s="67" t="s">
        <v>283</v>
      </c>
      <c r="B8554" s="67" t="s">
        <v>282</v>
      </c>
      <c r="C8554" s="67">
        <v>0</v>
      </c>
      <c r="D8554" s="67">
        <v>0</v>
      </c>
      <c r="E8554" s="67">
        <v>10000.10001</v>
      </c>
      <c r="F8554" s="67">
        <v>99</v>
      </c>
      <c r="H8554" s="68">
        <v>40777</v>
      </c>
      <c r="I8554" s="67" t="s">
        <v>148</v>
      </c>
    </row>
    <row r="8555" spans="1:9" x14ac:dyDescent="0.25">
      <c r="B8555" s="67" t="s">
        <v>281</v>
      </c>
      <c r="C8555" s="67">
        <v>0</v>
      </c>
      <c r="D8555" s="67">
        <v>0</v>
      </c>
      <c r="E8555" s="67">
        <v>10000.10001</v>
      </c>
      <c r="H8555" s="67" t="s">
        <v>146</v>
      </c>
    </row>
    <row r="8557" spans="1:9" x14ac:dyDescent="0.25">
      <c r="A8557" s="67" t="s">
        <v>280</v>
      </c>
      <c r="B8557" s="67" t="s">
        <v>279</v>
      </c>
      <c r="C8557" s="67">
        <v>0</v>
      </c>
      <c r="D8557" s="67">
        <v>0</v>
      </c>
      <c r="E8557" s="67">
        <v>10000.10001</v>
      </c>
      <c r="F8557" s="67">
        <v>99</v>
      </c>
      <c r="H8557" s="68">
        <v>40777</v>
      </c>
      <c r="I8557" s="67" t="s">
        <v>148</v>
      </c>
    </row>
    <row r="8558" spans="1:9" x14ac:dyDescent="0.25">
      <c r="B8558" s="67" t="s">
        <v>278</v>
      </c>
      <c r="C8558" s="67">
        <v>0</v>
      </c>
      <c r="D8558" s="67">
        <v>0</v>
      </c>
      <c r="E8558" s="67">
        <v>10000.10001</v>
      </c>
      <c r="H8558" s="67" t="s">
        <v>146</v>
      </c>
    </row>
    <row r="8560" spans="1:9" x14ac:dyDescent="0.25">
      <c r="A8560" s="67" t="s">
        <v>277</v>
      </c>
      <c r="B8560" s="67" t="s">
        <v>276</v>
      </c>
      <c r="C8560" s="67">
        <v>0</v>
      </c>
      <c r="D8560" s="67">
        <v>0</v>
      </c>
      <c r="E8560" s="67">
        <v>10000.10001</v>
      </c>
      <c r="F8560" s="67">
        <v>99</v>
      </c>
      <c r="H8560" s="68">
        <v>40777</v>
      </c>
      <c r="I8560" s="67" t="s">
        <v>148</v>
      </c>
    </row>
    <row r="8561" spans="1:9" x14ac:dyDescent="0.25">
      <c r="B8561" s="67" t="s">
        <v>275</v>
      </c>
      <c r="C8561" s="67">
        <v>0</v>
      </c>
      <c r="D8561" s="67">
        <v>0</v>
      </c>
      <c r="E8561" s="67">
        <v>10000.10001</v>
      </c>
      <c r="H8561" s="67" t="s">
        <v>146</v>
      </c>
    </row>
    <row r="8563" spans="1:9" x14ac:dyDescent="0.25">
      <c r="A8563" s="67" t="s">
        <v>274</v>
      </c>
      <c r="B8563" s="67" t="s">
        <v>273</v>
      </c>
      <c r="C8563" s="67" t="s">
        <v>166</v>
      </c>
      <c r="D8563" s="67">
        <v>0</v>
      </c>
      <c r="E8563" s="67">
        <v>10000.10001</v>
      </c>
      <c r="F8563" s="67">
        <v>99</v>
      </c>
      <c r="H8563" s="68">
        <v>40777</v>
      </c>
      <c r="I8563" s="67" t="s">
        <v>148</v>
      </c>
    </row>
    <row r="8564" spans="1:9" x14ac:dyDescent="0.25">
      <c r="B8564" s="67" t="s">
        <v>272</v>
      </c>
      <c r="C8564" s="67">
        <v>0</v>
      </c>
      <c r="D8564" s="67">
        <v>0</v>
      </c>
      <c r="E8564" s="67">
        <v>10000.10001</v>
      </c>
      <c r="H8564" s="67" t="s">
        <v>146</v>
      </c>
    </row>
    <row r="8566" spans="1:9" x14ac:dyDescent="0.25">
      <c r="A8566" s="67" t="s">
        <v>271</v>
      </c>
      <c r="B8566" s="67" t="s">
        <v>270</v>
      </c>
      <c r="C8566" s="67" t="s">
        <v>176</v>
      </c>
      <c r="D8566" s="67">
        <v>0</v>
      </c>
      <c r="E8566" s="67">
        <v>10000.10001</v>
      </c>
      <c r="F8566" s="67">
        <v>999</v>
      </c>
      <c r="H8566" s="68">
        <v>43628</v>
      </c>
      <c r="I8566" s="67" t="s">
        <v>148</v>
      </c>
    </row>
    <row r="8567" spans="1:9" x14ac:dyDescent="0.25">
      <c r="B8567" s="67" t="s">
        <v>269</v>
      </c>
      <c r="C8567" s="67">
        <v>0</v>
      </c>
      <c r="D8567" s="67">
        <v>0</v>
      </c>
      <c r="E8567" s="67">
        <v>10000.10001</v>
      </c>
      <c r="H8567" s="67" t="s">
        <v>146</v>
      </c>
    </row>
    <row r="8569" spans="1:9" x14ac:dyDescent="0.25">
      <c r="A8569" s="67" t="s">
        <v>268</v>
      </c>
      <c r="B8569" s="67" t="s">
        <v>267</v>
      </c>
      <c r="C8569" s="67">
        <v>0</v>
      </c>
      <c r="D8569" s="67">
        <v>0</v>
      </c>
      <c r="E8569" s="67">
        <v>10000.10001</v>
      </c>
      <c r="F8569" s="67">
        <v>99</v>
      </c>
      <c r="H8569" s="68">
        <v>43110</v>
      </c>
      <c r="I8569" s="67" t="s">
        <v>148</v>
      </c>
    </row>
    <row r="8570" spans="1:9" x14ac:dyDescent="0.25">
      <c r="B8570" s="67" t="s">
        <v>267</v>
      </c>
      <c r="C8570" s="67">
        <v>0</v>
      </c>
      <c r="D8570" s="67">
        <v>0</v>
      </c>
      <c r="E8570" s="67">
        <v>10000.10001</v>
      </c>
      <c r="H8570" s="67" t="s">
        <v>146</v>
      </c>
    </row>
    <row r="8572" spans="1:9" x14ac:dyDescent="0.25">
      <c r="A8572" s="67" t="s">
        <v>266</v>
      </c>
      <c r="B8572" s="67" t="s">
        <v>265</v>
      </c>
      <c r="C8572" s="67" t="s">
        <v>196</v>
      </c>
      <c r="D8572" s="67">
        <v>0</v>
      </c>
      <c r="E8572" s="67">
        <v>10000.10001</v>
      </c>
      <c r="F8572" s="67">
        <v>99</v>
      </c>
      <c r="H8572" s="68">
        <v>40777</v>
      </c>
      <c r="I8572" s="67" t="s">
        <v>148</v>
      </c>
    </row>
    <row r="8573" spans="1:9" x14ac:dyDescent="0.25">
      <c r="B8573" s="67" t="s">
        <v>264</v>
      </c>
      <c r="C8573" s="67">
        <v>0</v>
      </c>
      <c r="D8573" s="67">
        <v>0</v>
      </c>
      <c r="E8573" s="67">
        <v>10000.10001</v>
      </c>
      <c r="H8573" s="67" t="s">
        <v>146</v>
      </c>
    </row>
    <row r="8575" spans="1:9" x14ac:dyDescent="0.25">
      <c r="A8575" s="67" t="s">
        <v>263</v>
      </c>
      <c r="B8575" s="67" t="s">
        <v>262</v>
      </c>
      <c r="C8575" s="67" t="s">
        <v>166</v>
      </c>
      <c r="D8575" s="67">
        <v>0</v>
      </c>
      <c r="E8575" s="67">
        <v>10000.10001</v>
      </c>
      <c r="F8575" s="67">
        <v>99</v>
      </c>
      <c r="H8575" s="68">
        <v>40777</v>
      </c>
      <c r="I8575" s="67" t="s">
        <v>148</v>
      </c>
    </row>
    <row r="8576" spans="1:9" x14ac:dyDescent="0.25">
      <c r="B8576" s="67" t="s">
        <v>261</v>
      </c>
      <c r="C8576" s="67">
        <v>0</v>
      </c>
      <c r="D8576" s="67">
        <v>0</v>
      </c>
      <c r="E8576" s="67">
        <v>10000.10001</v>
      </c>
      <c r="H8576" s="67" t="s">
        <v>146</v>
      </c>
    </row>
    <row r="8578" spans="1:9" x14ac:dyDescent="0.25">
      <c r="A8578" s="67" t="s">
        <v>260</v>
      </c>
      <c r="B8578" s="67" t="s">
        <v>259</v>
      </c>
      <c r="C8578" s="67" t="s">
        <v>258</v>
      </c>
      <c r="D8578" s="67">
        <v>0</v>
      </c>
      <c r="E8578" s="67">
        <v>10000.10001</v>
      </c>
      <c r="F8578" s="67">
        <v>99</v>
      </c>
      <c r="H8578" s="68">
        <v>40777</v>
      </c>
      <c r="I8578" s="67" t="s">
        <v>148</v>
      </c>
    </row>
    <row r="8579" spans="1:9" x14ac:dyDescent="0.25">
      <c r="B8579" s="67" t="s">
        <v>257</v>
      </c>
      <c r="C8579" s="67">
        <v>0</v>
      </c>
      <c r="D8579" s="67">
        <v>0</v>
      </c>
      <c r="E8579" s="67">
        <v>10000.10001</v>
      </c>
      <c r="H8579" s="67" t="s">
        <v>146</v>
      </c>
    </row>
    <row r="8581" spans="1:9" x14ac:dyDescent="0.25">
      <c r="A8581" s="67" t="s">
        <v>256</v>
      </c>
      <c r="B8581" s="67" t="s">
        <v>255</v>
      </c>
      <c r="C8581" s="67">
        <v>0</v>
      </c>
      <c r="D8581" s="67">
        <v>0</v>
      </c>
      <c r="E8581" s="67">
        <v>10000.10001</v>
      </c>
      <c r="F8581" s="67">
        <v>99</v>
      </c>
      <c r="H8581" s="68">
        <v>40777</v>
      </c>
      <c r="I8581" s="67" t="s">
        <v>148</v>
      </c>
    </row>
    <row r="8582" spans="1:9" x14ac:dyDescent="0.25">
      <c r="B8582" s="67" t="s">
        <v>254</v>
      </c>
      <c r="C8582" s="67">
        <v>0</v>
      </c>
      <c r="D8582" s="67">
        <v>0</v>
      </c>
      <c r="E8582" s="67">
        <v>10000.10001</v>
      </c>
      <c r="H8582" s="67" t="s">
        <v>146</v>
      </c>
    </row>
    <row r="8584" spans="1:9" x14ac:dyDescent="0.25">
      <c r="A8584" s="67" t="s">
        <v>253</v>
      </c>
      <c r="B8584" s="67" t="s">
        <v>252</v>
      </c>
      <c r="C8584" s="67" t="s">
        <v>166</v>
      </c>
      <c r="D8584" s="67">
        <v>0</v>
      </c>
      <c r="E8584" s="67">
        <v>10000.10001</v>
      </c>
      <c r="F8584" s="67">
        <v>99</v>
      </c>
      <c r="H8584" s="68">
        <v>40777</v>
      </c>
      <c r="I8584" s="67" t="s">
        <v>148</v>
      </c>
    </row>
    <row r="8585" spans="1:9" x14ac:dyDescent="0.25">
      <c r="B8585" s="67" t="s">
        <v>251</v>
      </c>
      <c r="C8585" s="67">
        <v>0</v>
      </c>
      <c r="D8585" s="67">
        <v>0</v>
      </c>
      <c r="E8585" s="67">
        <v>10000.10001</v>
      </c>
      <c r="H8585" s="67" t="s">
        <v>146</v>
      </c>
    </row>
    <row r="8587" spans="1:9" x14ac:dyDescent="0.25">
      <c r="A8587" s="67" t="s">
        <v>250</v>
      </c>
      <c r="B8587" s="67" t="s">
        <v>249</v>
      </c>
      <c r="C8587" s="67">
        <v>0</v>
      </c>
      <c r="D8587" s="67">
        <v>0</v>
      </c>
      <c r="E8587" s="67">
        <v>10000.10001</v>
      </c>
      <c r="F8587" s="67">
        <v>999</v>
      </c>
      <c r="H8587" s="68">
        <v>43628</v>
      </c>
      <c r="I8587" s="67" t="s">
        <v>148</v>
      </c>
    </row>
    <row r="8588" spans="1:9" x14ac:dyDescent="0.25">
      <c r="B8588" s="67" t="s">
        <v>249</v>
      </c>
      <c r="C8588" s="67">
        <v>0</v>
      </c>
      <c r="D8588" s="67">
        <v>0</v>
      </c>
      <c r="E8588" s="67">
        <v>10000.10001</v>
      </c>
      <c r="H8588" s="67" t="s">
        <v>146</v>
      </c>
    </row>
    <row r="8590" spans="1:9" x14ac:dyDescent="0.25">
      <c r="A8590" s="67" t="s">
        <v>248</v>
      </c>
      <c r="B8590" s="67" t="s">
        <v>247</v>
      </c>
      <c r="C8590" s="67" t="s">
        <v>166</v>
      </c>
      <c r="D8590" s="67">
        <v>0</v>
      </c>
      <c r="E8590" s="67">
        <v>10000.10001</v>
      </c>
      <c r="F8590" s="67">
        <v>99</v>
      </c>
      <c r="H8590" s="68">
        <v>40777</v>
      </c>
      <c r="I8590" s="67" t="s">
        <v>148</v>
      </c>
    </row>
    <row r="8591" spans="1:9" x14ac:dyDescent="0.25">
      <c r="B8591" s="67" t="s">
        <v>246</v>
      </c>
      <c r="C8591" s="67">
        <v>0</v>
      </c>
      <c r="D8591" s="67">
        <v>0</v>
      </c>
      <c r="E8591" s="67">
        <v>10000.10001</v>
      </c>
      <c r="H8591" s="67" t="s">
        <v>146</v>
      </c>
    </row>
    <row r="8593" spans="1:9" x14ac:dyDescent="0.25">
      <c r="A8593" s="67" t="s">
        <v>245</v>
      </c>
      <c r="B8593" s="67" t="s">
        <v>244</v>
      </c>
      <c r="C8593" s="67" t="s">
        <v>166</v>
      </c>
      <c r="D8593" s="67">
        <v>0</v>
      </c>
      <c r="E8593" s="67">
        <v>10000.10001</v>
      </c>
      <c r="F8593" s="67">
        <v>99</v>
      </c>
      <c r="H8593" s="68">
        <v>40777</v>
      </c>
      <c r="I8593" s="67" t="s">
        <v>148</v>
      </c>
    </row>
    <row r="8594" spans="1:9" x14ac:dyDescent="0.25">
      <c r="B8594" s="67" t="s">
        <v>243</v>
      </c>
      <c r="C8594" s="67">
        <v>0</v>
      </c>
      <c r="D8594" s="67">
        <v>0</v>
      </c>
      <c r="E8594" s="67">
        <v>10000.10001</v>
      </c>
      <c r="H8594" s="67" t="s">
        <v>146</v>
      </c>
    </row>
    <row r="8596" spans="1:9" x14ac:dyDescent="0.25">
      <c r="A8596" s="67" t="s">
        <v>242</v>
      </c>
      <c r="B8596" s="67" t="s">
        <v>241</v>
      </c>
      <c r="C8596" s="67" t="s">
        <v>180</v>
      </c>
      <c r="D8596" s="67">
        <v>0</v>
      </c>
      <c r="E8596" s="67">
        <v>10000.10001</v>
      </c>
      <c r="F8596" s="67">
        <v>99</v>
      </c>
      <c r="H8596" s="68">
        <v>40777</v>
      </c>
      <c r="I8596" s="67" t="s">
        <v>148</v>
      </c>
    </row>
    <row r="8597" spans="1:9" x14ac:dyDescent="0.25">
      <c r="B8597" s="67" t="s">
        <v>240</v>
      </c>
      <c r="C8597" s="67">
        <v>0</v>
      </c>
      <c r="D8597" s="67">
        <v>0</v>
      </c>
      <c r="E8597" s="67">
        <v>10000.10001</v>
      </c>
      <c r="H8597" s="67" t="s">
        <v>146</v>
      </c>
    </row>
    <row r="8599" spans="1:9" x14ac:dyDescent="0.25">
      <c r="A8599" s="67" t="s">
        <v>239</v>
      </c>
      <c r="B8599" s="67" t="s">
        <v>238</v>
      </c>
      <c r="C8599" s="67" t="s">
        <v>176</v>
      </c>
      <c r="D8599" s="67">
        <v>0</v>
      </c>
      <c r="E8599" s="67">
        <v>10000.10001</v>
      </c>
      <c r="F8599" s="67">
        <v>99</v>
      </c>
      <c r="H8599" s="68">
        <v>40777</v>
      </c>
      <c r="I8599" s="67" t="s">
        <v>148</v>
      </c>
    </row>
    <row r="8600" spans="1:9" x14ac:dyDescent="0.25">
      <c r="B8600" s="67" t="s">
        <v>237</v>
      </c>
      <c r="C8600" s="67">
        <v>0</v>
      </c>
      <c r="D8600" s="67">
        <v>0</v>
      </c>
      <c r="E8600" s="67">
        <v>10000.10001</v>
      </c>
      <c r="H8600" s="67" t="s">
        <v>146</v>
      </c>
    </row>
    <row r="8602" spans="1:9" x14ac:dyDescent="0.25">
      <c r="A8602" s="67" t="s">
        <v>236</v>
      </c>
      <c r="B8602" s="67" t="s">
        <v>235</v>
      </c>
      <c r="C8602" s="67" t="s">
        <v>196</v>
      </c>
      <c r="D8602" s="67">
        <v>0</v>
      </c>
      <c r="E8602" s="67">
        <v>10000.10001</v>
      </c>
      <c r="F8602" s="67">
        <v>99</v>
      </c>
      <c r="H8602" s="68">
        <v>40777</v>
      </c>
      <c r="I8602" s="67" t="s">
        <v>148</v>
      </c>
    </row>
    <row r="8603" spans="1:9" x14ac:dyDescent="0.25">
      <c r="B8603" s="67" t="s">
        <v>234</v>
      </c>
      <c r="C8603" s="67">
        <v>0</v>
      </c>
      <c r="D8603" s="67">
        <v>0</v>
      </c>
      <c r="E8603" s="67">
        <v>10000.10001</v>
      </c>
      <c r="H8603" s="67" t="s">
        <v>146</v>
      </c>
    </row>
    <row r="8604" spans="1:9" x14ac:dyDescent="0.25">
      <c r="A8604" s="67" t="s">
        <v>233</v>
      </c>
    </row>
    <row r="8606" spans="1:9" x14ac:dyDescent="0.25">
      <c r="A8606" s="67" t="s">
        <v>232</v>
      </c>
      <c r="D8606" s="67" t="s">
        <v>231</v>
      </c>
      <c r="H8606" s="67" t="s">
        <v>148</v>
      </c>
      <c r="I8606" s="67" t="s">
        <v>230</v>
      </c>
    </row>
    <row r="8607" spans="1:9" x14ac:dyDescent="0.25">
      <c r="A8607" s="67">
        <v>41.1</v>
      </c>
      <c r="C8607" s="67" t="s">
        <v>215</v>
      </c>
      <c r="D8607" s="67" t="s">
        <v>229</v>
      </c>
      <c r="H8607" s="70">
        <v>44771</v>
      </c>
      <c r="I8607" s="69">
        <v>0.56736111111111109</v>
      </c>
    </row>
    <row r="8608" spans="1:9" x14ac:dyDescent="0.25">
      <c r="A8608" s="67" t="s">
        <v>228</v>
      </c>
      <c r="C8608" s="67" t="s">
        <v>227</v>
      </c>
      <c r="D8608" s="67" t="s">
        <v>226</v>
      </c>
      <c r="E8608" s="67">
        <v>589</v>
      </c>
      <c r="H8608" s="67" t="s">
        <v>225</v>
      </c>
      <c r="I8608" s="67">
        <v>154</v>
      </c>
    </row>
    <row r="8609" spans="1:9" x14ac:dyDescent="0.25">
      <c r="A8609" s="67" t="s">
        <v>224</v>
      </c>
    </row>
    <row r="8610" spans="1:9" x14ac:dyDescent="0.25">
      <c r="A8610" s="67" t="s">
        <v>223</v>
      </c>
      <c r="B8610" s="67" t="s">
        <v>222</v>
      </c>
      <c r="C8610" s="67" t="s">
        <v>221</v>
      </c>
      <c r="D8610" s="67" t="s">
        <v>220</v>
      </c>
      <c r="E8610" s="67" t="s">
        <v>219</v>
      </c>
      <c r="F8610" s="67" t="s">
        <v>217</v>
      </c>
      <c r="G8610" s="67" t="s">
        <v>218</v>
      </c>
      <c r="H8610" s="67" t="s">
        <v>217</v>
      </c>
      <c r="I8610" s="67" t="s">
        <v>216</v>
      </c>
    </row>
    <row r="8611" spans="1:9" x14ac:dyDescent="0.25">
      <c r="A8611" s="67" t="s">
        <v>215</v>
      </c>
      <c r="B8611" s="67" t="s">
        <v>214</v>
      </c>
      <c r="C8611" s="67" t="s">
        <v>213</v>
      </c>
      <c r="D8611" s="67" t="s">
        <v>212</v>
      </c>
      <c r="E8611" s="67" t="s">
        <v>211</v>
      </c>
      <c r="F8611" s="67" t="s">
        <v>210</v>
      </c>
      <c r="G8611" s="67" t="s">
        <v>209</v>
      </c>
      <c r="H8611" s="67" t="s">
        <v>208</v>
      </c>
      <c r="I8611" s="67" t="s">
        <v>207</v>
      </c>
    </row>
    <row r="8612" spans="1:9" x14ac:dyDescent="0.25">
      <c r="A8612" s="67" t="s">
        <v>206</v>
      </c>
      <c r="B8612" s="67" t="s">
        <v>205</v>
      </c>
      <c r="C8612" s="67" t="s">
        <v>204</v>
      </c>
      <c r="D8612" s="67" t="s">
        <v>203</v>
      </c>
      <c r="E8612" s="67" t="s">
        <v>202</v>
      </c>
      <c r="F8612" s="67" t="s">
        <v>201</v>
      </c>
      <c r="G8612" s="67" t="s">
        <v>200</v>
      </c>
      <c r="H8612" s="67" t="s">
        <v>199</v>
      </c>
    </row>
    <row r="8613" spans="1:9" x14ac:dyDescent="0.25">
      <c r="A8613" s="67" t="s">
        <v>198</v>
      </c>
      <c r="B8613" s="67" t="s">
        <v>197</v>
      </c>
      <c r="C8613" s="67" t="s">
        <v>196</v>
      </c>
      <c r="D8613" s="67">
        <v>0</v>
      </c>
      <c r="E8613" s="67">
        <v>10000.10001</v>
      </c>
      <c r="F8613" s="67">
        <v>99</v>
      </c>
      <c r="H8613" s="68">
        <v>40777</v>
      </c>
      <c r="I8613" s="67" t="s">
        <v>148</v>
      </c>
    </row>
    <row r="8614" spans="1:9" x14ac:dyDescent="0.25">
      <c r="B8614" s="67" t="s">
        <v>195</v>
      </c>
      <c r="C8614" s="67">
        <v>0</v>
      </c>
      <c r="D8614" s="67">
        <v>0</v>
      </c>
      <c r="E8614" s="67">
        <v>10000.10001</v>
      </c>
      <c r="H8614" s="67" t="s">
        <v>146</v>
      </c>
    </row>
    <row r="8616" spans="1:9" x14ac:dyDescent="0.25">
      <c r="A8616" s="67" t="s">
        <v>194</v>
      </c>
      <c r="B8616" s="67" t="s">
        <v>193</v>
      </c>
      <c r="C8616" s="67" t="s">
        <v>176</v>
      </c>
      <c r="D8616" s="67">
        <v>0</v>
      </c>
      <c r="E8616" s="67">
        <v>10000.10001</v>
      </c>
      <c r="F8616" s="67">
        <v>99</v>
      </c>
      <c r="H8616" s="68">
        <v>40777</v>
      </c>
      <c r="I8616" s="67" t="s">
        <v>148</v>
      </c>
    </row>
    <row r="8617" spans="1:9" x14ac:dyDescent="0.25">
      <c r="B8617" s="67" t="s">
        <v>192</v>
      </c>
      <c r="C8617" s="67">
        <v>0</v>
      </c>
      <c r="D8617" s="67">
        <v>0</v>
      </c>
      <c r="E8617" s="67">
        <v>10000.10001</v>
      </c>
      <c r="H8617" s="67" t="s">
        <v>146</v>
      </c>
    </row>
    <row r="8619" spans="1:9" x14ac:dyDescent="0.25">
      <c r="A8619" s="67" t="s">
        <v>191</v>
      </c>
      <c r="B8619" s="67" t="s">
        <v>190</v>
      </c>
      <c r="C8619" s="67" t="s">
        <v>166</v>
      </c>
      <c r="D8619" s="67">
        <v>0</v>
      </c>
      <c r="E8619" s="67">
        <v>10000.10001</v>
      </c>
      <c r="F8619" s="67">
        <v>99</v>
      </c>
      <c r="H8619" s="68">
        <v>40777</v>
      </c>
      <c r="I8619" s="67" t="s">
        <v>148</v>
      </c>
    </row>
    <row r="8620" spans="1:9" x14ac:dyDescent="0.25">
      <c r="B8620" s="67" t="s">
        <v>189</v>
      </c>
      <c r="C8620" s="67">
        <v>0</v>
      </c>
      <c r="D8620" s="67">
        <v>0</v>
      </c>
      <c r="E8620" s="67">
        <v>10000.10001</v>
      </c>
      <c r="H8620" s="67" t="s">
        <v>146</v>
      </c>
    </row>
    <row r="8622" spans="1:9" x14ac:dyDescent="0.25">
      <c r="A8622" s="67" t="s">
        <v>188</v>
      </c>
      <c r="B8622" s="67" t="s">
        <v>187</v>
      </c>
      <c r="C8622" s="67" t="s">
        <v>162</v>
      </c>
      <c r="D8622" s="67">
        <v>0</v>
      </c>
      <c r="E8622" s="67">
        <v>10000.10001</v>
      </c>
      <c r="F8622" s="67">
        <v>99</v>
      </c>
      <c r="H8622" s="68">
        <v>40777</v>
      </c>
      <c r="I8622" s="67" t="s">
        <v>148</v>
      </c>
    </row>
    <row r="8623" spans="1:9" x14ac:dyDescent="0.25">
      <c r="B8623" s="67" t="s">
        <v>186</v>
      </c>
      <c r="C8623" s="67">
        <v>0</v>
      </c>
      <c r="D8623" s="67">
        <v>0</v>
      </c>
      <c r="E8623" s="67">
        <v>10000.10001</v>
      </c>
      <c r="H8623" s="67" t="s">
        <v>146</v>
      </c>
    </row>
    <row r="8625" spans="1:9" x14ac:dyDescent="0.25">
      <c r="A8625" s="67" t="s">
        <v>185</v>
      </c>
      <c r="B8625" s="67" t="s">
        <v>184</v>
      </c>
      <c r="C8625" s="67" t="s">
        <v>166</v>
      </c>
      <c r="D8625" s="67">
        <v>0</v>
      </c>
      <c r="E8625" s="67">
        <v>10000.10001</v>
      </c>
      <c r="F8625" s="67">
        <v>99</v>
      </c>
      <c r="H8625" s="68">
        <v>40777</v>
      </c>
      <c r="I8625" s="67" t="s">
        <v>148</v>
      </c>
    </row>
    <row r="8626" spans="1:9" x14ac:dyDescent="0.25">
      <c r="B8626" s="67" t="s">
        <v>183</v>
      </c>
      <c r="C8626" s="67">
        <v>0</v>
      </c>
      <c r="D8626" s="67">
        <v>0</v>
      </c>
      <c r="E8626" s="67">
        <v>10000.10001</v>
      </c>
      <c r="H8626" s="67" t="s">
        <v>146</v>
      </c>
    </row>
    <row r="8628" spans="1:9" x14ac:dyDescent="0.25">
      <c r="A8628" s="67" t="s">
        <v>182</v>
      </c>
      <c r="B8628" s="67" t="s">
        <v>181</v>
      </c>
      <c r="C8628" s="67" t="s">
        <v>180</v>
      </c>
      <c r="D8628" s="67">
        <v>0</v>
      </c>
      <c r="E8628" s="67">
        <v>10000.10001</v>
      </c>
      <c r="F8628" s="67">
        <v>99</v>
      </c>
      <c r="H8628" s="68">
        <v>40777</v>
      </c>
      <c r="I8628" s="67" t="s">
        <v>148</v>
      </c>
    </row>
    <row r="8629" spans="1:9" x14ac:dyDescent="0.25">
      <c r="B8629" s="67" t="s">
        <v>179</v>
      </c>
      <c r="C8629" s="67">
        <v>0</v>
      </c>
      <c r="D8629" s="67">
        <v>0</v>
      </c>
      <c r="E8629" s="67">
        <v>10000.10001</v>
      </c>
      <c r="H8629" s="67" t="s">
        <v>146</v>
      </c>
    </row>
    <row r="8631" spans="1:9" x14ac:dyDescent="0.25">
      <c r="A8631" s="67" t="s">
        <v>178</v>
      </c>
      <c r="B8631" s="67" t="s">
        <v>177</v>
      </c>
      <c r="C8631" s="67" t="s">
        <v>176</v>
      </c>
      <c r="D8631" s="67">
        <v>0</v>
      </c>
      <c r="E8631" s="67">
        <v>10000.10001</v>
      </c>
      <c r="F8631" s="67">
        <v>99</v>
      </c>
      <c r="H8631" s="68">
        <v>40777</v>
      </c>
      <c r="I8631" s="67" t="s">
        <v>148</v>
      </c>
    </row>
    <row r="8632" spans="1:9" x14ac:dyDescent="0.25">
      <c r="B8632" s="67" t="s">
        <v>175</v>
      </c>
      <c r="C8632" s="67">
        <v>0</v>
      </c>
      <c r="D8632" s="67">
        <v>0</v>
      </c>
      <c r="E8632" s="67">
        <v>10000.10001</v>
      </c>
      <c r="H8632" s="67" t="s">
        <v>146</v>
      </c>
    </row>
    <row r="8634" spans="1:9" x14ac:dyDescent="0.25">
      <c r="A8634" s="67" t="s">
        <v>174</v>
      </c>
      <c r="B8634" s="67" t="s">
        <v>173</v>
      </c>
      <c r="C8634" s="67" t="s">
        <v>166</v>
      </c>
      <c r="D8634" s="67">
        <v>0</v>
      </c>
      <c r="E8634" s="67">
        <v>10000.10001</v>
      </c>
      <c r="F8634" s="67">
        <v>99</v>
      </c>
      <c r="H8634" s="68">
        <v>40777</v>
      </c>
      <c r="I8634" s="67" t="s">
        <v>148</v>
      </c>
    </row>
    <row r="8635" spans="1:9" x14ac:dyDescent="0.25">
      <c r="B8635" s="67" t="s">
        <v>172</v>
      </c>
      <c r="C8635" s="67">
        <v>0</v>
      </c>
      <c r="D8635" s="67">
        <v>0</v>
      </c>
      <c r="E8635" s="67">
        <v>10000.10001</v>
      </c>
      <c r="H8635" s="67" t="s">
        <v>146</v>
      </c>
    </row>
    <row r="8637" spans="1:9" x14ac:dyDescent="0.25">
      <c r="A8637" s="67" t="s">
        <v>171</v>
      </c>
      <c r="B8637" s="67" t="s">
        <v>170</v>
      </c>
      <c r="C8637" s="67" t="s">
        <v>155</v>
      </c>
      <c r="D8637" s="67">
        <v>0</v>
      </c>
      <c r="E8637" s="67">
        <v>10000.10001</v>
      </c>
      <c r="F8637" s="67">
        <v>99</v>
      </c>
      <c r="H8637" s="68">
        <v>40777</v>
      </c>
      <c r="I8637" s="67" t="s">
        <v>148</v>
      </c>
    </row>
    <row r="8638" spans="1:9" x14ac:dyDescent="0.25">
      <c r="B8638" s="67" t="s">
        <v>169</v>
      </c>
      <c r="C8638" s="67">
        <v>0</v>
      </c>
      <c r="D8638" s="67">
        <v>0</v>
      </c>
      <c r="E8638" s="67">
        <v>10000.10001</v>
      </c>
      <c r="H8638" s="67" t="s">
        <v>146</v>
      </c>
    </row>
    <row r="8640" spans="1:9" x14ac:dyDescent="0.25">
      <c r="A8640" s="67" t="s">
        <v>168</v>
      </c>
      <c r="B8640" s="67" t="s">
        <v>167</v>
      </c>
      <c r="C8640" s="67" t="s">
        <v>166</v>
      </c>
      <c r="D8640" s="67">
        <v>0</v>
      </c>
      <c r="E8640" s="67">
        <v>10000.10001</v>
      </c>
      <c r="F8640" s="67">
        <v>99</v>
      </c>
      <c r="H8640" s="68">
        <v>40777</v>
      </c>
      <c r="I8640" s="67" t="s">
        <v>148</v>
      </c>
    </row>
    <row r="8641" spans="1:9" x14ac:dyDescent="0.25">
      <c r="B8641" s="67" t="s">
        <v>165</v>
      </c>
      <c r="C8641" s="67">
        <v>0</v>
      </c>
      <c r="D8641" s="67">
        <v>0</v>
      </c>
      <c r="E8641" s="67">
        <v>10000.10001</v>
      </c>
      <c r="H8641" s="67" t="s">
        <v>146</v>
      </c>
    </row>
    <row r="8643" spans="1:9" x14ac:dyDescent="0.25">
      <c r="A8643" s="67" t="s">
        <v>164</v>
      </c>
      <c r="B8643" s="67" t="s">
        <v>163</v>
      </c>
      <c r="C8643" s="67" t="s">
        <v>162</v>
      </c>
      <c r="D8643" s="67">
        <v>0</v>
      </c>
      <c r="E8643" s="67">
        <v>10000.10001</v>
      </c>
      <c r="F8643" s="67">
        <v>99</v>
      </c>
      <c r="H8643" s="68">
        <v>40777</v>
      </c>
      <c r="I8643" s="67" t="s">
        <v>148</v>
      </c>
    </row>
    <row r="8644" spans="1:9" x14ac:dyDescent="0.25">
      <c r="B8644" s="67" t="s">
        <v>161</v>
      </c>
      <c r="C8644" s="67">
        <v>0</v>
      </c>
      <c r="D8644" s="67">
        <v>0</v>
      </c>
      <c r="E8644" s="67">
        <v>10000.10001</v>
      </c>
      <c r="H8644" s="67" t="s">
        <v>146</v>
      </c>
    </row>
    <row r="8646" spans="1:9" x14ac:dyDescent="0.25">
      <c r="A8646" s="67" t="s">
        <v>160</v>
      </c>
      <c r="B8646" s="67" t="s">
        <v>159</v>
      </c>
      <c r="C8646" s="67">
        <v>0</v>
      </c>
      <c r="D8646" s="67">
        <v>0</v>
      </c>
      <c r="E8646" s="67">
        <v>10000.10001</v>
      </c>
      <c r="F8646" s="67">
        <v>99</v>
      </c>
      <c r="H8646" s="68">
        <v>40777</v>
      </c>
      <c r="I8646" s="67" t="s">
        <v>148</v>
      </c>
    </row>
    <row r="8647" spans="1:9" x14ac:dyDescent="0.25">
      <c r="B8647" s="67" t="s">
        <v>158</v>
      </c>
      <c r="C8647" s="67">
        <v>0</v>
      </c>
      <c r="D8647" s="67">
        <v>0</v>
      </c>
      <c r="E8647" s="67">
        <v>10000.10001</v>
      </c>
      <c r="H8647" s="67" t="s">
        <v>146</v>
      </c>
    </row>
    <row r="8649" spans="1:9" x14ac:dyDescent="0.25">
      <c r="A8649" s="67" t="s">
        <v>157</v>
      </c>
      <c r="B8649" s="67" t="s">
        <v>156</v>
      </c>
      <c r="C8649" s="67" t="s">
        <v>155</v>
      </c>
      <c r="D8649" s="67">
        <v>0</v>
      </c>
      <c r="E8649" s="67">
        <v>10000.10001</v>
      </c>
      <c r="F8649" s="67">
        <v>99</v>
      </c>
      <c r="H8649" s="68">
        <v>40794</v>
      </c>
      <c r="I8649" s="67" t="s">
        <v>148</v>
      </c>
    </row>
    <row r="8650" spans="1:9" x14ac:dyDescent="0.25">
      <c r="B8650" s="67" t="s">
        <v>154</v>
      </c>
      <c r="C8650" s="67">
        <v>0</v>
      </c>
      <c r="D8650" s="67">
        <v>0</v>
      </c>
      <c r="E8650" s="67">
        <v>10000.10001</v>
      </c>
      <c r="H8650" s="67" t="s">
        <v>146</v>
      </c>
    </row>
    <row r="8652" spans="1:9" x14ac:dyDescent="0.25">
      <c r="A8652" s="67" t="s">
        <v>153</v>
      </c>
      <c r="B8652" s="67" t="s">
        <v>152</v>
      </c>
      <c r="C8652" s="67">
        <v>0</v>
      </c>
      <c r="D8652" s="67">
        <v>0</v>
      </c>
      <c r="E8652" s="67">
        <v>10000.10001</v>
      </c>
      <c r="F8652" s="67">
        <v>99</v>
      </c>
      <c r="H8652" s="68">
        <v>40777</v>
      </c>
      <c r="I8652" s="67" t="s">
        <v>148</v>
      </c>
    </row>
    <row r="8653" spans="1:9" x14ac:dyDescent="0.25">
      <c r="B8653" s="67" t="s">
        <v>152</v>
      </c>
      <c r="C8653" s="67">
        <v>0</v>
      </c>
      <c r="D8653" s="67">
        <v>0</v>
      </c>
      <c r="E8653" s="67">
        <v>10000.10001</v>
      </c>
      <c r="H8653" s="67" t="s">
        <v>146</v>
      </c>
    </row>
    <row r="8655" spans="1:9" x14ac:dyDescent="0.25">
      <c r="A8655" s="67" t="s">
        <v>151</v>
      </c>
      <c r="B8655" s="67" t="s">
        <v>150</v>
      </c>
      <c r="C8655" s="67">
        <v>0</v>
      </c>
      <c r="D8655" s="67">
        <v>0</v>
      </c>
      <c r="E8655" s="67">
        <v>10000.10001</v>
      </c>
      <c r="F8655" s="67">
        <v>99</v>
      </c>
      <c r="H8655" s="68">
        <v>40777</v>
      </c>
      <c r="I8655" s="67" t="s">
        <v>148</v>
      </c>
    </row>
    <row r="8656" spans="1:9" x14ac:dyDescent="0.25">
      <c r="B8656" s="67" t="s">
        <v>150</v>
      </c>
      <c r="C8656" s="67">
        <v>0</v>
      </c>
      <c r="D8656" s="67">
        <v>0</v>
      </c>
      <c r="E8656" s="67">
        <v>10000.10001</v>
      </c>
      <c r="H8656" s="67" t="s">
        <v>146</v>
      </c>
    </row>
    <row r="8658" spans="1:9" x14ac:dyDescent="0.25">
      <c r="A8658" s="67" t="s">
        <v>149</v>
      </c>
      <c r="B8658" s="67" t="s">
        <v>147</v>
      </c>
      <c r="C8658" s="67">
        <v>0</v>
      </c>
      <c r="D8658" s="67">
        <v>0</v>
      </c>
      <c r="E8658" s="67">
        <v>10000.10001</v>
      </c>
      <c r="F8658" s="67">
        <v>99</v>
      </c>
      <c r="H8658" s="68">
        <v>40777</v>
      </c>
      <c r="I8658" s="67" t="s">
        <v>148</v>
      </c>
    </row>
    <row r="8659" spans="1:9" x14ac:dyDescent="0.25">
      <c r="B8659" s="67" t="s">
        <v>147</v>
      </c>
      <c r="C8659" s="67">
        <v>0</v>
      </c>
      <c r="D8659" s="67">
        <v>0</v>
      </c>
      <c r="E8659" s="67">
        <v>10000.10001</v>
      </c>
      <c r="H8659" s="67" t="s">
        <v>146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670FC-E738-45A5-912A-B7447FA61FE7}">
  <dimension ref="A1:I98"/>
  <sheetViews>
    <sheetView workbookViewId="0">
      <pane ySplit="6" topLeftCell="A58" activePane="bottomLeft" state="frozen"/>
      <selection activeCell="C8671" sqref="C8671"/>
      <selection pane="bottomLeft" activeCell="C56" sqref="C56"/>
    </sheetView>
  </sheetViews>
  <sheetFormatPr defaultRowHeight="15" x14ac:dyDescent="0.25"/>
  <cols>
    <col min="1" max="1" width="12.33203125" style="67" bestFit="1" customWidth="1"/>
    <col min="2" max="2" width="25.44140625" style="67" bestFit="1" customWidth="1"/>
    <col min="3" max="3" width="13.109375" style="67" bestFit="1" customWidth="1"/>
    <col min="4" max="4" width="9.33203125" style="67" bestFit="1" customWidth="1"/>
    <col min="5" max="5" width="10.88671875" style="67" bestFit="1" customWidth="1"/>
    <col min="6" max="6" width="9.77734375" style="67" bestFit="1" customWidth="1"/>
    <col min="7" max="7" width="5.77734375" style="67" bestFit="1" customWidth="1"/>
    <col min="8" max="8" width="10.77734375" style="67" bestFit="1" customWidth="1"/>
    <col min="9" max="9" width="4.6640625" style="67" bestFit="1" customWidth="1"/>
    <col min="10" max="16384" width="8.88671875" style="67"/>
  </cols>
  <sheetData>
    <row r="1" spans="1:9" x14ac:dyDescent="0.25">
      <c r="A1" s="67" t="s">
        <v>232</v>
      </c>
      <c r="D1" s="67" t="s">
        <v>231</v>
      </c>
      <c r="H1" s="67" t="s">
        <v>148</v>
      </c>
      <c r="I1" s="67" t="s">
        <v>230</v>
      </c>
    </row>
    <row r="2" spans="1:9" x14ac:dyDescent="0.25">
      <c r="A2" s="67">
        <v>41.1</v>
      </c>
      <c r="C2" s="67" t="s">
        <v>215</v>
      </c>
      <c r="D2" s="67" t="s">
        <v>229</v>
      </c>
      <c r="H2" s="70">
        <v>44771</v>
      </c>
      <c r="I2" s="69">
        <v>0.56736111111111109</v>
      </c>
    </row>
    <row r="3" spans="1:9" x14ac:dyDescent="0.25">
      <c r="A3" s="67" t="s">
        <v>228</v>
      </c>
      <c r="C3" s="67" t="s">
        <v>227</v>
      </c>
      <c r="D3" s="67" t="s">
        <v>226</v>
      </c>
      <c r="E3" s="67">
        <v>589</v>
      </c>
      <c r="H3" s="67" t="s">
        <v>225</v>
      </c>
      <c r="I3" s="67">
        <v>1</v>
      </c>
    </row>
    <row r="4" spans="1:9" x14ac:dyDescent="0.25">
      <c r="A4" s="67" t="s">
        <v>5223</v>
      </c>
    </row>
    <row r="5" spans="1:9" x14ac:dyDescent="0.25">
      <c r="A5" s="67" t="s">
        <v>215</v>
      </c>
      <c r="B5" s="67" t="s">
        <v>214</v>
      </c>
      <c r="C5" s="67" t="s">
        <v>213</v>
      </c>
      <c r="D5" s="67" t="s">
        <v>212</v>
      </c>
      <c r="E5" s="67" t="s">
        <v>211</v>
      </c>
      <c r="F5" s="67" t="s">
        <v>210</v>
      </c>
      <c r="G5" s="67" t="s">
        <v>209</v>
      </c>
      <c r="H5" s="67" t="s">
        <v>208</v>
      </c>
      <c r="I5" s="67" t="s">
        <v>207</v>
      </c>
    </row>
    <row r="6" spans="1:9" x14ac:dyDescent="0.25">
      <c r="A6" s="67" t="s">
        <v>206</v>
      </c>
      <c r="B6" s="67" t="s">
        <v>205</v>
      </c>
      <c r="C6" s="67" t="s">
        <v>204</v>
      </c>
      <c r="D6" s="67" t="s">
        <v>203</v>
      </c>
      <c r="E6" s="67" t="s">
        <v>202</v>
      </c>
      <c r="F6" s="67" t="s">
        <v>201</v>
      </c>
      <c r="G6" s="67" t="s">
        <v>200</v>
      </c>
      <c r="H6" s="67" t="s">
        <v>199</v>
      </c>
    </row>
    <row r="7" spans="1:9" x14ac:dyDescent="0.25">
      <c r="A7" s="72" t="s">
        <v>861</v>
      </c>
      <c r="B7" s="72" t="s">
        <v>123</v>
      </c>
      <c r="C7" s="72">
        <v>280</v>
      </c>
      <c r="D7" s="72">
        <v>0</v>
      </c>
      <c r="E7" s="72">
        <v>44401.43</v>
      </c>
      <c r="F7" s="72">
        <v>91942</v>
      </c>
      <c r="G7" s="72"/>
      <c r="H7" s="73">
        <v>42466</v>
      </c>
      <c r="I7" s="72" t="s">
        <v>148</v>
      </c>
    </row>
    <row r="8" spans="1:9" x14ac:dyDescent="0.25">
      <c r="A8" s="72"/>
      <c r="B8" s="72" t="s">
        <v>123</v>
      </c>
      <c r="C8" s="72">
        <v>0</v>
      </c>
      <c r="D8" s="72">
        <v>0</v>
      </c>
      <c r="E8" s="72">
        <v>44401.43</v>
      </c>
      <c r="F8" s="72"/>
      <c r="G8" s="72"/>
      <c r="H8" s="72" t="s">
        <v>146</v>
      </c>
      <c r="I8" s="72"/>
    </row>
    <row r="10" spans="1:9" x14ac:dyDescent="0.25">
      <c r="A10" s="72" t="s">
        <v>860</v>
      </c>
      <c r="B10" s="72" t="s">
        <v>124</v>
      </c>
      <c r="C10" s="72">
        <v>280</v>
      </c>
      <c r="D10" s="72">
        <v>0</v>
      </c>
      <c r="E10" s="72">
        <v>46305.43</v>
      </c>
      <c r="F10" s="72">
        <v>91942</v>
      </c>
      <c r="G10" s="72"/>
      <c r="H10" s="73">
        <v>42478</v>
      </c>
      <c r="I10" s="72" t="s">
        <v>148</v>
      </c>
    </row>
    <row r="11" spans="1:9" x14ac:dyDescent="0.25">
      <c r="A11" s="72"/>
      <c r="B11" s="72" t="s">
        <v>124</v>
      </c>
      <c r="C11" s="72">
        <v>0</v>
      </c>
      <c r="D11" s="72">
        <v>0</v>
      </c>
      <c r="E11" s="72">
        <v>46305.43</v>
      </c>
      <c r="F11" s="72"/>
      <c r="G11" s="72"/>
      <c r="H11" s="72" t="s">
        <v>146</v>
      </c>
      <c r="I11" s="72"/>
    </row>
    <row r="12" spans="1:9" x14ac:dyDescent="0.25">
      <c r="A12" s="72"/>
      <c r="B12" s="72"/>
      <c r="C12" s="72"/>
      <c r="D12" s="72"/>
      <c r="E12" s="72"/>
      <c r="F12" s="72"/>
      <c r="G12" s="72"/>
      <c r="H12" s="72"/>
      <c r="I12" s="72"/>
    </row>
    <row r="13" spans="1:9" x14ac:dyDescent="0.25">
      <c r="A13" s="67" t="s">
        <v>859</v>
      </c>
      <c r="B13" s="67" t="s">
        <v>858</v>
      </c>
      <c r="C13" s="67">
        <v>280</v>
      </c>
      <c r="D13" s="67">
        <v>0</v>
      </c>
      <c r="E13" s="67">
        <v>44401.43</v>
      </c>
      <c r="F13" s="67">
        <v>91915</v>
      </c>
      <c r="H13" s="68">
        <v>41260</v>
      </c>
      <c r="I13" s="67" t="s">
        <v>148</v>
      </c>
    </row>
    <row r="14" spans="1:9" x14ac:dyDescent="0.25">
      <c r="B14" s="67" t="s">
        <v>858</v>
      </c>
      <c r="C14" s="67">
        <v>0</v>
      </c>
      <c r="D14" s="67">
        <v>0</v>
      </c>
      <c r="E14" s="67">
        <v>44401.43</v>
      </c>
      <c r="H14" s="67" t="s">
        <v>146</v>
      </c>
    </row>
    <row r="16" spans="1:9" x14ac:dyDescent="0.25">
      <c r="A16" s="67" t="s">
        <v>857</v>
      </c>
      <c r="B16" s="67" t="s">
        <v>856</v>
      </c>
      <c r="C16" s="67">
        <v>800</v>
      </c>
      <c r="D16" s="67">
        <v>0</v>
      </c>
      <c r="E16" s="67">
        <v>44401.43</v>
      </c>
      <c r="F16" s="67">
        <v>91913</v>
      </c>
      <c r="H16" s="68">
        <v>41260</v>
      </c>
      <c r="I16" s="67" t="s">
        <v>148</v>
      </c>
    </row>
    <row r="17" spans="1:9" x14ac:dyDescent="0.25">
      <c r="B17" s="67" t="s">
        <v>856</v>
      </c>
      <c r="C17" s="67">
        <v>0</v>
      </c>
      <c r="D17" s="67">
        <v>0</v>
      </c>
      <c r="E17" s="67">
        <v>44401.43</v>
      </c>
      <c r="H17" s="67" t="s">
        <v>146</v>
      </c>
    </row>
    <row r="19" spans="1:9" x14ac:dyDescent="0.25">
      <c r="A19" s="72" t="s">
        <v>855</v>
      </c>
      <c r="B19" s="72" t="s">
        <v>125</v>
      </c>
      <c r="C19" s="72">
        <v>280</v>
      </c>
      <c r="D19" s="72">
        <v>0</v>
      </c>
      <c r="E19" s="72">
        <v>44401.43</v>
      </c>
      <c r="F19" s="72">
        <v>91915</v>
      </c>
      <c r="G19" s="72"/>
      <c r="H19" s="73">
        <v>42591</v>
      </c>
      <c r="I19" s="72" t="s">
        <v>148</v>
      </c>
    </row>
    <row r="20" spans="1:9" x14ac:dyDescent="0.25">
      <c r="A20" s="72"/>
      <c r="B20" s="72" t="s">
        <v>854</v>
      </c>
      <c r="C20" s="72">
        <v>0</v>
      </c>
      <c r="D20" s="72">
        <v>0</v>
      </c>
      <c r="E20" s="72">
        <v>44401.43</v>
      </c>
      <c r="F20" s="72"/>
      <c r="G20" s="72"/>
      <c r="H20" s="72" t="s">
        <v>146</v>
      </c>
      <c r="I20" s="72"/>
    </row>
    <row r="22" spans="1:9" x14ac:dyDescent="0.25">
      <c r="A22" s="72" t="s">
        <v>853</v>
      </c>
      <c r="B22" s="72" t="s">
        <v>126</v>
      </c>
      <c r="C22" s="72">
        <v>280</v>
      </c>
      <c r="D22" s="72">
        <v>0</v>
      </c>
      <c r="E22" s="72">
        <v>46305.43</v>
      </c>
      <c r="F22" s="72">
        <v>915</v>
      </c>
      <c r="G22" s="72"/>
      <c r="H22" s="73">
        <v>42478</v>
      </c>
      <c r="I22" s="72" t="s">
        <v>148</v>
      </c>
    </row>
    <row r="23" spans="1:9" x14ac:dyDescent="0.25">
      <c r="A23" s="72"/>
      <c r="B23" s="72" t="s">
        <v>839</v>
      </c>
      <c r="C23" s="72">
        <v>0</v>
      </c>
      <c r="D23" s="72">
        <v>0</v>
      </c>
      <c r="E23" s="72">
        <v>46305.43</v>
      </c>
      <c r="F23" s="72"/>
      <c r="G23" s="72"/>
      <c r="H23" s="72" t="s">
        <v>146</v>
      </c>
      <c r="I23" s="72"/>
    </row>
    <row r="25" spans="1:9" x14ac:dyDescent="0.25">
      <c r="A25" s="67" t="s">
        <v>852</v>
      </c>
      <c r="B25" s="67" t="s">
        <v>851</v>
      </c>
      <c r="C25" s="71">
        <v>1400</v>
      </c>
      <c r="D25" s="67">
        <v>0</v>
      </c>
      <c r="E25" s="67">
        <v>44401.43</v>
      </c>
      <c r="F25" s="67">
        <v>91913</v>
      </c>
      <c r="H25" s="68">
        <v>42591</v>
      </c>
      <c r="I25" s="67" t="s">
        <v>148</v>
      </c>
    </row>
    <row r="26" spans="1:9" x14ac:dyDescent="0.25">
      <c r="B26" s="67" t="s">
        <v>851</v>
      </c>
      <c r="C26" s="67">
        <v>0</v>
      </c>
      <c r="D26" s="67">
        <v>0</v>
      </c>
      <c r="E26" s="67">
        <v>44401.43</v>
      </c>
      <c r="H26" s="67" t="s">
        <v>146</v>
      </c>
    </row>
    <row r="28" spans="1:9" x14ac:dyDescent="0.25">
      <c r="A28" s="67" t="s">
        <v>850</v>
      </c>
      <c r="B28" s="67" t="s">
        <v>849</v>
      </c>
      <c r="C28" s="71">
        <v>1400</v>
      </c>
      <c r="D28" s="67">
        <v>0</v>
      </c>
      <c r="E28" s="67">
        <v>46305.43</v>
      </c>
      <c r="F28" s="67">
        <v>915</v>
      </c>
      <c r="H28" s="68">
        <v>42478</v>
      </c>
      <c r="I28" s="67" t="s">
        <v>148</v>
      </c>
    </row>
    <row r="29" spans="1:9" x14ac:dyDescent="0.25">
      <c r="B29" s="67" t="s">
        <v>849</v>
      </c>
      <c r="C29" s="67">
        <v>0</v>
      </c>
      <c r="D29" s="67">
        <v>0</v>
      </c>
      <c r="E29" s="67">
        <v>46305.43</v>
      </c>
      <c r="H29" s="67" t="s">
        <v>146</v>
      </c>
    </row>
    <row r="31" spans="1:9" x14ac:dyDescent="0.25">
      <c r="A31" s="67" t="s">
        <v>848</v>
      </c>
      <c r="B31" s="67" t="s">
        <v>847</v>
      </c>
      <c r="C31" s="71">
        <v>1400</v>
      </c>
      <c r="D31" s="67">
        <v>0</v>
      </c>
      <c r="E31" s="67">
        <v>44401.43</v>
      </c>
      <c r="F31" s="67">
        <v>91913</v>
      </c>
      <c r="H31" s="68">
        <v>41260</v>
      </c>
      <c r="I31" s="67" t="s">
        <v>148</v>
      </c>
    </row>
    <row r="32" spans="1:9" x14ac:dyDescent="0.25">
      <c r="B32" s="67" t="s">
        <v>847</v>
      </c>
      <c r="C32" s="67">
        <v>0</v>
      </c>
      <c r="D32" s="67">
        <v>0</v>
      </c>
      <c r="E32" s="67">
        <v>44401.43</v>
      </c>
      <c r="H32" s="67" t="s">
        <v>146</v>
      </c>
    </row>
    <row r="34" spans="1:9" x14ac:dyDescent="0.25">
      <c r="A34" s="67" t="s">
        <v>846</v>
      </c>
      <c r="B34" s="67" t="s">
        <v>845</v>
      </c>
      <c r="C34" s="67">
        <v>280</v>
      </c>
      <c r="D34" s="67">
        <v>0</v>
      </c>
      <c r="E34" s="67">
        <v>44401.43</v>
      </c>
      <c r="F34" s="67">
        <v>91915</v>
      </c>
      <c r="H34" s="68">
        <v>42466</v>
      </c>
      <c r="I34" s="67" t="s">
        <v>148</v>
      </c>
    </row>
    <row r="35" spans="1:9" x14ac:dyDescent="0.25">
      <c r="B35" s="67" t="s">
        <v>845</v>
      </c>
      <c r="C35" s="67">
        <v>0</v>
      </c>
      <c r="D35" s="67">
        <v>0</v>
      </c>
      <c r="E35" s="67">
        <v>44401.43</v>
      </c>
      <c r="H35" s="67" t="s">
        <v>146</v>
      </c>
    </row>
    <row r="37" spans="1:9" x14ac:dyDescent="0.25">
      <c r="A37" s="72" t="s">
        <v>844</v>
      </c>
      <c r="B37" s="72" t="s">
        <v>127</v>
      </c>
      <c r="C37" s="74">
        <v>1400</v>
      </c>
      <c r="D37" s="72">
        <v>0</v>
      </c>
      <c r="E37" s="72">
        <v>44401.43</v>
      </c>
      <c r="F37" s="72">
        <v>91913</v>
      </c>
      <c r="G37" s="72"/>
      <c r="H37" s="73">
        <v>42591</v>
      </c>
      <c r="I37" s="72" t="s">
        <v>148</v>
      </c>
    </row>
    <row r="38" spans="1:9" x14ac:dyDescent="0.25">
      <c r="A38" s="72"/>
      <c r="B38" s="72" t="s">
        <v>127</v>
      </c>
      <c r="C38" s="72">
        <v>0</v>
      </c>
      <c r="D38" s="72">
        <v>0</v>
      </c>
      <c r="E38" s="72">
        <v>44401.43</v>
      </c>
      <c r="F38" s="72"/>
      <c r="G38" s="72"/>
      <c r="H38" s="72" t="s">
        <v>146</v>
      </c>
      <c r="I38" s="72"/>
    </row>
    <row r="40" spans="1:9" x14ac:dyDescent="0.25">
      <c r="A40" s="72" t="s">
        <v>843</v>
      </c>
      <c r="B40" s="72" t="s">
        <v>128</v>
      </c>
      <c r="C40" s="74">
        <v>1400</v>
      </c>
      <c r="D40" s="72">
        <v>0</v>
      </c>
      <c r="E40" s="72">
        <v>46305.43</v>
      </c>
      <c r="F40" s="72">
        <v>913</v>
      </c>
      <c r="G40" s="72"/>
      <c r="H40" s="73">
        <v>42478</v>
      </c>
      <c r="I40" s="72" t="s">
        <v>148</v>
      </c>
    </row>
    <row r="41" spans="1:9" x14ac:dyDescent="0.25">
      <c r="A41" s="72"/>
      <c r="B41" s="72" t="s">
        <v>128</v>
      </c>
      <c r="C41" s="72">
        <v>0</v>
      </c>
      <c r="D41" s="72">
        <v>0</v>
      </c>
      <c r="E41" s="72">
        <v>46305.43</v>
      </c>
      <c r="F41" s="72"/>
      <c r="G41" s="72"/>
      <c r="H41" s="72" t="s">
        <v>146</v>
      </c>
      <c r="I41" s="72"/>
    </row>
    <row r="42" spans="1:9" x14ac:dyDescent="0.25">
      <c r="A42" s="67" t="s">
        <v>841</v>
      </c>
      <c r="B42" s="67" t="s">
        <v>124</v>
      </c>
      <c r="C42" s="67">
        <v>0</v>
      </c>
      <c r="D42" s="67">
        <v>0</v>
      </c>
      <c r="E42" s="67">
        <v>0</v>
      </c>
      <c r="H42" s="68">
        <v>42466</v>
      </c>
      <c r="I42" s="67" t="s">
        <v>547</v>
      </c>
    </row>
    <row r="43" spans="1:9" x14ac:dyDescent="0.25">
      <c r="B43" s="67" t="s">
        <v>124</v>
      </c>
      <c r="C43" s="67">
        <v>0</v>
      </c>
      <c r="D43" s="67">
        <v>0</v>
      </c>
      <c r="E43" s="67">
        <v>0</v>
      </c>
      <c r="H43" s="67" t="s">
        <v>146</v>
      </c>
    </row>
    <row r="45" spans="1:9" x14ac:dyDescent="0.25">
      <c r="A45" s="67" t="s">
        <v>840</v>
      </c>
      <c r="B45" s="67" t="s">
        <v>126</v>
      </c>
      <c r="C45" s="67">
        <v>0</v>
      </c>
      <c r="D45" s="67">
        <v>0</v>
      </c>
      <c r="E45" s="67">
        <v>0</v>
      </c>
      <c r="H45" s="68">
        <v>42466</v>
      </c>
      <c r="I45" s="67" t="s">
        <v>547</v>
      </c>
    </row>
    <row r="46" spans="1:9" x14ac:dyDescent="0.25">
      <c r="B46" s="67" t="s">
        <v>839</v>
      </c>
      <c r="C46" s="67">
        <v>0</v>
      </c>
      <c r="D46" s="67">
        <v>0</v>
      </c>
      <c r="E46" s="67">
        <v>0</v>
      </c>
      <c r="H46" s="67" t="s">
        <v>146</v>
      </c>
    </row>
    <row r="48" spans="1:9" x14ac:dyDescent="0.25">
      <c r="A48" s="67" t="s">
        <v>838</v>
      </c>
      <c r="B48" s="67" t="s">
        <v>128</v>
      </c>
      <c r="C48" s="67">
        <v>0</v>
      </c>
      <c r="D48" s="67">
        <v>0</v>
      </c>
      <c r="E48" s="67">
        <v>0</v>
      </c>
      <c r="H48" s="68">
        <v>42466</v>
      </c>
      <c r="I48" s="67" t="s">
        <v>547</v>
      </c>
    </row>
    <row r="49" spans="1:9" x14ac:dyDescent="0.25">
      <c r="B49" s="67" t="s">
        <v>128</v>
      </c>
      <c r="C49" s="67">
        <v>0</v>
      </c>
      <c r="D49" s="67">
        <v>0</v>
      </c>
      <c r="E49" s="67">
        <v>0</v>
      </c>
      <c r="H49" s="67" t="s">
        <v>146</v>
      </c>
    </row>
    <row r="50" spans="1:9" x14ac:dyDescent="0.25">
      <c r="A50" s="67" t="s">
        <v>835</v>
      </c>
      <c r="B50" s="67" t="s">
        <v>129</v>
      </c>
      <c r="C50" s="67">
        <v>280</v>
      </c>
      <c r="D50" s="67">
        <v>0</v>
      </c>
      <c r="E50" s="67">
        <v>47401.45</v>
      </c>
      <c r="F50" s="67">
        <v>915</v>
      </c>
      <c r="H50" s="68">
        <v>41694</v>
      </c>
      <c r="I50" s="67" t="s">
        <v>148</v>
      </c>
    </row>
    <row r="51" spans="1:9" x14ac:dyDescent="0.25">
      <c r="B51" s="67" t="s">
        <v>834</v>
      </c>
      <c r="C51" s="67">
        <v>0</v>
      </c>
      <c r="D51" s="67">
        <v>0</v>
      </c>
      <c r="E51" s="67">
        <v>47401.45</v>
      </c>
      <c r="H51" s="67" t="s">
        <v>146</v>
      </c>
    </row>
    <row r="53" spans="1:9" x14ac:dyDescent="0.25">
      <c r="A53" s="67" t="s">
        <v>833</v>
      </c>
      <c r="B53" s="67" t="s">
        <v>130</v>
      </c>
      <c r="C53" s="67">
        <v>280</v>
      </c>
      <c r="D53" s="67">
        <v>0</v>
      </c>
      <c r="E53" s="67">
        <v>47401.45</v>
      </c>
      <c r="F53" s="67">
        <v>94915</v>
      </c>
      <c r="H53" s="68">
        <v>40777</v>
      </c>
      <c r="I53" s="67" t="s">
        <v>148</v>
      </c>
    </row>
    <row r="54" spans="1:9" x14ac:dyDescent="0.25">
      <c r="B54" s="67" t="s">
        <v>130</v>
      </c>
      <c r="C54" s="67">
        <v>0</v>
      </c>
      <c r="D54" s="67">
        <v>0</v>
      </c>
      <c r="E54" s="67">
        <v>47401.45</v>
      </c>
      <c r="H54" s="67" t="s">
        <v>146</v>
      </c>
    </row>
    <row r="56" spans="1:9" x14ac:dyDescent="0.25">
      <c r="A56" s="67" t="s">
        <v>832</v>
      </c>
      <c r="B56" s="67" t="s">
        <v>131</v>
      </c>
      <c r="C56" s="67" t="s">
        <v>831</v>
      </c>
      <c r="D56" s="67">
        <v>0</v>
      </c>
      <c r="E56" s="67">
        <v>47401.45</v>
      </c>
      <c r="F56" s="67">
        <v>94915</v>
      </c>
      <c r="H56" s="68">
        <v>40777</v>
      </c>
      <c r="I56" s="67" t="s">
        <v>148</v>
      </c>
    </row>
    <row r="57" spans="1:9" x14ac:dyDescent="0.25">
      <c r="B57" s="67" t="s">
        <v>830</v>
      </c>
      <c r="C57" s="67">
        <v>0</v>
      </c>
      <c r="D57" s="67">
        <v>0</v>
      </c>
      <c r="E57" s="67">
        <v>47401.45</v>
      </c>
      <c r="H57" s="67" t="s">
        <v>146</v>
      </c>
    </row>
    <row r="59" spans="1:9" x14ac:dyDescent="0.25">
      <c r="A59" s="67" t="s">
        <v>829</v>
      </c>
      <c r="B59" s="67" t="s">
        <v>132</v>
      </c>
      <c r="C59" s="67">
        <v>800</v>
      </c>
      <c r="D59" s="67">
        <v>0</v>
      </c>
      <c r="E59" s="67">
        <v>48201.45</v>
      </c>
      <c r="F59" s="67">
        <v>94906</v>
      </c>
      <c r="H59" s="68">
        <v>42466</v>
      </c>
      <c r="I59" s="67" t="s">
        <v>148</v>
      </c>
    </row>
    <row r="60" spans="1:9" x14ac:dyDescent="0.25">
      <c r="B60" s="67" t="s">
        <v>132</v>
      </c>
      <c r="C60" s="67">
        <v>0</v>
      </c>
      <c r="D60" s="67">
        <v>0</v>
      </c>
      <c r="E60" s="67">
        <v>48201.45</v>
      </c>
      <c r="H60" s="67" t="s">
        <v>146</v>
      </c>
    </row>
    <row r="62" spans="1:9" x14ac:dyDescent="0.25">
      <c r="A62" s="67" t="s">
        <v>828</v>
      </c>
      <c r="B62" s="67" t="s">
        <v>133</v>
      </c>
      <c r="C62" s="67">
        <v>800</v>
      </c>
      <c r="D62" s="67">
        <v>0</v>
      </c>
      <c r="E62" s="67">
        <v>48531.45</v>
      </c>
      <c r="F62" s="67">
        <v>905</v>
      </c>
      <c r="H62" s="68">
        <v>42478</v>
      </c>
      <c r="I62" s="67" t="s">
        <v>148</v>
      </c>
    </row>
    <row r="63" spans="1:9" x14ac:dyDescent="0.25">
      <c r="B63" s="67" t="s">
        <v>133</v>
      </c>
      <c r="C63" s="67">
        <v>0</v>
      </c>
      <c r="D63" s="67">
        <v>0</v>
      </c>
      <c r="E63" s="67">
        <v>48531.45</v>
      </c>
      <c r="H63" s="67" t="s">
        <v>146</v>
      </c>
    </row>
    <row r="65" spans="1:9" x14ac:dyDescent="0.25">
      <c r="A65" s="67" t="s">
        <v>827</v>
      </c>
      <c r="B65" s="67" t="s">
        <v>134</v>
      </c>
      <c r="C65" s="67">
        <v>800</v>
      </c>
      <c r="D65" s="67">
        <v>0</v>
      </c>
      <c r="E65" s="67">
        <v>47402.45</v>
      </c>
      <c r="F65" s="67">
        <v>94905</v>
      </c>
      <c r="H65" s="68">
        <v>41555</v>
      </c>
      <c r="I65" s="67" t="s">
        <v>148</v>
      </c>
    </row>
    <row r="66" spans="1:9" x14ac:dyDescent="0.25">
      <c r="B66" s="67" t="s">
        <v>134</v>
      </c>
      <c r="C66" s="67">
        <v>0</v>
      </c>
      <c r="D66" s="67">
        <v>0</v>
      </c>
      <c r="E66" s="67">
        <v>47402.45</v>
      </c>
      <c r="H66" s="67" t="s">
        <v>146</v>
      </c>
    </row>
    <row r="68" spans="1:9" x14ac:dyDescent="0.25">
      <c r="A68" s="67" t="s">
        <v>826</v>
      </c>
      <c r="B68" s="67" t="s">
        <v>135</v>
      </c>
      <c r="C68" s="67">
        <v>800</v>
      </c>
      <c r="D68" s="67">
        <v>0</v>
      </c>
      <c r="E68" s="67">
        <v>47402.45</v>
      </c>
      <c r="F68" s="67">
        <v>94905</v>
      </c>
      <c r="H68" s="68">
        <v>42466</v>
      </c>
      <c r="I68" s="67" t="s">
        <v>148</v>
      </c>
    </row>
    <row r="69" spans="1:9" x14ac:dyDescent="0.25">
      <c r="B69" s="67" t="s">
        <v>825</v>
      </c>
      <c r="C69" s="67">
        <v>0</v>
      </c>
      <c r="D69" s="67">
        <v>0</v>
      </c>
      <c r="E69" s="67">
        <v>47402.45</v>
      </c>
      <c r="H69" s="67" t="s">
        <v>146</v>
      </c>
    </row>
    <row r="71" spans="1:9" x14ac:dyDescent="0.25">
      <c r="A71" s="72" t="s">
        <v>824</v>
      </c>
      <c r="B71" s="72" t="s">
        <v>136</v>
      </c>
      <c r="C71" s="72">
        <v>800</v>
      </c>
      <c r="D71" s="72">
        <v>0</v>
      </c>
      <c r="E71" s="72">
        <v>48501.45</v>
      </c>
      <c r="F71" s="72">
        <v>905</v>
      </c>
      <c r="G71" s="72"/>
      <c r="H71" s="73">
        <v>42478</v>
      </c>
      <c r="I71" s="72" t="s">
        <v>148</v>
      </c>
    </row>
    <row r="72" spans="1:9" x14ac:dyDescent="0.25">
      <c r="A72" s="72"/>
      <c r="B72" s="72" t="s">
        <v>811</v>
      </c>
      <c r="C72" s="72">
        <v>0</v>
      </c>
      <c r="D72" s="72">
        <v>0</v>
      </c>
      <c r="E72" s="72">
        <v>48501.45</v>
      </c>
      <c r="F72" s="72"/>
      <c r="G72" s="72"/>
      <c r="H72" s="72" t="s">
        <v>146</v>
      </c>
      <c r="I72" s="72"/>
    </row>
    <row r="74" spans="1:9" x14ac:dyDescent="0.25">
      <c r="A74" s="72" t="s">
        <v>823</v>
      </c>
      <c r="B74" s="72" t="s">
        <v>137</v>
      </c>
      <c r="C74" s="72" t="s">
        <v>822</v>
      </c>
      <c r="D74" s="72">
        <v>0</v>
      </c>
      <c r="E74" s="72">
        <v>47401.45</v>
      </c>
      <c r="F74" s="72">
        <v>94915</v>
      </c>
      <c r="G74" s="72"/>
      <c r="H74" s="73">
        <v>44509</v>
      </c>
      <c r="I74" s="72" t="s">
        <v>148</v>
      </c>
    </row>
    <row r="75" spans="1:9" x14ac:dyDescent="0.25">
      <c r="A75" s="72"/>
      <c r="B75" s="72" t="s">
        <v>821</v>
      </c>
      <c r="C75" s="72">
        <v>0</v>
      </c>
      <c r="D75" s="72">
        <v>0</v>
      </c>
      <c r="E75" s="72">
        <v>47401.45</v>
      </c>
      <c r="F75" s="72"/>
      <c r="G75" s="72"/>
      <c r="H75" s="72" t="s">
        <v>146</v>
      </c>
      <c r="I75" s="72"/>
    </row>
    <row r="77" spans="1:9" x14ac:dyDescent="0.25">
      <c r="A77" s="67" t="s">
        <v>820</v>
      </c>
      <c r="B77" s="67" t="s">
        <v>138</v>
      </c>
      <c r="C77" s="67">
        <v>800</v>
      </c>
      <c r="D77" s="67">
        <v>0</v>
      </c>
      <c r="E77" s="67">
        <v>47301.45</v>
      </c>
      <c r="H77" s="68">
        <v>42466</v>
      </c>
      <c r="I77" s="67" t="s">
        <v>148</v>
      </c>
    </row>
    <row r="78" spans="1:9" x14ac:dyDescent="0.25">
      <c r="B78" s="67" t="s">
        <v>819</v>
      </c>
      <c r="C78" s="67">
        <v>0</v>
      </c>
      <c r="D78" s="67">
        <v>0</v>
      </c>
      <c r="E78" s="67">
        <v>47301.45</v>
      </c>
      <c r="H78" s="67" t="s">
        <v>146</v>
      </c>
    </row>
    <row r="80" spans="1:9" x14ac:dyDescent="0.25">
      <c r="A80" s="67" t="s">
        <v>818</v>
      </c>
      <c r="B80" s="67" t="s">
        <v>139</v>
      </c>
      <c r="C80" s="67">
        <v>800</v>
      </c>
      <c r="D80" s="67">
        <v>0</v>
      </c>
      <c r="E80" s="67">
        <v>48521.45</v>
      </c>
      <c r="F80" s="67">
        <v>905</v>
      </c>
      <c r="H80" s="68">
        <v>42478</v>
      </c>
      <c r="I80" s="67" t="s">
        <v>148</v>
      </c>
    </row>
    <row r="81" spans="1:9" x14ac:dyDescent="0.25">
      <c r="B81" s="67" t="s">
        <v>139</v>
      </c>
      <c r="C81" s="67">
        <v>0</v>
      </c>
      <c r="D81" s="67">
        <v>0</v>
      </c>
      <c r="E81" s="67">
        <v>48521.45</v>
      </c>
      <c r="H81" s="67" t="s">
        <v>146</v>
      </c>
    </row>
    <row r="83" spans="1:9" x14ac:dyDescent="0.25">
      <c r="A83" s="67" t="s">
        <v>817</v>
      </c>
      <c r="B83" s="67" t="s">
        <v>140</v>
      </c>
      <c r="C83" s="67">
        <v>280</v>
      </c>
      <c r="D83" s="67">
        <v>0</v>
      </c>
      <c r="E83" s="67">
        <v>47401.45</v>
      </c>
      <c r="F83" s="67">
        <v>94915</v>
      </c>
      <c r="H83" s="68">
        <v>40777</v>
      </c>
      <c r="I83" s="67" t="s">
        <v>148</v>
      </c>
    </row>
    <row r="84" spans="1:9" x14ac:dyDescent="0.25">
      <c r="B84" s="67" t="s">
        <v>140</v>
      </c>
      <c r="C84" s="67">
        <v>0</v>
      </c>
      <c r="D84" s="67">
        <v>0</v>
      </c>
      <c r="E84" s="67">
        <v>47401.45</v>
      </c>
      <c r="H84" s="67" t="s">
        <v>146</v>
      </c>
    </row>
    <row r="86" spans="1:9" x14ac:dyDescent="0.25">
      <c r="A86" s="67" t="s">
        <v>816</v>
      </c>
      <c r="B86" s="67" t="s">
        <v>141</v>
      </c>
      <c r="C86" s="67">
        <v>280</v>
      </c>
      <c r="D86" s="67">
        <v>0</v>
      </c>
      <c r="E86" s="67">
        <v>47401.45</v>
      </c>
      <c r="F86" s="67">
        <v>91915</v>
      </c>
      <c r="H86" s="68">
        <v>40777</v>
      </c>
      <c r="I86" s="67" t="s">
        <v>148</v>
      </c>
    </row>
    <row r="87" spans="1:9" x14ac:dyDescent="0.25">
      <c r="B87" s="67" t="s">
        <v>141</v>
      </c>
      <c r="C87" s="67">
        <v>0</v>
      </c>
      <c r="D87" s="67">
        <v>0</v>
      </c>
      <c r="E87" s="67">
        <v>47401.45</v>
      </c>
      <c r="H87" s="67" t="s">
        <v>146</v>
      </c>
    </row>
    <row r="89" spans="1:9" x14ac:dyDescent="0.25">
      <c r="A89" s="67" t="s">
        <v>815</v>
      </c>
      <c r="B89" s="67" t="s">
        <v>142</v>
      </c>
      <c r="C89" s="67">
        <v>280</v>
      </c>
      <c r="D89" s="67">
        <v>0</v>
      </c>
      <c r="E89" s="67">
        <v>47401.45</v>
      </c>
      <c r="F89" s="67">
        <v>94915</v>
      </c>
      <c r="H89" s="68">
        <v>40777</v>
      </c>
      <c r="I89" s="67" t="s">
        <v>148</v>
      </c>
    </row>
    <row r="90" spans="1:9" x14ac:dyDescent="0.25">
      <c r="B90" s="67" t="s">
        <v>142</v>
      </c>
      <c r="C90" s="67">
        <v>0</v>
      </c>
      <c r="D90" s="67">
        <v>0</v>
      </c>
      <c r="E90" s="67">
        <v>47401.45</v>
      </c>
      <c r="H90" s="67" t="s">
        <v>146</v>
      </c>
    </row>
    <row r="93" spans="1:9" x14ac:dyDescent="0.25">
      <c r="A93" s="67" t="s">
        <v>812</v>
      </c>
      <c r="B93" s="67" t="s">
        <v>136</v>
      </c>
      <c r="C93" s="67">
        <v>0</v>
      </c>
      <c r="D93" s="67">
        <v>0</v>
      </c>
      <c r="E93" s="67">
        <v>0</v>
      </c>
      <c r="H93" s="68">
        <v>42466</v>
      </c>
      <c r="I93" s="67" t="s">
        <v>547</v>
      </c>
    </row>
    <row r="94" spans="1:9" x14ac:dyDescent="0.25">
      <c r="B94" s="67" t="s">
        <v>811</v>
      </c>
      <c r="C94" s="67">
        <v>0</v>
      </c>
      <c r="D94" s="67">
        <v>0</v>
      </c>
      <c r="E94" s="67">
        <v>0</v>
      </c>
      <c r="H94" s="67" t="s">
        <v>146</v>
      </c>
    </row>
    <row r="96" spans="1:9" x14ac:dyDescent="0.25">
      <c r="A96" s="67" t="s">
        <v>810</v>
      </c>
      <c r="B96" s="67" t="s">
        <v>809</v>
      </c>
      <c r="C96" s="67">
        <v>0</v>
      </c>
      <c r="D96" s="67">
        <v>0</v>
      </c>
      <c r="E96" s="67">
        <v>0</v>
      </c>
      <c r="H96" s="68">
        <v>42466</v>
      </c>
      <c r="I96" s="67" t="s">
        <v>547</v>
      </c>
    </row>
    <row r="97" spans="1:8" x14ac:dyDescent="0.25">
      <c r="B97" s="67" t="s">
        <v>808</v>
      </c>
      <c r="C97" s="67">
        <v>0</v>
      </c>
      <c r="D97" s="67">
        <v>0</v>
      </c>
      <c r="E97" s="67">
        <v>0</v>
      </c>
      <c r="H97" s="67" t="s">
        <v>146</v>
      </c>
    </row>
    <row r="98" spans="1:8" x14ac:dyDescent="0.25">
      <c r="A98" s="67" t="s">
        <v>233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1EE55-A45F-441E-B161-DBB669C7E1A0}">
  <dimension ref="A1:H20"/>
  <sheetViews>
    <sheetView workbookViewId="0">
      <selection activeCell="A20" sqref="A20:F20"/>
    </sheetView>
  </sheetViews>
  <sheetFormatPr defaultRowHeight="15" x14ac:dyDescent="0.2"/>
  <sheetData>
    <row r="1" spans="1:8" x14ac:dyDescent="0.2">
      <c r="A1" s="82" t="s">
        <v>5269</v>
      </c>
      <c r="C1" s="81"/>
    </row>
    <row r="2" spans="1:8" x14ac:dyDescent="0.2">
      <c r="A2" s="82" t="s">
        <v>5268</v>
      </c>
      <c r="C2" s="81"/>
    </row>
    <row r="3" spans="1:8" x14ac:dyDescent="0.2">
      <c r="A3" s="82" t="s">
        <v>5267</v>
      </c>
      <c r="C3" s="81"/>
    </row>
    <row r="5" spans="1:8" x14ac:dyDescent="0.2">
      <c r="A5" s="82" t="s">
        <v>5266</v>
      </c>
    </row>
    <row r="6" spans="1:8" x14ac:dyDescent="0.2">
      <c r="F6" s="79" t="s">
        <v>5262</v>
      </c>
      <c r="G6" s="79" t="s">
        <v>5261</v>
      </c>
      <c r="H6" s="79" t="s">
        <v>5260</v>
      </c>
    </row>
    <row r="7" spans="1:8" x14ac:dyDescent="0.2">
      <c r="B7" t="s">
        <v>5265</v>
      </c>
      <c r="F7" s="81">
        <v>0</v>
      </c>
      <c r="G7" s="81">
        <v>0</v>
      </c>
      <c r="H7" s="81">
        <f>G7-F7</f>
        <v>0</v>
      </c>
    </row>
    <row r="8" spans="1:8" x14ac:dyDescent="0.2">
      <c r="B8" t="s">
        <v>5265</v>
      </c>
      <c r="F8" s="81">
        <v>0</v>
      </c>
      <c r="G8" s="81">
        <v>0</v>
      </c>
      <c r="H8" s="81">
        <f>G8-F8</f>
        <v>0</v>
      </c>
    </row>
    <row r="10" spans="1:8" x14ac:dyDescent="0.2">
      <c r="A10" s="76" t="s">
        <v>5264</v>
      </c>
    </row>
    <row r="11" spans="1:8" ht="25.5" x14ac:dyDescent="0.2">
      <c r="A11" s="76"/>
      <c r="E11" s="80" t="s">
        <v>5263</v>
      </c>
      <c r="F11" s="79" t="s">
        <v>5262</v>
      </c>
      <c r="G11" s="79" t="s">
        <v>5261</v>
      </c>
      <c r="H11" s="79" t="s">
        <v>5260</v>
      </c>
    </row>
    <row r="12" spans="1:8" x14ac:dyDescent="0.2">
      <c r="B12" t="s">
        <v>5259</v>
      </c>
      <c r="E12" s="78">
        <v>0</v>
      </c>
      <c r="F12" s="77">
        <f>E12*F7</f>
        <v>0</v>
      </c>
      <c r="G12" s="77">
        <f>E12*G7</f>
        <v>0</v>
      </c>
      <c r="H12" s="77">
        <f>G12-F12</f>
        <v>0</v>
      </c>
    </row>
    <row r="13" spans="1:8" x14ac:dyDescent="0.2">
      <c r="B13" t="s">
        <v>5259</v>
      </c>
      <c r="E13" s="78">
        <v>0</v>
      </c>
      <c r="F13" s="77">
        <f>E13*F8</f>
        <v>0</v>
      </c>
      <c r="G13" s="77">
        <f>E13*G8</f>
        <v>0</v>
      </c>
      <c r="H13" s="77">
        <f>G13-F13</f>
        <v>0</v>
      </c>
    </row>
    <row r="14" spans="1:8" x14ac:dyDescent="0.2">
      <c r="E14" s="78"/>
      <c r="F14" s="77"/>
      <c r="G14" s="77"/>
      <c r="H14" s="77"/>
    </row>
    <row r="15" spans="1:8" x14ac:dyDescent="0.2">
      <c r="E15" s="78"/>
      <c r="F15" s="77">
        <f>SUM(F12:F14)</f>
        <v>0</v>
      </c>
      <c r="G15" s="77">
        <f>SUM(G12:G14)</f>
        <v>0</v>
      </c>
      <c r="H15" s="77">
        <f>SUM(H12:H14)</f>
        <v>0</v>
      </c>
    </row>
    <row r="16" spans="1:8" x14ac:dyDescent="0.2">
      <c r="B16" s="76" t="s">
        <v>5258</v>
      </c>
      <c r="H16" s="75" t="e">
        <f>H15/F15</f>
        <v>#DIV/0!</v>
      </c>
    </row>
    <row r="19" spans="1:6" x14ac:dyDescent="0.2">
      <c r="A19" t="s">
        <v>5257</v>
      </c>
    </row>
    <row r="20" spans="1:6" x14ac:dyDescent="0.2">
      <c r="A20" s="86" t="s">
        <v>5256</v>
      </c>
      <c r="B20" s="87"/>
      <c r="C20" s="87"/>
      <c r="D20" s="87"/>
      <c r="E20" s="87"/>
      <c r="F20" s="8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341B-E893-41F6-BE0C-0A6AD748CCCF}">
  <dimension ref="A1:I70"/>
  <sheetViews>
    <sheetView workbookViewId="0">
      <pane ySplit="6" topLeftCell="A34" activePane="bottomLeft" state="frozen"/>
      <selection activeCell="C8671" sqref="C8671"/>
      <selection pane="bottomLeft" activeCell="D22" sqref="D22"/>
    </sheetView>
  </sheetViews>
  <sheetFormatPr defaultRowHeight="15" x14ac:dyDescent="0.25"/>
  <cols>
    <col min="1" max="1" width="12.33203125" style="67" bestFit="1" customWidth="1"/>
    <col min="2" max="2" width="25.44140625" style="67" bestFit="1" customWidth="1"/>
    <col min="3" max="3" width="13.109375" style="67" bestFit="1" customWidth="1"/>
    <col min="4" max="4" width="9.33203125" style="67" bestFit="1" customWidth="1"/>
    <col min="5" max="5" width="10.88671875" style="67" bestFit="1" customWidth="1"/>
    <col min="6" max="6" width="9.77734375" style="67" bestFit="1" customWidth="1"/>
    <col min="7" max="7" width="5.77734375" style="67" bestFit="1" customWidth="1"/>
    <col min="8" max="8" width="10.77734375" style="67" bestFit="1" customWidth="1"/>
    <col min="9" max="9" width="4.6640625" style="67" bestFit="1" customWidth="1"/>
    <col min="10" max="16384" width="8.88671875" style="67"/>
  </cols>
  <sheetData>
    <row r="1" spans="1:9" x14ac:dyDescent="0.25">
      <c r="A1" s="67" t="s">
        <v>232</v>
      </c>
      <c r="D1" s="67" t="s">
        <v>231</v>
      </c>
      <c r="H1" s="67" t="s">
        <v>148</v>
      </c>
      <c r="I1" s="67" t="s">
        <v>230</v>
      </c>
    </row>
    <row r="2" spans="1:9" x14ac:dyDescent="0.25">
      <c r="A2" s="67">
        <v>41.1</v>
      </c>
      <c r="C2" s="67" t="s">
        <v>215</v>
      </c>
      <c r="D2" s="67" t="s">
        <v>229</v>
      </c>
      <c r="H2" s="70"/>
      <c r="I2" s="69"/>
    </row>
    <row r="3" spans="1:9" x14ac:dyDescent="0.25">
      <c r="A3" s="67" t="s">
        <v>228</v>
      </c>
      <c r="C3" s="67" t="s">
        <v>227</v>
      </c>
      <c r="D3" s="67" t="s">
        <v>226</v>
      </c>
      <c r="E3" s="67">
        <v>589</v>
      </c>
      <c r="H3" s="67" t="s">
        <v>225</v>
      </c>
      <c r="I3" s="67">
        <v>1</v>
      </c>
    </row>
    <row r="4" spans="1:9" x14ac:dyDescent="0.25">
      <c r="A4" s="67" t="s">
        <v>5223</v>
      </c>
    </row>
    <row r="5" spans="1:9" x14ac:dyDescent="0.25">
      <c r="A5" s="67" t="s">
        <v>215</v>
      </c>
      <c r="B5" s="67" t="s">
        <v>214</v>
      </c>
      <c r="C5" s="67" t="s">
        <v>213</v>
      </c>
      <c r="D5" s="67" t="s">
        <v>212</v>
      </c>
      <c r="E5" s="67" t="s">
        <v>211</v>
      </c>
      <c r="F5" s="67" t="s">
        <v>210</v>
      </c>
      <c r="G5" s="67" t="s">
        <v>209</v>
      </c>
      <c r="H5" s="67" t="s">
        <v>208</v>
      </c>
      <c r="I5" s="67" t="s">
        <v>207</v>
      </c>
    </row>
    <row r="6" spans="1:9" x14ac:dyDescent="0.25">
      <c r="A6" s="67" t="s">
        <v>206</v>
      </c>
      <c r="B6" s="67" t="s">
        <v>205</v>
      </c>
      <c r="C6" s="67" t="s">
        <v>204</v>
      </c>
      <c r="D6" s="67" t="s">
        <v>203</v>
      </c>
      <c r="E6" s="67" t="s">
        <v>202</v>
      </c>
      <c r="F6" s="67" t="s">
        <v>201</v>
      </c>
      <c r="G6" s="67" t="s">
        <v>200</v>
      </c>
      <c r="H6" s="67" t="s">
        <v>199</v>
      </c>
    </row>
    <row r="7" spans="1:9" x14ac:dyDescent="0.25">
      <c r="A7" s="67" t="s">
        <v>861</v>
      </c>
      <c r="B7" s="67" t="s">
        <v>123</v>
      </c>
      <c r="C7" s="67">
        <v>280</v>
      </c>
      <c r="D7" s="67">
        <v>0</v>
      </c>
      <c r="E7" s="67">
        <v>44401.43</v>
      </c>
      <c r="F7" s="67">
        <v>91942</v>
      </c>
      <c r="H7" s="68">
        <v>42466</v>
      </c>
      <c r="I7" s="67" t="s">
        <v>148</v>
      </c>
    </row>
    <row r="8" spans="1:9" x14ac:dyDescent="0.25">
      <c r="B8" s="67" t="s">
        <v>123</v>
      </c>
      <c r="C8" s="67">
        <v>0</v>
      </c>
      <c r="D8" s="67">
        <v>0</v>
      </c>
      <c r="E8" s="67">
        <v>44401.43</v>
      </c>
      <c r="H8" s="67" t="s">
        <v>146</v>
      </c>
    </row>
    <row r="10" spans="1:9" x14ac:dyDescent="0.25">
      <c r="A10" s="67" t="s">
        <v>860</v>
      </c>
      <c r="B10" s="67" t="s">
        <v>124</v>
      </c>
      <c r="C10" s="67">
        <v>280</v>
      </c>
      <c r="D10" s="67">
        <v>0</v>
      </c>
      <c r="E10" s="67">
        <v>46305.43</v>
      </c>
      <c r="F10" s="67">
        <v>91942</v>
      </c>
      <c r="H10" s="68">
        <v>42478</v>
      </c>
      <c r="I10" s="67" t="s">
        <v>148</v>
      </c>
    </row>
    <row r="11" spans="1:9" x14ac:dyDescent="0.25">
      <c r="B11" s="67" t="s">
        <v>124</v>
      </c>
      <c r="C11" s="67">
        <v>0</v>
      </c>
      <c r="D11" s="67">
        <v>0</v>
      </c>
      <c r="E11" s="67">
        <v>46305.43</v>
      </c>
      <c r="H11" s="67" t="s">
        <v>146</v>
      </c>
    </row>
    <row r="14" spans="1:9" x14ac:dyDescent="0.25">
      <c r="A14" s="67" t="s">
        <v>855</v>
      </c>
      <c r="B14" s="67" t="s">
        <v>125</v>
      </c>
      <c r="C14" s="67">
        <v>280</v>
      </c>
      <c r="D14" s="67">
        <v>0</v>
      </c>
      <c r="E14" s="67">
        <v>44401.43</v>
      </c>
      <c r="F14" s="67">
        <v>915</v>
      </c>
      <c r="H14" s="68">
        <v>42591</v>
      </c>
      <c r="I14" s="67" t="s">
        <v>148</v>
      </c>
    </row>
    <row r="15" spans="1:9" x14ac:dyDescent="0.25">
      <c r="B15" s="67" t="s">
        <v>854</v>
      </c>
      <c r="C15" s="67">
        <v>0</v>
      </c>
      <c r="D15" s="67">
        <v>0</v>
      </c>
      <c r="E15" s="67">
        <v>44401.43</v>
      </c>
      <c r="H15" s="67" t="s">
        <v>146</v>
      </c>
    </row>
    <row r="17" spans="1:9" x14ac:dyDescent="0.25">
      <c r="A17" s="67" t="s">
        <v>853</v>
      </c>
      <c r="B17" s="67" t="s">
        <v>126</v>
      </c>
      <c r="C17" s="67">
        <v>280</v>
      </c>
      <c r="D17" s="67">
        <v>0</v>
      </c>
      <c r="E17" s="67">
        <v>46305.43</v>
      </c>
      <c r="F17" s="67">
        <v>915</v>
      </c>
      <c r="H17" s="68">
        <v>42478</v>
      </c>
      <c r="I17" s="67" t="s">
        <v>148</v>
      </c>
    </row>
    <row r="18" spans="1:9" x14ac:dyDescent="0.25">
      <c r="B18" s="67" t="s">
        <v>839</v>
      </c>
      <c r="C18" s="67">
        <v>0</v>
      </c>
      <c r="D18" s="67">
        <v>0</v>
      </c>
      <c r="E18" s="67">
        <v>46305.43</v>
      </c>
      <c r="H18" s="67" t="s">
        <v>146</v>
      </c>
    </row>
    <row r="20" spans="1:9" x14ac:dyDescent="0.25">
      <c r="A20" s="67" t="s">
        <v>844</v>
      </c>
      <c r="B20" s="67" t="s">
        <v>127</v>
      </c>
      <c r="C20" s="71">
        <v>1400</v>
      </c>
      <c r="D20" s="67">
        <v>0</v>
      </c>
      <c r="E20" s="67">
        <v>44401.43</v>
      </c>
      <c r="F20" s="67">
        <v>913</v>
      </c>
      <c r="H20" s="68">
        <v>42591</v>
      </c>
      <c r="I20" s="67" t="s">
        <v>148</v>
      </c>
    </row>
    <row r="21" spans="1:9" x14ac:dyDescent="0.25">
      <c r="B21" s="67" t="s">
        <v>127</v>
      </c>
      <c r="C21" s="67">
        <v>0</v>
      </c>
      <c r="D21" s="67">
        <v>0</v>
      </c>
      <c r="E21" s="67">
        <v>44401.43</v>
      </c>
      <c r="H21" s="67" t="s">
        <v>146</v>
      </c>
    </row>
    <row r="23" spans="1:9" x14ac:dyDescent="0.25">
      <c r="A23" s="67" t="s">
        <v>843</v>
      </c>
      <c r="B23" s="67" t="s">
        <v>128</v>
      </c>
      <c r="C23" s="71">
        <v>1400</v>
      </c>
      <c r="D23" s="67">
        <v>0</v>
      </c>
      <c r="E23" s="67">
        <v>46305.43</v>
      </c>
      <c r="F23" s="67">
        <v>913</v>
      </c>
      <c r="H23" s="68">
        <v>42478</v>
      </c>
      <c r="I23" s="67" t="s">
        <v>148</v>
      </c>
    </row>
    <row r="24" spans="1:9" x14ac:dyDescent="0.25">
      <c r="B24" s="67" t="s">
        <v>128</v>
      </c>
      <c r="C24" s="67">
        <v>0</v>
      </c>
      <c r="D24" s="67">
        <v>0</v>
      </c>
      <c r="E24" s="67">
        <v>46305.43</v>
      </c>
      <c r="H24" s="67" t="s">
        <v>146</v>
      </c>
    </row>
    <row r="25" spans="1:9" x14ac:dyDescent="0.25">
      <c r="A25" s="67" t="s">
        <v>835</v>
      </c>
      <c r="B25" s="67" t="s">
        <v>129</v>
      </c>
      <c r="C25" s="67">
        <v>280</v>
      </c>
      <c r="D25" s="67">
        <v>0</v>
      </c>
      <c r="E25" s="67">
        <v>47401.45</v>
      </c>
      <c r="F25" s="67">
        <v>915</v>
      </c>
      <c r="H25" s="68">
        <v>41694</v>
      </c>
      <c r="I25" s="67" t="s">
        <v>148</v>
      </c>
    </row>
    <row r="26" spans="1:9" x14ac:dyDescent="0.25">
      <c r="B26" s="67" t="s">
        <v>834</v>
      </c>
      <c r="C26" s="67">
        <v>0</v>
      </c>
      <c r="D26" s="67">
        <v>0</v>
      </c>
      <c r="E26" s="67">
        <v>47401.45</v>
      </c>
      <c r="H26" s="67" t="s">
        <v>146</v>
      </c>
    </row>
    <row r="28" spans="1:9" x14ac:dyDescent="0.25">
      <c r="A28" s="67" t="s">
        <v>833</v>
      </c>
      <c r="B28" s="67" t="s">
        <v>130</v>
      </c>
      <c r="C28" s="67">
        <v>280</v>
      </c>
      <c r="D28" s="67">
        <v>0</v>
      </c>
      <c r="E28" s="67">
        <v>47401.45</v>
      </c>
      <c r="F28" s="67">
        <v>915</v>
      </c>
      <c r="H28" s="68">
        <v>40777</v>
      </c>
      <c r="I28" s="67" t="s">
        <v>148</v>
      </c>
    </row>
    <row r="29" spans="1:9" x14ac:dyDescent="0.25">
      <c r="B29" s="67" t="s">
        <v>130</v>
      </c>
      <c r="C29" s="67">
        <v>0</v>
      </c>
      <c r="D29" s="67">
        <v>0</v>
      </c>
      <c r="E29" s="67">
        <v>47401.45</v>
      </c>
      <c r="H29" s="67" t="s">
        <v>146</v>
      </c>
    </row>
    <row r="31" spans="1:9" x14ac:dyDescent="0.25">
      <c r="A31" s="67" t="s">
        <v>832</v>
      </c>
      <c r="B31" s="67" t="s">
        <v>131</v>
      </c>
      <c r="C31" s="67" t="s">
        <v>831</v>
      </c>
      <c r="D31" s="67">
        <v>0</v>
      </c>
      <c r="E31" s="67">
        <v>47401.45</v>
      </c>
      <c r="F31" s="67">
        <v>915</v>
      </c>
      <c r="H31" s="68">
        <v>40777</v>
      </c>
      <c r="I31" s="67" t="s">
        <v>148</v>
      </c>
    </row>
    <row r="32" spans="1:9" x14ac:dyDescent="0.25">
      <c r="B32" s="67" t="s">
        <v>830</v>
      </c>
      <c r="C32" s="67">
        <v>0</v>
      </c>
      <c r="D32" s="67">
        <v>0</v>
      </c>
      <c r="E32" s="67">
        <v>47401.45</v>
      </c>
      <c r="H32" s="67" t="s">
        <v>146</v>
      </c>
    </row>
    <row r="34" spans="1:9" x14ac:dyDescent="0.25">
      <c r="A34" s="67" t="s">
        <v>829</v>
      </c>
      <c r="B34" s="67" t="s">
        <v>132</v>
      </c>
      <c r="C34" s="67">
        <v>800</v>
      </c>
      <c r="D34" s="67">
        <v>0</v>
      </c>
      <c r="E34" s="67">
        <v>48201.45</v>
      </c>
      <c r="F34" s="67">
        <v>906</v>
      </c>
      <c r="H34" s="68">
        <v>42466</v>
      </c>
      <c r="I34" s="67" t="s">
        <v>148</v>
      </c>
    </row>
    <row r="35" spans="1:9" x14ac:dyDescent="0.25">
      <c r="B35" s="67" t="s">
        <v>132</v>
      </c>
      <c r="C35" s="67">
        <v>0</v>
      </c>
      <c r="D35" s="67">
        <v>0</v>
      </c>
      <c r="E35" s="67">
        <v>48201.45</v>
      </c>
      <c r="H35" s="67" t="s">
        <v>146</v>
      </c>
    </row>
    <row r="37" spans="1:9" x14ac:dyDescent="0.25">
      <c r="A37" s="67" t="s">
        <v>828</v>
      </c>
      <c r="B37" s="67" t="s">
        <v>133</v>
      </c>
      <c r="C37" s="67">
        <v>800</v>
      </c>
      <c r="D37" s="67">
        <v>0</v>
      </c>
      <c r="E37" s="67">
        <v>48531.45</v>
      </c>
      <c r="F37" s="67">
        <v>905</v>
      </c>
      <c r="H37" s="68">
        <v>42478</v>
      </c>
      <c r="I37" s="67" t="s">
        <v>148</v>
      </c>
    </row>
    <row r="38" spans="1:9" x14ac:dyDescent="0.25">
      <c r="B38" s="67" t="s">
        <v>133</v>
      </c>
      <c r="C38" s="67">
        <v>0</v>
      </c>
      <c r="D38" s="67">
        <v>0</v>
      </c>
      <c r="E38" s="67">
        <v>48531.45</v>
      </c>
      <c r="H38" s="67" t="s">
        <v>146</v>
      </c>
    </row>
    <row r="40" spans="1:9" x14ac:dyDescent="0.25">
      <c r="A40" s="67" t="s">
        <v>827</v>
      </c>
      <c r="B40" s="67" t="s">
        <v>134</v>
      </c>
      <c r="C40" s="67">
        <v>800</v>
      </c>
      <c r="D40" s="67">
        <v>0</v>
      </c>
      <c r="E40" s="67">
        <v>47402.45</v>
      </c>
      <c r="F40" s="67">
        <v>905</v>
      </c>
      <c r="H40" s="68">
        <v>41555</v>
      </c>
      <c r="I40" s="67" t="s">
        <v>148</v>
      </c>
    </row>
    <row r="41" spans="1:9" x14ac:dyDescent="0.25">
      <c r="B41" s="67" t="s">
        <v>134</v>
      </c>
      <c r="C41" s="67">
        <v>0</v>
      </c>
      <c r="D41" s="67">
        <v>0</v>
      </c>
      <c r="E41" s="67">
        <v>47402.45</v>
      </c>
      <c r="H41" s="67" t="s">
        <v>146</v>
      </c>
    </row>
    <row r="43" spans="1:9" x14ac:dyDescent="0.25">
      <c r="A43" s="67" t="s">
        <v>826</v>
      </c>
      <c r="B43" s="67" t="s">
        <v>135</v>
      </c>
      <c r="C43" s="67">
        <v>800</v>
      </c>
      <c r="D43" s="67">
        <v>0</v>
      </c>
      <c r="E43" s="67">
        <v>47402.45</v>
      </c>
      <c r="F43" s="67">
        <v>905</v>
      </c>
      <c r="H43" s="68">
        <v>42466</v>
      </c>
      <c r="I43" s="67" t="s">
        <v>148</v>
      </c>
    </row>
    <row r="44" spans="1:9" x14ac:dyDescent="0.25">
      <c r="B44" s="67" t="s">
        <v>825</v>
      </c>
      <c r="C44" s="67">
        <v>0</v>
      </c>
      <c r="D44" s="67">
        <v>0</v>
      </c>
      <c r="E44" s="67">
        <v>47402.45</v>
      </c>
      <c r="H44" s="67" t="s">
        <v>146</v>
      </c>
    </row>
    <row r="46" spans="1:9" x14ac:dyDescent="0.25">
      <c r="A46" s="67" t="s">
        <v>824</v>
      </c>
      <c r="B46" s="67" t="s">
        <v>136</v>
      </c>
      <c r="C46" s="67">
        <v>800</v>
      </c>
      <c r="D46" s="67">
        <v>0</v>
      </c>
      <c r="E46" s="67">
        <v>48501.45</v>
      </c>
      <c r="F46" s="67">
        <v>905</v>
      </c>
      <c r="H46" s="68">
        <v>42478</v>
      </c>
      <c r="I46" s="67" t="s">
        <v>148</v>
      </c>
    </row>
    <row r="47" spans="1:9" x14ac:dyDescent="0.25">
      <c r="B47" s="67" t="s">
        <v>811</v>
      </c>
      <c r="C47" s="67">
        <v>0</v>
      </c>
      <c r="D47" s="67">
        <v>0</v>
      </c>
      <c r="E47" s="67">
        <v>48501.45</v>
      </c>
      <c r="H47" s="67" t="s">
        <v>146</v>
      </c>
    </row>
    <row r="49" spans="1:9" x14ac:dyDescent="0.25">
      <c r="A49" s="67" t="s">
        <v>823</v>
      </c>
      <c r="B49" s="67" t="s">
        <v>5254</v>
      </c>
      <c r="C49" s="67">
        <v>280</v>
      </c>
      <c r="D49" s="67">
        <v>0</v>
      </c>
      <c r="E49" s="67">
        <v>47401.45</v>
      </c>
      <c r="F49" s="67">
        <v>915</v>
      </c>
      <c r="H49" s="68">
        <v>44509</v>
      </c>
      <c r="I49" s="67" t="s">
        <v>148</v>
      </c>
    </row>
    <row r="50" spans="1:9" x14ac:dyDescent="0.25">
      <c r="B50" s="67" t="s">
        <v>821</v>
      </c>
      <c r="C50" s="67">
        <v>0</v>
      </c>
      <c r="D50" s="67">
        <v>0</v>
      </c>
      <c r="E50" s="67">
        <v>47401.45</v>
      </c>
      <c r="H50" s="67" t="s">
        <v>146</v>
      </c>
    </row>
    <row r="52" spans="1:9" x14ac:dyDescent="0.25">
      <c r="A52" s="67" t="s">
        <v>820</v>
      </c>
      <c r="B52" s="67" t="s">
        <v>138</v>
      </c>
      <c r="C52" s="67">
        <v>800</v>
      </c>
      <c r="D52" s="67">
        <v>0</v>
      </c>
      <c r="E52" s="67">
        <v>47301.45</v>
      </c>
      <c r="F52" s="67">
        <v>905</v>
      </c>
      <c r="H52" s="68">
        <v>42466</v>
      </c>
      <c r="I52" s="67" t="s">
        <v>148</v>
      </c>
    </row>
    <row r="53" spans="1:9" x14ac:dyDescent="0.25">
      <c r="B53" s="67" t="s">
        <v>819</v>
      </c>
      <c r="C53" s="67">
        <v>0</v>
      </c>
      <c r="D53" s="67">
        <v>0</v>
      </c>
      <c r="E53" s="67">
        <v>47301.45</v>
      </c>
      <c r="H53" s="67" t="s">
        <v>146</v>
      </c>
    </row>
    <row r="55" spans="1:9" x14ac:dyDescent="0.25">
      <c r="A55" s="67" t="s">
        <v>818</v>
      </c>
      <c r="B55" s="67" t="s">
        <v>139</v>
      </c>
      <c r="C55" s="67">
        <v>800</v>
      </c>
      <c r="D55" s="67">
        <v>0</v>
      </c>
      <c r="E55" s="67">
        <v>48521.45</v>
      </c>
      <c r="F55" s="67">
        <v>905</v>
      </c>
      <c r="H55" s="68">
        <v>42478</v>
      </c>
      <c r="I55" s="67" t="s">
        <v>148</v>
      </c>
    </row>
    <row r="56" spans="1:9" x14ac:dyDescent="0.25">
      <c r="B56" s="67" t="s">
        <v>139</v>
      </c>
      <c r="C56" s="67">
        <v>0</v>
      </c>
      <c r="D56" s="67">
        <v>0</v>
      </c>
      <c r="E56" s="67">
        <v>48521.45</v>
      </c>
      <c r="H56" s="67" t="s">
        <v>146</v>
      </c>
    </row>
    <row r="58" spans="1:9" x14ac:dyDescent="0.25">
      <c r="A58" s="67" t="s">
        <v>817</v>
      </c>
      <c r="B58" s="67" t="s">
        <v>140</v>
      </c>
      <c r="C58" s="67">
        <v>280</v>
      </c>
      <c r="D58" s="67">
        <v>0</v>
      </c>
      <c r="E58" s="67">
        <v>47401.45</v>
      </c>
      <c r="F58" s="67">
        <v>915</v>
      </c>
      <c r="H58" s="68">
        <v>40777</v>
      </c>
      <c r="I58" s="67" t="s">
        <v>148</v>
      </c>
    </row>
    <row r="59" spans="1:9" x14ac:dyDescent="0.25">
      <c r="B59" s="67" t="s">
        <v>140</v>
      </c>
      <c r="C59" s="67">
        <v>0</v>
      </c>
      <c r="D59" s="67">
        <v>0</v>
      </c>
      <c r="E59" s="67">
        <v>47401.45</v>
      </c>
      <c r="H59" s="67" t="s">
        <v>146</v>
      </c>
    </row>
    <row r="61" spans="1:9" x14ac:dyDescent="0.25">
      <c r="A61" s="67" t="s">
        <v>816</v>
      </c>
      <c r="B61" s="67" t="s">
        <v>141</v>
      </c>
      <c r="C61" s="67">
        <v>280</v>
      </c>
      <c r="D61" s="67">
        <v>0</v>
      </c>
      <c r="E61" s="67">
        <v>47401.45</v>
      </c>
      <c r="F61" s="67">
        <v>915</v>
      </c>
      <c r="H61" s="68">
        <v>40777</v>
      </c>
      <c r="I61" s="67" t="s">
        <v>148</v>
      </c>
    </row>
    <row r="62" spans="1:9" x14ac:dyDescent="0.25">
      <c r="B62" s="67" t="s">
        <v>141</v>
      </c>
      <c r="C62" s="67">
        <v>0</v>
      </c>
      <c r="D62" s="67">
        <v>0</v>
      </c>
      <c r="E62" s="67">
        <v>47401.45</v>
      </c>
      <c r="H62" s="67" t="s">
        <v>146</v>
      </c>
    </row>
    <row r="64" spans="1:9" x14ac:dyDescent="0.25">
      <c r="A64" s="67" t="s">
        <v>815</v>
      </c>
      <c r="B64" s="67" t="s">
        <v>142</v>
      </c>
      <c r="C64" s="67">
        <v>280</v>
      </c>
      <c r="D64" s="67">
        <v>0</v>
      </c>
      <c r="E64" s="67">
        <v>47401.45</v>
      </c>
      <c r="F64" s="67">
        <v>915</v>
      </c>
      <c r="H64" s="68">
        <v>40777</v>
      </c>
      <c r="I64" s="67" t="s">
        <v>148</v>
      </c>
    </row>
    <row r="65" spans="1:8" x14ac:dyDescent="0.25">
      <c r="B65" s="67" t="s">
        <v>142</v>
      </c>
      <c r="C65" s="67">
        <v>0</v>
      </c>
      <c r="D65" s="67">
        <v>0</v>
      </c>
      <c r="E65" s="67">
        <v>47401.45</v>
      </c>
      <c r="H65" s="67" t="s">
        <v>146</v>
      </c>
    </row>
    <row r="66" spans="1:8" x14ac:dyDescent="0.25">
      <c r="A66" s="67" t="s">
        <v>5253</v>
      </c>
      <c r="B66" s="67" t="s">
        <v>5252</v>
      </c>
      <c r="C66" s="71">
        <v>1400</v>
      </c>
      <c r="D66" s="67">
        <v>0</v>
      </c>
      <c r="E66" s="67">
        <v>0</v>
      </c>
      <c r="F66" s="67">
        <v>910</v>
      </c>
      <c r="H66" s="68">
        <v>44957</v>
      </c>
    </row>
    <row r="67" spans="1:8" x14ac:dyDescent="0.25">
      <c r="A67" s="67" t="s">
        <v>5251</v>
      </c>
      <c r="B67" s="67" t="s">
        <v>5250</v>
      </c>
      <c r="C67" s="71">
        <v>1400</v>
      </c>
      <c r="D67" s="67">
        <v>0</v>
      </c>
      <c r="E67" s="67">
        <v>0</v>
      </c>
      <c r="F67" s="67">
        <v>910</v>
      </c>
      <c r="H67" s="68">
        <v>44957</v>
      </c>
    </row>
    <row r="68" spans="1:8" x14ac:dyDescent="0.25">
      <c r="A68" s="67" t="s">
        <v>5249</v>
      </c>
      <c r="B68" s="67" t="s">
        <v>5248</v>
      </c>
      <c r="C68" s="67">
        <v>800</v>
      </c>
      <c r="D68" s="67">
        <v>0</v>
      </c>
      <c r="E68" s="67">
        <v>0</v>
      </c>
      <c r="F68" s="67">
        <v>920</v>
      </c>
      <c r="H68" s="68">
        <v>44957</v>
      </c>
    </row>
    <row r="69" spans="1:8" x14ac:dyDescent="0.25">
      <c r="A69" s="67" t="s">
        <v>5247</v>
      </c>
      <c r="B69" s="67" t="s">
        <v>5246</v>
      </c>
      <c r="C69" s="67">
        <v>800</v>
      </c>
      <c r="D69" s="67">
        <v>0</v>
      </c>
      <c r="E69" s="67">
        <v>0</v>
      </c>
      <c r="F69" s="67">
        <v>920</v>
      </c>
      <c r="H69" s="68">
        <v>44957</v>
      </c>
    </row>
    <row r="70" spans="1:8" x14ac:dyDescent="0.25">
      <c r="A70" s="67" t="s">
        <v>5245</v>
      </c>
      <c r="B70" s="67" t="s">
        <v>5244</v>
      </c>
      <c r="C70" s="67">
        <v>800</v>
      </c>
      <c r="D70" s="67">
        <v>0</v>
      </c>
      <c r="E70" s="67">
        <v>0</v>
      </c>
      <c r="F70" s="67">
        <v>905</v>
      </c>
      <c r="H70" s="68">
        <v>44957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purl.org/dc/terms/"/>
    <ds:schemaRef ds:uri="http://schemas.microsoft.com/office/2006/documentManagement/types"/>
    <ds:schemaRef ds:uri="http://schemas.microsoft.com/sharepoint/v3"/>
    <ds:schemaRef ds:uri="http://purl.org/dc/elements/1.1/"/>
    <ds:schemaRef ds:uri="http://schemas.microsoft.com/office/2006/metadata/properties"/>
    <ds:schemaRef ds:uri="0059ae26-9413-4d21-be36-8f7add82e95e"/>
    <ds:schemaRef ds:uri="http://schemas.microsoft.com/office/infopath/2007/PartnerControls"/>
    <ds:schemaRef ds:uri="http://schemas.openxmlformats.org/package/2006/metadata/core-properties"/>
    <ds:schemaRef ds:uri="1fc1012c-1548-4228-b95d-9aad4dba54e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Top 50 List</vt:lpstr>
      <vt:lpstr>AB 1045 Form</vt:lpstr>
      <vt:lpstr>Chargemaster</vt:lpstr>
      <vt:lpstr>Chargemaster OP</vt:lpstr>
      <vt:lpstr>Change calculation</vt:lpstr>
      <vt:lpstr>Sheet3</vt:lpstr>
      <vt:lpstr>Chargemaster!PHZL040</vt:lpstr>
      <vt:lpstr>'Chargemaster OP'!PHZL040</vt:lpstr>
      <vt:lpstr>Sheet3!PHZL040</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Lopez, Alma@HCAI</cp:lastModifiedBy>
  <cp:lastPrinted>2009-05-27T18:50:19Z</cp:lastPrinted>
  <dcterms:created xsi:type="dcterms:W3CDTF">2007-03-06T21:45:14Z</dcterms:created>
  <dcterms:modified xsi:type="dcterms:W3CDTF">2024-09-17T18:17:27Z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