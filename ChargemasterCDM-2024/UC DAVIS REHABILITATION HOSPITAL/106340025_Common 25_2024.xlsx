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M:\rhf4093-ucdavis\Depts\Finance\HCAI Financial Data Report - CA\"/>
    </mc:Choice>
  </mc:AlternateContent>
  <xr:revisionPtr revIDLastSave="0" documentId="13_ncr:1_{2667B906-8C80-432E-B8F5-1EA1C19B4DD5}" xr6:coauthVersionLast="47" xr6:coauthVersionMax="47" xr10:uidLastSave="{00000000-0000-0000-0000-000000000000}"/>
  <bookViews>
    <workbookView xWindow="-110" yWindow="-110" windowWidth="19420" windowHeight="1030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64" i="5" l="1"/>
  <c r="C63" i="5"/>
  <c r="C35" i="5" l="1"/>
  <c r="C34" i="5"/>
  <c r="C31" i="5"/>
  <c r="C27" i="5"/>
  <c r="C28" i="5"/>
  <c r="C20" i="5" l="1"/>
  <c r="C14" i="5"/>
  <c r="C32" i="5"/>
  <c r="C19" i="5"/>
  <c r="C21" i="5"/>
  <c r="C24" i="5"/>
  <c r="C23" i="5"/>
  <c r="C25" i="5"/>
  <c r="C22" i="5"/>
  <c r="C18" i="5"/>
  <c r="C16" i="5"/>
  <c r="C17" i="5"/>
  <c r="C15" i="5"/>
  <c r="C13" i="5"/>
  <c r="C73" i="5" l="1"/>
</calcChain>
</file>

<file path=xl/sharedStrings.xml><?xml version="1.0" encoding="utf-8"?>
<sst xmlns="http://schemas.openxmlformats.org/spreadsheetml/2006/main" count="192" uniqueCount="129">
  <si>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</si>
  <si>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</si>
  <si>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</si>
  <si>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</si>
  <si>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</si>
  <si>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</si>
  <si>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</si>
  <si>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</si>
  <si>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</si>
  <si>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</si>
  <si>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</si>
  <si>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</si>
  <si>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</si>
  <si>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</si>
  <si>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</si>
  <si>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</si>
  <si>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</si>
  <si>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</si>
  <si>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</si>
  <si>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</si>
  <si>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</si>
  <si>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</si>
  <si>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</si>
  <si>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</si>
  <si>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</si>
  <si>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</si>
  <si>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</si>
  <si>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</si>
  <si>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</si>
  <si>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</si>
  <si>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</si>
  <si>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</si>
  <si>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</si>
  <si>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</si>
  <si>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</si>
  <si>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</si>
  <si>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</si>
  <si>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</si>
  <si>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</si>
  <si>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</si>
  <si>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</si>
  <si>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</si>
  <si>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</si>
  <si>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</si>
  <si>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</si>
  <si>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</si>
  <si>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</si>
  <si>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</si>
  <si>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</si>
  <si>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</si>
  <si>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</si>
  <si>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</si>
  <si>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</si>
  <si>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</si>
  <si>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</si>
  <si>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</si>
  <si>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</si>
  <si>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</si>
  <si>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</si>
  <si>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</si>
  <si>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</si>
  <si>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</si>
  <si>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</si>
  <si>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</si>
  <si>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</si>
  <si>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</si>
  <si>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</si>
  <si>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</si>
  <si>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</si>
  <si>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</si>
  <si>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</si>
  <si>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</si>
  <si>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</si>
  <si>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</si>
  <si>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</si>
  <si>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</si>
  <si>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</si>
  <si>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</si>
  <si>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</si>
  <si>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</si>
  <si>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</si>
  <si>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</si>
  <si>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</si>
  <si>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</si>
  <si>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</si>
  <si>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</si>
  <si>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</si>
  <si>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</si>
  <si>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</si>
  <si>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</si>
  <si>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</si>
  <si>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</si>
  <si>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</si>
  <si>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</si>
  <si>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</si>
  <si>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</si>
  <si>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</si>
  <si>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</si>
  <si>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</si>
  <si>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</si>
  <si>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</si>
  <si>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</si>
  <si>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</si>
  <si>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</si>
  <si>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</si>
  <si>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</si>
  <si>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</si>
  <si>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</si>
  <si>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</si>
  <si>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</si>
  <si>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</si>
  <si>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</si>
  <si>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</si>
  <si>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</si>
  <si>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</si>
  <si>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</si>
  <si>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</si>
  <si>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</si>
  <si>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</si>
  <si>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</si>
  <si>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</si>
  <si>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</si>
  <si>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Magnesium</t>
  </si>
  <si>
    <t>Sodium;Urine</t>
  </si>
  <si>
    <t>Hospital Name:  UC Davis Rehabilitation Hospital</t>
  </si>
  <si>
    <t>HCAI Facility No: 106340025</t>
  </si>
  <si>
    <t>Culture, Bacterial; Quant colony CNT, Urine</t>
  </si>
  <si>
    <t>Testosterone; total</t>
  </si>
  <si>
    <t>Effective Date of Charges: 6/1/24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</si>
</sst>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4">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0" borderId="14" xfId="0" applyFont="1" applyBorder="1" applyAlignment="1">
      <alignment horizontal="left" indent="1"/>
    </xf>
    <xf numFmtId="0" fontId="1" fillId="0" borderId="13" xfId="0" applyFont="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5" x14ac:dyDescent="0.35"/>
  <cols>
    <col min="1" max="1" width="6.4609375" style="11" customWidth="1"/>
    <col min="2" max="2" width="44.3046875" customWidth="1"/>
    <col min="3" max="3" width="26" bestFit="1" customWidth="1"/>
  </cols>
  <sheetData>
    <row r="1" spans="1:3" s="11" customFormat="1" x14ac:dyDescent="0.35">
      <c r="A1" s="13" t="s">
        <v>0</v>
      </c>
      <c r="B1" s="13" t="s">
        <v>1</v>
      </c>
      <c r="C1" s="13" t="s">
        <v>2</v>
      </c>
    </row>
    <row r="2" spans="1:3" x14ac:dyDescent="0.35">
      <c r="A2" s="10">
        <v>210</v>
      </c>
      <c r="B2" s="2" t="s">
        <v>3</v>
      </c>
      <c r="C2" s="2" t="s">
        <v>4</v>
      </c>
    </row>
    <row r="3" spans="1:3" x14ac:dyDescent="0.35">
      <c r="A3" s="12">
        <v>201</v>
      </c>
      <c r="B3" s="2" t="s">
        <v>5</v>
      </c>
      <c r="C3" s="2" t="s">
        <v>6</v>
      </c>
    </row>
    <row r="4" spans="1:3" x14ac:dyDescent="0.35">
      <c r="A4" s="10">
        <v>167</v>
      </c>
      <c r="B4" s="1" t="s">
        <v>7</v>
      </c>
      <c r="C4" s="1" t="s">
        <v>8</v>
      </c>
    </row>
    <row r="5" spans="1:3" x14ac:dyDescent="0.35">
      <c r="A5" s="10">
        <v>148</v>
      </c>
      <c r="B5" s="1" t="s">
        <v>9</v>
      </c>
      <c r="C5" s="1" t="s">
        <v>8</v>
      </c>
    </row>
    <row r="6" spans="1:3" x14ac:dyDescent="0.35">
      <c r="A6" s="10">
        <v>142</v>
      </c>
      <c r="B6" s="1" t="s">
        <v>10</v>
      </c>
      <c r="C6" s="1" t="s">
        <v>8</v>
      </c>
    </row>
    <row r="7" spans="1:3" x14ac:dyDescent="0.35">
      <c r="A7" s="10">
        <v>134</v>
      </c>
      <c r="B7" s="2" t="s">
        <v>11</v>
      </c>
      <c r="C7" s="2" t="s">
        <v>4</v>
      </c>
    </row>
    <row r="8" spans="1:3" x14ac:dyDescent="0.35">
      <c r="A8" s="10">
        <v>127</v>
      </c>
      <c r="B8" s="3" t="s">
        <v>12</v>
      </c>
      <c r="C8" s="1" t="s">
        <v>8</v>
      </c>
    </row>
    <row r="9" spans="1:3" x14ac:dyDescent="0.35">
      <c r="A9" s="10">
        <v>127</v>
      </c>
      <c r="B9" s="1" t="s">
        <v>13</v>
      </c>
      <c r="C9" s="1" t="s">
        <v>14</v>
      </c>
    </row>
    <row r="10" spans="1:3" x14ac:dyDescent="0.35">
      <c r="A10" s="10">
        <v>121</v>
      </c>
      <c r="B10" s="2" t="s">
        <v>15</v>
      </c>
      <c r="C10" s="2" t="s">
        <v>16</v>
      </c>
    </row>
    <row r="11" spans="1:3" x14ac:dyDescent="0.35">
      <c r="A11" s="10">
        <v>119</v>
      </c>
      <c r="B11" s="2" t="s">
        <v>17</v>
      </c>
      <c r="C11" s="2" t="s">
        <v>18</v>
      </c>
    </row>
    <row r="12" spans="1:3" x14ac:dyDescent="0.35">
      <c r="A12" s="10">
        <v>116</v>
      </c>
      <c r="B12" s="2" t="s">
        <v>19</v>
      </c>
      <c r="C12" s="2" t="s">
        <v>20</v>
      </c>
    </row>
    <row r="13" spans="1:3" x14ac:dyDescent="0.35">
      <c r="A13" s="10">
        <v>114</v>
      </c>
      <c r="B13" s="1" t="s">
        <v>21</v>
      </c>
      <c r="C13" s="1" t="s">
        <v>8</v>
      </c>
    </row>
    <row r="14" spans="1:3" x14ac:dyDescent="0.35">
      <c r="A14" s="10">
        <v>103</v>
      </c>
      <c r="B14" s="1" t="s">
        <v>22</v>
      </c>
      <c r="C14" s="2" t="s">
        <v>18</v>
      </c>
    </row>
    <row r="15" spans="1:3" x14ac:dyDescent="0.35">
      <c r="A15" s="10">
        <v>96</v>
      </c>
      <c r="B15" s="1" t="s">
        <v>23</v>
      </c>
      <c r="C15" s="2" t="s">
        <v>24</v>
      </c>
    </row>
    <row r="16" spans="1:3" x14ac:dyDescent="0.35">
      <c r="A16" s="10">
        <v>96</v>
      </c>
      <c r="B16" s="2" t="s">
        <v>25</v>
      </c>
      <c r="C16" s="2" t="s">
        <v>18</v>
      </c>
    </row>
    <row r="17" spans="1:3" x14ac:dyDescent="0.35">
      <c r="A17" s="10">
        <v>90</v>
      </c>
      <c r="B17" s="3" t="s">
        <v>26</v>
      </c>
      <c r="C17" s="2" t="s">
        <v>18</v>
      </c>
    </row>
    <row r="18" spans="1:3" x14ac:dyDescent="0.35">
      <c r="A18" s="10">
        <v>89</v>
      </c>
      <c r="B18" s="2" t="s">
        <v>27</v>
      </c>
      <c r="C18" s="2" t="s">
        <v>18</v>
      </c>
    </row>
    <row r="19" spans="1:3" x14ac:dyDescent="0.35">
      <c r="A19" s="10">
        <v>80</v>
      </c>
      <c r="B19" s="2" t="s">
        <v>28</v>
      </c>
      <c r="C19" s="2" t="s">
        <v>18</v>
      </c>
    </row>
    <row r="20" spans="1:3" x14ac:dyDescent="0.35">
      <c r="A20" s="10">
        <v>79</v>
      </c>
      <c r="B20" s="1" t="s">
        <v>29</v>
      </c>
      <c r="C20" s="1" t="s">
        <v>8</v>
      </c>
    </row>
    <row r="21" spans="1:3" x14ac:dyDescent="0.35">
      <c r="A21" s="12">
        <v>71</v>
      </c>
      <c r="B21" s="5" t="s">
        <v>30</v>
      </c>
      <c r="C21" s="2" t="s">
        <v>18</v>
      </c>
    </row>
    <row r="22" spans="1:3" x14ac:dyDescent="0.35">
      <c r="A22" s="10">
        <v>69</v>
      </c>
      <c r="B22" s="1" t="s">
        <v>31</v>
      </c>
      <c r="C22" s="1" t="s">
        <v>8</v>
      </c>
    </row>
    <row r="23" spans="1:3" x14ac:dyDescent="0.35">
      <c r="A23" s="10">
        <v>69</v>
      </c>
      <c r="B23" s="2" t="s">
        <v>32</v>
      </c>
      <c r="C23" s="2" t="s">
        <v>16</v>
      </c>
    </row>
    <row r="24" spans="1:3" x14ac:dyDescent="0.35">
      <c r="A24" s="10">
        <v>67</v>
      </c>
      <c r="B24" s="2" t="s">
        <v>33</v>
      </c>
      <c r="C24" s="2" t="s">
        <v>34</v>
      </c>
    </row>
    <row r="25" spans="1:3" x14ac:dyDescent="0.35">
      <c r="A25" s="10">
        <v>65</v>
      </c>
      <c r="B25" s="2" t="s">
        <v>35</v>
      </c>
      <c r="C25" s="2" t="s">
        <v>6</v>
      </c>
    </row>
    <row r="26" spans="1:3" x14ac:dyDescent="0.35">
      <c r="A26" s="12">
        <v>65</v>
      </c>
      <c r="B26" s="1" t="s">
        <v>36</v>
      </c>
      <c r="C26" s="1" t="s">
        <v>14</v>
      </c>
    </row>
    <row r="27" spans="1:3" x14ac:dyDescent="0.35">
      <c r="A27" s="10">
        <v>64</v>
      </c>
      <c r="B27" s="2" t="s">
        <v>37</v>
      </c>
      <c r="C27" s="2" t="s">
        <v>18</v>
      </c>
    </row>
    <row r="28" spans="1:3" x14ac:dyDescent="0.35">
      <c r="A28" s="10">
        <v>62</v>
      </c>
      <c r="B28" s="1" t="s">
        <v>38</v>
      </c>
      <c r="C28" s="1" t="s">
        <v>39</v>
      </c>
    </row>
    <row r="29" spans="1:3" x14ac:dyDescent="0.35">
      <c r="A29" s="10">
        <v>62</v>
      </c>
      <c r="B29" s="2" t="s">
        <v>40</v>
      </c>
      <c r="C29" s="2" t="s">
        <v>18</v>
      </c>
    </row>
    <row r="30" spans="1:3" x14ac:dyDescent="0.35">
      <c r="A30" s="10">
        <v>59</v>
      </c>
      <c r="B30" s="2" t="s">
        <v>41</v>
      </c>
      <c r="C30" s="1" t="s">
        <v>8</v>
      </c>
    </row>
    <row r="31" spans="1:3" x14ac:dyDescent="0.35">
      <c r="A31" s="10">
        <v>59</v>
      </c>
      <c r="B31" s="4" t="s">
        <v>42</v>
      </c>
      <c r="C31" s="1" t="s">
        <v>8</v>
      </c>
    </row>
    <row r="32" spans="1:3" x14ac:dyDescent="0.35">
      <c r="A32" s="10">
        <v>56</v>
      </c>
      <c r="B32" s="2" t="s">
        <v>43</v>
      </c>
      <c r="C32" s="1" t="s">
        <v>8</v>
      </c>
    </row>
    <row r="33" spans="1:3" x14ac:dyDescent="0.35">
      <c r="A33" s="10">
        <v>51</v>
      </c>
      <c r="B33" s="1" t="s">
        <v>44</v>
      </c>
      <c r="C33" s="2" t="s">
        <v>20</v>
      </c>
    </row>
    <row r="34" spans="1:3" x14ac:dyDescent="0.35">
      <c r="A34" s="10">
        <v>50</v>
      </c>
      <c r="B34" s="1" t="s">
        <v>45</v>
      </c>
      <c r="C34" s="2" t="s">
        <v>46</v>
      </c>
    </row>
    <row r="35" spans="1:3" x14ac:dyDescent="0.35">
      <c r="A35" s="10">
        <v>50</v>
      </c>
      <c r="B35" s="3" t="s">
        <v>47</v>
      </c>
      <c r="C35" s="2" t="s">
        <v>18</v>
      </c>
    </row>
    <row r="36" spans="1:3" x14ac:dyDescent="0.35">
      <c r="A36" s="10">
        <v>49</v>
      </c>
      <c r="B36" s="1" t="s">
        <v>48</v>
      </c>
      <c r="C36" s="1" t="s">
        <v>8</v>
      </c>
    </row>
    <row r="37" spans="1:3" x14ac:dyDescent="0.35">
      <c r="A37" s="12">
        <v>47</v>
      </c>
      <c r="B37" s="2" t="s">
        <v>49</v>
      </c>
      <c r="C37" s="1" t="s">
        <v>8</v>
      </c>
    </row>
    <row r="38" spans="1:3" x14ac:dyDescent="0.35">
      <c r="A38" s="10">
        <v>47</v>
      </c>
      <c r="B38" s="1" t="s">
        <v>50</v>
      </c>
      <c r="C38" s="2" t="s">
        <v>24</v>
      </c>
    </row>
    <row r="39" spans="1:3" x14ac:dyDescent="0.35">
      <c r="A39" s="10">
        <v>47</v>
      </c>
      <c r="B39" s="1" t="s">
        <v>51</v>
      </c>
      <c r="C39" s="2" t="s">
        <v>18</v>
      </c>
    </row>
    <row r="40" spans="1:3" x14ac:dyDescent="0.35">
      <c r="A40" s="10">
        <v>46</v>
      </c>
      <c r="B40" s="1" t="s">
        <v>52</v>
      </c>
      <c r="C40" s="1" t="s">
        <v>8</v>
      </c>
    </row>
    <row r="41" spans="1:3" x14ac:dyDescent="0.35">
      <c r="A41" s="10">
        <v>42</v>
      </c>
      <c r="B41" s="2" t="s">
        <v>53</v>
      </c>
      <c r="C41" s="2" t="s">
        <v>20</v>
      </c>
    </row>
    <row r="42" spans="1:3" x14ac:dyDescent="0.35">
      <c r="A42" s="10">
        <v>42</v>
      </c>
      <c r="B42" s="2" t="s">
        <v>54</v>
      </c>
      <c r="C42" s="2" t="s">
        <v>18</v>
      </c>
    </row>
    <row r="43" spans="1:3" x14ac:dyDescent="0.35">
      <c r="A43" s="10">
        <v>41</v>
      </c>
      <c r="B43" s="1" t="s">
        <v>55</v>
      </c>
      <c r="C43" s="2" t="s">
        <v>24</v>
      </c>
    </row>
    <row r="44" spans="1:3" x14ac:dyDescent="0.35">
      <c r="A44" s="10">
        <v>41</v>
      </c>
      <c r="B44" s="3" t="s">
        <v>56</v>
      </c>
      <c r="C44" s="2" t="s">
        <v>18</v>
      </c>
    </row>
    <row r="45" spans="1:3" x14ac:dyDescent="0.35">
      <c r="A45" s="10">
        <v>41</v>
      </c>
      <c r="B45" s="2" t="s">
        <v>57</v>
      </c>
      <c r="C45" s="2" t="s">
        <v>18</v>
      </c>
    </row>
    <row r="46" spans="1:3" x14ac:dyDescent="0.35">
      <c r="A46" s="12">
        <v>39</v>
      </c>
      <c r="B46" s="2" t="s">
        <v>58</v>
      </c>
      <c r="C46" s="1" t="s">
        <v>8</v>
      </c>
    </row>
    <row r="47" spans="1:3" x14ac:dyDescent="0.35">
      <c r="A47" s="10">
        <v>39</v>
      </c>
      <c r="B47" s="3" t="s">
        <v>59</v>
      </c>
      <c r="C47" s="2" t="s">
        <v>18</v>
      </c>
    </row>
    <row r="48" spans="1:3" x14ac:dyDescent="0.35">
      <c r="A48" s="10">
        <v>37</v>
      </c>
      <c r="B48" s="2" t="s">
        <v>60</v>
      </c>
      <c r="C48" s="2" t="s">
        <v>18</v>
      </c>
    </row>
    <row r="49" spans="1:3" x14ac:dyDescent="0.35">
      <c r="A49" s="10">
        <v>36</v>
      </c>
      <c r="B49" s="1" t="s">
        <v>61</v>
      </c>
      <c r="C49" s="1" t="s">
        <v>14</v>
      </c>
    </row>
    <row r="50" spans="1:3" x14ac:dyDescent="0.35">
      <c r="A50" s="10">
        <v>35</v>
      </c>
      <c r="B50" s="2" t="s">
        <v>62</v>
      </c>
      <c r="C50" s="2" t="s">
        <v>18</v>
      </c>
    </row>
    <row r="51" spans="1:3" x14ac:dyDescent="0.3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zoomScalePageLayoutView="160" workbookViewId="0">
      <selection activeCell="A4" sqref="A4"/>
    </sheetView>
  </sheetViews>
  <sheetFormatPr defaultColWidth="8.84375" defaultRowHeight="14" x14ac:dyDescent="0.3"/>
  <cols>
    <col min="1" max="1" width="54" style="6" customWidth="1"/>
    <col min="2" max="2" width="12.69140625" style="9" customWidth="1"/>
    <col min="3" max="3" width="16.84375" style="6" customWidth="1"/>
    <col min="4" max="4" width="8.84375" style="6"/>
    <col min="5" max="5" width="8.69140625" style="6" customWidth="1"/>
    <col min="6" max="16384" width="8.84375" style="6"/>
  </cols>
  <sheetData>
    <row r="1" spans="1:4" ht="15" customHeight="1" x14ac:dyDescent="0.3">
      <c r="A1" s="14" t="s">
        <v>124</v>
      </c>
      <c r="B1" s="15"/>
      <c r="C1" s="16"/>
    </row>
    <row r="2" spans="1:4" ht="15" customHeight="1" x14ac:dyDescent="0.3">
      <c r="A2" s="17" t="s">
        <v>125</v>
      </c>
      <c r="C2" s="18"/>
    </row>
    <row r="3" spans="1:4" ht="15" customHeight="1" x14ac:dyDescent="0.3">
      <c r="A3" s="17" t="s">
        <v>128</v>
      </c>
      <c r="C3" s="18"/>
    </row>
    <row r="4" spans="1:4" x14ac:dyDescent="0.3">
      <c r="A4" s="41"/>
      <c r="B4" s="21"/>
      <c r="C4" s="22"/>
    </row>
    <row r="5" spans="1:4" ht="73.5" customHeight="1" x14ac:dyDescent="0.3">
      <c r="A5" s="71" t="s">
        <v>64</v>
      </c>
      <c r="B5" s="72"/>
      <c r="C5" s="73"/>
    </row>
    <row r="6" spans="1:4" ht="15" customHeight="1" x14ac:dyDescent="0.3">
      <c r="A6" s="29" t="s">
        <v>65</v>
      </c>
      <c r="B6" s="55" t="s">
        <v>121</v>
      </c>
      <c r="C6" s="28" t="s">
        <v>66</v>
      </c>
      <c r="D6" s="36"/>
    </row>
    <row r="7" spans="1:4" ht="15" customHeight="1" x14ac:dyDescent="0.3">
      <c r="A7" s="23" t="s">
        <v>115</v>
      </c>
      <c r="B7" s="57">
        <v>99282</v>
      </c>
      <c r="C7" s="66"/>
    </row>
    <row r="8" spans="1:4" ht="15" customHeight="1" x14ac:dyDescent="0.3">
      <c r="A8" s="24" t="s">
        <v>116</v>
      </c>
      <c r="B8" s="58">
        <v>99283</v>
      </c>
      <c r="C8" s="67"/>
    </row>
    <row r="9" spans="1:4" ht="15" customHeight="1" x14ac:dyDescent="0.3">
      <c r="A9" s="56" t="s">
        <v>117</v>
      </c>
      <c r="B9" s="58">
        <v>99284</v>
      </c>
      <c r="C9" s="67"/>
    </row>
    <row r="10" spans="1:4" ht="15" customHeight="1" x14ac:dyDescent="0.3">
      <c r="A10" s="56" t="s">
        <v>118</v>
      </c>
      <c r="B10" s="58">
        <v>99285</v>
      </c>
      <c r="C10" s="67"/>
    </row>
    <row r="11" spans="1:4" ht="15" customHeight="1" x14ac:dyDescent="0.3">
      <c r="A11" s="65" t="s">
        <v>120</v>
      </c>
      <c r="B11" s="58">
        <v>99213</v>
      </c>
      <c r="C11" s="67"/>
    </row>
    <row r="12" spans="1:4" ht="15" customHeight="1" x14ac:dyDescent="0.3">
      <c r="A12" s="29" t="s">
        <v>67</v>
      </c>
      <c r="B12" s="55" t="s">
        <v>121</v>
      </c>
      <c r="C12" s="28" t="s">
        <v>66</v>
      </c>
      <c r="D12" s="36"/>
    </row>
    <row r="13" spans="1:4" ht="15" customHeight="1" x14ac:dyDescent="0.3">
      <c r="A13" s="23" t="s">
        <v>10</v>
      </c>
      <c r="B13" s="57">
        <v>80048</v>
      </c>
      <c r="C13" s="66">
        <f>9.73*3</f>
        <v>29.19</v>
      </c>
    </row>
    <row r="14" spans="1:4" ht="15" customHeight="1" x14ac:dyDescent="0.3">
      <c r="A14" s="69" t="s">
        <v>122</v>
      </c>
      <c r="B14" s="58">
        <v>83735</v>
      </c>
      <c r="C14" s="67">
        <f>7.71*3</f>
        <v>23.13</v>
      </c>
    </row>
    <row r="15" spans="1:4" ht="15" customHeight="1" x14ac:dyDescent="0.3">
      <c r="A15" s="24" t="s">
        <v>68</v>
      </c>
      <c r="B15" s="58">
        <v>85027</v>
      </c>
      <c r="C15" s="67">
        <f>7.44*3</f>
        <v>22.32</v>
      </c>
    </row>
    <row r="16" spans="1:4" ht="15" customHeight="1" x14ac:dyDescent="0.3">
      <c r="A16" s="24" t="s">
        <v>69</v>
      </c>
      <c r="B16" s="58">
        <v>85025</v>
      </c>
      <c r="C16" s="67">
        <f>8.94*3</f>
        <v>26.82</v>
      </c>
    </row>
    <row r="17" spans="1:4" ht="15" customHeight="1" x14ac:dyDescent="0.3">
      <c r="A17" s="24" t="s">
        <v>7</v>
      </c>
      <c r="B17" s="58">
        <v>80053</v>
      </c>
      <c r="C17" s="67">
        <f>12.14*3</f>
        <v>36.42</v>
      </c>
    </row>
    <row r="18" spans="1:4" ht="15" customHeight="1" x14ac:dyDescent="0.3">
      <c r="A18" s="25" t="s">
        <v>41</v>
      </c>
      <c r="B18" s="58">
        <v>82550</v>
      </c>
      <c r="C18" s="67">
        <f>7.49*3</f>
        <v>22.47</v>
      </c>
    </row>
    <row r="19" spans="1:4" ht="15" customHeight="1" x14ac:dyDescent="0.3">
      <c r="A19" s="24" t="s">
        <v>31</v>
      </c>
      <c r="B19" s="58">
        <v>80061</v>
      </c>
      <c r="C19" s="67">
        <f>15.4*3</f>
        <v>46.2</v>
      </c>
    </row>
    <row r="20" spans="1:4" ht="15" customHeight="1" x14ac:dyDescent="0.3">
      <c r="A20" s="65" t="s">
        <v>123</v>
      </c>
      <c r="B20" s="58">
        <v>84300</v>
      </c>
      <c r="C20" s="67">
        <f>5.82*3</f>
        <v>17.46</v>
      </c>
    </row>
    <row r="21" spans="1:4" ht="15" customHeight="1" x14ac:dyDescent="0.3">
      <c r="A21" s="25" t="s">
        <v>12</v>
      </c>
      <c r="B21" s="58">
        <v>85610</v>
      </c>
      <c r="C21" s="67">
        <f>4.93*3</f>
        <v>14.79</v>
      </c>
    </row>
    <row r="22" spans="1:4" ht="15" customHeight="1" x14ac:dyDescent="0.3">
      <c r="A22" s="59" t="s">
        <v>42</v>
      </c>
      <c r="B22" s="58">
        <v>84443</v>
      </c>
      <c r="C22" s="67">
        <f>19.32*3</f>
        <v>57.96</v>
      </c>
    </row>
    <row r="23" spans="1:4" ht="15" customHeight="1" x14ac:dyDescent="0.3">
      <c r="A23" s="24" t="s">
        <v>52</v>
      </c>
      <c r="B23" s="58">
        <v>84484</v>
      </c>
      <c r="C23" s="67">
        <f>14.34*3</f>
        <v>43.019999999999996</v>
      </c>
    </row>
    <row r="24" spans="1:4" ht="15" customHeight="1" x14ac:dyDescent="0.3">
      <c r="A24" s="24" t="s">
        <v>70</v>
      </c>
      <c r="B24" s="62" t="s">
        <v>71</v>
      </c>
      <c r="C24" s="67">
        <f>2.59*3</f>
        <v>7.77</v>
      </c>
    </row>
    <row r="25" spans="1:4" ht="15" customHeight="1" x14ac:dyDescent="0.3">
      <c r="A25" s="25" t="s">
        <v>49</v>
      </c>
      <c r="B25" s="62" t="s">
        <v>72</v>
      </c>
      <c r="C25" s="67">
        <f>3.65*3</f>
        <v>10.95</v>
      </c>
    </row>
    <row r="26" spans="1:4" ht="15" customHeight="1" x14ac:dyDescent="0.3">
      <c r="A26" s="30" t="s">
        <v>73</v>
      </c>
      <c r="B26" s="55" t="s">
        <v>121</v>
      </c>
      <c r="C26" s="28" t="s">
        <v>66</v>
      </c>
      <c r="D26" s="36"/>
    </row>
    <row r="27" spans="1:4" ht="15" customHeight="1" x14ac:dyDescent="0.3">
      <c r="A27" s="23" t="s">
        <v>44</v>
      </c>
      <c r="B27" s="57">
        <v>74160</v>
      </c>
      <c r="C27" s="66">
        <f>274.24*3</f>
        <v>822.72</v>
      </c>
    </row>
    <row r="28" spans="1:4" ht="15" customHeight="1" x14ac:dyDescent="0.3">
      <c r="A28" s="25" t="s">
        <v>19</v>
      </c>
      <c r="B28" s="58">
        <v>70450</v>
      </c>
      <c r="C28" s="67">
        <f>142.69*3</f>
        <v>428.07</v>
      </c>
    </row>
    <row r="29" spans="1:4" ht="15" customHeight="1" x14ac:dyDescent="0.3">
      <c r="A29" s="25" t="s">
        <v>74</v>
      </c>
      <c r="B29" s="58">
        <v>72193</v>
      </c>
      <c r="C29" s="67">
        <v>822.72</v>
      </c>
    </row>
    <row r="30" spans="1:4" ht="15" customHeight="1" x14ac:dyDescent="0.3">
      <c r="A30" s="25"/>
      <c r="B30" s="58">
        <v>77067</v>
      </c>
      <c r="C30" s="67"/>
    </row>
    <row r="31" spans="1:4" ht="15" customHeight="1" x14ac:dyDescent="0.3">
      <c r="A31" s="24" t="s">
        <v>75</v>
      </c>
      <c r="B31" s="58">
        <v>70553</v>
      </c>
      <c r="C31" s="67">
        <f>574.02*3</f>
        <v>1722.06</v>
      </c>
    </row>
    <row r="32" spans="1:4" ht="15" customHeight="1" x14ac:dyDescent="0.3">
      <c r="A32" s="24" t="s">
        <v>76</v>
      </c>
      <c r="B32" s="58">
        <v>76700</v>
      </c>
      <c r="C32" s="67">
        <f>159.48*3</f>
        <v>478.43999999999994</v>
      </c>
    </row>
    <row r="33" spans="1:6" ht="15" customHeight="1" x14ac:dyDescent="0.3">
      <c r="A33" s="60"/>
      <c r="B33" s="58">
        <v>76805</v>
      </c>
      <c r="C33" s="67"/>
    </row>
    <row r="34" spans="1:6" ht="15" customHeight="1" x14ac:dyDescent="0.35">
      <c r="A34" s="25" t="s">
        <v>77</v>
      </c>
      <c r="B34" s="58">
        <v>72110</v>
      </c>
      <c r="C34" s="67">
        <f>164.1*3</f>
        <v>492.29999999999995</v>
      </c>
      <c r="E34"/>
      <c r="F34"/>
    </row>
    <row r="35" spans="1:6" ht="15" customHeight="1" x14ac:dyDescent="0.3">
      <c r="A35" s="25" t="s">
        <v>3</v>
      </c>
      <c r="B35" s="58">
        <v>71046</v>
      </c>
      <c r="C35" s="67">
        <f>135.63*3</f>
        <v>406.89</v>
      </c>
    </row>
    <row r="36" spans="1:6" ht="15" customHeight="1" x14ac:dyDescent="0.3">
      <c r="A36" s="29" t="s">
        <v>78</v>
      </c>
      <c r="B36" s="55" t="s">
        <v>114</v>
      </c>
      <c r="C36" s="53" t="s">
        <v>66</v>
      </c>
      <c r="D36" s="36"/>
    </row>
    <row r="37" spans="1:6" ht="15" customHeight="1" x14ac:dyDescent="0.3">
      <c r="A37" s="26" t="s">
        <v>79</v>
      </c>
      <c r="B37" s="57">
        <v>93452</v>
      </c>
      <c r="C37" s="66"/>
    </row>
    <row r="38" spans="1:6" ht="15" customHeight="1" x14ac:dyDescent="0.3">
      <c r="A38" s="25" t="s">
        <v>119</v>
      </c>
      <c r="B38" s="58">
        <v>93307</v>
      </c>
      <c r="C38" s="67"/>
    </row>
    <row r="39" spans="1:6" ht="15" customHeight="1" x14ac:dyDescent="0.3">
      <c r="A39" s="25" t="s">
        <v>80</v>
      </c>
      <c r="B39" s="58">
        <v>93000</v>
      </c>
      <c r="C39" s="67"/>
    </row>
    <row r="40" spans="1:6" ht="15" customHeight="1" x14ac:dyDescent="0.3">
      <c r="A40" s="24" t="s">
        <v>81</v>
      </c>
      <c r="B40" s="58">
        <v>94640</v>
      </c>
      <c r="C40" s="67"/>
    </row>
    <row r="41" spans="1:6" ht="15" customHeight="1" x14ac:dyDescent="0.3">
      <c r="A41" s="24" t="s">
        <v>82</v>
      </c>
      <c r="B41" s="58" t="s">
        <v>83</v>
      </c>
      <c r="C41" s="67">
        <v>607.75</v>
      </c>
    </row>
    <row r="42" spans="1:6" ht="15" customHeight="1" x14ac:dyDescent="0.3">
      <c r="A42" s="24" t="s">
        <v>84</v>
      </c>
      <c r="B42" s="58">
        <v>97116</v>
      </c>
      <c r="C42" s="67">
        <v>225.74</v>
      </c>
    </row>
    <row r="43" spans="1:6" ht="15" customHeight="1" x14ac:dyDescent="0.3">
      <c r="A43" s="61" t="s">
        <v>85</v>
      </c>
      <c r="B43" s="63">
        <v>97110</v>
      </c>
      <c r="C43" s="68">
        <v>225.74</v>
      </c>
    </row>
    <row r="44" spans="1:6" ht="15" customHeight="1" x14ac:dyDescent="0.3">
      <c r="A44" s="29" t="s">
        <v>86</v>
      </c>
      <c r="B44" s="27" t="s">
        <v>121</v>
      </c>
      <c r="C44" s="28" t="s">
        <v>66</v>
      </c>
      <c r="D44" s="36"/>
    </row>
    <row r="45" spans="1:6" ht="15" customHeight="1" x14ac:dyDescent="0.3">
      <c r="A45" s="26" t="s">
        <v>87</v>
      </c>
      <c r="B45" s="64">
        <v>29881</v>
      </c>
      <c r="C45" s="66"/>
    </row>
    <row r="46" spans="1:6" ht="15" customHeight="1" x14ac:dyDescent="0.3">
      <c r="A46" s="25" t="s">
        <v>88</v>
      </c>
      <c r="B46" s="62">
        <v>29826</v>
      </c>
      <c r="C46" s="67"/>
    </row>
    <row r="47" spans="1:6" ht="15" customHeight="1" x14ac:dyDescent="0.3">
      <c r="A47" s="25" t="s">
        <v>37</v>
      </c>
      <c r="B47" s="62">
        <v>64721</v>
      </c>
      <c r="C47" s="67"/>
    </row>
    <row r="48" spans="1:6" ht="15" customHeight="1" x14ac:dyDescent="0.3">
      <c r="A48" s="25" t="s">
        <v>59</v>
      </c>
      <c r="B48" s="62">
        <v>66984</v>
      </c>
      <c r="C48" s="67"/>
    </row>
    <row r="49" spans="1:3" ht="15" customHeight="1" x14ac:dyDescent="0.3">
      <c r="A49" s="25" t="s">
        <v>89</v>
      </c>
      <c r="B49" s="62">
        <v>45378</v>
      </c>
      <c r="C49" s="67"/>
    </row>
    <row r="50" spans="1:3" ht="15" customHeight="1" x14ac:dyDescent="0.3">
      <c r="A50" s="25" t="s">
        <v>90</v>
      </c>
      <c r="B50" s="62">
        <v>45380</v>
      </c>
      <c r="C50" s="67"/>
    </row>
    <row r="51" spans="1:3" ht="15" customHeight="1" x14ac:dyDescent="0.3">
      <c r="A51" s="25" t="s">
        <v>91</v>
      </c>
      <c r="B51" s="62">
        <v>45385</v>
      </c>
      <c r="C51" s="67"/>
    </row>
    <row r="52" spans="1:3" ht="15" customHeight="1" x14ac:dyDescent="0.3">
      <c r="A52" s="25" t="s">
        <v>92</v>
      </c>
      <c r="B52" s="62">
        <v>66821</v>
      </c>
      <c r="C52" s="67"/>
    </row>
    <row r="53" spans="1:3" ht="15" customHeight="1" x14ac:dyDescent="0.3">
      <c r="A53" s="24" t="s">
        <v>22</v>
      </c>
      <c r="B53" s="62">
        <v>43239</v>
      </c>
      <c r="C53" s="67"/>
    </row>
    <row r="54" spans="1:3" ht="15" customHeight="1" x14ac:dyDescent="0.3">
      <c r="A54" s="24" t="s">
        <v>93</v>
      </c>
      <c r="B54" s="62">
        <v>43235</v>
      </c>
      <c r="C54" s="67"/>
    </row>
    <row r="55" spans="1:3" ht="15" customHeight="1" x14ac:dyDescent="0.3">
      <c r="A55" s="25" t="s">
        <v>94</v>
      </c>
      <c r="B55" s="62">
        <v>19120</v>
      </c>
      <c r="C55" s="67"/>
    </row>
    <row r="56" spans="1:3" ht="15" customHeight="1" x14ac:dyDescent="0.3">
      <c r="A56" s="25" t="s">
        <v>95</v>
      </c>
      <c r="B56" s="62">
        <v>49505</v>
      </c>
      <c r="C56" s="67"/>
    </row>
    <row r="57" spans="1:3" ht="15" customHeight="1" x14ac:dyDescent="0.3">
      <c r="A57" s="25" t="s">
        <v>96</v>
      </c>
      <c r="B57" s="62" t="s">
        <v>97</v>
      </c>
      <c r="C57" s="67"/>
    </row>
    <row r="58" spans="1:3" ht="15" customHeight="1" x14ac:dyDescent="0.3">
      <c r="A58" s="25" t="s">
        <v>98</v>
      </c>
      <c r="B58" s="62">
        <v>64483</v>
      </c>
      <c r="C58" s="67"/>
    </row>
    <row r="59" spans="1:3" ht="15" customHeight="1" x14ac:dyDescent="0.3">
      <c r="A59" s="25" t="s">
        <v>25</v>
      </c>
      <c r="B59" s="62">
        <v>47562</v>
      </c>
      <c r="C59" s="67"/>
    </row>
    <row r="60" spans="1:3" ht="15" customHeight="1" x14ac:dyDescent="0.3">
      <c r="A60" s="25" t="s">
        <v>99</v>
      </c>
      <c r="B60" s="62">
        <v>69436</v>
      </c>
      <c r="C60" s="67"/>
    </row>
    <row r="61" spans="1:3" ht="15" customHeight="1" x14ac:dyDescent="0.3">
      <c r="A61" s="25" t="s">
        <v>100</v>
      </c>
      <c r="B61" s="62">
        <v>42820</v>
      </c>
      <c r="C61" s="67"/>
    </row>
    <row r="62" spans="1:3" ht="29.25" customHeight="1" x14ac:dyDescent="0.3">
      <c r="A62" s="29" t="s">
        <v>101</v>
      </c>
      <c r="B62" s="54" t="s">
        <v>121</v>
      </c>
      <c r="C62" s="28" t="s">
        <v>66</v>
      </c>
    </row>
    <row r="63" spans="1:3" ht="15" customHeight="1" x14ac:dyDescent="0.3">
      <c r="A63" s="70" t="s">
        <v>126</v>
      </c>
      <c r="B63" s="33">
        <v>87086</v>
      </c>
      <c r="C63" s="37">
        <f>9.28*3</f>
        <v>27.839999999999996</v>
      </c>
    </row>
    <row r="64" spans="1:3" ht="15" customHeight="1" x14ac:dyDescent="0.3">
      <c r="A64" s="69" t="s">
        <v>127</v>
      </c>
      <c r="B64" s="31">
        <v>84403</v>
      </c>
      <c r="C64" s="38">
        <f>29.68*3</f>
        <v>89.039999999999992</v>
      </c>
    </row>
    <row r="65" spans="1:4" ht="15" customHeight="1" x14ac:dyDescent="0.3">
      <c r="A65" s="25"/>
      <c r="B65" s="31"/>
      <c r="C65" s="42"/>
    </row>
    <row r="66" spans="1:4" ht="15" customHeight="1" x14ac:dyDescent="0.3">
      <c r="A66" s="25"/>
      <c r="B66" s="31"/>
      <c r="C66" s="38"/>
    </row>
    <row r="67" spans="1:4" ht="15" customHeight="1" x14ac:dyDescent="0.3">
      <c r="A67" s="25"/>
      <c r="B67" s="31"/>
      <c r="C67" s="38"/>
    </row>
    <row r="68" spans="1:4" ht="15" customHeight="1" x14ac:dyDescent="0.3">
      <c r="A68" s="25"/>
      <c r="B68" s="31"/>
      <c r="C68" s="38"/>
    </row>
    <row r="69" spans="1:4" ht="15" customHeight="1" x14ac:dyDescent="0.3">
      <c r="A69" s="25"/>
      <c r="B69" s="31"/>
      <c r="C69" s="38"/>
    </row>
    <row r="70" spans="1:4" ht="15" customHeight="1" x14ac:dyDescent="0.3">
      <c r="A70" s="25"/>
      <c r="B70" s="31"/>
      <c r="C70" s="38"/>
    </row>
    <row r="71" spans="1:4" ht="15" customHeight="1" x14ac:dyDescent="0.3">
      <c r="A71" s="25"/>
      <c r="B71" s="31"/>
      <c r="C71" s="38"/>
    </row>
    <row r="72" spans="1:4" ht="15" customHeight="1" x14ac:dyDescent="0.3">
      <c r="A72" s="40"/>
      <c r="B72" s="32"/>
      <c r="C72" s="39"/>
    </row>
    <row r="73" spans="1:4" ht="21" customHeight="1" thickBot="1" x14ac:dyDescent="0.35">
      <c r="A73" s="19" t="s">
        <v>102</v>
      </c>
      <c r="B73" s="7"/>
      <c r="C73" s="20">
        <f>COUNTA(C7:C11,C13:C25,C27:C35,C37:C43,C45:C61,C63:C72)</f>
        <v>25</v>
      </c>
      <c r="D73" s="36"/>
    </row>
    <row r="74" spans="1:4" ht="15" customHeight="1" thickTop="1" x14ac:dyDescent="0.3">
      <c r="A74" s="34" t="s">
        <v>103</v>
      </c>
      <c r="B74" s="35"/>
      <c r="C74" s="43"/>
    </row>
    <row r="75" spans="1:4" ht="15" customHeight="1" x14ac:dyDescent="0.3">
      <c r="A75" s="44" t="s">
        <v>104</v>
      </c>
      <c r="B75" s="45"/>
      <c r="C75" s="46"/>
    </row>
    <row r="76" spans="1:4" ht="15" customHeight="1" x14ac:dyDescent="0.3">
      <c r="A76" s="44" t="s">
        <v>105</v>
      </c>
      <c r="B76" s="47"/>
      <c r="C76" s="48"/>
    </row>
    <row r="77" spans="1:4" ht="15" customHeight="1" x14ac:dyDescent="0.3">
      <c r="A77" s="44" t="s">
        <v>106</v>
      </c>
      <c r="B77" s="47"/>
      <c r="C77" s="48"/>
    </row>
    <row r="78" spans="1:4" ht="15" customHeight="1" x14ac:dyDescent="0.3">
      <c r="A78" s="44" t="s">
        <v>107</v>
      </c>
      <c r="B78" s="47"/>
      <c r="C78" s="48"/>
    </row>
    <row r="79" spans="1:4" ht="15" customHeight="1" x14ac:dyDescent="0.3">
      <c r="A79" s="44" t="s">
        <v>108</v>
      </c>
      <c r="B79" s="47"/>
      <c r="C79" s="48"/>
    </row>
    <row r="80" spans="1:4" ht="15" customHeight="1" x14ac:dyDescent="0.3">
      <c r="A80" s="44" t="s">
        <v>109</v>
      </c>
      <c r="B80" s="47"/>
      <c r="C80" s="48"/>
    </row>
    <row r="81" spans="1:4" ht="15" customHeight="1" x14ac:dyDescent="0.3">
      <c r="A81" s="44" t="s">
        <v>110</v>
      </c>
      <c r="B81" s="47"/>
      <c r="C81" s="49"/>
      <c r="D81" s="8"/>
    </row>
    <row r="82" spans="1:4" ht="15" customHeight="1" x14ac:dyDescent="0.3">
      <c r="A82" s="44" t="s">
        <v>111</v>
      </c>
      <c r="B82" s="47"/>
      <c r="C82" s="48"/>
    </row>
    <row r="83" spans="1:4" ht="15" customHeight="1" x14ac:dyDescent="0.3">
      <c r="A83" s="44" t="s">
        <v>112</v>
      </c>
      <c r="B83" s="47"/>
      <c r="C83" s="48"/>
    </row>
    <row r="84" spans="1:4" ht="15" customHeight="1" x14ac:dyDescent="0.3">
      <c r="A84" s="50" t="s">
        <v>113</v>
      </c>
      <c r="B84" s="51"/>
      <c r="C84" s="52"/>
    </row>
    <row r="85" spans="1:4" ht="15" customHeight="1" x14ac:dyDescent="0.3"/>
    <row r="86" spans="1:4" ht="15" customHeight="1" x14ac:dyDescent="0.3">
      <c r="B86" s="6"/>
    </row>
    <row r="87" spans="1:4" x14ac:dyDescent="0.3">
      <c r="B87" s="6"/>
    </row>
    <row r="88" spans="1:4" x14ac:dyDescent="0.3">
      <c r="B88" s="6"/>
    </row>
    <row r="89" spans="1:4" x14ac:dyDescent="0.3">
      <c r="B89" s="6"/>
    </row>
    <row r="90" spans="1:4" x14ac:dyDescent="0.3">
      <c r="B90" s="6"/>
    </row>
    <row r="91" spans="1:4" x14ac:dyDescent="0.3">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Melissa Campbell</cp:lastModifiedBy>
  <cp:revision/>
  <dcterms:created xsi:type="dcterms:W3CDTF">2007-03-06T21:45:14Z</dcterms:created>
  <dcterms:modified xsi:type="dcterms:W3CDTF">2024-07-15T20:37:57Z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