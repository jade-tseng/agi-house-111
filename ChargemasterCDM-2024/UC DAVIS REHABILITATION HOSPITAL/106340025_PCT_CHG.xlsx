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hf4093-ucdavis\Depts\Finance\HCAI Financial Data Report - CA\"/>
    </mc:Choice>
  </mc:AlternateContent>
  <xr:revisionPtr revIDLastSave="0" documentId="8_{A0E13E88-2160-4404-9A03-DE3BDC0789E4}" xr6:coauthVersionLast="47" xr6:coauthVersionMax="47" xr10:uidLastSave="{00000000-0000-0000-0000-000000000000}"/>
  <bookViews>
    <workbookView xWindow="-28920" yWindow="-120" windowWidth="29040" windowHeight="15720"/>
  </bookViews>
  <sheets>
    <sheet name="Price change comparison- 4093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2" i="1"/>
  <c r="I131" i="1" l="1"/>
  <c r="G131" i="1"/>
  <c r="K131" i="1" s="1"/>
  <c r="L131" i="1" s="1"/>
</calcChain>
</file>

<file path=xl/sharedStrings.xml><?xml version="1.0" encoding="utf-8"?>
<sst xmlns="http://schemas.openxmlformats.org/spreadsheetml/2006/main" count="525" uniqueCount="129">
  <si>
    <t>H</t>
  </si>
  <si>
    <t>ID</t>
  </si>
  <si>
    <t xml:space="preserve">Facility  </t>
  </si>
  <si>
    <t xml:space="preserve">Facility Name                 </t>
  </si>
  <si>
    <t xml:space="preserve">Procedure </t>
  </si>
  <si>
    <t xml:space="preserve">Description                   </t>
  </si>
  <si>
    <t>Current Price</t>
  </si>
  <si>
    <t>Eff Date</t>
  </si>
  <si>
    <t>Previous Price</t>
  </si>
  <si>
    <t>Change Amt</t>
  </si>
  <si>
    <t>Change Pct</t>
  </si>
  <si>
    <t>D</t>
  </si>
  <si>
    <t>jz</t>
  </si>
  <si>
    <t xml:space="preserve">SACRAMENTO SIERRA REHAB HOSP  </t>
  </si>
  <si>
    <t xml:space="preserve">INTERMEDIATE REHAB PRIVATE    </t>
  </si>
  <si>
    <t xml:space="preserve">PT EVALUATION LOW COMPLEXITY  </t>
  </si>
  <si>
    <t xml:space="preserve">PT EVALUATION MOD COMPLEXITY  </t>
  </si>
  <si>
    <t>PT EVAL HIGH COMPLEXITY 45 MIN</t>
  </si>
  <si>
    <t xml:space="preserve">GAIT TRAINING 15 MIN          </t>
  </si>
  <si>
    <t xml:space="preserve">THERAPEUTIC PROCEDURE-GROUP   </t>
  </si>
  <si>
    <t xml:space="preserve">THERAPEUTIC PROC-GROUP 15 MIN </t>
  </si>
  <si>
    <t xml:space="preserve">PROSTHETIC TRAIN - INITIAL    </t>
  </si>
  <si>
    <t xml:space="preserve">NEUROMUSCULAR RE-ED 15 MIN    </t>
  </si>
  <si>
    <t xml:space="preserve">MANUAL THERAPY 15 MIN         </t>
  </si>
  <si>
    <t xml:space="preserve">THERAPEUTIC EXERCISE 15 MIN   </t>
  </si>
  <si>
    <t xml:space="preserve">WHEELCHAIR TRAINING 15 MIN    </t>
  </si>
  <si>
    <t xml:space="preserve">PT EDUCAT/TRAINING 30/MIN     </t>
  </si>
  <si>
    <t xml:space="preserve">ELEC STIM ATTENDED 15 MIN     </t>
  </si>
  <si>
    <t xml:space="preserve">HOME MGT TRAINING 15 MIN      </t>
  </si>
  <si>
    <t xml:space="preserve">ORTHOTIC FIT/TRAIN -INITIAL   </t>
  </si>
  <si>
    <t xml:space="preserve">THER ACT DIRECT 15 MIN        </t>
  </si>
  <si>
    <t xml:space="preserve">APPLY SPLINT SHORT LEG        </t>
  </si>
  <si>
    <t xml:space="preserve">COMM/WORK REINTEG 15 MIN      </t>
  </si>
  <si>
    <t xml:space="preserve">BIOFEEDBACK TRAINING          </t>
  </si>
  <si>
    <t xml:space="preserve">AQUATIC THERAPY W/EXER 15 MIN </t>
  </si>
  <si>
    <t xml:space="preserve">THER PROCEDURE-GROUP 30 MIN   </t>
  </si>
  <si>
    <t xml:space="preserve">THER PROCEDURE-GROUP 45 MIN   </t>
  </si>
  <si>
    <t xml:space="preserve">THER PROCEDURE-GROUP 60 MIN   </t>
  </si>
  <si>
    <t xml:space="preserve">THER PROCEDURE-GROUP 15 MIN   </t>
  </si>
  <si>
    <t xml:space="preserve">MASSAGE 15 MIN                </t>
  </si>
  <si>
    <t xml:space="preserve">IONTOPHORESIS 15 MIN          </t>
  </si>
  <si>
    <t xml:space="preserve">THER INT COG FUNC 1ST 15 MIN  </t>
  </si>
  <si>
    <t xml:space="preserve">SELF CARE/HOME MGT 15 MIN     </t>
  </si>
  <si>
    <t xml:space="preserve">SELF CARE MGT TRAINING 15 MIN </t>
  </si>
  <si>
    <t xml:space="preserve">APPLY SPLINT SHORT ARM STATIC </t>
  </si>
  <si>
    <t xml:space="preserve">APPLY SPLINT SHORT ARM DYNAM  </t>
  </si>
  <si>
    <t xml:space="preserve">APPLY SPLINT FINGER STATIC    </t>
  </si>
  <si>
    <t xml:space="preserve">APPLY SPLINT FINGER DYNAM     </t>
  </si>
  <si>
    <t xml:space="preserve">STRAPPING SHOULDER            </t>
  </si>
  <si>
    <t xml:space="preserve">OT EVALUATION LOW COMPLEXITY  </t>
  </si>
  <si>
    <t xml:space="preserve">OT EVALUATION MOD COMPLEXITY  </t>
  </si>
  <si>
    <t xml:space="preserve">OT EVALUATION HIGH COMPLEXITY </t>
  </si>
  <si>
    <t xml:space="preserve">PT/FAMILY TRAINING EA 30 MIN  </t>
  </si>
  <si>
    <t>THER INT COG FUNC EAADDL 15MIN</t>
  </si>
  <si>
    <t xml:space="preserve">SENSORY STIMULATION 15 MIN    </t>
  </si>
  <si>
    <t xml:space="preserve">EVAL SPEECH SOUND PRODUCTION  </t>
  </si>
  <si>
    <t xml:space="preserve">EVAL SOUND PROD/LANG CMP EXP  </t>
  </si>
  <si>
    <t xml:space="preserve">TX SWALLOWING/ORAL DYSFUN     </t>
  </si>
  <si>
    <t xml:space="preserve">SPEECH GROUP TRTMT 30 MIN     </t>
  </si>
  <si>
    <t xml:space="preserve">SPEECH GROUP TRTMT 45 MIN     </t>
  </si>
  <si>
    <t xml:space="preserve">SPEECH GROUP TRTMT 60 MIN     </t>
  </si>
  <si>
    <t xml:space="preserve">SPEECH/HEARING EVAL 15 MIN    </t>
  </si>
  <si>
    <t xml:space="preserve">SPEECH/HEARING EVAL 30 MIN    </t>
  </si>
  <si>
    <t xml:space="preserve">SPEECH/HEARING EVAL 45 MIN    </t>
  </si>
  <si>
    <t xml:space="preserve">SPEECH/HEARING EVAL 60 MIN    </t>
  </si>
  <si>
    <t xml:space="preserve">SPEECH LANGUAGE TREATMENT     </t>
  </si>
  <si>
    <t xml:space="preserve">EVAL SWALLOW/ORAL FUNC 15 MIN </t>
  </si>
  <si>
    <t xml:space="preserve">EVAL SWALLOW/ORAL FUNC 30 MIN </t>
  </si>
  <si>
    <t xml:space="preserve">EVAL SWALLOW/ORAL FUNC 45 MIN </t>
  </si>
  <si>
    <t xml:space="preserve">EVAL SWALLOW/ORAL FUNC 60 MIN </t>
  </si>
  <si>
    <t xml:space="preserve">THERAPY SPEECH GEN DEVICE     </t>
  </si>
  <si>
    <t xml:space="preserve">DEVELOPMENT TESTING LIMITED   </t>
  </si>
  <si>
    <t>STANDARD COGNITIVE TEST PER HR</t>
  </si>
  <si>
    <t xml:space="preserve">EVAL APHASIA PER HR           </t>
  </si>
  <si>
    <t xml:space="preserve">AURAL REHAB INDIVIDUAL        </t>
  </si>
  <si>
    <t xml:space="preserve">LEVITIRACETAM                 </t>
  </si>
  <si>
    <t xml:space="preserve">VANCOMYCIN TROUGH             </t>
  </si>
  <si>
    <t>VITAMIN D</t>
  </si>
  <si>
    <t xml:space="preserve">VITAMIN B-12                  </t>
  </si>
  <si>
    <t xml:space="preserve">FOLATE SERUM                  </t>
  </si>
  <si>
    <t xml:space="preserve">BASIC METABOLIC PANEL         </t>
  </si>
  <si>
    <t xml:space="preserve">COMP METABOLIC PANEL          </t>
  </si>
  <si>
    <t xml:space="preserve">LIPID PROFILE                 </t>
  </si>
  <si>
    <t xml:space="preserve">RENAL PANEL                   </t>
  </si>
  <si>
    <t xml:space="preserve">HEPATIC FUNCTION PANEL        </t>
  </si>
  <si>
    <t xml:space="preserve">AMMONIA BLOOD                 </t>
  </si>
  <si>
    <t xml:space="preserve">CPK TOTAL                     </t>
  </si>
  <si>
    <t xml:space="preserve">CK-MB                         </t>
  </si>
  <si>
    <t xml:space="preserve">FERRITIN                      </t>
  </si>
  <si>
    <t xml:space="preserve">GLYCO HGB                     </t>
  </si>
  <si>
    <t xml:space="preserve">IRON SERUM                    </t>
  </si>
  <si>
    <t xml:space="preserve">LIPASE                        </t>
  </si>
  <si>
    <t xml:space="preserve">MAGNESIUM                     </t>
  </si>
  <si>
    <t xml:space="preserve">B-TYPE NATRIURETIC PEPTID     </t>
  </si>
  <si>
    <t xml:space="preserve">OSMOLALITY SERUM              </t>
  </si>
  <si>
    <t xml:space="preserve">OSMOLALITY URIN               </t>
  </si>
  <si>
    <t xml:space="preserve">INTACT PARATHYROID HORMON     </t>
  </si>
  <si>
    <t xml:space="preserve">PHOSPHATE INORG               </t>
  </si>
  <si>
    <t xml:space="preserve">POTASSIUM SERUM K             </t>
  </si>
  <si>
    <t xml:space="preserve">PREALBUMIN (FASTING)          </t>
  </si>
  <si>
    <t xml:space="preserve">PROSTATE SPECIFIC ANTIGEN     </t>
  </si>
  <si>
    <t xml:space="preserve">URINE RANDOM TOTAL PROTEI     </t>
  </si>
  <si>
    <t xml:space="preserve">THYROXINE FREE (FREE T4)      </t>
  </si>
  <si>
    <t xml:space="preserve">TSH                           </t>
  </si>
  <si>
    <t xml:space="preserve">TROPONIN-I                    </t>
  </si>
  <si>
    <t xml:space="preserve">URIC ACID SERUM               </t>
  </si>
  <si>
    <t xml:space="preserve">C REACTIVE PROTEIN            </t>
  </si>
  <si>
    <t xml:space="preserve">HGB                           </t>
  </si>
  <si>
    <t xml:space="preserve">CBC W/AUTO DIFF               </t>
  </si>
  <si>
    <t xml:space="preserve">AUTOMATED CBC                 </t>
  </si>
  <si>
    <t xml:space="preserve">PROTHROMBIN TIME              </t>
  </si>
  <si>
    <t xml:space="preserve">SED RATE                      </t>
  </si>
  <si>
    <t xml:space="preserve">APTT                          </t>
  </si>
  <si>
    <t xml:space="preserve">BLOOD CULTURE                 </t>
  </si>
  <si>
    <t xml:space="preserve">URINALYSIS AND MICROSCOPI     </t>
  </si>
  <si>
    <t xml:space="preserve">PROCALCITONIN                 </t>
  </si>
  <si>
    <t xml:space="preserve">CORTISOL TOTAL                </t>
  </si>
  <si>
    <t>NYSTATIN 100</t>
  </si>
  <si>
    <t xml:space="preserve">ASPIRIN 81MG CHEW TAB         </t>
  </si>
  <si>
    <t xml:space="preserve">CARVEDILOL 12.5MG TAB         </t>
  </si>
  <si>
    <t xml:space="preserve">MELATONIN 3MG TAB             </t>
  </si>
  <si>
    <t xml:space="preserve">SERTRALINE 50MG TAB           </t>
  </si>
  <si>
    <t xml:space="preserve">ONDANSETRON 4MG ODT           </t>
  </si>
  <si>
    <t xml:space="preserve">TICAGRELOR 90MG TAB           </t>
  </si>
  <si>
    <t xml:space="preserve">AMANTADINE HCL 100 MG CAP     </t>
  </si>
  <si>
    <t xml:space="preserve">ACETAMINOPHEN 160 MG/5 ML SOL </t>
  </si>
  <si>
    <t>SULFAMETHXZL/TMP 800-160MG TAB</t>
  </si>
  <si>
    <t xml:space="preserve">CINACALCET 30 MG TAB         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</si>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</sst>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9" fontId="16" fillId="0" borderId="0" xfId="0" applyNumberFormat="1" applyFon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"/>
  <sheetViews>
    <sheetView tabSelected="1" workbookViewId="0"/>
  </sheetViews>
  <sheetFormatPr defaultRowHeight="14.5" x14ac:dyDescent="0.35"/>
  <cols>
    <col min="4" max="4" width="30.90625" bestFit="1" customWidth="1"/>
    <col min="5" max="5" width="9.90625" bestFit="1" customWidth="1"/>
    <col min="6" max="6" width="35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10</v>
      </c>
    </row>
    <row r="2" spans="1:13" x14ac:dyDescent="0.35">
      <c r="A2" t="s">
        <v>11</v>
      </c>
      <c r="B2" t="s">
        <v>12</v>
      </c>
      <c r="C2">
        <v>4093</v>
      </c>
      <c r="D2" t="s">
        <v>13</v>
      </c>
      <c r="E2">
        <v>10600400</v>
      </c>
      <c r="F2" t="s">
        <v>14</v>
      </c>
      <c r="G2">
        <v>4462.5</v>
      </c>
      <c r="H2" s="1">
        <v>45292</v>
      </c>
      <c r="I2">
        <v>4250</v>
      </c>
      <c r="J2" s="1">
        <v>44927</v>
      </c>
      <c r="K2">
        <v>212.5</v>
      </c>
      <c r="L2">
        <v>5</v>
      </c>
      <c r="M2" s="2">
        <f>K2/G2</f>
        <v>4.7619047619047616E-2</v>
      </c>
    </row>
    <row r="3" spans="1:13" x14ac:dyDescent="0.35">
      <c r="A3" t="s">
        <v>11</v>
      </c>
      <c r="B3" t="s">
        <v>12</v>
      </c>
      <c r="C3">
        <v>4093</v>
      </c>
      <c r="D3" t="s">
        <v>13</v>
      </c>
      <c r="E3">
        <v>34000042</v>
      </c>
      <c r="F3" t="s">
        <v>15</v>
      </c>
      <c r="G3">
        <v>607.75</v>
      </c>
      <c r="H3" s="1">
        <v>45292</v>
      </c>
      <c r="I3">
        <v>578.80999999999995</v>
      </c>
      <c r="J3" s="1">
        <v>44927</v>
      </c>
      <c r="K3">
        <v>28.94</v>
      </c>
      <c r="L3">
        <v>4.99</v>
      </c>
      <c r="M3" s="2">
        <f t="shared" ref="M3:M64" si="0">K3/G3</f>
        <v>4.7618264088852329E-2</v>
      </c>
    </row>
    <row r="4" spans="1:13" x14ac:dyDescent="0.35">
      <c r="A4" t="s">
        <v>11</v>
      </c>
      <c r="B4" t="s">
        <v>12</v>
      </c>
      <c r="C4">
        <v>4093</v>
      </c>
      <c r="D4" t="s">
        <v>13</v>
      </c>
      <c r="E4">
        <v>34000043</v>
      </c>
      <c r="F4" t="s">
        <v>16</v>
      </c>
      <c r="G4">
        <v>607.75</v>
      </c>
      <c r="H4" s="1">
        <v>45292</v>
      </c>
      <c r="I4">
        <v>578.80999999999995</v>
      </c>
      <c r="J4" s="1">
        <v>44927</v>
      </c>
      <c r="K4">
        <v>28.94</v>
      </c>
      <c r="L4">
        <v>4.99</v>
      </c>
      <c r="M4" s="2">
        <f t="shared" si="0"/>
        <v>4.7618264088852329E-2</v>
      </c>
    </row>
    <row r="5" spans="1:13" x14ac:dyDescent="0.35">
      <c r="A5" t="s">
        <v>11</v>
      </c>
      <c r="B5" t="s">
        <v>12</v>
      </c>
      <c r="C5">
        <v>4093</v>
      </c>
      <c r="D5" t="s">
        <v>13</v>
      </c>
      <c r="E5">
        <v>34000044</v>
      </c>
      <c r="F5" t="s">
        <v>17</v>
      </c>
      <c r="G5">
        <v>607.75</v>
      </c>
      <c r="H5" s="1">
        <v>45292</v>
      </c>
      <c r="I5">
        <v>578.80999999999995</v>
      </c>
      <c r="J5" s="1">
        <v>44927</v>
      </c>
      <c r="K5">
        <v>28.94</v>
      </c>
      <c r="L5">
        <v>4.99</v>
      </c>
      <c r="M5" s="2">
        <f t="shared" si="0"/>
        <v>4.7618264088852329E-2</v>
      </c>
    </row>
    <row r="6" spans="1:13" x14ac:dyDescent="0.35">
      <c r="A6" t="s">
        <v>11</v>
      </c>
      <c r="B6" t="s">
        <v>12</v>
      </c>
      <c r="C6">
        <v>4093</v>
      </c>
      <c r="D6" t="s">
        <v>13</v>
      </c>
      <c r="E6">
        <v>34000050</v>
      </c>
      <c r="F6" t="s">
        <v>18</v>
      </c>
      <c r="G6">
        <v>225.74</v>
      </c>
      <c r="H6" s="1">
        <v>45292</v>
      </c>
      <c r="I6">
        <v>214.99</v>
      </c>
      <c r="J6" s="1">
        <v>44927</v>
      </c>
      <c r="K6">
        <v>10.75</v>
      </c>
      <c r="L6">
        <v>5</v>
      </c>
      <c r="M6" s="2">
        <f t="shared" si="0"/>
        <v>4.7621157083370245E-2</v>
      </c>
    </row>
    <row r="7" spans="1:13" x14ac:dyDescent="0.35">
      <c r="A7" t="s">
        <v>11</v>
      </c>
      <c r="B7" t="s">
        <v>12</v>
      </c>
      <c r="C7">
        <v>4093</v>
      </c>
      <c r="D7" t="s">
        <v>13</v>
      </c>
      <c r="E7">
        <v>34000156</v>
      </c>
      <c r="F7" t="s">
        <v>19</v>
      </c>
      <c r="G7">
        <v>28.94</v>
      </c>
      <c r="H7" s="1">
        <v>45292</v>
      </c>
      <c r="I7">
        <v>27.56</v>
      </c>
      <c r="J7" s="1">
        <v>44927</v>
      </c>
      <c r="K7">
        <v>1.38</v>
      </c>
      <c r="L7">
        <v>5</v>
      </c>
      <c r="M7" s="2">
        <f t="shared" si="0"/>
        <v>4.7684865238424322E-2</v>
      </c>
    </row>
    <row r="8" spans="1:13" x14ac:dyDescent="0.35">
      <c r="A8" t="s">
        <v>11</v>
      </c>
      <c r="B8" t="s">
        <v>12</v>
      </c>
      <c r="C8">
        <v>4093</v>
      </c>
      <c r="D8" t="s">
        <v>13</v>
      </c>
      <c r="E8">
        <v>34000157</v>
      </c>
      <c r="F8" t="s">
        <v>19</v>
      </c>
      <c r="G8">
        <v>156.51</v>
      </c>
      <c r="H8" s="1">
        <v>45292</v>
      </c>
      <c r="I8">
        <v>149.06</v>
      </c>
      <c r="J8" s="1">
        <v>44927</v>
      </c>
      <c r="K8">
        <v>7.45</v>
      </c>
      <c r="L8">
        <v>4.99</v>
      </c>
      <c r="M8" s="2">
        <f t="shared" si="0"/>
        <v>4.760079228164335E-2</v>
      </c>
    </row>
    <row r="9" spans="1:13" x14ac:dyDescent="0.35">
      <c r="A9" t="s">
        <v>11</v>
      </c>
      <c r="B9" t="s">
        <v>12</v>
      </c>
      <c r="C9">
        <v>4093</v>
      </c>
      <c r="D9" t="s">
        <v>13</v>
      </c>
      <c r="E9">
        <v>34000158</v>
      </c>
      <c r="F9" t="s">
        <v>20</v>
      </c>
      <c r="G9">
        <v>28.94</v>
      </c>
      <c r="H9" s="1">
        <v>45292</v>
      </c>
      <c r="I9">
        <v>27.56</v>
      </c>
      <c r="J9" s="1">
        <v>44927</v>
      </c>
      <c r="K9">
        <v>1.38</v>
      </c>
      <c r="L9">
        <v>5</v>
      </c>
      <c r="M9" s="2">
        <f t="shared" si="0"/>
        <v>4.7684865238424322E-2</v>
      </c>
    </row>
    <row r="10" spans="1:13" x14ac:dyDescent="0.35">
      <c r="A10" t="s">
        <v>11</v>
      </c>
      <c r="B10" t="s">
        <v>12</v>
      </c>
      <c r="C10">
        <v>4093</v>
      </c>
      <c r="D10" t="s">
        <v>13</v>
      </c>
      <c r="E10">
        <v>34000702</v>
      </c>
      <c r="F10" t="s">
        <v>21</v>
      </c>
      <c r="G10">
        <v>225.74</v>
      </c>
      <c r="H10" s="1">
        <v>45292</v>
      </c>
      <c r="I10">
        <v>214.99</v>
      </c>
      <c r="J10" s="1">
        <v>44927</v>
      </c>
      <c r="K10">
        <v>10.75</v>
      </c>
      <c r="L10">
        <v>5</v>
      </c>
      <c r="M10" s="2">
        <f t="shared" si="0"/>
        <v>4.7621157083370245E-2</v>
      </c>
    </row>
    <row r="11" spans="1:13" x14ac:dyDescent="0.35">
      <c r="A11" t="s">
        <v>11</v>
      </c>
      <c r="B11" t="s">
        <v>12</v>
      </c>
      <c r="C11">
        <v>4093</v>
      </c>
      <c r="D11" t="s">
        <v>13</v>
      </c>
      <c r="E11">
        <v>34000790</v>
      </c>
      <c r="F11" t="s">
        <v>22</v>
      </c>
      <c r="G11">
        <v>225.74</v>
      </c>
      <c r="H11" s="1">
        <v>45292</v>
      </c>
      <c r="I11">
        <v>214.99</v>
      </c>
      <c r="J11" s="1">
        <v>44927</v>
      </c>
      <c r="K11">
        <v>10.75</v>
      </c>
      <c r="L11">
        <v>5</v>
      </c>
      <c r="M11" s="2">
        <f t="shared" si="0"/>
        <v>4.7621157083370245E-2</v>
      </c>
    </row>
    <row r="12" spans="1:13" x14ac:dyDescent="0.35">
      <c r="A12" t="s">
        <v>11</v>
      </c>
      <c r="B12" t="s">
        <v>12</v>
      </c>
      <c r="C12">
        <v>4093</v>
      </c>
      <c r="D12" t="s">
        <v>13</v>
      </c>
      <c r="E12">
        <v>34010020</v>
      </c>
      <c r="F12" t="s">
        <v>23</v>
      </c>
      <c r="G12">
        <v>225.74</v>
      </c>
      <c r="H12" s="1">
        <v>45292</v>
      </c>
      <c r="I12">
        <v>214.99</v>
      </c>
      <c r="J12" s="1">
        <v>44927</v>
      </c>
      <c r="K12">
        <v>10.75</v>
      </c>
      <c r="L12">
        <v>5</v>
      </c>
      <c r="M12" s="2">
        <f t="shared" si="0"/>
        <v>4.7621157083370245E-2</v>
      </c>
    </row>
    <row r="13" spans="1:13" x14ac:dyDescent="0.35">
      <c r="A13" t="s">
        <v>11</v>
      </c>
      <c r="B13" t="s">
        <v>12</v>
      </c>
      <c r="C13">
        <v>4093</v>
      </c>
      <c r="D13" t="s">
        <v>13</v>
      </c>
      <c r="E13">
        <v>34010040</v>
      </c>
      <c r="F13" t="s">
        <v>24</v>
      </c>
      <c r="G13">
        <v>225.74</v>
      </c>
      <c r="H13" s="1">
        <v>45292</v>
      </c>
      <c r="I13">
        <v>214.99</v>
      </c>
      <c r="J13" s="1">
        <v>44927</v>
      </c>
      <c r="K13">
        <v>10.75</v>
      </c>
      <c r="L13">
        <v>5</v>
      </c>
      <c r="M13" s="2">
        <f t="shared" si="0"/>
        <v>4.7621157083370245E-2</v>
      </c>
    </row>
    <row r="14" spans="1:13" x14ac:dyDescent="0.35">
      <c r="A14" t="s">
        <v>11</v>
      </c>
      <c r="B14" t="s">
        <v>12</v>
      </c>
      <c r="C14">
        <v>4093</v>
      </c>
      <c r="D14" t="s">
        <v>13</v>
      </c>
      <c r="E14">
        <v>34010075</v>
      </c>
      <c r="F14" t="s">
        <v>25</v>
      </c>
      <c r="G14">
        <v>225.74</v>
      </c>
      <c r="H14" s="1">
        <v>45292</v>
      </c>
      <c r="I14">
        <v>214.99</v>
      </c>
      <c r="J14" s="1">
        <v>44927</v>
      </c>
      <c r="K14">
        <v>10.75</v>
      </c>
      <c r="L14">
        <v>5</v>
      </c>
      <c r="M14" s="2">
        <f t="shared" si="0"/>
        <v>4.7621157083370245E-2</v>
      </c>
    </row>
    <row r="15" spans="1:13" x14ac:dyDescent="0.35">
      <c r="A15" t="s">
        <v>11</v>
      </c>
      <c r="B15" t="s">
        <v>12</v>
      </c>
      <c r="C15">
        <v>4093</v>
      </c>
      <c r="D15" t="s">
        <v>13</v>
      </c>
      <c r="E15">
        <v>34010076</v>
      </c>
      <c r="F15" t="s">
        <v>26</v>
      </c>
      <c r="G15">
        <v>93.77</v>
      </c>
      <c r="H15" s="1">
        <v>45292</v>
      </c>
      <c r="I15">
        <v>89.3</v>
      </c>
      <c r="J15" s="1">
        <v>44927</v>
      </c>
      <c r="K15">
        <v>4.47</v>
      </c>
      <c r="L15">
        <v>5</v>
      </c>
      <c r="M15" s="2">
        <f t="shared" si="0"/>
        <v>4.7669830436173614E-2</v>
      </c>
    </row>
    <row r="16" spans="1:13" x14ac:dyDescent="0.35">
      <c r="A16" t="s">
        <v>11</v>
      </c>
      <c r="B16" t="s">
        <v>12</v>
      </c>
      <c r="C16">
        <v>4093</v>
      </c>
      <c r="D16" t="s">
        <v>13</v>
      </c>
      <c r="E16">
        <v>34010105</v>
      </c>
      <c r="F16" t="s">
        <v>27</v>
      </c>
      <c r="G16">
        <v>225.74</v>
      </c>
      <c r="H16" s="1">
        <v>45292</v>
      </c>
      <c r="I16">
        <v>214.99</v>
      </c>
      <c r="J16" s="1">
        <v>44927</v>
      </c>
      <c r="K16">
        <v>10.75</v>
      </c>
      <c r="L16">
        <v>5</v>
      </c>
      <c r="M16" s="2">
        <f t="shared" si="0"/>
        <v>4.7621157083370245E-2</v>
      </c>
    </row>
    <row r="17" spans="1:13" x14ac:dyDescent="0.35">
      <c r="A17" t="s">
        <v>11</v>
      </c>
      <c r="B17" t="s">
        <v>12</v>
      </c>
      <c r="C17">
        <v>4093</v>
      </c>
      <c r="D17" t="s">
        <v>13</v>
      </c>
      <c r="E17">
        <v>34010130</v>
      </c>
      <c r="F17" t="s">
        <v>28</v>
      </c>
      <c r="G17">
        <v>93.77</v>
      </c>
      <c r="H17" s="1">
        <v>45292</v>
      </c>
      <c r="I17">
        <v>89.3</v>
      </c>
      <c r="J17" s="1">
        <v>44927</v>
      </c>
      <c r="K17">
        <v>4.47</v>
      </c>
      <c r="L17">
        <v>5</v>
      </c>
      <c r="M17" s="2">
        <f t="shared" si="0"/>
        <v>4.7669830436173614E-2</v>
      </c>
    </row>
    <row r="18" spans="1:13" x14ac:dyDescent="0.35">
      <c r="A18" t="s">
        <v>11</v>
      </c>
      <c r="B18" t="s">
        <v>12</v>
      </c>
      <c r="C18">
        <v>4093</v>
      </c>
      <c r="D18" t="s">
        <v>13</v>
      </c>
      <c r="E18">
        <v>34010155</v>
      </c>
      <c r="F18" t="s">
        <v>29</v>
      </c>
      <c r="G18">
        <v>225.74</v>
      </c>
      <c r="H18" s="1">
        <v>45292</v>
      </c>
      <c r="I18">
        <v>214.99</v>
      </c>
      <c r="J18" s="1">
        <v>44927</v>
      </c>
      <c r="K18">
        <v>10.75</v>
      </c>
      <c r="L18">
        <v>5</v>
      </c>
      <c r="M18" s="2">
        <f t="shared" si="0"/>
        <v>4.7621157083370245E-2</v>
      </c>
    </row>
    <row r="19" spans="1:13" x14ac:dyDescent="0.35">
      <c r="A19" t="s">
        <v>11</v>
      </c>
      <c r="B19" t="s">
        <v>12</v>
      </c>
      <c r="C19">
        <v>4093</v>
      </c>
      <c r="D19" t="s">
        <v>13</v>
      </c>
      <c r="E19">
        <v>34010160</v>
      </c>
      <c r="F19" t="s">
        <v>30</v>
      </c>
      <c r="G19">
        <v>225.74</v>
      </c>
      <c r="H19" s="1">
        <v>45292</v>
      </c>
      <c r="I19">
        <v>214.99</v>
      </c>
      <c r="J19" s="1">
        <v>44927</v>
      </c>
      <c r="K19">
        <v>10.75</v>
      </c>
      <c r="L19">
        <v>5</v>
      </c>
      <c r="M19" s="2">
        <f t="shared" si="0"/>
        <v>4.7621157083370245E-2</v>
      </c>
    </row>
    <row r="20" spans="1:13" x14ac:dyDescent="0.35">
      <c r="A20" t="s">
        <v>11</v>
      </c>
      <c r="B20" t="s">
        <v>12</v>
      </c>
      <c r="C20">
        <v>4093</v>
      </c>
      <c r="D20" t="s">
        <v>13</v>
      </c>
      <c r="E20">
        <v>34010240</v>
      </c>
      <c r="F20" t="s">
        <v>31</v>
      </c>
      <c r="G20">
        <v>170.96</v>
      </c>
      <c r="H20" s="1">
        <v>45292</v>
      </c>
      <c r="I20">
        <v>162.82</v>
      </c>
      <c r="J20" s="1">
        <v>44927</v>
      </c>
      <c r="K20">
        <v>8.14</v>
      </c>
      <c r="L20">
        <v>4.99</v>
      </c>
      <c r="M20" s="2">
        <f t="shared" si="0"/>
        <v>4.7613476836686944E-2</v>
      </c>
    </row>
    <row r="21" spans="1:13" x14ac:dyDescent="0.35">
      <c r="A21" t="s">
        <v>11</v>
      </c>
      <c r="B21" t="s">
        <v>12</v>
      </c>
      <c r="C21">
        <v>4093</v>
      </c>
      <c r="D21" t="s">
        <v>13</v>
      </c>
      <c r="E21">
        <v>34010280</v>
      </c>
      <c r="F21" t="s">
        <v>32</v>
      </c>
      <c r="G21">
        <v>225.74</v>
      </c>
      <c r="H21" s="1">
        <v>45292</v>
      </c>
      <c r="I21">
        <v>214.99</v>
      </c>
      <c r="J21" s="1">
        <v>44927</v>
      </c>
      <c r="K21">
        <v>10.75</v>
      </c>
      <c r="L21">
        <v>5</v>
      </c>
      <c r="M21" s="2">
        <f t="shared" si="0"/>
        <v>4.7621157083370245E-2</v>
      </c>
    </row>
    <row r="22" spans="1:13" x14ac:dyDescent="0.35">
      <c r="A22" t="s">
        <v>11</v>
      </c>
      <c r="B22" t="s">
        <v>12</v>
      </c>
      <c r="C22">
        <v>4093</v>
      </c>
      <c r="D22" t="s">
        <v>13</v>
      </c>
      <c r="E22">
        <v>34010295</v>
      </c>
      <c r="F22" t="s">
        <v>33</v>
      </c>
      <c r="G22">
        <v>71.88</v>
      </c>
      <c r="H22" s="1">
        <v>45292</v>
      </c>
      <c r="I22">
        <v>68.459999999999994</v>
      </c>
      <c r="J22" s="1">
        <v>44927</v>
      </c>
      <c r="K22">
        <v>3.42</v>
      </c>
      <c r="L22">
        <v>4.99</v>
      </c>
      <c r="M22" s="2">
        <f t="shared" si="0"/>
        <v>4.7579298831385647E-2</v>
      </c>
    </row>
    <row r="23" spans="1:13" x14ac:dyDescent="0.35">
      <c r="A23" t="s">
        <v>11</v>
      </c>
      <c r="B23" t="s">
        <v>12</v>
      </c>
      <c r="C23">
        <v>4093</v>
      </c>
      <c r="D23" t="s">
        <v>13</v>
      </c>
      <c r="E23">
        <v>34050140</v>
      </c>
      <c r="F23" t="s">
        <v>34</v>
      </c>
      <c r="G23">
        <v>98.19</v>
      </c>
      <c r="H23" s="1">
        <v>45292</v>
      </c>
      <c r="I23">
        <v>93.51</v>
      </c>
      <c r="J23" s="1">
        <v>44927</v>
      </c>
      <c r="K23">
        <v>4.68</v>
      </c>
      <c r="L23">
        <v>5</v>
      </c>
      <c r="M23" s="2">
        <f t="shared" si="0"/>
        <v>4.7662694775435381E-2</v>
      </c>
    </row>
    <row r="24" spans="1:13" x14ac:dyDescent="0.35">
      <c r="A24" t="s">
        <v>11</v>
      </c>
      <c r="B24" t="s">
        <v>12</v>
      </c>
      <c r="C24">
        <v>4093</v>
      </c>
      <c r="D24" t="s">
        <v>13</v>
      </c>
      <c r="E24">
        <v>34200030</v>
      </c>
      <c r="F24" t="s">
        <v>22</v>
      </c>
      <c r="G24">
        <v>225.74</v>
      </c>
      <c r="H24" s="1">
        <v>45292</v>
      </c>
      <c r="I24">
        <v>214.99</v>
      </c>
      <c r="J24" s="1">
        <v>44927</v>
      </c>
      <c r="K24">
        <v>10.75</v>
      </c>
      <c r="L24">
        <v>5</v>
      </c>
      <c r="M24" s="2">
        <f t="shared" si="0"/>
        <v>4.7621157083370245E-2</v>
      </c>
    </row>
    <row r="25" spans="1:13" x14ac:dyDescent="0.35">
      <c r="A25" t="s">
        <v>11</v>
      </c>
      <c r="B25" t="s">
        <v>12</v>
      </c>
      <c r="C25">
        <v>4093</v>
      </c>
      <c r="D25" t="s">
        <v>13</v>
      </c>
      <c r="E25">
        <v>34200050</v>
      </c>
      <c r="F25" t="s">
        <v>35</v>
      </c>
      <c r="G25">
        <v>28.94</v>
      </c>
      <c r="H25" s="1">
        <v>45292</v>
      </c>
      <c r="I25">
        <v>27.56</v>
      </c>
      <c r="J25" s="1">
        <v>44927</v>
      </c>
      <c r="K25">
        <v>1.38</v>
      </c>
      <c r="L25">
        <v>5</v>
      </c>
      <c r="M25" s="2">
        <f t="shared" si="0"/>
        <v>4.7684865238424322E-2</v>
      </c>
    </row>
    <row r="26" spans="1:13" x14ac:dyDescent="0.35">
      <c r="A26" t="s">
        <v>11</v>
      </c>
      <c r="B26" t="s">
        <v>12</v>
      </c>
      <c r="C26">
        <v>4093</v>
      </c>
      <c r="D26" t="s">
        <v>13</v>
      </c>
      <c r="E26">
        <v>34200051</v>
      </c>
      <c r="F26" t="s">
        <v>36</v>
      </c>
      <c r="G26">
        <v>28.94</v>
      </c>
      <c r="H26" s="1">
        <v>45292</v>
      </c>
      <c r="I26">
        <v>27.56</v>
      </c>
      <c r="J26" s="1">
        <v>44927</v>
      </c>
      <c r="K26">
        <v>1.38</v>
      </c>
      <c r="L26">
        <v>5</v>
      </c>
      <c r="M26" s="2">
        <f t="shared" si="0"/>
        <v>4.7684865238424322E-2</v>
      </c>
    </row>
    <row r="27" spans="1:13" x14ac:dyDescent="0.35">
      <c r="A27" t="s">
        <v>11</v>
      </c>
      <c r="B27" t="s">
        <v>12</v>
      </c>
      <c r="C27">
        <v>4093</v>
      </c>
      <c r="D27" t="s">
        <v>13</v>
      </c>
      <c r="E27">
        <v>34200052</v>
      </c>
      <c r="F27" t="s">
        <v>37</v>
      </c>
      <c r="G27">
        <v>28.94</v>
      </c>
      <c r="H27" s="1">
        <v>45292</v>
      </c>
      <c r="I27">
        <v>27.56</v>
      </c>
      <c r="J27" s="1">
        <v>44927</v>
      </c>
      <c r="K27">
        <v>1.38</v>
      </c>
      <c r="L27">
        <v>5</v>
      </c>
      <c r="M27" s="2">
        <f t="shared" si="0"/>
        <v>4.7684865238424322E-2</v>
      </c>
    </row>
    <row r="28" spans="1:13" x14ac:dyDescent="0.35">
      <c r="A28" t="s">
        <v>11</v>
      </c>
      <c r="B28" t="s">
        <v>12</v>
      </c>
      <c r="C28">
        <v>4093</v>
      </c>
      <c r="D28" t="s">
        <v>13</v>
      </c>
      <c r="E28">
        <v>34200053</v>
      </c>
      <c r="F28" t="s">
        <v>38</v>
      </c>
      <c r="G28">
        <v>28.94</v>
      </c>
      <c r="H28" s="1">
        <v>45292</v>
      </c>
      <c r="I28">
        <v>27.56</v>
      </c>
      <c r="J28" s="1">
        <v>44927</v>
      </c>
      <c r="K28">
        <v>1.38</v>
      </c>
      <c r="L28">
        <v>5</v>
      </c>
      <c r="M28" s="2">
        <f t="shared" si="0"/>
        <v>4.7684865238424322E-2</v>
      </c>
    </row>
    <row r="29" spans="1:13" x14ac:dyDescent="0.35">
      <c r="A29" t="s">
        <v>11</v>
      </c>
      <c r="B29" t="s">
        <v>12</v>
      </c>
      <c r="C29">
        <v>4093</v>
      </c>
      <c r="D29" t="s">
        <v>13</v>
      </c>
      <c r="E29">
        <v>34200061</v>
      </c>
      <c r="F29" t="s">
        <v>23</v>
      </c>
      <c r="G29">
        <v>225.74</v>
      </c>
      <c r="H29" s="1">
        <v>45292</v>
      </c>
      <c r="I29">
        <v>214.99</v>
      </c>
      <c r="J29" s="1">
        <v>44927</v>
      </c>
      <c r="K29">
        <v>10.75</v>
      </c>
      <c r="L29">
        <v>5</v>
      </c>
      <c r="M29" s="2">
        <f t="shared" si="0"/>
        <v>4.7621157083370245E-2</v>
      </c>
    </row>
    <row r="30" spans="1:13" x14ac:dyDescent="0.35">
      <c r="A30" t="s">
        <v>11</v>
      </c>
      <c r="B30" t="s">
        <v>12</v>
      </c>
      <c r="C30">
        <v>4093</v>
      </c>
      <c r="D30" t="s">
        <v>13</v>
      </c>
      <c r="E30">
        <v>34200070</v>
      </c>
      <c r="F30" t="s">
        <v>39</v>
      </c>
      <c r="G30">
        <v>109.98</v>
      </c>
      <c r="H30" s="1">
        <v>45292</v>
      </c>
      <c r="I30">
        <v>104.74</v>
      </c>
      <c r="J30" s="1">
        <v>44927</v>
      </c>
      <c r="K30">
        <v>5.24</v>
      </c>
      <c r="L30">
        <v>5</v>
      </c>
      <c r="M30" s="2">
        <f t="shared" si="0"/>
        <v>4.7645026368430626E-2</v>
      </c>
    </row>
    <row r="31" spans="1:13" x14ac:dyDescent="0.35">
      <c r="A31" t="s">
        <v>11</v>
      </c>
      <c r="B31" t="s">
        <v>12</v>
      </c>
      <c r="C31">
        <v>4093</v>
      </c>
      <c r="D31" t="s">
        <v>13</v>
      </c>
      <c r="E31">
        <v>34200110</v>
      </c>
      <c r="F31" t="s">
        <v>24</v>
      </c>
      <c r="G31">
        <v>225.74</v>
      </c>
      <c r="H31" s="1">
        <v>45292</v>
      </c>
      <c r="I31">
        <v>214.99</v>
      </c>
      <c r="J31" s="1">
        <v>44927</v>
      </c>
      <c r="K31">
        <v>10.75</v>
      </c>
      <c r="L31">
        <v>5</v>
      </c>
      <c r="M31" s="2">
        <f t="shared" si="0"/>
        <v>4.7621157083370245E-2</v>
      </c>
    </row>
    <row r="32" spans="1:13" x14ac:dyDescent="0.35">
      <c r="A32" t="s">
        <v>11</v>
      </c>
      <c r="B32" t="s">
        <v>12</v>
      </c>
      <c r="C32">
        <v>4093</v>
      </c>
      <c r="D32" t="s">
        <v>13</v>
      </c>
      <c r="E32">
        <v>34210035</v>
      </c>
      <c r="F32" t="s">
        <v>40</v>
      </c>
      <c r="G32">
        <v>111.44</v>
      </c>
      <c r="H32" s="1">
        <v>45292</v>
      </c>
      <c r="I32">
        <v>106.13</v>
      </c>
      <c r="J32" s="1">
        <v>44927</v>
      </c>
      <c r="K32">
        <v>5.31</v>
      </c>
      <c r="L32">
        <v>5</v>
      </c>
      <c r="M32" s="2">
        <f t="shared" si="0"/>
        <v>4.7648959081119879E-2</v>
      </c>
    </row>
    <row r="33" spans="1:13" x14ac:dyDescent="0.35">
      <c r="A33" t="s">
        <v>11</v>
      </c>
      <c r="B33" t="s">
        <v>12</v>
      </c>
      <c r="C33">
        <v>4093</v>
      </c>
      <c r="D33" t="s">
        <v>13</v>
      </c>
      <c r="E33">
        <v>34210053</v>
      </c>
      <c r="F33" t="s">
        <v>41</v>
      </c>
      <c r="G33">
        <v>83.35</v>
      </c>
      <c r="H33" s="1">
        <v>45292</v>
      </c>
      <c r="I33">
        <v>79.38</v>
      </c>
      <c r="J33" s="1">
        <v>45139</v>
      </c>
      <c r="K33">
        <v>3.97</v>
      </c>
      <c r="L33">
        <v>5</v>
      </c>
      <c r="M33" s="2">
        <f t="shared" si="0"/>
        <v>4.7630473905218962E-2</v>
      </c>
    </row>
    <row r="34" spans="1:13" x14ac:dyDescent="0.35">
      <c r="A34" t="s">
        <v>11</v>
      </c>
      <c r="B34" t="s">
        <v>12</v>
      </c>
      <c r="C34">
        <v>4093</v>
      </c>
      <c r="D34" t="s">
        <v>13</v>
      </c>
      <c r="E34">
        <v>34210075</v>
      </c>
      <c r="F34" t="s">
        <v>25</v>
      </c>
      <c r="G34">
        <v>225.74</v>
      </c>
      <c r="H34" s="1">
        <v>45292</v>
      </c>
      <c r="I34">
        <v>214.99</v>
      </c>
      <c r="J34" s="1">
        <v>44927</v>
      </c>
      <c r="K34">
        <v>10.75</v>
      </c>
      <c r="L34">
        <v>5</v>
      </c>
      <c r="M34" s="2">
        <f t="shared" si="0"/>
        <v>4.7621157083370245E-2</v>
      </c>
    </row>
    <row r="35" spans="1:13" x14ac:dyDescent="0.35">
      <c r="A35" t="s">
        <v>11</v>
      </c>
      <c r="B35" t="s">
        <v>12</v>
      </c>
      <c r="C35">
        <v>4093</v>
      </c>
      <c r="D35" t="s">
        <v>13</v>
      </c>
      <c r="E35">
        <v>34210090</v>
      </c>
      <c r="F35" t="s">
        <v>32</v>
      </c>
      <c r="G35">
        <v>214.99</v>
      </c>
      <c r="H35" s="1">
        <v>45292</v>
      </c>
      <c r="I35">
        <v>204.75</v>
      </c>
      <c r="J35" s="1">
        <v>44927</v>
      </c>
      <c r="K35">
        <v>10.24</v>
      </c>
      <c r="L35">
        <v>5</v>
      </c>
      <c r="M35" s="2">
        <f t="shared" si="0"/>
        <v>4.7630122331271223E-2</v>
      </c>
    </row>
    <row r="36" spans="1:13" x14ac:dyDescent="0.35">
      <c r="A36" t="s">
        <v>11</v>
      </c>
      <c r="B36" t="s">
        <v>12</v>
      </c>
      <c r="C36">
        <v>4093</v>
      </c>
      <c r="D36" t="s">
        <v>13</v>
      </c>
      <c r="E36">
        <v>34210130</v>
      </c>
      <c r="F36" t="s">
        <v>42</v>
      </c>
      <c r="G36">
        <v>81.62</v>
      </c>
      <c r="H36" s="1">
        <v>45292</v>
      </c>
      <c r="I36">
        <v>77.73</v>
      </c>
      <c r="J36" s="1">
        <v>44927</v>
      </c>
      <c r="K36">
        <v>3.89</v>
      </c>
      <c r="L36">
        <v>5</v>
      </c>
      <c r="M36" s="2">
        <f t="shared" si="0"/>
        <v>4.765988728252879E-2</v>
      </c>
    </row>
    <row r="37" spans="1:13" x14ac:dyDescent="0.35">
      <c r="A37" t="s">
        <v>11</v>
      </c>
      <c r="B37" t="s">
        <v>12</v>
      </c>
      <c r="C37">
        <v>4093</v>
      </c>
      <c r="D37" t="s">
        <v>13</v>
      </c>
      <c r="E37">
        <v>34210131</v>
      </c>
      <c r="F37" t="s">
        <v>43</v>
      </c>
      <c r="G37">
        <v>81.62</v>
      </c>
      <c r="H37" s="1">
        <v>45292</v>
      </c>
      <c r="I37">
        <v>77.73</v>
      </c>
      <c r="J37" s="1">
        <v>44927</v>
      </c>
      <c r="K37">
        <v>3.89</v>
      </c>
      <c r="L37">
        <v>5</v>
      </c>
      <c r="M37" s="2">
        <f t="shared" si="0"/>
        <v>4.765988728252879E-2</v>
      </c>
    </row>
    <row r="38" spans="1:13" x14ac:dyDescent="0.35">
      <c r="A38" t="s">
        <v>11</v>
      </c>
      <c r="B38" t="s">
        <v>12</v>
      </c>
      <c r="C38">
        <v>4093</v>
      </c>
      <c r="D38" t="s">
        <v>13</v>
      </c>
      <c r="E38">
        <v>34210150</v>
      </c>
      <c r="F38" t="s">
        <v>30</v>
      </c>
      <c r="G38">
        <v>225.74</v>
      </c>
      <c r="H38" s="1">
        <v>45292</v>
      </c>
      <c r="I38">
        <v>214.99</v>
      </c>
      <c r="J38" s="1">
        <v>44927</v>
      </c>
      <c r="K38">
        <v>10.75</v>
      </c>
      <c r="L38">
        <v>5</v>
      </c>
      <c r="M38" s="2">
        <f t="shared" si="0"/>
        <v>4.7621157083370245E-2</v>
      </c>
    </row>
    <row r="39" spans="1:13" x14ac:dyDescent="0.35">
      <c r="A39" t="s">
        <v>11</v>
      </c>
      <c r="B39" t="s">
        <v>12</v>
      </c>
      <c r="C39">
        <v>4093</v>
      </c>
      <c r="D39" t="s">
        <v>13</v>
      </c>
      <c r="E39">
        <v>34210215</v>
      </c>
      <c r="F39" t="s">
        <v>27</v>
      </c>
      <c r="G39">
        <v>225.74</v>
      </c>
      <c r="H39" s="1">
        <v>45292</v>
      </c>
      <c r="I39">
        <v>214.99</v>
      </c>
      <c r="J39" s="1">
        <v>44927</v>
      </c>
      <c r="K39">
        <v>10.75</v>
      </c>
      <c r="L39">
        <v>5</v>
      </c>
      <c r="M39" s="2">
        <f t="shared" si="0"/>
        <v>4.7621157083370245E-2</v>
      </c>
    </row>
    <row r="40" spans="1:13" x14ac:dyDescent="0.35">
      <c r="A40" t="s">
        <v>11</v>
      </c>
      <c r="B40" t="s">
        <v>12</v>
      </c>
      <c r="C40">
        <v>4093</v>
      </c>
      <c r="D40" t="s">
        <v>13</v>
      </c>
      <c r="E40">
        <v>34210265</v>
      </c>
      <c r="F40" t="s">
        <v>44</v>
      </c>
      <c r="G40">
        <v>148.53</v>
      </c>
      <c r="H40" s="1">
        <v>45292</v>
      </c>
      <c r="I40">
        <v>141.46</v>
      </c>
      <c r="J40" s="1">
        <v>44927</v>
      </c>
      <c r="K40">
        <v>7.07</v>
      </c>
      <c r="L40">
        <v>4.99</v>
      </c>
      <c r="M40" s="2">
        <f t="shared" si="0"/>
        <v>4.7599811485895108E-2</v>
      </c>
    </row>
    <row r="41" spans="1:13" x14ac:dyDescent="0.35">
      <c r="A41" t="s">
        <v>11</v>
      </c>
      <c r="B41" t="s">
        <v>12</v>
      </c>
      <c r="C41">
        <v>4093</v>
      </c>
      <c r="D41" t="s">
        <v>13</v>
      </c>
      <c r="E41">
        <v>34210270</v>
      </c>
      <c r="F41" t="s">
        <v>45</v>
      </c>
      <c r="G41">
        <v>159.37</v>
      </c>
      <c r="H41" s="1">
        <v>45292</v>
      </c>
      <c r="I41">
        <v>151.78</v>
      </c>
      <c r="J41" s="1">
        <v>44927</v>
      </c>
      <c r="K41">
        <v>7.59</v>
      </c>
      <c r="L41">
        <v>5</v>
      </c>
      <c r="M41" s="2">
        <f t="shared" si="0"/>
        <v>4.7625023530149961E-2</v>
      </c>
    </row>
    <row r="42" spans="1:13" x14ac:dyDescent="0.35">
      <c r="A42" t="s">
        <v>11</v>
      </c>
      <c r="B42" t="s">
        <v>12</v>
      </c>
      <c r="C42">
        <v>4093</v>
      </c>
      <c r="D42" t="s">
        <v>13</v>
      </c>
      <c r="E42">
        <v>34210275</v>
      </c>
      <c r="F42" t="s">
        <v>46</v>
      </c>
      <c r="G42">
        <v>117.06</v>
      </c>
      <c r="H42" s="1">
        <v>45292</v>
      </c>
      <c r="I42">
        <v>111.49</v>
      </c>
      <c r="J42" s="1">
        <v>44927</v>
      </c>
      <c r="K42">
        <v>5.57</v>
      </c>
      <c r="L42">
        <v>4.99</v>
      </c>
      <c r="M42" s="2">
        <f t="shared" si="0"/>
        <v>4.7582436357423548E-2</v>
      </c>
    </row>
    <row r="43" spans="1:13" x14ac:dyDescent="0.35">
      <c r="A43" t="s">
        <v>11</v>
      </c>
      <c r="B43" t="s">
        <v>12</v>
      </c>
      <c r="C43">
        <v>4093</v>
      </c>
      <c r="D43" t="s">
        <v>13</v>
      </c>
      <c r="E43">
        <v>34210280</v>
      </c>
      <c r="F43" t="s">
        <v>47</v>
      </c>
      <c r="G43">
        <v>123.07</v>
      </c>
      <c r="H43" s="1">
        <v>45292</v>
      </c>
      <c r="I43">
        <v>117.21</v>
      </c>
      <c r="J43" s="1">
        <v>44927</v>
      </c>
      <c r="K43">
        <v>5.86</v>
      </c>
      <c r="L43">
        <v>4.99</v>
      </c>
      <c r="M43" s="2">
        <f t="shared" si="0"/>
        <v>4.7615178353782407E-2</v>
      </c>
    </row>
    <row r="44" spans="1:13" x14ac:dyDescent="0.35">
      <c r="A44" t="s">
        <v>11</v>
      </c>
      <c r="B44" t="s">
        <v>12</v>
      </c>
      <c r="C44">
        <v>4093</v>
      </c>
      <c r="D44" t="s">
        <v>13</v>
      </c>
      <c r="E44">
        <v>34210285</v>
      </c>
      <c r="F44" t="s">
        <v>48</v>
      </c>
      <c r="G44">
        <v>150.5</v>
      </c>
      <c r="H44" s="1">
        <v>45292</v>
      </c>
      <c r="I44">
        <v>143.33000000000001</v>
      </c>
      <c r="J44" s="1">
        <v>44927</v>
      </c>
      <c r="K44">
        <v>7.17</v>
      </c>
      <c r="L44">
        <v>5</v>
      </c>
      <c r="M44" s="2">
        <f t="shared" si="0"/>
        <v>4.7641196013289033E-2</v>
      </c>
    </row>
    <row r="45" spans="1:13" x14ac:dyDescent="0.35">
      <c r="A45" t="s">
        <v>11</v>
      </c>
      <c r="B45" t="s">
        <v>12</v>
      </c>
      <c r="C45">
        <v>4093</v>
      </c>
      <c r="D45" t="s">
        <v>13</v>
      </c>
      <c r="E45">
        <v>34210345</v>
      </c>
      <c r="F45" t="s">
        <v>34</v>
      </c>
      <c r="G45">
        <v>76.66</v>
      </c>
      <c r="H45" s="1">
        <v>45292</v>
      </c>
      <c r="I45">
        <v>73.010000000000005</v>
      </c>
      <c r="J45" s="1">
        <v>44927</v>
      </c>
      <c r="K45">
        <v>3.65</v>
      </c>
      <c r="L45">
        <v>4.99</v>
      </c>
      <c r="M45" s="2">
        <f t="shared" si="0"/>
        <v>4.7612835898773805E-2</v>
      </c>
    </row>
    <row r="46" spans="1:13" x14ac:dyDescent="0.35">
      <c r="A46" t="s">
        <v>11</v>
      </c>
      <c r="B46" t="s">
        <v>12</v>
      </c>
      <c r="C46">
        <v>4093</v>
      </c>
      <c r="D46" t="s">
        <v>13</v>
      </c>
      <c r="E46">
        <v>34250085</v>
      </c>
      <c r="F46" t="s">
        <v>33</v>
      </c>
      <c r="G46">
        <v>100.83</v>
      </c>
      <c r="H46" s="1">
        <v>45292</v>
      </c>
      <c r="I46">
        <v>96.03</v>
      </c>
      <c r="J46" s="1">
        <v>44927</v>
      </c>
      <c r="K46">
        <v>4.8</v>
      </c>
      <c r="L46">
        <v>4.99</v>
      </c>
      <c r="M46" s="2">
        <f t="shared" si="0"/>
        <v>4.7604879500148765E-2</v>
      </c>
    </row>
    <row r="47" spans="1:13" x14ac:dyDescent="0.35">
      <c r="A47" t="s">
        <v>11</v>
      </c>
      <c r="B47" t="s">
        <v>12</v>
      </c>
      <c r="C47">
        <v>4093</v>
      </c>
      <c r="D47" t="s">
        <v>13</v>
      </c>
      <c r="E47">
        <v>34250127</v>
      </c>
      <c r="F47" t="s">
        <v>49</v>
      </c>
      <c r="G47">
        <v>607.75</v>
      </c>
      <c r="H47" s="1">
        <v>45292</v>
      </c>
      <c r="I47">
        <v>578.80999999999995</v>
      </c>
      <c r="J47" s="1">
        <v>44927</v>
      </c>
      <c r="K47">
        <v>28.94</v>
      </c>
      <c r="L47">
        <v>4.99</v>
      </c>
      <c r="M47" s="2">
        <f t="shared" si="0"/>
        <v>4.7618264088852329E-2</v>
      </c>
    </row>
    <row r="48" spans="1:13" x14ac:dyDescent="0.35">
      <c r="A48" t="s">
        <v>11</v>
      </c>
      <c r="B48" t="s">
        <v>12</v>
      </c>
      <c r="C48">
        <v>4093</v>
      </c>
      <c r="D48" t="s">
        <v>13</v>
      </c>
      <c r="E48">
        <v>34250128</v>
      </c>
      <c r="F48" t="s">
        <v>50</v>
      </c>
      <c r="G48">
        <v>607.75</v>
      </c>
      <c r="H48" s="1">
        <v>45292</v>
      </c>
      <c r="I48">
        <v>578.80999999999995</v>
      </c>
      <c r="J48" s="1">
        <v>44927</v>
      </c>
      <c r="K48">
        <v>28.94</v>
      </c>
      <c r="L48">
        <v>4.99</v>
      </c>
      <c r="M48" s="2">
        <f t="shared" si="0"/>
        <v>4.7618264088852329E-2</v>
      </c>
    </row>
    <row r="49" spans="1:13" x14ac:dyDescent="0.35">
      <c r="A49" t="s">
        <v>11</v>
      </c>
      <c r="B49" t="s">
        <v>12</v>
      </c>
      <c r="C49">
        <v>4093</v>
      </c>
      <c r="D49" t="s">
        <v>13</v>
      </c>
      <c r="E49">
        <v>34250129</v>
      </c>
      <c r="F49" t="s">
        <v>51</v>
      </c>
      <c r="G49">
        <v>607.75</v>
      </c>
      <c r="H49" s="1">
        <v>45292</v>
      </c>
      <c r="I49">
        <v>578.80999999999995</v>
      </c>
      <c r="J49" s="1">
        <v>44927</v>
      </c>
      <c r="K49">
        <v>28.94</v>
      </c>
      <c r="L49">
        <v>4.99</v>
      </c>
      <c r="M49" s="2">
        <f t="shared" si="0"/>
        <v>4.7618264088852329E-2</v>
      </c>
    </row>
    <row r="50" spans="1:13" x14ac:dyDescent="0.35">
      <c r="A50" t="s">
        <v>11</v>
      </c>
      <c r="B50" t="s">
        <v>12</v>
      </c>
      <c r="C50">
        <v>4093</v>
      </c>
      <c r="D50" t="s">
        <v>13</v>
      </c>
      <c r="E50">
        <v>34299985</v>
      </c>
      <c r="F50" t="s">
        <v>52</v>
      </c>
      <c r="G50">
        <v>93.77</v>
      </c>
      <c r="H50" s="1">
        <v>45292</v>
      </c>
      <c r="I50">
        <v>89.3</v>
      </c>
      <c r="J50" s="1">
        <v>44927</v>
      </c>
      <c r="K50">
        <v>4.47</v>
      </c>
      <c r="L50">
        <v>5</v>
      </c>
      <c r="M50" s="2">
        <f t="shared" si="0"/>
        <v>4.7669830436173614E-2</v>
      </c>
    </row>
    <row r="51" spans="1:13" x14ac:dyDescent="0.35">
      <c r="A51" t="s">
        <v>11</v>
      </c>
      <c r="B51" t="s">
        <v>12</v>
      </c>
      <c r="C51">
        <v>4093</v>
      </c>
      <c r="D51" t="s">
        <v>13</v>
      </c>
      <c r="E51">
        <v>34600013</v>
      </c>
      <c r="F51" t="s">
        <v>41</v>
      </c>
      <c r="G51">
        <v>82.56</v>
      </c>
      <c r="H51" s="1">
        <v>45292</v>
      </c>
      <c r="I51">
        <v>78.63</v>
      </c>
      <c r="J51" s="1">
        <v>45139</v>
      </c>
      <c r="K51">
        <v>3.93</v>
      </c>
      <c r="L51">
        <v>4.99</v>
      </c>
      <c r="M51" s="2">
        <f t="shared" si="0"/>
        <v>4.7601744186046513E-2</v>
      </c>
    </row>
    <row r="52" spans="1:13" x14ac:dyDescent="0.35">
      <c r="A52" t="s">
        <v>11</v>
      </c>
      <c r="B52" t="s">
        <v>12</v>
      </c>
      <c r="C52">
        <v>4093</v>
      </c>
      <c r="D52" t="s">
        <v>13</v>
      </c>
      <c r="E52">
        <v>34600014</v>
      </c>
      <c r="F52" t="s">
        <v>53</v>
      </c>
      <c r="G52">
        <v>89.89</v>
      </c>
      <c r="H52" s="1">
        <v>45292</v>
      </c>
      <c r="I52">
        <v>85.61</v>
      </c>
      <c r="J52" s="1">
        <v>45139</v>
      </c>
      <c r="K52">
        <v>4.28</v>
      </c>
      <c r="L52">
        <v>4.99</v>
      </c>
      <c r="M52" s="2">
        <f t="shared" si="0"/>
        <v>4.7613750139058851E-2</v>
      </c>
    </row>
    <row r="53" spans="1:13" x14ac:dyDescent="0.35">
      <c r="A53" t="s">
        <v>11</v>
      </c>
      <c r="B53" t="s">
        <v>12</v>
      </c>
      <c r="C53">
        <v>4093</v>
      </c>
      <c r="D53" t="s">
        <v>13</v>
      </c>
      <c r="E53">
        <v>34600019</v>
      </c>
      <c r="F53" t="s">
        <v>54</v>
      </c>
      <c r="G53">
        <v>85.41</v>
      </c>
      <c r="H53" s="1">
        <v>45292</v>
      </c>
      <c r="I53">
        <v>81.34</v>
      </c>
      <c r="J53" s="1">
        <v>44927</v>
      </c>
      <c r="K53">
        <v>4.07</v>
      </c>
      <c r="L53">
        <v>5</v>
      </c>
      <c r="M53" s="2">
        <f t="shared" si="0"/>
        <v>4.7652499707294231E-2</v>
      </c>
    </row>
    <row r="54" spans="1:13" x14ac:dyDescent="0.35">
      <c r="A54" t="s">
        <v>11</v>
      </c>
      <c r="B54" t="s">
        <v>12</v>
      </c>
      <c r="C54">
        <v>4093</v>
      </c>
      <c r="D54" t="s">
        <v>13</v>
      </c>
      <c r="E54">
        <v>34600031</v>
      </c>
      <c r="F54" t="s">
        <v>55</v>
      </c>
      <c r="G54">
        <v>578.80999999999995</v>
      </c>
      <c r="H54" s="1">
        <v>45292</v>
      </c>
      <c r="I54">
        <v>551.25</v>
      </c>
      <c r="J54" s="1">
        <v>44927</v>
      </c>
      <c r="K54">
        <v>27.56</v>
      </c>
      <c r="L54">
        <v>4.99</v>
      </c>
      <c r="M54" s="2">
        <f t="shared" si="0"/>
        <v>4.7614934088906553E-2</v>
      </c>
    </row>
    <row r="55" spans="1:13" x14ac:dyDescent="0.35">
      <c r="A55" t="s">
        <v>11</v>
      </c>
      <c r="B55" t="s">
        <v>12</v>
      </c>
      <c r="C55">
        <v>4093</v>
      </c>
      <c r="D55" t="s">
        <v>13</v>
      </c>
      <c r="E55">
        <v>34600032</v>
      </c>
      <c r="F55" t="s">
        <v>56</v>
      </c>
      <c r="G55">
        <v>607.75</v>
      </c>
      <c r="H55" s="1">
        <v>45292</v>
      </c>
      <c r="I55">
        <v>578.80999999999995</v>
      </c>
      <c r="J55" s="1">
        <v>44927</v>
      </c>
      <c r="K55">
        <v>28.94</v>
      </c>
      <c r="L55">
        <v>4.99</v>
      </c>
      <c r="M55" s="2">
        <f t="shared" si="0"/>
        <v>4.7618264088852329E-2</v>
      </c>
    </row>
    <row r="56" spans="1:13" x14ac:dyDescent="0.35">
      <c r="A56" t="s">
        <v>11</v>
      </c>
      <c r="B56" t="s">
        <v>12</v>
      </c>
      <c r="C56">
        <v>4093</v>
      </c>
      <c r="D56" t="s">
        <v>13</v>
      </c>
      <c r="E56">
        <v>34600120</v>
      </c>
      <c r="F56" t="s">
        <v>57</v>
      </c>
      <c r="G56">
        <v>493.15</v>
      </c>
      <c r="H56" s="1">
        <v>45292</v>
      </c>
      <c r="I56">
        <v>469.67</v>
      </c>
      <c r="J56" s="1">
        <v>44927</v>
      </c>
      <c r="K56">
        <v>23.48</v>
      </c>
      <c r="L56">
        <v>4.99</v>
      </c>
      <c r="M56" s="2">
        <f t="shared" si="0"/>
        <v>4.7612288350400489E-2</v>
      </c>
    </row>
    <row r="57" spans="1:13" x14ac:dyDescent="0.35">
      <c r="A57" t="s">
        <v>11</v>
      </c>
      <c r="B57" t="s">
        <v>12</v>
      </c>
      <c r="C57">
        <v>4093</v>
      </c>
      <c r="D57" t="s">
        <v>13</v>
      </c>
      <c r="E57">
        <v>34600135</v>
      </c>
      <c r="F57" t="s">
        <v>58</v>
      </c>
      <c r="G57">
        <v>27.56</v>
      </c>
      <c r="H57" s="1">
        <v>45292</v>
      </c>
      <c r="I57">
        <v>26.25</v>
      </c>
      <c r="J57" s="1">
        <v>44927</v>
      </c>
      <c r="K57">
        <v>1.31</v>
      </c>
      <c r="L57">
        <v>4.99</v>
      </c>
      <c r="M57" s="2">
        <f t="shared" si="0"/>
        <v>4.7532656023222063E-2</v>
      </c>
    </row>
    <row r="58" spans="1:13" x14ac:dyDescent="0.35">
      <c r="A58" t="s">
        <v>11</v>
      </c>
      <c r="B58" t="s">
        <v>12</v>
      </c>
      <c r="C58">
        <v>4093</v>
      </c>
      <c r="D58" t="s">
        <v>13</v>
      </c>
      <c r="E58">
        <v>34600136</v>
      </c>
      <c r="F58" t="s">
        <v>59</v>
      </c>
      <c r="G58">
        <v>27.56</v>
      </c>
      <c r="H58" s="1">
        <v>45292</v>
      </c>
      <c r="I58">
        <v>26.25</v>
      </c>
      <c r="J58" s="1">
        <v>44927</v>
      </c>
      <c r="K58">
        <v>1.31</v>
      </c>
      <c r="L58">
        <v>4.99</v>
      </c>
      <c r="M58" s="2">
        <f t="shared" si="0"/>
        <v>4.7532656023222063E-2</v>
      </c>
    </row>
    <row r="59" spans="1:13" x14ac:dyDescent="0.35">
      <c r="A59" t="s">
        <v>11</v>
      </c>
      <c r="B59" t="s">
        <v>12</v>
      </c>
      <c r="C59">
        <v>4093</v>
      </c>
      <c r="D59" t="s">
        <v>13</v>
      </c>
      <c r="E59">
        <v>34600137</v>
      </c>
      <c r="F59" t="s">
        <v>60</v>
      </c>
      <c r="G59">
        <v>27.56</v>
      </c>
      <c r="H59" s="1">
        <v>45292</v>
      </c>
      <c r="I59">
        <v>26.25</v>
      </c>
      <c r="J59" s="1">
        <v>44927</v>
      </c>
      <c r="K59">
        <v>1.31</v>
      </c>
      <c r="L59">
        <v>4.99</v>
      </c>
      <c r="M59" s="2">
        <f t="shared" si="0"/>
        <v>4.7532656023222063E-2</v>
      </c>
    </row>
    <row r="60" spans="1:13" x14ac:dyDescent="0.35">
      <c r="A60" t="s">
        <v>11</v>
      </c>
      <c r="B60" t="s">
        <v>12</v>
      </c>
      <c r="C60">
        <v>4093</v>
      </c>
      <c r="D60" t="s">
        <v>13</v>
      </c>
      <c r="E60">
        <v>34600141</v>
      </c>
      <c r="F60" t="s">
        <v>42</v>
      </c>
      <c r="G60">
        <v>72.25</v>
      </c>
      <c r="H60" s="1">
        <v>45292</v>
      </c>
      <c r="I60">
        <v>68.81</v>
      </c>
      <c r="J60" s="1">
        <v>44927</v>
      </c>
      <c r="K60">
        <v>3.44</v>
      </c>
      <c r="L60">
        <v>4.99</v>
      </c>
      <c r="M60" s="2">
        <f t="shared" si="0"/>
        <v>4.7612456747404844E-2</v>
      </c>
    </row>
    <row r="61" spans="1:13" x14ac:dyDescent="0.35">
      <c r="A61" t="s">
        <v>11</v>
      </c>
      <c r="B61" t="s">
        <v>12</v>
      </c>
      <c r="C61">
        <v>4093</v>
      </c>
      <c r="D61" t="s">
        <v>13</v>
      </c>
      <c r="E61">
        <v>34600145</v>
      </c>
      <c r="F61" t="s">
        <v>61</v>
      </c>
      <c r="G61">
        <v>607.75</v>
      </c>
      <c r="H61" s="1">
        <v>45292</v>
      </c>
      <c r="I61">
        <v>578.80999999999995</v>
      </c>
      <c r="J61" s="1">
        <v>44927</v>
      </c>
      <c r="K61">
        <v>28.94</v>
      </c>
      <c r="L61">
        <v>4.99</v>
      </c>
      <c r="M61" s="2">
        <f t="shared" si="0"/>
        <v>4.7618264088852329E-2</v>
      </c>
    </row>
    <row r="62" spans="1:13" x14ac:dyDescent="0.35">
      <c r="A62" t="s">
        <v>11</v>
      </c>
      <c r="B62" t="s">
        <v>12</v>
      </c>
      <c r="C62">
        <v>4093</v>
      </c>
      <c r="D62" t="s">
        <v>13</v>
      </c>
      <c r="E62">
        <v>34600146</v>
      </c>
      <c r="F62" t="s">
        <v>62</v>
      </c>
      <c r="G62">
        <v>607.75</v>
      </c>
      <c r="H62" s="1">
        <v>45292</v>
      </c>
      <c r="I62">
        <v>578.80999999999995</v>
      </c>
      <c r="J62" s="1">
        <v>44927</v>
      </c>
      <c r="K62">
        <v>28.94</v>
      </c>
      <c r="L62">
        <v>4.99</v>
      </c>
      <c r="M62" s="2">
        <f t="shared" si="0"/>
        <v>4.7618264088852329E-2</v>
      </c>
    </row>
    <row r="63" spans="1:13" x14ac:dyDescent="0.35">
      <c r="A63" t="s">
        <v>11</v>
      </c>
      <c r="B63" t="s">
        <v>12</v>
      </c>
      <c r="C63">
        <v>4093</v>
      </c>
      <c r="D63" t="s">
        <v>13</v>
      </c>
      <c r="E63">
        <v>34600147</v>
      </c>
      <c r="F63" t="s">
        <v>63</v>
      </c>
      <c r="G63">
        <v>607.75</v>
      </c>
      <c r="H63" s="1">
        <v>45292</v>
      </c>
      <c r="I63">
        <v>578.80999999999995</v>
      </c>
      <c r="J63" s="1">
        <v>44927</v>
      </c>
      <c r="K63">
        <v>28.94</v>
      </c>
      <c r="L63">
        <v>4.99</v>
      </c>
      <c r="M63" s="2">
        <f t="shared" si="0"/>
        <v>4.7618264088852329E-2</v>
      </c>
    </row>
    <row r="64" spans="1:13" x14ac:dyDescent="0.35">
      <c r="A64" t="s">
        <v>11</v>
      </c>
      <c r="B64" t="s">
        <v>12</v>
      </c>
      <c r="C64">
        <v>4093</v>
      </c>
      <c r="D64" t="s">
        <v>13</v>
      </c>
      <c r="E64">
        <v>34600148</v>
      </c>
      <c r="F64" t="s">
        <v>64</v>
      </c>
      <c r="G64">
        <v>607.75</v>
      </c>
      <c r="H64" s="1">
        <v>45292</v>
      </c>
      <c r="I64">
        <v>578.80999999999995</v>
      </c>
      <c r="J64" s="1">
        <v>44927</v>
      </c>
      <c r="K64">
        <v>28.94</v>
      </c>
      <c r="L64">
        <v>4.99</v>
      </c>
      <c r="M64" s="2">
        <f t="shared" si="0"/>
        <v>4.7618264088852329E-2</v>
      </c>
    </row>
    <row r="65" spans="1:13" x14ac:dyDescent="0.35">
      <c r="A65" t="s">
        <v>11</v>
      </c>
      <c r="B65" t="s">
        <v>12</v>
      </c>
      <c r="C65">
        <v>4093</v>
      </c>
      <c r="D65" t="s">
        <v>13</v>
      </c>
      <c r="E65">
        <v>34600290</v>
      </c>
      <c r="F65" t="s">
        <v>65</v>
      </c>
      <c r="G65">
        <v>28.94</v>
      </c>
      <c r="H65" s="1">
        <v>45292</v>
      </c>
      <c r="I65">
        <v>27.56</v>
      </c>
      <c r="J65" s="1">
        <v>44927</v>
      </c>
      <c r="K65">
        <v>1.38</v>
      </c>
      <c r="L65">
        <v>5</v>
      </c>
      <c r="M65" s="2">
        <f t="shared" ref="M65:M118" si="1">K65/G65</f>
        <v>4.7684865238424322E-2</v>
      </c>
    </row>
    <row r="66" spans="1:13" x14ac:dyDescent="0.35">
      <c r="A66" t="s">
        <v>11</v>
      </c>
      <c r="B66" t="s">
        <v>12</v>
      </c>
      <c r="C66">
        <v>4093</v>
      </c>
      <c r="D66" t="s">
        <v>13</v>
      </c>
      <c r="E66">
        <v>34600420</v>
      </c>
      <c r="F66" t="s">
        <v>66</v>
      </c>
      <c r="G66">
        <v>448</v>
      </c>
      <c r="H66" s="1">
        <v>45292</v>
      </c>
      <c r="I66">
        <v>426.67</v>
      </c>
      <c r="J66" s="1">
        <v>44927</v>
      </c>
      <c r="K66">
        <v>21.33</v>
      </c>
      <c r="L66">
        <v>4.99</v>
      </c>
      <c r="M66" s="2">
        <f t="shared" si="1"/>
        <v>4.7611607142857136E-2</v>
      </c>
    </row>
    <row r="67" spans="1:13" x14ac:dyDescent="0.35">
      <c r="A67" t="s">
        <v>11</v>
      </c>
      <c r="B67" t="s">
        <v>12</v>
      </c>
      <c r="C67">
        <v>4093</v>
      </c>
      <c r="D67" t="s">
        <v>13</v>
      </c>
      <c r="E67">
        <v>34600422</v>
      </c>
      <c r="F67" t="s">
        <v>67</v>
      </c>
      <c r="G67">
        <v>607.75</v>
      </c>
      <c r="H67" s="1">
        <v>45292</v>
      </c>
      <c r="I67">
        <v>578.80999999999995</v>
      </c>
      <c r="J67" s="1">
        <v>44927</v>
      </c>
      <c r="K67">
        <v>28.94</v>
      </c>
      <c r="L67">
        <v>4.99</v>
      </c>
      <c r="M67" s="2">
        <f t="shared" si="1"/>
        <v>4.7618264088852329E-2</v>
      </c>
    </row>
    <row r="68" spans="1:13" x14ac:dyDescent="0.35">
      <c r="A68" t="s">
        <v>11</v>
      </c>
      <c r="B68" t="s">
        <v>12</v>
      </c>
      <c r="C68">
        <v>4093</v>
      </c>
      <c r="D68" t="s">
        <v>13</v>
      </c>
      <c r="E68">
        <v>34600423</v>
      </c>
      <c r="F68" t="s">
        <v>68</v>
      </c>
      <c r="G68">
        <v>607.75</v>
      </c>
      <c r="H68" s="1">
        <v>45292</v>
      </c>
      <c r="I68">
        <v>578.80999999999995</v>
      </c>
      <c r="J68" s="1">
        <v>44927</v>
      </c>
      <c r="K68">
        <v>28.94</v>
      </c>
      <c r="L68">
        <v>4.99</v>
      </c>
      <c r="M68" s="2">
        <f t="shared" si="1"/>
        <v>4.7618264088852329E-2</v>
      </c>
    </row>
    <row r="69" spans="1:13" x14ac:dyDescent="0.35">
      <c r="A69" t="s">
        <v>11</v>
      </c>
      <c r="B69" t="s">
        <v>12</v>
      </c>
      <c r="C69">
        <v>4093</v>
      </c>
      <c r="D69" t="s">
        <v>13</v>
      </c>
      <c r="E69">
        <v>34600424</v>
      </c>
      <c r="F69" t="s">
        <v>69</v>
      </c>
      <c r="G69">
        <v>358.17</v>
      </c>
      <c r="H69" s="1">
        <v>45292</v>
      </c>
      <c r="I69">
        <v>341.11</v>
      </c>
      <c r="J69" s="1">
        <v>44927</v>
      </c>
      <c r="K69">
        <v>17.059999999999999</v>
      </c>
      <c r="L69">
        <v>5</v>
      </c>
      <c r="M69" s="2">
        <f t="shared" si="1"/>
        <v>4.7631013206019479E-2</v>
      </c>
    </row>
    <row r="70" spans="1:13" x14ac:dyDescent="0.35">
      <c r="A70" t="s">
        <v>11</v>
      </c>
      <c r="B70" t="s">
        <v>12</v>
      </c>
      <c r="C70">
        <v>4093</v>
      </c>
      <c r="D70" t="s">
        <v>13</v>
      </c>
      <c r="E70">
        <v>34600450</v>
      </c>
      <c r="F70" t="s">
        <v>70</v>
      </c>
      <c r="G70">
        <v>27.56</v>
      </c>
      <c r="H70" s="1">
        <v>45292</v>
      </c>
      <c r="I70">
        <v>26.25</v>
      </c>
      <c r="J70" s="1">
        <v>44927</v>
      </c>
      <c r="K70">
        <v>1.31</v>
      </c>
      <c r="L70">
        <v>4.99</v>
      </c>
      <c r="M70" s="2">
        <f t="shared" si="1"/>
        <v>4.7532656023222063E-2</v>
      </c>
    </row>
    <row r="71" spans="1:13" x14ac:dyDescent="0.35">
      <c r="A71" t="s">
        <v>11</v>
      </c>
      <c r="B71" t="s">
        <v>12</v>
      </c>
      <c r="C71">
        <v>4093</v>
      </c>
      <c r="D71" t="s">
        <v>13</v>
      </c>
      <c r="E71">
        <v>34600510</v>
      </c>
      <c r="F71" t="s">
        <v>71</v>
      </c>
      <c r="G71">
        <v>156.24</v>
      </c>
      <c r="H71" s="1">
        <v>45292</v>
      </c>
      <c r="I71">
        <v>148.80000000000001</v>
      </c>
      <c r="J71" s="1">
        <v>44927</v>
      </c>
      <c r="K71">
        <v>7.44</v>
      </c>
      <c r="L71">
        <v>5</v>
      </c>
      <c r="M71" s="2">
        <f t="shared" si="1"/>
        <v>4.7619047619047616E-2</v>
      </c>
    </row>
    <row r="72" spans="1:13" x14ac:dyDescent="0.35">
      <c r="A72" t="s">
        <v>11</v>
      </c>
      <c r="B72" t="s">
        <v>12</v>
      </c>
      <c r="C72">
        <v>4093</v>
      </c>
      <c r="D72" t="s">
        <v>13</v>
      </c>
      <c r="E72">
        <v>34600525</v>
      </c>
      <c r="F72" t="s">
        <v>32</v>
      </c>
      <c r="G72">
        <v>214.99</v>
      </c>
      <c r="H72" s="1">
        <v>45292</v>
      </c>
      <c r="I72">
        <v>204.75</v>
      </c>
      <c r="J72" s="1">
        <v>44927</v>
      </c>
      <c r="K72">
        <v>10.24</v>
      </c>
      <c r="L72">
        <v>5</v>
      </c>
      <c r="M72" s="2">
        <f t="shared" si="1"/>
        <v>4.7630122331271223E-2</v>
      </c>
    </row>
    <row r="73" spans="1:13" x14ac:dyDescent="0.35">
      <c r="A73" t="s">
        <v>11</v>
      </c>
      <c r="B73" t="s">
        <v>12</v>
      </c>
      <c r="C73">
        <v>4093</v>
      </c>
      <c r="D73" t="s">
        <v>13</v>
      </c>
      <c r="E73">
        <v>34600530</v>
      </c>
      <c r="F73" t="s">
        <v>72</v>
      </c>
      <c r="G73">
        <v>382.54</v>
      </c>
      <c r="H73" s="1">
        <v>45292</v>
      </c>
      <c r="I73">
        <v>364.32</v>
      </c>
      <c r="J73" s="1">
        <v>44927</v>
      </c>
      <c r="K73">
        <v>18.22</v>
      </c>
      <c r="L73">
        <v>5</v>
      </c>
      <c r="M73" s="2">
        <f t="shared" si="1"/>
        <v>4.7629006117007364E-2</v>
      </c>
    </row>
    <row r="74" spans="1:13" x14ac:dyDescent="0.35">
      <c r="A74" t="s">
        <v>11</v>
      </c>
      <c r="B74" t="s">
        <v>12</v>
      </c>
      <c r="C74">
        <v>4093</v>
      </c>
      <c r="D74" t="s">
        <v>13</v>
      </c>
      <c r="E74">
        <v>34650005</v>
      </c>
      <c r="F74" t="s">
        <v>73</v>
      </c>
      <c r="G74">
        <v>329.29</v>
      </c>
      <c r="H74" s="1">
        <v>45292</v>
      </c>
      <c r="I74">
        <v>313.61</v>
      </c>
      <c r="J74" s="1">
        <v>44927</v>
      </c>
      <c r="K74">
        <v>15.68</v>
      </c>
      <c r="L74">
        <v>4.99</v>
      </c>
      <c r="M74" s="2">
        <f t="shared" si="1"/>
        <v>4.7617601506271062E-2</v>
      </c>
    </row>
    <row r="75" spans="1:13" x14ac:dyDescent="0.35">
      <c r="A75" t="s">
        <v>11</v>
      </c>
      <c r="B75" t="s">
        <v>12</v>
      </c>
      <c r="C75">
        <v>4093</v>
      </c>
      <c r="D75" t="s">
        <v>13</v>
      </c>
      <c r="E75">
        <v>34650015</v>
      </c>
      <c r="F75" t="s">
        <v>74</v>
      </c>
      <c r="G75">
        <v>222.85</v>
      </c>
      <c r="H75" s="1">
        <v>45292</v>
      </c>
      <c r="I75">
        <v>212.24</v>
      </c>
      <c r="J75" s="1">
        <v>44927</v>
      </c>
      <c r="K75">
        <v>10.61</v>
      </c>
      <c r="L75">
        <v>4.99</v>
      </c>
      <c r="M75" s="2">
        <f t="shared" si="1"/>
        <v>4.7610500336549247E-2</v>
      </c>
    </row>
    <row r="76" spans="1:13" x14ac:dyDescent="0.35">
      <c r="A76" t="s">
        <v>11</v>
      </c>
      <c r="B76" t="s">
        <v>12</v>
      </c>
      <c r="C76">
        <v>4093</v>
      </c>
      <c r="D76" t="s">
        <v>13</v>
      </c>
      <c r="E76">
        <v>34699985</v>
      </c>
      <c r="F76" t="s">
        <v>52</v>
      </c>
      <c r="G76">
        <v>93.77</v>
      </c>
      <c r="H76" s="1">
        <v>45292</v>
      </c>
      <c r="I76">
        <v>89.3</v>
      </c>
      <c r="J76" s="1">
        <v>44927</v>
      </c>
      <c r="K76">
        <v>4.47</v>
      </c>
      <c r="L76">
        <v>5</v>
      </c>
      <c r="M76" s="2">
        <f t="shared" si="1"/>
        <v>4.7669830436173614E-2</v>
      </c>
    </row>
    <row r="77" spans="1:13" x14ac:dyDescent="0.35">
      <c r="A77" t="s">
        <v>11</v>
      </c>
      <c r="B77" t="s">
        <v>12</v>
      </c>
      <c r="C77">
        <v>4093</v>
      </c>
      <c r="D77" t="s">
        <v>13</v>
      </c>
      <c r="E77">
        <v>38200472</v>
      </c>
      <c r="F77" t="s">
        <v>75</v>
      </c>
      <c r="G77">
        <v>45.71</v>
      </c>
      <c r="H77" s="1">
        <v>45292</v>
      </c>
      <c r="I77">
        <v>44.31</v>
      </c>
      <c r="J77" s="1">
        <v>44927</v>
      </c>
      <c r="K77">
        <v>1.4</v>
      </c>
      <c r="L77">
        <v>3.15</v>
      </c>
      <c r="M77" s="2">
        <f t="shared" si="1"/>
        <v>3.0627871362940273E-2</v>
      </c>
    </row>
    <row r="78" spans="1:13" x14ac:dyDescent="0.35">
      <c r="A78" t="s">
        <v>11</v>
      </c>
      <c r="B78" t="s">
        <v>12</v>
      </c>
      <c r="C78">
        <v>4093</v>
      </c>
      <c r="D78" t="s">
        <v>13</v>
      </c>
      <c r="E78">
        <v>38251513</v>
      </c>
      <c r="F78" t="s">
        <v>76</v>
      </c>
      <c r="G78">
        <v>46.71</v>
      </c>
      <c r="H78" s="1">
        <v>45292</v>
      </c>
      <c r="I78">
        <v>45.3</v>
      </c>
      <c r="J78" s="1">
        <v>44927</v>
      </c>
      <c r="K78">
        <v>1.41</v>
      </c>
      <c r="L78">
        <v>3.11</v>
      </c>
      <c r="M78" s="2">
        <f t="shared" si="1"/>
        <v>3.0186255619781627E-2</v>
      </c>
    </row>
    <row r="79" spans="1:13" x14ac:dyDescent="0.35">
      <c r="A79" t="s">
        <v>11</v>
      </c>
      <c r="B79" t="s">
        <v>12</v>
      </c>
      <c r="C79">
        <v>4093</v>
      </c>
      <c r="D79" t="s">
        <v>13</v>
      </c>
      <c r="E79">
        <v>38251515</v>
      </c>
      <c r="F79" t="s">
        <v>77</v>
      </c>
      <c r="G79">
        <v>102.12</v>
      </c>
      <c r="H79" s="1">
        <v>45292</v>
      </c>
      <c r="I79">
        <v>106.56</v>
      </c>
      <c r="J79" s="1">
        <v>44927</v>
      </c>
      <c r="K79">
        <v>-4.4400000000000004</v>
      </c>
      <c r="L79">
        <v>-4.16</v>
      </c>
      <c r="M79" s="2">
        <f t="shared" si="1"/>
        <v>-4.3478260869565216E-2</v>
      </c>
    </row>
    <row r="80" spans="1:13" x14ac:dyDescent="0.35">
      <c r="A80" t="s">
        <v>11</v>
      </c>
      <c r="B80" t="s">
        <v>12</v>
      </c>
      <c r="C80">
        <v>4093</v>
      </c>
      <c r="D80" t="s">
        <v>13</v>
      </c>
      <c r="E80">
        <v>38251516</v>
      </c>
      <c r="F80" t="s">
        <v>78</v>
      </c>
      <c r="G80">
        <v>52.03</v>
      </c>
      <c r="H80" s="1">
        <v>45292</v>
      </c>
      <c r="I80">
        <v>54.3</v>
      </c>
      <c r="J80" s="1">
        <v>44927</v>
      </c>
      <c r="K80">
        <v>-2.27</v>
      </c>
      <c r="L80">
        <v>-4.18</v>
      </c>
      <c r="M80" s="2">
        <f t="shared" si="1"/>
        <v>-4.3628675763982321E-2</v>
      </c>
    </row>
    <row r="81" spans="1:13" x14ac:dyDescent="0.35">
      <c r="A81" t="s">
        <v>11</v>
      </c>
      <c r="B81" t="s">
        <v>12</v>
      </c>
      <c r="C81">
        <v>4093</v>
      </c>
      <c r="D81" t="s">
        <v>13</v>
      </c>
      <c r="E81">
        <v>38251517</v>
      </c>
      <c r="F81" t="s">
        <v>79</v>
      </c>
      <c r="G81">
        <v>50.72</v>
      </c>
      <c r="H81" s="1">
        <v>45292</v>
      </c>
      <c r="I81">
        <v>52.92</v>
      </c>
      <c r="J81" s="1">
        <v>44927</v>
      </c>
      <c r="K81">
        <v>-2.2000000000000002</v>
      </c>
      <c r="L81">
        <v>-4.1500000000000004</v>
      </c>
      <c r="M81" s="2">
        <f t="shared" si="1"/>
        <v>-4.3375394321766569E-2</v>
      </c>
    </row>
    <row r="82" spans="1:13" x14ac:dyDescent="0.35">
      <c r="A82" t="s">
        <v>11</v>
      </c>
      <c r="B82" t="s">
        <v>12</v>
      </c>
      <c r="C82">
        <v>4093</v>
      </c>
      <c r="D82" t="s">
        <v>13</v>
      </c>
      <c r="E82">
        <v>38251524</v>
      </c>
      <c r="F82" t="s">
        <v>80</v>
      </c>
      <c r="G82">
        <v>29.19</v>
      </c>
      <c r="H82" s="1">
        <v>45292</v>
      </c>
      <c r="I82">
        <v>30.45</v>
      </c>
      <c r="J82" s="1">
        <v>44927</v>
      </c>
      <c r="K82">
        <v>-1.26</v>
      </c>
      <c r="L82">
        <v>-4.13</v>
      </c>
      <c r="M82" s="2">
        <f t="shared" si="1"/>
        <v>-4.3165467625899276E-2</v>
      </c>
    </row>
    <row r="83" spans="1:13" x14ac:dyDescent="0.35">
      <c r="A83" t="s">
        <v>11</v>
      </c>
      <c r="B83" t="s">
        <v>12</v>
      </c>
      <c r="C83">
        <v>4093</v>
      </c>
      <c r="D83" t="s">
        <v>13</v>
      </c>
      <c r="E83">
        <v>38251525</v>
      </c>
      <c r="F83" t="s">
        <v>81</v>
      </c>
      <c r="G83">
        <v>36.43</v>
      </c>
      <c r="H83" s="1">
        <v>45292</v>
      </c>
      <c r="I83">
        <v>35.31</v>
      </c>
      <c r="J83" s="1">
        <v>44927</v>
      </c>
      <c r="K83">
        <v>1.1200000000000001</v>
      </c>
      <c r="L83">
        <v>3.17</v>
      </c>
      <c r="M83" s="2">
        <f t="shared" si="1"/>
        <v>3.0743892396376617E-2</v>
      </c>
    </row>
    <row r="84" spans="1:13" x14ac:dyDescent="0.35">
      <c r="A84" t="s">
        <v>11</v>
      </c>
      <c r="B84" t="s">
        <v>12</v>
      </c>
      <c r="C84">
        <v>4093</v>
      </c>
      <c r="D84" t="s">
        <v>13</v>
      </c>
      <c r="E84">
        <v>38251526</v>
      </c>
      <c r="F84" t="s">
        <v>82</v>
      </c>
      <c r="G84">
        <v>46.2</v>
      </c>
      <c r="H84" s="1">
        <v>45292</v>
      </c>
      <c r="I84">
        <v>48.51</v>
      </c>
      <c r="J84" s="1">
        <v>44927</v>
      </c>
      <c r="K84">
        <v>-2.31</v>
      </c>
      <c r="L84">
        <v>-4.76</v>
      </c>
      <c r="M84" s="2">
        <f t="shared" si="1"/>
        <v>-4.9999999999999996E-2</v>
      </c>
    </row>
    <row r="85" spans="1:13" x14ac:dyDescent="0.35">
      <c r="A85" t="s">
        <v>11</v>
      </c>
      <c r="B85" t="s">
        <v>12</v>
      </c>
      <c r="C85">
        <v>4093</v>
      </c>
      <c r="D85" t="s">
        <v>13</v>
      </c>
      <c r="E85">
        <v>38251527</v>
      </c>
      <c r="F85" t="s">
        <v>83</v>
      </c>
      <c r="G85">
        <v>29.95</v>
      </c>
      <c r="H85" s="1">
        <v>45292</v>
      </c>
      <c r="I85">
        <v>29.04</v>
      </c>
      <c r="J85" s="1">
        <v>44927</v>
      </c>
      <c r="K85">
        <v>0.91</v>
      </c>
      <c r="L85">
        <v>3.13</v>
      </c>
      <c r="M85" s="2">
        <f t="shared" si="1"/>
        <v>3.0383973288814693E-2</v>
      </c>
    </row>
    <row r="86" spans="1:13" x14ac:dyDescent="0.35">
      <c r="A86" t="s">
        <v>11</v>
      </c>
      <c r="B86" t="s">
        <v>12</v>
      </c>
      <c r="C86">
        <v>4093</v>
      </c>
      <c r="D86" t="s">
        <v>13</v>
      </c>
      <c r="E86">
        <v>38251528</v>
      </c>
      <c r="F86" t="s">
        <v>84</v>
      </c>
      <c r="G86">
        <v>28.19</v>
      </c>
      <c r="H86" s="1">
        <v>45292</v>
      </c>
      <c r="I86">
        <v>27.33</v>
      </c>
      <c r="J86" s="1">
        <v>44927</v>
      </c>
      <c r="K86">
        <v>0.86</v>
      </c>
      <c r="L86">
        <v>3.14</v>
      </c>
      <c r="M86" s="2">
        <f t="shared" si="1"/>
        <v>3.0507272082298687E-2</v>
      </c>
    </row>
    <row r="87" spans="1:13" x14ac:dyDescent="0.35">
      <c r="A87" t="s">
        <v>11</v>
      </c>
      <c r="B87" t="s">
        <v>12</v>
      </c>
      <c r="C87">
        <v>4093</v>
      </c>
      <c r="D87" t="s">
        <v>13</v>
      </c>
      <c r="E87">
        <v>38251534</v>
      </c>
      <c r="F87" t="s">
        <v>85</v>
      </c>
      <c r="G87">
        <v>50.27</v>
      </c>
      <c r="H87" s="1">
        <v>45292</v>
      </c>
      <c r="I87">
        <v>48.75</v>
      </c>
      <c r="J87" s="1">
        <v>44927</v>
      </c>
      <c r="K87">
        <v>1.52</v>
      </c>
      <c r="L87">
        <v>3.11</v>
      </c>
      <c r="M87" s="2">
        <f t="shared" si="1"/>
        <v>3.0236721702804854E-2</v>
      </c>
    </row>
    <row r="88" spans="1:13" x14ac:dyDescent="0.35">
      <c r="A88" t="s">
        <v>11</v>
      </c>
      <c r="B88" t="s">
        <v>12</v>
      </c>
      <c r="C88">
        <v>4093</v>
      </c>
      <c r="D88" t="s">
        <v>13</v>
      </c>
      <c r="E88">
        <v>38251540</v>
      </c>
      <c r="F88" t="s">
        <v>86</v>
      </c>
      <c r="G88">
        <v>22.46</v>
      </c>
      <c r="H88" s="1">
        <v>45292</v>
      </c>
      <c r="I88">
        <v>21.78</v>
      </c>
      <c r="J88" s="1">
        <v>44927</v>
      </c>
      <c r="K88">
        <v>0.68</v>
      </c>
      <c r="L88">
        <v>3.12</v>
      </c>
      <c r="M88" s="2">
        <f t="shared" si="1"/>
        <v>3.0276046304541407E-2</v>
      </c>
    </row>
    <row r="89" spans="1:13" x14ac:dyDescent="0.35">
      <c r="A89" t="s">
        <v>11</v>
      </c>
      <c r="B89" t="s">
        <v>12</v>
      </c>
      <c r="C89">
        <v>4093</v>
      </c>
      <c r="D89" t="s">
        <v>13</v>
      </c>
      <c r="E89">
        <v>38251541</v>
      </c>
      <c r="F89" t="s">
        <v>87</v>
      </c>
      <c r="G89">
        <v>39.85</v>
      </c>
      <c r="H89" s="1">
        <v>45292</v>
      </c>
      <c r="I89">
        <v>38.64</v>
      </c>
      <c r="J89" s="1">
        <v>44927</v>
      </c>
      <c r="K89">
        <v>1.21</v>
      </c>
      <c r="L89">
        <v>3.13</v>
      </c>
      <c r="M89" s="2">
        <f t="shared" si="1"/>
        <v>3.0363864491844413E-2</v>
      </c>
    </row>
    <row r="90" spans="1:13" x14ac:dyDescent="0.35">
      <c r="A90" t="s">
        <v>11</v>
      </c>
      <c r="B90" t="s">
        <v>12</v>
      </c>
      <c r="C90">
        <v>4093</v>
      </c>
      <c r="D90" t="s">
        <v>13</v>
      </c>
      <c r="E90">
        <v>38251544</v>
      </c>
      <c r="F90" t="s">
        <v>88</v>
      </c>
      <c r="G90">
        <v>47.02</v>
      </c>
      <c r="H90" s="1">
        <v>45292</v>
      </c>
      <c r="I90">
        <v>49.08</v>
      </c>
      <c r="J90" s="1">
        <v>44927</v>
      </c>
      <c r="K90">
        <v>-2.06</v>
      </c>
      <c r="L90">
        <v>-4.1900000000000004</v>
      </c>
      <c r="M90" s="2">
        <f t="shared" si="1"/>
        <v>-4.3811144193960018E-2</v>
      </c>
    </row>
    <row r="91" spans="1:13" x14ac:dyDescent="0.35">
      <c r="A91" t="s">
        <v>11</v>
      </c>
      <c r="B91" t="s">
        <v>12</v>
      </c>
      <c r="C91">
        <v>4093</v>
      </c>
      <c r="D91" t="s">
        <v>13</v>
      </c>
      <c r="E91">
        <v>38251547</v>
      </c>
      <c r="F91" t="s">
        <v>89</v>
      </c>
      <c r="G91">
        <v>33.5</v>
      </c>
      <c r="H91" s="1">
        <v>45292</v>
      </c>
      <c r="I91">
        <v>32.49</v>
      </c>
      <c r="J91" s="1">
        <v>44927</v>
      </c>
      <c r="K91">
        <v>1.01</v>
      </c>
      <c r="L91">
        <v>3.1</v>
      </c>
      <c r="M91" s="2">
        <f t="shared" si="1"/>
        <v>3.0149253731343285E-2</v>
      </c>
    </row>
    <row r="92" spans="1:13" x14ac:dyDescent="0.35">
      <c r="A92" t="s">
        <v>11</v>
      </c>
      <c r="B92" t="s">
        <v>12</v>
      </c>
      <c r="C92">
        <v>4093</v>
      </c>
      <c r="D92" t="s">
        <v>13</v>
      </c>
      <c r="E92">
        <v>38251548</v>
      </c>
      <c r="F92" t="s">
        <v>90</v>
      </c>
      <c r="G92">
        <v>22.32</v>
      </c>
      <c r="H92" s="1">
        <v>45292</v>
      </c>
      <c r="I92">
        <v>21.63</v>
      </c>
      <c r="J92" s="1">
        <v>44927</v>
      </c>
      <c r="K92">
        <v>0.69</v>
      </c>
      <c r="L92">
        <v>3.19</v>
      </c>
      <c r="M92" s="2">
        <f t="shared" si="1"/>
        <v>3.0913978494623653E-2</v>
      </c>
    </row>
    <row r="93" spans="1:13" x14ac:dyDescent="0.35">
      <c r="A93" t="s">
        <v>11</v>
      </c>
      <c r="B93" t="s">
        <v>12</v>
      </c>
      <c r="C93">
        <v>4093</v>
      </c>
      <c r="D93" t="s">
        <v>13</v>
      </c>
      <c r="E93">
        <v>38251551</v>
      </c>
      <c r="F93" t="s">
        <v>91</v>
      </c>
      <c r="G93">
        <v>23.77</v>
      </c>
      <c r="H93" s="1">
        <v>45292</v>
      </c>
      <c r="I93">
        <v>25.59</v>
      </c>
      <c r="J93" s="1">
        <v>44927</v>
      </c>
      <c r="K93">
        <v>-1.82</v>
      </c>
      <c r="L93">
        <v>-7.11</v>
      </c>
      <c r="M93" s="2">
        <f t="shared" si="1"/>
        <v>-7.6567101388304595E-2</v>
      </c>
    </row>
    <row r="94" spans="1:13" x14ac:dyDescent="0.35">
      <c r="A94" t="s">
        <v>11</v>
      </c>
      <c r="B94" t="s">
        <v>12</v>
      </c>
      <c r="C94">
        <v>4093</v>
      </c>
      <c r="D94" t="s">
        <v>13</v>
      </c>
      <c r="E94">
        <v>38251552</v>
      </c>
      <c r="F94" t="s">
        <v>92</v>
      </c>
      <c r="G94">
        <v>23.12</v>
      </c>
      <c r="H94" s="1">
        <v>45292</v>
      </c>
      <c r="I94">
        <v>22.41</v>
      </c>
      <c r="J94" s="1">
        <v>44927</v>
      </c>
      <c r="K94">
        <v>0.71</v>
      </c>
      <c r="L94">
        <v>3.16</v>
      </c>
      <c r="M94" s="2">
        <f t="shared" si="1"/>
        <v>3.0709342560553632E-2</v>
      </c>
    </row>
    <row r="95" spans="1:13" x14ac:dyDescent="0.35">
      <c r="A95" t="s">
        <v>11</v>
      </c>
      <c r="B95" t="s">
        <v>12</v>
      </c>
      <c r="C95">
        <v>4093</v>
      </c>
      <c r="D95" t="s">
        <v>13</v>
      </c>
      <c r="E95">
        <v>38251554</v>
      </c>
      <c r="F95" t="s">
        <v>93</v>
      </c>
      <c r="G95">
        <v>135.44999999999999</v>
      </c>
      <c r="H95" s="1">
        <v>45292</v>
      </c>
      <c r="I95">
        <v>131.31</v>
      </c>
      <c r="J95" s="1">
        <v>44927</v>
      </c>
      <c r="K95">
        <v>4.1399999999999997</v>
      </c>
      <c r="L95">
        <v>3.15</v>
      </c>
      <c r="M95" s="2">
        <f t="shared" si="1"/>
        <v>3.0564784053156147E-2</v>
      </c>
    </row>
    <row r="96" spans="1:13" x14ac:dyDescent="0.35">
      <c r="A96" t="s">
        <v>11</v>
      </c>
      <c r="B96" t="s">
        <v>12</v>
      </c>
      <c r="C96">
        <v>4093</v>
      </c>
      <c r="D96" t="s">
        <v>13</v>
      </c>
      <c r="E96">
        <v>38251555</v>
      </c>
      <c r="F96" t="s">
        <v>94</v>
      </c>
      <c r="G96">
        <v>22.8</v>
      </c>
      <c r="H96" s="1">
        <v>45292</v>
      </c>
      <c r="I96">
        <v>27.21</v>
      </c>
      <c r="J96" s="1">
        <v>44927</v>
      </c>
      <c r="K96">
        <v>-4.41</v>
      </c>
      <c r="L96">
        <v>-16.2</v>
      </c>
      <c r="M96" s="2">
        <f t="shared" si="1"/>
        <v>-0.19342105263157894</v>
      </c>
    </row>
    <row r="97" spans="1:13" x14ac:dyDescent="0.35">
      <c r="A97" t="s">
        <v>11</v>
      </c>
      <c r="B97" t="s">
        <v>12</v>
      </c>
      <c r="C97">
        <v>4093</v>
      </c>
      <c r="D97" t="s">
        <v>13</v>
      </c>
      <c r="E97">
        <v>38251556</v>
      </c>
      <c r="F97" t="s">
        <v>95</v>
      </c>
      <c r="G97">
        <v>23.53</v>
      </c>
      <c r="H97" s="1">
        <v>45292</v>
      </c>
      <c r="I97">
        <v>28.05</v>
      </c>
      <c r="J97" s="1">
        <v>44927</v>
      </c>
      <c r="K97">
        <v>-4.5199999999999996</v>
      </c>
      <c r="L97">
        <v>-16.11</v>
      </c>
      <c r="M97" s="2">
        <f t="shared" si="1"/>
        <v>-0.19209519762005947</v>
      </c>
    </row>
    <row r="98" spans="1:13" x14ac:dyDescent="0.35">
      <c r="A98" t="s">
        <v>11</v>
      </c>
      <c r="B98" t="s">
        <v>12</v>
      </c>
      <c r="C98">
        <v>4093</v>
      </c>
      <c r="D98" t="s">
        <v>13</v>
      </c>
      <c r="E98">
        <v>38251557</v>
      </c>
      <c r="F98" t="s">
        <v>96</v>
      </c>
      <c r="G98">
        <v>142.41999999999999</v>
      </c>
      <c r="H98" s="1">
        <v>45292</v>
      </c>
      <c r="I98">
        <v>169.86</v>
      </c>
      <c r="J98" s="1">
        <v>44927</v>
      </c>
      <c r="K98">
        <v>-27.44</v>
      </c>
      <c r="L98">
        <v>-16.149999999999999</v>
      </c>
      <c r="M98" s="2">
        <f t="shared" si="1"/>
        <v>-0.19266956888077519</v>
      </c>
    </row>
    <row r="99" spans="1:13" x14ac:dyDescent="0.35">
      <c r="A99" t="s">
        <v>11</v>
      </c>
      <c r="B99" t="s">
        <v>12</v>
      </c>
      <c r="C99">
        <v>4093</v>
      </c>
      <c r="D99" t="s">
        <v>13</v>
      </c>
      <c r="E99">
        <v>38251558</v>
      </c>
      <c r="F99" t="s">
        <v>97</v>
      </c>
      <c r="G99">
        <v>16.350000000000001</v>
      </c>
      <c r="H99" s="1">
        <v>45292</v>
      </c>
      <c r="I99">
        <v>19.23</v>
      </c>
      <c r="J99" s="1">
        <v>44927</v>
      </c>
      <c r="K99">
        <v>-2.88</v>
      </c>
      <c r="L99">
        <v>-14.97</v>
      </c>
      <c r="M99" s="2">
        <f t="shared" si="1"/>
        <v>-0.17614678899082567</v>
      </c>
    </row>
    <row r="100" spans="1:13" x14ac:dyDescent="0.35">
      <c r="A100" t="s">
        <v>11</v>
      </c>
      <c r="B100" t="s">
        <v>12</v>
      </c>
      <c r="C100">
        <v>4093</v>
      </c>
      <c r="D100" t="s">
        <v>13</v>
      </c>
      <c r="E100">
        <v>38251559</v>
      </c>
      <c r="F100" t="s">
        <v>98</v>
      </c>
      <c r="G100">
        <v>16.420000000000002</v>
      </c>
      <c r="H100" s="1">
        <v>45292</v>
      </c>
      <c r="I100">
        <v>17.100000000000001</v>
      </c>
      <c r="J100" s="1">
        <v>44927</v>
      </c>
      <c r="K100">
        <v>-0.68</v>
      </c>
      <c r="L100">
        <v>-3.97</v>
      </c>
      <c r="M100" s="2">
        <f t="shared" si="1"/>
        <v>-4.1412911084043845E-2</v>
      </c>
    </row>
    <row r="101" spans="1:13" x14ac:dyDescent="0.35">
      <c r="A101" t="s">
        <v>11</v>
      </c>
      <c r="B101" t="s">
        <v>12</v>
      </c>
      <c r="C101">
        <v>4093</v>
      </c>
      <c r="D101" t="s">
        <v>13</v>
      </c>
      <c r="E101">
        <v>38251560</v>
      </c>
      <c r="F101" t="s">
        <v>99</v>
      </c>
      <c r="G101">
        <v>50.34</v>
      </c>
      <c r="H101" s="1">
        <v>45292</v>
      </c>
      <c r="I101">
        <v>48.81</v>
      </c>
      <c r="J101" s="1">
        <v>44927</v>
      </c>
      <c r="K101">
        <v>1.53</v>
      </c>
      <c r="L101">
        <v>3.13</v>
      </c>
      <c r="M101" s="2">
        <f t="shared" si="1"/>
        <v>3.0393325387365909E-2</v>
      </c>
    </row>
    <row r="102" spans="1:13" x14ac:dyDescent="0.35">
      <c r="A102" t="s">
        <v>11</v>
      </c>
      <c r="B102" t="s">
        <v>12</v>
      </c>
      <c r="C102">
        <v>4093</v>
      </c>
      <c r="D102" t="s">
        <v>13</v>
      </c>
      <c r="E102">
        <v>38251561</v>
      </c>
      <c r="F102" t="s">
        <v>100</v>
      </c>
      <c r="G102">
        <v>63.45</v>
      </c>
      <c r="H102" s="1">
        <v>45292</v>
      </c>
      <c r="I102">
        <v>90</v>
      </c>
      <c r="J102" s="1">
        <v>44927</v>
      </c>
      <c r="K102">
        <v>-26.55</v>
      </c>
      <c r="L102">
        <v>-29.5</v>
      </c>
      <c r="M102" s="2">
        <f t="shared" si="1"/>
        <v>-0.41843971631205673</v>
      </c>
    </row>
    <row r="103" spans="1:13" x14ac:dyDescent="0.35">
      <c r="A103" t="s">
        <v>11</v>
      </c>
      <c r="B103" t="s">
        <v>12</v>
      </c>
      <c r="C103">
        <v>4093</v>
      </c>
      <c r="D103" t="s">
        <v>13</v>
      </c>
      <c r="E103">
        <v>38251563</v>
      </c>
      <c r="F103" t="s">
        <v>101</v>
      </c>
      <c r="G103">
        <v>12.66</v>
      </c>
      <c r="H103" s="1">
        <v>45292</v>
      </c>
      <c r="I103">
        <v>15.09</v>
      </c>
      <c r="J103" s="1">
        <v>44927</v>
      </c>
      <c r="K103">
        <v>-2.4300000000000002</v>
      </c>
      <c r="L103">
        <v>-16.100000000000001</v>
      </c>
      <c r="M103" s="2">
        <f t="shared" si="1"/>
        <v>-0.19194312796208532</v>
      </c>
    </row>
    <row r="104" spans="1:13" x14ac:dyDescent="0.35">
      <c r="A104" t="s">
        <v>11</v>
      </c>
      <c r="B104" t="s">
        <v>12</v>
      </c>
      <c r="C104">
        <v>4093</v>
      </c>
      <c r="D104" t="s">
        <v>13</v>
      </c>
      <c r="E104">
        <v>38251567</v>
      </c>
      <c r="F104" t="s">
        <v>102</v>
      </c>
      <c r="G104">
        <v>31.12</v>
      </c>
      <c r="H104" s="1">
        <v>45292</v>
      </c>
      <c r="I104">
        <v>30.18</v>
      </c>
      <c r="J104" s="1">
        <v>44927</v>
      </c>
      <c r="K104">
        <v>0.94</v>
      </c>
      <c r="L104">
        <v>3.11</v>
      </c>
      <c r="M104" s="2">
        <f t="shared" si="1"/>
        <v>3.0205655526992285E-2</v>
      </c>
    </row>
    <row r="105" spans="1:13" x14ac:dyDescent="0.35">
      <c r="A105" t="s">
        <v>11</v>
      </c>
      <c r="B105" t="s">
        <v>12</v>
      </c>
      <c r="C105">
        <v>4093</v>
      </c>
      <c r="D105" t="s">
        <v>13</v>
      </c>
      <c r="E105">
        <v>38251568</v>
      </c>
      <c r="F105" t="s">
        <v>103</v>
      </c>
      <c r="G105">
        <v>57.96</v>
      </c>
      <c r="H105" s="1">
        <v>45292</v>
      </c>
      <c r="I105">
        <v>60.48</v>
      </c>
      <c r="J105" s="1">
        <v>44927</v>
      </c>
      <c r="K105">
        <v>-2.52</v>
      </c>
      <c r="L105">
        <v>-4.16</v>
      </c>
      <c r="M105" s="2">
        <f t="shared" si="1"/>
        <v>-4.3478260869565216E-2</v>
      </c>
    </row>
    <row r="106" spans="1:13" x14ac:dyDescent="0.35">
      <c r="A106" t="s">
        <v>11</v>
      </c>
      <c r="B106" t="s">
        <v>12</v>
      </c>
      <c r="C106">
        <v>4093</v>
      </c>
      <c r="D106" t="s">
        <v>13</v>
      </c>
      <c r="E106">
        <v>38251571</v>
      </c>
      <c r="F106" t="s">
        <v>104</v>
      </c>
      <c r="G106">
        <v>43.02</v>
      </c>
      <c r="H106" s="1">
        <v>45292</v>
      </c>
      <c r="I106">
        <v>44.88</v>
      </c>
      <c r="J106" s="1">
        <v>44927</v>
      </c>
      <c r="K106">
        <v>-1.86</v>
      </c>
      <c r="L106">
        <v>-4.1399999999999997</v>
      </c>
      <c r="M106" s="2">
        <f t="shared" si="1"/>
        <v>-4.3235704323570434E-2</v>
      </c>
    </row>
    <row r="107" spans="1:13" x14ac:dyDescent="0.35">
      <c r="A107" t="s">
        <v>11</v>
      </c>
      <c r="B107" t="s">
        <v>12</v>
      </c>
      <c r="C107">
        <v>4093</v>
      </c>
      <c r="D107" t="s">
        <v>13</v>
      </c>
      <c r="E107">
        <v>38251572</v>
      </c>
      <c r="F107" t="s">
        <v>105</v>
      </c>
      <c r="G107">
        <v>15.59</v>
      </c>
      <c r="H107" s="1">
        <v>45292</v>
      </c>
      <c r="I107">
        <v>16.8</v>
      </c>
      <c r="J107" s="1">
        <v>44927</v>
      </c>
      <c r="K107">
        <v>-1.21</v>
      </c>
      <c r="L107">
        <v>-7.2</v>
      </c>
      <c r="M107" s="2">
        <f t="shared" si="1"/>
        <v>-7.7613855035279025E-2</v>
      </c>
    </row>
    <row r="108" spans="1:13" x14ac:dyDescent="0.35">
      <c r="A108" t="s">
        <v>11</v>
      </c>
      <c r="B108" t="s">
        <v>12</v>
      </c>
      <c r="C108">
        <v>4093</v>
      </c>
      <c r="D108" t="s">
        <v>13</v>
      </c>
      <c r="E108">
        <v>38251573</v>
      </c>
      <c r="F108" t="s">
        <v>106</v>
      </c>
      <c r="G108">
        <v>17.87</v>
      </c>
      <c r="H108" s="1">
        <v>45292</v>
      </c>
      <c r="I108">
        <v>18.96</v>
      </c>
      <c r="J108" s="1">
        <v>44927</v>
      </c>
      <c r="K108">
        <v>-1.0900000000000001</v>
      </c>
      <c r="L108">
        <v>-5.74</v>
      </c>
      <c r="M108" s="2">
        <f t="shared" si="1"/>
        <v>-6.0996082820369335E-2</v>
      </c>
    </row>
    <row r="109" spans="1:13" x14ac:dyDescent="0.35">
      <c r="A109" t="s">
        <v>11</v>
      </c>
      <c r="B109" t="s">
        <v>12</v>
      </c>
      <c r="C109">
        <v>4093</v>
      </c>
      <c r="D109" t="s">
        <v>13</v>
      </c>
      <c r="E109">
        <v>38251576</v>
      </c>
      <c r="F109" t="s">
        <v>107</v>
      </c>
      <c r="G109">
        <v>8.18</v>
      </c>
      <c r="H109" s="1">
        <v>45292</v>
      </c>
      <c r="I109">
        <v>9.75</v>
      </c>
      <c r="J109" s="1">
        <v>44927</v>
      </c>
      <c r="K109">
        <v>-1.57</v>
      </c>
      <c r="L109">
        <v>-16.100000000000001</v>
      </c>
      <c r="M109" s="2">
        <f t="shared" si="1"/>
        <v>-0.19193154034229831</v>
      </c>
    </row>
    <row r="110" spans="1:13" x14ac:dyDescent="0.35">
      <c r="A110" t="s">
        <v>11</v>
      </c>
      <c r="B110" t="s">
        <v>12</v>
      </c>
      <c r="C110">
        <v>4093</v>
      </c>
      <c r="D110" t="s">
        <v>13</v>
      </c>
      <c r="E110">
        <v>38251577</v>
      </c>
      <c r="F110" t="s">
        <v>108</v>
      </c>
      <c r="G110">
        <v>26.81</v>
      </c>
      <c r="H110" s="1">
        <v>45292</v>
      </c>
      <c r="I110">
        <v>25.98</v>
      </c>
      <c r="J110" s="1">
        <v>44927</v>
      </c>
      <c r="K110">
        <v>0.83</v>
      </c>
      <c r="L110">
        <v>3.19</v>
      </c>
      <c r="M110" s="2">
        <f t="shared" si="1"/>
        <v>3.0958597538232002E-2</v>
      </c>
    </row>
    <row r="111" spans="1:13" x14ac:dyDescent="0.35">
      <c r="A111" t="s">
        <v>11</v>
      </c>
      <c r="B111" t="s">
        <v>12</v>
      </c>
      <c r="C111">
        <v>4093</v>
      </c>
      <c r="D111" t="s">
        <v>13</v>
      </c>
      <c r="E111">
        <v>38251578</v>
      </c>
      <c r="F111" t="s">
        <v>109</v>
      </c>
      <c r="G111">
        <v>22.32</v>
      </c>
      <c r="H111" s="1">
        <v>45292</v>
      </c>
      <c r="I111">
        <v>30.45</v>
      </c>
      <c r="J111" s="1">
        <v>44927</v>
      </c>
      <c r="K111">
        <v>-8.1300000000000008</v>
      </c>
      <c r="L111">
        <v>-26.69</v>
      </c>
      <c r="M111" s="2">
        <f t="shared" si="1"/>
        <v>-0.364247311827957</v>
      </c>
    </row>
    <row r="112" spans="1:13" x14ac:dyDescent="0.35">
      <c r="A112" t="s">
        <v>11</v>
      </c>
      <c r="B112" t="s">
        <v>12</v>
      </c>
      <c r="C112">
        <v>4093</v>
      </c>
      <c r="D112" t="s">
        <v>13</v>
      </c>
      <c r="E112">
        <v>38251581</v>
      </c>
      <c r="F112" t="s">
        <v>110</v>
      </c>
      <c r="G112">
        <v>14.8</v>
      </c>
      <c r="H112" s="1">
        <v>45292</v>
      </c>
      <c r="I112">
        <v>15.45</v>
      </c>
      <c r="J112" s="1">
        <v>44927</v>
      </c>
      <c r="K112">
        <v>-0.65</v>
      </c>
      <c r="L112">
        <v>-4.2</v>
      </c>
      <c r="M112" s="2">
        <f t="shared" si="1"/>
        <v>-4.3918918918918921E-2</v>
      </c>
    </row>
    <row r="113" spans="1:13" x14ac:dyDescent="0.35">
      <c r="A113" t="s">
        <v>11</v>
      </c>
      <c r="B113" t="s">
        <v>12</v>
      </c>
      <c r="C113">
        <v>4093</v>
      </c>
      <c r="D113" t="s">
        <v>13</v>
      </c>
      <c r="E113">
        <v>38251582</v>
      </c>
      <c r="F113" t="s">
        <v>111</v>
      </c>
      <c r="G113">
        <v>9.32</v>
      </c>
      <c r="H113" s="1">
        <v>45292</v>
      </c>
      <c r="I113">
        <v>9.0299999999999994</v>
      </c>
      <c r="J113" s="1">
        <v>44927</v>
      </c>
      <c r="K113">
        <v>0.28999999999999998</v>
      </c>
      <c r="L113">
        <v>3.21</v>
      </c>
      <c r="M113" s="2">
        <f t="shared" si="1"/>
        <v>3.1115879828326178E-2</v>
      </c>
    </row>
    <row r="114" spans="1:13" x14ac:dyDescent="0.35">
      <c r="A114" t="s">
        <v>11</v>
      </c>
      <c r="B114" t="s">
        <v>12</v>
      </c>
      <c r="C114">
        <v>4093</v>
      </c>
      <c r="D114" t="s">
        <v>13</v>
      </c>
      <c r="E114">
        <v>38251583</v>
      </c>
      <c r="F114" t="s">
        <v>112</v>
      </c>
      <c r="G114">
        <v>20.73</v>
      </c>
      <c r="H114" s="1">
        <v>45292</v>
      </c>
      <c r="I114">
        <v>21.63</v>
      </c>
      <c r="J114" s="1">
        <v>44927</v>
      </c>
      <c r="K114">
        <v>-0.9</v>
      </c>
      <c r="L114">
        <v>-4.16</v>
      </c>
      <c r="M114" s="2">
        <f t="shared" si="1"/>
        <v>-4.3415340086830678E-2</v>
      </c>
    </row>
    <row r="115" spans="1:13" x14ac:dyDescent="0.35">
      <c r="A115" t="s">
        <v>11</v>
      </c>
      <c r="B115" t="s">
        <v>12</v>
      </c>
      <c r="C115">
        <v>4093</v>
      </c>
      <c r="D115" t="s">
        <v>13</v>
      </c>
      <c r="E115">
        <v>38251584</v>
      </c>
      <c r="F115" t="s">
        <v>113</v>
      </c>
      <c r="G115">
        <v>35.6</v>
      </c>
      <c r="H115" s="1">
        <v>45292</v>
      </c>
      <c r="I115">
        <v>36</v>
      </c>
      <c r="J115" s="1">
        <v>44927</v>
      </c>
      <c r="K115">
        <v>-0.4</v>
      </c>
      <c r="L115">
        <v>-1.1100000000000001</v>
      </c>
      <c r="M115" s="2">
        <f t="shared" si="1"/>
        <v>-1.1235955056179775E-2</v>
      </c>
    </row>
    <row r="116" spans="1:13" x14ac:dyDescent="0.35">
      <c r="A116" t="s">
        <v>11</v>
      </c>
      <c r="B116" t="s">
        <v>12</v>
      </c>
      <c r="C116">
        <v>4093</v>
      </c>
      <c r="D116" t="s">
        <v>13</v>
      </c>
      <c r="E116">
        <v>38251594</v>
      </c>
      <c r="F116" t="s">
        <v>114</v>
      </c>
      <c r="G116">
        <v>10.94</v>
      </c>
      <c r="H116" s="1">
        <v>45292</v>
      </c>
      <c r="I116">
        <v>10.59</v>
      </c>
      <c r="J116" s="1">
        <v>44927</v>
      </c>
      <c r="K116">
        <v>0.35</v>
      </c>
      <c r="L116">
        <v>3.3</v>
      </c>
      <c r="M116" s="2">
        <f t="shared" si="1"/>
        <v>3.1992687385740404E-2</v>
      </c>
    </row>
    <row r="117" spans="1:13" x14ac:dyDescent="0.35">
      <c r="A117" t="s">
        <v>11</v>
      </c>
      <c r="B117" t="s">
        <v>12</v>
      </c>
      <c r="C117">
        <v>4093</v>
      </c>
      <c r="D117" t="s">
        <v>13</v>
      </c>
      <c r="E117">
        <v>38300004</v>
      </c>
      <c r="F117" t="s">
        <v>115</v>
      </c>
      <c r="G117">
        <v>93.91</v>
      </c>
      <c r="H117" s="1">
        <v>45292</v>
      </c>
      <c r="I117">
        <v>91.05</v>
      </c>
      <c r="J117" s="1">
        <v>44927</v>
      </c>
      <c r="K117">
        <v>2.86</v>
      </c>
      <c r="L117">
        <v>3.14</v>
      </c>
      <c r="M117" s="2">
        <f t="shared" si="1"/>
        <v>3.045469066127143E-2</v>
      </c>
    </row>
    <row r="118" spans="1:13" x14ac:dyDescent="0.35">
      <c r="A118" t="s">
        <v>11</v>
      </c>
      <c r="B118" t="s">
        <v>12</v>
      </c>
      <c r="C118">
        <v>4093</v>
      </c>
      <c r="D118" t="s">
        <v>13</v>
      </c>
      <c r="E118">
        <v>38300680</v>
      </c>
      <c r="F118" t="s">
        <v>116</v>
      </c>
      <c r="G118">
        <v>56.24</v>
      </c>
      <c r="H118" s="1">
        <v>45292</v>
      </c>
      <c r="I118">
        <v>54.51</v>
      </c>
      <c r="J118" s="1">
        <v>44927</v>
      </c>
      <c r="K118">
        <v>1.73</v>
      </c>
      <c r="L118">
        <v>3.17</v>
      </c>
      <c r="M118" s="2">
        <f t="shared" si="1"/>
        <v>3.0761024182076813E-2</v>
      </c>
    </row>
    <row r="119" spans="1:13" x14ac:dyDescent="0.35">
      <c r="A119" t="s">
        <v>11</v>
      </c>
      <c r="B119" t="s">
        <v>12</v>
      </c>
      <c r="C119">
        <v>4093</v>
      </c>
      <c r="D119" t="s">
        <v>13</v>
      </c>
      <c r="E119">
        <v>92073668</v>
      </c>
      <c r="F119" t="s">
        <v>117</v>
      </c>
      <c r="G119">
        <v>5.09</v>
      </c>
      <c r="H119" s="1">
        <v>45292</v>
      </c>
      <c r="I119">
        <v>5.83</v>
      </c>
      <c r="J119" s="1">
        <v>45017</v>
      </c>
      <c r="K119">
        <v>-0.74</v>
      </c>
      <c r="L119">
        <v>-12.69</v>
      </c>
      <c r="M119" s="2">
        <f t="shared" ref="M119:M125" si="2">K119/G119</f>
        <v>-0.14538310412573674</v>
      </c>
    </row>
    <row r="120" spans="1:13" x14ac:dyDescent="0.35">
      <c r="A120" t="s">
        <v>11</v>
      </c>
      <c r="B120" t="s">
        <v>12</v>
      </c>
      <c r="C120">
        <v>4093</v>
      </c>
      <c r="D120" t="s">
        <v>13</v>
      </c>
      <c r="E120">
        <v>92081055</v>
      </c>
      <c r="F120" t="s">
        <v>118</v>
      </c>
      <c r="G120">
        <v>5</v>
      </c>
      <c r="H120" s="1">
        <v>45292</v>
      </c>
      <c r="I120">
        <v>4.63</v>
      </c>
      <c r="J120" s="1">
        <v>45017</v>
      </c>
      <c r="K120">
        <v>0.37</v>
      </c>
      <c r="L120">
        <v>7.99</v>
      </c>
      <c r="M120" s="2">
        <f t="shared" si="2"/>
        <v>7.3999999999999996E-2</v>
      </c>
    </row>
    <row r="121" spans="1:13" x14ac:dyDescent="0.35">
      <c r="A121" t="s">
        <v>11</v>
      </c>
      <c r="B121" t="s">
        <v>12</v>
      </c>
      <c r="C121">
        <v>4093</v>
      </c>
      <c r="D121" t="s">
        <v>13</v>
      </c>
      <c r="E121">
        <v>92081155</v>
      </c>
      <c r="F121" t="s">
        <v>119</v>
      </c>
      <c r="G121">
        <v>6.3</v>
      </c>
      <c r="H121" s="1">
        <v>45292</v>
      </c>
      <c r="I121">
        <v>5.75</v>
      </c>
      <c r="J121" s="1">
        <v>45017</v>
      </c>
      <c r="K121">
        <v>0.55000000000000004</v>
      </c>
      <c r="L121">
        <v>9.56</v>
      </c>
      <c r="M121" s="2">
        <f t="shared" si="2"/>
        <v>8.7301587301587311E-2</v>
      </c>
    </row>
    <row r="122" spans="1:13" x14ac:dyDescent="0.35">
      <c r="A122" t="s">
        <v>11</v>
      </c>
      <c r="B122" t="s">
        <v>12</v>
      </c>
      <c r="C122">
        <v>4093</v>
      </c>
      <c r="D122" t="s">
        <v>13</v>
      </c>
      <c r="E122">
        <v>92107886</v>
      </c>
      <c r="F122" t="s">
        <v>120</v>
      </c>
      <c r="G122">
        <v>5</v>
      </c>
      <c r="H122" s="1">
        <v>45292</v>
      </c>
      <c r="I122">
        <v>4.28</v>
      </c>
      <c r="J122" s="1">
        <v>45017</v>
      </c>
      <c r="K122">
        <v>0.72</v>
      </c>
      <c r="L122">
        <v>16.82</v>
      </c>
      <c r="M122" s="2">
        <f t="shared" si="2"/>
        <v>0.14399999999999999</v>
      </c>
    </row>
    <row r="123" spans="1:13" x14ac:dyDescent="0.35">
      <c r="A123" t="s">
        <v>11</v>
      </c>
      <c r="B123" t="s">
        <v>12</v>
      </c>
      <c r="C123">
        <v>4093</v>
      </c>
      <c r="D123" t="s">
        <v>13</v>
      </c>
      <c r="E123">
        <v>92125066</v>
      </c>
      <c r="F123" t="s">
        <v>121</v>
      </c>
      <c r="G123">
        <v>5</v>
      </c>
      <c r="H123" s="1">
        <v>45292</v>
      </c>
      <c r="I123">
        <v>5.2</v>
      </c>
      <c r="J123" s="1">
        <v>45017</v>
      </c>
      <c r="K123">
        <v>-0.2</v>
      </c>
      <c r="L123">
        <v>-3.84</v>
      </c>
      <c r="M123" s="2">
        <f t="shared" si="2"/>
        <v>-0.04</v>
      </c>
    </row>
    <row r="124" spans="1:13" x14ac:dyDescent="0.35">
      <c r="A124" t="s">
        <v>11</v>
      </c>
      <c r="B124" t="s">
        <v>12</v>
      </c>
      <c r="C124">
        <v>4093</v>
      </c>
      <c r="D124" t="s">
        <v>13</v>
      </c>
      <c r="E124">
        <v>92125187</v>
      </c>
      <c r="F124" t="s">
        <v>122</v>
      </c>
      <c r="G124">
        <v>69.34</v>
      </c>
      <c r="H124" s="1">
        <v>45292</v>
      </c>
      <c r="I124">
        <v>8.93</v>
      </c>
      <c r="J124" s="1">
        <v>45017</v>
      </c>
      <c r="K124">
        <v>60.41</v>
      </c>
      <c r="L124">
        <v>676.48</v>
      </c>
      <c r="M124" s="2">
        <f t="shared" si="2"/>
        <v>0.87121430631670027</v>
      </c>
    </row>
    <row r="125" spans="1:13" x14ac:dyDescent="0.35">
      <c r="A125" t="s">
        <v>11</v>
      </c>
      <c r="B125" t="s">
        <v>12</v>
      </c>
      <c r="C125">
        <v>4093</v>
      </c>
      <c r="D125" t="s">
        <v>13</v>
      </c>
      <c r="E125">
        <v>92125206</v>
      </c>
      <c r="F125" t="s">
        <v>123</v>
      </c>
      <c r="G125">
        <v>25.52</v>
      </c>
      <c r="H125" s="1">
        <v>45292</v>
      </c>
      <c r="I125">
        <v>21.11</v>
      </c>
      <c r="J125" s="1">
        <v>45017</v>
      </c>
      <c r="K125">
        <v>4.41</v>
      </c>
      <c r="L125">
        <v>20.89</v>
      </c>
      <c r="M125" s="2">
        <f t="shared" si="2"/>
        <v>0.17280564263322884</v>
      </c>
    </row>
    <row r="126" spans="1:13" x14ac:dyDescent="0.35">
      <c r="A126" t="s">
        <v>11</v>
      </c>
      <c r="B126" t="s">
        <v>12</v>
      </c>
      <c r="C126">
        <v>4093</v>
      </c>
      <c r="D126" t="s">
        <v>13</v>
      </c>
      <c r="E126">
        <v>92219717</v>
      </c>
      <c r="F126" t="s">
        <v>124</v>
      </c>
      <c r="G126">
        <v>6.06</v>
      </c>
      <c r="H126" s="1">
        <v>45292</v>
      </c>
      <c r="I126">
        <v>10.44</v>
      </c>
      <c r="J126" s="1">
        <v>45017</v>
      </c>
      <c r="K126">
        <v>-4.38</v>
      </c>
      <c r="L126">
        <v>-41.95</v>
      </c>
      <c r="M126" s="2">
        <f t="shared" ref="M126:M129" si="3">K126/G126</f>
        <v>-0.72277227722772275</v>
      </c>
    </row>
    <row r="127" spans="1:13" x14ac:dyDescent="0.35">
      <c r="A127" t="s">
        <v>11</v>
      </c>
      <c r="B127" t="s">
        <v>12</v>
      </c>
      <c r="C127">
        <v>4093</v>
      </c>
      <c r="D127" t="s">
        <v>13</v>
      </c>
      <c r="E127">
        <v>92219970</v>
      </c>
      <c r="F127" t="s">
        <v>125</v>
      </c>
      <c r="G127">
        <v>5.76</v>
      </c>
      <c r="H127" s="1">
        <v>45292</v>
      </c>
      <c r="I127">
        <v>5</v>
      </c>
      <c r="J127" s="1">
        <v>45200</v>
      </c>
      <c r="K127">
        <v>0.76</v>
      </c>
      <c r="L127">
        <v>15.2</v>
      </c>
      <c r="M127" s="2">
        <f t="shared" si="3"/>
        <v>0.13194444444444445</v>
      </c>
    </row>
    <row r="128" spans="1:13" x14ac:dyDescent="0.35">
      <c r="A128" t="s">
        <v>11</v>
      </c>
      <c r="B128" t="s">
        <v>12</v>
      </c>
      <c r="C128">
        <v>4093</v>
      </c>
      <c r="D128" t="s">
        <v>13</v>
      </c>
      <c r="E128">
        <v>92220032</v>
      </c>
      <c r="F128" t="s">
        <v>126</v>
      </c>
      <c r="G128">
        <v>5</v>
      </c>
      <c r="H128" s="1">
        <v>45292</v>
      </c>
      <c r="I128">
        <v>5.49</v>
      </c>
      <c r="J128" s="1">
        <v>45017</v>
      </c>
      <c r="K128">
        <v>-0.49</v>
      </c>
      <c r="L128">
        <v>-8.92</v>
      </c>
      <c r="M128" s="2">
        <f t="shared" si="3"/>
        <v>-9.8000000000000004E-2</v>
      </c>
    </row>
    <row r="129" spans="1:14" x14ac:dyDescent="0.35">
      <c r="A129" t="s">
        <v>11</v>
      </c>
      <c r="B129" t="s">
        <v>12</v>
      </c>
      <c r="C129">
        <v>4093</v>
      </c>
      <c r="D129" t="s">
        <v>13</v>
      </c>
      <c r="E129">
        <v>92220259</v>
      </c>
      <c r="F129" t="s">
        <v>127</v>
      </c>
      <c r="G129">
        <v>91.96</v>
      </c>
      <c r="H129" s="1">
        <v>45292</v>
      </c>
      <c r="I129">
        <v>91.95</v>
      </c>
      <c r="J129" s="1">
        <v>45017</v>
      </c>
      <c r="K129">
        <v>0.01</v>
      </c>
      <c r="L129" s="2">
        <v>0.01</v>
      </c>
      <c r="M129" s="2">
        <f t="shared" si="3"/>
        <v>1.087429317094389E-4</v>
      </c>
    </row>
    <row r="131" spans="1:14" x14ac:dyDescent="0.35">
      <c r="G131">
        <f>SUM(G2:G130)</f>
        <v>24141.119999999984</v>
      </c>
      <c r="I131">
        <f>SUM(I2:I130)</f>
        <v>23100.33</v>
      </c>
      <c r="K131">
        <f>G131-I131</f>
        <v>1040.7899999999827</v>
      </c>
      <c r="L131">
        <f>K131/224</f>
        <v>4.6463839285713515</v>
      </c>
      <c r="M131" s="3">
        <v>0.02</v>
      </c>
      <c r="N131" s="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change comparison- 4093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Melissa</dc:creator>
  <cp:lastModifiedBy>Melissa Campbell</cp:lastModifiedBy>
  <dcterms:created xsi:type="dcterms:W3CDTF">2024-07-15T20:16:36Z</dcterms:created>
  <dcterms:modified xsi:type="dcterms:W3CDTF">2024-07-15T20:18:25Z</dcterms:modified>
</cp:coreProperties>
</file>